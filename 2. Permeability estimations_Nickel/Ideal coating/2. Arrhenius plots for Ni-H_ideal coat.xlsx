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2. Permeability estimations_Nickel\Ideal coating\"/>
    </mc:Choice>
  </mc:AlternateContent>
  <xr:revisionPtr revIDLastSave="0" documentId="13_ncr:1_{FBDC10EA-02BA-4D09-A27A-AEF04A13A1C5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Ni 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9" l="1"/>
  <c r="K37" i="19"/>
  <c r="D32" i="19" l="1"/>
  <c r="D33" i="19"/>
  <c r="D31" i="19"/>
  <c r="D3" i="19"/>
  <c r="D4" i="19"/>
  <c r="D2" i="19"/>
  <c r="K45" i="19" l="1"/>
  <c r="K44" i="19"/>
  <c r="E33" i="19"/>
  <c r="B33" i="19"/>
  <c r="E32" i="19"/>
  <c r="B32" i="19"/>
  <c r="M31" i="19"/>
  <c r="M32" i="19" s="1"/>
  <c r="J31" i="19"/>
  <c r="J32" i="19" s="1"/>
  <c r="J33" i="19" s="1"/>
  <c r="E31" i="19"/>
  <c r="B31" i="19"/>
  <c r="K19" i="19"/>
  <c r="K18" i="19"/>
  <c r="E4" i="19"/>
  <c r="B4" i="19"/>
  <c r="E3" i="19"/>
  <c r="B3" i="19"/>
  <c r="M2" i="19"/>
  <c r="M3" i="19" s="1"/>
  <c r="J2" i="19"/>
  <c r="J3" i="19" s="1"/>
  <c r="J4" i="19" s="1"/>
  <c r="E2" i="19"/>
  <c r="B2" i="19"/>
</calcChain>
</file>

<file path=xl/sharedStrings.xml><?xml version="1.0" encoding="utf-8"?>
<sst xmlns="http://schemas.openxmlformats.org/spreadsheetml/2006/main" count="34" uniqueCount="19">
  <si>
    <t>T</t>
  </si>
  <si>
    <t>1/T (1/K)</t>
  </si>
  <si>
    <t>Slope</t>
  </si>
  <si>
    <t>Y-intercept</t>
  </si>
  <si>
    <t>T(K)</t>
  </si>
  <si>
    <t>Value checks and calculations</t>
  </si>
  <si>
    <t>Calculated values of Ø at T for which experiments not done</t>
  </si>
  <si>
    <r>
      <t>ln Ø</t>
    </r>
    <r>
      <rPr>
        <b/>
        <vertAlign val="subscript"/>
        <sz val="11"/>
        <color rgb="FF00B050"/>
        <rFont val="Times New Roman"/>
        <family val="1"/>
      </rPr>
      <t>Ni</t>
    </r>
  </si>
  <si>
    <r>
      <t>(-E</t>
    </r>
    <r>
      <rPr>
        <vertAlign val="subscript"/>
        <sz val="11"/>
        <color rgb="FF00B050"/>
        <rFont val="Times New Roman"/>
        <family val="1"/>
      </rPr>
      <t>Ø</t>
    </r>
    <r>
      <rPr>
        <sz val="11"/>
        <color rgb="FF00B050"/>
        <rFont val="Calibri"/>
        <family val="2"/>
        <scheme val="minor"/>
      </rPr>
      <t>/R)</t>
    </r>
  </si>
  <si>
    <r>
      <t>E</t>
    </r>
    <r>
      <rPr>
        <vertAlign val="subscript"/>
        <sz val="11"/>
        <color rgb="FF00B050"/>
        <rFont val="Calibri"/>
        <family val="2"/>
        <scheme val="minor"/>
      </rPr>
      <t>Ø</t>
    </r>
    <r>
      <rPr>
        <sz val="11"/>
        <color rgb="FF00B050"/>
        <rFont val="Calibri"/>
        <family val="2"/>
        <scheme val="minor"/>
      </rPr>
      <t>/R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</si>
  <si>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</si>
  <si>
    <r>
      <t xml:space="preserve">ln </t>
    </r>
    <r>
      <rPr>
        <sz val="11"/>
        <color rgb="FF00B050"/>
        <rFont val="Times New Roman"/>
        <family val="1"/>
      </rPr>
      <t>Ø</t>
    </r>
    <r>
      <rPr>
        <vertAlign val="subscript"/>
        <sz val="11"/>
        <color rgb="FF00B050"/>
        <rFont val="Calibri"/>
        <family val="2"/>
      </rPr>
      <t>0</t>
    </r>
  </si>
  <si>
    <r>
      <rPr>
        <b/>
        <sz val="11"/>
        <color rgb="FF00B050"/>
        <rFont val="Times New Roman"/>
        <family val="1"/>
      </rPr>
      <t>Ø</t>
    </r>
    <r>
      <rPr>
        <b/>
        <vertAlign val="subscript"/>
        <sz val="11"/>
        <color rgb="FF00B050"/>
        <rFont val="Calibri"/>
        <family val="2"/>
      </rPr>
      <t>0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</si>
  <si>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  <r>
      <rPr>
        <b/>
        <sz val="11"/>
        <color rgb="FF00B050"/>
        <rFont val="Calibri"/>
        <family val="2"/>
        <scheme val="minor"/>
      </rPr>
      <t xml:space="preserve"> (J)</t>
    </r>
  </si>
  <si>
    <r>
      <t>Calculated values of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at T for which experiments not done</t>
    </r>
  </si>
  <si>
    <r>
      <t>T (˚</t>
    </r>
    <r>
      <rPr>
        <b/>
        <sz val="13.2"/>
        <color rgb="FF00B050"/>
        <rFont val="Times New Roman"/>
        <family val="1"/>
      </rPr>
      <t>C)</t>
    </r>
  </si>
  <si>
    <r>
      <t>Uncertainty in Ø</t>
    </r>
    <r>
      <rPr>
        <b/>
        <vertAlign val="subscript"/>
        <sz val="11"/>
        <color rgb="FF00B050"/>
        <rFont val="Times New Roman"/>
        <family val="1"/>
      </rPr>
      <t>Ni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</si>
  <si>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(H/m.s.Pa0.5)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</si>
  <si>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(mol-H/m.s.Pa0.5)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</si>
</sst>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b/>
      <vertAlign val="subscript"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rgb="FF00B050"/>
      <name val="Calibri"/>
      <family val="2"/>
      <scheme val="minor"/>
    </font>
    <font>
      <vertAlign val="subscript"/>
      <sz val="11"/>
      <color rgb="FF00B050"/>
      <name val="Times New Roman"/>
      <family val="1"/>
    </font>
    <font>
      <vertAlign val="subscript"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vertAlign val="subscript"/>
      <sz val="11"/>
      <color rgb="FF00B050"/>
      <name val="Calibri"/>
      <family val="2"/>
      <scheme val="minor"/>
    </font>
    <font>
      <vertAlign val="subscript"/>
      <sz val="11"/>
      <color rgb="FF00B050"/>
      <name val="Calibri"/>
      <family val="2"/>
    </font>
    <font>
      <b/>
      <sz val="11"/>
      <color rgb="FF00B050"/>
      <name val="Calibri"/>
      <family val="1"/>
    </font>
    <font>
      <b/>
      <vertAlign val="subscript"/>
      <sz val="11"/>
      <color rgb="FF00B050"/>
      <name val="Calibri"/>
      <family val="2"/>
    </font>
    <font>
      <b/>
      <sz val="13.2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0" fillId="3" borderId="0" xfId="0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8" fillId="0" borderId="0" xfId="0" applyFont="1"/>
    <xf numFmtId="0" fontId="11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/>
    <xf numFmtId="11" fontId="3" fillId="0" borderId="0" xfId="0" applyNumberFormat="1" applyFont="1"/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Arrhenius plot (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for units H/m.s.Pa</a:t>
            </a:r>
            <a:r>
              <a:rPr lang="en-US" sz="1400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0.5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  <a:endParaRPr lang="en-US" sz="14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Arrhenius_Ni '!$E$1</c:f>
              <c:strCache>
                <c:ptCount val="1"/>
                <c:pt idx="0">
                  <c:v>ln ØNi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048223613188"/>
                  <c:y val="-0.336419278588479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Arrhenius_Ni '!$B$2:$B$7</c:f>
              <c:numCache>
                <c:formatCode>General</c:formatCode>
                <c:ptCount val="6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Arrhenius_Ni '!$E$2:$E$7</c:f>
              <c:numCache>
                <c:formatCode>General</c:formatCode>
                <c:ptCount val="6"/>
                <c:pt idx="0">
                  <c:v>31.639633469721364</c:v>
                </c:pt>
                <c:pt idx="1">
                  <c:v>32.477727625430433</c:v>
                </c:pt>
                <c:pt idx="2">
                  <c:v>33.085631530532304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7E-44EB-8344-D1BF7F32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Ø-Ni </a:t>
                </a:r>
              </a:p>
            </c:rich>
          </c:tx>
          <c:layout>
            <c:manualLayout>
              <c:xMode val="edge"/>
              <c:yMode val="edge"/>
              <c:x val="1.4385532264693794E-2"/>
              <c:y val="0.40540536599591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Arrhenius plot for units (mol-H/m.s.Pa</a:t>
            </a:r>
            <a:r>
              <a:rPr lang="en-US" sz="1400" b="1" i="0" u="none" strike="noStrike" kern="1200" spc="0" baseline="30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0.5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Arrhenius_Ni '!$E$30</c:f>
              <c:strCache>
                <c:ptCount val="1"/>
                <c:pt idx="0">
                  <c:v>ln ØNi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26802643863956"/>
                  <c:y val="-0.38115827760876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Arrhenius_Ni '!$B$31:$B$33</c:f>
              <c:numCache>
                <c:formatCode>General</c:formatCode>
                <c:ptCount val="3"/>
                <c:pt idx="0">
                  <c:v>1.29366106080207E-3</c:v>
                </c:pt>
                <c:pt idx="1">
                  <c:v>1.145475372279496E-3</c:v>
                </c:pt>
                <c:pt idx="2">
                  <c:v>1.0277492291880781E-3</c:v>
                </c:pt>
              </c:numCache>
            </c:numRef>
          </c:xVal>
          <c:yVal>
            <c:numRef>
              <c:f>'1D Ø Arrhenius_Ni '!$E$31:$E$33</c:f>
              <c:numCache>
                <c:formatCode>General</c:formatCode>
                <c:ptCount val="3"/>
                <c:pt idx="0">
                  <c:v>-23.115243099201226</c:v>
                </c:pt>
                <c:pt idx="1">
                  <c:v>-22.277148943492161</c:v>
                </c:pt>
                <c:pt idx="2">
                  <c:v>-21.669245038390287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AB-42F2-836E-8C7FAE8C9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135983"/>
        <c:axId val="514126863"/>
      </c:scatterChart>
      <c:valAx>
        <c:axId val="514135983"/>
        <c:scaling>
          <c:orientation val="minMax"/>
          <c:max val="1.3000000000000004E-3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1/T (K</a:t>
                </a:r>
                <a:r>
                  <a:rPr lang="en-IN" sz="10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IN"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4126863"/>
        <c:crosses val="autoZero"/>
        <c:crossBetween val="midCat"/>
      </c:valAx>
      <c:valAx>
        <c:axId val="5141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 Ø-Ni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413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9</xdr:row>
      <xdr:rowOff>3810</xdr:rowOff>
    </xdr:from>
    <xdr:to>
      <xdr:col>6</xdr:col>
      <xdr:colOff>502920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3E96A-FF58-473F-8E3E-C0EB2622A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421530</xdr:colOff>
      <xdr:row>35</xdr:row>
      <xdr:rowOff>6485</xdr:rowOff>
    </xdr:from>
    <xdr:to>
      <xdr:col>6</xdr:col>
      <xdr:colOff>429638</xdr:colOff>
      <xdr:row>49</xdr:row>
      <xdr:rowOff>139430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772A2-FD6E-4C43-AE68-92C0DBEA4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BAE7-D748-4E50-B204-39B962BC6F3D}">
  <dimension ref="A1:Q51"/>
  <sheetViews>
    <sheetView tabSelected="1" topLeftCell="C1" zoomScale="110" zoomScaleNormal="110" workbookViewId="0">
      <selection activeCell="M38" sqref="M38"/>
    </sheetView>
  </sheetViews>
  <sheetFormatPr defaultRowHeight="14.4" x14ac:dyDescent="0.3"/>
  <cols>
    <col min="1" max="1" width="8.88671875" style="2"/>
    <col min="2" max="2" width="27.44140625" customWidth="1"/>
    <col min="3" max="3" width="28.5546875" style="2" customWidth="1"/>
    <col min="4" max="4" width="28.5546875" style="15" customWidth="1"/>
    <col min="5" max="5" width="21.77734375" style="2" customWidth="1"/>
    <col min="6" max="7" width="8.88671875" style="2"/>
    <col min="8" max="8" width="7.21875" style="2" customWidth="1"/>
    <col min="9" max="9" width="6.88671875" style="6" customWidth="1"/>
    <col min="10" max="10" width="26.33203125" style="6" bestFit="1" customWidth="1"/>
    <col min="11" max="11" width="15.5546875" style="2" customWidth="1"/>
    <col min="12" max="12" width="13.5546875" style="2" customWidth="1"/>
    <col min="13" max="15" width="12" style="2" bestFit="1" customWidth="1"/>
    <col min="16" max="16384" width="8.88671875" style="2"/>
  </cols>
  <sheetData>
    <row r="1" spans="1:14" ht="16.2" x14ac:dyDescent="0.35">
      <c r="A1" s="10" t="s">
        <v>0</v>
      </c>
      <c r="B1" s="10" t="s">
        <v>1</v>
      </c>
      <c r="C1" s="10" t="s">
        <v>17</v>
      </c>
      <c r="D1" s="10" t="s">
        <v>16</v>
      </c>
      <c r="E1" s="10" t="s">
        <v>7</v>
      </c>
      <c r="I1" s="12" t="s">
        <v>2</v>
      </c>
      <c r="J1" s="12">
        <v>-5447.1</v>
      </c>
      <c r="K1" s="15"/>
      <c r="L1" s="12" t="s">
        <v>3</v>
      </c>
      <c r="M1" s="12">
        <v>38.695999999999998</v>
      </c>
    </row>
    <row r="2" spans="1:14" ht="16.2" x14ac:dyDescent="0.35">
      <c r="A2" s="11">
        <v>773</v>
      </c>
      <c r="B2" s="11">
        <f>(1/A2)</f>
        <v>1.29366106080207E-3</v>
      </c>
      <c r="C2" s="11">
        <v>55070399287497.313</v>
      </c>
      <c r="D2" s="11">
        <f>(12.921*C2)/100</f>
        <v>7115646291937.5273</v>
      </c>
      <c r="E2" s="11">
        <f>LN(C2)</f>
        <v>31.639633469721364</v>
      </c>
      <c r="I2" s="12" t="s">
        <v>8</v>
      </c>
      <c r="J2" s="12">
        <f>J1</f>
        <v>-5447.1</v>
      </c>
      <c r="K2" s="15"/>
      <c r="L2" s="12" t="s">
        <v>11</v>
      </c>
      <c r="M2" s="12">
        <f>(M1)</f>
        <v>38.695999999999998</v>
      </c>
    </row>
    <row r="3" spans="1:14" ht="15.6" x14ac:dyDescent="0.35">
      <c r="A3" s="11">
        <v>873</v>
      </c>
      <c r="B3" s="11">
        <f t="shared" ref="B3:B4" si="0">(1/A3)</f>
        <v>1.145475372279496E-3</v>
      </c>
      <c r="C3" s="11">
        <v>127320370130980.86</v>
      </c>
      <c r="D3" s="11">
        <f t="shared" ref="D3:D4" si="1">(12.921*C3)/100</f>
        <v>16451065024624.035</v>
      </c>
      <c r="E3" s="11">
        <f t="shared" ref="E3:E4" si="2">LN(C3)</f>
        <v>32.477727625430433</v>
      </c>
      <c r="I3" s="12" t="s">
        <v>9</v>
      </c>
      <c r="J3" s="12">
        <f>(-1)*J2</f>
        <v>5447.1</v>
      </c>
      <c r="K3" s="15"/>
      <c r="L3" s="14" t="s">
        <v>12</v>
      </c>
      <c r="M3" s="13">
        <f>EXP(M2)</f>
        <v>6.3893881465750888E+16</v>
      </c>
    </row>
    <row r="4" spans="1:14" ht="15.6" x14ac:dyDescent="0.35">
      <c r="A4" s="11">
        <v>973</v>
      </c>
      <c r="B4" s="11">
        <f t="shared" si="0"/>
        <v>1.0277492291880781E-3</v>
      </c>
      <c r="C4" s="11">
        <v>233833755105760.56</v>
      </c>
      <c r="D4" s="11">
        <f t="shared" si="1"/>
        <v>30213659497215.32</v>
      </c>
      <c r="E4" s="11">
        <f t="shared" si="2"/>
        <v>33.085631530532304</v>
      </c>
      <c r="I4" s="13" t="s">
        <v>10</v>
      </c>
      <c r="J4" s="13">
        <f>(J3*8.314)</f>
        <v>45287.189400000003</v>
      </c>
      <c r="K4" s="15"/>
      <c r="L4" s="15"/>
      <c r="M4" s="15"/>
    </row>
    <row r="5" spans="1:14" x14ac:dyDescent="0.3">
      <c r="A5" s="3"/>
      <c r="B5" s="1"/>
      <c r="C5" s="3"/>
      <c r="D5" s="20"/>
      <c r="E5" s="3"/>
      <c r="I5" s="19"/>
      <c r="J5" s="19"/>
      <c r="K5" s="15"/>
      <c r="L5" s="15"/>
      <c r="M5" s="15"/>
    </row>
    <row r="6" spans="1:14" x14ac:dyDescent="0.3">
      <c r="A6" s="3"/>
      <c r="B6" s="1"/>
      <c r="C6" s="3"/>
      <c r="D6" s="20"/>
      <c r="E6" s="3"/>
      <c r="I6" s="19"/>
      <c r="J6" s="19"/>
      <c r="K6" s="15"/>
      <c r="L6" s="15"/>
      <c r="M6" s="15"/>
    </row>
    <row r="7" spans="1:14" x14ac:dyDescent="0.3">
      <c r="B7" s="1"/>
      <c r="C7" s="3"/>
      <c r="D7" s="20"/>
    </row>
    <row r="8" spans="1:14" x14ac:dyDescent="0.3">
      <c r="N8" s="16"/>
    </row>
    <row r="10" spans="1:14" x14ac:dyDescent="0.3">
      <c r="J10" s="16" t="s">
        <v>5</v>
      </c>
      <c r="K10" s="16">
        <f>(M3*(EXP(-J4/(8.314*973))))</f>
        <v>236684033050337.06</v>
      </c>
    </row>
    <row r="12" spans="1:14" x14ac:dyDescent="0.3">
      <c r="K12" s="7"/>
    </row>
    <row r="16" spans="1:14" ht="16.2" x14ac:dyDescent="0.35">
      <c r="J16" s="24" t="s">
        <v>14</v>
      </c>
      <c r="K16" s="24"/>
      <c r="L16" s="24"/>
      <c r="M16" s="24"/>
    </row>
    <row r="17" spans="1:17" ht="17.399999999999999" x14ac:dyDescent="0.35">
      <c r="J17" s="10" t="s">
        <v>15</v>
      </c>
      <c r="K17" s="10" t="s">
        <v>4</v>
      </c>
      <c r="L17" s="24" t="s">
        <v>17</v>
      </c>
      <c r="M17" s="24"/>
    </row>
    <row r="18" spans="1:17" x14ac:dyDescent="0.3">
      <c r="J18" s="18">
        <v>550</v>
      </c>
      <c r="K18" s="18">
        <f>(273+J18)</f>
        <v>823</v>
      </c>
      <c r="L18" s="25">
        <v>85318248226853.406</v>
      </c>
      <c r="M18" s="25"/>
    </row>
    <row r="19" spans="1:17" x14ac:dyDescent="0.3">
      <c r="J19" s="18">
        <v>650</v>
      </c>
      <c r="K19" s="18">
        <f>(273+J19)</f>
        <v>923</v>
      </c>
      <c r="L19" s="25">
        <v>174768473779943</v>
      </c>
      <c r="M19" s="25"/>
    </row>
    <row r="27" spans="1:17" x14ac:dyDescent="0.3">
      <c r="A27" s="4"/>
      <c r="B27" s="9"/>
      <c r="C27" s="4"/>
      <c r="D27" s="21"/>
      <c r="E27" s="4"/>
      <c r="F27" s="4"/>
      <c r="G27" s="4"/>
      <c r="H27" s="4"/>
      <c r="I27" s="5"/>
      <c r="J27" s="5"/>
      <c r="K27" s="4"/>
      <c r="L27" s="4"/>
      <c r="M27" s="4"/>
      <c r="N27" s="4"/>
      <c r="O27" s="4"/>
      <c r="P27" s="4"/>
      <c r="Q27" s="4"/>
    </row>
    <row r="29" spans="1:17" x14ac:dyDescent="0.3">
      <c r="I29" s="17"/>
      <c r="J29" s="17"/>
      <c r="K29" s="15"/>
      <c r="L29" s="15"/>
      <c r="M29" s="15"/>
    </row>
    <row r="30" spans="1:17" ht="16.2" x14ac:dyDescent="0.35">
      <c r="A30" s="10" t="s">
        <v>0</v>
      </c>
      <c r="B30" s="10" t="s">
        <v>1</v>
      </c>
      <c r="C30" s="10" t="s">
        <v>18</v>
      </c>
      <c r="D30" s="10" t="s">
        <v>16</v>
      </c>
      <c r="E30" s="10" t="s">
        <v>7</v>
      </c>
      <c r="I30" s="12" t="s">
        <v>2</v>
      </c>
      <c r="J30" s="12">
        <v>-5447.1</v>
      </c>
      <c r="K30" s="15"/>
      <c r="L30" s="12" t="s">
        <v>3</v>
      </c>
      <c r="M30" s="12">
        <v>-16.059000000000001</v>
      </c>
    </row>
    <row r="31" spans="1:17" ht="16.2" x14ac:dyDescent="0.35">
      <c r="A31" s="11">
        <v>773</v>
      </c>
      <c r="B31" s="11">
        <f>(1/A31)</f>
        <v>1.29366106080207E-3</v>
      </c>
      <c r="C31" s="11">
        <v>9.1448686960307741E-11</v>
      </c>
      <c r="D31" s="11">
        <f>(12.921*C31)/100</f>
        <v>1.1816084842141362E-11</v>
      </c>
      <c r="E31" s="11">
        <f>LN(C31)</f>
        <v>-23.115243099201226</v>
      </c>
      <c r="I31" s="12" t="s">
        <v>8</v>
      </c>
      <c r="J31" s="12">
        <f>J30</f>
        <v>-5447.1</v>
      </c>
      <c r="K31" s="15"/>
      <c r="L31" s="12" t="s">
        <v>11</v>
      </c>
      <c r="M31" s="12">
        <f>(M30)</f>
        <v>-16.059000000000001</v>
      </c>
    </row>
    <row r="32" spans="1:17" ht="15.6" x14ac:dyDescent="0.35">
      <c r="A32" s="11">
        <v>873</v>
      </c>
      <c r="B32" s="11">
        <f t="shared" ref="B32:B33" si="3">(1/A32)</f>
        <v>1.145475372279496E-3</v>
      </c>
      <c r="C32" s="11">
        <v>2.1142539045330599E-10</v>
      </c>
      <c r="D32" s="11">
        <f t="shared" ref="D32:D33" si="4">(12.921*C32)/100</f>
        <v>2.7318274700471666E-11</v>
      </c>
      <c r="E32" s="11">
        <f t="shared" ref="E32:E33" si="5">LN(C32)</f>
        <v>-22.277148943492161</v>
      </c>
      <c r="I32" s="12" t="s">
        <v>9</v>
      </c>
      <c r="J32" s="12">
        <f>(-1)*J31</f>
        <v>5447.1</v>
      </c>
      <c r="K32" s="15"/>
      <c r="L32" s="14" t="s">
        <v>12</v>
      </c>
      <c r="M32" s="13">
        <f>EXP(M31)</f>
        <v>1.0608767097612238E-7</v>
      </c>
    </row>
    <row r="33" spans="1:16" ht="15.6" x14ac:dyDescent="0.35">
      <c r="A33" s="11">
        <v>973</v>
      </c>
      <c r="B33" s="11">
        <f t="shared" si="3"/>
        <v>1.0277492291880781E-3</v>
      </c>
      <c r="C33" s="11">
        <v>3.882991615837937E-10</v>
      </c>
      <c r="D33" s="11">
        <f t="shared" si="4"/>
        <v>5.0172134668241985E-11</v>
      </c>
      <c r="E33" s="11">
        <f t="shared" si="5"/>
        <v>-21.669245038390287</v>
      </c>
      <c r="I33" s="13" t="s">
        <v>13</v>
      </c>
      <c r="J33" s="13">
        <f>(J32*8.314)</f>
        <v>45287.189400000003</v>
      </c>
      <c r="K33" s="15"/>
      <c r="L33" s="15"/>
      <c r="M33" s="15"/>
    </row>
    <row r="34" spans="1:16" x14ac:dyDescent="0.3">
      <c r="A34"/>
    </row>
    <row r="37" spans="1:16" x14ac:dyDescent="0.3">
      <c r="J37" s="16" t="s">
        <v>5</v>
      </c>
      <c r="K37" s="16">
        <f>(M32*(EXP(-J33/(8.314*923))))</f>
        <v>2.9018084232844848E-10</v>
      </c>
      <c r="P37" s="22"/>
    </row>
    <row r="38" spans="1:16" x14ac:dyDescent="0.3">
      <c r="M38" s="22"/>
    </row>
    <row r="39" spans="1:16" x14ac:dyDescent="0.3">
      <c r="K39" s="7"/>
    </row>
    <row r="42" spans="1:16" x14ac:dyDescent="0.3">
      <c r="J42" s="24" t="s">
        <v>6</v>
      </c>
      <c r="K42" s="24"/>
      <c r="L42" s="24"/>
      <c r="M42" s="24"/>
    </row>
    <row r="43" spans="1:16" ht="17.399999999999999" x14ac:dyDescent="0.35">
      <c r="J43" s="10" t="s">
        <v>15</v>
      </c>
      <c r="K43" s="10" t="s">
        <v>4</v>
      </c>
      <c r="L43" s="24" t="s">
        <v>18</v>
      </c>
      <c r="M43" s="24"/>
    </row>
    <row r="44" spans="1:16" x14ac:dyDescent="0.3">
      <c r="J44" s="18">
        <v>550</v>
      </c>
      <c r="K44" s="18">
        <f>(273+J44)</f>
        <v>823</v>
      </c>
      <c r="L44" s="23">
        <v>1.4166010952083599E-10</v>
      </c>
      <c r="M44" s="23"/>
    </row>
    <row r="45" spans="1:16" x14ac:dyDescent="0.3">
      <c r="J45" s="18">
        <v>650</v>
      </c>
      <c r="K45" s="18">
        <f>(273+J45)</f>
        <v>923</v>
      </c>
      <c r="L45" s="23">
        <v>2.9018084232844802E-10</v>
      </c>
      <c r="M45" s="23"/>
    </row>
    <row r="46" spans="1:16" x14ac:dyDescent="0.3">
      <c r="J46" s="17"/>
      <c r="K46" s="15"/>
    </row>
    <row r="49" spans="10:10" x14ac:dyDescent="0.3">
      <c r="J49" s="8"/>
    </row>
    <row r="51" spans="10:10" x14ac:dyDescent="0.3">
      <c r="J51" s="8"/>
    </row>
  </sheetData>
  <mergeCells count="8">
    <mergeCell ref="L44:M44"/>
    <mergeCell ref="L45:M45"/>
    <mergeCell ref="J16:M16"/>
    <mergeCell ref="L17:M17"/>
    <mergeCell ref="L18:M18"/>
    <mergeCell ref="L19:M19"/>
    <mergeCell ref="J42:M42"/>
    <mergeCell ref="L43:M4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2026-03-24T14:39:30Z</dcterms:modified>
</cp:coreProperties>
</file>