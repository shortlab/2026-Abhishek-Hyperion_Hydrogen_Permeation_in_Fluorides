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2. Permeability estimations_Nickel\Transparent coating\"/>
    </mc:Choice>
  </mc:AlternateContent>
  <xr:revisionPtr revIDLastSave="0" documentId="13_ncr:1_{ABDA7A07-9C79-4FA5-B823-A6C869E9AB89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Ni coated dry 500C_1" sheetId="18" r:id="rId1"/>
    <sheet name="Ni coated dry 600C_1" sheetId="19" r:id="rId2"/>
    <sheet name="Ni coated dry 700C_1" sheetId="20" r:id="rId3"/>
    <sheet name="Ni coated dry 500C_2" sheetId="21" r:id="rId4"/>
    <sheet name="Ni coated dry 600C_2" sheetId="22" r:id="rId5"/>
    <sheet name="Ni coated dry 700C_2" sheetId="23" r:id="rId6"/>
    <sheet name="Average Ni parameters" sheetId="1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3" l="1"/>
  <c r="N4" i="23"/>
  <c r="N5" i="23"/>
  <c r="N6" i="23"/>
  <c r="N7" i="23"/>
  <c r="N8" i="23"/>
  <c r="N9" i="23"/>
  <c r="N10" i="23"/>
  <c r="N11" i="23"/>
  <c r="X11" i="23" s="1"/>
  <c r="N12" i="23"/>
  <c r="X12" i="23" s="1"/>
  <c r="N13" i="23"/>
  <c r="X13" i="23" s="1"/>
  <c r="N14" i="23"/>
  <c r="X14" i="23" s="1"/>
  <c r="N15" i="23"/>
  <c r="N16" i="23"/>
  <c r="N17" i="23"/>
  <c r="N18" i="23"/>
  <c r="N19" i="23"/>
  <c r="N20" i="23"/>
  <c r="N21" i="23"/>
  <c r="N22" i="23"/>
  <c r="N23" i="23"/>
  <c r="X23" i="23" s="1"/>
  <c r="N24" i="23"/>
  <c r="X24" i="23" s="1"/>
  <c r="N25" i="23"/>
  <c r="X25" i="23" s="1"/>
  <c r="N26" i="23"/>
  <c r="X26" i="23" s="1"/>
  <c r="N27" i="23"/>
  <c r="N28" i="23"/>
  <c r="N29" i="23"/>
  <c r="N30" i="23"/>
  <c r="N31" i="23"/>
  <c r="N32" i="23"/>
  <c r="N33" i="23"/>
  <c r="N34" i="23"/>
  <c r="N35" i="23"/>
  <c r="X35" i="23" s="1"/>
  <c r="N36" i="23"/>
  <c r="X36" i="23" s="1"/>
  <c r="N37" i="23"/>
  <c r="X37" i="23" s="1"/>
  <c r="N2" i="23"/>
  <c r="N3" i="22"/>
  <c r="N4" i="22"/>
  <c r="N5" i="22"/>
  <c r="N6" i="22"/>
  <c r="N7" i="22"/>
  <c r="N8" i="22"/>
  <c r="N9" i="22"/>
  <c r="N10" i="22"/>
  <c r="N11" i="22"/>
  <c r="X11" i="22" s="1"/>
  <c r="N12" i="22"/>
  <c r="X12" i="22" s="1"/>
  <c r="N13" i="22"/>
  <c r="X13" i="22" s="1"/>
  <c r="N14" i="22"/>
  <c r="X14" i="22" s="1"/>
  <c r="N15" i="22"/>
  <c r="N16" i="22"/>
  <c r="N17" i="22"/>
  <c r="N18" i="22"/>
  <c r="N19" i="22"/>
  <c r="N20" i="22"/>
  <c r="N21" i="22"/>
  <c r="N22" i="22"/>
  <c r="N23" i="22"/>
  <c r="X23" i="22" s="1"/>
  <c r="N24" i="22"/>
  <c r="X24" i="22" s="1"/>
  <c r="N25" i="22"/>
  <c r="X25" i="22" s="1"/>
  <c r="N26" i="22"/>
  <c r="X26" i="22" s="1"/>
  <c r="N27" i="22"/>
  <c r="N28" i="22"/>
  <c r="N29" i="22"/>
  <c r="N30" i="22"/>
  <c r="N31" i="22"/>
  <c r="N32" i="22"/>
  <c r="N33" i="22"/>
  <c r="N34" i="22"/>
  <c r="N35" i="22"/>
  <c r="X35" i="22" s="1"/>
  <c r="N36" i="22"/>
  <c r="X36" i="22" s="1"/>
  <c r="N37" i="22"/>
  <c r="X37" i="22" s="1"/>
  <c r="N2" i="22"/>
  <c r="X2" i="22" s="1"/>
  <c r="N3" i="21"/>
  <c r="N4" i="21"/>
  <c r="N5" i="21"/>
  <c r="N6" i="21"/>
  <c r="N7" i="21"/>
  <c r="N8" i="21"/>
  <c r="N9" i="21"/>
  <c r="N10" i="21"/>
  <c r="N11" i="21"/>
  <c r="X11" i="21" s="1"/>
  <c r="N12" i="21"/>
  <c r="X12" i="21" s="1"/>
  <c r="N13" i="21"/>
  <c r="X13" i="21" s="1"/>
  <c r="N14" i="21"/>
  <c r="X14" i="21" s="1"/>
  <c r="N15" i="21"/>
  <c r="N16" i="21"/>
  <c r="N17" i="21"/>
  <c r="N18" i="21"/>
  <c r="N19" i="21"/>
  <c r="N20" i="21"/>
  <c r="N21" i="21"/>
  <c r="N22" i="21"/>
  <c r="N23" i="21"/>
  <c r="X23" i="21" s="1"/>
  <c r="N24" i="21"/>
  <c r="X24" i="21" s="1"/>
  <c r="N25" i="21"/>
  <c r="X25" i="21" s="1"/>
  <c r="N26" i="21"/>
  <c r="X26" i="21" s="1"/>
  <c r="N27" i="21"/>
  <c r="N28" i="21"/>
  <c r="N29" i="21"/>
  <c r="N30" i="21"/>
  <c r="N31" i="21"/>
  <c r="N32" i="21"/>
  <c r="N33" i="21"/>
  <c r="N34" i="21"/>
  <c r="N35" i="21"/>
  <c r="X35" i="21" s="1"/>
  <c r="N36" i="21"/>
  <c r="X36" i="21" s="1"/>
  <c r="N37" i="21"/>
  <c r="X37" i="21" s="1"/>
  <c r="N2" i="21"/>
  <c r="X2" i="21" s="1"/>
  <c r="N3" i="20"/>
  <c r="N4" i="20"/>
  <c r="N5" i="20"/>
  <c r="N6" i="20"/>
  <c r="N7" i="20"/>
  <c r="N8" i="20"/>
  <c r="N9" i="20"/>
  <c r="N10" i="20"/>
  <c r="N11" i="20"/>
  <c r="X11" i="20" s="1"/>
  <c r="N12" i="20"/>
  <c r="X12" i="20" s="1"/>
  <c r="N13" i="20"/>
  <c r="X13" i="20" s="1"/>
  <c r="N14" i="20"/>
  <c r="X14" i="20" s="1"/>
  <c r="N15" i="20"/>
  <c r="N16" i="20"/>
  <c r="N17" i="20"/>
  <c r="N18" i="20"/>
  <c r="N19" i="20"/>
  <c r="N20" i="20"/>
  <c r="N21" i="20"/>
  <c r="N22" i="20"/>
  <c r="N23" i="20"/>
  <c r="X23" i="20" s="1"/>
  <c r="N24" i="20"/>
  <c r="X24" i="20" s="1"/>
  <c r="N25" i="20"/>
  <c r="X25" i="20" s="1"/>
  <c r="N26" i="20"/>
  <c r="X26" i="20" s="1"/>
  <c r="N27" i="20"/>
  <c r="N28" i="20"/>
  <c r="N29" i="20"/>
  <c r="N30" i="20"/>
  <c r="N31" i="20"/>
  <c r="N32" i="20"/>
  <c r="N33" i="20"/>
  <c r="N2" i="20"/>
  <c r="X2" i="20" s="1"/>
  <c r="N3" i="19"/>
  <c r="N4" i="19"/>
  <c r="N5" i="19"/>
  <c r="N6" i="19"/>
  <c r="N7" i="19"/>
  <c r="N8" i="19"/>
  <c r="N9" i="19"/>
  <c r="N10" i="19"/>
  <c r="N11" i="19"/>
  <c r="X11" i="19" s="1"/>
  <c r="N12" i="19"/>
  <c r="X12" i="19" s="1"/>
  <c r="N13" i="19"/>
  <c r="X13" i="19" s="1"/>
  <c r="N14" i="19"/>
  <c r="X14" i="19" s="1"/>
  <c r="N15" i="19"/>
  <c r="N16" i="19"/>
  <c r="N17" i="19"/>
  <c r="N18" i="19"/>
  <c r="N19" i="19"/>
  <c r="N20" i="19"/>
  <c r="N21" i="19"/>
  <c r="N22" i="19"/>
  <c r="N23" i="19"/>
  <c r="X23" i="19" s="1"/>
  <c r="N24" i="19"/>
  <c r="X24" i="19" s="1"/>
  <c r="N25" i="19"/>
  <c r="X25" i="19" s="1"/>
  <c r="N26" i="19"/>
  <c r="X26" i="19" s="1"/>
  <c r="N27" i="19"/>
  <c r="N28" i="19"/>
  <c r="N29" i="19"/>
  <c r="N30" i="19"/>
  <c r="N31" i="19"/>
  <c r="N32" i="19"/>
  <c r="N33" i="19"/>
  <c r="N2" i="19"/>
  <c r="N3" i="18"/>
  <c r="N4" i="18"/>
  <c r="N5" i="18"/>
  <c r="N6" i="18"/>
  <c r="N7" i="18"/>
  <c r="N8" i="18"/>
  <c r="N9" i="18"/>
  <c r="N10" i="18"/>
  <c r="N11" i="18"/>
  <c r="X11" i="18" s="1"/>
  <c r="N12" i="18"/>
  <c r="X12" i="18" s="1"/>
  <c r="N13" i="18"/>
  <c r="X13" i="18" s="1"/>
  <c r="N14" i="18"/>
  <c r="X14" i="18" s="1"/>
  <c r="N15" i="18"/>
  <c r="N16" i="18"/>
  <c r="N17" i="18"/>
  <c r="N18" i="18"/>
  <c r="N19" i="18"/>
  <c r="N20" i="18"/>
  <c r="N21" i="18"/>
  <c r="N22" i="18"/>
  <c r="N23" i="18"/>
  <c r="X23" i="18" s="1"/>
  <c r="N24" i="18"/>
  <c r="X24" i="18" s="1"/>
  <c r="N25" i="18"/>
  <c r="X25" i="18" s="1"/>
  <c r="N26" i="18"/>
  <c r="X26" i="18" s="1"/>
  <c r="N27" i="18"/>
  <c r="N28" i="18"/>
  <c r="N29" i="18"/>
  <c r="N30" i="18"/>
  <c r="N31" i="18"/>
  <c r="N32" i="18"/>
  <c r="N33" i="18"/>
  <c r="N34" i="18"/>
  <c r="N35" i="18"/>
  <c r="X35" i="18" s="1"/>
  <c r="N36" i="18"/>
  <c r="X36" i="18" s="1"/>
  <c r="N37" i="18"/>
  <c r="X37" i="18" s="1"/>
  <c r="N2" i="18"/>
  <c r="X2" i="18" s="1"/>
  <c r="X3" i="23"/>
  <c r="X4" i="23"/>
  <c r="X5" i="23"/>
  <c r="X6" i="23"/>
  <c r="X7" i="23"/>
  <c r="X8" i="23"/>
  <c r="X9" i="23"/>
  <c r="X10" i="23"/>
  <c r="X15" i="23"/>
  <c r="X16" i="23"/>
  <c r="X17" i="23"/>
  <c r="X18" i="23"/>
  <c r="X19" i="23"/>
  <c r="X20" i="23"/>
  <c r="X21" i="23"/>
  <c r="X22" i="23"/>
  <c r="X27" i="23"/>
  <c r="X28" i="23"/>
  <c r="X29" i="23"/>
  <c r="X30" i="23"/>
  <c r="X31" i="23"/>
  <c r="X32" i="23"/>
  <c r="X33" i="23"/>
  <c r="X34" i="23"/>
  <c r="X2" i="23"/>
  <c r="X3" i="22"/>
  <c r="X4" i="22"/>
  <c r="X5" i="22"/>
  <c r="X6" i="22"/>
  <c r="X7" i="22"/>
  <c r="X8" i="22"/>
  <c r="X9" i="22"/>
  <c r="X10" i="22"/>
  <c r="X15" i="22"/>
  <c r="X16" i="22"/>
  <c r="X17" i="22"/>
  <c r="X18" i="22"/>
  <c r="X19" i="22"/>
  <c r="X20" i="22"/>
  <c r="X21" i="22"/>
  <c r="X22" i="22"/>
  <c r="X27" i="22"/>
  <c r="X28" i="22"/>
  <c r="X29" i="22"/>
  <c r="X30" i="22"/>
  <c r="X31" i="22"/>
  <c r="X32" i="22"/>
  <c r="X33" i="22"/>
  <c r="X34" i="22"/>
  <c r="X3" i="21"/>
  <c r="X4" i="21"/>
  <c r="X5" i="21"/>
  <c r="X6" i="21"/>
  <c r="X7" i="21"/>
  <c r="X8" i="21"/>
  <c r="X9" i="21"/>
  <c r="X10" i="21"/>
  <c r="X15" i="21"/>
  <c r="X16" i="21"/>
  <c r="X17" i="21"/>
  <c r="X18" i="21"/>
  <c r="X19" i="21"/>
  <c r="X20" i="21"/>
  <c r="X21" i="21"/>
  <c r="X22" i="21"/>
  <c r="X27" i="21"/>
  <c r="X28" i="21"/>
  <c r="X29" i="21"/>
  <c r="X30" i="21"/>
  <c r="X31" i="21"/>
  <c r="X32" i="21"/>
  <c r="X33" i="21"/>
  <c r="X34" i="21"/>
  <c r="X3" i="20"/>
  <c r="X4" i="20"/>
  <c r="X5" i="20"/>
  <c r="X6" i="20"/>
  <c r="X7" i="20"/>
  <c r="X8" i="20"/>
  <c r="X9" i="20"/>
  <c r="X10" i="20"/>
  <c r="X15" i="20"/>
  <c r="X16" i="20"/>
  <c r="X17" i="20"/>
  <c r="X18" i="20"/>
  <c r="X19" i="20"/>
  <c r="X20" i="20"/>
  <c r="X21" i="20"/>
  <c r="X22" i="20"/>
  <c r="X27" i="20"/>
  <c r="X28" i="20"/>
  <c r="X29" i="20"/>
  <c r="X30" i="20"/>
  <c r="X31" i="20"/>
  <c r="X32" i="20"/>
  <c r="X33" i="20"/>
  <c r="X3" i="19"/>
  <c r="X4" i="19"/>
  <c r="X5" i="19"/>
  <c r="X6" i="19"/>
  <c r="X7" i="19"/>
  <c r="X8" i="19"/>
  <c r="X9" i="19"/>
  <c r="X10" i="19"/>
  <c r="X15" i="19"/>
  <c r="X16" i="19"/>
  <c r="X17" i="19"/>
  <c r="X18" i="19"/>
  <c r="X19" i="19"/>
  <c r="X20" i="19"/>
  <c r="X21" i="19"/>
  <c r="X22" i="19"/>
  <c r="X27" i="19"/>
  <c r="X28" i="19"/>
  <c r="X29" i="19"/>
  <c r="X30" i="19"/>
  <c r="X31" i="19"/>
  <c r="X32" i="19"/>
  <c r="X33" i="19"/>
  <c r="X2" i="19"/>
  <c r="X3" i="18"/>
  <c r="X4" i="18"/>
  <c r="X5" i="18"/>
  <c r="X6" i="18"/>
  <c r="X7" i="18"/>
  <c r="X8" i="18"/>
  <c r="X9" i="18"/>
  <c r="X10" i="18"/>
  <c r="X15" i="18"/>
  <c r="X16" i="18"/>
  <c r="X17" i="18"/>
  <c r="X18" i="18"/>
  <c r="X19" i="18"/>
  <c r="X20" i="18"/>
  <c r="X21" i="18"/>
  <c r="X22" i="18"/>
  <c r="X27" i="18"/>
  <c r="X28" i="18"/>
  <c r="X29" i="18"/>
  <c r="X30" i="18"/>
  <c r="X31" i="18"/>
  <c r="X32" i="18"/>
  <c r="X33" i="18"/>
  <c r="X34" i="18"/>
  <c r="W2" i="18"/>
  <c r="L7" i="16" l="1"/>
  <c r="F7" i="16"/>
  <c r="L6" i="16"/>
  <c r="F6" i="16"/>
  <c r="L5" i="16"/>
  <c r="F5" i="16"/>
  <c r="Y3" i="23"/>
  <c r="Y4" i="23"/>
  <c r="Y5" i="23"/>
  <c r="Y6" i="23"/>
  <c r="Y7" i="23"/>
  <c r="Y8" i="23"/>
  <c r="Y9" i="23"/>
  <c r="Y10" i="23"/>
  <c r="Y11" i="23"/>
  <c r="Y12" i="23"/>
  <c r="Y13" i="23"/>
  <c r="Y14" i="23"/>
  <c r="Y15" i="23"/>
  <c r="Y16" i="23"/>
  <c r="X41" i="23"/>
  <c r="Y17" i="23"/>
  <c r="Y18" i="23"/>
  <c r="Y19" i="23"/>
  <c r="Y20" i="23"/>
  <c r="Y21" i="23"/>
  <c r="Y22" i="23"/>
  <c r="Y23" i="23"/>
  <c r="Y24" i="23"/>
  <c r="Y25" i="23"/>
  <c r="Y26" i="23"/>
  <c r="Y27" i="23"/>
  <c r="Y28" i="23"/>
  <c r="Y29" i="23"/>
  <c r="Y30" i="23"/>
  <c r="Y31" i="23"/>
  <c r="Y32" i="23"/>
  <c r="Y33" i="23"/>
  <c r="Y34" i="23"/>
  <c r="Y35" i="23"/>
  <c r="Y36" i="23"/>
  <c r="Y37" i="23"/>
  <c r="Y2" i="23"/>
  <c r="Y3" i="22"/>
  <c r="Y4" i="22"/>
  <c r="Y5" i="22"/>
  <c r="Y6" i="22"/>
  <c r="Y7" i="22"/>
  <c r="Y8" i="22"/>
  <c r="Y9" i="22"/>
  <c r="Y10" i="22"/>
  <c r="Y11" i="22"/>
  <c r="Y12" i="22"/>
  <c r="Y13" i="22"/>
  <c r="Y14" i="22"/>
  <c r="Y15" i="22"/>
  <c r="X41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36" i="22"/>
  <c r="Y37" i="22"/>
  <c r="Y2" i="22"/>
  <c r="Y3" i="2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X40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2" i="21"/>
  <c r="Y3" i="20"/>
  <c r="Y4" i="20"/>
  <c r="Y5" i="20"/>
  <c r="Y6" i="20"/>
  <c r="Y7" i="20"/>
  <c r="Y8" i="20"/>
  <c r="Y9" i="20"/>
  <c r="Y10" i="20"/>
  <c r="Y11" i="20"/>
  <c r="Y12" i="20"/>
  <c r="Y13" i="20"/>
  <c r="Y14" i="20"/>
  <c r="Y15" i="20"/>
  <c r="Y16" i="20"/>
  <c r="Y17" i="20"/>
  <c r="Y18" i="20"/>
  <c r="Y19" i="20"/>
  <c r="Y20" i="20"/>
  <c r="Y21" i="20"/>
  <c r="X37" i="20"/>
  <c r="Y22" i="20"/>
  <c r="Y23" i="20"/>
  <c r="Y24" i="20"/>
  <c r="Y25" i="20"/>
  <c r="Y26" i="20"/>
  <c r="Y27" i="20"/>
  <c r="Y28" i="20"/>
  <c r="Y29" i="20"/>
  <c r="Y30" i="20"/>
  <c r="Y31" i="20"/>
  <c r="Y32" i="20"/>
  <c r="Y33" i="20"/>
  <c r="Y2" i="20"/>
  <c r="Y3" i="19"/>
  <c r="Y4" i="19"/>
  <c r="Y5" i="19"/>
  <c r="Y6" i="19"/>
  <c r="Y7" i="19"/>
  <c r="Y8" i="19"/>
  <c r="Y9" i="19"/>
  <c r="Y10" i="19"/>
  <c r="Y11" i="19"/>
  <c r="Y12" i="19"/>
  <c r="Y13" i="19"/>
  <c r="Y14" i="19"/>
  <c r="Y15" i="19"/>
  <c r="Y16" i="19"/>
  <c r="Y17" i="19"/>
  <c r="Y18" i="19"/>
  <c r="Y19" i="19"/>
  <c r="Y20" i="19"/>
  <c r="X38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2" i="19"/>
  <c r="Y3" i="18"/>
  <c r="Y4" i="18"/>
  <c r="Y5" i="18"/>
  <c r="Y6" i="18"/>
  <c r="Y7" i="18"/>
  <c r="Y8" i="18"/>
  <c r="Y10" i="18"/>
  <c r="Y13" i="18"/>
  <c r="Y14" i="18"/>
  <c r="Y15" i="18"/>
  <c r="Y16" i="18"/>
  <c r="Y17" i="18"/>
  <c r="Y18" i="18"/>
  <c r="Y19" i="18"/>
  <c r="Y20" i="18"/>
  <c r="Y22" i="18"/>
  <c r="Y25" i="18"/>
  <c r="Y26" i="18"/>
  <c r="Y27" i="18"/>
  <c r="Y28" i="18"/>
  <c r="Y29" i="18"/>
  <c r="Y30" i="18"/>
  <c r="Y31" i="18"/>
  <c r="Y32" i="18"/>
  <c r="Y34" i="18"/>
  <c r="Y37" i="18"/>
  <c r="Y9" i="18"/>
  <c r="Y11" i="18"/>
  <c r="Y12" i="18"/>
  <c r="Y21" i="18"/>
  <c r="X41" i="18"/>
  <c r="Y23" i="18"/>
  <c r="Y24" i="18"/>
  <c r="Y33" i="18"/>
  <c r="Y35" i="18"/>
  <c r="Y36" i="18"/>
  <c r="Y2" i="18"/>
  <c r="W3" i="23"/>
  <c r="W4" i="23"/>
  <c r="W5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37" i="23"/>
  <c r="W2" i="23"/>
  <c r="W3" i="22"/>
  <c r="W4" i="22"/>
  <c r="W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2" i="22"/>
  <c r="W3" i="21"/>
  <c r="W4" i="21"/>
  <c r="W5" i="21"/>
  <c r="W6" i="21"/>
  <c r="W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W2" i="21"/>
  <c r="W3" i="20"/>
  <c r="W4" i="20"/>
  <c r="W5" i="20"/>
  <c r="W6" i="20"/>
  <c r="W7" i="20"/>
  <c r="W8" i="20"/>
  <c r="W9" i="20"/>
  <c r="W10" i="20"/>
  <c r="W11" i="20"/>
  <c r="W12" i="20"/>
  <c r="W13" i="20"/>
  <c r="W14" i="20"/>
  <c r="W15" i="20"/>
  <c r="W16" i="20"/>
  <c r="W17" i="20"/>
  <c r="W18" i="20"/>
  <c r="W19" i="20"/>
  <c r="W20" i="20"/>
  <c r="W21" i="20"/>
  <c r="W22" i="20"/>
  <c r="W23" i="20"/>
  <c r="W24" i="20"/>
  <c r="W25" i="20"/>
  <c r="W26" i="20"/>
  <c r="W27" i="20"/>
  <c r="W28" i="20"/>
  <c r="W29" i="20"/>
  <c r="W30" i="20"/>
  <c r="W31" i="20"/>
  <c r="W32" i="20"/>
  <c r="W33" i="20"/>
  <c r="W2" i="20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2" i="19"/>
  <c r="W3" i="18"/>
  <c r="W4" i="18"/>
  <c r="W5" i="18"/>
  <c r="W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B34" i="23"/>
  <c r="D34" i="23"/>
  <c r="E34" i="23" s="1"/>
  <c r="G34" i="23"/>
  <c r="I34" i="23"/>
  <c r="L34" i="23"/>
  <c r="M34" i="23"/>
  <c r="Q34" i="23"/>
  <c r="S34" i="23"/>
  <c r="B35" i="23"/>
  <c r="D35" i="23"/>
  <c r="E35" i="23" s="1"/>
  <c r="G35" i="23"/>
  <c r="I35" i="23"/>
  <c r="J35" i="23" s="1"/>
  <c r="L35" i="23"/>
  <c r="M35" i="23"/>
  <c r="Q35" i="23"/>
  <c r="S35" i="23"/>
  <c r="B36" i="23"/>
  <c r="D36" i="23"/>
  <c r="E36" i="23" s="1"/>
  <c r="J36" i="23" s="1"/>
  <c r="G36" i="23"/>
  <c r="I36" i="23"/>
  <c r="L36" i="23"/>
  <c r="M36" i="23"/>
  <c r="Q36" i="23"/>
  <c r="S36" i="23"/>
  <c r="B37" i="23"/>
  <c r="D37" i="23"/>
  <c r="E37" i="23"/>
  <c r="J37" i="23" s="1"/>
  <c r="G37" i="23"/>
  <c r="I37" i="23"/>
  <c r="L37" i="23"/>
  <c r="M37" i="23"/>
  <c r="Q37" i="23"/>
  <c r="S37" i="23"/>
  <c r="Q34" i="22"/>
  <c r="S34" i="22"/>
  <c r="Q35" i="22"/>
  <c r="S35" i="22"/>
  <c r="T35" i="22"/>
  <c r="Q36" i="22"/>
  <c r="S36" i="22"/>
  <c r="Q37" i="22"/>
  <c r="S37" i="22"/>
  <c r="L34" i="22"/>
  <c r="M34" i="22"/>
  <c r="L35" i="22"/>
  <c r="M35" i="22"/>
  <c r="L36" i="22"/>
  <c r="M36" i="22"/>
  <c r="L37" i="22"/>
  <c r="T37" i="22" s="1"/>
  <c r="M37" i="22"/>
  <c r="B34" i="22"/>
  <c r="D34" i="22"/>
  <c r="E34" i="22"/>
  <c r="G34" i="22"/>
  <c r="I34" i="22"/>
  <c r="J34" i="22"/>
  <c r="B35" i="22"/>
  <c r="D35" i="22"/>
  <c r="E35" i="22"/>
  <c r="G35" i="22"/>
  <c r="I35" i="22"/>
  <c r="J35" i="22"/>
  <c r="B36" i="22"/>
  <c r="D36" i="22"/>
  <c r="E36" i="22"/>
  <c r="G36" i="22"/>
  <c r="I36" i="22"/>
  <c r="J36" i="22"/>
  <c r="B37" i="22"/>
  <c r="D37" i="22"/>
  <c r="E37" i="22"/>
  <c r="G37" i="22"/>
  <c r="I37" i="22"/>
  <c r="J37" i="22"/>
  <c r="S33" i="23"/>
  <c r="Q33" i="23"/>
  <c r="M33" i="23"/>
  <c r="L33" i="23"/>
  <c r="I33" i="23"/>
  <c r="G33" i="23"/>
  <c r="D33" i="23"/>
  <c r="E33" i="23" s="1"/>
  <c r="B33" i="23"/>
  <c r="S32" i="23"/>
  <c r="Q32" i="23"/>
  <c r="M32" i="23"/>
  <c r="L32" i="23"/>
  <c r="I32" i="23"/>
  <c r="G32" i="23"/>
  <c r="D32" i="23"/>
  <c r="E32" i="23" s="1"/>
  <c r="B32" i="23"/>
  <c r="S31" i="23"/>
  <c r="Q31" i="23"/>
  <c r="M31" i="23"/>
  <c r="L31" i="23"/>
  <c r="I31" i="23"/>
  <c r="J31" i="23" s="1"/>
  <c r="G31" i="23"/>
  <c r="D31" i="23"/>
  <c r="E31" i="23" s="1"/>
  <c r="B31" i="23"/>
  <c r="S30" i="23"/>
  <c r="Q30" i="23"/>
  <c r="M30" i="23"/>
  <c r="L30" i="23"/>
  <c r="I30" i="23"/>
  <c r="G30" i="23"/>
  <c r="D30" i="23"/>
  <c r="E30" i="23" s="1"/>
  <c r="B30" i="23"/>
  <c r="S29" i="23"/>
  <c r="Q29" i="23"/>
  <c r="M29" i="23"/>
  <c r="L29" i="23"/>
  <c r="I29" i="23"/>
  <c r="G29" i="23"/>
  <c r="D29" i="23"/>
  <c r="E29" i="23" s="1"/>
  <c r="B29" i="23"/>
  <c r="S28" i="23"/>
  <c r="Q28" i="23"/>
  <c r="M28" i="23"/>
  <c r="L28" i="23"/>
  <c r="T28" i="23" s="1"/>
  <c r="I28" i="23"/>
  <c r="G28" i="23"/>
  <c r="D28" i="23"/>
  <c r="E28" i="23" s="1"/>
  <c r="B28" i="23"/>
  <c r="S27" i="23"/>
  <c r="Q27" i="23"/>
  <c r="M27" i="23"/>
  <c r="L27" i="23"/>
  <c r="I27" i="23"/>
  <c r="G27" i="23"/>
  <c r="D27" i="23"/>
  <c r="E27" i="23" s="1"/>
  <c r="B27" i="23"/>
  <c r="S26" i="23"/>
  <c r="Q26" i="23"/>
  <c r="M26" i="23"/>
  <c r="L26" i="23"/>
  <c r="I26" i="23"/>
  <c r="G26" i="23"/>
  <c r="D26" i="23"/>
  <c r="E26" i="23" s="1"/>
  <c r="B26" i="23"/>
  <c r="S25" i="23"/>
  <c r="Q25" i="23"/>
  <c r="M25" i="23"/>
  <c r="L25" i="23"/>
  <c r="I25" i="23"/>
  <c r="J25" i="23" s="1"/>
  <c r="G25" i="23"/>
  <c r="D25" i="23"/>
  <c r="E25" i="23" s="1"/>
  <c r="B25" i="23"/>
  <c r="S24" i="23"/>
  <c r="Q24" i="23"/>
  <c r="M24" i="23"/>
  <c r="L24" i="23"/>
  <c r="T24" i="23" s="1"/>
  <c r="I24" i="23"/>
  <c r="G24" i="23"/>
  <c r="D24" i="23"/>
  <c r="E24" i="23" s="1"/>
  <c r="B24" i="23"/>
  <c r="S23" i="23"/>
  <c r="Q23" i="23"/>
  <c r="M23" i="23"/>
  <c r="L23" i="23"/>
  <c r="I23" i="23"/>
  <c r="G23" i="23"/>
  <c r="D23" i="23"/>
  <c r="E23" i="23" s="1"/>
  <c r="B23" i="23"/>
  <c r="S22" i="23"/>
  <c r="T22" i="23" s="1"/>
  <c r="Q22" i="23"/>
  <c r="M22" i="23"/>
  <c r="L22" i="23"/>
  <c r="I22" i="23"/>
  <c r="G22" i="23"/>
  <c r="D22" i="23"/>
  <c r="E22" i="23" s="1"/>
  <c r="B22" i="23"/>
  <c r="S21" i="23"/>
  <c r="Q21" i="23"/>
  <c r="M21" i="23"/>
  <c r="L21" i="23"/>
  <c r="I21" i="23"/>
  <c r="G21" i="23"/>
  <c r="D21" i="23"/>
  <c r="E21" i="23" s="1"/>
  <c r="B21" i="23"/>
  <c r="S20" i="23"/>
  <c r="Q20" i="23"/>
  <c r="M20" i="23"/>
  <c r="L20" i="23"/>
  <c r="T20" i="23" s="1"/>
  <c r="I20" i="23"/>
  <c r="G20" i="23"/>
  <c r="D20" i="23"/>
  <c r="E20" i="23" s="1"/>
  <c r="B20" i="23"/>
  <c r="S19" i="23"/>
  <c r="Q19" i="23"/>
  <c r="M19" i="23"/>
  <c r="L19" i="23"/>
  <c r="I19" i="23"/>
  <c r="G19" i="23"/>
  <c r="D19" i="23"/>
  <c r="E19" i="23" s="1"/>
  <c r="B19" i="23"/>
  <c r="S18" i="23"/>
  <c r="Q18" i="23"/>
  <c r="M18" i="23"/>
  <c r="L18" i="23"/>
  <c r="I18" i="23"/>
  <c r="G18" i="23"/>
  <c r="D18" i="23"/>
  <c r="E18" i="23" s="1"/>
  <c r="B18" i="23"/>
  <c r="S17" i="23"/>
  <c r="Q17" i="23"/>
  <c r="M17" i="23"/>
  <c r="L17" i="23"/>
  <c r="T17" i="23" s="1"/>
  <c r="I17" i="23"/>
  <c r="G17" i="23"/>
  <c r="D17" i="23"/>
  <c r="E17" i="23" s="1"/>
  <c r="B17" i="23"/>
  <c r="S16" i="23"/>
  <c r="Q16" i="23"/>
  <c r="M16" i="23"/>
  <c r="L16" i="23"/>
  <c r="T16" i="23" s="1"/>
  <c r="I16" i="23"/>
  <c r="G16" i="23"/>
  <c r="D16" i="23"/>
  <c r="E16" i="23" s="1"/>
  <c r="B16" i="23"/>
  <c r="S15" i="23"/>
  <c r="Q15" i="23"/>
  <c r="M15" i="23"/>
  <c r="L15" i="23"/>
  <c r="I15" i="23"/>
  <c r="G15" i="23"/>
  <c r="D15" i="23"/>
  <c r="E15" i="23" s="1"/>
  <c r="B15" i="23"/>
  <c r="S14" i="23"/>
  <c r="Q14" i="23"/>
  <c r="M14" i="23"/>
  <c r="L14" i="23"/>
  <c r="I14" i="23"/>
  <c r="G14" i="23"/>
  <c r="D14" i="23"/>
  <c r="E14" i="23" s="1"/>
  <c r="B14" i="23"/>
  <c r="S13" i="23"/>
  <c r="Q13" i="23"/>
  <c r="M13" i="23"/>
  <c r="L13" i="23"/>
  <c r="I13" i="23"/>
  <c r="G13" i="23"/>
  <c r="D13" i="23"/>
  <c r="E13" i="23" s="1"/>
  <c r="B13" i="23"/>
  <c r="S12" i="23"/>
  <c r="Q12" i="23"/>
  <c r="M12" i="23"/>
  <c r="L12" i="23"/>
  <c r="I12" i="23"/>
  <c r="G12" i="23"/>
  <c r="D12" i="23"/>
  <c r="E12" i="23" s="1"/>
  <c r="B12" i="23"/>
  <c r="S11" i="23"/>
  <c r="Q11" i="23"/>
  <c r="M11" i="23"/>
  <c r="L11" i="23"/>
  <c r="I11" i="23"/>
  <c r="G11" i="23"/>
  <c r="D11" i="23"/>
  <c r="E11" i="23" s="1"/>
  <c r="B11" i="23"/>
  <c r="S10" i="23"/>
  <c r="Q10" i="23"/>
  <c r="M10" i="23"/>
  <c r="L10" i="23"/>
  <c r="I10" i="23"/>
  <c r="G10" i="23"/>
  <c r="D10" i="23"/>
  <c r="E10" i="23" s="1"/>
  <c r="B10" i="23"/>
  <c r="S9" i="23"/>
  <c r="Q9" i="23"/>
  <c r="M9" i="23"/>
  <c r="L9" i="23"/>
  <c r="I9" i="23"/>
  <c r="J9" i="23" s="1"/>
  <c r="G9" i="23"/>
  <c r="D9" i="23"/>
  <c r="E9" i="23" s="1"/>
  <c r="B9" i="23"/>
  <c r="S8" i="23"/>
  <c r="Q8" i="23"/>
  <c r="M8" i="23"/>
  <c r="L8" i="23"/>
  <c r="T8" i="23" s="1"/>
  <c r="I8" i="23"/>
  <c r="G8" i="23"/>
  <c r="D8" i="23"/>
  <c r="E8" i="23" s="1"/>
  <c r="B8" i="23"/>
  <c r="S7" i="23"/>
  <c r="Q7" i="23"/>
  <c r="M7" i="23"/>
  <c r="L7" i="23"/>
  <c r="I7" i="23"/>
  <c r="G7" i="23"/>
  <c r="D7" i="23"/>
  <c r="E7" i="23" s="1"/>
  <c r="B7" i="23"/>
  <c r="S6" i="23"/>
  <c r="Q6" i="23"/>
  <c r="M6" i="23"/>
  <c r="L6" i="23"/>
  <c r="I6" i="23"/>
  <c r="G6" i="23"/>
  <c r="D6" i="23"/>
  <c r="E6" i="23" s="1"/>
  <c r="B6" i="23"/>
  <c r="S5" i="23"/>
  <c r="Q5" i="23"/>
  <c r="M5" i="23"/>
  <c r="L5" i="23"/>
  <c r="I5" i="23"/>
  <c r="G5" i="23"/>
  <c r="D5" i="23"/>
  <c r="E5" i="23" s="1"/>
  <c r="B5" i="23"/>
  <c r="S4" i="23"/>
  <c r="Q4" i="23"/>
  <c r="M4" i="23"/>
  <c r="L4" i="23"/>
  <c r="I4" i="23"/>
  <c r="G4" i="23"/>
  <c r="D4" i="23"/>
  <c r="E4" i="23" s="1"/>
  <c r="B4" i="23"/>
  <c r="S3" i="23"/>
  <c r="Q3" i="23"/>
  <c r="M3" i="23"/>
  <c r="L3" i="23"/>
  <c r="I3" i="23"/>
  <c r="G3" i="23"/>
  <c r="D3" i="23"/>
  <c r="E3" i="23" s="1"/>
  <c r="B3" i="23"/>
  <c r="S2" i="23"/>
  <c r="Q2" i="23"/>
  <c r="M2" i="23"/>
  <c r="L2" i="23"/>
  <c r="I2" i="23"/>
  <c r="G2" i="23"/>
  <c r="D2" i="23"/>
  <c r="E2" i="23" s="1"/>
  <c r="B2" i="23"/>
  <c r="S33" i="22"/>
  <c r="Q33" i="22"/>
  <c r="M33" i="22"/>
  <c r="L33" i="22"/>
  <c r="I33" i="22"/>
  <c r="G33" i="22"/>
  <c r="D33" i="22"/>
  <c r="E33" i="22" s="1"/>
  <c r="B33" i="22"/>
  <c r="S32" i="22"/>
  <c r="Q32" i="22"/>
  <c r="M32" i="22"/>
  <c r="L32" i="22"/>
  <c r="T32" i="22" s="1"/>
  <c r="I32" i="22"/>
  <c r="G32" i="22"/>
  <c r="D32" i="22"/>
  <c r="E32" i="22" s="1"/>
  <c r="B32" i="22"/>
  <c r="S31" i="22"/>
  <c r="Q31" i="22"/>
  <c r="M31" i="22"/>
  <c r="L31" i="22"/>
  <c r="I31" i="22"/>
  <c r="J31" i="22" s="1"/>
  <c r="G31" i="22"/>
  <c r="D31" i="22"/>
  <c r="E31" i="22" s="1"/>
  <c r="B31" i="22"/>
  <c r="S30" i="22"/>
  <c r="Q30" i="22"/>
  <c r="M30" i="22"/>
  <c r="L30" i="22"/>
  <c r="T30" i="22" s="1"/>
  <c r="I30" i="22"/>
  <c r="G30" i="22"/>
  <c r="D30" i="22"/>
  <c r="E30" i="22" s="1"/>
  <c r="B30" i="22"/>
  <c r="S29" i="22"/>
  <c r="Q29" i="22"/>
  <c r="M29" i="22"/>
  <c r="L29" i="22"/>
  <c r="I29" i="22"/>
  <c r="G29" i="22"/>
  <c r="D29" i="22"/>
  <c r="E29" i="22" s="1"/>
  <c r="B29" i="22"/>
  <c r="S28" i="22"/>
  <c r="Q28" i="22"/>
  <c r="M28" i="22"/>
  <c r="L28" i="22"/>
  <c r="I28" i="22"/>
  <c r="G28" i="22"/>
  <c r="D28" i="22"/>
  <c r="E28" i="22" s="1"/>
  <c r="B28" i="22"/>
  <c r="S27" i="22"/>
  <c r="Q27" i="22"/>
  <c r="M27" i="22"/>
  <c r="L27" i="22"/>
  <c r="I27" i="22"/>
  <c r="G27" i="22"/>
  <c r="D27" i="22"/>
  <c r="E27" i="22" s="1"/>
  <c r="B27" i="22"/>
  <c r="S26" i="22"/>
  <c r="Q26" i="22"/>
  <c r="M26" i="22"/>
  <c r="L26" i="22"/>
  <c r="T26" i="22" s="1"/>
  <c r="I26" i="22"/>
  <c r="G26" i="22"/>
  <c r="D26" i="22"/>
  <c r="E26" i="22" s="1"/>
  <c r="B26" i="22"/>
  <c r="S25" i="22"/>
  <c r="Q25" i="22"/>
  <c r="M25" i="22"/>
  <c r="L25" i="22"/>
  <c r="I25" i="22"/>
  <c r="G25" i="22"/>
  <c r="D25" i="22"/>
  <c r="E25" i="22" s="1"/>
  <c r="B25" i="22"/>
  <c r="S24" i="22"/>
  <c r="Q24" i="22"/>
  <c r="M24" i="22"/>
  <c r="L24" i="22"/>
  <c r="I24" i="22"/>
  <c r="G24" i="22"/>
  <c r="D24" i="22"/>
  <c r="E24" i="22" s="1"/>
  <c r="B24" i="22"/>
  <c r="S23" i="22"/>
  <c r="Q23" i="22"/>
  <c r="M23" i="22"/>
  <c r="L23" i="22"/>
  <c r="T23" i="22" s="1"/>
  <c r="I23" i="22"/>
  <c r="G23" i="22"/>
  <c r="D23" i="22"/>
  <c r="E23" i="22" s="1"/>
  <c r="B23" i="22"/>
  <c r="S22" i="22"/>
  <c r="Q22" i="22"/>
  <c r="M22" i="22"/>
  <c r="L22" i="22"/>
  <c r="T22" i="22" s="1"/>
  <c r="I22" i="22"/>
  <c r="J22" i="22" s="1"/>
  <c r="G22" i="22"/>
  <c r="D22" i="22"/>
  <c r="E22" i="22" s="1"/>
  <c r="B22" i="22"/>
  <c r="S21" i="22"/>
  <c r="Q21" i="22"/>
  <c r="M21" i="22"/>
  <c r="L21" i="22"/>
  <c r="I21" i="22"/>
  <c r="G21" i="22"/>
  <c r="D21" i="22"/>
  <c r="E21" i="22" s="1"/>
  <c r="B21" i="22"/>
  <c r="S20" i="22"/>
  <c r="Q20" i="22"/>
  <c r="M20" i="22"/>
  <c r="L20" i="22"/>
  <c r="I20" i="22"/>
  <c r="G20" i="22"/>
  <c r="D20" i="22"/>
  <c r="E20" i="22" s="1"/>
  <c r="B20" i="22"/>
  <c r="S19" i="22"/>
  <c r="Q19" i="22"/>
  <c r="M19" i="22"/>
  <c r="L19" i="22"/>
  <c r="T19" i="22" s="1"/>
  <c r="I19" i="22"/>
  <c r="G19" i="22"/>
  <c r="D19" i="22"/>
  <c r="E19" i="22" s="1"/>
  <c r="B19" i="22"/>
  <c r="S18" i="22"/>
  <c r="Q18" i="22"/>
  <c r="M18" i="22"/>
  <c r="L18" i="22"/>
  <c r="T18" i="22" s="1"/>
  <c r="I18" i="22"/>
  <c r="G18" i="22"/>
  <c r="D18" i="22"/>
  <c r="E18" i="22" s="1"/>
  <c r="B18" i="22"/>
  <c r="S17" i="22"/>
  <c r="Q17" i="22"/>
  <c r="M17" i="22"/>
  <c r="L17" i="22"/>
  <c r="I17" i="22"/>
  <c r="G17" i="22"/>
  <c r="D17" i="22"/>
  <c r="E17" i="22" s="1"/>
  <c r="B17" i="22"/>
  <c r="S16" i="22"/>
  <c r="Q16" i="22"/>
  <c r="M16" i="22"/>
  <c r="L16" i="22"/>
  <c r="I16" i="22"/>
  <c r="G16" i="22"/>
  <c r="D16" i="22"/>
  <c r="E16" i="22" s="1"/>
  <c r="B16" i="22"/>
  <c r="S15" i="22"/>
  <c r="Q15" i="22"/>
  <c r="M15" i="22"/>
  <c r="L15" i="22"/>
  <c r="I15" i="22"/>
  <c r="J15" i="22" s="1"/>
  <c r="G15" i="22"/>
  <c r="D15" i="22"/>
  <c r="E15" i="22" s="1"/>
  <c r="B15" i="22"/>
  <c r="S14" i="22"/>
  <c r="Q14" i="22"/>
  <c r="M14" i="22"/>
  <c r="L14" i="22"/>
  <c r="I14" i="22"/>
  <c r="G14" i="22"/>
  <c r="D14" i="22"/>
  <c r="E14" i="22" s="1"/>
  <c r="B14" i="22"/>
  <c r="S13" i="22"/>
  <c r="Q13" i="22"/>
  <c r="M13" i="22"/>
  <c r="L13" i="22"/>
  <c r="T13" i="22" s="1"/>
  <c r="I13" i="22"/>
  <c r="G13" i="22"/>
  <c r="D13" i="22"/>
  <c r="E13" i="22" s="1"/>
  <c r="B13" i="22"/>
  <c r="S12" i="22"/>
  <c r="Q12" i="22"/>
  <c r="M12" i="22"/>
  <c r="L12" i="22"/>
  <c r="I12" i="22"/>
  <c r="G12" i="22"/>
  <c r="D12" i="22"/>
  <c r="E12" i="22" s="1"/>
  <c r="B12" i="22"/>
  <c r="S11" i="22"/>
  <c r="Q11" i="22"/>
  <c r="M11" i="22"/>
  <c r="L11" i="22"/>
  <c r="T11" i="22" s="1"/>
  <c r="I11" i="22"/>
  <c r="J11" i="22" s="1"/>
  <c r="G11" i="22"/>
  <c r="D11" i="22"/>
  <c r="E11" i="22" s="1"/>
  <c r="B11" i="22"/>
  <c r="S10" i="22"/>
  <c r="Q10" i="22"/>
  <c r="M10" i="22"/>
  <c r="L10" i="22"/>
  <c r="T10" i="22" s="1"/>
  <c r="I10" i="22"/>
  <c r="G10" i="22"/>
  <c r="D10" i="22"/>
  <c r="E10" i="22" s="1"/>
  <c r="B10" i="22"/>
  <c r="S9" i="22"/>
  <c r="Q9" i="22"/>
  <c r="M9" i="22"/>
  <c r="L9" i="22"/>
  <c r="I9" i="22"/>
  <c r="G9" i="22"/>
  <c r="D9" i="22"/>
  <c r="E9" i="22" s="1"/>
  <c r="B9" i="22"/>
  <c r="S8" i="22"/>
  <c r="Q8" i="22"/>
  <c r="M8" i="22"/>
  <c r="L8" i="22"/>
  <c r="I8" i="22"/>
  <c r="G8" i="22"/>
  <c r="D8" i="22"/>
  <c r="E8" i="22" s="1"/>
  <c r="B8" i="22"/>
  <c r="S7" i="22"/>
  <c r="Q7" i="22"/>
  <c r="M7" i="22"/>
  <c r="L7" i="22"/>
  <c r="I7" i="22"/>
  <c r="G7" i="22"/>
  <c r="D7" i="22"/>
  <c r="E7" i="22" s="1"/>
  <c r="B7" i="22"/>
  <c r="S6" i="22"/>
  <c r="Q6" i="22"/>
  <c r="M6" i="22"/>
  <c r="L6" i="22"/>
  <c r="I6" i="22"/>
  <c r="G6" i="22"/>
  <c r="E6" i="22"/>
  <c r="D6" i="22"/>
  <c r="B6" i="22"/>
  <c r="S5" i="22"/>
  <c r="Q5" i="22"/>
  <c r="M5" i="22"/>
  <c r="L5" i="22"/>
  <c r="I5" i="22"/>
  <c r="G5" i="22"/>
  <c r="D5" i="22"/>
  <c r="E5" i="22" s="1"/>
  <c r="B5" i="22"/>
  <c r="S4" i="22"/>
  <c r="Q4" i="22"/>
  <c r="M4" i="22"/>
  <c r="L4" i="22"/>
  <c r="I4" i="22"/>
  <c r="G4" i="22"/>
  <c r="D4" i="22"/>
  <c r="E4" i="22" s="1"/>
  <c r="B4" i="22"/>
  <c r="S3" i="22"/>
  <c r="Q3" i="22"/>
  <c r="M3" i="22"/>
  <c r="L3" i="22"/>
  <c r="I3" i="22"/>
  <c r="G3" i="22"/>
  <c r="D3" i="22"/>
  <c r="E3" i="22" s="1"/>
  <c r="B3" i="22"/>
  <c r="S2" i="22"/>
  <c r="Q2" i="22"/>
  <c r="M2" i="22"/>
  <c r="L2" i="22"/>
  <c r="T2" i="22" s="1"/>
  <c r="I2" i="22"/>
  <c r="J2" i="22" s="1"/>
  <c r="G2" i="22"/>
  <c r="D2" i="22"/>
  <c r="E2" i="22" s="1"/>
  <c r="B2" i="22"/>
  <c r="S37" i="21"/>
  <c r="Q37" i="21"/>
  <c r="M37" i="21"/>
  <c r="L37" i="21"/>
  <c r="I37" i="21"/>
  <c r="G37" i="21"/>
  <c r="D37" i="21"/>
  <c r="E37" i="21" s="1"/>
  <c r="J37" i="21" s="1"/>
  <c r="B37" i="21"/>
  <c r="S36" i="21"/>
  <c r="Q36" i="21"/>
  <c r="M36" i="21"/>
  <c r="L36" i="21"/>
  <c r="T36" i="21" s="1"/>
  <c r="I36" i="21"/>
  <c r="G36" i="21"/>
  <c r="D36" i="21"/>
  <c r="E36" i="21" s="1"/>
  <c r="B36" i="21"/>
  <c r="S35" i="21"/>
  <c r="Q35" i="21"/>
  <c r="M35" i="21"/>
  <c r="L35" i="21"/>
  <c r="I35" i="21"/>
  <c r="G35" i="21"/>
  <c r="D35" i="21"/>
  <c r="E35" i="21" s="1"/>
  <c r="B35" i="21"/>
  <c r="S34" i="21"/>
  <c r="Q34" i="21"/>
  <c r="M34" i="21"/>
  <c r="L34" i="21"/>
  <c r="I34" i="21"/>
  <c r="G34" i="21"/>
  <c r="D34" i="21"/>
  <c r="E34" i="21" s="1"/>
  <c r="B34" i="21"/>
  <c r="S33" i="21"/>
  <c r="Q33" i="21"/>
  <c r="M33" i="21"/>
  <c r="L33" i="21"/>
  <c r="I33" i="21"/>
  <c r="G33" i="21"/>
  <c r="D33" i="21"/>
  <c r="E33" i="21" s="1"/>
  <c r="B33" i="21"/>
  <c r="S32" i="21"/>
  <c r="Q32" i="21"/>
  <c r="M32" i="21"/>
  <c r="L32" i="21"/>
  <c r="T32" i="21" s="1"/>
  <c r="I32" i="21"/>
  <c r="G32" i="21"/>
  <c r="D32" i="21"/>
  <c r="E32" i="21" s="1"/>
  <c r="B32" i="21"/>
  <c r="S31" i="21"/>
  <c r="Q31" i="21"/>
  <c r="M31" i="21"/>
  <c r="L31" i="21"/>
  <c r="I31" i="21"/>
  <c r="G31" i="21"/>
  <c r="D31" i="21"/>
  <c r="E31" i="21" s="1"/>
  <c r="B31" i="21"/>
  <c r="S30" i="21"/>
  <c r="Q30" i="21"/>
  <c r="M30" i="21"/>
  <c r="L30" i="21"/>
  <c r="I30" i="21"/>
  <c r="G30" i="21"/>
  <c r="D30" i="21"/>
  <c r="E30" i="21" s="1"/>
  <c r="B30" i="21"/>
  <c r="S29" i="21"/>
  <c r="Q29" i="21"/>
  <c r="M29" i="21"/>
  <c r="L29" i="21"/>
  <c r="I29" i="21"/>
  <c r="G29" i="21"/>
  <c r="D29" i="21"/>
  <c r="E29" i="21" s="1"/>
  <c r="B29" i="21"/>
  <c r="S28" i="21"/>
  <c r="Q28" i="21"/>
  <c r="M28" i="21"/>
  <c r="L28" i="21"/>
  <c r="T28" i="21" s="1"/>
  <c r="I28" i="21"/>
  <c r="G28" i="21"/>
  <c r="E28" i="21"/>
  <c r="D28" i="21"/>
  <c r="B28" i="21"/>
  <c r="S27" i="21"/>
  <c r="Q27" i="21"/>
  <c r="M27" i="21"/>
  <c r="L27" i="21"/>
  <c r="I27" i="21"/>
  <c r="G27" i="21"/>
  <c r="D27" i="21"/>
  <c r="E27" i="21" s="1"/>
  <c r="B27" i="21"/>
  <c r="S26" i="21"/>
  <c r="Q26" i="21"/>
  <c r="M26" i="21"/>
  <c r="L26" i="21"/>
  <c r="I26" i="21"/>
  <c r="G26" i="21"/>
  <c r="D26" i="21"/>
  <c r="E26" i="21" s="1"/>
  <c r="B26" i="21"/>
  <c r="S25" i="21"/>
  <c r="Q25" i="21"/>
  <c r="M25" i="21"/>
  <c r="L25" i="21"/>
  <c r="I25" i="21"/>
  <c r="G25" i="21"/>
  <c r="D25" i="21"/>
  <c r="E25" i="21" s="1"/>
  <c r="J25" i="21" s="1"/>
  <c r="B25" i="21"/>
  <c r="S24" i="21"/>
  <c r="Q24" i="21"/>
  <c r="M24" i="21"/>
  <c r="L24" i="21"/>
  <c r="T24" i="21" s="1"/>
  <c r="I24" i="21"/>
  <c r="G24" i="21"/>
  <c r="D24" i="21"/>
  <c r="E24" i="21" s="1"/>
  <c r="B24" i="21"/>
  <c r="S23" i="21"/>
  <c r="Q23" i="21"/>
  <c r="M23" i="21"/>
  <c r="L23" i="21"/>
  <c r="I23" i="21"/>
  <c r="G23" i="21"/>
  <c r="D23" i="21"/>
  <c r="E23" i="21" s="1"/>
  <c r="B23" i="21"/>
  <c r="S22" i="21"/>
  <c r="Q22" i="21"/>
  <c r="M22" i="21"/>
  <c r="L22" i="21"/>
  <c r="T22" i="21" s="1"/>
  <c r="I22" i="21"/>
  <c r="G22" i="21"/>
  <c r="D22" i="21"/>
  <c r="E22" i="21" s="1"/>
  <c r="B22" i="21"/>
  <c r="S21" i="21"/>
  <c r="Q21" i="21"/>
  <c r="M21" i="21"/>
  <c r="L21" i="21"/>
  <c r="I21" i="21"/>
  <c r="G21" i="21"/>
  <c r="D21" i="21"/>
  <c r="E21" i="21" s="1"/>
  <c r="J21" i="21" s="1"/>
  <c r="B21" i="21"/>
  <c r="S20" i="21"/>
  <c r="Q20" i="21"/>
  <c r="M20" i="21"/>
  <c r="L20" i="21"/>
  <c r="T20" i="21" s="1"/>
  <c r="I20" i="21"/>
  <c r="J20" i="21" s="1"/>
  <c r="G20" i="21"/>
  <c r="E20" i="21"/>
  <c r="D20" i="21"/>
  <c r="B20" i="21"/>
  <c r="S19" i="21"/>
  <c r="Q19" i="21"/>
  <c r="M19" i="21"/>
  <c r="L19" i="21"/>
  <c r="I19" i="21"/>
  <c r="G19" i="21"/>
  <c r="D19" i="21"/>
  <c r="E19" i="21" s="1"/>
  <c r="B19" i="21"/>
  <c r="S18" i="21"/>
  <c r="Q18" i="21"/>
  <c r="M18" i="21"/>
  <c r="L18" i="21"/>
  <c r="I18" i="21"/>
  <c r="G18" i="21"/>
  <c r="D18" i="21"/>
  <c r="E18" i="21" s="1"/>
  <c r="B18" i="21"/>
  <c r="S17" i="21"/>
  <c r="T17" i="21" s="1"/>
  <c r="Q17" i="21"/>
  <c r="M17" i="21"/>
  <c r="L17" i="21"/>
  <c r="I17" i="21"/>
  <c r="G17" i="21"/>
  <c r="D17" i="21"/>
  <c r="E17" i="21" s="1"/>
  <c r="J17" i="21" s="1"/>
  <c r="B17" i="21"/>
  <c r="S16" i="21"/>
  <c r="Q16" i="21"/>
  <c r="M16" i="21"/>
  <c r="L16" i="21"/>
  <c r="T16" i="21" s="1"/>
  <c r="I16" i="21"/>
  <c r="G16" i="21"/>
  <c r="D16" i="21"/>
  <c r="E16" i="21" s="1"/>
  <c r="B16" i="21"/>
  <c r="S15" i="21"/>
  <c r="Q15" i="21"/>
  <c r="M15" i="21"/>
  <c r="L15" i="21"/>
  <c r="I15" i="21"/>
  <c r="G15" i="21"/>
  <c r="D15" i="21"/>
  <c r="E15" i="21" s="1"/>
  <c r="B15" i="21"/>
  <c r="S14" i="21"/>
  <c r="Q14" i="21"/>
  <c r="M14" i="21"/>
  <c r="L14" i="21"/>
  <c r="T14" i="21" s="1"/>
  <c r="I14" i="21"/>
  <c r="G14" i="21"/>
  <c r="D14" i="21"/>
  <c r="E14" i="21" s="1"/>
  <c r="B14" i="21"/>
  <c r="S13" i="21"/>
  <c r="Q13" i="21"/>
  <c r="M13" i="21"/>
  <c r="L13" i="21"/>
  <c r="I13" i="21"/>
  <c r="G13" i="21"/>
  <c r="D13" i="21"/>
  <c r="E13" i="21" s="1"/>
  <c r="J13" i="21" s="1"/>
  <c r="B13" i="21"/>
  <c r="S12" i="21"/>
  <c r="Q12" i="21"/>
  <c r="M12" i="21"/>
  <c r="L12" i="21"/>
  <c r="I12" i="21"/>
  <c r="G12" i="21"/>
  <c r="D12" i="21"/>
  <c r="E12" i="21" s="1"/>
  <c r="B12" i="21"/>
  <c r="S11" i="21"/>
  <c r="Q11" i="21"/>
  <c r="M11" i="21"/>
  <c r="L11" i="21"/>
  <c r="I11" i="21"/>
  <c r="G11" i="21"/>
  <c r="D11" i="21"/>
  <c r="E11" i="21" s="1"/>
  <c r="B11" i="21"/>
  <c r="S10" i="21"/>
  <c r="Q10" i="21"/>
  <c r="M10" i="21"/>
  <c r="L10" i="21"/>
  <c r="I10" i="21"/>
  <c r="G10" i="21"/>
  <c r="D10" i="21"/>
  <c r="E10" i="21" s="1"/>
  <c r="B10" i="21"/>
  <c r="S9" i="21"/>
  <c r="Q9" i="21"/>
  <c r="M9" i="21"/>
  <c r="L9" i="21"/>
  <c r="I9" i="21"/>
  <c r="G9" i="21"/>
  <c r="D9" i="21"/>
  <c r="E9" i="21" s="1"/>
  <c r="J9" i="21" s="1"/>
  <c r="B9" i="21"/>
  <c r="S8" i="21"/>
  <c r="Q8" i="21"/>
  <c r="M8" i="21"/>
  <c r="L8" i="21"/>
  <c r="I8" i="21"/>
  <c r="G8" i="21"/>
  <c r="D8" i="21"/>
  <c r="E8" i="21" s="1"/>
  <c r="B8" i="21"/>
  <c r="S7" i="21"/>
  <c r="Q7" i="21"/>
  <c r="M7" i="21"/>
  <c r="L7" i="21"/>
  <c r="I7" i="21"/>
  <c r="G7" i="21"/>
  <c r="D7" i="21"/>
  <c r="E7" i="21" s="1"/>
  <c r="B7" i="21"/>
  <c r="S6" i="21"/>
  <c r="Q6" i="21"/>
  <c r="M6" i="21"/>
  <c r="L6" i="21"/>
  <c r="I6" i="21"/>
  <c r="G6" i="21"/>
  <c r="D6" i="21"/>
  <c r="E6" i="21" s="1"/>
  <c r="B6" i="21"/>
  <c r="S5" i="21"/>
  <c r="Q5" i="21"/>
  <c r="M5" i="21"/>
  <c r="L5" i="21"/>
  <c r="I5" i="21"/>
  <c r="G5" i="21"/>
  <c r="D5" i="21"/>
  <c r="E5" i="21" s="1"/>
  <c r="J5" i="21" s="1"/>
  <c r="B5" i="21"/>
  <c r="S4" i="21"/>
  <c r="Q4" i="21"/>
  <c r="M4" i="21"/>
  <c r="L4" i="21"/>
  <c r="I4" i="21"/>
  <c r="G4" i="21"/>
  <c r="D4" i="21"/>
  <c r="E4" i="21" s="1"/>
  <c r="B4" i="21"/>
  <c r="S3" i="21"/>
  <c r="Q3" i="21"/>
  <c r="M3" i="21"/>
  <c r="L3" i="21"/>
  <c r="I3" i="21"/>
  <c r="G3" i="21"/>
  <c r="D3" i="21"/>
  <c r="E3" i="21" s="1"/>
  <c r="B3" i="21"/>
  <c r="S2" i="21"/>
  <c r="Q2" i="21"/>
  <c r="M2" i="21"/>
  <c r="L2" i="21"/>
  <c r="I2" i="21"/>
  <c r="G2" i="21"/>
  <c r="D2" i="21"/>
  <c r="E2" i="21" s="1"/>
  <c r="B2" i="21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2" i="20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2" i="19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2" i="18"/>
  <c r="S37" i="18"/>
  <c r="L37" i="18"/>
  <c r="M37" i="18"/>
  <c r="D37" i="18"/>
  <c r="E37" i="18" s="1"/>
  <c r="G37" i="18"/>
  <c r="I37" i="18"/>
  <c r="J37" i="18" s="1"/>
  <c r="B37" i="18"/>
  <c r="S33" i="20"/>
  <c r="M33" i="20"/>
  <c r="L33" i="20"/>
  <c r="I33" i="20"/>
  <c r="G33" i="20"/>
  <c r="D33" i="20"/>
  <c r="E33" i="20" s="1"/>
  <c r="J33" i="20" s="1"/>
  <c r="B33" i="20"/>
  <c r="S32" i="20"/>
  <c r="M32" i="20"/>
  <c r="L32" i="20"/>
  <c r="I32" i="20"/>
  <c r="G32" i="20"/>
  <c r="D32" i="20"/>
  <c r="E32" i="20" s="1"/>
  <c r="B32" i="20"/>
  <c r="S31" i="20"/>
  <c r="M31" i="20"/>
  <c r="L31" i="20"/>
  <c r="I31" i="20"/>
  <c r="G31" i="20"/>
  <c r="D31" i="20"/>
  <c r="E31" i="20" s="1"/>
  <c r="B31" i="20"/>
  <c r="S30" i="20"/>
  <c r="M30" i="20"/>
  <c r="L30" i="20"/>
  <c r="I30" i="20"/>
  <c r="G30" i="20"/>
  <c r="D30" i="20"/>
  <c r="E30" i="20" s="1"/>
  <c r="B30" i="20"/>
  <c r="S29" i="20"/>
  <c r="M29" i="20"/>
  <c r="L29" i="20"/>
  <c r="T29" i="20" s="1"/>
  <c r="I29" i="20"/>
  <c r="G29" i="20"/>
  <c r="D29" i="20"/>
  <c r="E29" i="20" s="1"/>
  <c r="J29" i="20" s="1"/>
  <c r="B29" i="20"/>
  <c r="S28" i="20"/>
  <c r="M28" i="20"/>
  <c r="L28" i="20"/>
  <c r="I28" i="20"/>
  <c r="G28" i="20"/>
  <c r="D28" i="20"/>
  <c r="E28" i="20" s="1"/>
  <c r="B28" i="20"/>
  <c r="S27" i="20"/>
  <c r="M27" i="20"/>
  <c r="L27" i="20"/>
  <c r="I27" i="20"/>
  <c r="G27" i="20"/>
  <c r="D27" i="20"/>
  <c r="E27" i="20" s="1"/>
  <c r="B27" i="20"/>
  <c r="S26" i="20"/>
  <c r="M26" i="20"/>
  <c r="L26" i="20"/>
  <c r="I26" i="20"/>
  <c r="G26" i="20"/>
  <c r="D26" i="20"/>
  <c r="E26" i="20" s="1"/>
  <c r="B26" i="20"/>
  <c r="S25" i="20"/>
  <c r="M25" i="20"/>
  <c r="L25" i="20"/>
  <c r="I25" i="20"/>
  <c r="G25" i="20"/>
  <c r="D25" i="20"/>
  <c r="E25" i="20" s="1"/>
  <c r="J25" i="20" s="1"/>
  <c r="B25" i="20"/>
  <c r="S24" i="20"/>
  <c r="M24" i="20"/>
  <c r="L24" i="20"/>
  <c r="I24" i="20"/>
  <c r="G24" i="20"/>
  <c r="E24" i="20"/>
  <c r="D24" i="20"/>
  <c r="B24" i="20"/>
  <c r="S23" i="20"/>
  <c r="M23" i="20"/>
  <c r="L23" i="20"/>
  <c r="T23" i="20" s="1"/>
  <c r="I23" i="20"/>
  <c r="G23" i="20"/>
  <c r="D23" i="20"/>
  <c r="E23" i="20" s="1"/>
  <c r="B23" i="20"/>
  <c r="S22" i="20"/>
  <c r="T22" i="20" s="1"/>
  <c r="M22" i="20"/>
  <c r="L22" i="20"/>
  <c r="I22" i="20"/>
  <c r="G22" i="20"/>
  <c r="D22" i="20"/>
  <c r="E22" i="20" s="1"/>
  <c r="B22" i="20"/>
  <c r="S21" i="20"/>
  <c r="M21" i="20"/>
  <c r="L21" i="20"/>
  <c r="I21" i="20"/>
  <c r="G21" i="20"/>
  <c r="D21" i="20"/>
  <c r="E21" i="20" s="1"/>
  <c r="B21" i="20"/>
  <c r="S20" i="20"/>
  <c r="M20" i="20"/>
  <c r="L20" i="20"/>
  <c r="I20" i="20"/>
  <c r="G20" i="20"/>
  <c r="D20" i="20"/>
  <c r="E20" i="20" s="1"/>
  <c r="B20" i="20"/>
  <c r="S19" i="20"/>
  <c r="M19" i="20"/>
  <c r="L19" i="20"/>
  <c r="T19" i="20" s="1"/>
  <c r="I19" i="20"/>
  <c r="G19" i="20"/>
  <c r="D19" i="20"/>
  <c r="E19" i="20" s="1"/>
  <c r="B19" i="20"/>
  <c r="S18" i="20"/>
  <c r="M18" i="20"/>
  <c r="L18" i="20"/>
  <c r="I18" i="20"/>
  <c r="J18" i="20" s="1"/>
  <c r="G18" i="20"/>
  <c r="D18" i="20"/>
  <c r="E18" i="20" s="1"/>
  <c r="B18" i="20"/>
  <c r="S17" i="20"/>
  <c r="M17" i="20"/>
  <c r="L17" i="20"/>
  <c r="T17" i="20" s="1"/>
  <c r="I17" i="20"/>
  <c r="G17" i="20"/>
  <c r="D17" i="20"/>
  <c r="E17" i="20" s="1"/>
  <c r="J17" i="20" s="1"/>
  <c r="B17" i="20"/>
  <c r="S16" i="20"/>
  <c r="M16" i="20"/>
  <c r="L16" i="20"/>
  <c r="I16" i="20"/>
  <c r="G16" i="20"/>
  <c r="D16" i="20"/>
  <c r="E16" i="20" s="1"/>
  <c r="B16" i="20"/>
  <c r="S15" i="20"/>
  <c r="M15" i="20"/>
  <c r="L15" i="20"/>
  <c r="I15" i="20"/>
  <c r="G15" i="20"/>
  <c r="D15" i="20"/>
  <c r="E15" i="20" s="1"/>
  <c r="B15" i="20"/>
  <c r="S14" i="20"/>
  <c r="M14" i="20"/>
  <c r="L14" i="20"/>
  <c r="I14" i="20"/>
  <c r="G14" i="20"/>
  <c r="D14" i="20"/>
  <c r="E14" i="20" s="1"/>
  <c r="B14" i="20"/>
  <c r="S13" i="20"/>
  <c r="M13" i="20"/>
  <c r="L13" i="20"/>
  <c r="T13" i="20" s="1"/>
  <c r="I13" i="20"/>
  <c r="G13" i="20"/>
  <c r="D13" i="20"/>
  <c r="E13" i="20" s="1"/>
  <c r="J13" i="20" s="1"/>
  <c r="B13" i="20"/>
  <c r="S12" i="20"/>
  <c r="M12" i="20"/>
  <c r="L12" i="20"/>
  <c r="I12" i="20"/>
  <c r="G12" i="20"/>
  <c r="D12" i="20"/>
  <c r="E12" i="20" s="1"/>
  <c r="B12" i="20"/>
  <c r="S11" i="20"/>
  <c r="M11" i="20"/>
  <c r="L11" i="20"/>
  <c r="T11" i="20" s="1"/>
  <c r="I11" i="20"/>
  <c r="G11" i="20"/>
  <c r="D11" i="20"/>
  <c r="E11" i="20" s="1"/>
  <c r="B11" i="20"/>
  <c r="S10" i="20"/>
  <c r="M10" i="20"/>
  <c r="L10" i="20"/>
  <c r="I10" i="20"/>
  <c r="G10" i="20"/>
  <c r="D10" i="20"/>
  <c r="E10" i="20" s="1"/>
  <c r="B10" i="20"/>
  <c r="S9" i="20"/>
  <c r="M9" i="20"/>
  <c r="L9" i="20"/>
  <c r="I9" i="20"/>
  <c r="G9" i="20"/>
  <c r="D9" i="20"/>
  <c r="E9" i="20" s="1"/>
  <c r="J9" i="20" s="1"/>
  <c r="B9" i="20"/>
  <c r="S8" i="20"/>
  <c r="M8" i="20"/>
  <c r="L8" i="20"/>
  <c r="I8" i="20"/>
  <c r="G8" i="20"/>
  <c r="E8" i="20"/>
  <c r="D8" i="20"/>
  <c r="B8" i="20"/>
  <c r="S7" i="20"/>
  <c r="M7" i="20"/>
  <c r="L7" i="20"/>
  <c r="I7" i="20"/>
  <c r="G7" i="20"/>
  <c r="D7" i="20"/>
  <c r="E7" i="20" s="1"/>
  <c r="B7" i="20"/>
  <c r="S6" i="20"/>
  <c r="M6" i="20"/>
  <c r="L6" i="20"/>
  <c r="I6" i="20"/>
  <c r="G6" i="20"/>
  <c r="D6" i="20"/>
  <c r="E6" i="20" s="1"/>
  <c r="B6" i="20"/>
  <c r="S5" i="20"/>
  <c r="M5" i="20"/>
  <c r="L5" i="20"/>
  <c r="I5" i="20"/>
  <c r="G5" i="20"/>
  <c r="D5" i="20"/>
  <c r="E5" i="20" s="1"/>
  <c r="B5" i="20"/>
  <c r="S4" i="20"/>
  <c r="M4" i="20"/>
  <c r="L4" i="20"/>
  <c r="I4" i="20"/>
  <c r="G4" i="20"/>
  <c r="D4" i="20"/>
  <c r="E4" i="20" s="1"/>
  <c r="B4" i="20"/>
  <c r="S3" i="20"/>
  <c r="M3" i="20"/>
  <c r="L3" i="20"/>
  <c r="I3" i="20"/>
  <c r="G3" i="20"/>
  <c r="D3" i="20"/>
  <c r="E3" i="20" s="1"/>
  <c r="B3" i="20"/>
  <c r="S2" i="20"/>
  <c r="M2" i="20"/>
  <c r="L2" i="20"/>
  <c r="I2" i="20"/>
  <c r="G2" i="20"/>
  <c r="D2" i="20"/>
  <c r="E2" i="20" s="1"/>
  <c r="B2" i="20"/>
  <c r="S33" i="19"/>
  <c r="M33" i="19"/>
  <c r="L33" i="19"/>
  <c r="I33" i="19"/>
  <c r="G33" i="19"/>
  <c r="D33" i="19"/>
  <c r="E33" i="19" s="1"/>
  <c r="B33" i="19"/>
  <c r="S32" i="19"/>
  <c r="M32" i="19"/>
  <c r="L32" i="19"/>
  <c r="I32" i="19"/>
  <c r="G32" i="19"/>
  <c r="D32" i="19"/>
  <c r="E32" i="19" s="1"/>
  <c r="B32" i="19"/>
  <c r="S31" i="19"/>
  <c r="M31" i="19"/>
  <c r="L31" i="19"/>
  <c r="T31" i="19" s="1"/>
  <c r="I31" i="19"/>
  <c r="G31" i="19"/>
  <c r="D31" i="19"/>
  <c r="E31" i="19" s="1"/>
  <c r="B31" i="19"/>
  <c r="S30" i="19"/>
  <c r="M30" i="19"/>
  <c r="L30" i="19"/>
  <c r="I30" i="19"/>
  <c r="G30" i="19"/>
  <c r="D30" i="19"/>
  <c r="E30" i="19" s="1"/>
  <c r="B30" i="19"/>
  <c r="S29" i="19"/>
  <c r="M29" i="19"/>
  <c r="L29" i="19"/>
  <c r="I29" i="19"/>
  <c r="G29" i="19"/>
  <c r="D29" i="19"/>
  <c r="E29" i="19" s="1"/>
  <c r="B29" i="19"/>
  <c r="S28" i="19"/>
  <c r="M28" i="19"/>
  <c r="L28" i="19"/>
  <c r="I28" i="19"/>
  <c r="G28" i="19"/>
  <c r="D28" i="19"/>
  <c r="E28" i="19" s="1"/>
  <c r="B28" i="19"/>
  <c r="S27" i="19"/>
  <c r="M27" i="19"/>
  <c r="L27" i="19"/>
  <c r="I27" i="19"/>
  <c r="G27" i="19"/>
  <c r="D27" i="19"/>
  <c r="E27" i="19" s="1"/>
  <c r="B27" i="19"/>
  <c r="S26" i="19"/>
  <c r="M26" i="19"/>
  <c r="L26" i="19"/>
  <c r="I26" i="19"/>
  <c r="G26" i="19"/>
  <c r="D26" i="19"/>
  <c r="E26" i="19" s="1"/>
  <c r="B26" i="19"/>
  <c r="S25" i="19"/>
  <c r="M25" i="19"/>
  <c r="L25" i="19"/>
  <c r="I25" i="19"/>
  <c r="G25" i="19"/>
  <c r="D25" i="19"/>
  <c r="E25" i="19" s="1"/>
  <c r="B25" i="19"/>
  <c r="S24" i="19"/>
  <c r="M24" i="19"/>
  <c r="L24" i="19"/>
  <c r="I24" i="19"/>
  <c r="G24" i="19"/>
  <c r="D24" i="19"/>
  <c r="E24" i="19" s="1"/>
  <c r="B24" i="19"/>
  <c r="S23" i="19"/>
  <c r="M23" i="19"/>
  <c r="L23" i="19"/>
  <c r="I23" i="19"/>
  <c r="G23" i="19"/>
  <c r="D23" i="19"/>
  <c r="E23" i="19" s="1"/>
  <c r="B23" i="19"/>
  <c r="S22" i="19"/>
  <c r="M22" i="19"/>
  <c r="L22" i="19"/>
  <c r="I22" i="19"/>
  <c r="G22" i="19"/>
  <c r="D22" i="19"/>
  <c r="E22" i="19" s="1"/>
  <c r="B22" i="19"/>
  <c r="S21" i="19"/>
  <c r="M21" i="19"/>
  <c r="L21" i="19"/>
  <c r="I21" i="19"/>
  <c r="G21" i="19"/>
  <c r="D21" i="19"/>
  <c r="E21" i="19" s="1"/>
  <c r="B21" i="19"/>
  <c r="S20" i="19"/>
  <c r="M20" i="19"/>
  <c r="L20" i="19"/>
  <c r="I20" i="19"/>
  <c r="G20" i="19"/>
  <c r="D20" i="19"/>
  <c r="E20" i="19" s="1"/>
  <c r="B20" i="19"/>
  <c r="S19" i="19"/>
  <c r="M19" i="19"/>
  <c r="L19" i="19"/>
  <c r="I19" i="19"/>
  <c r="G19" i="19"/>
  <c r="D19" i="19"/>
  <c r="E19" i="19" s="1"/>
  <c r="B19" i="19"/>
  <c r="S18" i="19"/>
  <c r="M18" i="19"/>
  <c r="L18" i="19"/>
  <c r="I18" i="19"/>
  <c r="G18" i="19"/>
  <c r="D18" i="19"/>
  <c r="E18" i="19" s="1"/>
  <c r="B18" i="19"/>
  <c r="S17" i="19"/>
  <c r="M17" i="19"/>
  <c r="L17" i="19"/>
  <c r="T17" i="19" s="1"/>
  <c r="I17" i="19"/>
  <c r="G17" i="19"/>
  <c r="D17" i="19"/>
  <c r="E17" i="19" s="1"/>
  <c r="B17" i="19"/>
  <c r="S16" i="19"/>
  <c r="M16" i="19"/>
  <c r="L16" i="19"/>
  <c r="I16" i="19"/>
  <c r="G16" i="19"/>
  <c r="D16" i="19"/>
  <c r="E16" i="19" s="1"/>
  <c r="B16" i="19"/>
  <c r="S15" i="19"/>
  <c r="M15" i="19"/>
  <c r="L15" i="19"/>
  <c r="I15" i="19"/>
  <c r="G15" i="19"/>
  <c r="D15" i="19"/>
  <c r="E15" i="19" s="1"/>
  <c r="B15" i="19"/>
  <c r="S14" i="19"/>
  <c r="M14" i="19"/>
  <c r="L14" i="19"/>
  <c r="I14" i="19"/>
  <c r="G14" i="19"/>
  <c r="D14" i="19"/>
  <c r="E14" i="19" s="1"/>
  <c r="B14" i="19"/>
  <c r="S13" i="19"/>
  <c r="M13" i="19"/>
  <c r="L13" i="19"/>
  <c r="I13" i="19"/>
  <c r="G13" i="19"/>
  <c r="D13" i="19"/>
  <c r="E13" i="19" s="1"/>
  <c r="B13" i="19"/>
  <c r="S12" i="19"/>
  <c r="M12" i="19"/>
  <c r="L12" i="19"/>
  <c r="I12" i="19"/>
  <c r="G12" i="19"/>
  <c r="D12" i="19"/>
  <c r="E12" i="19" s="1"/>
  <c r="B12" i="19"/>
  <c r="S11" i="19"/>
  <c r="M11" i="19"/>
  <c r="L11" i="19"/>
  <c r="I11" i="19"/>
  <c r="G11" i="19"/>
  <c r="D11" i="19"/>
  <c r="E11" i="19" s="1"/>
  <c r="B11" i="19"/>
  <c r="S10" i="19"/>
  <c r="M10" i="19"/>
  <c r="L10" i="19"/>
  <c r="I10" i="19"/>
  <c r="G10" i="19"/>
  <c r="D10" i="19"/>
  <c r="E10" i="19" s="1"/>
  <c r="B10" i="19"/>
  <c r="S9" i="19"/>
  <c r="M9" i="19"/>
  <c r="L9" i="19"/>
  <c r="I9" i="19"/>
  <c r="G9" i="19"/>
  <c r="D9" i="19"/>
  <c r="E9" i="19" s="1"/>
  <c r="B9" i="19"/>
  <c r="S8" i="19"/>
  <c r="M8" i="19"/>
  <c r="L8" i="19"/>
  <c r="I8" i="19"/>
  <c r="G8" i="19"/>
  <c r="D8" i="19"/>
  <c r="E8" i="19" s="1"/>
  <c r="B8" i="19"/>
  <c r="S7" i="19"/>
  <c r="M7" i="19"/>
  <c r="L7" i="19"/>
  <c r="I7" i="19"/>
  <c r="G7" i="19"/>
  <c r="D7" i="19"/>
  <c r="E7" i="19" s="1"/>
  <c r="B7" i="19"/>
  <c r="S6" i="19"/>
  <c r="M6" i="19"/>
  <c r="L6" i="19"/>
  <c r="I6" i="19"/>
  <c r="G6" i="19"/>
  <c r="D6" i="19"/>
  <c r="E6" i="19" s="1"/>
  <c r="B6" i="19"/>
  <c r="S5" i="19"/>
  <c r="M5" i="19"/>
  <c r="L5" i="19"/>
  <c r="T5" i="19" s="1"/>
  <c r="I5" i="19"/>
  <c r="G5" i="19"/>
  <c r="D5" i="19"/>
  <c r="E5" i="19" s="1"/>
  <c r="J5" i="19" s="1"/>
  <c r="B5" i="19"/>
  <c r="S4" i="19"/>
  <c r="M4" i="19"/>
  <c r="L4" i="19"/>
  <c r="I4" i="19"/>
  <c r="G4" i="19"/>
  <c r="D4" i="19"/>
  <c r="E4" i="19" s="1"/>
  <c r="B4" i="19"/>
  <c r="S3" i="19"/>
  <c r="M3" i="19"/>
  <c r="L3" i="19"/>
  <c r="I3" i="19"/>
  <c r="G3" i="19"/>
  <c r="D3" i="19"/>
  <c r="E3" i="19" s="1"/>
  <c r="B3" i="19"/>
  <c r="S2" i="19"/>
  <c r="M2" i="19"/>
  <c r="L2" i="19"/>
  <c r="I2" i="19"/>
  <c r="G2" i="19"/>
  <c r="D2" i="19"/>
  <c r="E2" i="19" s="1"/>
  <c r="B2" i="19"/>
  <c r="Y41" i="23" l="1"/>
  <c r="Y37" i="20"/>
  <c r="Y38" i="19"/>
  <c r="Y41" i="18"/>
  <c r="Y41" i="22"/>
  <c r="Y40" i="21"/>
  <c r="J34" i="23"/>
  <c r="J3" i="23"/>
  <c r="J7" i="23"/>
  <c r="J11" i="23"/>
  <c r="J15" i="23"/>
  <c r="J19" i="23"/>
  <c r="J23" i="23"/>
  <c r="J27" i="23"/>
  <c r="U35" i="23"/>
  <c r="V35" i="23" s="1"/>
  <c r="J4" i="23"/>
  <c r="J20" i="23"/>
  <c r="T36" i="23"/>
  <c r="T2" i="23"/>
  <c r="T6" i="23"/>
  <c r="T14" i="23"/>
  <c r="J26" i="22"/>
  <c r="T16" i="22"/>
  <c r="J23" i="22"/>
  <c r="J6" i="22"/>
  <c r="T8" i="22"/>
  <c r="T34" i="22"/>
  <c r="U34" i="22" s="1"/>
  <c r="V34" i="22" s="1"/>
  <c r="T3" i="22"/>
  <c r="J7" i="22"/>
  <c r="T24" i="22"/>
  <c r="J32" i="21"/>
  <c r="J36" i="21"/>
  <c r="J7" i="21"/>
  <c r="J12" i="21"/>
  <c r="U12" i="21" s="1"/>
  <c r="V12" i="21" s="1"/>
  <c r="J29" i="21"/>
  <c r="U29" i="21" s="1"/>
  <c r="V29" i="21" s="1"/>
  <c r="T30" i="21"/>
  <c r="J28" i="21"/>
  <c r="U28" i="21" s="1"/>
  <c r="V28" i="21" s="1"/>
  <c r="J3" i="21"/>
  <c r="J8" i="21"/>
  <c r="T12" i="21"/>
  <c r="J33" i="21"/>
  <c r="J24" i="21"/>
  <c r="J10" i="21"/>
  <c r="J4" i="21"/>
  <c r="J11" i="21"/>
  <c r="J16" i="21"/>
  <c r="J32" i="20"/>
  <c r="J4" i="20"/>
  <c r="T30" i="20"/>
  <c r="J5" i="20"/>
  <c r="T3" i="20"/>
  <c r="T9" i="20"/>
  <c r="J12" i="20"/>
  <c r="J21" i="20"/>
  <c r="T26" i="20"/>
  <c r="J8" i="20"/>
  <c r="J24" i="20"/>
  <c r="J20" i="20"/>
  <c r="J6" i="20"/>
  <c r="J16" i="20"/>
  <c r="T25" i="20"/>
  <c r="J28" i="20"/>
  <c r="J17" i="19"/>
  <c r="U17" i="19" s="1"/>
  <c r="J29" i="19"/>
  <c r="J14" i="19"/>
  <c r="J21" i="19"/>
  <c r="U21" i="19" s="1"/>
  <c r="J18" i="19"/>
  <c r="J22" i="19"/>
  <c r="T10" i="19"/>
  <c r="J25" i="19"/>
  <c r="U25" i="19" s="1"/>
  <c r="T29" i="19"/>
  <c r="J6" i="19"/>
  <c r="J9" i="19"/>
  <c r="U9" i="19" s="1"/>
  <c r="J30" i="19"/>
  <c r="J16" i="19"/>
  <c r="J4" i="19"/>
  <c r="J19" i="19"/>
  <c r="T13" i="23"/>
  <c r="T35" i="23"/>
  <c r="T30" i="23"/>
  <c r="U35" i="22"/>
  <c r="V35" i="22" s="1"/>
  <c r="T36" i="22"/>
  <c r="T29" i="21"/>
  <c r="T33" i="21"/>
  <c r="T18" i="21"/>
  <c r="U36" i="21"/>
  <c r="V36" i="21" s="1"/>
  <c r="T2" i="20"/>
  <c r="T27" i="20"/>
  <c r="T31" i="20"/>
  <c r="T37" i="18"/>
  <c r="T12" i="23"/>
  <c r="T4" i="23"/>
  <c r="T26" i="23"/>
  <c r="T18" i="23"/>
  <c r="T34" i="23"/>
  <c r="T10" i="23"/>
  <c r="T32" i="23"/>
  <c r="T21" i="23"/>
  <c r="U36" i="23"/>
  <c r="V36" i="23" s="1"/>
  <c r="T37" i="23"/>
  <c r="U37" i="22"/>
  <c r="V37" i="22" s="1"/>
  <c r="T28" i="22"/>
  <c r="T7" i="22"/>
  <c r="T14" i="22"/>
  <c r="T6" i="22"/>
  <c r="U36" i="22"/>
  <c r="V36" i="22" s="1"/>
  <c r="T17" i="22"/>
  <c r="T25" i="22"/>
  <c r="T9" i="22"/>
  <c r="T5" i="21"/>
  <c r="U5" i="21"/>
  <c r="V5" i="21" s="1"/>
  <c r="T2" i="21"/>
  <c r="T29" i="23"/>
  <c r="T9" i="23"/>
  <c r="T5" i="23"/>
  <c r="T25" i="23"/>
  <c r="T33" i="23"/>
  <c r="T5" i="22"/>
  <c r="T21" i="22"/>
  <c r="T29" i="22"/>
  <c r="T33" i="22"/>
  <c r="T26" i="21"/>
  <c r="T13" i="21"/>
  <c r="T25" i="21"/>
  <c r="T10" i="21"/>
  <c r="T9" i="21"/>
  <c r="T37" i="21"/>
  <c r="T6" i="21"/>
  <c r="T21" i="21"/>
  <c r="T34" i="21"/>
  <c r="J10" i="23"/>
  <c r="J26" i="23"/>
  <c r="J5" i="23"/>
  <c r="T11" i="23"/>
  <c r="J17" i="23"/>
  <c r="J2" i="23"/>
  <c r="T7" i="23"/>
  <c r="T23" i="23"/>
  <c r="J8" i="23"/>
  <c r="J13" i="23"/>
  <c r="J24" i="23"/>
  <c r="J30" i="23"/>
  <c r="T15" i="23"/>
  <c r="J32" i="23"/>
  <c r="J16" i="23"/>
  <c r="J21" i="23"/>
  <c r="J22" i="23"/>
  <c r="J33" i="23"/>
  <c r="T27" i="23"/>
  <c r="J28" i="23"/>
  <c r="J29" i="23"/>
  <c r="J14" i="23"/>
  <c r="T31" i="23"/>
  <c r="J6" i="23"/>
  <c r="J12" i="23"/>
  <c r="J18" i="23"/>
  <c r="T3" i="23"/>
  <c r="T19" i="23"/>
  <c r="U11" i="22"/>
  <c r="V11" i="22" s="1"/>
  <c r="J3" i="22"/>
  <c r="J14" i="22"/>
  <c r="J32" i="22"/>
  <c r="J27" i="22"/>
  <c r="T31" i="22"/>
  <c r="J5" i="22"/>
  <c r="J10" i="22"/>
  <c r="J12" i="22"/>
  <c r="J19" i="22"/>
  <c r="J9" i="22"/>
  <c r="T12" i="22"/>
  <c r="J18" i="22"/>
  <c r="T15" i="22"/>
  <c r="J28" i="22"/>
  <c r="J20" i="22"/>
  <c r="J30" i="22"/>
  <c r="J21" i="22"/>
  <c r="J33" i="22"/>
  <c r="J16" i="22"/>
  <c r="T27" i="22"/>
  <c r="J13" i="22"/>
  <c r="J4" i="22"/>
  <c r="J17" i="22"/>
  <c r="T20" i="22"/>
  <c r="J29" i="22"/>
  <c r="T4" i="22"/>
  <c r="J24" i="22"/>
  <c r="J8" i="22"/>
  <c r="J25" i="22"/>
  <c r="U20" i="21"/>
  <c r="V20" i="21" s="1"/>
  <c r="J2" i="21"/>
  <c r="J35" i="21"/>
  <c r="U17" i="21"/>
  <c r="V17" i="21" s="1"/>
  <c r="J19" i="21"/>
  <c r="J18" i="21"/>
  <c r="J26" i="21"/>
  <c r="J6" i="21"/>
  <c r="J23" i="21"/>
  <c r="T7" i="21"/>
  <c r="T11" i="21"/>
  <c r="T3" i="21"/>
  <c r="J27" i="21"/>
  <c r="J15" i="21"/>
  <c r="J31" i="21"/>
  <c r="T19" i="21"/>
  <c r="J14" i="21"/>
  <c r="T4" i="21"/>
  <c r="T8" i="21"/>
  <c r="T27" i="21"/>
  <c r="T35" i="21"/>
  <c r="J22" i="21"/>
  <c r="J30" i="21"/>
  <c r="T15" i="21"/>
  <c r="T23" i="21"/>
  <c r="T31" i="21"/>
  <c r="J34" i="21"/>
  <c r="T15" i="20"/>
  <c r="T33" i="20"/>
  <c r="T5" i="20"/>
  <c r="T7" i="20"/>
  <c r="T21" i="20"/>
  <c r="T21" i="19"/>
  <c r="T18" i="20"/>
  <c r="T14" i="20"/>
  <c r="T10" i="20"/>
  <c r="T6" i="20"/>
  <c r="U17" i="20"/>
  <c r="V17" i="20" s="1"/>
  <c r="J30" i="20"/>
  <c r="T4" i="20"/>
  <c r="T8" i="20"/>
  <c r="J26" i="20"/>
  <c r="J15" i="20"/>
  <c r="J11" i="20"/>
  <c r="J22" i="20"/>
  <c r="J31" i="20"/>
  <c r="J27" i="20"/>
  <c r="J23" i="20"/>
  <c r="J3" i="20"/>
  <c r="T32" i="20"/>
  <c r="J7" i="20"/>
  <c r="T28" i="20"/>
  <c r="T24" i="20"/>
  <c r="T20" i="20"/>
  <c r="T16" i="20"/>
  <c r="T12" i="20"/>
  <c r="J14" i="20"/>
  <c r="J2" i="20"/>
  <c r="J10" i="20"/>
  <c r="J19" i="20"/>
  <c r="T15" i="19"/>
  <c r="T27" i="19"/>
  <c r="T26" i="19"/>
  <c r="T13" i="19"/>
  <c r="T2" i="19"/>
  <c r="T3" i="19"/>
  <c r="T24" i="19"/>
  <c r="T11" i="19"/>
  <c r="T23" i="19"/>
  <c r="T22" i="19"/>
  <c r="T30" i="19"/>
  <c r="T8" i="19"/>
  <c r="T18" i="19"/>
  <c r="T20" i="19"/>
  <c r="T7" i="19"/>
  <c r="T19" i="19"/>
  <c r="T28" i="19"/>
  <c r="J13" i="19"/>
  <c r="T9" i="19"/>
  <c r="J12" i="19"/>
  <c r="T14" i="19"/>
  <c r="J2" i="19"/>
  <c r="T6" i="19"/>
  <c r="T25" i="19"/>
  <c r="J33" i="19"/>
  <c r="J20" i="19"/>
  <c r="T32" i="19"/>
  <c r="T33" i="19"/>
  <c r="T4" i="19"/>
  <c r="J26" i="19"/>
  <c r="U29" i="19"/>
  <c r="J7" i="19"/>
  <c r="U7" i="19" s="1"/>
  <c r="J23" i="19"/>
  <c r="J10" i="19"/>
  <c r="J27" i="19"/>
  <c r="J8" i="19"/>
  <c r="J24" i="19"/>
  <c r="J31" i="19"/>
  <c r="U31" i="19" s="1"/>
  <c r="T12" i="19"/>
  <c r="J28" i="19"/>
  <c r="U28" i="19" s="1"/>
  <c r="J11" i="19"/>
  <c r="T16" i="19"/>
  <c r="J32" i="19"/>
  <c r="J3" i="19"/>
  <c r="J15" i="19"/>
  <c r="L35" i="18"/>
  <c r="L28" i="18"/>
  <c r="L27" i="18"/>
  <c r="L26" i="18"/>
  <c r="L25" i="18"/>
  <c r="L22" i="18"/>
  <c r="L21" i="18"/>
  <c r="L20" i="18"/>
  <c r="L15" i="18"/>
  <c r="L14" i="18"/>
  <c r="L13" i="18"/>
  <c r="L8" i="18"/>
  <c r="T8" i="18" s="1"/>
  <c r="L7" i="18"/>
  <c r="L6" i="18"/>
  <c r="L5" i="18"/>
  <c r="L4" i="18"/>
  <c r="L2" i="18"/>
  <c r="S36" i="18"/>
  <c r="M36" i="18"/>
  <c r="L36" i="18"/>
  <c r="T36" i="18" s="1"/>
  <c r="I36" i="18"/>
  <c r="G36" i="18"/>
  <c r="D36" i="18"/>
  <c r="E36" i="18" s="1"/>
  <c r="B36" i="18"/>
  <c r="S35" i="18"/>
  <c r="M35" i="18"/>
  <c r="I35" i="18"/>
  <c r="G35" i="18"/>
  <c r="D35" i="18"/>
  <c r="E35" i="18" s="1"/>
  <c r="B35" i="18"/>
  <c r="S34" i="18"/>
  <c r="M34" i="18"/>
  <c r="L34" i="18"/>
  <c r="I34" i="18"/>
  <c r="G34" i="18"/>
  <c r="D34" i="18"/>
  <c r="E34" i="18" s="1"/>
  <c r="B34" i="18"/>
  <c r="S33" i="18"/>
  <c r="M33" i="18"/>
  <c r="L33" i="18"/>
  <c r="I33" i="18"/>
  <c r="G33" i="18"/>
  <c r="D33" i="18"/>
  <c r="E33" i="18" s="1"/>
  <c r="B33" i="18"/>
  <c r="S32" i="18"/>
  <c r="M32" i="18"/>
  <c r="L32" i="18"/>
  <c r="I32" i="18"/>
  <c r="G32" i="18"/>
  <c r="D32" i="18"/>
  <c r="E32" i="18" s="1"/>
  <c r="B32" i="18"/>
  <c r="S31" i="18"/>
  <c r="M31" i="18"/>
  <c r="L31" i="18"/>
  <c r="I31" i="18"/>
  <c r="G31" i="18"/>
  <c r="D31" i="18"/>
  <c r="E31" i="18" s="1"/>
  <c r="B31" i="18"/>
  <c r="S30" i="18"/>
  <c r="M30" i="18"/>
  <c r="L30" i="18"/>
  <c r="I30" i="18"/>
  <c r="G30" i="18"/>
  <c r="D30" i="18"/>
  <c r="E30" i="18" s="1"/>
  <c r="J30" i="18" s="1"/>
  <c r="B30" i="18"/>
  <c r="S29" i="18"/>
  <c r="M29" i="18"/>
  <c r="L29" i="18"/>
  <c r="I29" i="18"/>
  <c r="G29" i="18"/>
  <c r="D29" i="18"/>
  <c r="E29" i="18" s="1"/>
  <c r="B29" i="18"/>
  <c r="S28" i="18"/>
  <c r="M28" i="18"/>
  <c r="I28" i="18"/>
  <c r="G28" i="18"/>
  <c r="D28" i="18"/>
  <c r="E28" i="18" s="1"/>
  <c r="B28" i="18"/>
  <c r="S27" i="18"/>
  <c r="M27" i="18"/>
  <c r="I27" i="18"/>
  <c r="G27" i="18"/>
  <c r="D27" i="18"/>
  <c r="E27" i="18" s="1"/>
  <c r="B27" i="18"/>
  <c r="S26" i="18"/>
  <c r="M26" i="18"/>
  <c r="I26" i="18"/>
  <c r="G26" i="18"/>
  <c r="D26" i="18"/>
  <c r="E26" i="18" s="1"/>
  <c r="B26" i="18"/>
  <c r="S25" i="18"/>
  <c r="M25" i="18"/>
  <c r="I25" i="18"/>
  <c r="G25" i="18"/>
  <c r="D25" i="18"/>
  <c r="E25" i="18" s="1"/>
  <c r="B25" i="18"/>
  <c r="S24" i="18"/>
  <c r="M24" i="18"/>
  <c r="L24" i="18"/>
  <c r="I24" i="18"/>
  <c r="G24" i="18"/>
  <c r="D24" i="18"/>
  <c r="E24" i="18" s="1"/>
  <c r="B24" i="18"/>
  <c r="S23" i="18"/>
  <c r="M23" i="18"/>
  <c r="L23" i="18"/>
  <c r="I23" i="18"/>
  <c r="G23" i="18"/>
  <c r="D23" i="18"/>
  <c r="E23" i="18" s="1"/>
  <c r="B23" i="18"/>
  <c r="S22" i="18"/>
  <c r="M22" i="18"/>
  <c r="I22" i="18"/>
  <c r="G22" i="18"/>
  <c r="D22" i="18"/>
  <c r="E22" i="18" s="1"/>
  <c r="J22" i="18" s="1"/>
  <c r="B22" i="18"/>
  <c r="S21" i="18"/>
  <c r="M21" i="18"/>
  <c r="I21" i="18"/>
  <c r="G21" i="18"/>
  <c r="D21" i="18"/>
  <c r="E21" i="18" s="1"/>
  <c r="B21" i="18"/>
  <c r="S20" i="18"/>
  <c r="M20" i="18"/>
  <c r="I20" i="18"/>
  <c r="G20" i="18"/>
  <c r="D20" i="18"/>
  <c r="E20" i="18" s="1"/>
  <c r="B20" i="18"/>
  <c r="S19" i="18"/>
  <c r="M19" i="18"/>
  <c r="L19" i="18"/>
  <c r="I19" i="18"/>
  <c r="G19" i="18"/>
  <c r="D19" i="18"/>
  <c r="E19" i="18" s="1"/>
  <c r="B19" i="18"/>
  <c r="S18" i="18"/>
  <c r="M18" i="18"/>
  <c r="L18" i="18"/>
  <c r="I18" i="18"/>
  <c r="G18" i="18"/>
  <c r="D18" i="18"/>
  <c r="E18" i="18" s="1"/>
  <c r="B18" i="18"/>
  <c r="S17" i="18"/>
  <c r="M17" i="18"/>
  <c r="L17" i="18"/>
  <c r="I17" i="18"/>
  <c r="G17" i="18"/>
  <c r="D17" i="18"/>
  <c r="E17" i="18" s="1"/>
  <c r="B17" i="18"/>
  <c r="S16" i="18"/>
  <c r="M16" i="18"/>
  <c r="L16" i="18"/>
  <c r="T16" i="18" s="1"/>
  <c r="I16" i="18"/>
  <c r="G16" i="18"/>
  <c r="D16" i="18"/>
  <c r="E16" i="18" s="1"/>
  <c r="B16" i="18"/>
  <c r="S15" i="18"/>
  <c r="M15" i="18"/>
  <c r="I15" i="18"/>
  <c r="G15" i="18"/>
  <c r="D15" i="18"/>
  <c r="E15" i="18" s="1"/>
  <c r="B15" i="18"/>
  <c r="S14" i="18"/>
  <c r="M14" i="18"/>
  <c r="I14" i="18"/>
  <c r="G14" i="18"/>
  <c r="D14" i="18"/>
  <c r="E14" i="18" s="1"/>
  <c r="J14" i="18" s="1"/>
  <c r="B14" i="18"/>
  <c r="S13" i="18"/>
  <c r="M13" i="18"/>
  <c r="I13" i="18"/>
  <c r="G13" i="18"/>
  <c r="D13" i="18"/>
  <c r="E13" i="18" s="1"/>
  <c r="B13" i="18"/>
  <c r="S12" i="18"/>
  <c r="M12" i="18"/>
  <c r="L12" i="18"/>
  <c r="T12" i="18" s="1"/>
  <c r="I12" i="18"/>
  <c r="G12" i="18"/>
  <c r="D12" i="18"/>
  <c r="E12" i="18" s="1"/>
  <c r="B12" i="18"/>
  <c r="S11" i="18"/>
  <c r="M11" i="18"/>
  <c r="L11" i="18"/>
  <c r="I11" i="18"/>
  <c r="G11" i="18"/>
  <c r="D11" i="18"/>
  <c r="E11" i="18" s="1"/>
  <c r="B11" i="18"/>
  <c r="S10" i="18"/>
  <c r="M10" i="18"/>
  <c r="L10" i="18"/>
  <c r="I10" i="18"/>
  <c r="G10" i="18"/>
  <c r="D10" i="18"/>
  <c r="E10" i="18" s="1"/>
  <c r="J10" i="18" s="1"/>
  <c r="B10" i="18"/>
  <c r="S9" i="18"/>
  <c r="M9" i="18"/>
  <c r="L9" i="18"/>
  <c r="I9" i="18"/>
  <c r="G9" i="18"/>
  <c r="D9" i="18"/>
  <c r="E9" i="18" s="1"/>
  <c r="B9" i="18"/>
  <c r="S8" i="18"/>
  <c r="M8" i="18"/>
  <c r="I8" i="18"/>
  <c r="G8" i="18"/>
  <c r="D8" i="18"/>
  <c r="E8" i="18" s="1"/>
  <c r="B8" i="18"/>
  <c r="S7" i="18"/>
  <c r="M7" i="18"/>
  <c r="I7" i="18"/>
  <c r="G7" i="18"/>
  <c r="D7" i="18"/>
  <c r="E7" i="18" s="1"/>
  <c r="B7" i="18"/>
  <c r="S6" i="18"/>
  <c r="M6" i="18"/>
  <c r="I6" i="18"/>
  <c r="G6" i="18"/>
  <c r="D6" i="18"/>
  <c r="E6" i="18" s="1"/>
  <c r="J6" i="18" s="1"/>
  <c r="B6" i="18"/>
  <c r="S5" i="18"/>
  <c r="M5" i="18"/>
  <c r="I5" i="18"/>
  <c r="G5" i="18"/>
  <c r="D5" i="18"/>
  <c r="E5" i="18" s="1"/>
  <c r="B5" i="18"/>
  <c r="S4" i="18"/>
  <c r="M4" i="18"/>
  <c r="I4" i="18"/>
  <c r="G4" i="18"/>
  <c r="D4" i="18"/>
  <c r="E4" i="18" s="1"/>
  <c r="B4" i="18"/>
  <c r="S3" i="18"/>
  <c r="M3" i="18"/>
  <c r="L3" i="18"/>
  <c r="I3" i="18"/>
  <c r="G3" i="18"/>
  <c r="D3" i="18"/>
  <c r="E3" i="18" s="1"/>
  <c r="B3" i="18"/>
  <c r="S2" i="18"/>
  <c r="M2" i="18"/>
  <c r="I2" i="18"/>
  <c r="G2" i="18"/>
  <c r="D2" i="18"/>
  <c r="E2" i="18" s="1"/>
  <c r="J2" i="18" s="1"/>
  <c r="B2" i="18"/>
  <c r="U18" i="19" l="1"/>
  <c r="V18" i="19" s="1"/>
  <c r="U10" i="19"/>
  <c r="J33" i="18"/>
  <c r="T32" i="18"/>
  <c r="J27" i="18"/>
  <c r="J26" i="18"/>
  <c r="J34" i="18"/>
  <c r="U37" i="18"/>
  <c r="V37" i="18" s="1"/>
  <c r="U20" i="19"/>
  <c r="V20" i="19" s="1"/>
  <c r="U27" i="19"/>
  <c r="V27" i="19" s="1"/>
  <c r="U13" i="19"/>
  <c r="V13" i="19" s="1"/>
  <c r="J21" i="18"/>
  <c r="J9" i="18"/>
  <c r="J17" i="18"/>
  <c r="T24" i="18"/>
  <c r="T4" i="18"/>
  <c r="J13" i="18"/>
  <c r="J5" i="18"/>
  <c r="J18" i="18"/>
  <c r="T5" i="18"/>
  <c r="J25" i="18"/>
  <c r="J29" i="18"/>
  <c r="J15" i="18"/>
  <c r="T28" i="18"/>
  <c r="U33" i="21"/>
  <c r="V33" i="21" s="1"/>
  <c r="U6" i="20"/>
  <c r="V6" i="20" s="1"/>
  <c r="U32" i="19"/>
  <c r="V32" i="19" s="1"/>
  <c r="U23" i="19"/>
  <c r="V23" i="19" s="1"/>
  <c r="U12" i="19"/>
  <c r="V12" i="19" s="1"/>
  <c r="U22" i="19"/>
  <c r="V22" i="19" s="1"/>
  <c r="U16" i="19"/>
  <c r="V16" i="19" s="1"/>
  <c r="U26" i="19"/>
  <c r="V26" i="19" s="1"/>
  <c r="U24" i="19"/>
  <c r="V24" i="19" s="1"/>
  <c r="U11" i="19"/>
  <c r="V11" i="19" s="1"/>
  <c r="U6" i="19"/>
  <c r="V6" i="19" s="1"/>
  <c r="U15" i="19"/>
  <c r="V15" i="19" s="1"/>
  <c r="U19" i="19"/>
  <c r="V19" i="19" s="1"/>
  <c r="U8" i="19"/>
  <c r="V8" i="19" s="1"/>
  <c r="U33" i="19"/>
  <c r="V33" i="19" s="1"/>
  <c r="U14" i="19"/>
  <c r="V14" i="19" s="1"/>
  <c r="U30" i="19"/>
  <c r="V30" i="19" s="1"/>
  <c r="U34" i="23"/>
  <c r="V34" i="23" s="1"/>
  <c r="U37" i="23"/>
  <c r="V37" i="23" s="1"/>
  <c r="U25" i="21"/>
  <c r="V25" i="21" s="1"/>
  <c r="U21" i="21"/>
  <c r="V21" i="21" s="1"/>
  <c r="U9" i="21"/>
  <c r="V9" i="21" s="1"/>
  <c r="U37" i="21"/>
  <c r="V37" i="21" s="1"/>
  <c r="U8" i="21"/>
  <c r="V8" i="21" s="1"/>
  <c r="U13" i="21"/>
  <c r="V13" i="21" s="1"/>
  <c r="U18" i="23"/>
  <c r="V18" i="23" s="1"/>
  <c r="U32" i="23"/>
  <c r="V32" i="23" s="1"/>
  <c r="U30" i="23"/>
  <c r="V30" i="23" s="1"/>
  <c r="U33" i="23"/>
  <c r="V33" i="23" s="1"/>
  <c r="U14" i="23"/>
  <c r="U22" i="23"/>
  <c r="V22" i="23" s="1"/>
  <c r="U12" i="23"/>
  <c r="V12" i="23" s="1"/>
  <c r="U16" i="23"/>
  <c r="V16" i="23" s="1"/>
  <c r="U2" i="23"/>
  <c r="V2" i="23" s="1"/>
  <c r="U17" i="23"/>
  <c r="V17" i="23" s="1"/>
  <c r="U3" i="23"/>
  <c r="V3" i="23" s="1"/>
  <c r="U25" i="23"/>
  <c r="V25" i="23" s="1"/>
  <c r="U7" i="23"/>
  <c r="V7" i="23" s="1"/>
  <c r="U6" i="23"/>
  <c r="V6" i="23" s="1"/>
  <c r="U13" i="23"/>
  <c r="V13" i="23" s="1"/>
  <c r="U29" i="23"/>
  <c r="V29" i="23" s="1"/>
  <c r="U21" i="23"/>
  <c r="V21" i="23" s="1"/>
  <c r="U28" i="23"/>
  <c r="V28" i="23" s="1"/>
  <c r="U4" i="23"/>
  <c r="V4" i="23" s="1"/>
  <c r="U24" i="23"/>
  <c r="V24" i="23" s="1"/>
  <c r="U5" i="23"/>
  <c r="V5" i="23" s="1"/>
  <c r="U19" i="23"/>
  <c r="V19" i="23" s="1"/>
  <c r="U10" i="23"/>
  <c r="V10" i="23" s="1"/>
  <c r="U20" i="23"/>
  <c r="V20" i="23" s="1"/>
  <c r="U26" i="23"/>
  <c r="V26" i="23" s="1"/>
  <c r="U8" i="23"/>
  <c r="V8" i="23" s="1"/>
  <c r="U31" i="23"/>
  <c r="V31" i="23" s="1"/>
  <c r="U15" i="23"/>
  <c r="V15" i="23" s="1"/>
  <c r="U23" i="23"/>
  <c r="V23" i="23" s="1"/>
  <c r="U27" i="23"/>
  <c r="V27" i="23" s="1"/>
  <c r="U9" i="23"/>
  <c r="V9" i="23" s="1"/>
  <c r="U11" i="23"/>
  <c r="V11" i="23" s="1"/>
  <c r="U17" i="22"/>
  <c r="V17" i="22" s="1"/>
  <c r="U4" i="22"/>
  <c r="V4" i="22" s="1"/>
  <c r="U16" i="22"/>
  <c r="U28" i="22"/>
  <c r="V28" i="22" s="1"/>
  <c r="U25" i="22"/>
  <c r="V25" i="22" s="1"/>
  <c r="U8" i="22"/>
  <c r="V8" i="22" s="1"/>
  <c r="U19" i="22"/>
  <c r="V19" i="22" s="1"/>
  <c r="U30" i="22"/>
  <c r="V30" i="22" s="1"/>
  <c r="U3" i="22"/>
  <c r="V3" i="22" s="1"/>
  <c r="U29" i="22"/>
  <c r="V29" i="22" s="1"/>
  <c r="U14" i="22"/>
  <c r="V14" i="22" s="1"/>
  <c r="U33" i="22"/>
  <c r="V33" i="22" s="1"/>
  <c r="U7" i="22"/>
  <c r="V7" i="22" s="1"/>
  <c r="U32" i="22"/>
  <c r="V32" i="22" s="1"/>
  <c r="U31" i="22"/>
  <c r="V31" i="22" s="1"/>
  <c r="U21" i="22"/>
  <c r="V21" i="22" s="1"/>
  <c r="U23" i="22"/>
  <c r="V23" i="22" s="1"/>
  <c r="U13" i="22"/>
  <c r="V13" i="22" s="1"/>
  <c r="U6" i="22"/>
  <c r="V6" i="22" s="1"/>
  <c r="U2" i="22"/>
  <c r="V2" i="22" s="1"/>
  <c r="U10" i="22"/>
  <c r="V10" i="22" s="1"/>
  <c r="U22" i="22"/>
  <c r="V22" i="22" s="1"/>
  <c r="U24" i="22"/>
  <c r="V24" i="22" s="1"/>
  <c r="U15" i="22"/>
  <c r="V15" i="22" s="1"/>
  <c r="U20" i="22"/>
  <c r="V20" i="22" s="1"/>
  <c r="U18" i="22"/>
  <c r="V18" i="22" s="1"/>
  <c r="U9" i="22"/>
  <c r="V9" i="22" s="1"/>
  <c r="U27" i="22"/>
  <c r="V27" i="22" s="1"/>
  <c r="U26" i="22"/>
  <c r="V26" i="22" s="1"/>
  <c r="U12" i="22"/>
  <c r="V12" i="22" s="1"/>
  <c r="U5" i="22"/>
  <c r="V5" i="22" s="1"/>
  <c r="U27" i="21"/>
  <c r="V27" i="21" s="1"/>
  <c r="U6" i="21"/>
  <c r="V6" i="21" s="1"/>
  <c r="U18" i="21"/>
  <c r="U22" i="21"/>
  <c r="V22" i="21" s="1"/>
  <c r="U34" i="21"/>
  <c r="V34" i="21" s="1"/>
  <c r="U23" i="21"/>
  <c r="V23" i="21" s="1"/>
  <c r="U15" i="21"/>
  <c r="V15" i="21" s="1"/>
  <c r="U2" i="21"/>
  <c r="V2" i="21" s="1"/>
  <c r="U19" i="21"/>
  <c r="V19" i="21" s="1"/>
  <c r="U24" i="21"/>
  <c r="V24" i="21" s="1"/>
  <c r="U14" i="21"/>
  <c r="V14" i="21" s="1"/>
  <c r="U31" i="21"/>
  <c r="V31" i="21" s="1"/>
  <c r="U3" i="21"/>
  <c r="V3" i="21" s="1"/>
  <c r="U35" i="21"/>
  <c r="V35" i="21" s="1"/>
  <c r="U32" i="21"/>
  <c r="V32" i="21" s="1"/>
  <c r="U4" i="21"/>
  <c r="V4" i="21" s="1"/>
  <c r="U7" i="21"/>
  <c r="V7" i="21" s="1"/>
  <c r="U30" i="21"/>
  <c r="V30" i="21" s="1"/>
  <c r="U26" i="21"/>
  <c r="V26" i="21" s="1"/>
  <c r="U10" i="21"/>
  <c r="V10" i="21" s="1"/>
  <c r="U16" i="21"/>
  <c r="V16" i="21" s="1"/>
  <c r="U11" i="21"/>
  <c r="V11" i="21" s="1"/>
  <c r="T20" i="18"/>
  <c r="U18" i="20"/>
  <c r="T23" i="18"/>
  <c r="U11" i="20"/>
  <c r="V11" i="20" s="1"/>
  <c r="U15" i="20"/>
  <c r="V15" i="20" s="1"/>
  <c r="U13" i="20"/>
  <c r="V13" i="20" s="1"/>
  <c r="U10" i="20"/>
  <c r="V10" i="20" s="1"/>
  <c r="U27" i="20"/>
  <c r="V27" i="20" s="1"/>
  <c r="U9" i="20"/>
  <c r="V9" i="20" s="1"/>
  <c r="U7" i="20"/>
  <c r="V7" i="20" s="1"/>
  <c r="U31" i="20"/>
  <c r="V31" i="20" s="1"/>
  <c r="U30" i="20"/>
  <c r="V30" i="20" s="1"/>
  <c r="U5" i="20"/>
  <c r="V5" i="20" s="1"/>
  <c r="U32" i="20"/>
  <c r="V32" i="20" s="1"/>
  <c r="U22" i="20"/>
  <c r="V22" i="20" s="1"/>
  <c r="U29" i="20"/>
  <c r="V29" i="20" s="1"/>
  <c r="U24" i="20"/>
  <c r="V24" i="20" s="1"/>
  <c r="U21" i="20"/>
  <c r="V21" i="20" s="1"/>
  <c r="U23" i="20"/>
  <c r="V23" i="20" s="1"/>
  <c r="U4" i="20"/>
  <c r="V4" i="20" s="1"/>
  <c r="U19" i="20"/>
  <c r="V19" i="20" s="1"/>
  <c r="U12" i="20"/>
  <c r="V12" i="20" s="1"/>
  <c r="U28" i="20"/>
  <c r="V28" i="20" s="1"/>
  <c r="U16" i="20"/>
  <c r="V16" i="20" s="1"/>
  <c r="U26" i="20"/>
  <c r="V26" i="20" s="1"/>
  <c r="U2" i="20"/>
  <c r="V2" i="20" s="1"/>
  <c r="U3" i="20"/>
  <c r="V3" i="20" s="1"/>
  <c r="U33" i="20"/>
  <c r="V33" i="20" s="1"/>
  <c r="U25" i="20"/>
  <c r="V25" i="20" s="1"/>
  <c r="U14" i="20"/>
  <c r="V14" i="20" s="1"/>
  <c r="U20" i="20"/>
  <c r="V20" i="20" s="1"/>
  <c r="U8" i="20"/>
  <c r="V8" i="20" s="1"/>
  <c r="V10" i="19"/>
  <c r="V28" i="19"/>
  <c r="U2" i="19"/>
  <c r="V2" i="19" s="1"/>
  <c r="V25" i="19"/>
  <c r="U4" i="19"/>
  <c r="V4" i="19" s="1"/>
  <c r="V21" i="19"/>
  <c r="V17" i="19"/>
  <c r="U5" i="19"/>
  <c r="V5" i="19" s="1"/>
  <c r="V31" i="19"/>
  <c r="V9" i="19"/>
  <c r="V7" i="19"/>
  <c r="U3" i="19"/>
  <c r="V3" i="19" s="1"/>
  <c r="V29" i="19"/>
  <c r="T7" i="18"/>
  <c r="T22" i="18"/>
  <c r="T6" i="18"/>
  <c r="T35" i="18"/>
  <c r="T19" i="18"/>
  <c r="T34" i="18"/>
  <c r="T3" i="18"/>
  <c r="T18" i="18"/>
  <c r="T2" i="18"/>
  <c r="T31" i="18"/>
  <c r="T15" i="18"/>
  <c r="T30" i="18"/>
  <c r="T14" i="18"/>
  <c r="T27" i="18"/>
  <c r="T26" i="18"/>
  <c r="T11" i="18"/>
  <c r="T10" i="18"/>
  <c r="T9" i="18"/>
  <c r="J28" i="18"/>
  <c r="T33" i="18"/>
  <c r="J35" i="18"/>
  <c r="J12" i="18"/>
  <c r="T29" i="18"/>
  <c r="J36" i="18"/>
  <c r="T13" i="18"/>
  <c r="J20" i="18"/>
  <c r="T25" i="18"/>
  <c r="J32" i="18"/>
  <c r="J16" i="18"/>
  <c r="J11" i="18"/>
  <c r="J7" i="18"/>
  <c r="J8" i="18"/>
  <c r="J3" i="18"/>
  <c r="J4" i="18"/>
  <c r="T21" i="18"/>
  <c r="J23" i="18"/>
  <c r="T17" i="18"/>
  <c r="J24" i="18"/>
  <c r="J19" i="18"/>
  <c r="J31" i="18"/>
  <c r="V14" i="23" l="1"/>
  <c r="V41" i="23" s="1"/>
  <c r="U41" i="23"/>
  <c r="V16" i="22"/>
  <c r="V41" i="22" s="1"/>
  <c r="U41" i="22"/>
  <c r="V18" i="21"/>
  <c r="V40" i="21" s="1"/>
  <c r="U40" i="21"/>
  <c r="V18" i="20"/>
  <c r="V37" i="20" s="1"/>
  <c r="U37" i="20"/>
  <c r="V38" i="19"/>
  <c r="U38" i="19"/>
  <c r="U6" i="18"/>
  <c r="V6" i="18" s="1"/>
  <c r="U18" i="18"/>
  <c r="V18" i="18" s="1"/>
  <c r="U22" i="18"/>
  <c r="U10" i="18"/>
  <c r="V10" i="18" s="1"/>
  <c r="U34" i="18"/>
  <c r="V34" i="18" s="1"/>
  <c r="U14" i="18"/>
  <c r="V14" i="18" s="1"/>
  <c r="U2" i="18"/>
  <c r="V2" i="18" s="1"/>
  <c r="U15" i="18"/>
  <c r="V15" i="18" s="1"/>
  <c r="U26" i="18"/>
  <c r="V26" i="18" s="1"/>
  <c r="U30" i="18"/>
  <c r="V30" i="18" s="1"/>
  <c r="U27" i="18"/>
  <c r="V27" i="18" s="1"/>
  <c r="U24" i="18"/>
  <c r="V24" i="18" s="1"/>
  <c r="U28" i="18"/>
  <c r="V28" i="18" s="1"/>
  <c r="U36" i="18"/>
  <c r="V36" i="18" s="1"/>
  <c r="U32" i="18"/>
  <c r="V32" i="18" s="1"/>
  <c r="U4" i="18"/>
  <c r="V4" i="18" s="1"/>
  <c r="U7" i="18"/>
  <c r="V7" i="18" s="1"/>
  <c r="U19" i="18"/>
  <c r="V19" i="18" s="1"/>
  <c r="U5" i="18"/>
  <c r="V5" i="18" s="1"/>
  <c r="U12" i="18"/>
  <c r="V12" i="18" s="1"/>
  <c r="U25" i="18"/>
  <c r="V25" i="18" s="1"/>
  <c r="U8" i="18"/>
  <c r="V8" i="18" s="1"/>
  <c r="U23" i="18"/>
  <c r="V23" i="18" s="1"/>
  <c r="U16" i="18"/>
  <c r="V16" i="18" s="1"/>
  <c r="U31" i="18"/>
  <c r="V31" i="18" s="1"/>
  <c r="U9" i="18"/>
  <c r="V9" i="18" s="1"/>
  <c r="U29" i="18"/>
  <c r="V29" i="18" s="1"/>
  <c r="U3" i="18"/>
  <c r="V3" i="18" s="1"/>
  <c r="U13" i="18"/>
  <c r="V13" i="18" s="1"/>
  <c r="U33" i="18"/>
  <c r="V33" i="18" s="1"/>
  <c r="U20" i="18"/>
  <c r="V20" i="18" s="1"/>
  <c r="U21" i="18"/>
  <c r="V21" i="18" s="1"/>
  <c r="U11" i="18"/>
  <c r="V11" i="18" s="1"/>
  <c r="U17" i="18"/>
  <c r="V17" i="18" s="1"/>
  <c r="U35" i="18"/>
  <c r="V35" i="18" s="1"/>
  <c r="V22" i="18" l="1"/>
  <c r="V41" i="18" s="1"/>
  <c r="U41" i="18"/>
</calcChain>
</file>

<file path=xl/sharedStrings.xml><?xml version="1.0" encoding="utf-8"?>
<sst xmlns="http://schemas.openxmlformats.org/spreadsheetml/2006/main" count="166" uniqueCount="34">
  <si>
    <t>Sweep gas flow rate Q (std. m3/s)</t>
  </si>
  <si>
    <t>Sweep gas flow rate Ar equivalent (std. ml/min)</t>
  </si>
  <si>
    <t>Sweep gas flow rate N2 equivalent (std. ml/min)</t>
  </si>
  <si>
    <t>Temp of sweep gas for standard condition (DegC)</t>
  </si>
  <si>
    <t>Pressure of sweep gas for standard condition (kPa-a)</t>
  </si>
  <si>
    <t xml:space="preserve">Measured PPM by GC </t>
  </si>
  <si>
    <t>Time (h)</t>
  </si>
  <si>
    <t>Time (min)</t>
  </si>
  <si>
    <t>mol/s for sweep gas (n)</t>
  </si>
  <si>
    <t>Area of membrane, A (m2)</t>
  </si>
  <si>
    <t>Temp of sweep gas for standard condition, T (K)</t>
  </si>
  <si>
    <t>Pressure of sweep gas for standard condition, P (Pa)</t>
  </si>
  <si>
    <t>Thickness of Ni layer, L (m)</t>
  </si>
  <si>
    <t>Downstream total pressure (bar-g)</t>
  </si>
  <si>
    <t>Downstream total pressure (Pa)</t>
  </si>
  <si>
    <t>Downstream H2 pressure (Pa)</t>
  </si>
  <si>
    <t>Upstream total pressure (bar-g)</t>
  </si>
  <si>
    <t>Upstream H2 pressure due to partial Ar displacement through dilution purging (Pa)</t>
  </si>
  <si>
    <t xml:space="preserve">Mole fraction of H2 in Ar  </t>
  </si>
  <si>
    <t>Temperature (DegC)</t>
  </si>
  <si>
    <t>Ø1</t>
  </si>
  <si>
    <t>Ø2</t>
  </si>
  <si>
    <t>Øavg</t>
  </si>
  <si>
    <t>500C_coated</t>
  </si>
  <si>
    <t>600C_coated</t>
  </si>
  <si>
    <t>700C_coated</t>
  </si>
  <si>
    <r>
      <t>H2 partial pressure in glovebox, P</t>
    </r>
    <r>
      <rPr>
        <b/>
        <vertAlign val="subscript"/>
        <sz val="11"/>
        <color theme="1"/>
        <rFont val="Times New Roman"/>
        <family val="1"/>
      </rPr>
      <t xml:space="preserve">GB </t>
    </r>
    <r>
      <rPr>
        <b/>
        <sz val="11"/>
        <color theme="1"/>
        <rFont val="Times New Roman"/>
        <family val="1"/>
      </rPr>
      <t xml:space="preserve"> (Pa)</t>
    </r>
  </si>
  <si>
    <t>Permeation flux J (mol-H/m2-s)</t>
  </si>
  <si>
    <r>
      <t>2D Permeability, Ø</t>
    </r>
    <r>
      <rPr>
        <b/>
        <vertAlign val="subscript"/>
        <sz val="11"/>
        <color theme="1"/>
        <rFont val="Times New Roman"/>
        <family val="1"/>
      </rPr>
      <t>2D</t>
    </r>
    <r>
      <rPr>
        <b/>
        <sz val="11"/>
        <color theme="1"/>
        <rFont val="Times New Roman"/>
        <family val="1"/>
      </rPr>
      <t xml:space="preserve"> (= J.L/(√P</t>
    </r>
    <r>
      <rPr>
        <b/>
        <sz val="9"/>
        <color theme="1"/>
        <rFont val="Times New Roman"/>
        <family val="1"/>
      </rPr>
      <t>up - √Pdown</t>
    </r>
    <r>
      <rPr>
        <b/>
        <sz val="12"/>
        <color theme="1"/>
        <rFont val="Times New Roman"/>
        <family val="1"/>
      </rPr>
      <t>)) (mol-H/m.s.Pa^0.5)</t>
    </r>
  </si>
  <si>
    <r>
      <t>2D Permeability, Ø</t>
    </r>
    <r>
      <rPr>
        <b/>
        <vertAlign val="subscript"/>
        <sz val="11"/>
        <rFont val="Times New Roman"/>
        <family val="1"/>
      </rPr>
      <t>2D</t>
    </r>
    <r>
      <rPr>
        <b/>
        <sz val="11"/>
        <rFont val="Times New Roman"/>
        <family val="1"/>
      </rPr>
      <t xml:space="preserve"> (= J.L/(√Pup - √Pdown))</t>
    </r>
    <r>
      <rPr>
        <b/>
        <sz val="12"/>
        <rFont val="Times New Roman"/>
        <family val="1"/>
      </rPr>
      <t xml:space="preserve"> (H/m.s.Pa^0.5)</t>
    </r>
  </si>
  <si>
    <r>
      <t>1D Permeability, Ø</t>
    </r>
    <r>
      <rPr>
        <b/>
        <vertAlign val="subscript"/>
        <sz val="11"/>
        <color theme="1"/>
        <rFont val="Times New Roman"/>
        <family val="1"/>
      </rPr>
      <t>1D</t>
    </r>
    <r>
      <rPr>
        <b/>
        <sz val="11"/>
        <color theme="1"/>
        <rFont val="Times New Roman"/>
        <family val="1"/>
      </rPr>
      <t xml:space="preserve"> = J.L/(√P</t>
    </r>
    <r>
      <rPr>
        <b/>
        <vertAlign val="subscript"/>
        <sz val="11"/>
        <color theme="1"/>
        <rFont val="Times New Roman"/>
        <family val="1"/>
      </rPr>
      <t>up</t>
    </r>
    <r>
      <rPr>
        <b/>
        <sz val="11"/>
        <color theme="1"/>
        <rFont val="Times New Roman"/>
        <family val="1"/>
      </rPr>
      <t xml:space="preserve"> - 2√P</t>
    </r>
    <r>
      <rPr>
        <b/>
        <vertAlign val="subscript"/>
        <sz val="11"/>
        <color theme="1"/>
        <rFont val="Times New Roman"/>
        <family val="1"/>
      </rPr>
      <t>down</t>
    </r>
    <r>
      <rPr>
        <b/>
        <sz val="11"/>
        <color theme="1"/>
        <rFont val="Times New Roman"/>
        <family val="1"/>
      </rPr>
      <t xml:space="preserve"> + √P</t>
    </r>
    <r>
      <rPr>
        <b/>
        <vertAlign val="subscript"/>
        <sz val="11"/>
        <color theme="1"/>
        <rFont val="Times New Roman"/>
        <family val="1"/>
      </rPr>
      <t>GB</t>
    </r>
    <r>
      <rPr>
        <b/>
        <sz val="11"/>
        <color theme="1"/>
        <rFont val="Times New Roman"/>
        <family val="1"/>
      </rPr>
      <t>)</t>
    </r>
    <r>
      <rPr>
        <b/>
        <sz val="12"/>
        <color theme="1"/>
        <rFont val="Times New Roman"/>
        <family val="1"/>
      </rPr>
      <t xml:space="preserve"> (mol-H/m.s.Pa^0.5)</t>
    </r>
  </si>
  <si>
    <r>
      <t>1D Permeability, Ø</t>
    </r>
    <r>
      <rPr>
        <b/>
        <vertAlign val="subscript"/>
        <sz val="11"/>
        <color theme="1"/>
        <rFont val="Times New Roman"/>
        <family val="1"/>
      </rPr>
      <t>1D</t>
    </r>
    <r>
      <rPr>
        <b/>
        <sz val="11"/>
        <color theme="1"/>
        <rFont val="Times New Roman"/>
        <family val="1"/>
      </rPr>
      <t xml:space="preserve"> = J.L/(√P</t>
    </r>
    <r>
      <rPr>
        <b/>
        <vertAlign val="subscript"/>
        <sz val="11"/>
        <color theme="1"/>
        <rFont val="Times New Roman"/>
        <family val="1"/>
      </rPr>
      <t>up</t>
    </r>
    <r>
      <rPr>
        <b/>
        <sz val="11"/>
        <color theme="1"/>
        <rFont val="Times New Roman"/>
        <family val="1"/>
      </rPr>
      <t xml:space="preserve"> - 2√P</t>
    </r>
    <r>
      <rPr>
        <b/>
        <vertAlign val="subscript"/>
        <sz val="11"/>
        <color theme="1"/>
        <rFont val="Times New Roman"/>
        <family val="1"/>
      </rPr>
      <t>down</t>
    </r>
    <r>
      <rPr>
        <b/>
        <sz val="11"/>
        <color theme="1"/>
        <rFont val="Times New Roman"/>
        <family val="1"/>
      </rPr>
      <t xml:space="preserve"> + √P</t>
    </r>
    <r>
      <rPr>
        <b/>
        <vertAlign val="subscript"/>
        <sz val="11"/>
        <color theme="1"/>
        <rFont val="Times New Roman"/>
        <family val="1"/>
      </rPr>
      <t>GB</t>
    </r>
    <r>
      <rPr>
        <b/>
        <sz val="11"/>
        <color theme="1"/>
        <rFont val="Times New Roman"/>
        <family val="1"/>
      </rPr>
      <t>)</t>
    </r>
    <r>
      <rPr>
        <b/>
        <sz val="12"/>
        <color theme="1"/>
        <rFont val="Times New Roman"/>
        <family val="1"/>
      </rPr>
      <t xml:space="preserve"> (H/m.s.Pa^0.5)</t>
    </r>
  </si>
  <si>
    <t>1D Permeability for transparent coating (H/m.s.Pa^0.5)</t>
  </si>
  <si>
    <t>1D Permeability for transparent coating (mol-H/m.s.Pa^0.5)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</si>
</sst>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vertAlign val="subscript"/>
      <sz val="1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1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1" fontId="2" fillId="2" borderId="1" xfId="0" applyNumberFormat="1" applyFont="1" applyFill="1" applyBorder="1" applyAlignment="1">
      <alignment horizontal="center"/>
    </xf>
    <xf numFmtId="11" fontId="1" fillId="0" borderId="1" xfId="0" applyNumberFormat="1" applyFont="1" applyBorder="1" applyAlignment="1">
      <alignment horizontal="center" vertical="center" wrapText="1"/>
    </xf>
    <xf numFmtId="11" fontId="2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1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1" fontId="7" fillId="0" borderId="1" xfId="0" applyNumberFormat="1" applyFont="1" applyBorder="1" applyAlignment="1">
      <alignment horizontal="center"/>
    </xf>
    <xf numFmtId="11" fontId="7" fillId="2" borderId="1" xfId="0" applyNumberFormat="1" applyFont="1" applyFill="1" applyBorder="1" applyAlignment="1">
      <alignment horizontal="center"/>
    </xf>
    <xf numFmtId="11" fontId="7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11" fontId="5" fillId="0" borderId="0" xfId="0" applyNumberFormat="1" applyFont="1" applyAlignment="1">
      <alignment horizontal="center"/>
    </xf>
    <xf numFmtId="11" fontId="6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9" fillId="0" borderId="0" xfId="0" applyFont="1"/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1" fontId="7" fillId="3" borderId="0" xfId="0" applyNumberFormat="1" applyFont="1" applyFill="1" applyAlignment="1">
      <alignment horizontal="center"/>
    </xf>
    <xf numFmtId="0" fontId="5" fillId="3" borderId="0" xfId="0" applyFont="1" applyFill="1"/>
    <xf numFmtId="11" fontId="5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1" fontId="2" fillId="3" borderId="0" xfId="0" applyNumberFormat="1" applyFont="1" applyFill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11" fontId="11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1" fontId="1" fillId="2" borderId="1" xfId="0" applyNumberFormat="1" applyFont="1" applyFill="1" applyBorder="1" applyAlignment="1">
      <alignment horizontal="center"/>
    </xf>
    <xf numFmtId="11" fontId="6" fillId="2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11" fontId="6" fillId="4" borderId="1" xfId="0" applyNumberFormat="1" applyFont="1" applyFill="1" applyBorder="1" applyAlignment="1">
      <alignment horizontal="center"/>
    </xf>
    <xf numFmtId="11" fontId="1" fillId="4" borderId="1" xfId="0" applyNumberFormat="1" applyFont="1" applyFill="1" applyBorder="1" applyAlignment="1">
      <alignment horizontal="center"/>
    </xf>
    <xf numFmtId="11" fontId="10" fillId="2" borderId="1" xfId="0" applyNumberFormat="1" applyFont="1" applyFill="1" applyBorder="1" applyAlignment="1">
      <alignment horizontal="center" vertical="center" wrapText="1"/>
    </xf>
    <xf numFmtId="11" fontId="11" fillId="0" borderId="0" xfId="0" applyNumberFormat="1" applyFont="1" applyAlignment="1">
      <alignment horizontal="center"/>
    </xf>
    <xf numFmtId="11" fontId="11" fillId="3" borderId="0" xfId="0" applyNumberFormat="1" applyFont="1" applyFill="1" applyAlignment="1">
      <alignment horizontal="center"/>
    </xf>
    <xf numFmtId="0" fontId="14" fillId="0" borderId="0" xfId="0" applyFont="1"/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1" fontId="1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0308-B27F-44D3-B87C-DF7110A712D3}">
  <dimension ref="A1:Y41"/>
  <sheetViews>
    <sheetView topLeftCell="W35" zoomScale="120" zoomScaleNormal="120" workbookViewId="0">
      <selection activeCell="X41" sqref="X41:Y41"/>
    </sheetView>
  </sheetViews>
  <sheetFormatPr defaultRowHeight="13.8" x14ac:dyDescent="0.25"/>
  <cols>
    <col min="1" max="4" width="22.109375" style="7" customWidth="1"/>
    <col min="5" max="5" width="18.77734375" style="7" customWidth="1"/>
    <col min="6" max="6" width="17.33203125" style="7" customWidth="1"/>
    <col min="7" max="7" width="16.6640625" style="7" customWidth="1"/>
    <col min="8" max="8" width="20.88671875" style="7" customWidth="1"/>
    <col min="9" max="9" width="19.21875" style="7" customWidth="1"/>
    <col min="10" max="10" width="23.109375" style="7" customWidth="1"/>
    <col min="11" max="11" width="13.6640625" style="34" customWidth="1"/>
    <col min="12" max="12" width="20.88671875" style="10" customWidth="1"/>
    <col min="13" max="13" width="31.6640625" style="7" customWidth="1"/>
    <col min="14" max="14" width="19.21875" style="45" customWidth="1"/>
    <col min="15" max="15" width="23" style="45" customWidth="1"/>
    <col min="16" max="16" width="20.6640625" style="10" customWidth="1"/>
    <col min="17" max="17" width="26.88671875" style="10" customWidth="1"/>
    <col min="18" max="20" width="20.6640625" style="10" customWidth="1"/>
    <col min="21" max="21" width="36.33203125" style="7" customWidth="1"/>
    <col min="22" max="22" width="36" style="7" customWidth="1"/>
    <col min="23" max="23" width="32.109375" style="10" customWidth="1"/>
    <col min="24" max="24" width="48.5546875" style="19" customWidth="1"/>
    <col min="25" max="25" width="50.88671875" style="19" customWidth="1"/>
    <col min="26" max="26" width="50.5546875" style="19" customWidth="1"/>
    <col min="27" max="27" width="56.6640625" style="19" customWidth="1"/>
    <col min="28" max="16384" width="8.88671875" style="19"/>
  </cols>
  <sheetData>
    <row r="1" spans="1:25" s="4" customFormat="1" ht="55.2" x14ac:dyDescent="0.3">
      <c r="A1" s="1" t="s">
        <v>7</v>
      </c>
      <c r="B1" s="2" t="s">
        <v>6</v>
      </c>
      <c r="C1" s="1" t="s">
        <v>2</v>
      </c>
      <c r="D1" s="1" t="s">
        <v>1</v>
      </c>
      <c r="E1" s="2" t="s">
        <v>0</v>
      </c>
      <c r="F1" s="1" t="s">
        <v>3</v>
      </c>
      <c r="G1" s="2" t="s">
        <v>10</v>
      </c>
      <c r="H1" s="1" t="s">
        <v>4</v>
      </c>
      <c r="I1" s="2" t="s">
        <v>11</v>
      </c>
      <c r="J1" s="2" t="s">
        <v>8</v>
      </c>
      <c r="K1" s="32" t="s">
        <v>5</v>
      </c>
      <c r="L1" s="3" t="s">
        <v>18</v>
      </c>
      <c r="M1" s="2" t="s">
        <v>9</v>
      </c>
      <c r="N1" s="44" t="s">
        <v>27</v>
      </c>
      <c r="O1" s="44" t="s">
        <v>12</v>
      </c>
      <c r="P1" s="9" t="s">
        <v>16</v>
      </c>
      <c r="Q1" s="3" t="s">
        <v>17</v>
      </c>
      <c r="R1" s="3" t="s">
        <v>13</v>
      </c>
      <c r="S1" s="3" t="s">
        <v>14</v>
      </c>
      <c r="T1" s="3" t="s">
        <v>15</v>
      </c>
      <c r="U1" s="2" t="s">
        <v>28</v>
      </c>
      <c r="V1" s="12" t="s">
        <v>29</v>
      </c>
      <c r="W1" s="3" t="s">
        <v>26</v>
      </c>
      <c r="X1" s="41" t="s">
        <v>30</v>
      </c>
      <c r="Y1" s="41" t="s">
        <v>31</v>
      </c>
    </row>
    <row r="2" spans="1:25" x14ac:dyDescent="0.25">
      <c r="A2" s="5">
        <v>0</v>
      </c>
      <c r="B2" s="5">
        <f>(A2/60)</f>
        <v>0</v>
      </c>
      <c r="C2" s="5">
        <v>20</v>
      </c>
      <c r="D2" s="5">
        <f t="shared" ref="D2:D36" si="0">(C2*1.4573)</f>
        <v>29.146000000000001</v>
      </c>
      <c r="E2" s="5">
        <f>(D2/(1000000*60))</f>
        <v>4.8576666666666667E-7</v>
      </c>
      <c r="F2" s="5">
        <v>21.1</v>
      </c>
      <c r="G2" s="5">
        <f>(273+F2)</f>
        <v>294.10000000000002</v>
      </c>
      <c r="H2" s="5">
        <v>101.3</v>
      </c>
      <c r="I2" s="5">
        <f>(H2*1000)</f>
        <v>101300</v>
      </c>
      <c r="J2" s="5">
        <f>((I2*E2)/(8.314*G2))</f>
        <v>2.0124824921938581E-5</v>
      </c>
      <c r="K2" s="33">
        <v>21.207920792079207</v>
      </c>
      <c r="L2" s="6">
        <f>(K2/1000000)</f>
        <v>2.1207920792079207E-5</v>
      </c>
      <c r="M2" s="5">
        <f>(3.142*3.07*3.07*25.4*25.4)/(4*1000000)</f>
        <v>4.7762865441819992E-3</v>
      </c>
      <c r="N2" s="37">
        <f>(2*L2*J2)/M2</f>
        <v>1.7871862960936782E-7</v>
      </c>
      <c r="O2" s="37">
        <v>2.032E-3</v>
      </c>
      <c r="P2" s="6">
        <v>0.3</v>
      </c>
      <c r="Q2" s="6">
        <f>(1+P2)*100000*1</f>
        <v>130000</v>
      </c>
      <c r="R2" s="6">
        <v>0.06</v>
      </c>
      <c r="S2" s="6">
        <f>(1+R2)*100000</f>
        <v>106000</v>
      </c>
      <c r="T2" s="6">
        <f>(L2*S2)</f>
        <v>2.2480396039603958</v>
      </c>
      <c r="U2" s="6">
        <f>((N2*O2)/((SQRT(Q2))-(SQRT(T2))))</f>
        <v>1.0114201592825171E-12</v>
      </c>
      <c r="V2" s="6">
        <f>(U2*6.022E+23)</f>
        <v>609077219919.93176</v>
      </c>
      <c r="W2" s="6">
        <f>(50/1000000)*100000</f>
        <v>5</v>
      </c>
      <c r="X2" s="15">
        <f>(N2*O2)/(SQRT(Q2)-(2*SQRT(T2))+SQRT(W2))</f>
        <v>1.0093491459694979E-12</v>
      </c>
      <c r="Y2" s="15">
        <f>(X2*6.022E+23)</f>
        <v>607830055702.83167</v>
      </c>
    </row>
    <row r="3" spans="1:25" x14ac:dyDescent="0.25">
      <c r="A3" s="5">
        <v>5.5</v>
      </c>
      <c r="B3" s="5">
        <f t="shared" ref="B3:B37" si="1">(A3/60)</f>
        <v>9.166666666666666E-2</v>
      </c>
      <c r="C3" s="5">
        <v>20</v>
      </c>
      <c r="D3" s="5">
        <f t="shared" si="0"/>
        <v>29.146000000000001</v>
      </c>
      <c r="E3" s="5">
        <f t="shared" ref="E3:E36" si="2">(D3/(1000000*60))</f>
        <v>4.8576666666666667E-7</v>
      </c>
      <c r="F3" s="5">
        <v>21.1</v>
      </c>
      <c r="G3" s="5">
        <f t="shared" ref="G3:G36" si="3">(273+F3)</f>
        <v>294.10000000000002</v>
      </c>
      <c r="H3" s="5">
        <v>101.3</v>
      </c>
      <c r="I3" s="5">
        <f t="shared" ref="I3:I36" si="4">(H3*1000)</f>
        <v>101300</v>
      </c>
      <c r="J3" s="5">
        <f t="shared" ref="J3:J37" si="5">((I3*E3)/(8.314*G3))</f>
        <v>2.0124824921938581E-5</v>
      </c>
      <c r="K3" s="33">
        <v>22.074257425742577</v>
      </c>
      <c r="L3" s="6">
        <f t="shared" ref="L3:L36" si="6">(K3/1000000)</f>
        <v>2.2074257425742577E-5</v>
      </c>
      <c r="M3" s="5">
        <f t="shared" ref="M3:M37" si="7">(3.142*3.07*3.07*25.4*25.4)/(4*1000000)</f>
        <v>4.7762865441819992E-3</v>
      </c>
      <c r="N3" s="37">
        <f t="shared" ref="N3:N37" si="8">(2*L3*J3)/M3</f>
        <v>1.860192272241296E-7</v>
      </c>
      <c r="O3" s="37">
        <v>2.032E-3</v>
      </c>
      <c r="P3" s="6">
        <v>0.3</v>
      </c>
      <c r="Q3" s="6">
        <f t="shared" ref="Q3:Q37" si="9">(1+P3)*100000*1</f>
        <v>130000</v>
      </c>
      <c r="R3" s="6">
        <v>0.06</v>
      </c>
      <c r="S3" s="6">
        <f t="shared" ref="S3:S36" si="10">(1+R3)*100000</f>
        <v>106000</v>
      </c>
      <c r="T3" s="6">
        <f t="shared" ref="T3:T36" si="11">(L3*S3)</f>
        <v>2.3398712871287133</v>
      </c>
      <c r="U3" s="6">
        <f t="shared" ref="U3:U36" si="12">((N3*O3)/((SQRT(Q3))-(SQRT(T3))))</f>
        <v>1.0528252390696149E-12</v>
      </c>
      <c r="V3" s="6">
        <f t="shared" ref="V3:V36" si="13">(U3*6.022E+23)</f>
        <v>634011358967.72217</v>
      </c>
      <c r="W3" s="6">
        <f t="shared" ref="W3:W37" si="14">(50/1000000)*100000</f>
        <v>5</v>
      </c>
      <c r="X3" s="15">
        <f t="shared" ref="X3:X37" si="15">(N3*O3)/(SQRT(Q3)-(2*SQRT(T3))+SQRT(W3))</f>
        <v>1.0507578098762413E-12</v>
      </c>
      <c r="Y3" s="15">
        <f t="shared" ref="Y3:Y37" si="16">(X3*6.022E+23)</f>
        <v>632766353107.47253</v>
      </c>
    </row>
    <row r="4" spans="1:25" x14ac:dyDescent="0.25">
      <c r="A4" s="5">
        <v>11</v>
      </c>
      <c r="B4" s="5">
        <f t="shared" si="1"/>
        <v>0.18333333333333332</v>
      </c>
      <c r="C4" s="5">
        <v>20</v>
      </c>
      <c r="D4" s="5">
        <f t="shared" si="0"/>
        <v>29.146000000000001</v>
      </c>
      <c r="E4" s="5">
        <f t="shared" si="2"/>
        <v>4.8576666666666667E-7</v>
      </c>
      <c r="F4" s="5">
        <v>21.1</v>
      </c>
      <c r="G4" s="5">
        <f t="shared" si="3"/>
        <v>294.10000000000002</v>
      </c>
      <c r="H4" s="5">
        <v>101.3</v>
      </c>
      <c r="I4" s="5">
        <f t="shared" si="4"/>
        <v>101300</v>
      </c>
      <c r="J4" s="5">
        <f t="shared" si="5"/>
        <v>2.0124824921938581E-5</v>
      </c>
      <c r="K4" s="33">
        <v>19.054455445544555</v>
      </c>
      <c r="L4" s="6">
        <f t="shared" si="6"/>
        <v>1.9054455445544554E-5</v>
      </c>
      <c r="M4" s="5">
        <f t="shared" si="7"/>
        <v>4.7762865441819992E-3</v>
      </c>
      <c r="N4" s="37">
        <f t="shared" si="8"/>
        <v>1.6057142982410285E-7</v>
      </c>
      <c r="O4" s="37">
        <v>2.032E-3</v>
      </c>
      <c r="P4" s="6">
        <v>0.3</v>
      </c>
      <c r="Q4" s="6">
        <f t="shared" si="9"/>
        <v>130000</v>
      </c>
      <c r="R4" s="6">
        <v>0.06</v>
      </c>
      <c r="S4" s="6">
        <f t="shared" si="10"/>
        <v>106000</v>
      </c>
      <c r="T4" s="6">
        <f t="shared" si="11"/>
        <v>2.0197722772277227</v>
      </c>
      <c r="U4" s="6">
        <f t="shared" si="12"/>
        <v>9.0852216540291775E-13</v>
      </c>
      <c r="V4" s="6">
        <f t="shared" si="13"/>
        <v>547112048005.63708</v>
      </c>
      <c r="W4" s="6">
        <f t="shared" si="14"/>
        <v>5</v>
      </c>
      <c r="X4" s="15">
        <f t="shared" si="15"/>
        <v>9.0646537995641204E-13</v>
      </c>
      <c r="Y4" s="15">
        <f t="shared" si="16"/>
        <v>545873451809.75134</v>
      </c>
    </row>
    <row r="5" spans="1:25" x14ac:dyDescent="0.25">
      <c r="A5" s="5">
        <v>16.5</v>
      </c>
      <c r="B5" s="5">
        <f t="shared" si="1"/>
        <v>0.27500000000000002</v>
      </c>
      <c r="C5" s="5">
        <v>20</v>
      </c>
      <c r="D5" s="5">
        <f t="shared" si="0"/>
        <v>29.146000000000001</v>
      </c>
      <c r="E5" s="5">
        <f t="shared" si="2"/>
        <v>4.8576666666666667E-7</v>
      </c>
      <c r="F5" s="5">
        <v>21.1</v>
      </c>
      <c r="G5" s="5">
        <f t="shared" si="3"/>
        <v>294.10000000000002</v>
      </c>
      <c r="H5" s="5">
        <v>101.3</v>
      </c>
      <c r="I5" s="5">
        <f t="shared" si="4"/>
        <v>101300</v>
      </c>
      <c r="J5" s="5">
        <f t="shared" si="5"/>
        <v>2.0124824921938581E-5</v>
      </c>
      <c r="K5" s="33">
        <v>17.222772277227723</v>
      </c>
      <c r="L5" s="6">
        <f t="shared" si="6"/>
        <v>1.7222772277227721E-5</v>
      </c>
      <c r="M5" s="5">
        <f t="shared" si="7"/>
        <v>4.7762865441819992E-3</v>
      </c>
      <c r="N5" s="37">
        <f t="shared" si="8"/>
        <v>1.4513588058146371E-7</v>
      </c>
      <c r="O5" s="37">
        <v>2.032E-3</v>
      </c>
      <c r="P5" s="6">
        <v>0.3</v>
      </c>
      <c r="Q5" s="6">
        <f t="shared" si="9"/>
        <v>130000</v>
      </c>
      <c r="R5" s="6">
        <v>0.06</v>
      </c>
      <c r="S5" s="6">
        <f t="shared" si="10"/>
        <v>106000</v>
      </c>
      <c r="T5" s="6">
        <f t="shared" si="11"/>
        <v>1.8256138613861383</v>
      </c>
      <c r="U5" s="6">
        <f t="shared" si="12"/>
        <v>8.2102685400787564E-13</v>
      </c>
      <c r="V5" s="6">
        <f t="shared" si="13"/>
        <v>494422371483.54272</v>
      </c>
      <c r="W5" s="6">
        <f t="shared" si="14"/>
        <v>5</v>
      </c>
      <c r="X5" s="15">
        <f t="shared" si="15"/>
        <v>8.1900918794566314E-13</v>
      </c>
      <c r="Y5" s="15">
        <f t="shared" si="16"/>
        <v>493207332980.87836</v>
      </c>
    </row>
    <row r="6" spans="1:25" x14ac:dyDescent="0.25">
      <c r="A6" s="5">
        <v>22</v>
      </c>
      <c r="B6" s="5">
        <f t="shared" si="1"/>
        <v>0.36666666666666664</v>
      </c>
      <c r="C6" s="5">
        <v>20</v>
      </c>
      <c r="D6" s="5">
        <f t="shared" si="0"/>
        <v>29.146000000000001</v>
      </c>
      <c r="E6" s="5">
        <f t="shared" si="2"/>
        <v>4.8576666666666667E-7</v>
      </c>
      <c r="F6" s="5">
        <v>21.1</v>
      </c>
      <c r="G6" s="5">
        <f t="shared" si="3"/>
        <v>294.10000000000002</v>
      </c>
      <c r="H6" s="5">
        <v>101.3</v>
      </c>
      <c r="I6" s="5">
        <f t="shared" si="4"/>
        <v>101300</v>
      </c>
      <c r="J6" s="5">
        <f t="shared" si="5"/>
        <v>2.0124824921938581E-5</v>
      </c>
      <c r="K6" s="33">
        <v>19.945544554455445</v>
      </c>
      <c r="L6" s="6">
        <f t="shared" si="6"/>
        <v>1.9945544554455446E-5</v>
      </c>
      <c r="M6" s="5">
        <f t="shared" si="7"/>
        <v>4.7762865441819992E-3</v>
      </c>
      <c r="N6" s="37">
        <f t="shared" si="8"/>
        <v>1.6808061594214354E-7</v>
      </c>
      <c r="O6" s="37">
        <v>2.032E-3</v>
      </c>
      <c r="P6" s="6">
        <v>0.3</v>
      </c>
      <c r="Q6" s="6">
        <f t="shared" si="9"/>
        <v>130000</v>
      </c>
      <c r="R6" s="6">
        <v>0.06</v>
      </c>
      <c r="S6" s="6">
        <f t="shared" si="10"/>
        <v>106000</v>
      </c>
      <c r="T6" s="6">
        <f t="shared" si="11"/>
        <v>2.1142277227722772</v>
      </c>
      <c r="U6" s="6">
        <f t="shared" si="12"/>
        <v>9.5109656287588986E-13</v>
      </c>
      <c r="V6" s="6">
        <f t="shared" si="13"/>
        <v>572750350163.86096</v>
      </c>
      <c r="W6" s="6">
        <f t="shared" si="14"/>
        <v>5</v>
      </c>
      <c r="X6" s="15">
        <f t="shared" si="15"/>
        <v>9.4902982068401183E-13</v>
      </c>
      <c r="Y6" s="15">
        <f t="shared" si="16"/>
        <v>571505758015.91199</v>
      </c>
    </row>
    <row r="7" spans="1:25" x14ac:dyDescent="0.25">
      <c r="A7" s="5">
        <v>27.5</v>
      </c>
      <c r="B7" s="5">
        <f t="shared" si="1"/>
        <v>0.45833333333333331</v>
      </c>
      <c r="C7" s="5">
        <v>20</v>
      </c>
      <c r="D7" s="5">
        <f t="shared" si="0"/>
        <v>29.146000000000001</v>
      </c>
      <c r="E7" s="5">
        <f t="shared" si="2"/>
        <v>4.8576666666666667E-7</v>
      </c>
      <c r="F7" s="5">
        <v>21.1</v>
      </c>
      <c r="G7" s="5">
        <f t="shared" si="3"/>
        <v>294.10000000000002</v>
      </c>
      <c r="H7" s="5">
        <v>101.3</v>
      </c>
      <c r="I7" s="5">
        <f t="shared" si="4"/>
        <v>101300</v>
      </c>
      <c r="J7" s="5">
        <f t="shared" si="5"/>
        <v>2.0124824921938581E-5</v>
      </c>
      <c r="K7" s="33">
        <v>139.42574257425744</v>
      </c>
      <c r="L7" s="6">
        <f t="shared" si="6"/>
        <v>1.3942574257425744E-4</v>
      </c>
      <c r="M7" s="5">
        <f t="shared" si="7"/>
        <v>4.7762865441819992E-3</v>
      </c>
      <c r="N7" s="37">
        <f t="shared" si="8"/>
        <v>1.1749373212694295E-6</v>
      </c>
      <c r="O7" s="37">
        <v>2.032E-3</v>
      </c>
      <c r="P7" s="6">
        <v>0.3</v>
      </c>
      <c r="Q7" s="6">
        <f t="shared" si="9"/>
        <v>130000</v>
      </c>
      <c r="R7" s="6">
        <v>0.06</v>
      </c>
      <c r="S7" s="6">
        <f t="shared" si="10"/>
        <v>106000</v>
      </c>
      <c r="T7" s="6">
        <f t="shared" si="11"/>
        <v>14.779128712871289</v>
      </c>
      <c r="U7" s="6">
        <f t="shared" si="12"/>
        <v>6.6930210010752999E-12</v>
      </c>
      <c r="V7" s="6">
        <f t="shared" si="13"/>
        <v>4030537246847.5459</v>
      </c>
      <c r="W7" s="6">
        <f t="shared" si="14"/>
        <v>5</v>
      </c>
      <c r="X7" s="15">
        <f t="shared" si="15"/>
        <v>6.7233343750983831E-12</v>
      </c>
      <c r="Y7" s="15">
        <f t="shared" si="16"/>
        <v>4048791960684.2466</v>
      </c>
    </row>
    <row r="8" spans="1:25" x14ac:dyDescent="0.25">
      <c r="A8" s="5">
        <v>33</v>
      </c>
      <c r="B8" s="5">
        <f t="shared" si="1"/>
        <v>0.55000000000000004</v>
      </c>
      <c r="C8" s="5">
        <v>20</v>
      </c>
      <c r="D8" s="5">
        <f t="shared" si="0"/>
        <v>29.146000000000001</v>
      </c>
      <c r="E8" s="5">
        <f t="shared" si="2"/>
        <v>4.8576666666666667E-7</v>
      </c>
      <c r="F8" s="5">
        <v>21.1</v>
      </c>
      <c r="G8" s="5">
        <f t="shared" si="3"/>
        <v>294.10000000000002</v>
      </c>
      <c r="H8" s="5">
        <v>101.3</v>
      </c>
      <c r="I8" s="5">
        <f t="shared" si="4"/>
        <v>101300</v>
      </c>
      <c r="J8" s="5">
        <f t="shared" si="5"/>
        <v>2.0124824921938581E-5</v>
      </c>
      <c r="K8" s="33">
        <v>446.82673267326737</v>
      </c>
      <c r="L8" s="6">
        <f t="shared" si="6"/>
        <v>4.4682673267326737E-4</v>
      </c>
      <c r="M8" s="5">
        <f t="shared" si="7"/>
        <v>4.7762865441819992E-3</v>
      </c>
      <c r="N8" s="37">
        <f t="shared" si="8"/>
        <v>3.7653979434901803E-6</v>
      </c>
      <c r="O8" s="37">
        <v>2.032E-3</v>
      </c>
      <c r="P8" s="6">
        <v>0.3</v>
      </c>
      <c r="Q8" s="6">
        <f t="shared" si="9"/>
        <v>130000</v>
      </c>
      <c r="R8" s="6">
        <v>0.06</v>
      </c>
      <c r="S8" s="6">
        <f t="shared" si="10"/>
        <v>106000</v>
      </c>
      <c r="T8" s="6">
        <f t="shared" si="11"/>
        <v>47.363633663366343</v>
      </c>
      <c r="U8" s="6">
        <f t="shared" si="12"/>
        <v>2.1633793218670558E-11</v>
      </c>
      <c r="V8" s="6">
        <f t="shared" si="13"/>
        <v>13027870276283.41</v>
      </c>
      <c r="W8" s="6">
        <f t="shared" si="14"/>
        <v>5</v>
      </c>
      <c r="X8" s="15">
        <f t="shared" si="15"/>
        <v>2.1921770467089125E-11</v>
      </c>
      <c r="Y8" s="15">
        <f t="shared" si="16"/>
        <v>13201290175281.072</v>
      </c>
    </row>
    <row r="9" spans="1:25" x14ac:dyDescent="0.25">
      <c r="A9" s="5">
        <v>38.5</v>
      </c>
      <c r="B9" s="5">
        <f t="shared" si="1"/>
        <v>0.64166666666666672</v>
      </c>
      <c r="C9" s="5">
        <v>20</v>
      </c>
      <c r="D9" s="5">
        <f t="shared" si="0"/>
        <v>29.146000000000001</v>
      </c>
      <c r="E9" s="5">
        <f t="shared" si="2"/>
        <v>4.8576666666666667E-7</v>
      </c>
      <c r="F9" s="5">
        <v>21.1</v>
      </c>
      <c r="G9" s="5">
        <f t="shared" si="3"/>
        <v>294.10000000000002</v>
      </c>
      <c r="H9" s="5">
        <v>101.3</v>
      </c>
      <c r="I9" s="5">
        <f t="shared" si="4"/>
        <v>101300</v>
      </c>
      <c r="J9" s="5">
        <f t="shared" si="5"/>
        <v>2.0124824921938581E-5</v>
      </c>
      <c r="K9" s="33">
        <v>748.2376237623763</v>
      </c>
      <c r="L9" s="6">
        <f t="shared" si="6"/>
        <v>7.4823762376237629E-4</v>
      </c>
      <c r="M9" s="5">
        <f t="shared" si="7"/>
        <v>4.7762865441819992E-3</v>
      </c>
      <c r="N9" s="37">
        <f t="shared" si="8"/>
        <v>6.3053801479174357E-6</v>
      </c>
      <c r="O9" s="37">
        <v>2.032E-3</v>
      </c>
      <c r="P9" s="6">
        <v>0.3</v>
      </c>
      <c r="Q9" s="6">
        <f t="shared" si="9"/>
        <v>130000</v>
      </c>
      <c r="R9" s="6">
        <v>0.06</v>
      </c>
      <c r="S9" s="6">
        <f t="shared" si="10"/>
        <v>106000</v>
      </c>
      <c r="T9" s="6">
        <f t="shared" si="11"/>
        <v>79.31318811881188</v>
      </c>
      <c r="U9" s="6">
        <f t="shared" si="12"/>
        <v>3.643553757097645E-11</v>
      </c>
      <c r="V9" s="6">
        <f t="shared" si="13"/>
        <v>21941480725242.02</v>
      </c>
      <c r="W9" s="6">
        <f t="shared" si="14"/>
        <v>5</v>
      </c>
      <c r="X9" s="15">
        <f t="shared" si="15"/>
        <v>3.7139970798737984E-11</v>
      </c>
      <c r="Y9" s="15">
        <f t="shared" si="16"/>
        <v>22365690415000.016</v>
      </c>
    </row>
    <row r="10" spans="1:25" x14ac:dyDescent="0.25">
      <c r="A10" s="5">
        <v>44</v>
      </c>
      <c r="B10" s="5">
        <f t="shared" si="1"/>
        <v>0.73333333333333328</v>
      </c>
      <c r="C10" s="5">
        <v>20</v>
      </c>
      <c r="D10" s="5">
        <f t="shared" si="0"/>
        <v>29.146000000000001</v>
      </c>
      <c r="E10" s="5">
        <f t="shared" si="2"/>
        <v>4.8576666666666667E-7</v>
      </c>
      <c r="F10" s="5">
        <v>21.1</v>
      </c>
      <c r="G10" s="5">
        <f t="shared" si="3"/>
        <v>294.10000000000002</v>
      </c>
      <c r="H10" s="5">
        <v>101.3</v>
      </c>
      <c r="I10" s="5">
        <f t="shared" si="4"/>
        <v>101300</v>
      </c>
      <c r="J10" s="5">
        <f t="shared" si="5"/>
        <v>2.0124824921938581E-5</v>
      </c>
      <c r="K10" s="33">
        <v>1041.90099009901</v>
      </c>
      <c r="L10" s="6">
        <f t="shared" si="6"/>
        <v>1.0419009900990101E-3</v>
      </c>
      <c r="M10" s="5">
        <f t="shared" si="7"/>
        <v>4.7762865441819992E-3</v>
      </c>
      <c r="N10" s="37">
        <f t="shared" si="8"/>
        <v>8.7800741508183935E-6</v>
      </c>
      <c r="O10" s="37">
        <v>2.032E-3</v>
      </c>
      <c r="P10" s="6">
        <v>0.3</v>
      </c>
      <c r="Q10" s="6">
        <f t="shared" si="9"/>
        <v>130000</v>
      </c>
      <c r="R10" s="6">
        <v>0.06</v>
      </c>
      <c r="S10" s="6">
        <f t="shared" si="10"/>
        <v>106000</v>
      </c>
      <c r="T10" s="6">
        <f t="shared" si="11"/>
        <v>110.44150495049507</v>
      </c>
      <c r="U10" s="6">
        <f t="shared" si="12"/>
        <v>5.0967901509093235E-11</v>
      </c>
      <c r="V10" s="6">
        <f t="shared" si="13"/>
        <v>30692870288775.949</v>
      </c>
      <c r="W10" s="6">
        <f t="shared" si="14"/>
        <v>5</v>
      </c>
      <c r="X10" s="15">
        <f t="shared" si="15"/>
        <v>5.2201644097935616E-11</v>
      </c>
      <c r="Y10" s="15">
        <f t="shared" si="16"/>
        <v>31435830075776.828</v>
      </c>
    </row>
    <row r="11" spans="1:25" x14ac:dyDescent="0.25">
      <c r="A11" s="5">
        <v>49.5</v>
      </c>
      <c r="B11" s="5">
        <f t="shared" si="1"/>
        <v>0.82499999999999996</v>
      </c>
      <c r="C11" s="5">
        <v>20</v>
      </c>
      <c r="D11" s="5">
        <f t="shared" si="0"/>
        <v>29.146000000000001</v>
      </c>
      <c r="E11" s="5">
        <f t="shared" si="2"/>
        <v>4.8576666666666667E-7</v>
      </c>
      <c r="F11" s="5">
        <v>21.1</v>
      </c>
      <c r="G11" s="5">
        <f t="shared" si="3"/>
        <v>294.10000000000002</v>
      </c>
      <c r="H11" s="5">
        <v>101.3</v>
      </c>
      <c r="I11" s="5">
        <f t="shared" si="4"/>
        <v>101300</v>
      </c>
      <c r="J11" s="5">
        <f t="shared" si="5"/>
        <v>2.0124824921938581E-5</v>
      </c>
      <c r="K11" s="33">
        <v>1258.9059405940595</v>
      </c>
      <c r="L11" s="6">
        <f t="shared" si="6"/>
        <v>1.2589059405940595E-3</v>
      </c>
      <c r="M11" s="5">
        <f t="shared" si="7"/>
        <v>4.7762865441819992E-3</v>
      </c>
      <c r="N11" s="37">
        <f t="shared" si="8"/>
        <v>1.0608769559064572E-5</v>
      </c>
      <c r="O11" s="37">
        <v>2.032E-3</v>
      </c>
      <c r="P11" s="6">
        <v>0.3</v>
      </c>
      <c r="Q11" s="6">
        <f t="shared" si="9"/>
        <v>130000</v>
      </c>
      <c r="R11" s="6">
        <v>0.06</v>
      </c>
      <c r="S11" s="6">
        <f t="shared" si="10"/>
        <v>106000</v>
      </c>
      <c r="T11" s="6">
        <f t="shared" si="11"/>
        <v>133.44402970297031</v>
      </c>
      <c r="U11" s="6">
        <f t="shared" si="12"/>
        <v>6.1767375550372764E-11</v>
      </c>
      <c r="V11" s="6">
        <f t="shared" si="13"/>
        <v>37196313556434.477</v>
      </c>
      <c r="W11" s="6">
        <f t="shared" si="14"/>
        <v>5</v>
      </c>
      <c r="X11" s="15">
        <f t="shared" si="15"/>
        <v>6.3461308961427566E-11</v>
      </c>
      <c r="Y11" s="15">
        <f t="shared" si="16"/>
        <v>38216400256571.68</v>
      </c>
    </row>
    <row r="12" spans="1:25" x14ac:dyDescent="0.25">
      <c r="A12" s="5">
        <v>55</v>
      </c>
      <c r="B12" s="5">
        <f t="shared" si="1"/>
        <v>0.91666666666666663</v>
      </c>
      <c r="C12" s="5">
        <v>20</v>
      </c>
      <c r="D12" s="5">
        <f t="shared" si="0"/>
        <v>29.146000000000001</v>
      </c>
      <c r="E12" s="5">
        <f t="shared" si="2"/>
        <v>4.8576666666666667E-7</v>
      </c>
      <c r="F12" s="5">
        <v>21.1</v>
      </c>
      <c r="G12" s="5">
        <f t="shared" si="3"/>
        <v>294.10000000000002</v>
      </c>
      <c r="H12" s="5">
        <v>101.3</v>
      </c>
      <c r="I12" s="5">
        <f t="shared" si="4"/>
        <v>101300</v>
      </c>
      <c r="J12" s="5">
        <f t="shared" si="5"/>
        <v>2.0124824921938581E-5</v>
      </c>
      <c r="K12" s="33">
        <v>1400.4653465346535</v>
      </c>
      <c r="L12" s="6">
        <f t="shared" si="6"/>
        <v>1.4004653465346534E-3</v>
      </c>
      <c r="M12" s="5">
        <f t="shared" si="7"/>
        <v>4.7762865441819992E-3</v>
      </c>
      <c r="N12" s="37">
        <f t="shared" si="8"/>
        <v>1.1801687209316643E-5</v>
      </c>
      <c r="O12" s="37">
        <v>2.032E-3</v>
      </c>
      <c r="P12" s="6">
        <v>0.3</v>
      </c>
      <c r="Q12" s="6">
        <f t="shared" si="9"/>
        <v>130000</v>
      </c>
      <c r="R12" s="6">
        <v>0.06</v>
      </c>
      <c r="S12" s="6">
        <f t="shared" si="10"/>
        <v>106000</v>
      </c>
      <c r="T12" s="6">
        <f t="shared" si="11"/>
        <v>148.44932673267326</v>
      </c>
      <c r="U12" s="6">
        <f t="shared" si="12"/>
        <v>6.8837584455100045E-11</v>
      </c>
      <c r="V12" s="6">
        <f t="shared" si="13"/>
        <v>41453993358861.25</v>
      </c>
      <c r="W12" s="6">
        <f t="shared" si="14"/>
        <v>5</v>
      </c>
      <c r="X12" s="15">
        <f t="shared" si="15"/>
        <v>7.0861056949814291E-11</v>
      </c>
      <c r="Y12" s="15">
        <f t="shared" si="16"/>
        <v>42672528495178.164</v>
      </c>
    </row>
    <row r="13" spans="1:25" x14ac:dyDescent="0.25">
      <c r="A13" s="5">
        <v>60.5</v>
      </c>
      <c r="B13" s="5">
        <f t="shared" si="1"/>
        <v>1.0083333333333333</v>
      </c>
      <c r="C13" s="5">
        <v>20</v>
      </c>
      <c r="D13" s="5">
        <f t="shared" si="0"/>
        <v>29.146000000000001</v>
      </c>
      <c r="E13" s="5">
        <f t="shared" si="2"/>
        <v>4.8576666666666667E-7</v>
      </c>
      <c r="F13" s="5">
        <v>21.1</v>
      </c>
      <c r="G13" s="5">
        <f t="shared" si="3"/>
        <v>294.10000000000002</v>
      </c>
      <c r="H13" s="5">
        <v>101.3</v>
      </c>
      <c r="I13" s="5">
        <f t="shared" si="4"/>
        <v>101300</v>
      </c>
      <c r="J13" s="5">
        <f t="shared" si="5"/>
        <v>2.0124824921938581E-5</v>
      </c>
      <c r="K13" s="33">
        <v>1504.5</v>
      </c>
      <c r="L13" s="6">
        <f t="shared" si="6"/>
        <v>1.5045E-3</v>
      </c>
      <c r="M13" s="5">
        <f t="shared" si="7"/>
        <v>4.7762865441819992E-3</v>
      </c>
      <c r="N13" s="37">
        <f t="shared" si="8"/>
        <v>1.2678384688597889E-5</v>
      </c>
      <c r="O13" s="37">
        <v>2.032E-3</v>
      </c>
      <c r="P13" s="6">
        <v>0.3</v>
      </c>
      <c r="Q13" s="6">
        <f t="shared" si="9"/>
        <v>130000</v>
      </c>
      <c r="R13" s="6">
        <v>0.06</v>
      </c>
      <c r="S13" s="6">
        <f t="shared" si="10"/>
        <v>106000</v>
      </c>
      <c r="T13" s="6">
        <f t="shared" si="11"/>
        <v>159.477</v>
      </c>
      <c r="U13" s="6">
        <f t="shared" si="12"/>
        <v>7.4045703169076221E-11</v>
      </c>
      <c r="V13" s="6">
        <f t="shared" si="13"/>
        <v>44590322448417.703</v>
      </c>
      <c r="W13" s="6">
        <f t="shared" si="14"/>
        <v>5</v>
      </c>
      <c r="X13" s="15">
        <f t="shared" si="15"/>
        <v>7.6325497881335948E-11</v>
      </c>
      <c r="Y13" s="15">
        <f t="shared" si="16"/>
        <v>45963214824140.508</v>
      </c>
    </row>
    <row r="14" spans="1:25" x14ac:dyDescent="0.25">
      <c r="A14" s="5">
        <v>66</v>
      </c>
      <c r="B14" s="5">
        <f t="shared" si="1"/>
        <v>1.1000000000000001</v>
      </c>
      <c r="C14" s="5">
        <v>20</v>
      </c>
      <c r="D14" s="5">
        <f t="shared" si="0"/>
        <v>29.146000000000001</v>
      </c>
      <c r="E14" s="5">
        <f t="shared" si="2"/>
        <v>4.8576666666666667E-7</v>
      </c>
      <c r="F14" s="5">
        <v>21.1</v>
      </c>
      <c r="G14" s="5">
        <f t="shared" si="3"/>
        <v>294.10000000000002</v>
      </c>
      <c r="H14" s="5">
        <v>101.3</v>
      </c>
      <c r="I14" s="5">
        <f t="shared" si="4"/>
        <v>101300</v>
      </c>
      <c r="J14" s="5">
        <f t="shared" si="5"/>
        <v>2.0124824921938581E-5</v>
      </c>
      <c r="K14" s="33">
        <v>1574.8960396039604</v>
      </c>
      <c r="L14" s="6">
        <f t="shared" si="6"/>
        <v>1.5748960396039604E-3</v>
      </c>
      <c r="M14" s="5">
        <f t="shared" si="7"/>
        <v>4.7762865441819992E-3</v>
      </c>
      <c r="N14" s="37">
        <f t="shared" si="8"/>
        <v>1.3271610391923103E-5</v>
      </c>
      <c r="O14" s="37">
        <v>2.032E-3</v>
      </c>
      <c r="P14" s="6">
        <v>0.3</v>
      </c>
      <c r="Q14" s="6">
        <f t="shared" si="9"/>
        <v>130000</v>
      </c>
      <c r="R14" s="6">
        <v>0.06</v>
      </c>
      <c r="S14" s="6">
        <f t="shared" si="10"/>
        <v>106000</v>
      </c>
      <c r="T14" s="6">
        <f t="shared" si="11"/>
        <v>166.93898019801981</v>
      </c>
      <c r="U14" s="6">
        <f t="shared" si="12"/>
        <v>7.7575446053462286E-11</v>
      </c>
      <c r="V14" s="6">
        <f t="shared" si="13"/>
        <v>46715933613394.992</v>
      </c>
      <c r="W14" s="6">
        <f t="shared" si="14"/>
        <v>5</v>
      </c>
      <c r="X14" s="15">
        <f t="shared" si="15"/>
        <v>8.0035300671138279E-11</v>
      </c>
      <c r="Y14" s="15">
        <f t="shared" si="16"/>
        <v>48197258064159.477</v>
      </c>
    </row>
    <row r="15" spans="1:25" x14ac:dyDescent="0.25">
      <c r="A15" s="5">
        <v>71.5</v>
      </c>
      <c r="B15" s="5">
        <f t="shared" si="1"/>
        <v>1.1916666666666667</v>
      </c>
      <c r="C15" s="5">
        <v>20</v>
      </c>
      <c r="D15" s="5">
        <f t="shared" si="0"/>
        <v>29.146000000000001</v>
      </c>
      <c r="E15" s="5">
        <f t="shared" si="2"/>
        <v>4.8576666666666667E-7</v>
      </c>
      <c r="F15" s="5">
        <v>21.1</v>
      </c>
      <c r="G15" s="5">
        <f t="shared" si="3"/>
        <v>294.10000000000002</v>
      </c>
      <c r="H15" s="5">
        <v>101.3</v>
      </c>
      <c r="I15" s="5">
        <f t="shared" si="4"/>
        <v>101300</v>
      </c>
      <c r="J15" s="5">
        <f t="shared" si="5"/>
        <v>2.0124824921938581E-5</v>
      </c>
      <c r="K15" s="33">
        <v>1608.8316831683167</v>
      </c>
      <c r="L15" s="6">
        <f t="shared" si="6"/>
        <v>1.6088316831683166E-3</v>
      </c>
      <c r="M15" s="5">
        <f t="shared" si="7"/>
        <v>4.7762865441819992E-3</v>
      </c>
      <c r="N15" s="37">
        <f t="shared" si="8"/>
        <v>1.3557585229918482E-5</v>
      </c>
      <c r="O15" s="37">
        <v>2.032E-3</v>
      </c>
      <c r="P15" s="6">
        <v>0.3</v>
      </c>
      <c r="Q15" s="6">
        <f t="shared" si="9"/>
        <v>130000</v>
      </c>
      <c r="R15" s="6">
        <v>0.06</v>
      </c>
      <c r="S15" s="6">
        <f t="shared" si="10"/>
        <v>106000</v>
      </c>
      <c r="T15" s="6">
        <f t="shared" si="11"/>
        <v>170.53615841584156</v>
      </c>
      <c r="U15" s="6">
        <f t="shared" si="12"/>
        <v>7.9278607698828613E-11</v>
      </c>
      <c r="V15" s="6">
        <f t="shared" si="13"/>
        <v>47741577556234.594</v>
      </c>
      <c r="W15" s="6">
        <f t="shared" si="14"/>
        <v>5</v>
      </c>
      <c r="X15" s="15">
        <f t="shared" si="15"/>
        <v>8.1827140580802302E-11</v>
      </c>
      <c r="Y15" s="15">
        <f t="shared" si="16"/>
        <v>49276304057759.148</v>
      </c>
    </row>
    <row r="16" spans="1:25" x14ac:dyDescent="0.25">
      <c r="A16" s="5">
        <v>77</v>
      </c>
      <c r="B16" s="5">
        <f t="shared" si="1"/>
        <v>1.2833333333333334</v>
      </c>
      <c r="C16" s="5">
        <v>20</v>
      </c>
      <c r="D16" s="5">
        <f t="shared" si="0"/>
        <v>29.146000000000001</v>
      </c>
      <c r="E16" s="5">
        <f t="shared" si="2"/>
        <v>4.8576666666666667E-7</v>
      </c>
      <c r="F16" s="5">
        <v>21.1</v>
      </c>
      <c r="G16" s="5">
        <f t="shared" si="3"/>
        <v>294.10000000000002</v>
      </c>
      <c r="H16" s="5">
        <v>101.3</v>
      </c>
      <c r="I16" s="5">
        <f t="shared" si="4"/>
        <v>101300</v>
      </c>
      <c r="J16" s="5">
        <f t="shared" si="5"/>
        <v>2.0124824921938581E-5</v>
      </c>
      <c r="K16" s="33">
        <v>1663.6584158415842</v>
      </c>
      <c r="L16" s="6">
        <f t="shared" si="6"/>
        <v>1.6636584158415842E-3</v>
      </c>
      <c r="M16" s="5">
        <f t="shared" si="7"/>
        <v>4.7762865441819992E-3</v>
      </c>
      <c r="N16" s="37">
        <f t="shared" si="8"/>
        <v>1.4019608764681264E-5</v>
      </c>
      <c r="O16" s="37">
        <v>2.032E-3</v>
      </c>
      <c r="P16" s="6">
        <v>0.3</v>
      </c>
      <c r="Q16" s="6">
        <f t="shared" si="9"/>
        <v>130000</v>
      </c>
      <c r="R16" s="6">
        <v>0.06</v>
      </c>
      <c r="S16" s="6">
        <f t="shared" si="10"/>
        <v>106000</v>
      </c>
      <c r="T16" s="6">
        <f t="shared" si="11"/>
        <v>176.34779207920792</v>
      </c>
      <c r="U16" s="6">
        <f t="shared" si="12"/>
        <v>8.2032400210507684E-11</v>
      </c>
      <c r="V16" s="6">
        <f t="shared" si="13"/>
        <v>49399911406767.727</v>
      </c>
      <c r="W16" s="6">
        <f t="shared" si="14"/>
        <v>5</v>
      </c>
      <c r="X16" s="15">
        <f t="shared" si="15"/>
        <v>8.4726752631057977E-11</v>
      </c>
      <c r="Y16" s="15">
        <f t="shared" si="16"/>
        <v>51022450434423.117</v>
      </c>
    </row>
    <row r="17" spans="1:25" x14ac:dyDescent="0.25">
      <c r="A17" s="5">
        <v>82.5</v>
      </c>
      <c r="B17" s="5">
        <f t="shared" si="1"/>
        <v>1.375</v>
      </c>
      <c r="C17" s="5">
        <v>20</v>
      </c>
      <c r="D17" s="5">
        <f t="shared" si="0"/>
        <v>29.146000000000001</v>
      </c>
      <c r="E17" s="5">
        <f t="shared" si="2"/>
        <v>4.8576666666666667E-7</v>
      </c>
      <c r="F17" s="5">
        <v>21.1</v>
      </c>
      <c r="G17" s="5">
        <f t="shared" si="3"/>
        <v>294.10000000000002</v>
      </c>
      <c r="H17" s="5">
        <v>101.3</v>
      </c>
      <c r="I17" s="5">
        <f t="shared" si="4"/>
        <v>101300</v>
      </c>
      <c r="J17" s="5">
        <f t="shared" si="5"/>
        <v>2.0124824921938581E-5</v>
      </c>
      <c r="K17" s="33">
        <v>1716.3316831683169</v>
      </c>
      <c r="L17" s="6">
        <f t="shared" si="6"/>
        <v>1.7163316831683168E-3</v>
      </c>
      <c r="M17" s="5">
        <f t="shared" si="7"/>
        <v>4.7762865441819992E-3</v>
      </c>
      <c r="N17" s="37">
        <f t="shared" si="8"/>
        <v>1.446348509965878E-5</v>
      </c>
      <c r="O17" s="37">
        <v>2.032E-3</v>
      </c>
      <c r="P17" s="6">
        <v>0.3</v>
      </c>
      <c r="Q17" s="6">
        <f t="shared" si="9"/>
        <v>130000</v>
      </c>
      <c r="R17" s="6">
        <v>0.06</v>
      </c>
      <c r="S17" s="6">
        <f t="shared" si="10"/>
        <v>106000</v>
      </c>
      <c r="T17" s="6">
        <f t="shared" si="11"/>
        <v>181.93115841584159</v>
      </c>
      <c r="U17" s="6">
        <f t="shared" si="12"/>
        <v>8.4680498758118064E-11</v>
      </c>
      <c r="V17" s="6">
        <f t="shared" si="13"/>
        <v>50994596352138.703</v>
      </c>
      <c r="W17" s="6">
        <f t="shared" si="14"/>
        <v>5</v>
      </c>
      <c r="X17" s="15">
        <f t="shared" si="15"/>
        <v>8.7517880817865398E-11</v>
      </c>
      <c r="Y17" s="15">
        <f t="shared" si="16"/>
        <v>52703267828518.547</v>
      </c>
    </row>
    <row r="18" spans="1:25" x14ac:dyDescent="0.25">
      <c r="A18" s="5">
        <v>88</v>
      </c>
      <c r="B18" s="5">
        <f t="shared" si="1"/>
        <v>1.4666666666666666</v>
      </c>
      <c r="C18" s="5">
        <v>20</v>
      </c>
      <c r="D18" s="5">
        <f t="shared" si="0"/>
        <v>29.146000000000001</v>
      </c>
      <c r="E18" s="5">
        <f t="shared" si="2"/>
        <v>4.8576666666666667E-7</v>
      </c>
      <c r="F18" s="5">
        <v>21.1</v>
      </c>
      <c r="G18" s="5">
        <f t="shared" si="3"/>
        <v>294.10000000000002</v>
      </c>
      <c r="H18" s="5">
        <v>101.3</v>
      </c>
      <c r="I18" s="5">
        <f t="shared" si="4"/>
        <v>101300</v>
      </c>
      <c r="J18" s="5">
        <f t="shared" si="5"/>
        <v>2.0124824921938581E-5</v>
      </c>
      <c r="K18" s="33">
        <v>1773.1881188118812</v>
      </c>
      <c r="L18" s="6">
        <f t="shared" si="6"/>
        <v>1.7731881188118811E-3</v>
      </c>
      <c r="M18" s="5">
        <f t="shared" si="7"/>
        <v>4.7762865441819992E-3</v>
      </c>
      <c r="N18" s="37">
        <f t="shared" si="8"/>
        <v>1.4942612891690428E-5</v>
      </c>
      <c r="O18" s="37">
        <v>2.032E-3</v>
      </c>
      <c r="P18" s="6">
        <v>0.3</v>
      </c>
      <c r="Q18" s="6">
        <f t="shared" si="9"/>
        <v>130000</v>
      </c>
      <c r="R18" s="6">
        <v>0.06</v>
      </c>
      <c r="S18" s="6">
        <f t="shared" si="10"/>
        <v>106000</v>
      </c>
      <c r="T18" s="6">
        <f t="shared" si="11"/>
        <v>187.95794059405941</v>
      </c>
      <c r="U18" s="6">
        <f t="shared" si="12"/>
        <v>8.7541577838839531E-11</v>
      </c>
      <c r="V18" s="6">
        <f t="shared" si="13"/>
        <v>52717538174549.164</v>
      </c>
      <c r="W18" s="6">
        <f t="shared" si="14"/>
        <v>5</v>
      </c>
      <c r="X18" s="15">
        <f t="shared" si="15"/>
        <v>9.0536543167827288E-11</v>
      </c>
      <c r="Y18" s="15">
        <f t="shared" si="16"/>
        <v>54521106295665.594</v>
      </c>
    </row>
    <row r="19" spans="1:25" x14ac:dyDescent="0.25">
      <c r="A19" s="5">
        <v>93.5</v>
      </c>
      <c r="B19" s="5">
        <f t="shared" si="1"/>
        <v>1.5583333333333333</v>
      </c>
      <c r="C19" s="5">
        <v>20</v>
      </c>
      <c r="D19" s="5">
        <f t="shared" si="0"/>
        <v>29.146000000000001</v>
      </c>
      <c r="E19" s="5">
        <f t="shared" si="2"/>
        <v>4.8576666666666667E-7</v>
      </c>
      <c r="F19" s="5">
        <v>21.1</v>
      </c>
      <c r="G19" s="5">
        <f t="shared" si="3"/>
        <v>294.10000000000002</v>
      </c>
      <c r="H19" s="5">
        <v>101.3</v>
      </c>
      <c r="I19" s="5">
        <f t="shared" si="4"/>
        <v>101300</v>
      </c>
      <c r="J19" s="5">
        <f t="shared" si="5"/>
        <v>2.0124824921938581E-5</v>
      </c>
      <c r="K19" s="33">
        <v>1800.9603960396039</v>
      </c>
      <c r="L19" s="6">
        <f t="shared" si="6"/>
        <v>1.800960396039604E-3</v>
      </c>
      <c r="M19" s="5">
        <f t="shared" si="7"/>
        <v>4.7762865441819992E-3</v>
      </c>
      <c r="N19" s="37">
        <f t="shared" si="8"/>
        <v>1.5176649192369363E-5</v>
      </c>
      <c r="O19" s="37">
        <v>2.032E-3</v>
      </c>
      <c r="P19" s="6">
        <v>0.3</v>
      </c>
      <c r="Q19" s="6">
        <f t="shared" si="9"/>
        <v>130000</v>
      </c>
      <c r="R19" s="6">
        <v>0.06</v>
      </c>
      <c r="S19" s="6">
        <f t="shared" si="10"/>
        <v>106000</v>
      </c>
      <c r="T19" s="6">
        <f t="shared" si="11"/>
        <v>190.90180198019803</v>
      </c>
      <c r="U19" s="6">
        <f t="shared" si="12"/>
        <v>8.8940107729639949E-11</v>
      </c>
      <c r="V19" s="6">
        <f t="shared" si="13"/>
        <v>53559732874789.18</v>
      </c>
      <c r="W19" s="6">
        <f t="shared" si="14"/>
        <v>5</v>
      </c>
      <c r="X19" s="15">
        <f t="shared" si="15"/>
        <v>9.2013241485269439E-11</v>
      </c>
      <c r="Y19" s="15">
        <f t="shared" si="16"/>
        <v>55410374022429.258</v>
      </c>
    </row>
    <row r="20" spans="1:25" x14ac:dyDescent="0.25">
      <c r="A20" s="5">
        <v>99</v>
      </c>
      <c r="B20" s="5">
        <f t="shared" si="1"/>
        <v>1.65</v>
      </c>
      <c r="C20" s="5">
        <v>20</v>
      </c>
      <c r="D20" s="5">
        <f t="shared" si="0"/>
        <v>29.146000000000001</v>
      </c>
      <c r="E20" s="5">
        <f t="shared" si="2"/>
        <v>4.8576666666666667E-7</v>
      </c>
      <c r="F20" s="5">
        <v>21.1</v>
      </c>
      <c r="G20" s="5">
        <f t="shared" si="3"/>
        <v>294.10000000000002</v>
      </c>
      <c r="H20" s="5">
        <v>101.3</v>
      </c>
      <c r="I20" s="5">
        <f t="shared" si="4"/>
        <v>101300</v>
      </c>
      <c r="J20" s="5">
        <f t="shared" si="5"/>
        <v>2.0124824921938581E-5</v>
      </c>
      <c r="K20" s="33">
        <v>1828.1881188118814</v>
      </c>
      <c r="L20" s="6">
        <f t="shared" si="6"/>
        <v>1.8281881188118815E-3</v>
      </c>
      <c r="M20" s="5">
        <f t="shared" si="7"/>
        <v>4.7762865441819992E-3</v>
      </c>
      <c r="N20" s="37">
        <f t="shared" si="8"/>
        <v>1.5406096545976164E-5</v>
      </c>
      <c r="O20" s="37">
        <v>2.032E-3</v>
      </c>
      <c r="P20" s="6">
        <v>0.3</v>
      </c>
      <c r="Q20" s="6">
        <f t="shared" si="9"/>
        <v>130000</v>
      </c>
      <c r="R20" s="6">
        <v>0.06</v>
      </c>
      <c r="S20" s="6">
        <f t="shared" si="10"/>
        <v>106000</v>
      </c>
      <c r="T20" s="6">
        <f t="shared" si="11"/>
        <v>193.78794059405942</v>
      </c>
      <c r="U20" s="6">
        <f t="shared" si="12"/>
        <v>9.0311845420559802E-11</v>
      </c>
      <c r="V20" s="6">
        <f t="shared" si="13"/>
        <v>54385793312261.117</v>
      </c>
      <c r="W20" s="6">
        <f t="shared" si="14"/>
        <v>5</v>
      </c>
      <c r="X20" s="15">
        <f t="shared" si="15"/>
        <v>9.3462370711618729E-11</v>
      </c>
      <c r="Y20" s="15">
        <f t="shared" si="16"/>
        <v>56283039642536.805</v>
      </c>
    </row>
    <row r="21" spans="1:25" x14ac:dyDescent="0.25">
      <c r="A21" s="5">
        <v>104.5</v>
      </c>
      <c r="B21" s="5">
        <f t="shared" si="1"/>
        <v>1.7416666666666667</v>
      </c>
      <c r="C21" s="5">
        <v>20</v>
      </c>
      <c r="D21" s="5">
        <f t="shared" si="0"/>
        <v>29.146000000000001</v>
      </c>
      <c r="E21" s="5">
        <f t="shared" si="2"/>
        <v>4.8576666666666667E-7</v>
      </c>
      <c r="F21" s="5">
        <v>21.1</v>
      </c>
      <c r="G21" s="5">
        <f t="shared" si="3"/>
        <v>294.10000000000002</v>
      </c>
      <c r="H21" s="5">
        <v>101.3</v>
      </c>
      <c r="I21" s="5">
        <f t="shared" si="4"/>
        <v>101300</v>
      </c>
      <c r="J21" s="5">
        <f t="shared" si="5"/>
        <v>2.0124824921938581E-5</v>
      </c>
      <c r="K21" s="33">
        <v>1843.5594059405942</v>
      </c>
      <c r="L21" s="6">
        <f t="shared" si="6"/>
        <v>1.8435594059405941E-3</v>
      </c>
      <c r="M21" s="5">
        <f t="shared" si="7"/>
        <v>4.7762865441819992E-3</v>
      </c>
      <c r="N21" s="37">
        <f t="shared" si="8"/>
        <v>1.5535630006512362E-5</v>
      </c>
      <c r="O21" s="37">
        <v>2.032E-3</v>
      </c>
      <c r="P21" s="6">
        <v>0.3</v>
      </c>
      <c r="Q21" s="6">
        <f t="shared" si="9"/>
        <v>130000</v>
      </c>
      <c r="R21" s="6">
        <v>0.06</v>
      </c>
      <c r="S21" s="6">
        <f t="shared" si="10"/>
        <v>106000</v>
      </c>
      <c r="T21" s="6">
        <f t="shared" si="11"/>
        <v>195.41729702970298</v>
      </c>
      <c r="U21" s="6">
        <f t="shared" si="12"/>
        <v>9.1086527561661734E-11</v>
      </c>
      <c r="V21" s="6">
        <f t="shared" si="13"/>
        <v>54852306897632.695</v>
      </c>
      <c r="W21" s="6">
        <f t="shared" si="14"/>
        <v>5</v>
      </c>
      <c r="X21" s="15">
        <f t="shared" si="15"/>
        <v>9.4281072923569056E-11</v>
      </c>
      <c r="Y21" s="15">
        <f t="shared" si="16"/>
        <v>56776062114573.289</v>
      </c>
    </row>
    <row r="22" spans="1:25" x14ac:dyDescent="0.25">
      <c r="A22" s="5">
        <v>110</v>
      </c>
      <c r="B22" s="5">
        <f t="shared" si="1"/>
        <v>1.8333333333333333</v>
      </c>
      <c r="C22" s="5">
        <v>20</v>
      </c>
      <c r="D22" s="5">
        <f t="shared" si="0"/>
        <v>29.146000000000001</v>
      </c>
      <c r="E22" s="5">
        <f t="shared" si="2"/>
        <v>4.8576666666666667E-7</v>
      </c>
      <c r="F22" s="5">
        <v>21.1</v>
      </c>
      <c r="G22" s="5">
        <f t="shared" si="3"/>
        <v>294.10000000000002</v>
      </c>
      <c r="H22" s="5">
        <v>101.3</v>
      </c>
      <c r="I22" s="5">
        <f t="shared" si="4"/>
        <v>101300</v>
      </c>
      <c r="J22" s="5">
        <f t="shared" si="5"/>
        <v>2.0124824921938581E-5</v>
      </c>
      <c r="K22" s="38">
        <v>1852.7178217821784</v>
      </c>
      <c r="L22" s="6">
        <f t="shared" si="6"/>
        <v>1.8527178217821784E-3</v>
      </c>
      <c r="M22" s="5">
        <f t="shared" si="7"/>
        <v>4.7762865441819992E-3</v>
      </c>
      <c r="N22" s="52">
        <f t="shared" si="8"/>
        <v>1.5612807752725559E-5</v>
      </c>
      <c r="O22" s="37">
        <v>2.032E-3</v>
      </c>
      <c r="P22" s="6">
        <v>0.3</v>
      </c>
      <c r="Q22" s="6">
        <f t="shared" si="9"/>
        <v>130000</v>
      </c>
      <c r="R22" s="6">
        <v>0.06</v>
      </c>
      <c r="S22" s="6">
        <f t="shared" si="10"/>
        <v>106000</v>
      </c>
      <c r="T22" s="6">
        <f t="shared" si="11"/>
        <v>196.38808910891092</v>
      </c>
      <c r="U22" s="8">
        <f t="shared" si="12"/>
        <v>9.1548186974816335E-11</v>
      </c>
      <c r="V22" s="8">
        <f t="shared" si="13"/>
        <v>55130318196234.398</v>
      </c>
      <c r="W22" s="6">
        <f t="shared" si="14"/>
        <v>5</v>
      </c>
      <c r="X22" s="16">
        <f t="shared" si="15"/>
        <v>9.4769072600915082E-11</v>
      </c>
      <c r="Y22" s="16">
        <f t="shared" si="16"/>
        <v>57069935520271.063</v>
      </c>
    </row>
    <row r="23" spans="1:25" x14ac:dyDescent="0.25">
      <c r="A23" s="5">
        <v>115.5</v>
      </c>
      <c r="B23" s="5">
        <f t="shared" si="1"/>
        <v>1.925</v>
      </c>
      <c r="C23" s="5">
        <v>20</v>
      </c>
      <c r="D23" s="5">
        <f t="shared" si="0"/>
        <v>29.146000000000001</v>
      </c>
      <c r="E23" s="5">
        <f t="shared" si="2"/>
        <v>4.8576666666666667E-7</v>
      </c>
      <c r="F23" s="5">
        <v>21.1</v>
      </c>
      <c r="G23" s="5">
        <f t="shared" si="3"/>
        <v>294.10000000000002</v>
      </c>
      <c r="H23" s="5">
        <v>101.3</v>
      </c>
      <c r="I23" s="5">
        <f t="shared" si="4"/>
        <v>101300</v>
      </c>
      <c r="J23" s="5">
        <f t="shared" si="5"/>
        <v>2.0124824921938581E-5</v>
      </c>
      <c r="K23" s="38">
        <v>1853.0148514851487</v>
      </c>
      <c r="L23" s="6">
        <f t="shared" si="6"/>
        <v>1.8530148514851487E-3</v>
      </c>
      <c r="M23" s="5">
        <f t="shared" si="7"/>
        <v>4.7762865441819992E-3</v>
      </c>
      <c r="N23" s="52">
        <f t="shared" si="8"/>
        <v>1.5615310814764909E-5</v>
      </c>
      <c r="O23" s="37">
        <v>2.032E-3</v>
      </c>
      <c r="P23" s="6">
        <v>0.3</v>
      </c>
      <c r="Q23" s="6">
        <f t="shared" si="9"/>
        <v>130000</v>
      </c>
      <c r="R23" s="6">
        <v>0.06</v>
      </c>
      <c r="S23" s="6">
        <f t="shared" si="10"/>
        <v>106000</v>
      </c>
      <c r="T23" s="6">
        <f t="shared" si="11"/>
        <v>196.41957425742575</v>
      </c>
      <c r="U23" s="8">
        <f t="shared" si="12"/>
        <v>9.1563160879912776E-11</v>
      </c>
      <c r="V23" s="8">
        <f t="shared" si="13"/>
        <v>55139335481883.477</v>
      </c>
      <c r="W23" s="6">
        <f t="shared" si="14"/>
        <v>5</v>
      </c>
      <c r="X23" s="16">
        <f t="shared" si="15"/>
        <v>9.4784902189458592E-11</v>
      </c>
      <c r="Y23" s="16">
        <f t="shared" si="16"/>
        <v>57079468098491.969</v>
      </c>
    </row>
    <row r="24" spans="1:25" x14ac:dyDescent="0.25">
      <c r="A24" s="5">
        <v>121</v>
      </c>
      <c r="B24" s="5">
        <f t="shared" si="1"/>
        <v>2.0166666666666666</v>
      </c>
      <c r="C24" s="5">
        <v>20</v>
      </c>
      <c r="D24" s="5">
        <f t="shared" si="0"/>
        <v>29.146000000000001</v>
      </c>
      <c r="E24" s="5">
        <f t="shared" si="2"/>
        <v>4.8576666666666667E-7</v>
      </c>
      <c r="F24" s="5">
        <v>21.1</v>
      </c>
      <c r="G24" s="5">
        <f t="shared" si="3"/>
        <v>294.10000000000002</v>
      </c>
      <c r="H24" s="5">
        <v>101.3</v>
      </c>
      <c r="I24" s="5">
        <f t="shared" si="4"/>
        <v>101300</v>
      </c>
      <c r="J24" s="5">
        <f t="shared" si="5"/>
        <v>2.0124824921938581E-5</v>
      </c>
      <c r="K24" s="38">
        <v>1858.8069306930693</v>
      </c>
      <c r="L24" s="6">
        <f t="shared" si="6"/>
        <v>1.8588069306930692E-3</v>
      </c>
      <c r="M24" s="5">
        <f t="shared" si="7"/>
        <v>4.7762865441819992E-3</v>
      </c>
      <c r="N24" s="52">
        <f t="shared" si="8"/>
        <v>1.5664120524532169E-5</v>
      </c>
      <c r="O24" s="37">
        <v>2.032E-3</v>
      </c>
      <c r="P24" s="6">
        <v>0.3</v>
      </c>
      <c r="Q24" s="6">
        <f t="shared" si="9"/>
        <v>130000</v>
      </c>
      <c r="R24" s="6">
        <v>0.06</v>
      </c>
      <c r="S24" s="6">
        <f t="shared" si="10"/>
        <v>106000</v>
      </c>
      <c r="T24" s="6">
        <f t="shared" si="11"/>
        <v>197.03353465346532</v>
      </c>
      <c r="U24" s="8">
        <f t="shared" si="12"/>
        <v>9.1855166670750711E-11</v>
      </c>
      <c r="V24" s="8">
        <f t="shared" si="13"/>
        <v>55315181369126.078</v>
      </c>
      <c r="W24" s="6">
        <f t="shared" si="14"/>
        <v>5</v>
      </c>
      <c r="X24" s="16">
        <f t="shared" si="15"/>
        <v>9.5093611429598902E-11</v>
      </c>
      <c r="Y24" s="16">
        <f t="shared" si="16"/>
        <v>57265372802904.461</v>
      </c>
    </row>
    <row r="25" spans="1:25" x14ac:dyDescent="0.25">
      <c r="A25" s="5">
        <v>126.5</v>
      </c>
      <c r="B25" s="5">
        <f t="shared" si="1"/>
        <v>2.1083333333333334</v>
      </c>
      <c r="C25" s="5">
        <v>20</v>
      </c>
      <c r="D25" s="5">
        <f t="shared" si="0"/>
        <v>29.146000000000001</v>
      </c>
      <c r="E25" s="5">
        <f t="shared" si="2"/>
        <v>4.8576666666666667E-7</v>
      </c>
      <c r="F25" s="5">
        <v>21.1</v>
      </c>
      <c r="G25" s="5">
        <f t="shared" si="3"/>
        <v>294.10000000000002</v>
      </c>
      <c r="H25" s="5">
        <v>101.3</v>
      </c>
      <c r="I25" s="5">
        <f t="shared" si="4"/>
        <v>101300</v>
      </c>
      <c r="J25" s="5">
        <f t="shared" si="5"/>
        <v>2.0124824921938581E-5</v>
      </c>
      <c r="K25" s="38">
        <v>1863.9059405940595</v>
      </c>
      <c r="L25" s="6">
        <f t="shared" si="6"/>
        <v>1.8639059405940596E-3</v>
      </c>
      <c r="M25" s="5">
        <f t="shared" si="7"/>
        <v>4.7762865441819992E-3</v>
      </c>
      <c r="N25" s="52">
        <f t="shared" si="8"/>
        <v>1.5707089756207628E-5</v>
      </c>
      <c r="O25" s="37">
        <v>2.032E-3</v>
      </c>
      <c r="P25" s="6">
        <v>0.3</v>
      </c>
      <c r="Q25" s="6">
        <f t="shared" si="9"/>
        <v>130000</v>
      </c>
      <c r="R25" s="6">
        <v>0.06</v>
      </c>
      <c r="S25" s="6">
        <f t="shared" si="10"/>
        <v>106000</v>
      </c>
      <c r="T25" s="6">
        <f t="shared" si="11"/>
        <v>197.57402970297031</v>
      </c>
      <c r="U25" s="8">
        <f t="shared" si="12"/>
        <v>9.2112254631467613E-11</v>
      </c>
      <c r="V25" s="8">
        <f t="shared" si="13"/>
        <v>55469999739069.797</v>
      </c>
      <c r="W25" s="6">
        <f t="shared" si="14"/>
        <v>5</v>
      </c>
      <c r="X25" s="16">
        <f t="shared" si="15"/>
        <v>9.5365431865051043E-11</v>
      </c>
      <c r="Y25" s="16">
        <f t="shared" si="16"/>
        <v>57429063069133.742</v>
      </c>
    </row>
    <row r="26" spans="1:25" x14ac:dyDescent="0.25">
      <c r="A26" s="5">
        <v>132</v>
      </c>
      <c r="B26" s="5">
        <f t="shared" si="1"/>
        <v>2.2000000000000002</v>
      </c>
      <c r="C26" s="5">
        <v>20</v>
      </c>
      <c r="D26" s="5">
        <f t="shared" si="0"/>
        <v>29.146000000000001</v>
      </c>
      <c r="E26" s="5">
        <f t="shared" si="2"/>
        <v>4.8576666666666667E-7</v>
      </c>
      <c r="F26" s="5">
        <v>21.1</v>
      </c>
      <c r="G26" s="5">
        <f t="shared" si="3"/>
        <v>294.10000000000002</v>
      </c>
      <c r="H26" s="5">
        <v>101.3</v>
      </c>
      <c r="I26" s="5">
        <f t="shared" si="4"/>
        <v>101300</v>
      </c>
      <c r="J26" s="5">
        <f t="shared" si="5"/>
        <v>2.0124824921938581E-5</v>
      </c>
      <c r="K26" s="38">
        <v>1854.7475247524751</v>
      </c>
      <c r="L26" s="6">
        <f t="shared" si="6"/>
        <v>1.8547475247524751E-3</v>
      </c>
      <c r="M26" s="5">
        <f t="shared" si="7"/>
        <v>4.7762865441819992E-3</v>
      </c>
      <c r="N26" s="52">
        <f t="shared" si="8"/>
        <v>1.5629912009994427E-5</v>
      </c>
      <c r="O26" s="37">
        <v>2.032E-3</v>
      </c>
      <c r="P26" s="6">
        <v>0.3</v>
      </c>
      <c r="Q26" s="6">
        <f t="shared" si="9"/>
        <v>130000</v>
      </c>
      <c r="R26" s="6">
        <v>0.06</v>
      </c>
      <c r="S26" s="6">
        <f t="shared" si="10"/>
        <v>106000</v>
      </c>
      <c r="T26" s="6">
        <f t="shared" si="11"/>
        <v>196.60323762376237</v>
      </c>
      <c r="U26" s="8">
        <f t="shared" si="12"/>
        <v>9.1650510120091191E-11</v>
      </c>
      <c r="V26" s="8">
        <f t="shared" si="13"/>
        <v>55191937194318.922</v>
      </c>
      <c r="W26" s="6">
        <f t="shared" si="14"/>
        <v>5</v>
      </c>
      <c r="X26" s="16">
        <f t="shared" si="15"/>
        <v>9.4877244674034169E-11</v>
      </c>
      <c r="Y26" s="16">
        <f t="shared" si="16"/>
        <v>57135076742703.383</v>
      </c>
    </row>
    <row r="27" spans="1:25" x14ac:dyDescent="0.25">
      <c r="A27" s="5">
        <v>137.5</v>
      </c>
      <c r="B27" s="5">
        <f t="shared" si="1"/>
        <v>2.2916666666666665</v>
      </c>
      <c r="C27" s="5">
        <v>20</v>
      </c>
      <c r="D27" s="5">
        <f t="shared" si="0"/>
        <v>29.146000000000001</v>
      </c>
      <c r="E27" s="5">
        <f t="shared" si="2"/>
        <v>4.8576666666666667E-7</v>
      </c>
      <c r="F27" s="5">
        <v>21.1</v>
      </c>
      <c r="G27" s="5">
        <f t="shared" si="3"/>
        <v>294.10000000000002</v>
      </c>
      <c r="H27" s="5">
        <v>101.3</v>
      </c>
      <c r="I27" s="5">
        <f t="shared" si="4"/>
        <v>101300</v>
      </c>
      <c r="J27" s="5">
        <f t="shared" si="5"/>
        <v>2.0124824921938581E-5</v>
      </c>
      <c r="K27" s="38">
        <v>1863.6584158415842</v>
      </c>
      <c r="L27" s="6">
        <f t="shared" si="6"/>
        <v>1.8636584158415843E-3</v>
      </c>
      <c r="M27" s="5">
        <f t="shared" si="7"/>
        <v>4.7762865441819992E-3</v>
      </c>
      <c r="N27" s="52">
        <f t="shared" si="8"/>
        <v>1.5705003871174837E-5</v>
      </c>
      <c r="O27" s="37">
        <v>2.032E-3</v>
      </c>
      <c r="P27" s="6">
        <v>0.3</v>
      </c>
      <c r="Q27" s="6">
        <f t="shared" si="9"/>
        <v>130000</v>
      </c>
      <c r="R27" s="6">
        <v>0.06</v>
      </c>
      <c r="S27" s="6">
        <f t="shared" si="10"/>
        <v>106000</v>
      </c>
      <c r="T27" s="6">
        <f t="shared" si="11"/>
        <v>197.54779207920794</v>
      </c>
      <c r="U27" s="8">
        <f t="shared" si="12"/>
        <v>9.2099774135716243E-11</v>
      </c>
      <c r="V27" s="8">
        <f t="shared" si="13"/>
        <v>55462483984528.32</v>
      </c>
      <c r="W27" s="6">
        <f t="shared" si="14"/>
        <v>5</v>
      </c>
      <c r="X27" s="16">
        <f t="shared" si="15"/>
        <v>9.5352235601403671E-11</v>
      </c>
      <c r="Y27" s="16">
        <f t="shared" si="16"/>
        <v>57421116279165.297</v>
      </c>
    </row>
    <row r="28" spans="1:25" x14ac:dyDescent="0.25">
      <c r="A28" s="5">
        <v>143</v>
      </c>
      <c r="B28" s="5">
        <f t="shared" si="1"/>
        <v>2.3833333333333333</v>
      </c>
      <c r="C28" s="5">
        <v>20</v>
      </c>
      <c r="D28" s="5">
        <f t="shared" si="0"/>
        <v>29.146000000000001</v>
      </c>
      <c r="E28" s="5">
        <f t="shared" si="2"/>
        <v>4.8576666666666667E-7</v>
      </c>
      <c r="F28" s="5">
        <v>21.1</v>
      </c>
      <c r="G28" s="5">
        <f t="shared" si="3"/>
        <v>294.10000000000002</v>
      </c>
      <c r="H28" s="5">
        <v>101.3</v>
      </c>
      <c r="I28" s="5">
        <f t="shared" si="4"/>
        <v>101300</v>
      </c>
      <c r="J28" s="5">
        <f t="shared" si="5"/>
        <v>2.0124824921938581E-5</v>
      </c>
      <c r="K28" s="38">
        <v>1873.4356435643563</v>
      </c>
      <c r="L28" s="6">
        <f t="shared" si="6"/>
        <v>1.8734356435643562E-3</v>
      </c>
      <c r="M28" s="5">
        <f t="shared" si="7"/>
        <v>4.7762865441819992E-3</v>
      </c>
      <c r="N28" s="52">
        <f t="shared" si="8"/>
        <v>1.5787396329970002E-5</v>
      </c>
      <c r="O28" s="37">
        <v>2.032E-3</v>
      </c>
      <c r="P28" s="6">
        <v>0.3</v>
      </c>
      <c r="Q28" s="6">
        <f t="shared" si="9"/>
        <v>130000</v>
      </c>
      <c r="R28" s="6">
        <v>0.06</v>
      </c>
      <c r="S28" s="6">
        <f t="shared" si="10"/>
        <v>106000</v>
      </c>
      <c r="T28" s="6">
        <f t="shared" si="11"/>
        <v>198.58417821782177</v>
      </c>
      <c r="U28" s="8">
        <f t="shared" si="12"/>
        <v>9.2592792285878528E-11</v>
      </c>
      <c r="V28" s="8">
        <f t="shared" si="13"/>
        <v>55759379514556.055</v>
      </c>
      <c r="W28" s="6">
        <f t="shared" si="14"/>
        <v>5</v>
      </c>
      <c r="X28" s="16">
        <f t="shared" si="15"/>
        <v>9.5873573035327619E-11</v>
      </c>
      <c r="Y28" s="16">
        <f t="shared" si="16"/>
        <v>57735065681874.297</v>
      </c>
    </row>
    <row r="29" spans="1:25" x14ac:dyDescent="0.25">
      <c r="A29" s="5">
        <v>148.5</v>
      </c>
      <c r="B29" s="5">
        <f t="shared" si="1"/>
        <v>2.4750000000000001</v>
      </c>
      <c r="C29" s="5">
        <v>20</v>
      </c>
      <c r="D29" s="5">
        <f t="shared" si="0"/>
        <v>29.146000000000001</v>
      </c>
      <c r="E29" s="5">
        <f t="shared" si="2"/>
        <v>4.8576666666666667E-7</v>
      </c>
      <c r="F29" s="5">
        <v>21.1</v>
      </c>
      <c r="G29" s="5">
        <f t="shared" si="3"/>
        <v>294.10000000000002</v>
      </c>
      <c r="H29" s="5">
        <v>101.3</v>
      </c>
      <c r="I29" s="5">
        <f t="shared" si="4"/>
        <v>101300</v>
      </c>
      <c r="J29" s="5">
        <f t="shared" si="5"/>
        <v>2.0124824921938581E-5</v>
      </c>
      <c r="K29" s="38">
        <v>1864.6980198019801</v>
      </c>
      <c r="L29" s="6">
        <f t="shared" si="6"/>
        <v>1.8646980198019801E-3</v>
      </c>
      <c r="M29" s="5">
        <f t="shared" si="7"/>
        <v>4.7762865441819992E-3</v>
      </c>
      <c r="N29" s="52">
        <f t="shared" si="8"/>
        <v>1.5713764588312548E-5</v>
      </c>
      <c r="O29" s="37">
        <v>2.032E-3</v>
      </c>
      <c r="P29" s="6">
        <v>0.3</v>
      </c>
      <c r="Q29" s="6">
        <f t="shared" si="9"/>
        <v>130000</v>
      </c>
      <c r="R29" s="6">
        <v>0.06</v>
      </c>
      <c r="S29" s="6">
        <f t="shared" si="10"/>
        <v>106000</v>
      </c>
      <c r="T29" s="6">
        <f t="shared" si="11"/>
        <v>197.65799009900988</v>
      </c>
      <c r="U29" s="8">
        <f t="shared" si="12"/>
        <v>9.2152192558963032E-11</v>
      </c>
      <c r="V29" s="8">
        <f t="shared" si="13"/>
        <v>55494050359007.539</v>
      </c>
      <c r="W29" s="6">
        <f t="shared" si="14"/>
        <v>5</v>
      </c>
      <c r="X29" s="16">
        <f t="shared" si="15"/>
        <v>9.5407660660560397E-11</v>
      </c>
      <c r="Y29" s="16">
        <f t="shared" si="16"/>
        <v>57454493249789.477</v>
      </c>
    </row>
    <row r="30" spans="1:25" x14ac:dyDescent="0.25">
      <c r="A30" s="5">
        <v>154</v>
      </c>
      <c r="B30" s="5">
        <f t="shared" si="1"/>
        <v>2.5666666666666669</v>
      </c>
      <c r="C30" s="5">
        <v>20</v>
      </c>
      <c r="D30" s="5">
        <f t="shared" si="0"/>
        <v>29.146000000000001</v>
      </c>
      <c r="E30" s="5">
        <f t="shared" si="2"/>
        <v>4.8576666666666667E-7</v>
      </c>
      <c r="F30" s="5">
        <v>21.1</v>
      </c>
      <c r="G30" s="5">
        <f t="shared" si="3"/>
        <v>294.10000000000002</v>
      </c>
      <c r="H30" s="5">
        <v>101.3</v>
      </c>
      <c r="I30" s="5">
        <f t="shared" si="4"/>
        <v>101300</v>
      </c>
      <c r="J30" s="5">
        <f t="shared" si="5"/>
        <v>2.0124824921938581E-5</v>
      </c>
      <c r="K30" s="38">
        <v>1877.4950495049504</v>
      </c>
      <c r="L30" s="6">
        <f t="shared" si="6"/>
        <v>1.8774950495049503E-3</v>
      </c>
      <c r="M30" s="5">
        <f t="shared" si="7"/>
        <v>4.7762865441819992E-3</v>
      </c>
      <c r="N30" s="52">
        <f t="shared" si="8"/>
        <v>1.5821604844507744E-5</v>
      </c>
      <c r="O30" s="37">
        <v>2.032E-3</v>
      </c>
      <c r="P30" s="6">
        <v>0.3</v>
      </c>
      <c r="Q30" s="6">
        <f t="shared" si="9"/>
        <v>130000</v>
      </c>
      <c r="R30" s="6">
        <v>0.06</v>
      </c>
      <c r="S30" s="6">
        <f t="shared" si="10"/>
        <v>106000</v>
      </c>
      <c r="T30" s="6">
        <f t="shared" si="11"/>
        <v>199.01447524752473</v>
      </c>
      <c r="U30" s="8">
        <f t="shared" si="12"/>
        <v>9.2797511654246043E-11</v>
      </c>
      <c r="V30" s="8">
        <f t="shared" si="13"/>
        <v>55882661518186.969</v>
      </c>
      <c r="W30" s="6">
        <f t="shared" si="14"/>
        <v>5</v>
      </c>
      <c r="X30" s="16">
        <f t="shared" si="15"/>
        <v>9.6090078263356401E-11</v>
      </c>
      <c r="Y30" s="16">
        <f t="shared" si="16"/>
        <v>57865445130193.227</v>
      </c>
    </row>
    <row r="31" spans="1:25" x14ac:dyDescent="0.25">
      <c r="A31" s="5">
        <v>159.5</v>
      </c>
      <c r="B31" s="5">
        <f t="shared" si="1"/>
        <v>2.6583333333333332</v>
      </c>
      <c r="C31" s="5">
        <v>20</v>
      </c>
      <c r="D31" s="5">
        <f t="shared" si="0"/>
        <v>29.146000000000001</v>
      </c>
      <c r="E31" s="5">
        <f t="shared" si="2"/>
        <v>4.8576666666666667E-7</v>
      </c>
      <c r="F31" s="5">
        <v>21.1</v>
      </c>
      <c r="G31" s="5">
        <f t="shared" si="3"/>
        <v>294.10000000000002</v>
      </c>
      <c r="H31" s="5">
        <v>101.3</v>
      </c>
      <c r="I31" s="5">
        <f t="shared" si="4"/>
        <v>101300</v>
      </c>
      <c r="J31" s="5">
        <f t="shared" si="5"/>
        <v>2.0124824921938581E-5</v>
      </c>
      <c r="K31" s="38">
        <v>1864.3514851485149</v>
      </c>
      <c r="L31" s="6">
        <f t="shared" si="6"/>
        <v>1.8643514851485149E-3</v>
      </c>
      <c r="M31" s="5">
        <f t="shared" si="7"/>
        <v>4.7762865441819992E-3</v>
      </c>
      <c r="N31" s="52">
        <f t="shared" si="8"/>
        <v>1.5710844349266645E-5</v>
      </c>
      <c r="O31" s="37">
        <v>2.032E-3</v>
      </c>
      <c r="P31" s="6">
        <v>0.3</v>
      </c>
      <c r="Q31" s="6">
        <f t="shared" si="9"/>
        <v>130000</v>
      </c>
      <c r="R31" s="6">
        <v>0.06</v>
      </c>
      <c r="S31" s="6">
        <f t="shared" si="10"/>
        <v>106000</v>
      </c>
      <c r="T31" s="6">
        <f t="shared" si="11"/>
        <v>197.62125742574258</v>
      </c>
      <c r="U31" s="8">
        <f t="shared" si="12"/>
        <v>9.2134719651732748E-11</v>
      </c>
      <c r="V31" s="8">
        <f t="shared" si="13"/>
        <v>55483528174273.461</v>
      </c>
      <c r="W31" s="6">
        <f t="shared" si="14"/>
        <v>5</v>
      </c>
      <c r="X31" s="16">
        <f t="shared" si="15"/>
        <v>9.5389185421562241E-11</v>
      </c>
      <c r="Y31" s="16">
        <f t="shared" si="16"/>
        <v>57443367460864.781</v>
      </c>
    </row>
    <row r="32" spans="1:25" x14ac:dyDescent="0.25">
      <c r="A32" s="5">
        <v>165</v>
      </c>
      <c r="B32" s="5">
        <f t="shared" si="1"/>
        <v>2.75</v>
      </c>
      <c r="C32" s="5">
        <v>20</v>
      </c>
      <c r="D32" s="5">
        <f t="shared" si="0"/>
        <v>29.146000000000001</v>
      </c>
      <c r="E32" s="5">
        <f t="shared" si="2"/>
        <v>4.8576666666666667E-7</v>
      </c>
      <c r="F32" s="5">
        <v>21.1</v>
      </c>
      <c r="G32" s="5">
        <f t="shared" si="3"/>
        <v>294.10000000000002</v>
      </c>
      <c r="H32" s="5">
        <v>101.3</v>
      </c>
      <c r="I32" s="5">
        <f t="shared" si="4"/>
        <v>101300</v>
      </c>
      <c r="J32" s="5">
        <f t="shared" si="5"/>
        <v>2.0124824921938581E-5</v>
      </c>
      <c r="K32" s="38">
        <v>1882</v>
      </c>
      <c r="L32" s="6">
        <f t="shared" si="6"/>
        <v>1.882E-3</v>
      </c>
      <c r="M32" s="5">
        <f t="shared" si="7"/>
        <v>4.7762865441819992E-3</v>
      </c>
      <c r="N32" s="52">
        <f t="shared" si="8"/>
        <v>1.5859567952104507E-5</v>
      </c>
      <c r="O32" s="37">
        <v>2.032E-3</v>
      </c>
      <c r="P32" s="6">
        <v>0.3</v>
      </c>
      <c r="Q32" s="6">
        <f t="shared" si="9"/>
        <v>130000</v>
      </c>
      <c r="R32" s="6">
        <v>0.06</v>
      </c>
      <c r="S32" s="6">
        <f t="shared" si="10"/>
        <v>106000</v>
      </c>
      <c r="T32" s="6">
        <f t="shared" si="11"/>
        <v>199.49199999999999</v>
      </c>
      <c r="U32" s="8">
        <f t="shared" si="12"/>
        <v>9.3024716151602691E-11</v>
      </c>
      <c r="V32" s="8">
        <f t="shared" si="13"/>
        <v>56019484066495.141</v>
      </c>
      <c r="W32" s="6">
        <f t="shared" si="14"/>
        <v>5</v>
      </c>
      <c r="X32" s="16">
        <f t="shared" si="15"/>
        <v>9.6330381388404607E-11</v>
      </c>
      <c r="Y32" s="16">
        <f t="shared" si="16"/>
        <v>58010155672097.258</v>
      </c>
    </row>
    <row r="33" spans="1:25" x14ac:dyDescent="0.25">
      <c r="A33" s="5">
        <v>170.5</v>
      </c>
      <c r="B33" s="5">
        <f t="shared" si="1"/>
        <v>2.8416666666666668</v>
      </c>
      <c r="C33" s="5">
        <v>20</v>
      </c>
      <c r="D33" s="5">
        <f t="shared" si="0"/>
        <v>29.146000000000001</v>
      </c>
      <c r="E33" s="5">
        <f t="shared" si="2"/>
        <v>4.8576666666666667E-7</v>
      </c>
      <c r="F33" s="5">
        <v>21.1</v>
      </c>
      <c r="G33" s="5">
        <f t="shared" si="3"/>
        <v>294.10000000000002</v>
      </c>
      <c r="H33" s="5">
        <v>101.3</v>
      </c>
      <c r="I33" s="5">
        <f t="shared" si="4"/>
        <v>101300</v>
      </c>
      <c r="J33" s="5">
        <f t="shared" si="5"/>
        <v>2.0124824921938581E-5</v>
      </c>
      <c r="K33" s="38">
        <v>1869.5247524752476</v>
      </c>
      <c r="L33" s="6">
        <f t="shared" si="6"/>
        <v>1.8695247524752477E-3</v>
      </c>
      <c r="M33" s="5">
        <f t="shared" si="7"/>
        <v>4.7762865441819992E-3</v>
      </c>
      <c r="N33" s="52">
        <f t="shared" si="8"/>
        <v>1.5754439346451938E-5</v>
      </c>
      <c r="O33" s="37">
        <v>2.032E-3</v>
      </c>
      <c r="P33" s="6">
        <v>0.3</v>
      </c>
      <c r="Q33" s="6">
        <f t="shared" si="9"/>
        <v>130000</v>
      </c>
      <c r="R33" s="6">
        <v>0.06</v>
      </c>
      <c r="S33" s="6">
        <f t="shared" si="10"/>
        <v>106000</v>
      </c>
      <c r="T33" s="6">
        <f t="shared" si="11"/>
        <v>198.16962376237626</v>
      </c>
      <c r="U33" s="8">
        <f t="shared" si="12"/>
        <v>9.2395575533317679E-11</v>
      </c>
      <c r="V33" s="8">
        <f t="shared" si="13"/>
        <v>55640615586163.906</v>
      </c>
      <c r="W33" s="6">
        <f t="shared" si="14"/>
        <v>5</v>
      </c>
      <c r="X33" s="16">
        <f t="shared" si="15"/>
        <v>9.566501713512616E-11</v>
      </c>
      <c r="Y33" s="16">
        <f t="shared" si="16"/>
        <v>57609473318772.977</v>
      </c>
    </row>
    <row r="34" spans="1:25" x14ac:dyDescent="0.25">
      <c r="A34" s="5">
        <v>176</v>
      </c>
      <c r="B34" s="5">
        <f t="shared" si="1"/>
        <v>2.9333333333333331</v>
      </c>
      <c r="C34" s="5">
        <v>20</v>
      </c>
      <c r="D34" s="5">
        <f t="shared" si="0"/>
        <v>29.146000000000001</v>
      </c>
      <c r="E34" s="5">
        <f t="shared" si="2"/>
        <v>4.8576666666666667E-7</v>
      </c>
      <c r="F34" s="5">
        <v>21.1</v>
      </c>
      <c r="G34" s="5">
        <f t="shared" si="3"/>
        <v>294.10000000000002</v>
      </c>
      <c r="H34" s="5">
        <v>101.3</v>
      </c>
      <c r="I34" s="5">
        <f t="shared" si="4"/>
        <v>101300</v>
      </c>
      <c r="J34" s="5">
        <f t="shared" si="5"/>
        <v>2.0124824921938581E-5</v>
      </c>
      <c r="K34" s="38">
        <v>1882.6683168316831</v>
      </c>
      <c r="L34" s="6">
        <f t="shared" si="6"/>
        <v>1.8826683168316832E-3</v>
      </c>
      <c r="M34" s="5">
        <f t="shared" si="7"/>
        <v>4.7762865441819992E-3</v>
      </c>
      <c r="N34" s="52">
        <f t="shared" si="8"/>
        <v>1.5865199841693037E-5</v>
      </c>
      <c r="O34" s="37">
        <v>2.032E-3</v>
      </c>
      <c r="P34" s="6">
        <v>0.3</v>
      </c>
      <c r="Q34" s="6">
        <f t="shared" si="9"/>
        <v>130000</v>
      </c>
      <c r="R34" s="6">
        <v>0.06</v>
      </c>
      <c r="S34" s="6">
        <f t="shared" si="10"/>
        <v>106000</v>
      </c>
      <c r="T34" s="6">
        <f t="shared" si="11"/>
        <v>199.56284158415841</v>
      </c>
      <c r="U34" s="8">
        <f t="shared" si="12"/>
        <v>9.3058423739766337E-11</v>
      </c>
      <c r="V34" s="8">
        <f t="shared" si="13"/>
        <v>56039782776087.289</v>
      </c>
      <c r="W34" s="6">
        <f t="shared" si="14"/>
        <v>5</v>
      </c>
      <c r="X34" s="16">
        <f t="shared" si="15"/>
        <v>9.6366033898988061E-11</v>
      </c>
      <c r="Y34" s="16">
        <f t="shared" si="16"/>
        <v>58031625613970.609</v>
      </c>
    </row>
    <row r="35" spans="1:25" x14ac:dyDescent="0.25">
      <c r="A35" s="5">
        <v>181.5</v>
      </c>
      <c r="B35" s="5">
        <f t="shared" si="1"/>
        <v>3.0249999999999999</v>
      </c>
      <c r="C35" s="5">
        <v>20</v>
      </c>
      <c r="D35" s="5">
        <f t="shared" si="0"/>
        <v>29.146000000000001</v>
      </c>
      <c r="E35" s="5">
        <f t="shared" si="2"/>
        <v>4.8576666666666667E-7</v>
      </c>
      <c r="F35" s="5">
        <v>21.1</v>
      </c>
      <c r="G35" s="5">
        <f t="shared" si="3"/>
        <v>294.10000000000002</v>
      </c>
      <c r="H35" s="5">
        <v>101.3</v>
      </c>
      <c r="I35" s="5">
        <f t="shared" si="4"/>
        <v>101300</v>
      </c>
      <c r="J35" s="5">
        <f t="shared" si="5"/>
        <v>2.0124824921938581E-5</v>
      </c>
      <c r="K35" s="38">
        <v>1862.2970297029703</v>
      </c>
      <c r="L35" s="6">
        <f t="shared" si="6"/>
        <v>1.8622970297029703E-3</v>
      </c>
      <c r="M35" s="5">
        <f t="shared" si="7"/>
        <v>4.7762865441819992E-3</v>
      </c>
      <c r="N35" s="52">
        <f t="shared" si="8"/>
        <v>1.5693531503494496E-5</v>
      </c>
      <c r="O35" s="37">
        <v>2.032E-3</v>
      </c>
      <c r="P35" s="6">
        <v>0.3</v>
      </c>
      <c r="Q35" s="6">
        <f t="shared" si="9"/>
        <v>130000</v>
      </c>
      <c r="R35" s="6">
        <v>0.06</v>
      </c>
      <c r="S35" s="6">
        <f t="shared" si="10"/>
        <v>106000</v>
      </c>
      <c r="T35" s="6">
        <f t="shared" si="11"/>
        <v>197.40348514851485</v>
      </c>
      <c r="U35" s="8">
        <f t="shared" si="12"/>
        <v>9.2031132316549547E-11</v>
      </c>
      <c r="V35" s="8">
        <f t="shared" si="13"/>
        <v>55421147881026.141</v>
      </c>
      <c r="W35" s="6">
        <f t="shared" si="14"/>
        <v>5</v>
      </c>
      <c r="X35" s="16">
        <f t="shared" si="15"/>
        <v>9.5279658151541791E-11</v>
      </c>
      <c r="Y35" s="16">
        <f t="shared" si="16"/>
        <v>57377410138858.469</v>
      </c>
    </row>
    <row r="36" spans="1:25" x14ac:dyDescent="0.25">
      <c r="A36" s="5">
        <v>187</v>
      </c>
      <c r="B36" s="5">
        <f t="shared" si="1"/>
        <v>3.1166666666666667</v>
      </c>
      <c r="C36" s="5">
        <v>20</v>
      </c>
      <c r="D36" s="5">
        <f t="shared" si="0"/>
        <v>29.146000000000001</v>
      </c>
      <c r="E36" s="5">
        <f t="shared" si="2"/>
        <v>4.8576666666666667E-7</v>
      </c>
      <c r="F36" s="5">
        <v>21.1</v>
      </c>
      <c r="G36" s="5">
        <f t="shared" si="3"/>
        <v>294.10000000000002</v>
      </c>
      <c r="H36" s="5">
        <v>101.3</v>
      </c>
      <c r="I36" s="5">
        <f t="shared" si="4"/>
        <v>101300</v>
      </c>
      <c r="J36" s="5">
        <f t="shared" si="5"/>
        <v>2.0124824921938581E-5</v>
      </c>
      <c r="K36" s="38">
        <v>1872.2722772277227</v>
      </c>
      <c r="L36" s="6">
        <f t="shared" si="6"/>
        <v>1.8722722772277227E-3</v>
      </c>
      <c r="M36" s="5">
        <f t="shared" si="7"/>
        <v>4.7762865441819992E-3</v>
      </c>
      <c r="N36" s="52">
        <f t="shared" si="8"/>
        <v>1.5777592670315895E-5</v>
      </c>
      <c r="O36" s="37">
        <v>2.032E-3</v>
      </c>
      <c r="P36" s="6">
        <v>0.3</v>
      </c>
      <c r="Q36" s="6">
        <f t="shared" si="9"/>
        <v>130000</v>
      </c>
      <c r="R36" s="6">
        <v>0.06</v>
      </c>
      <c r="S36" s="6">
        <f t="shared" si="10"/>
        <v>106000</v>
      </c>
      <c r="T36" s="6">
        <f t="shared" si="11"/>
        <v>198.46086138613862</v>
      </c>
      <c r="U36" s="8">
        <f t="shared" si="12"/>
        <v>9.253412522143263E-11</v>
      </c>
      <c r="V36" s="8">
        <f t="shared" si="13"/>
        <v>55724050208346.734</v>
      </c>
      <c r="W36" s="6">
        <f t="shared" si="14"/>
        <v>5</v>
      </c>
      <c r="X36" s="16">
        <f t="shared" si="15"/>
        <v>9.5811531341109305E-11</v>
      </c>
      <c r="Y36" s="16">
        <f t="shared" si="16"/>
        <v>57697704173616.023</v>
      </c>
    </row>
    <row r="37" spans="1:25" x14ac:dyDescent="0.25">
      <c r="A37" s="5">
        <v>192.5</v>
      </c>
      <c r="B37" s="5">
        <f t="shared" si="1"/>
        <v>3.2083333333333335</v>
      </c>
      <c r="C37" s="5">
        <v>20</v>
      </c>
      <c r="D37" s="5">
        <f t="shared" ref="D37" si="17">(C37*1.4573)</f>
        <v>29.146000000000001</v>
      </c>
      <c r="E37" s="5">
        <f t="shared" ref="E37" si="18">(D37/(1000000*60))</f>
        <v>4.8576666666666667E-7</v>
      </c>
      <c r="F37" s="5">
        <v>21.1</v>
      </c>
      <c r="G37" s="5">
        <f t="shared" ref="G37" si="19">(273+F37)</f>
        <v>294.10000000000002</v>
      </c>
      <c r="H37" s="5">
        <v>101.3</v>
      </c>
      <c r="I37" s="5">
        <f t="shared" ref="I37" si="20">(H37*1000)</f>
        <v>101300</v>
      </c>
      <c r="J37" s="5">
        <f t="shared" si="5"/>
        <v>2.0124824921938581E-5</v>
      </c>
      <c r="K37" s="38">
        <v>1881.628712871287</v>
      </c>
      <c r="L37" s="6">
        <f t="shared" ref="L37" si="21">(K37/1000000)</f>
        <v>1.8816287128712869E-3</v>
      </c>
      <c r="M37" s="5">
        <f t="shared" si="7"/>
        <v>4.7762865441819992E-3</v>
      </c>
      <c r="N37" s="52">
        <f t="shared" si="8"/>
        <v>1.585643912455532E-5</v>
      </c>
      <c r="O37" s="37">
        <v>2.032E-3</v>
      </c>
      <c r="P37" s="6">
        <v>0.3</v>
      </c>
      <c r="Q37" s="6">
        <f t="shared" si="9"/>
        <v>130000</v>
      </c>
      <c r="R37" s="6">
        <v>0.06</v>
      </c>
      <c r="S37" s="6">
        <f t="shared" ref="S37" si="22">(1+R37)*100000</f>
        <v>106000</v>
      </c>
      <c r="T37" s="6">
        <f t="shared" ref="T37" si="23">(L37*S37)</f>
        <v>199.45264356435641</v>
      </c>
      <c r="U37" s="8">
        <f t="shared" ref="U37" si="24">((N37*O37)/((SQRT(Q37))-(SQRT(T37))))</f>
        <v>9.3005989872936782E-11</v>
      </c>
      <c r="V37" s="8">
        <f t="shared" ref="V37" si="25">(U37*6.022E+23)</f>
        <v>56008207101482.531</v>
      </c>
      <c r="W37" s="6">
        <f t="shared" si="14"/>
        <v>5</v>
      </c>
      <c r="X37" s="16">
        <f t="shared" si="15"/>
        <v>9.6310574789195454E-11</v>
      </c>
      <c r="Y37" s="16">
        <f t="shared" si="16"/>
        <v>57998228138053.508</v>
      </c>
    </row>
    <row r="41" spans="1:25" x14ac:dyDescent="0.25">
      <c r="U41" s="39">
        <f>AVERAGE(U22:U37)</f>
        <v>9.2284764524948825E-11</v>
      </c>
      <c r="V41" s="39">
        <f>AVERAGE(V22:V37)</f>
        <v>55573885196924.172</v>
      </c>
      <c r="X41" s="43">
        <f>AVERAGE(X22:X37)</f>
        <v>9.5547887027852086E-11</v>
      </c>
      <c r="Y41" s="43">
        <f>AVERAGE(Y22:Y37)</f>
        <v>57538937568172.539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25CC-4EF7-42A0-9E2A-871203E63B0A}">
  <dimension ref="A1:Y38"/>
  <sheetViews>
    <sheetView topLeftCell="W23" zoomScale="110" zoomScaleNormal="110" workbookViewId="0">
      <selection activeCell="Y38" sqref="Y38"/>
    </sheetView>
  </sheetViews>
  <sheetFormatPr defaultRowHeight="13.8" x14ac:dyDescent="0.25"/>
  <cols>
    <col min="1" max="4" width="22.109375" style="7" customWidth="1"/>
    <col min="5" max="5" width="18.77734375" style="7" customWidth="1"/>
    <col min="6" max="6" width="17.33203125" style="7" customWidth="1"/>
    <col min="7" max="7" width="16.6640625" style="7" customWidth="1"/>
    <col min="8" max="8" width="20.88671875" style="7" customWidth="1"/>
    <col min="9" max="9" width="19.21875" style="7" customWidth="1"/>
    <col min="10" max="10" width="23.109375" style="7" customWidth="1"/>
    <col min="11" max="11" width="13.6640625" style="34" customWidth="1"/>
    <col min="12" max="12" width="20.88671875" style="10" customWidth="1"/>
    <col min="13" max="13" width="31.6640625" style="7" customWidth="1"/>
    <col min="14" max="14" width="17.88671875" style="45" customWidth="1"/>
    <col min="15" max="15" width="23" style="45" customWidth="1"/>
    <col min="16" max="16" width="20.6640625" style="10" customWidth="1"/>
    <col min="17" max="17" width="26.88671875" style="20" customWidth="1"/>
    <col min="18" max="18" width="20.6640625" style="20" customWidth="1"/>
    <col min="19" max="20" width="20.6640625" style="10" customWidth="1"/>
    <col min="21" max="21" width="38.44140625" style="25" customWidth="1"/>
    <col min="22" max="22" width="36" style="7" customWidth="1"/>
    <col min="23" max="23" width="36.44140625" style="10" customWidth="1"/>
    <col min="24" max="24" width="45.44140625" style="19" customWidth="1"/>
    <col min="25" max="25" width="51.6640625" style="19" customWidth="1"/>
    <col min="26" max="16384" width="8.88671875" style="19"/>
  </cols>
  <sheetData>
    <row r="1" spans="1:25" s="4" customFormat="1" ht="55.2" x14ac:dyDescent="0.3">
      <c r="A1" s="1" t="s">
        <v>7</v>
      </c>
      <c r="B1" s="2" t="s">
        <v>6</v>
      </c>
      <c r="C1" s="1" t="s">
        <v>2</v>
      </c>
      <c r="D1" s="1" t="s">
        <v>1</v>
      </c>
      <c r="E1" s="2" t="s">
        <v>0</v>
      </c>
      <c r="F1" s="1" t="s">
        <v>3</v>
      </c>
      <c r="G1" s="2" t="s">
        <v>10</v>
      </c>
      <c r="H1" s="1" t="s">
        <v>4</v>
      </c>
      <c r="I1" s="2" t="s">
        <v>11</v>
      </c>
      <c r="J1" s="2" t="s">
        <v>8</v>
      </c>
      <c r="K1" s="32" t="s">
        <v>5</v>
      </c>
      <c r="L1" s="3" t="s">
        <v>18</v>
      </c>
      <c r="M1" s="2" t="s">
        <v>9</v>
      </c>
      <c r="N1" s="44" t="s">
        <v>27</v>
      </c>
      <c r="O1" s="44" t="s">
        <v>12</v>
      </c>
      <c r="P1" s="9" t="s">
        <v>16</v>
      </c>
      <c r="Q1" s="3" t="s">
        <v>17</v>
      </c>
      <c r="R1" s="3" t="s">
        <v>13</v>
      </c>
      <c r="S1" s="3" t="s">
        <v>14</v>
      </c>
      <c r="T1" s="3" t="s">
        <v>15</v>
      </c>
      <c r="U1" s="2" t="s">
        <v>28</v>
      </c>
      <c r="V1" s="12" t="s">
        <v>29</v>
      </c>
      <c r="W1" s="3" t="s">
        <v>26</v>
      </c>
      <c r="X1" s="41" t="s">
        <v>30</v>
      </c>
      <c r="Y1" s="41" t="s">
        <v>31</v>
      </c>
    </row>
    <row r="2" spans="1:25" x14ac:dyDescent="0.25">
      <c r="A2" s="5">
        <v>0</v>
      </c>
      <c r="B2" s="5">
        <f>(A2/60)</f>
        <v>0</v>
      </c>
      <c r="C2" s="5">
        <v>20</v>
      </c>
      <c r="D2" s="5">
        <f t="shared" ref="D2:D33" si="0">(C2*1.4573)</f>
        <v>29.146000000000001</v>
      </c>
      <c r="E2" s="5">
        <f>(D2/(1000000*60))</f>
        <v>4.8576666666666667E-7</v>
      </c>
      <c r="F2" s="5">
        <v>21.1</v>
      </c>
      <c r="G2" s="5">
        <f>(273+F2)</f>
        <v>294.10000000000002</v>
      </c>
      <c r="H2" s="5">
        <v>101.3</v>
      </c>
      <c r="I2" s="5">
        <f>(H2*1000)</f>
        <v>101300</v>
      </c>
      <c r="J2" s="5">
        <f>((I2*E2)/(8.314*G2))</f>
        <v>2.0124824921938581E-5</v>
      </c>
      <c r="K2" s="33">
        <v>23.559405940594061</v>
      </c>
      <c r="L2" s="6">
        <f>(K2/1000000)</f>
        <v>2.3559405940594062E-5</v>
      </c>
      <c r="M2" s="5">
        <f>(3.142*3.07*3.07*25.4*25.4)/(4*1000000)</f>
        <v>4.7762865441819992E-3</v>
      </c>
      <c r="N2" s="37">
        <f>(2*L2*J2)/M2</f>
        <v>1.9853453742086403E-7</v>
      </c>
      <c r="O2" s="37">
        <v>2.032E-3</v>
      </c>
      <c r="P2" s="6">
        <v>0.3</v>
      </c>
      <c r="Q2" s="6">
        <f>(1+P2)*100000*1</f>
        <v>130000</v>
      </c>
      <c r="R2" s="6">
        <v>0.08</v>
      </c>
      <c r="S2" s="6">
        <f>(1+R2)*100000</f>
        <v>108000</v>
      </c>
      <c r="T2" s="6">
        <f>(L2*S2)</f>
        <v>2.5444158415841587</v>
      </c>
      <c r="U2" s="6">
        <f>((N2*O2)/((SQRT(Q2))-(SQRT(T2))))</f>
        <v>1.1238638689154788E-12</v>
      </c>
      <c r="V2" s="6">
        <f>(U2*6.022E+23)</f>
        <v>676790821860.90137</v>
      </c>
      <c r="W2" s="6">
        <f>(50/1000000)*100000</f>
        <v>5</v>
      </c>
      <c r="X2" s="15">
        <f>(N2*O2)/(SQRT(Q2)-(2*SQRT(T2))+SQRT(W2))</f>
        <v>1.1218607166853409E-12</v>
      </c>
      <c r="Y2" s="15">
        <f>(X2*6.022E+23)</f>
        <v>675584523587.91235</v>
      </c>
    </row>
    <row r="3" spans="1:25" x14ac:dyDescent="0.25">
      <c r="A3" s="5">
        <v>5.5</v>
      </c>
      <c r="B3" s="5">
        <f t="shared" ref="B3:B33" si="1">(A3/60)</f>
        <v>9.166666666666666E-2</v>
      </c>
      <c r="C3" s="5">
        <v>20</v>
      </c>
      <c r="D3" s="5">
        <f t="shared" si="0"/>
        <v>29.146000000000001</v>
      </c>
      <c r="E3" s="5">
        <f t="shared" ref="E3:E33" si="2">(D3/(1000000*60))</f>
        <v>4.8576666666666667E-7</v>
      </c>
      <c r="F3" s="5">
        <v>21.1</v>
      </c>
      <c r="G3" s="5">
        <f t="shared" ref="G3:G33" si="3">(273+F3)</f>
        <v>294.10000000000002</v>
      </c>
      <c r="H3" s="5">
        <v>101.3</v>
      </c>
      <c r="I3" s="5">
        <f t="shared" ref="I3:I33" si="4">(H3*1000)</f>
        <v>101300</v>
      </c>
      <c r="J3" s="5">
        <f t="shared" ref="J3:J33" si="5">((I3*E3)/(8.314*G3))</f>
        <v>2.0124824921938581E-5</v>
      </c>
      <c r="K3" s="33">
        <v>23.014851485148515</v>
      </c>
      <c r="L3" s="6">
        <f t="shared" ref="L3:L33" si="6">(K3/1000000)</f>
        <v>2.3014851485148517E-5</v>
      </c>
      <c r="M3" s="5">
        <f t="shared" ref="M3:M33" si="7">(3.142*3.07*3.07*25.4*25.4)/(4*1000000)</f>
        <v>4.7762865441819992E-3</v>
      </c>
      <c r="N3" s="37">
        <f t="shared" ref="N3:N33" si="8">(2*L3*J3)/M3</f>
        <v>1.9394559034872807E-7</v>
      </c>
      <c r="O3" s="37">
        <v>2.032E-3</v>
      </c>
      <c r="P3" s="6">
        <v>0.3</v>
      </c>
      <c r="Q3" s="6">
        <f t="shared" ref="Q3:Q33" si="9">(1+P3)*100000*1</f>
        <v>130000</v>
      </c>
      <c r="R3" s="6">
        <v>0.08</v>
      </c>
      <c r="S3" s="6">
        <f t="shared" ref="S3:S33" si="10">(1+R3)*100000</f>
        <v>108000</v>
      </c>
      <c r="T3" s="6">
        <f t="shared" ref="T3:T33" si="11">(L3*S3)</f>
        <v>2.4856039603960398</v>
      </c>
      <c r="U3" s="6">
        <f t="shared" ref="U3:U33" si="12">((N3*O3)/((SQRT(Q3))-(SQRT(T3))))</f>
        <v>1.0978300572433448E-12</v>
      </c>
      <c r="V3" s="6">
        <f t="shared" ref="V3:V33" si="13">(U3*6.022E+23)</f>
        <v>661113260471.94226</v>
      </c>
      <c r="W3" s="6">
        <f t="shared" ref="W3:W33" si="14">(50/1000000)*100000</f>
        <v>5</v>
      </c>
      <c r="X3" s="15">
        <f t="shared" ref="X3:X33" si="15">(N3*O3)/(SQRT(Q3)-(2*SQRT(T3))+SQRT(W3))</f>
        <v>1.0958169055783095E-12</v>
      </c>
      <c r="Y3" s="15">
        <f t="shared" ref="Y3:Y33" si="16">(X3*6.022E+23)</f>
        <v>659900940539.25793</v>
      </c>
    </row>
    <row r="4" spans="1:25" x14ac:dyDescent="0.25">
      <c r="A4" s="5">
        <v>11</v>
      </c>
      <c r="B4" s="5">
        <f t="shared" si="1"/>
        <v>0.18333333333333332</v>
      </c>
      <c r="C4" s="5">
        <v>20</v>
      </c>
      <c r="D4" s="5">
        <f t="shared" si="0"/>
        <v>29.146000000000001</v>
      </c>
      <c r="E4" s="5">
        <f t="shared" si="2"/>
        <v>4.8576666666666667E-7</v>
      </c>
      <c r="F4" s="5">
        <v>21.1</v>
      </c>
      <c r="G4" s="5">
        <f t="shared" si="3"/>
        <v>294.10000000000002</v>
      </c>
      <c r="H4" s="5">
        <v>101.3</v>
      </c>
      <c r="I4" s="5">
        <f t="shared" si="4"/>
        <v>101300</v>
      </c>
      <c r="J4" s="5">
        <f t="shared" si="5"/>
        <v>2.0124824921938581E-5</v>
      </c>
      <c r="K4" s="33">
        <v>22.866336633663366</v>
      </c>
      <c r="L4" s="6">
        <f t="shared" si="6"/>
        <v>2.2866336633663366E-5</v>
      </c>
      <c r="M4" s="5">
        <f t="shared" si="7"/>
        <v>4.7762865441819992E-3</v>
      </c>
      <c r="N4" s="37">
        <f t="shared" si="8"/>
        <v>1.9269405932905461E-7</v>
      </c>
      <c r="O4" s="37">
        <v>2.032E-3</v>
      </c>
      <c r="P4" s="6">
        <v>0.3</v>
      </c>
      <c r="Q4" s="6">
        <f t="shared" si="9"/>
        <v>130000</v>
      </c>
      <c r="R4" s="6">
        <v>0.08</v>
      </c>
      <c r="S4" s="6">
        <f t="shared" si="10"/>
        <v>108000</v>
      </c>
      <c r="T4" s="6">
        <f t="shared" si="11"/>
        <v>2.4695643564356433</v>
      </c>
      <c r="U4" s="6">
        <f t="shared" si="12"/>
        <v>1.0907302781802149E-12</v>
      </c>
      <c r="V4" s="6">
        <f t="shared" si="13"/>
        <v>656837773520.12549</v>
      </c>
      <c r="W4" s="6">
        <f t="shared" si="14"/>
        <v>5</v>
      </c>
      <c r="X4" s="15">
        <f t="shared" si="15"/>
        <v>1.0887147502744E-12</v>
      </c>
      <c r="Y4" s="15">
        <f t="shared" si="16"/>
        <v>655624022615.24377</v>
      </c>
    </row>
    <row r="5" spans="1:25" x14ac:dyDescent="0.25">
      <c r="A5" s="5">
        <v>16.5</v>
      </c>
      <c r="B5" s="5">
        <f t="shared" si="1"/>
        <v>0.27500000000000002</v>
      </c>
      <c r="C5" s="5">
        <v>20</v>
      </c>
      <c r="D5" s="5">
        <f t="shared" si="0"/>
        <v>29.146000000000001</v>
      </c>
      <c r="E5" s="5">
        <f t="shared" si="2"/>
        <v>4.8576666666666667E-7</v>
      </c>
      <c r="F5" s="5">
        <v>21.1</v>
      </c>
      <c r="G5" s="5">
        <f t="shared" si="3"/>
        <v>294.10000000000002</v>
      </c>
      <c r="H5" s="5">
        <v>101.3</v>
      </c>
      <c r="I5" s="5">
        <f t="shared" si="4"/>
        <v>101300</v>
      </c>
      <c r="J5" s="5">
        <f t="shared" si="5"/>
        <v>2.0124824921938581E-5</v>
      </c>
      <c r="K5" s="33">
        <v>298.23762376237624</v>
      </c>
      <c r="L5" s="6">
        <f t="shared" si="6"/>
        <v>2.9823762376237625E-4</v>
      </c>
      <c r="M5" s="5">
        <f t="shared" si="7"/>
        <v>4.7762865441819992E-3</v>
      </c>
      <c r="N5" s="37">
        <f t="shared" si="8"/>
        <v>2.513241158306899E-6</v>
      </c>
      <c r="O5" s="37">
        <v>2.032E-3</v>
      </c>
      <c r="P5" s="6">
        <v>0.3</v>
      </c>
      <c r="Q5" s="6">
        <f t="shared" si="9"/>
        <v>130000</v>
      </c>
      <c r="R5" s="6">
        <v>0.08</v>
      </c>
      <c r="S5" s="6">
        <f t="shared" si="10"/>
        <v>108000</v>
      </c>
      <c r="T5" s="6">
        <f t="shared" si="11"/>
        <v>32.209663366336635</v>
      </c>
      <c r="U5" s="6">
        <f t="shared" si="12"/>
        <v>1.4390524454052688E-11</v>
      </c>
      <c r="V5" s="6">
        <f t="shared" si="13"/>
        <v>8665973826230.5293</v>
      </c>
      <c r="W5" s="6">
        <f t="shared" si="14"/>
        <v>5</v>
      </c>
      <c r="X5" s="15">
        <f t="shared" si="15"/>
        <v>1.4531353862335271E-11</v>
      </c>
      <c r="Y5" s="15">
        <f t="shared" si="16"/>
        <v>8750781295898.3008</v>
      </c>
    </row>
    <row r="6" spans="1:25" x14ac:dyDescent="0.25">
      <c r="A6" s="5">
        <v>22</v>
      </c>
      <c r="B6" s="5">
        <f t="shared" si="1"/>
        <v>0.36666666666666664</v>
      </c>
      <c r="C6" s="5">
        <v>20</v>
      </c>
      <c r="D6" s="5">
        <f t="shared" si="0"/>
        <v>29.146000000000001</v>
      </c>
      <c r="E6" s="5">
        <f t="shared" si="2"/>
        <v>4.8576666666666667E-7</v>
      </c>
      <c r="F6" s="5">
        <v>21.1</v>
      </c>
      <c r="G6" s="5">
        <f t="shared" si="3"/>
        <v>294.10000000000002</v>
      </c>
      <c r="H6" s="5">
        <v>101.3</v>
      </c>
      <c r="I6" s="5">
        <f t="shared" si="4"/>
        <v>101300</v>
      </c>
      <c r="J6" s="5">
        <f t="shared" si="5"/>
        <v>2.0124824921938581E-5</v>
      </c>
      <c r="K6" s="33">
        <v>1423.5346534653465</v>
      </c>
      <c r="L6" s="6">
        <f t="shared" si="6"/>
        <v>1.4235346534653465E-3</v>
      </c>
      <c r="M6" s="5">
        <f t="shared" si="7"/>
        <v>4.7762865441819992E-3</v>
      </c>
      <c r="N6" s="37">
        <f t="shared" si="8"/>
        <v>1.1996091694372583E-5</v>
      </c>
      <c r="O6" s="37">
        <v>2.032E-3</v>
      </c>
      <c r="P6" s="6">
        <v>0.3</v>
      </c>
      <c r="Q6" s="6">
        <f t="shared" si="9"/>
        <v>130000</v>
      </c>
      <c r="R6" s="6">
        <v>0.08</v>
      </c>
      <c r="S6" s="6">
        <f t="shared" si="10"/>
        <v>108000</v>
      </c>
      <c r="T6" s="6">
        <f t="shared" si="11"/>
        <v>153.74174257425742</v>
      </c>
      <c r="U6" s="6">
        <f t="shared" si="12"/>
        <v>7.0014786079071793E-11</v>
      </c>
      <c r="V6" s="6">
        <f t="shared" si="13"/>
        <v>42162904176817.039</v>
      </c>
      <c r="W6" s="6">
        <f t="shared" si="14"/>
        <v>5</v>
      </c>
      <c r="X6" s="15">
        <f t="shared" si="15"/>
        <v>7.2120080212051369E-11</v>
      </c>
      <c r="Y6" s="15">
        <f t="shared" si="16"/>
        <v>43430712303697.336</v>
      </c>
    </row>
    <row r="7" spans="1:25" x14ac:dyDescent="0.25">
      <c r="A7" s="5">
        <v>27.5</v>
      </c>
      <c r="B7" s="5">
        <f t="shared" si="1"/>
        <v>0.45833333333333331</v>
      </c>
      <c r="C7" s="5">
        <v>20</v>
      </c>
      <c r="D7" s="5">
        <f t="shared" si="0"/>
        <v>29.146000000000001</v>
      </c>
      <c r="E7" s="5">
        <f t="shared" si="2"/>
        <v>4.8576666666666667E-7</v>
      </c>
      <c r="F7" s="5">
        <v>21.1</v>
      </c>
      <c r="G7" s="5">
        <f t="shared" si="3"/>
        <v>294.10000000000002</v>
      </c>
      <c r="H7" s="5">
        <v>101.3</v>
      </c>
      <c r="I7" s="5">
        <f t="shared" si="4"/>
        <v>101300</v>
      </c>
      <c r="J7" s="5">
        <f t="shared" si="5"/>
        <v>2.0124824921938581E-5</v>
      </c>
      <c r="K7" s="33">
        <v>2389.3762376237623</v>
      </c>
      <c r="L7" s="6">
        <f t="shared" si="6"/>
        <v>2.3893762376237622E-3</v>
      </c>
      <c r="M7" s="5">
        <f t="shared" si="7"/>
        <v>4.7762865441819992E-3</v>
      </c>
      <c r="N7" s="37">
        <f t="shared" si="8"/>
        <v>2.0135215092315547E-5</v>
      </c>
      <c r="O7" s="37">
        <v>2.032E-3</v>
      </c>
      <c r="P7" s="6">
        <v>0.3</v>
      </c>
      <c r="Q7" s="6">
        <f t="shared" si="9"/>
        <v>130000</v>
      </c>
      <c r="R7" s="6">
        <v>0.08</v>
      </c>
      <c r="S7" s="6">
        <f t="shared" si="10"/>
        <v>108000</v>
      </c>
      <c r="T7" s="6">
        <f t="shared" si="11"/>
        <v>258.05263366336629</v>
      </c>
      <c r="U7" s="6">
        <f t="shared" si="12"/>
        <v>1.1876868744514228E-10</v>
      </c>
      <c r="V7" s="6">
        <f t="shared" si="13"/>
        <v>71522503579464.688</v>
      </c>
      <c r="W7" s="6">
        <f t="shared" si="14"/>
        <v>5</v>
      </c>
      <c r="X7" s="15">
        <f t="shared" si="15"/>
        <v>1.2373545578362239E-10</v>
      </c>
      <c r="Y7" s="15">
        <f t="shared" si="16"/>
        <v>74513491472897.406</v>
      </c>
    </row>
    <row r="8" spans="1:25" x14ac:dyDescent="0.25">
      <c r="A8" s="5">
        <v>33</v>
      </c>
      <c r="B8" s="5">
        <f t="shared" si="1"/>
        <v>0.55000000000000004</v>
      </c>
      <c r="C8" s="5">
        <v>20</v>
      </c>
      <c r="D8" s="5">
        <f t="shared" si="0"/>
        <v>29.146000000000001</v>
      </c>
      <c r="E8" s="5">
        <f t="shared" si="2"/>
        <v>4.8576666666666667E-7</v>
      </c>
      <c r="F8" s="5">
        <v>21.1</v>
      </c>
      <c r="G8" s="5">
        <f t="shared" si="3"/>
        <v>294.10000000000002</v>
      </c>
      <c r="H8" s="5">
        <v>101.3</v>
      </c>
      <c r="I8" s="5">
        <f t="shared" si="4"/>
        <v>101300</v>
      </c>
      <c r="J8" s="5">
        <f t="shared" si="5"/>
        <v>2.0124824921938581E-5</v>
      </c>
      <c r="K8" s="33">
        <v>3025.7128712871286</v>
      </c>
      <c r="L8" s="6">
        <f t="shared" si="6"/>
        <v>3.0257128712871287E-3</v>
      </c>
      <c r="M8" s="5">
        <f t="shared" si="7"/>
        <v>4.7762865441819992E-3</v>
      </c>
      <c r="N8" s="37">
        <f t="shared" si="8"/>
        <v>2.5497608334609696E-5</v>
      </c>
      <c r="O8" s="37">
        <v>2.032E-3</v>
      </c>
      <c r="P8" s="6">
        <v>0.3</v>
      </c>
      <c r="Q8" s="6">
        <f t="shared" si="9"/>
        <v>130000</v>
      </c>
      <c r="R8" s="6">
        <v>0.08</v>
      </c>
      <c r="S8" s="6">
        <f t="shared" si="10"/>
        <v>108000</v>
      </c>
      <c r="T8" s="6">
        <f t="shared" si="11"/>
        <v>326.77699009900988</v>
      </c>
      <c r="U8" s="6">
        <f t="shared" si="12"/>
        <v>1.5128305149986788E-10</v>
      </c>
      <c r="V8" s="6">
        <f t="shared" si="13"/>
        <v>91102653613220.438</v>
      </c>
      <c r="W8" s="6">
        <f t="shared" si="14"/>
        <v>5</v>
      </c>
      <c r="X8" s="15">
        <f t="shared" si="15"/>
        <v>1.5861981613658048E-10</v>
      </c>
      <c r="Y8" s="15">
        <f t="shared" si="16"/>
        <v>95520853277448.766</v>
      </c>
    </row>
    <row r="9" spans="1:25" x14ac:dyDescent="0.25">
      <c r="A9" s="5">
        <v>38.5</v>
      </c>
      <c r="B9" s="5">
        <f t="shared" si="1"/>
        <v>0.64166666666666672</v>
      </c>
      <c r="C9" s="5">
        <v>20</v>
      </c>
      <c r="D9" s="5">
        <f t="shared" si="0"/>
        <v>29.146000000000001</v>
      </c>
      <c r="E9" s="5">
        <f t="shared" si="2"/>
        <v>4.8576666666666667E-7</v>
      </c>
      <c r="F9" s="5">
        <v>21.1</v>
      </c>
      <c r="G9" s="5">
        <f t="shared" si="3"/>
        <v>294.10000000000002</v>
      </c>
      <c r="H9" s="5">
        <v>101.3</v>
      </c>
      <c r="I9" s="5">
        <f t="shared" si="4"/>
        <v>101300</v>
      </c>
      <c r="J9" s="5">
        <f t="shared" si="5"/>
        <v>2.0124824921938581E-5</v>
      </c>
      <c r="K9" s="33">
        <v>3384.8960396039611</v>
      </c>
      <c r="L9" s="6">
        <f t="shared" si="6"/>
        <v>3.3848960396039613E-3</v>
      </c>
      <c r="M9" s="5">
        <f t="shared" si="7"/>
        <v>4.7762865441819992E-3</v>
      </c>
      <c r="N9" s="37">
        <f t="shared" si="8"/>
        <v>2.8524436105689928E-5</v>
      </c>
      <c r="O9" s="37">
        <v>2.032E-3</v>
      </c>
      <c r="P9" s="6">
        <v>0.3</v>
      </c>
      <c r="Q9" s="6">
        <f t="shared" si="9"/>
        <v>130000</v>
      </c>
      <c r="R9" s="6">
        <v>0.08</v>
      </c>
      <c r="S9" s="6">
        <f t="shared" si="10"/>
        <v>108000</v>
      </c>
      <c r="T9" s="6">
        <f t="shared" si="11"/>
        <v>365.56877227722782</v>
      </c>
      <c r="U9" s="6">
        <f t="shared" si="12"/>
        <v>1.6975883413061867E-10</v>
      </c>
      <c r="V9" s="6">
        <f t="shared" si="13"/>
        <v>102228769913458.56</v>
      </c>
      <c r="W9" s="6">
        <f t="shared" si="14"/>
        <v>5</v>
      </c>
      <c r="X9" s="15">
        <f t="shared" si="15"/>
        <v>1.785900110685302E-10</v>
      </c>
      <c r="Y9" s="15">
        <f t="shared" si="16"/>
        <v>107546904665468.89</v>
      </c>
    </row>
    <row r="10" spans="1:25" x14ac:dyDescent="0.25">
      <c r="A10" s="5">
        <v>44</v>
      </c>
      <c r="B10" s="5">
        <f t="shared" si="1"/>
        <v>0.73333333333333328</v>
      </c>
      <c r="C10" s="5">
        <v>20</v>
      </c>
      <c r="D10" s="5">
        <f t="shared" si="0"/>
        <v>29.146000000000001</v>
      </c>
      <c r="E10" s="5">
        <f t="shared" si="2"/>
        <v>4.8576666666666667E-7</v>
      </c>
      <c r="F10" s="5">
        <v>21.1</v>
      </c>
      <c r="G10" s="5">
        <f t="shared" si="3"/>
        <v>294.10000000000002</v>
      </c>
      <c r="H10" s="5">
        <v>101.3</v>
      </c>
      <c r="I10" s="5">
        <f t="shared" si="4"/>
        <v>101300</v>
      </c>
      <c r="J10" s="5">
        <f t="shared" si="5"/>
        <v>2.0124824921938581E-5</v>
      </c>
      <c r="K10" s="33">
        <v>3609.1287128712879</v>
      </c>
      <c r="L10" s="6">
        <f t="shared" si="6"/>
        <v>3.6091287128712881E-3</v>
      </c>
      <c r="M10" s="5">
        <f t="shared" si="7"/>
        <v>4.7762865441819992E-3</v>
      </c>
      <c r="N10" s="37">
        <f t="shared" si="8"/>
        <v>3.0414039356893555E-5</v>
      </c>
      <c r="O10" s="37">
        <v>2.032E-3</v>
      </c>
      <c r="P10" s="6">
        <v>0.3</v>
      </c>
      <c r="Q10" s="6">
        <f t="shared" si="9"/>
        <v>130000</v>
      </c>
      <c r="R10" s="6">
        <v>0.08</v>
      </c>
      <c r="S10" s="6">
        <f t="shared" si="10"/>
        <v>108000</v>
      </c>
      <c r="T10" s="6">
        <f t="shared" si="11"/>
        <v>389.78590099009909</v>
      </c>
      <c r="U10" s="6">
        <f t="shared" si="12"/>
        <v>1.8133546989190791E-10</v>
      </c>
      <c r="V10" s="6">
        <f t="shared" si="13"/>
        <v>109200219968906.95</v>
      </c>
      <c r="W10" s="6">
        <f t="shared" si="14"/>
        <v>5</v>
      </c>
      <c r="X10" s="15">
        <f t="shared" si="15"/>
        <v>1.9115475840098159E-10</v>
      </c>
      <c r="Y10" s="15">
        <f t="shared" si="16"/>
        <v>115113395509071.13</v>
      </c>
    </row>
    <row r="11" spans="1:25" x14ac:dyDescent="0.25">
      <c r="A11" s="5">
        <v>49.5</v>
      </c>
      <c r="B11" s="5">
        <f t="shared" si="1"/>
        <v>0.82499999999999996</v>
      </c>
      <c r="C11" s="5">
        <v>20</v>
      </c>
      <c r="D11" s="5">
        <f t="shared" si="0"/>
        <v>29.146000000000001</v>
      </c>
      <c r="E11" s="5">
        <f t="shared" si="2"/>
        <v>4.8576666666666667E-7</v>
      </c>
      <c r="F11" s="5">
        <v>21.1</v>
      </c>
      <c r="G11" s="5">
        <f t="shared" si="3"/>
        <v>294.10000000000002</v>
      </c>
      <c r="H11" s="5">
        <v>101.3</v>
      </c>
      <c r="I11" s="5">
        <f t="shared" si="4"/>
        <v>101300</v>
      </c>
      <c r="J11" s="5">
        <f t="shared" si="5"/>
        <v>2.0124824921938581E-5</v>
      </c>
      <c r="K11" s="33">
        <v>3682.3465346534658</v>
      </c>
      <c r="L11" s="6">
        <f t="shared" si="6"/>
        <v>3.682346534653466E-3</v>
      </c>
      <c r="M11" s="5">
        <f t="shared" si="7"/>
        <v>4.7762865441819992E-3</v>
      </c>
      <c r="N11" s="37">
        <f t="shared" si="8"/>
        <v>3.103104414959256E-5</v>
      </c>
      <c r="O11" s="37">
        <v>2.032E-3</v>
      </c>
      <c r="P11" s="6">
        <v>0.3</v>
      </c>
      <c r="Q11" s="6">
        <f t="shared" si="9"/>
        <v>130000</v>
      </c>
      <c r="R11" s="6">
        <v>0.08</v>
      </c>
      <c r="S11" s="6">
        <f t="shared" si="10"/>
        <v>108000</v>
      </c>
      <c r="T11" s="6">
        <f t="shared" si="11"/>
        <v>397.69342574257433</v>
      </c>
      <c r="U11" s="6">
        <f t="shared" si="12"/>
        <v>1.8512242574936342E-10</v>
      </c>
      <c r="V11" s="6">
        <f t="shared" si="13"/>
        <v>111480724786266.66</v>
      </c>
      <c r="W11" s="6">
        <f t="shared" si="14"/>
        <v>5</v>
      </c>
      <c r="X11" s="15">
        <f t="shared" si="15"/>
        <v>1.9527338229268585E-10</v>
      </c>
      <c r="Y11" s="15">
        <f t="shared" si="16"/>
        <v>117593630816655.42</v>
      </c>
    </row>
    <row r="12" spans="1:25" x14ac:dyDescent="0.25">
      <c r="A12" s="5">
        <v>55</v>
      </c>
      <c r="B12" s="5">
        <f t="shared" si="1"/>
        <v>0.91666666666666663</v>
      </c>
      <c r="C12" s="5">
        <v>20</v>
      </c>
      <c r="D12" s="5">
        <f t="shared" si="0"/>
        <v>29.146000000000001</v>
      </c>
      <c r="E12" s="5">
        <f t="shared" si="2"/>
        <v>4.8576666666666667E-7</v>
      </c>
      <c r="F12" s="5">
        <v>21.1</v>
      </c>
      <c r="G12" s="5">
        <f t="shared" si="3"/>
        <v>294.10000000000002</v>
      </c>
      <c r="H12" s="5">
        <v>101.3</v>
      </c>
      <c r="I12" s="5">
        <f t="shared" si="4"/>
        <v>101300</v>
      </c>
      <c r="J12" s="5">
        <f t="shared" si="5"/>
        <v>2.0124824921938581E-5</v>
      </c>
      <c r="K12" s="33">
        <v>3750.7376237623771</v>
      </c>
      <c r="L12" s="6">
        <f t="shared" si="6"/>
        <v>3.7507376237623769E-3</v>
      </c>
      <c r="M12" s="5">
        <f t="shared" si="7"/>
        <v>4.7762865441819992E-3</v>
      </c>
      <c r="N12" s="37">
        <f t="shared" si="8"/>
        <v>3.160737418415218E-5</v>
      </c>
      <c r="O12" s="37">
        <v>2.032E-3</v>
      </c>
      <c r="P12" s="6">
        <v>0.3</v>
      </c>
      <c r="Q12" s="6">
        <f t="shared" si="9"/>
        <v>130000</v>
      </c>
      <c r="R12" s="6">
        <v>0.08</v>
      </c>
      <c r="S12" s="6">
        <f t="shared" si="10"/>
        <v>108000</v>
      </c>
      <c r="T12" s="6">
        <f t="shared" si="11"/>
        <v>405.07966336633672</v>
      </c>
      <c r="U12" s="6">
        <f t="shared" si="12"/>
        <v>1.8866275132157821E-10</v>
      </c>
      <c r="V12" s="6">
        <f t="shared" si="13"/>
        <v>113612708845854.41</v>
      </c>
      <c r="W12" s="6">
        <f t="shared" si="14"/>
        <v>5</v>
      </c>
      <c r="X12" s="15">
        <f t="shared" si="15"/>
        <v>1.991274877077159E-10</v>
      </c>
      <c r="Y12" s="15">
        <f t="shared" si="16"/>
        <v>119914573097586.52</v>
      </c>
    </row>
    <row r="13" spans="1:25" x14ac:dyDescent="0.25">
      <c r="A13" s="5">
        <v>60.5</v>
      </c>
      <c r="B13" s="5">
        <f t="shared" si="1"/>
        <v>1.0083333333333333</v>
      </c>
      <c r="C13" s="5">
        <v>20</v>
      </c>
      <c r="D13" s="5">
        <f t="shared" si="0"/>
        <v>29.146000000000001</v>
      </c>
      <c r="E13" s="5">
        <f t="shared" si="2"/>
        <v>4.8576666666666667E-7</v>
      </c>
      <c r="F13" s="5">
        <v>21.1</v>
      </c>
      <c r="G13" s="5">
        <f t="shared" si="3"/>
        <v>294.10000000000002</v>
      </c>
      <c r="H13" s="5">
        <v>101.3</v>
      </c>
      <c r="I13" s="5">
        <f t="shared" si="4"/>
        <v>101300</v>
      </c>
      <c r="J13" s="5">
        <f t="shared" si="5"/>
        <v>2.0124824921938581E-5</v>
      </c>
      <c r="K13" s="33">
        <v>3768.6336633663368</v>
      </c>
      <c r="L13" s="6">
        <f t="shared" si="6"/>
        <v>3.7686336633663367E-3</v>
      </c>
      <c r="M13" s="5">
        <f t="shared" si="7"/>
        <v>4.7762865441819992E-3</v>
      </c>
      <c r="N13" s="37">
        <f t="shared" si="8"/>
        <v>3.1758183672022825E-5</v>
      </c>
      <c r="O13" s="37">
        <v>2.032E-3</v>
      </c>
      <c r="P13" s="6">
        <v>0.3</v>
      </c>
      <c r="Q13" s="6">
        <f t="shared" si="9"/>
        <v>130000</v>
      </c>
      <c r="R13" s="6">
        <v>0.08</v>
      </c>
      <c r="S13" s="6">
        <f t="shared" si="10"/>
        <v>108000</v>
      </c>
      <c r="T13" s="6">
        <f t="shared" si="11"/>
        <v>407.01243564356434</v>
      </c>
      <c r="U13" s="6">
        <f t="shared" si="12"/>
        <v>1.8958963386245873E-10</v>
      </c>
      <c r="V13" s="6">
        <f t="shared" si="13"/>
        <v>114170877511972.66</v>
      </c>
      <c r="W13" s="6">
        <f t="shared" si="14"/>
        <v>5</v>
      </c>
      <c r="X13" s="15">
        <f t="shared" si="15"/>
        <v>2.0013710926504586E-10</v>
      </c>
      <c r="Y13" s="15">
        <f t="shared" si="16"/>
        <v>120522567199410.63</v>
      </c>
    </row>
    <row r="14" spans="1:25" x14ac:dyDescent="0.25">
      <c r="A14" s="5">
        <v>66</v>
      </c>
      <c r="B14" s="5">
        <f t="shared" si="1"/>
        <v>1.1000000000000001</v>
      </c>
      <c r="C14" s="5">
        <v>20</v>
      </c>
      <c r="D14" s="5">
        <f t="shared" si="0"/>
        <v>29.146000000000001</v>
      </c>
      <c r="E14" s="5">
        <f t="shared" si="2"/>
        <v>4.8576666666666667E-7</v>
      </c>
      <c r="F14" s="5">
        <v>21.1</v>
      </c>
      <c r="G14" s="5">
        <f t="shared" si="3"/>
        <v>294.10000000000002</v>
      </c>
      <c r="H14" s="5">
        <v>101.3</v>
      </c>
      <c r="I14" s="5">
        <f t="shared" si="4"/>
        <v>101300</v>
      </c>
      <c r="J14" s="5">
        <f t="shared" si="5"/>
        <v>2.0124824921938581E-5</v>
      </c>
      <c r="K14" s="33">
        <v>3795.9851485148515</v>
      </c>
      <c r="L14" s="6">
        <f t="shared" si="6"/>
        <v>3.7959851485148514E-3</v>
      </c>
      <c r="M14" s="5">
        <f t="shared" si="7"/>
        <v>4.7762865441819992E-3</v>
      </c>
      <c r="N14" s="37">
        <f t="shared" si="8"/>
        <v>3.1988673968146015E-5</v>
      </c>
      <c r="O14" s="37">
        <v>2.032E-3</v>
      </c>
      <c r="P14" s="6">
        <v>0.3</v>
      </c>
      <c r="Q14" s="6">
        <f t="shared" si="9"/>
        <v>130000</v>
      </c>
      <c r="R14" s="6">
        <v>0.08</v>
      </c>
      <c r="S14" s="6">
        <f t="shared" si="10"/>
        <v>108000</v>
      </c>
      <c r="T14" s="6">
        <f t="shared" si="11"/>
        <v>409.96639603960398</v>
      </c>
      <c r="U14" s="6">
        <f t="shared" si="12"/>
        <v>1.9100662014303207E-10</v>
      </c>
      <c r="V14" s="6">
        <f t="shared" si="13"/>
        <v>115024186650133.92</v>
      </c>
      <c r="W14" s="6">
        <f t="shared" si="14"/>
        <v>5</v>
      </c>
      <c r="X14" s="15">
        <f t="shared" si="15"/>
        <v>2.0168105488743472E-10</v>
      </c>
      <c r="Y14" s="15">
        <f t="shared" si="16"/>
        <v>121452331253213.19</v>
      </c>
    </row>
    <row r="15" spans="1:25" x14ac:dyDescent="0.25">
      <c r="A15" s="5">
        <v>71.5</v>
      </c>
      <c r="B15" s="5">
        <f t="shared" si="1"/>
        <v>1.1916666666666667</v>
      </c>
      <c r="C15" s="5">
        <v>20</v>
      </c>
      <c r="D15" s="5">
        <f t="shared" si="0"/>
        <v>29.146000000000001</v>
      </c>
      <c r="E15" s="5">
        <f t="shared" si="2"/>
        <v>4.8576666666666667E-7</v>
      </c>
      <c r="F15" s="5">
        <v>21.1</v>
      </c>
      <c r="G15" s="5">
        <f t="shared" si="3"/>
        <v>294.10000000000002</v>
      </c>
      <c r="H15" s="5">
        <v>101.3</v>
      </c>
      <c r="I15" s="5">
        <f t="shared" si="4"/>
        <v>101300</v>
      </c>
      <c r="J15" s="5">
        <f t="shared" si="5"/>
        <v>2.0124824921938581E-5</v>
      </c>
      <c r="K15" s="33">
        <v>3877.1732673267329</v>
      </c>
      <c r="L15" s="6">
        <f t="shared" si="6"/>
        <v>3.877173267326733E-3</v>
      </c>
      <c r="M15" s="5">
        <f t="shared" si="7"/>
        <v>4.7762865441819992E-3</v>
      </c>
      <c r="N15" s="37">
        <f t="shared" si="8"/>
        <v>3.2672844258900835E-5</v>
      </c>
      <c r="O15" s="37">
        <v>2.032E-3</v>
      </c>
      <c r="P15" s="6">
        <v>0.3</v>
      </c>
      <c r="Q15" s="6">
        <f t="shared" si="9"/>
        <v>130000</v>
      </c>
      <c r="R15" s="6">
        <v>0.08</v>
      </c>
      <c r="S15" s="6">
        <f t="shared" si="10"/>
        <v>108000</v>
      </c>
      <c r="T15" s="6">
        <f t="shared" si="11"/>
        <v>418.73471287128717</v>
      </c>
      <c r="U15" s="6">
        <f t="shared" si="12"/>
        <v>1.9521540134821499E-10</v>
      </c>
      <c r="V15" s="6">
        <f t="shared" si="13"/>
        <v>117558714691895.08</v>
      </c>
      <c r="W15" s="6">
        <f t="shared" si="14"/>
        <v>5</v>
      </c>
      <c r="X15" s="15">
        <f t="shared" si="15"/>
        <v>2.0627027688501088E-10</v>
      </c>
      <c r="Y15" s="15">
        <f t="shared" si="16"/>
        <v>124215960740153.56</v>
      </c>
    </row>
    <row r="16" spans="1:25" x14ac:dyDescent="0.25">
      <c r="A16" s="5">
        <v>77</v>
      </c>
      <c r="B16" s="5">
        <f t="shared" si="1"/>
        <v>1.2833333333333334</v>
      </c>
      <c r="C16" s="5">
        <v>20</v>
      </c>
      <c r="D16" s="5">
        <f t="shared" si="0"/>
        <v>29.146000000000001</v>
      </c>
      <c r="E16" s="5">
        <f t="shared" si="2"/>
        <v>4.8576666666666667E-7</v>
      </c>
      <c r="F16" s="5">
        <v>21.1</v>
      </c>
      <c r="G16" s="5">
        <f t="shared" si="3"/>
        <v>294.10000000000002</v>
      </c>
      <c r="H16" s="5">
        <v>101.3</v>
      </c>
      <c r="I16" s="5">
        <f t="shared" si="4"/>
        <v>101300</v>
      </c>
      <c r="J16" s="5">
        <f t="shared" si="5"/>
        <v>2.0124824921938581E-5</v>
      </c>
      <c r="K16" s="33">
        <v>4026.8762376237623</v>
      </c>
      <c r="L16" s="6">
        <f t="shared" si="6"/>
        <v>4.0268762376237622E-3</v>
      </c>
      <c r="M16" s="5">
        <f t="shared" si="7"/>
        <v>4.7762865441819992E-3</v>
      </c>
      <c r="N16" s="37">
        <f t="shared" si="8"/>
        <v>3.3934387526731663E-5</v>
      </c>
      <c r="O16" s="37">
        <v>2.032E-3</v>
      </c>
      <c r="P16" s="6">
        <v>0.3</v>
      </c>
      <c r="Q16" s="6">
        <f t="shared" si="9"/>
        <v>130000</v>
      </c>
      <c r="R16" s="6">
        <v>0.08</v>
      </c>
      <c r="S16" s="6">
        <f t="shared" si="10"/>
        <v>108000</v>
      </c>
      <c r="T16" s="6">
        <f t="shared" si="11"/>
        <v>434.90263366336632</v>
      </c>
      <c r="U16" s="6">
        <f t="shared" si="12"/>
        <v>2.0298649217596766E-10</v>
      </c>
      <c r="V16" s="6">
        <f t="shared" si="13"/>
        <v>122238465588367.73</v>
      </c>
      <c r="W16" s="6">
        <f t="shared" si="14"/>
        <v>5</v>
      </c>
      <c r="X16" s="15">
        <f t="shared" si="15"/>
        <v>2.147568404741801E-10</v>
      </c>
      <c r="Y16" s="15">
        <f t="shared" si="16"/>
        <v>129326569333551.27</v>
      </c>
    </row>
    <row r="17" spans="1:25" x14ac:dyDescent="0.25">
      <c r="A17" s="5">
        <v>82.5</v>
      </c>
      <c r="B17" s="5">
        <f t="shared" si="1"/>
        <v>1.375</v>
      </c>
      <c r="C17" s="5">
        <v>20</v>
      </c>
      <c r="D17" s="5">
        <f t="shared" si="0"/>
        <v>29.146000000000001</v>
      </c>
      <c r="E17" s="5">
        <f t="shared" si="2"/>
        <v>4.8576666666666667E-7</v>
      </c>
      <c r="F17" s="5">
        <v>21.1</v>
      </c>
      <c r="G17" s="5">
        <f t="shared" si="3"/>
        <v>294.10000000000002</v>
      </c>
      <c r="H17" s="5">
        <v>101.3</v>
      </c>
      <c r="I17" s="5">
        <f t="shared" si="4"/>
        <v>101300</v>
      </c>
      <c r="J17" s="5">
        <f t="shared" si="5"/>
        <v>2.0124824921938581E-5</v>
      </c>
      <c r="K17" s="33">
        <v>4134.0544554455446</v>
      </c>
      <c r="L17" s="6">
        <f t="shared" si="6"/>
        <v>4.1340544554455448E-3</v>
      </c>
      <c r="M17" s="5">
        <f t="shared" si="7"/>
        <v>4.7762865441819992E-3</v>
      </c>
      <c r="N17" s="37">
        <f t="shared" si="8"/>
        <v>3.4837575745929338E-5</v>
      </c>
      <c r="O17" s="37">
        <v>2.032E-3</v>
      </c>
      <c r="P17" s="6">
        <v>0.3</v>
      </c>
      <c r="Q17" s="6">
        <f t="shared" si="9"/>
        <v>130000</v>
      </c>
      <c r="R17" s="6">
        <v>0.08</v>
      </c>
      <c r="S17" s="6">
        <f t="shared" si="10"/>
        <v>108000</v>
      </c>
      <c r="T17" s="6">
        <f t="shared" si="11"/>
        <v>446.47788118811883</v>
      </c>
      <c r="U17" s="6">
        <f t="shared" si="12"/>
        <v>2.0855839186017567E-10</v>
      </c>
      <c r="V17" s="6">
        <f t="shared" si="13"/>
        <v>125593863578197.8</v>
      </c>
      <c r="W17" s="6">
        <f t="shared" si="14"/>
        <v>5</v>
      </c>
      <c r="X17" s="15">
        <f t="shared" si="15"/>
        <v>2.2085202675969098E-10</v>
      </c>
      <c r="Y17" s="15">
        <f t="shared" si="16"/>
        <v>132997090514685.92</v>
      </c>
    </row>
    <row r="18" spans="1:25" x14ac:dyDescent="0.25">
      <c r="A18" s="5">
        <v>88</v>
      </c>
      <c r="B18" s="5">
        <f t="shared" si="1"/>
        <v>1.4666666666666666</v>
      </c>
      <c r="C18" s="5">
        <v>20</v>
      </c>
      <c r="D18" s="5">
        <f t="shared" si="0"/>
        <v>29.146000000000001</v>
      </c>
      <c r="E18" s="5">
        <f t="shared" si="2"/>
        <v>4.8576666666666667E-7</v>
      </c>
      <c r="F18" s="5">
        <v>21.1</v>
      </c>
      <c r="G18" s="5">
        <f t="shared" si="3"/>
        <v>294.10000000000002</v>
      </c>
      <c r="H18" s="5">
        <v>101.3</v>
      </c>
      <c r="I18" s="5">
        <f t="shared" si="4"/>
        <v>101300</v>
      </c>
      <c r="J18" s="5">
        <f t="shared" si="5"/>
        <v>2.0124824921938581E-5</v>
      </c>
      <c r="K18" s="33">
        <v>4194.0297029702979</v>
      </c>
      <c r="L18" s="6">
        <f t="shared" si="6"/>
        <v>4.1940297029702976E-3</v>
      </c>
      <c r="M18" s="5">
        <f t="shared" si="7"/>
        <v>4.7762865441819992E-3</v>
      </c>
      <c r="N18" s="37">
        <f t="shared" si="8"/>
        <v>3.5342985689374131E-5</v>
      </c>
      <c r="O18" s="37">
        <v>2.032E-3</v>
      </c>
      <c r="P18" s="6">
        <v>0.3</v>
      </c>
      <c r="Q18" s="6">
        <f t="shared" si="9"/>
        <v>130000</v>
      </c>
      <c r="R18" s="6">
        <v>0.08</v>
      </c>
      <c r="S18" s="6">
        <f t="shared" si="10"/>
        <v>108000</v>
      </c>
      <c r="T18" s="6">
        <f t="shared" si="11"/>
        <v>452.95520792079213</v>
      </c>
      <c r="U18" s="6">
        <f t="shared" si="12"/>
        <v>2.1167931868913215E-10</v>
      </c>
      <c r="V18" s="6">
        <f t="shared" si="13"/>
        <v>127473285714595.39</v>
      </c>
      <c r="W18" s="6">
        <f t="shared" si="14"/>
        <v>5</v>
      </c>
      <c r="X18" s="15">
        <f t="shared" si="15"/>
        <v>2.2426977409810068E-10</v>
      </c>
      <c r="Y18" s="15">
        <f t="shared" si="16"/>
        <v>135055257961876.23</v>
      </c>
    </row>
    <row r="19" spans="1:25" x14ac:dyDescent="0.25">
      <c r="A19" s="5">
        <v>93.5</v>
      </c>
      <c r="B19" s="5">
        <f t="shared" si="1"/>
        <v>1.5583333333333333</v>
      </c>
      <c r="C19" s="5">
        <v>20</v>
      </c>
      <c r="D19" s="5">
        <f t="shared" si="0"/>
        <v>29.146000000000001</v>
      </c>
      <c r="E19" s="5">
        <f t="shared" si="2"/>
        <v>4.8576666666666667E-7</v>
      </c>
      <c r="F19" s="5">
        <v>21.1</v>
      </c>
      <c r="G19" s="5">
        <f t="shared" si="3"/>
        <v>294.10000000000002</v>
      </c>
      <c r="H19" s="5">
        <v>101.3</v>
      </c>
      <c r="I19" s="5">
        <f t="shared" si="4"/>
        <v>101300</v>
      </c>
      <c r="J19" s="5">
        <f t="shared" si="5"/>
        <v>2.0124824921938581E-5</v>
      </c>
      <c r="K19" s="33">
        <v>4177.742574257426</v>
      </c>
      <c r="L19" s="6">
        <f t="shared" si="6"/>
        <v>4.1777425742574262E-3</v>
      </c>
      <c r="M19" s="5">
        <f t="shared" si="7"/>
        <v>4.7762865441819992E-3</v>
      </c>
      <c r="N19" s="37">
        <f t="shared" si="8"/>
        <v>3.5205734454216607E-5</v>
      </c>
      <c r="O19" s="37">
        <v>2.032E-3</v>
      </c>
      <c r="P19" s="6">
        <v>0.3</v>
      </c>
      <c r="Q19" s="6">
        <f t="shared" si="9"/>
        <v>130000</v>
      </c>
      <c r="R19" s="6">
        <v>0.08</v>
      </c>
      <c r="S19" s="6">
        <f t="shared" si="10"/>
        <v>108000</v>
      </c>
      <c r="T19" s="6">
        <f t="shared" si="11"/>
        <v>451.19619801980201</v>
      </c>
      <c r="U19" s="6">
        <f t="shared" si="12"/>
        <v>2.1083157637384478E-10</v>
      </c>
      <c r="V19" s="6">
        <f t="shared" si="13"/>
        <v>126962775292329.33</v>
      </c>
      <c r="W19" s="6">
        <f t="shared" si="14"/>
        <v>5</v>
      </c>
      <c r="X19" s="15">
        <f t="shared" si="15"/>
        <v>2.2334114310037534E-10</v>
      </c>
      <c r="Y19" s="15">
        <f t="shared" si="16"/>
        <v>134496036375046.03</v>
      </c>
    </row>
    <row r="20" spans="1:25" x14ac:dyDescent="0.25">
      <c r="A20" s="5">
        <v>99</v>
      </c>
      <c r="B20" s="5">
        <f t="shared" si="1"/>
        <v>1.65</v>
      </c>
      <c r="C20" s="5">
        <v>20</v>
      </c>
      <c r="D20" s="5">
        <f t="shared" si="0"/>
        <v>29.146000000000001</v>
      </c>
      <c r="E20" s="5">
        <f t="shared" si="2"/>
        <v>4.8576666666666667E-7</v>
      </c>
      <c r="F20" s="5">
        <v>21.1</v>
      </c>
      <c r="G20" s="5">
        <f t="shared" si="3"/>
        <v>294.10000000000002</v>
      </c>
      <c r="H20" s="5">
        <v>101.3</v>
      </c>
      <c r="I20" s="5">
        <f t="shared" si="4"/>
        <v>101300</v>
      </c>
      <c r="J20" s="5">
        <f t="shared" si="5"/>
        <v>2.0124824921938581E-5</v>
      </c>
      <c r="K20" s="33">
        <v>4190.4405940594061</v>
      </c>
      <c r="L20" s="6">
        <f t="shared" si="6"/>
        <v>4.190440594059406E-3</v>
      </c>
      <c r="M20" s="5">
        <f t="shared" si="7"/>
        <v>4.7762865441819992E-3</v>
      </c>
      <c r="N20" s="37">
        <f t="shared" si="8"/>
        <v>3.5312740356398682E-5</v>
      </c>
      <c r="O20" s="37">
        <v>2.032E-3</v>
      </c>
      <c r="P20" s="6">
        <v>0.3</v>
      </c>
      <c r="Q20" s="6">
        <f t="shared" si="9"/>
        <v>130000</v>
      </c>
      <c r="R20" s="6">
        <v>0.08</v>
      </c>
      <c r="S20" s="6">
        <f t="shared" si="10"/>
        <v>108000</v>
      </c>
      <c r="T20" s="6">
        <f t="shared" si="11"/>
        <v>452.56758415841585</v>
      </c>
      <c r="U20" s="6">
        <f t="shared" si="12"/>
        <v>2.1149249272269928E-10</v>
      </c>
      <c r="V20" s="6">
        <f t="shared" si="13"/>
        <v>127360779117609.52</v>
      </c>
      <c r="W20" s="6">
        <f t="shared" si="14"/>
        <v>5</v>
      </c>
      <c r="X20" s="15">
        <f t="shared" si="15"/>
        <v>2.2406510502120105E-10</v>
      </c>
      <c r="Y20" s="15">
        <f t="shared" si="16"/>
        <v>134932006243767.28</v>
      </c>
    </row>
    <row r="21" spans="1:25" x14ac:dyDescent="0.25">
      <c r="A21" s="5">
        <v>104.5</v>
      </c>
      <c r="B21" s="5">
        <f t="shared" si="1"/>
        <v>1.7416666666666667</v>
      </c>
      <c r="C21" s="5">
        <v>20</v>
      </c>
      <c r="D21" s="5">
        <f t="shared" si="0"/>
        <v>29.146000000000001</v>
      </c>
      <c r="E21" s="5">
        <f t="shared" si="2"/>
        <v>4.8576666666666667E-7</v>
      </c>
      <c r="F21" s="5">
        <v>21.1</v>
      </c>
      <c r="G21" s="5">
        <f t="shared" si="3"/>
        <v>294.10000000000002</v>
      </c>
      <c r="H21" s="5">
        <v>101.3</v>
      </c>
      <c r="I21" s="5">
        <f t="shared" si="4"/>
        <v>101300</v>
      </c>
      <c r="J21" s="5">
        <f t="shared" si="5"/>
        <v>2.0124824921938581E-5</v>
      </c>
      <c r="K21" s="38">
        <v>4230.0693069306935</v>
      </c>
      <c r="L21" s="6">
        <f t="shared" si="6"/>
        <v>4.2300693069306939E-3</v>
      </c>
      <c r="M21" s="5">
        <f t="shared" si="7"/>
        <v>4.7762865441819992E-3</v>
      </c>
      <c r="N21" s="52">
        <f t="shared" si="8"/>
        <v>3.5646690550148223E-5</v>
      </c>
      <c r="O21" s="37">
        <v>2.032E-3</v>
      </c>
      <c r="P21" s="6">
        <v>0.3</v>
      </c>
      <c r="Q21" s="6">
        <f t="shared" si="9"/>
        <v>130000</v>
      </c>
      <c r="R21" s="6">
        <v>0.08</v>
      </c>
      <c r="S21" s="6">
        <f t="shared" si="10"/>
        <v>108000</v>
      </c>
      <c r="T21" s="6">
        <f t="shared" si="11"/>
        <v>456.84748514851492</v>
      </c>
      <c r="U21" s="8">
        <f t="shared" si="12"/>
        <v>2.1355572985239103E-10</v>
      </c>
      <c r="V21" s="8">
        <f t="shared" si="13"/>
        <v>128603260517109.89</v>
      </c>
      <c r="W21" s="6">
        <f t="shared" si="14"/>
        <v>5</v>
      </c>
      <c r="X21" s="16">
        <f t="shared" si="15"/>
        <v>2.2632592122655066E-10</v>
      </c>
      <c r="Y21" s="16">
        <f t="shared" si="16"/>
        <v>136293469762628.81</v>
      </c>
    </row>
    <row r="22" spans="1:25" x14ac:dyDescent="0.25">
      <c r="A22" s="5">
        <v>110</v>
      </c>
      <c r="B22" s="5">
        <f t="shared" si="1"/>
        <v>1.8333333333333333</v>
      </c>
      <c r="C22" s="5">
        <v>20</v>
      </c>
      <c r="D22" s="5">
        <f t="shared" si="0"/>
        <v>29.146000000000001</v>
      </c>
      <c r="E22" s="5">
        <f t="shared" si="2"/>
        <v>4.8576666666666667E-7</v>
      </c>
      <c r="F22" s="5">
        <v>21.1</v>
      </c>
      <c r="G22" s="5">
        <f t="shared" si="3"/>
        <v>294.10000000000002</v>
      </c>
      <c r="H22" s="5">
        <v>101.3</v>
      </c>
      <c r="I22" s="5">
        <f t="shared" si="4"/>
        <v>101300</v>
      </c>
      <c r="J22" s="5">
        <f t="shared" si="5"/>
        <v>2.0124824921938581E-5</v>
      </c>
      <c r="K22" s="38">
        <v>4218.3118811881195</v>
      </c>
      <c r="L22" s="6">
        <f t="shared" si="6"/>
        <v>4.2183118811881196E-3</v>
      </c>
      <c r="M22" s="5">
        <f t="shared" si="7"/>
        <v>4.7762865441819992E-3</v>
      </c>
      <c r="N22" s="52">
        <f t="shared" si="8"/>
        <v>3.5547611011090739E-5</v>
      </c>
      <c r="O22" s="37">
        <v>2.032E-3</v>
      </c>
      <c r="P22" s="6">
        <v>0.3</v>
      </c>
      <c r="Q22" s="6">
        <f t="shared" si="9"/>
        <v>130000</v>
      </c>
      <c r="R22" s="6">
        <v>0.08</v>
      </c>
      <c r="S22" s="6">
        <f t="shared" si="10"/>
        <v>108000</v>
      </c>
      <c r="T22" s="6">
        <f t="shared" si="11"/>
        <v>455.57768316831692</v>
      </c>
      <c r="U22" s="8">
        <f t="shared" si="12"/>
        <v>2.1294349245121781E-10</v>
      </c>
      <c r="V22" s="8">
        <f t="shared" si="13"/>
        <v>128234571154123.38</v>
      </c>
      <c r="W22" s="6">
        <f t="shared" si="14"/>
        <v>5</v>
      </c>
      <c r="X22" s="16">
        <f t="shared" si="15"/>
        <v>2.256549342505334E-10</v>
      </c>
      <c r="Y22" s="16">
        <f t="shared" si="16"/>
        <v>135889401405671.22</v>
      </c>
    </row>
    <row r="23" spans="1:25" x14ac:dyDescent="0.25">
      <c r="A23" s="5">
        <v>115.5</v>
      </c>
      <c r="B23" s="5">
        <f t="shared" si="1"/>
        <v>1.925</v>
      </c>
      <c r="C23" s="5">
        <v>20</v>
      </c>
      <c r="D23" s="5">
        <f t="shared" si="0"/>
        <v>29.146000000000001</v>
      </c>
      <c r="E23" s="5">
        <f t="shared" si="2"/>
        <v>4.8576666666666667E-7</v>
      </c>
      <c r="F23" s="5">
        <v>21.1</v>
      </c>
      <c r="G23" s="5">
        <f t="shared" si="3"/>
        <v>294.10000000000002</v>
      </c>
      <c r="H23" s="5">
        <v>101.3</v>
      </c>
      <c r="I23" s="5">
        <f t="shared" si="4"/>
        <v>101300</v>
      </c>
      <c r="J23" s="5">
        <f t="shared" si="5"/>
        <v>2.0124824921938581E-5</v>
      </c>
      <c r="K23" s="38">
        <v>4220.5396039603966</v>
      </c>
      <c r="L23" s="6">
        <f t="shared" si="6"/>
        <v>4.2205396039603962E-3</v>
      </c>
      <c r="M23" s="5">
        <f t="shared" si="7"/>
        <v>4.7762865441819992E-3</v>
      </c>
      <c r="N23" s="52">
        <f t="shared" si="8"/>
        <v>3.5566383976385841E-5</v>
      </c>
      <c r="O23" s="37">
        <v>2.032E-3</v>
      </c>
      <c r="P23" s="6">
        <v>0.3</v>
      </c>
      <c r="Q23" s="6">
        <f t="shared" si="9"/>
        <v>130000</v>
      </c>
      <c r="R23" s="6">
        <v>0.08</v>
      </c>
      <c r="S23" s="6">
        <f t="shared" si="10"/>
        <v>108000</v>
      </c>
      <c r="T23" s="6">
        <f t="shared" si="11"/>
        <v>455.81827722772277</v>
      </c>
      <c r="U23" s="8">
        <f t="shared" si="12"/>
        <v>2.1305948908388474E-10</v>
      </c>
      <c r="V23" s="8">
        <f t="shared" si="13"/>
        <v>128304424326315.39</v>
      </c>
      <c r="W23" s="6">
        <f t="shared" si="14"/>
        <v>5</v>
      </c>
      <c r="X23" s="16">
        <f t="shared" si="15"/>
        <v>2.2578205396952856E-10</v>
      </c>
      <c r="Y23" s="16">
        <f t="shared" si="16"/>
        <v>135965952900450.11</v>
      </c>
    </row>
    <row r="24" spans="1:25" x14ac:dyDescent="0.25">
      <c r="A24" s="5">
        <v>121</v>
      </c>
      <c r="B24" s="5">
        <f t="shared" si="1"/>
        <v>2.0166666666666666</v>
      </c>
      <c r="C24" s="5">
        <v>20</v>
      </c>
      <c r="D24" s="5">
        <f t="shared" si="0"/>
        <v>29.146000000000001</v>
      </c>
      <c r="E24" s="5">
        <f t="shared" si="2"/>
        <v>4.8576666666666667E-7</v>
      </c>
      <c r="F24" s="5">
        <v>21.1</v>
      </c>
      <c r="G24" s="5">
        <f t="shared" si="3"/>
        <v>294.10000000000002</v>
      </c>
      <c r="H24" s="5">
        <v>101.3</v>
      </c>
      <c r="I24" s="5">
        <f t="shared" si="4"/>
        <v>101300</v>
      </c>
      <c r="J24" s="5">
        <f t="shared" si="5"/>
        <v>2.0124824921938581E-5</v>
      </c>
      <c r="K24" s="38">
        <v>4243.6831683168321</v>
      </c>
      <c r="L24" s="6">
        <f t="shared" si="6"/>
        <v>4.2436831683168317E-3</v>
      </c>
      <c r="M24" s="5">
        <f t="shared" si="7"/>
        <v>4.7762865441819992E-3</v>
      </c>
      <c r="N24" s="52">
        <f t="shared" si="8"/>
        <v>3.5761414226951614E-5</v>
      </c>
      <c r="O24" s="37">
        <v>2.032E-3</v>
      </c>
      <c r="P24" s="6">
        <v>0.3</v>
      </c>
      <c r="Q24" s="6">
        <f t="shared" si="9"/>
        <v>130000</v>
      </c>
      <c r="R24" s="6">
        <v>0.08</v>
      </c>
      <c r="S24" s="6">
        <f t="shared" si="10"/>
        <v>108000</v>
      </c>
      <c r="T24" s="6">
        <f t="shared" si="11"/>
        <v>458.31778217821784</v>
      </c>
      <c r="U24" s="8">
        <f t="shared" si="12"/>
        <v>2.1426473781815473E-10</v>
      </c>
      <c r="V24" s="8">
        <f t="shared" si="13"/>
        <v>129030225114092.78</v>
      </c>
      <c r="W24" s="6">
        <f t="shared" si="14"/>
        <v>5</v>
      </c>
      <c r="X24" s="16">
        <f t="shared" si="15"/>
        <v>2.2710309181651417E-10</v>
      </c>
      <c r="Y24" s="16">
        <f t="shared" si="16"/>
        <v>136761481891904.84</v>
      </c>
    </row>
    <row r="25" spans="1:25" x14ac:dyDescent="0.25">
      <c r="A25" s="5">
        <v>126.5</v>
      </c>
      <c r="B25" s="5">
        <f t="shared" si="1"/>
        <v>2.1083333333333334</v>
      </c>
      <c r="C25" s="5">
        <v>20</v>
      </c>
      <c r="D25" s="5">
        <f t="shared" si="0"/>
        <v>29.146000000000001</v>
      </c>
      <c r="E25" s="5">
        <f t="shared" si="2"/>
        <v>4.8576666666666667E-7</v>
      </c>
      <c r="F25" s="5">
        <v>21.1</v>
      </c>
      <c r="G25" s="5">
        <f t="shared" si="3"/>
        <v>294.10000000000002</v>
      </c>
      <c r="H25" s="5">
        <v>101.3</v>
      </c>
      <c r="I25" s="5">
        <f t="shared" si="4"/>
        <v>101300</v>
      </c>
      <c r="J25" s="5">
        <f t="shared" si="5"/>
        <v>2.0124824921938581E-5</v>
      </c>
      <c r="K25" s="38">
        <v>4224.1287128712875</v>
      </c>
      <c r="L25" s="6">
        <f t="shared" si="6"/>
        <v>4.2241287128712878E-3</v>
      </c>
      <c r="M25" s="5">
        <f t="shared" si="7"/>
        <v>4.7762865441819992E-3</v>
      </c>
      <c r="N25" s="52">
        <f t="shared" si="8"/>
        <v>3.5596629309361284E-5</v>
      </c>
      <c r="O25" s="37">
        <v>2.032E-3</v>
      </c>
      <c r="P25" s="6">
        <v>0.3</v>
      </c>
      <c r="Q25" s="6">
        <f t="shared" si="9"/>
        <v>130000</v>
      </c>
      <c r="R25" s="6">
        <v>0.08</v>
      </c>
      <c r="S25" s="6">
        <f t="shared" si="10"/>
        <v>108000</v>
      </c>
      <c r="T25" s="6">
        <f t="shared" si="11"/>
        <v>456.20590099009905</v>
      </c>
      <c r="U25" s="8">
        <f t="shared" si="12"/>
        <v>2.1324637868856197E-10</v>
      </c>
      <c r="V25" s="8">
        <f t="shared" si="13"/>
        <v>128416969246252.03</v>
      </c>
      <c r="W25" s="6">
        <f t="shared" si="14"/>
        <v>5</v>
      </c>
      <c r="X25" s="16">
        <f t="shared" si="15"/>
        <v>2.259868723756158E-10</v>
      </c>
      <c r="Y25" s="16">
        <f t="shared" si="16"/>
        <v>136089294544595.84</v>
      </c>
    </row>
    <row r="26" spans="1:25" x14ac:dyDescent="0.25">
      <c r="A26" s="5">
        <v>132</v>
      </c>
      <c r="B26" s="5">
        <f t="shared" si="1"/>
        <v>2.2000000000000002</v>
      </c>
      <c r="C26" s="5">
        <v>20</v>
      </c>
      <c r="D26" s="5">
        <f t="shared" si="0"/>
        <v>29.146000000000001</v>
      </c>
      <c r="E26" s="5">
        <f t="shared" si="2"/>
        <v>4.8576666666666667E-7</v>
      </c>
      <c r="F26" s="5">
        <v>21.1</v>
      </c>
      <c r="G26" s="5">
        <f t="shared" si="3"/>
        <v>294.10000000000002</v>
      </c>
      <c r="H26" s="5">
        <v>101.3</v>
      </c>
      <c r="I26" s="5">
        <f t="shared" si="4"/>
        <v>101300</v>
      </c>
      <c r="J26" s="5">
        <f t="shared" si="5"/>
        <v>2.0124824921938581E-5</v>
      </c>
      <c r="K26" s="38">
        <v>4241.8019801980208</v>
      </c>
      <c r="L26" s="6">
        <f t="shared" si="6"/>
        <v>4.2418019801980207E-3</v>
      </c>
      <c r="M26" s="5">
        <f t="shared" si="7"/>
        <v>4.7762865441819992E-3</v>
      </c>
      <c r="N26" s="52">
        <f t="shared" si="8"/>
        <v>3.5745561500702424E-5</v>
      </c>
      <c r="O26" s="37">
        <v>2.032E-3</v>
      </c>
      <c r="P26" s="6">
        <v>0.3</v>
      </c>
      <c r="Q26" s="6">
        <f t="shared" si="9"/>
        <v>130000</v>
      </c>
      <c r="R26" s="6">
        <v>0.08</v>
      </c>
      <c r="S26" s="6">
        <f t="shared" si="10"/>
        <v>108000</v>
      </c>
      <c r="T26" s="6">
        <f t="shared" si="11"/>
        <v>458.11461386138626</v>
      </c>
      <c r="U26" s="8">
        <f t="shared" si="12"/>
        <v>2.1416675932732622E-10</v>
      </c>
      <c r="V26" s="8">
        <f t="shared" si="13"/>
        <v>128971222466915.86</v>
      </c>
      <c r="W26" s="6">
        <f t="shared" si="14"/>
        <v>5</v>
      </c>
      <c r="X26" s="16">
        <f t="shared" si="15"/>
        <v>2.2699568575271378E-10</v>
      </c>
      <c r="Y26" s="16">
        <f t="shared" si="16"/>
        <v>136696801960284.25</v>
      </c>
    </row>
    <row r="27" spans="1:25" x14ac:dyDescent="0.25">
      <c r="A27" s="5">
        <v>137.5</v>
      </c>
      <c r="B27" s="5">
        <f t="shared" si="1"/>
        <v>2.2916666666666665</v>
      </c>
      <c r="C27" s="5">
        <v>20</v>
      </c>
      <c r="D27" s="5">
        <f t="shared" si="0"/>
        <v>29.146000000000001</v>
      </c>
      <c r="E27" s="5">
        <f t="shared" si="2"/>
        <v>4.8576666666666667E-7</v>
      </c>
      <c r="F27" s="5">
        <v>21.1</v>
      </c>
      <c r="G27" s="5">
        <f t="shared" si="3"/>
        <v>294.10000000000002</v>
      </c>
      <c r="H27" s="5">
        <v>101.3</v>
      </c>
      <c r="I27" s="5">
        <f t="shared" si="4"/>
        <v>101300</v>
      </c>
      <c r="J27" s="5">
        <f t="shared" si="5"/>
        <v>2.0124824921938581E-5</v>
      </c>
      <c r="K27" s="38">
        <v>4245.6138613861394</v>
      </c>
      <c r="L27" s="6">
        <f t="shared" si="6"/>
        <v>4.2456138613861391E-3</v>
      </c>
      <c r="M27" s="5">
        <f t="shared" si="7"/>
        <v>4.7762865441819992E-3</v>
      </c>
      <c r="N27" s="52">
        <f t="shared" si="8"/>
        <v>3.5777684130207373E-5</v>
      </c>
      <c r="O27" s="37">
        <v>2.032E-3</v>
      </c>
      <c r="P27" s="6">
        <v>0.3</v>
      </c>
      <c r="Q27" s="6">
        <f t="shared" si="9"/>
        <v>130000</v>
      </c>
      <c r="R27" s="6">
        <v>0.08</v>
      </c>
      <c r="S27" s="6">
        <f t="shared" si="10"/>
        <v>108000</v>
      </c>
      <c r="T27" s="6">
        <f t="shared" si="11"/>
        <v>458.52629702970302</v>
      </c>
      <c r="U27" s="8">
        <f t="shared" si="12"/>
        <v>2.1436529685028163E-10</v>
      </c>
      <c r="V27" s="8">
        <f t="shared" si="13"/>
        <v>129090781763239.59</v>
      </c>
      <c r="W27" s="6">
        <f t="shared" si="14"/>
        <v>5</v>
      </c>
      <c r="X27" s="16">
        <f t="shared" si="15"/>
        <v>2.2721332942826525E-10</v>
      </c>
      <c r="Y27" s="16">
        <f t="shared" si="16"/>
        <v>136827866981701.34</v>
      </c>
    </row>
    <row r="28" spans="1:25" x14ac:dyDescent="0.25">
      <c r="A28" s="5">
        <v>143</v>
      </c>
      <c r="B28" s="5">
        <f t="shared" si="1"/>
        <v>2.3833333333333333</v>
      </c>
      <c r="C28" s="5">
        <v>20</v>
      </c>
      <c r="D28" s="5">
        <f t="shared" si="0"/>
        <v>29.146000000000001</v>
      </c>
      <c r="E28" s="5">
        <f t="shared" si="2"/>
        <v>4.8576666666666667E-7</v>
      </c>
      <c r="F28" s="5">
        <v>21.1</v>
      </c>
      <c r="G28" s="5">
        <f t="shared" si="3"/>
        <v>294.10000000000002</v>
      </c>
      <c r="H28" s="5">
        <v>101.3</v>
      </c>
      <c r="I28" s="5">
        <f t="shared" si="4"/>
        <v>101300</v>
      </c>
      <c r="J28" s="5">
        <f t="shared" si="5"/>
        <v>2.0124824921938581E-5</v>
      </c>
      <c r="K28" s="38">
        <v>4260.3415841584165</v>
      </c>
      <c r="L28" s="6">
        <f t="shared" si="6"/>
        <v>4.2603415841584169E-3</v>
      </c>
      <c r="M28" s="5">
        <f t="shared" si="7"/>
        <v>4.7762865441819992E-3</v>
      </c>
      <c r="N28" s="52">
        <f t="shared" si="8"/>
        <v>3.5901794289658325E-5</v>
      </c>
      <c r="O28" s="37">
        <v>2.032E-3</v>
      </c>
      <c r="P28" s="6">
        <v>0.3</v>
      </c>
      <c r="Q28" s="6">
        <f t="shared" si="9"/>
        <v>130000</v>
      </c>
      <c r="R28" s="6">
        <v>0.08</v>
      </c>
      <c r="S28" s="6">
        <f t="shared" si="10"/>
        <v>108000</v>
      </c>
      <c r="T28" s="6">
        <f t="shared" si="11"/>
        <v>460.116891089109</v>
      </c>
      <c r="U28" s="8">
        <f t="shared" si="12"/>
        <v>2.1513245373632937E-10</v>
      </c>
      <c r="V28" s="8">
        <f t="shared" si="13"/>
        <v>129552763640017.56</v>
      </c>
      <c r="W28" s="6">
        <f t="shared" si="14"/>
        <v>5</v>
      </c>
      <c r="X28" s="16">
        <f t="shared" si="15"/>
        <v>2.2805441356595818E-10</v>
      </c>
      <c r="Y28" s="16">
        <f t="shared" si="16"/>
        <v>137334367849420.02</v>
      </c>
    </row>
    <row r="29" spans="1:25" x14ac:dyDescent="0.25">
      <c r="A29" s="5">
        <v>148.5</v>
      </c>
      <c r="B29" s="5">
        <f t="shared" si="1"/>
        <v>2.4750000000000001</v>
      </c>
      <c r="C29" s="5">
        <v>20</v>
      </c>
      <c r="D29" s="5">
        <f t="shared" si="0"/>
        <v>29.146000000000001</v>
      </c>
      <c r="E29" s="5">
        <f t="shared" si="2"/>
        <v>4.8576666666666667E-7</v>
      </c>
      <c r="F29" s="5">
        <v>21.1</v>
      </c>
      <c r="G29" s="5">
        <f t="shared" si="3"/>
        <v>294.10000000000002</v>
      </c>
      <c r="H29" s="5">
        <v>101.3</v>
      </c>
      <c r="I29" s="5">
        <f t="shared" si="4"/>
        <v>101300</v>
      </c>
      <c r="J29" s="5">
        <f t="shared" si="5"/>
        <v>2.0124824921938581E-5</v>
      </c>
      <c r="K29" s="38">
        <v>4252.2475247524762</v>
      </c>
      <c r="L29" s="6">
        <f t="shared" si="6"/>
        <v>4.2522475247524765E-3</v>
      </c>
      <c r="M29" s="5">
        <f t="shared" si="7"/>
        <v>4.7762865441819992E-3</v>
      </c>
      <c r="N29" s="52">
        <f t="shared" si="8"/>
        <v>3.5833585849086129E-5</v>
      </c>
      <c r="O29" s="37">
        <v>2.032E-3</v>
      </c>
      <c r="P29" s="6">
        <v>0.3</v>
      </c>
      <c r="Q29" s="6">
        <f t="shared" si="9"/>
        <v>130000</v>
      </c>
      <c r="R29" s="6">
        <v>0.08</v>
      </c>
      <c r="S29" s="6">
        <f t="shared" si="10"/>
        <v>108000</v>
      </c>
      <c r="T29" s="6">
        <f t="shared" si="11"/>
        <v>459.24273267326748</v>
      </c>
      <c r="U29" s="8">
        <f t="shared" si="12"/>
        <v>2.1471082403930626E-10</v>
      </c>
      <c r="V29" s="8">
        <f t="shared" si="13"/>
        <v>129298858236470.23</v>
      </c>
      <c r="W29" s="6">
        <f t="shared" si="14"/>
        <v>5</v>
      </c>
      <c r="X29" s="16">
        <f t="shared" si="15"/>
        <v>2.2759213370397056E-10</v>
      </c>
      <c r="Y29" s="16">
        <f t="shared" si="16"/>
        <v>137055982916531.08</v>
      </c>
    </row>
    <row r="30" spans="1:25" x14ac:dyDescent="0.25">
      <c r="A30" s="5">
        <v>154</v>
      </c>
      <c r="B30" s="5">
        <f t="shared" si="1"/>
        <v>2.5666666666666669</v>
      </c>
      <c r="C30" s="5">
        <v>20</v>
      </c>
      <c r="D30" s="5">
        <f t="shared" si="0"/>
        <v>29.146000000000001</v>
      </c>
      <c r="E30" s="5">
        <f t="shared" si="2"/>
        <v>4.8576666666666667E-7</v>
      </c>
      <c r="F30" s="5">
        <v>21.1</v>
      </c>
      <c r="G30" s="5">
        <f t="shared" si="3"/>
        <v>294.10000000000002</v>
      </c>
      <c r="H30" s="5">
        <v>101.3</v>
      </c>
      <c r="I30" s="5">
        <f t="shared" si="4"/>
        <v>101300</v>
      </c>
      <c r="J30" s="5">
        <f t="shared" si="5"/>
        <v>2.0124824921938581E-5</v>
      </c>
      <c r="K30" s="38">
        <v>4248.212871287129</v>
      </c>
      <c r="L30" s="6">
        <f t="shared" si="6"/>
        <v>4.2482128712871287E-3</v>
      </c>
      <c r="M30" s="5">
        <f t="shared" si="7"/>
        <v>4.7762865441819992E-3</v>
      </c>
      <c r="N30" s="52">
        <f t="shared" si="8"/>
        <v>3.5799585923051655E-5</v>
      </c>
      <c r="O30" s="37">
        <v>2.032E-3</v>
      </c>
      <c r="P30" s="6">
        <v>0.3</v>
      </c>
      <c r="Q30" s="6">
        <f t="shared" si="9"/>
        <v>130000</v>
      </c>
      <c r="R30" s="6">
        <v>0.08</v>
      </c>
      <c r="S30" s="6">
        <f t="shared" si="10"/>
        <v>108000</v>
      </c>
      <c r="T30" s="6">
        <f t="shared" si="11"/>
        <v>458.80699009900991</v>
      </c>
      <c r="U30" s="8">
        <f t="shared" si="12"/>
        <v>2.145006682326041E-10</v>
      </c>
      <c r="V30" s="8">
        <f t="shared" si="13"/>
        <v>129172302409674.19</v>
      </c>
      <c r="W30" s="6">
        <f t="shared" si="14"/>
        <v>5</v>
      </c>
      <c r="X30" s="16">
        <f t="shared" si="15"/>
        <v>2.2736173432637485E-10</v>
      </c>
      <c r="Y30" s="16">
        <f t="shared" si="16"/>
        <v>136917236411342.94</v>
      </c>
    </row>
    <row r="31" spans="1:25" x14ac:dyDescent="0.25">
      <c r="A31" s="5">
        <v>159.5</v>
      </c>
      <c r="B31" s="5">
        <f t="shared" si="1"/>
        <v>2.6583333333333332</v>
      </c>
      <c r="C31" s="5">
        <v>20</v>
      </c>
      <c r="D31" s="5">
        <f t="shared" si="0"/>
        <v>29.146000000000001</v>
      </c>
      <c r="E31" s="5">
        <f t="shared" si="2"/>
        <v>4.8576666666666667E-7</v>
      </c>
      <c r="F31" s="5">
        <v>21.1</v>
      </c>
      <c r="G31" s="5">
        <f t="shared" si="3"/>
        <v>294.10000000000002</v>
      </c>
      <c r="H31" s="5">
        <v>101.3</v>
      </c>
      <c r="I31" s="5">
        <f t="shared" si="4"/>
        <v>101300</v>
      </c>
      <c r="J31" s="5">
        <f t="shared" si="5"/>
        <v>2.0124824921938581E-5</v>
      </c>
      <c r="K31" s="38">
        <v>4274.8712871287134</v>
      </c>
      <c r="L31" s="6">
        <f t="shared" si="6"/>
        <v>4.2748712871287136E-3</v>
      </c>
      <c r="M31" s="5">
        <f t="shared" si="7"/>
        <v>4.7762865441819992E-3</v>
      </c>
      <c r="N31" s="52">
        <f t="shared" si="8"/>
        <v>3.6024235741083046E-5</v>
      </c>
      <c r="O31" s="37">
        <v>2.032E-3</v>
      </c>
      <c r="P31" s="6">
        <v>0.3</v>
      </c>
      <c r="Q31" s="6">
        <f t="shared" si="9"/>
        <v>130000</v>
      </c>
      <c r="R31" s="6">
        <v>0.08</v>
      </c>
      <c r="S31" s="6">
        <f t="shared" si="10"/>
        <v>108000</v>
      </c>
      <c r="T31" s="6">
        <f t="shared" si="11"/>
        <v>461.68609900990106</v>
      </c>
      <c r="U31" s="8">
        <f t="shared" si="12"/>
        <v>2.158894204692655E-10</v>
      </c>
      <c r="V31" s="8">
        <f t="shared" si="13"/>
        <v>130008609006591.69</v>
      </c>
      <c r="W31" s="6">
        <f t="shared" si="14"/>
        <v>5</v>
      </c>
      <c r="X31" s="16">
        <f t="shared" si="15"/>
        <v>2.2888448164619754E-10</v>
      </c>
      <c r="Y31" s="16">
        <f t="shared" si="16"/>
        <v>137834234847340.16</v>
      </c>
    </row>
    <row r="32" spans="1:25" x14ac:dyDescent="0.25">
      <c r="A32" s="5">
        <v>165</v>
      </c>
      <c r="B32" s="5">
        <f t="shared" si="1"/>
        <v>2.75</v>
      </c>
      <c r="C32" s="5">
        <v>20</v>
      </c>
      <c r="D32" s="5">
        <f t="shared" si="0"/>
        <v>29.146000000000001</v>
      </c>
      <c r="E32" s="5">
        <f t="shared" si="2"/>
        <v>4.8576666666666667E-7</v>
      </c>
      <c r="F32" s="5">
        <v>21.1</v>
      </c>
      <c r="G32" s="5">
        <f t="shared" si="3"/>
        <v>294.10000000000002</v>
      </c>
      <c r="H32" s="5">
        <v>101.3</v>
      </c>
      <c r="I32" s="5">
        <f t="shared" si="4"/>
        <v>101300</v>
      </c>
      <c r="J32" s="5">
        <f t="shared" si="5"/>
        <v>2.0124824921938581E-5</v>
      </c>
      <c r="K32" s="38">
        <v>4283.3613861386148</v>
      </c>
      <c r="L32" s="6">
        <f t="shared" si="6"/>
        <v>4.2833613861386144E-3</v>
      </c>
      <c r="M32" s="5">
        <f t="shared" si="7"/>
        <v>4.7762865441819992E-3</v>
      </c>
      <c r="N32" s="52">
        <f t="shared" si="8"/>
        <v>3.6095781597707711E-5</v>
      </c>
      <c r="O32" s="37">
        <v>2.032E-3</v>
      </c>
      <c r="P32" s="6">
        <v>0.3</v>
      </c>
      <c r="Q32" s="6">
        <f t="shared" si="9"/>
        <v>130000</v>
      </c>
      <c r="R32" s="6">
        <v>0.08</v>
      </c>
      <c r="S32" s="6">
        <f t="shared" si="10"/>
        <v>108000</v>
      </c>
      <c r="T32" s="6">
        <f t="shared" si="11"/>
        <v>462.60302970297033</v>
      </c>
      <c r="U32" s="8">
        <f t="shared" si="12"/>
        <v>2.1633179383213833E-10</v>
      </c>
      <c r="V32" s="8">
        <f t="shared" si="13"/>
        <v>130275006245713.7</v>
      </c>
      <c r="W32" s="6">
        <f t="shared" si="14"/>
        <v>5</v>
      </c>
      <c r="X32" s="16">
        <f t="shared" si="15"/>
        <v>2.2936964732253048E-10</v>
      </c>
      <c r="Y32" s="16">
        <f t="shared" si="16"/>
        <v>138126401617627.86</v>
      </c>
    </row>
    <row r="33" spans="1:25" x14ac:dyDescent="0.25">
      <c r="A33" s="5">
        <v>170.5</v>
      </c>
      <c r="B33" s="5">
        <f t="shared" si="1"/>
        <v>2.8416666666666668</v>
      </c>
      <c r="C33" s="5">
        <v>20</v>
      </c>
      <c r="D33" s="5">
        <f t="shared" si="0"/>
        <v>29.146000000000001</v>
      </c>
      <c r="E33" s="5">
        <f t="shared" si="2"/>
        <v>4.8576666666666667E-7</v>
      </c>
      <c r="F33" s="5">
        <v>21.1</v>
      </c>
      <c r="G33" s="5">
        <f t="shared" si="3"/>
        <v>294.10000000000002</v>
      </c>
      <c r="H33" s="5">
        <v>101.3</v>
      </c>
      <c r="I33" s="5">
        <f t="shared" si="4"/>
        <v>101300</v>
      </c>
      <c r="J33" s="5">
        <f t="shared" si="5"/>
        <v>2.0124824921938581E-5</v>
      </c>
      <c r="K33" s="38">
        <v>4291.3316831683169</v>
      </c>
      <c r="L33" s="6">
        <f t="shared" si="6"/>
        <v>4.2913316831683168E-3</v>
      </c>
      <c r="M33" s="5">
        <f t="shared" si="7"/>
        <v>4.7762865441819992E-3</v>
      </c>
      <c r="N33" s="52">
        <f t="shared" si="8"/>
        <v>3.6162947095763513E-5</v>
      </c>
      <c r="O33" s="37">
        <v>2.032E-3</v>
      </c>
      <c r="P33" s="6">
        <v>0.3</v>
      </c>
      <c r="Q33" s="6">
        <f t="shared" si="9"/>
        <v>130000</v>
      </c>
      <c r="R33" s="6">
        <v>0.08</v>
      </c>
      <c r="S33" s="6">
        <f t="shared" si="10"/>
        <v>108000</v>
      </c>
      <c r="T33" s="6">
        <f t="shared" si="11"/>
        <v>463.46382178217823</v>
      </c>
      <c r="U33" s="8">
        <f t="shared" si="12"/>
        <v>2.1674712146798246E-10</v>
      </c>
      <c r="V33" s="8">
        <f t="shared" si="13"/>
        <v>130525116548019.05</v>
      </c>
      <c r="W33" s="6">
        <f t="shared" si="14"/>
        <v>5</v>
      </c>
      <c r="X33" s="16">
        <f t="shared" si="15"/>
        <v>2.2982519913653484E-10</v>
      </c>
      <c r="Y33" s="16">
        <f t="shared" si="16"/>
        <v>138400734920021.28</v>
      </c>
    </row>
    <row r="34" spans="1:25" x14ac:dyDescent="0.25">
      <c r="U34" s="20"/>
      <c r="V34" s="10"/>
    </row>
    <row r="35" spans="1:25" x14ac:dyDescent="0.25">
      <c r="U35" s="20"/>
      <c r="V35" s="10"/>
    </row>
    <row r="36" spans="1:25" x14ac:dyDescent="0.25">
      <c r="U36" s="20"/>
      <c r="V36" s="10"/>
    </row>
    <row r="37" spans="1:25" x14ac:dyDescent="0.25">
      <c r="U37" s="20"/>
      <c r="V37" s="10"/>
    </row>
    <row r="38" spans="1:25" s="28" customForma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5"/>
      <c r="L38" s="31"/>
      <c r="M38" s="30"/>
      <c r="N38" s="46"/>
      <c r="O38" s="46"/>
      <c r="P38" s="31"/>
      <c r="Q38" s="29"/>
      <c r="R38" s="29"/>
      <c r="S38" s="31"/>
      <c r="T38" s="31"/>
      <c r="U38" s="40">
        <f>AVERAGE(U21:U33)</f>
        <v>2.1453185891149573E-10</v>
      </c>
      <c r="V38" s="40">
        <f>AVERAGE(V21:V33)</f>
        <v>129191085436502.73</v>
      </c>
      <c r="W38" s="31"/>
      <c r="X38" s="42">
        <f>AVERAGE(X21:X33)</f>
        <v>2.273961152708683E-10</v>
      </c>
      <c r="Y38" s="42">
        <f>AVERAGE(Y21:Y33)</f>
        <v>136937940616116.91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CE3C-4DA9-446B-9510-4BEA30903E42}">
  <dimension ref="A1:Y38"/>
  <sheetViews>
    <sheetView topLeftCell="V18" zoomScale="110" zoomScaleNormal="110" workbookViewId="0">
      <selection activeCell="N5" sqref="N5"/>
    </sheetView>
  </sheetViews>
  <sheetFormatPr defaultRowHeight="13.8" x14ac:dyDescent="0.25"/>
  <cols>
    <col min="1" max="4" width="22.109375" style="23" customWidth="1"/>
    <col min="5" max="5" width="18.77734375" style="23" customWidth="1"/>
    <col min="6" max="6" width="17.33203125" style="23" customWidth="1"/>
    <col min="7" max="7" width="16.6640625" style="23" customWidth="1"/>
    <col min="8" max="8" width="20.88671875" style="23" customWidth="1"/>
    <col min="9" max="9" width="19.21875" style="23" customWidth="1"/>
    <col min="10" max="10" width="23.109375" style="23" customWidth="1"/>
    <col min="11" max="11" width="13.6640625" style="34" customWidth="1"/>
    <col min="12" max="12" width="20.88671875" style="17" customWidth="1"/>
    <col min="13" max="13" width="31.6640625" style="23" customWidth="1"/>
    <col min="14" max="14" width="17.6640625" style="45" customWidth="1"/>
    <col min="15" max="15" width="23" style="45" customWidth="1"/>
    <col min="16" max="16" width="20.6640625" style="17" customWidth="1"/>
    <col min="17" max="17" width="26.88671875" style="17" customWidth="1"/>
    <col min="18" max="20" width="20.6640625" style="17" customWidth="1"/>
    <col min="21" max="21" width="38.44140625" style="23" customWidth="1"/>
    <col min="22" max="22" width="36" style="23" customWidth="1"/>
    <col min="23" max="23" width="35.33203125" style="10" customWidth="1"/>
    <col min="24" max="24" width="45.77734375" style="19" customWidth="1"/>
    <col min="25" max="25" width="54" style="19" customWidth="1"/>
    <col min="26" max="16384" width="8.88671875" style="19"/>
  </cols>
  <sheetData>
    <row r="1" spans="1:25" s="22" customFormat="1" ht="55.2" x14ac:dyDescent="0.3">
      <c r="A1" s="11" t="s">
        <v>7</v>
      </c>
      <c r="B1" s="12" t="s">
        <v>6</v>
      </c>
      <c r="C1" s="11" t="s">
        <v>2</v>
      </c>
      <c r="D1" s="11" t="s">
        <v>1</v>
      </c>
      <c r="E1" s="12" t="s">
        <v>0</v>
      </c>
      <c r="F1" s="11" t="s">
        <v>3</v>
      </c>
      <c r="G1" s="12" t="s">
        <v>10</v>
      </c>
      <c r="H1" s="11" t="s">
        <v>4</v>
      </c>
      <c r="I1" s="12" t="s">
        <v>11</v>
      </c>
      <c r="J1" s="12" t="s">
        <v>8</v>
      </c>
      <c r="K1" s="32" t="s">
        <v>5</v>
      </c>
      <c r="L1" s="13" t="s">
        <v>18</v>
      </c>
      <c r="M1" s="12" t="s">
        <v>9</v>
      </c>
      <c r="N1" s="44" t="s">
        <v>27</v>
      </c>
      <c r="O1" s="44" t="s">
        <v>12</v>
      </c>
      <c r="P1" s="21" t="s">
        <v>16</v>
      </c>
      <c r="Q1" s="13" t="s">
        <v>17</v>
      </c>
      <c r="R1" s="13" t="s">
        <v>13</v>
      </c>
      <c r="S1" s="13" t="s">
        <v>14</v>
      </c>
      <c r="T1" s="13" t="s">
        <v>15</v>
      </c>
      <c r="U1" s="2" t="s">
        <v>28</v>
      </c>
      <c r="V1" s="12" t="s">
        <v>29</v>
      </c>
      <c r="W1" s="3" t="s">
        <v>26</v>
      </c>
      <c r="X1" s="41" t="s">
        <v>30</v>
      </c>
      <c r="Y1" s="41" t="s">
        <v>31</v>
      </c>
    </row>
    <row r="2" spans="1:25" x14ac:dyDescent="0.25">
      <c r="A2" s="14">
        <v>0</v>
      </c>
      <c r="B2" s="14">
        <f>(A2/60)</f>
        <v>0</v>
      </c>
      <c r="C2" s="14">
        <v>20</v>
      </c>
      <c r="D2" s="14">
        <f t="shared" ref="D2:D33" si="0">(C2*1.4573)</f>
        <v>29.146000000000001</v>
      </c>
      <c r="E2" s="14">
        <f>(D2/(1000000*60))</f>
        <v>4.8576666666666667E-7</v>
      </c>
      <c r="F2" s="14">
        <v>21.1</v>
      </c>
      <c r="G2" s="14">
        <f>(273+F2)</f>
        <v>294.10000000000002</v>
      </c>
      <c r="H2" s="14">
        <v>101.3</v>
      </c>
      <c r="I2" s="14">
        <f>(H2*1000)</f>
        <v>101300</v>
      </c>
      <c r="J2" s="14">
        <f>((I2*E2)/(8.314*G2))</f>
        <v>2.0124824921938581E-5</v>
      </c>
      <c r="K2" s="33">
        <v>27.915841584158414</v>
      </c>
      <c r="L2" s="15">
        <f>(K2/1000000)</f>
        <v>2.7915841584158413E-5</v>
      </c>
      <c r="M2" s="14">
        <f>(3.142*3.07*3.07*25.4*25.4)/(4*1000000)</f>
        <v>4.7762865441819992E-3</v>
      </c>
      <c r="N2" s="37">
        <f>(2*L2*J2)/M2</f>
        <v>2.3524611399795167E-7</v>
      </c>
      <c r="O2" s="37">
        <v>2.032E-3</v>
      </c>
      <c r="P2" s="15">
        <v>0.3</v>
      </c>
      <c r="Q2" s="15">
        <f>(1+P2)*100000*1</f>
        <v>130000</v>
      </c>
      <c r="R2" s="15">
        <v>7.0000000000000007E-2</v>
      </c>
      <c r="S2" s="15">
        <f>(1+R2)*100000</f>
        <v>107000</v>
      </c>
      <c r="T2" s="15">
        <f>(L2*S2)</f>
        <v>2.9869950495049502</v>
      </c>
      <c r="U2" s="15">
        <f>((N2*O2)/((SQRT(Q2))-(SQRT(T2))))</f>
        <v>1.332174901618995E-12</v>
      </c>
      <c r="V2" s="15">
        <f>(U2*6.022E+23)</f>
        <v>802235725754.95886</v>
      </c>
      <c r="W2" s="6">
        <f>(100/1000000)*100000</f>
        <v>10</v>
      </c>
      <c r="X2" s="15">
        <f>(N2*O2)/(SQRT(Q2)-(2*SQRT(T2))+SQRT(W2))</f>
        <v>1.3268723016679965E-12</v>
      </c>
      <c r="Y2" s="15">
        <f>(X2*6.022E+23)</f>
        <v>799042500064.46753</v>
      </c>
    </row>
    <row r="3" spans="1:25" x14ac:dyDescent="0.25">
      <c r="A3" s="14">
        <v>5.5</v>
      </c>
      <c r="B3" s="14">
        <f t="shared" ref="B3:B33" si="1">(A3/60)</f>
        <v>9.166666666666666E-2</v>
      </c>
      <c r="C3" s="14">
        <v>20</v>
      </c>
      <c r="D3" s="14">
        <f t="shared" si="0"/>
        <v>29.146000000000001</v>
      </c>
      <c r="E3" s="14">
        <f t="shared" ref="E3:E33" si="2">(D3/(1000000*60))</f>
        <v>4.8576666666666667E-7</v>
      </c>
      <c r="F3" s="14">
        <v>21.1</v>
      </c>
      <c r="G3" s="14">
        <f t="shared" ref="G3:G33" si="3">(273+F3)</f>
        <v>294.10000000000002</v>
      </c>
      <c r="H3" s="14">
        <v>101.3</v>
      </c>
      <c r="I3" s="14">
        <f t="shared" ref="I3:I33" si="4">(H3*1000)</f>
        <v>101300</v>
      </c>
      <c r="J3" s="14">
        <f t="shared" ref="J3:J33" si="5">((I3*E3)/(8.314*G3))</f>
        <v>2.0124824921938581E-5</v>
      </c>
      <c r="K3" s="33">
        <v>30.193069306930695</v>
      </c>
      <c r="L3" s="15">
        <f t="shared" ref="L3:L33" si="6">(K3/1000000)</f>
        <v>3.0193069306930695E-5</v>
      </c>
      <c r="M3" s="14">
        <f t="shared" ref="M3:M33" si="7">(3.142*3.07*3.07*25.4*25.4)/(4*1000000)</f>
        <v>4.7762865441819992E-3</v>
      </c>
      <c r="N3" s="37">
        <f t="shared" ref="N3:N33" si="8">(2*L3*J3)/M3</f>
        <v>2.5443625629961119E-7</v>
      </c>
      <c r="O3" s="37">
        <v>2.032E-3</v>
      </c>
      <c r="P3" s="15">
        <v>0.3</v>
      </c>
      <c r="Q3" s="15">
        <f t="shared" ref="Q3:Q33" si="9">(1+P3)*100000*1</f>
        <v>130000</v>
      </c>
      <c r="R3" s="15">
        <v>7.0000000000000007E-2</v>
      </c>
      <c r="S3" s="15">
        <f t="shared" ref="S3:S33" si="10">(1+R3)*100000</f>
        <v>107000</v>
      </c>
      <c r="T3" s="15">
        <f t="shared" ref="T3:T33" si="11">(L3*S3)</f>
        <v>3.2306584158415843</v>
      </c>
      <c r="U3" s="15">
        <f t="shared" ref="U3:U33" si="12">((N3*O3)/((SQRT(Q3))-(SQRT(T3))))</f>
        <v>1.4411242958011695E-12</v>
      </c>
      <c r="V3" s="15">
        <f t="shared" ref="V3:V33" si="13">(U3*6.022E+23)</f>
        <v>867845050931.46436</v>
      </c>
      <c r="W3" s="6">
        <f t="shared" ref="W3:W33" si="14">(100/1000000)*100000</f>
        <v>10</v>
      </c>
      <c r="X3" s="15">
        <f t="shared" ref="X3:X33" si="15">(N3*O3)/(SQRT(Q3)-(2*SQRT(T3))+SQRT(W3))</f>
        <v>1.4356623956284934E-12</v>
      </c>
      <c r="Y3" s="15">
        <f t="shared" ref="Y3:Y33" si="16">(X3*6.022E+23)</f>
        <v>864555894647.47876</v>
      </c>
    </row>
    <row r="4" spans="1:25" x14ac:dyDescent="0.25">
      <c r="A4" s="14">
        <v>11</v>
      </c>
      <c r="B4" s="14">
        <f t="shared" si="1"/>
        <v>0.18333333333333332</v>
      </c>
      <c r="C4" s="14">
        <v>20</v>
      </c>
      <c r="D4" s="14">
        <f t="shared" si="0"/>
        <v>29.146000000000001</v>
      </c>
      <c r="E4" s="14">
        <f t="shared" si="2"/>
        <v>4.8576666666666667E-7</v>
      </c>
      <c r="F4" s="14">
        <v>21.1</v>
      </c>
      <c r="G4" s="14">
        <f t="shared" si="3"/>
        <v>294.10000000000002</v>
      </c>
      <c r="H4" s="14">
        <v>101.3</v>
      </c>
      <c r="I4" s="14">
        <f t="shared" si="4"/>
        <v>101300</v>
      </c>
      <c r="J4" s="14">
        <f t="shared" si="5"/>
        <v>2.0124824921938581E-5</v>
      </c>
      <c r="K4" s="33">
        <v>37.569306930693074</v>
      </c>
      <c r="L4" s="15">
        <f t="shared" si="6"/>
        <v>3.7569306930693073E-5</v>
      </c>
      <c r="M4" s="14">
        <f t="shared" si="7"/>
        <v>4.7762865441819992E-3</v>
      </c>
      <c r="N4" s="37">
        <f t="shared" si="8"/>
        <v>3.165956302767256E-7</v>
      </c>
      <c r="O4" s="37">
        <v>2.032E-3</v>
      </c>
      <c r="P4" s="15">
        <v>0.3</v>
      </c>
      <c r="Q4" s="15">
        <f t="shared" si="9"/>
        <v>130000</v>
      </c>
      <c r="R4" s="15">
        <v>7.0000000000000007E-2</v>
      </c>
      <c r="S4" s="15">
        <f t="shared" si="10"/>
        <v>107000</v>
      </c>
      <c r="T4" s="15">
        <f t="shared" si="11"/>
        <v>4.0199158415841589</v>
      </c>
      <c r="U4" s="15">
        <f t="shared" si="12"/>
        <v>1.7942324446584839E-12</v>
      </c>
      <c r="V4" s="15">
        <f t="shared" si="13"/>
        <v>1080486778173.3391</v>
      </c>
      <c r="W4" s="6">
        <f t="shared" si="14"/>
        <v>10</v>
      </c>
      <c r="X4" s="15">
        <f t="shared" si="15"/>
        <v>1.788459770470707E-12</v>
      </c>
      <c r="Y4" s="15">
        <f t="shared" si="16"/>
        <v>1077010473777.4598</v>
      </c>
    </row>
    <row r="5" spans="1:25" x14ac:dyDescent="0.25">
      <c r="A5" s="14">
        <v>16.5</v>
      </c>
      <c r="B5" s="14">
        <f t="shared" si="1"/>
        <v>0.27500000000000002</v>
      </c>
      <c r="C5" s="14">
        <v>20</v>
      </c>
      <c r="D5" s="14">
        <f t="shared" si="0"/>
        <v>29.146000000000001</v>
      </c>
      <c r="E5" s="14">
        <f t="shared" si="2"/>
        <v>4.8576666666666667E-7</v>
      </c>
      <c r="F5" s="14">
        <v>21.1</v>
      </c>
      <c r="G5" s="14">
        <f t="shared" si="3"/>
        <v>294.10000000000002</v>
      </c>
      <c r="H5" s="14">
        <v>101.3</v>
      </c>
      <c r="I5" s="14">
        <f t="shared" si="4"/>
        <v>101300</v>
      </c>
      <c r="J5" s="14">
        <f t="shared" si="5"/>
        <v>2.0124824921938581E-5</v>
      </c>
      <c r="K5" s="33">
        <v>179.97029702970298</v>
      </c>
      <c r="L5" s="15">
        <f t="shared" si="6"/>
        <v>1.7997029702970297E-4</v>
      </c>
      <c r="M5" s="14">
        <f t="shared" si="7"/>
        <v>4.7762865441819992E-3</v>
      </c>
      <c r="N5" s="37">
        <f t="shared" si="8"/>
        <v>1.5166052896402794E-6</v>
      </c>
      <c r="O5" s="37">
        <v>2.032E-3</v>
      </c>
      <c r="P5" s="15">
        <v>0.3</v>
      </c>
      <c r="Q5" s="15">
        <f t="shared" si="9"/>
        <v>130000</v>
      </c>
      <c r="R5" s="15">
        <v>7.0000000000000007E-2</v>
      </c>
      <c r="S5" s="15">
        <f t="shared" si="10"/>
        <v>107000</v>
      </c>
      <c r="T5" s="15">
        <f t="shared" si="11"/>
        <v>19.256821782178218</v>
      </c>
      <c r="U5" s="15">
        <f t="shared" si="12"/>
        <v>8.6525228070500212E-12</v>
      </c>
      <c r="V5" s="15">
        <f t="shared" si="13"/>
        <v>5210549234405.5234</v>
      </c>
      <c r="W5" s="6">
        <f t="shared" si="14"/>
        <v>10</v>
      </c>
      <c r="X5" s="15">
        <f t="shared" si="15"/>
        <v>8.6824090122823128E-12</v>
      </c>
      <c r="Y5" s="15">
        <f t="shared" si="16"/>
        <v>5228546707196.4092</v>
      </c>
    </row>
    <row r="6" spans="1:25" x14ac:dyDescent="0.25">
      <c r="A6" s="14">
        <v>22</v>
      </c>
      <c r="B6" s="14">
        <f t="shared" si="1"/>
        <v>0.36666666666666664</v>
      </c>
      <c r="C6" s="14">
        <v>20</v>
      </c>
      <c r="D6" s="14">
        <f t="shared" si="0"/>
        <v>29.146000000000001</v>
      </c>
      <c r="E6" s="14">
        <f t="shared" si="2"/>
        <v>4.8576666666666667E-7</v>
      </c>
      <c r="F6" s="14">
        <v>21.1</v>
      </c>
      <c r="G6" s="14">
        <f t="shared" si="3"/>
        <v>294.10000000000002</v>
      </c>
      <c r="H6" s="14">
        <v>101.3</v>
      </c>
      <c r="I6" s="14">
        <f t="shared" si="4"/>
        <v>101300</v>
      </c>
      <c r="J6" s="14">
        <f t="shared" si="5"/>
        <v>2.0124824921938581E-5</v>
      </c>
      <c r="K6" s="33">
        <v>2705.4653465346532</v>
      </c>
      <c r="L6" s="15">
        <f t="shared" si="6"/>
        <v>2.7054653465346532E-3</v>
      </c>
      <c r="M6" s="14">
        <f t="shared" si="7"/>
        <v>4.7762865441819992E-3</v>
      </c>
      <c r="N6" s="37">
        <f t="shared" si="8"/>
        <v>2.2798890279187191E-5</v>
      </c>
      <c r="O6" s="37">
        <v>2.032E-3</v>
      </c>
      <c r="P6" s="15">
        <v>0.3</v>
      </c>
      <c r="Q6" s="15">
        <f t="shared" si="9"/>
        <v>130000</v>
      </c>
      <c r="R6" s="15">
        <v>7.0000000000000007E-2</v>
      </c>
      <c r="S6" s="15">
        <f t="shared" si="10"/>
        <v>107000</v>
      </c>
      <c r="T6" s="15">
        <f t="shared" si="11"/>
        <v>289.48479207920786</v>
      </c>
      <c r="U6" s="15">
        <f t="shared" si="12"/>
        <v>1.3485249770260061E-10</v>
      </c>
      <c r="V6" s="15">
        <f t="shared" si="13"/>
        <v>81208174116506.094</v>
      </c>
      <c r="W6" s="6">
        <f t="shared" si="14"/>
        <v>10</v>
      </c>
      <c r="X6" s="15">
        <f t="shared" si="15"/>
        <v>1.4051836458815207E-10</v>
      </c>
      <c r="Y6" s="15">
        <f t="shared" si="16"/>
        <v>84620159154985.188</v>
      </c>
    </row>
    <row r="7" spans="1:25" x14ac:dyDescent="0.25">
      <c r="A7" s="14">
        <v>27.5</v>
      </c>
      <c r="B7" s="14">
        <f t="shared" si="1"/>
        <v>0.45833333333333331</v>
      </c>
      <c r="C7" s="14">
        <v>20</v>
      </c>
      <c r="D7" s="14">
        <f t="shared" si="0"/>
        <v>29.146000000000001</v>
      </c>
      <c r="E7" s="14">
        <f t="shared" si="2"/>
        <v>4.8576666666666667E-7</v>
      </c>
      <c r="F7" s="14">
        <v>21.1</v>
      </c>
      <c r="G7" s="14">
        <f t="shared" si="3"/>
        <v>294.10000000000002</v>
      </c>
      <c r="H7" s="14">
        <v>101.3</v>
      </c>
      <c r="I7" s="14">
        <f t="shared" si="4"/>
        <v>101300</v>
      </c>
      <c r="J7" s="14">
        <f t="shared" si="5"/>
        <v>2.0124824921938581E-5</v>
      </c>
      <c r="K7" s="33">
        <v>5018.4603960396043</v>
      </c>
      <c r="L7" s="15">
        <f t="shared" si="6"/>
        <v>5.0184603960396045E-3</v>
      </c>
      <c r="M7" s="14">
        <f t="shared" si="7"/>
        <v>4.7762865441819992E-3</v>
      </c>
      <c r="N7" s="37">
        <f t="shared" si="8"/>
        <v>4.2290442968084695E-5</v>
      </c>
      <c r="O7" s="37">
        <v>2.032E-3</v>
      </c>
      <c r="P7" s="15">
        <v>0.3</v>
      </c>
      <c r="Q7" s="15">
        <f t="shared" si="9"/>
        <v>130000</v>
      </c>
      <c r="R7" s="15">
        <v>7.0000000000000007E-2</v>
      </c>
      <c r="S7" s="15">
        <f t="shared" si="10"/>
        <v>107000</v>
      </c>
      <c r="T7" s="15">
        <f t="shared" si="11"/>
        <v>536.97526237623765</v>
      </c>
      <c r="U7" s="15">
        <f t="shared" si="12"/>
        <v>2.5470854405479614E-10</v>
      </c>
      <c r="V7" s="15">
        <f t="shared" si="13"/>
        <v>153385485229798.25</v>
      </c>
      <c r="W7" s="6">
        <f t="shared" si="14"/>
        <v>10</v>
      </c>
      <c r="X7" s="15">
        <f t="shared" si="15"/>
        <v>2.7076803611048069E-10</v>
      </c>
      <c r="Y7" s="15">
        <f t="shared" si="16"/>
        <v>163056511345731.47</v>
      </c>
    </row>
    <row r="8" spans="1:25" x14ac:dyDescent="0.25">
      <c r="A8" s="14">
        <v>33</v>
      </c>
      <c r="B8" s="14">
        <f t="shared" si="1"/>
        <v>0.55000000000000004</v>
      </c>
      <c r="C8" s="14">
        <v>20</v>
      </c>
      <c r="D8" s="14">
        <f t="shared" si="0"/>
        <v>29.146000000000001</v>
      </c>
      <c r="E8" s="14">
        <f t="shared" si="2"/>
        <v>4.8576666666666667E-7</v>
      </c>
      <c r="F8" s="14">
        <v>21.1</v>
      </c>
      <c r="G8" s="14">
        <f t="shared" si="3"/>
        <v>294.10000000000002</v>
      </c>
      <c r="H8" s="14">
        <v>101.3</v>
      </c>
      <c r="I8" s="14">
        <f t="shared" si="4"/>
        <v>101300</v>
      </c>
      <c r="J8" s="14">
        <f t="shared" si="5"/>
        <v>2.0124824921938581E-5</v>
      </c>
      <c r="K8" s="33">
        <v>6076.7029702970303</v>
      </c>
      <c r="L8" s="15">
        <f t="shared" si="6"/>
        <v>6.07670297029703E-3</v>
      </c>
      <c r="M8" s="14">
        <f t="shared" si="7"/>
        <v>4.7762865441819992E-3</v>
      </c>
      <c r="N8" s="37">
        <f t="shared" si="8"/>
        <v>5.1208227248767819E-5</v>
      </c>
      <c r="O8" s="37">
        <v>2.032E-3</v>
      </c>
      <c r="P8" s="15">
        <v>0.3</v>
      </c>
      <c r="Q8" s="15">
        <f t="shared" si="9"/>
        <v>130000</v>
      </c>
      <c r="R8" s="15">
        <v>7.0000000000000007E-2</v>
      </c>
      <c r="S8" s="15">
        <f t="shared" si="10"/>
        <v>107000</v>
      </c>
      <c r="T8" s="15">
        <f t="shared" si="11"/>
        <v>650.20721782178225</v>
      </c>
      <c r="U8" s="15">
        <f t="shared" si="12"/>
        <v>3.1056040839774746E-10</v>
      </c>
      <c r="V8" s="15">
        <f t="shared" si="13"/>
        <v>187019477937123.53</v>
      </c>
      <c r="W8" s="6">
        <f t="shared" si="14"/>
        <v>10</v>
      </c>
      <c r="X8" s="15">
        <f t="shared" si="15"/>
        <v>3.3274310215534697E-10</v>
      </c>
      <c r="Y8" s="15">
        <f t="shared" si="16"/>
        <v>200377896117949.97</v>
      </c>
    </row>
    <row r="9" spans="1:25" x14ac:dyDescent="0.25">
      <c r="A9" s="14">
        <v>38.5</v>
      </c>
      <c r="B9" s="14">
        <f t="shared" si="1"/>
        <v>0.64166666666666672</v>
      </c>
      <c r="C9" s="14">
        <v>20</v>
      </c>
      <c r="D9" s="14">
        <f t="shared" si="0"/>
        <v>29.146000000000001</v>
      </c>
      <c r="E9" s="14">
        <f t="shared" si="2"/>
        <v>4.8576666666666667E-7</v>
      </c>
      <c r="F9" s="14">
        <v>21.1</v>
      </c>
      <c r="G9" s="14">
        <f t="shared" si="3"/>
        <v>294.10000000000002</v>
      </c>
      <c r="H9" s="14">
        <v>101.3</v>
      </c>
      <c r="I9" s="14">
        <f t="shared" si="4"/>
        <v>101300</v>
      </c>
      <c r="J9" s="14">
        <f t="shared" si="5"/>
        <v>2.0124824921938581E-5</v>
      </c>
      <c r="K9" s="33">
        <v>6486.0346534653463</v>
      </c>
      <c r="L9" s="15">
        <f t="shared" si="6"/>
        <v>6.486034653465346E-3</v>
      </c>
      <c r="M9" s="14">
        <f t="shared" si="7"/>
        <v>4.7762865441819992E-3</v>
      </c>
      <c r="N9" s="37">
        <f t="shared" si="8"/>
        <v>5.46576553274911E-5</v>
      </c>
      <c r="O9" s="37">
        <v>2.032E-3</v>
      </c>
      <c r="P9" s="15">
        <v>0.3</v>
      </c>
      <c r="Q9" s="15">
        <f t="shared" si="9"/>
        <v>130000</v>
      </c>
      <c r="R9" s="15">
        <v>7.0000000000000007E-2</v>
      </c>
      <c r="S9" s="15">
        <f t="shared" si="10"/>
        <v>107000</v>
      </c>
      <c r="T9" s="15">
        <f t="shared" si="11"/>
        <v>694.00570792079202</v>
      </c>
      <c r="U9" s="15">
        <f t="shared" si="12"/>
        <v>3.3231793471200564E-10</v>
      </c>
      <c r="V9" s="15">
        <f t="shared" si="13"/>
        <v>200121860283569.81</v>
      </c>
      <c r="W9" s="6">
        <f t="shared" si="14"/>
        <v>10</v>
      </c>
      <c r="X9" s="15">
        <f t="shared" si="15"/>
        <v>3.5708632448511158E-10</v>
      </c>
      <c r="Y9" s="15">
        <f t="shared" si="16"/>
        <v>215037384604934.19</v>
      </c>
    </row>
    <row r="10" spans="1:25" x14ac:dyDescent="0.25">
      <c r="A10" s="14">
        <v>44</v>
      </c>
      <c r="B10" s="14">
        <f t="shared" si="1"/>
        <v>0.73333333333333328</v>
      </c>
      <c r="C10" s="14">
        <v>20</v>
      </c>
      <c r="D10" s="14">
        <f t="shared" si="0"/>
        <v>29.146000000000001</v>
      </c>
      <c r="E10" s="14">
        <f t="shared" si="2"/>
        <v>4.8576666666666667E-7</v>
      </c>
      <c r="F10" s="14">
        <v>21.1</v>
      </c>
      <c r="G10" s="14">
        <f t="shared" si="3"/>
        <v>294.10000000000002</v>
      </c>
      <c r="H10" s="14">
        <v>101.3</v>
      </c>
      <c r="I10" s="14">
        <f t="shared" si="4"/>
        <v>101300</v>
      </c>
      <c r="J10" s="14">
        <f t="shared" si="5"/>
        <v>2.0124824921938581E-5</v>
      </c>
      <c r="K10" s="33">
        <v>6706.6287128712884</v>
      </c>
      <c r="L10" s="15">
        <f t="shared" si="6"/>
        <v>6.7066287128712881E-3</v>
      </c>
      <c r="M10" s="14">
        <f t="shared" si="7"/>
        <v>4.7762865441819992E-3</v>
      </c>
      <c r="N10" s="37">
        <f t="shared" si="8"/>
        <v>5.6516596068712738E-5</v>
      </c>
      <c r="O10" s="37">
        <v>2.032E-3</v>
      </c>
      <c r="P10" s="15">
        <v>0.3</v>
      </c>
      <c r="Q10" s="15">
        <f t="shared" si="9"/>
        <v>130000</v>
      </c>
      <c r="R10" s="15">
        <v>7.0000000000000007E-2</v>
      </c>
      <c r="S10" s="15">
        <f t="shared" si="10"/>
        <v>107000</v>
      </c>
      <c r="T10" s="15">
        <f t="shared" si="11"/>
        <v>717.60927227722777</v>
      </c>
      <c r="U10" s="15">
        <f t="shared" si="12"/>
        <v>3.44077630504237E-10</v>
      </c>
      <c r="V10" s="15">
        <f t="shared" si="13"/>
        <v>207203549089651.53</v>
      </c>
      <c r="W10" s="6">
        <f t="shared" si="14"/>
        <v>10</v>
      </c>
      <c r="X10" s="15">
        <f t="shared" si="15"/>
        <v>3.7028881566907426E-10</v>
      </c>
      <c r="Y10" s="15">
        <f t="shared" si="16"/>
        <v>222987924795916.53</v>
      </c>
    </row>
    <row r="11" spans="1:25" x14ac:dyDescent="0.25">
      <c r="A11" s="14">
        <v>49.5</v>
      </c>
      <c r="B11" s="14">
        <f t="shared" si="1"/>
        <v>0.82499999999999996</v>
      </c>
      <c r="C11" s="14">
        <v>20</v>
      </c>
      <c r="D11" s="14">
        <f t="shared" si="0"/>
        <v>29.146000000000001</v>
      </c>
      <c r="E11" s="14">
        <f t="shared" si="2"/>
        <v>4.8576666666666667E-7</v>
      </c>
      <c r="F11" s="14">
        <v>21.1</v>
      </c>
      <c r="G11" s="14">
        <f t="shared" si="3"/>
        <v>294.10000000000002</v>
      </c>
      <c r="H11" s="14">
        <v>101.3</v>
      </c>
      <c r="I11" s="14">
        <f t="shared" si="4"/>
        <v>101300</v>
      </c>
      <c r="J11" s="14">
        <f t="shared" si="5"/>
        <v>2.0124824921938581E-5</v>
      </c>
      <c r="K11" s="33">
        <v>6776.7524752475247</v>
      </c>
      <c r="L11" s="15">
        <f t="shared" si="6"/>
        <v>6.776752475247525E-3</v>
      </c>
      <c r="M11" s="14">
        <f t="shared" si="7"/>
        <v>4.7762865441819992E-3</v>
      </c>
      <c r="N11" s="37">
        <f t="shared" si="8"/>
        <v>5.710752729850188E-5</v>
      </c>
      <c r="O11" s="37">
        <v>2.032E-3</v>
      </c>
      <c r="P11" s="15">
        <v>0.3</v>
      </c>
      <c r="Q11" s="15">
        <f t="shared" si="9"/>
        <v>130000</v>
      </c>
      <c r="R11" s="15">
        <v>7.0000000000000007E-2</v>
      </c>
      <c r="S11" s="15">
        <f t="shared" si="10"/>
        <v>107000</v>
      </c>
      <c r="T11" s="15">
        <f t="shared" si="11"/>
        <v>725.11251485148512</v>
      </c>
      <c r="U11" s="15">
        <f t="shared" si="12"/>
        <v>3.4782083270305736E-10</v>
      </c>
      <c r="V11" s="15">
        <f t="shared" si="13"/>
        <v>209457705453781.16</v>
      </c>
      <c r="W11" s="6">
        <f t="shared" si="14"/>
        <v>10</v>
      </c>
      <c r="X11" s="15">
        <f t="shared" si="15"/>
        <v>3.7449785157168239E-10</v>
      </c>
      <c r="Y11" s="15">
        <f t="shared" si="16"/>
        <v>225522606216467.16</v>
      </c>
    </row>
    <row r="12" spans="1:25" x14ac:dyDescent="0.25">
      <c r="A12" s="14">
        <v>55</v>
      </c>
      <c r="B12" s="14">
        <f t="shared" si="1"/>
        <v>0.91666666666666663</v>
      </c>
      <c r="C12" s="14">
        <v>20</v>
      </c>
      <c r="D12" s="14">
        <f t="shared" si="0"/>
        <v>29.146000000000001</v>
      </c>
      <c r="E12" s="14">
        <f t="shared" si="2"/>
        <v>4.8576666666666667E-7</v>
      </c>
      <c r="F12" s="14">
        <v>21.1</v>
      </c>
      <c r="G12" s="14">
        <f t="shared" si="3"/>
        <v>294.10000000000002</v>
      </c>
      <c r="H12" s="14">
        <v>101.3</v>
      </c>
      <c r="I12" s="14">
        <f t="shared" si="4"/>
        <v>101300</v>
      </c>
      <c r="J12" s="14">
        <f t="shared" si="5"/>
        <v>2.0124824921938581E-5</v>
      </c>
      <c r="K12" s="33">
        <v>6786.2079207920797</v>
      </c>
      <c r="L12" s="15">
        <f t="shared" si="6"/>
        <v>6.7862079207920796E-3</v>
      </c>
      <c r="M12" s="14">
        <f t="shared" si="7"/>
        <v>4.7762865441819992E-3</v>
      </c>
      <c r="N12" s="37">
        <f t="shared" si="8"/>
        <v>5.7187208106754417E-5</v>
      </c>
      <c r="O12" s="37">
        <v>2.032E-3</v>
      </c>
      <c r="P12" s="15">
        <v>0.3</v>
      </c>
      <c r="Q12" s="15">
        <f t="shared" si="9"/>
        <v>130000</v>
      </c>
      <c r="R12" s="15">
        <v>7.0000000000000007E-2</v>
      </c>
      <c r="S12" s="15">
        <f t="shared" si="10"/>
        <v>107000</v>
      </c>
      <c r="T12" s="15">
        <f t="shared" si="11"/>
        <v>726.12424752475249</v>
      </c>
      <c r="U12" s="15">
        <f t="shared" si="12"/>
        <v>3.4832574580074236E-10</v>
      </c>
      <c r="V12" s="15">
        <f t="shared" si="13"/>
        <v>209761764121207.06</v>
      </c>
      <c r="W12" s="6">
        <f t="shared" si="14"/>
        <v>10</v>
      </c>
      <c r="X12" s="15">
        <f t="shared" si="15"/>
        <v>3.7506584204240086E-10</v>
      </c>
      <c r="Y12" s="15">
        <f t="shared" si="16"/>
        <v>225864650077933.81</v>
      </c>
    </row>
    <row r="13" spans="1:25" x14ac:dyDescent="0.25">
      <c r="A13" s="14">
        <v>60.5</v>
      </c>
      <c r="B13" s="14">
        <f t="shared" si="1"/>
        <v>1.0083333333333333</v>
      </c>
      <c r="C13" s="14">
        <v>20</v>
      </c>
      <c r="D13" s="14">
        <f t="shared" si="0"/>
        <v>29.146000000000001</v>
      </c>
      <c r="E13" s="14">
        <f t="shared" si="2"/>
        <v>4.8576666666666667E-7</v>
      </c>
      <c r="F13" s="14">
        <v>21.1</v>
      </c>
      <c r="G13" s="14">
        <f t="shared" si="3"/>
        <v>294.10000000000002</v>
      </c>
      <c r="H13" s="14">
        <v>101.3</v>
      </c>
      <c r="I13" s="14">
        <f t="shared" si="4"/>
        <v>101300</v>
      </c>
      <c r="J13" s="14">
        <f t="shared" si="5"/>
        <v>2.0124824921938581E-5</v>
      </c>
      <c r="K13" s="33">
        <v>6817.2475247524762</v>
      </c>
      <c r="L13" s="15">
        <f t="shared" si="6"/>
        <v>6.8172475247524761E-3</v>
      </c>
      <c r="M13" s="14">
        <f t="shared" si="7"/>
        <v>4.7762865441819992E-3</v>
      </c>
      <c r="N13" s="37">
        <f t="shared" si="8"/>
        <v>5.7448778089866168E-5</v>
      </c>
      <c r="O13" s="37">
        <v>2.032E-3</v>
      </c>
      <c r="P13" s="15">
        <v>0.3</v>
      </c>
      <c r="Q13" s="15">
        <f t="shared" si="9"/>
        <v>130000</v>
      </c>
      <c r="R13" s="15">
        <v>7.0000000000000007E-2</v>
      </c>
      <c r="S13" s="15">
        <f t="shared" si="10"/>
        <v>107000</v>
      </c>
      <c r="T13" s="15">
        <f t="shared" si="11"/>
        <v>729.44548514851499</v>
      </c>
      <c r="U13" s="15">
        <f t="shared" si="12"/>
        <v>3.4998353874607367E-10</v>
      </c>
      <c r="V13" s="15">
        <f t="shared" si="13"/>
        <v>210760087032885.56</v>
      </c>
      <c r="W13" s="6">
        <f t="shared" si="14"/>
        <v>10</v>
      </c>
      <c r="X13" s="15">
        <f t="shared" si="15"/>
        <v>3.7693114214046779E-10</v>
      </c>
      <c r="Y13" s="15">
        <f t="shared" si="16"/>
        <v>226987933796989.72</v>
      </c>
    </row>
    <row r="14" spans="1:25" x14ac:dyDescent="0.25">
      <c r="A14" s="14">
        <v>66</v>
      </c>
      <c r="B14" s="14">
        <f t="shared" si="1"/>
        <v>1.1000000000000001</v>
      </c>
      <c r="C14" s="14">
        <v>20</v>
      </c>
      <c r="D14" s="14">
        <f t="shared" si="0"/>
        <v>29.146000000000001</v>
      </c>
      <c r="E14" s="14">
        <f t="shared" si="2"/>
        <v>4.8576666666666667E-7</v>
      </c>
      <c r="F14" s="14">
        <v>21.1</v>
      </c>
      <c r="G14" s="14">
        <f t="shared" si="3"/>
        <v>294.10000000000002</v>
      </c>
      <c r="H14" s="14">
        <v>101.3</v>
      </c>
      <c r="I14" s="14">
        <f t="shared" si="4"/>
        <v>101300</v>
      </c>
      <c r="J14" s="14">
        <f t="shared" si="5"/>
        <v>2.0124824921938581E-5</v>
      </c>
      <c r="K14" s="33">
        <v>6849.5000000000009</v>
      </c>
      <c r="L14" s="15">
        <f t="shared" si="6"/>
        <v>6.8495000000000006E-3</v>
      </c>
      <c r="M14" s="14">
        <f t="shared" si="7"/>
        <v>4.7762865441819992E-3</v>
      </c>
      <c r="N14" s="37">
        <f t="shared" si="8"/>
        <v>5.7720568909638586E-5</v>
      </c>
      <c r="O14" s="37">
        <v>2.032E-3</v>
      </c>
      <c r="P14" s="15">
        <v>0.3</v>
      </c>
      <c r="Q14" s="15">
        <f t="shared" si="9"/>
        <v>130000</v>
      </c>
      <c r="R14" s="15">
        <v>7.0000000000000007E-2</v>
      </c>
      <c r="S14" s="15">
        <f t="shared" si="10"/>
        <v>107000</v>
      </c>
      <c r="T14" s="15">
        <f t="shared" si="11"/>
        <v>732.89650000000006</v>
      </c>
      <c r="U14" s="15">
        <f t="shared" si="12"/>
        <v>3.5170660185197273E-10</v>
      </c>
      <c r="V14" s="15">
        <f t="shared" si="13"/>
        <v>211797715635258</v>
      </c>
      <c r="W14" s="6">
        <f t="shared" si="14"/>
        <v>10</v>
      </c>
      <c r="X14" s="15">
        <f t="shared" si="15"/>
        <v>3.788705375167267E-10</v>
      </c>
      <c r="Y14" s="15">
        <f t="shared" si="16"/>
        <v>228155837692572.84</v>
      </c>
    </row>
    <row r="15" spans="1:25" x14ac:dyDescent="0.25">
      <c r="A15" s="14">
        <v>71.5</v>
      </c>
      <c r="B15" s="14">
        <f t="shared" si="1"/>
        <v>1.1916666666666667</v>
      </c>
      <c r="C15" s="14">
        <v>20</v>
      </c>
      <c r="D15" s="14">
        <f t="shared" si="0"/>
        <v>29.146000000000001</v>
      </c>
      <c r="E15" s="14">
        <f t="shared" si="2"/>
        <v>4.8576666666666667E-7</v>
      </c>
      <c r="F15" s="14">
        <v>21.1</v>
      </c>
      <c r="G15" s="14">
        <f t="shared" si="3"/>
        <v>294.10000000000002</v>
      </c>
      <c r="H15" s="14">
        <v>101.3</v>
      </c>
      <c r="I15" s="14">
        <f t="shared" si="4"/>
        <v>101300</v>
      </c>
      <c r="J15" s="14">
        <f t="shared" si="5"/>
        <v>2.0124824921938581E-5</v>
      </c>
      <c r="K15" s="33">
        <v>7123.0891089108918</v>
      </c>
      <c r="L15" s="15">
        <f t="shared" si="6"/>
        <v>7.1230891089108916E-3</v>
      </c>
      <c r="M15" s="14">
        <f t="shared" si="7"/>
        <v>4.7762865441819992E-3</v>
      </c>
      <c r="N15" s="37">
        <f t="shared" si="8"/>
        <v>6.0026097636380349E-5</v>
      </c>
      <c r="O15" s="37">
        <v>2.032E-3</v>
      </c>
      <c r="P15" s="15">
        <v>0.3</v>
      </c>
      <c r="Q15" s="15">
        <f t="shared" si="9"/>
        <v>130000</v>
      </c>
      <c r="R15" s="15">
        <v>7.0000000000000007E-2</v>
      </c>
      <c r="S15" s="15">
        <f t="shared" si="10"/>
        <v>107000</v>
      </c>
      <c r="T15" s="15">
        <f t="shared" si="11"/>
        <v>762.17053465346544</v>
      </c>
      <c r="U15" s="15">
        <f t="shared" si="12"/>
        <v>3.6634292285159952E-10</v>
      </c>
      <c r="V15" s="15">
        <f t="shared" si="13"/>
        <v>220611708141233.25</v>
      </c>
      <c r="W15" s="6">
        <f t="shared" si="14"/>
        <v>10</v>
      </c>
      <c r="X15" s="15">
        <f t="shared" si="15"/>
        <v>3.953712447786958E-10</v>
      </c>
      <c r="Y15" s="15">
        <f t="shared" si="16"/>
        <v>238092563605730.63</v>
      </c>
    </row>
    <row r="16" spans="1:25" x14ac:dyDescent="0.25">
      <c r="A16" s="14">
        <v>77</v>
      </c>
      <c r="B16" s="14">
        <f t="shared" si="1"/>
        <v>1.2833333333333334</v>
      </c>
      <c r="C16" s="14">
        <v>20</v>
      </c>
      <c r="D16" s="14">
        <f t="shared" si="0"/>
        <v>29.146000000000001</v>
      </c>
      <c r="E16" s="14">
        <f t="shared" si="2"/>
        <v>4.8576666666666667E-7</v>
      </c>
      <c r="F16" s="14">
        <v>21.1</v>
      </c>
      <c r="G16" s="14">
        <f t="shared" si="3"/>
        <v>294.10000000000002</v>
      </c>
      <c r="H16" s="14">
        <v>101.3</v>
      </c>
      <c r="I16" s="14">
        <f t="shared" si="4"/>
        <v>101300</v>
      </c>
      <c r="J16" s="14">
        <f t="shared" si="5"/>
        <v>2.0124824921938581E-5</v>
      </c>
      <c r="K16" s="33">
        <v>7473.4603960396043</v>
      </c>
      <c r="L16" s="15">
        <f t="shared" si="6"/>
        <v>7.4734603960396042E-3</v>
      </c>
      <c r="M16" s="14">
        <f t="shared" si="7"/>
        <v>4.7762865441819992E-3</v>
      </c>
      <c r="N16" s="37">
        <f t="shared" si="8"/>
        <v>6.2978667900293278E-5</v>
      </c>
      <c r="O16" s="37">
        <v>2.032E-3</v>
      </c>
      <c r="P16" s="15">
        <v>0.3</v>
      </c>
      <c r="Q16" s="15">
        <f t="shared" si="9"/>
        <v>130000</v>
      </c>
      <c r="R16" s="15">
        <v>7.0000000000000007E-2</v>
      </c>
      <c r="S16" s="15">
        <f t="shared" si="10"/>
        <v>107000</v>
      </c>
      <c r="T16" s="15">
        <f t="shared" si="11"/>
        <v>799.6602623762376</v>
      </c>
      <c r="U16" s="15">
        <f t="shared" si="12"/>
        <v>3.8513862244623273E-10</v>
      </c>
      <c r="V16" s="15">
        <f t="shared" si="13"/>
        <v>231930478437121.38</v>
      </c>
      <c r="W16" s="6">
        <f t="shared" si="14"/>
        <v>10</v>
      </c>
      <c r="X16" s="15">
        <f t="shared" si="15"/>
        <v>4.1663070843327194E-10</v>
      </c>
      <c r="Y16" s="15">
        <f t="shared" si="16"/>
        <v>250895012618516.38</v>
      </c>
    </row>
    <row r="17" spans="1:25" x14ac:dyDescent="0.25">
      <c r="A17" s="14">
        <v>82.5</v>
      </c>
      <c r="B17" s="14">
        <f t="shared" si="1"/>
        <v>1.375</v>
      </c>
      <c r="C17" s="14">
        <v>20</v>
      </c>
      <c r="D17" s="14">
        <f t="shared" si="0"/>
        <v>29.146000000000001</v>
      </c>
      <c r="E17" s="14">
        <f t="shared" si="2"/>
        <v>4.8576666666666667E-7</v>
      </c>
      <c r="F17" s="14">
        <v>21.1</v>
      </c>
      <c r="G17" s="14">
        <f t="shared" si="3"/>
        <v>294.10000000000002</v>
      </c>
      <c r="H17" s="14">
        <v>101.3</v>
      </c>
      <c r="I17" s="14">
        <f t="shared" si="4"/>
        <v>101300</v>
      </c>
      <c r="J17" s="14">
        <f t="shared" si="5"/>
        <v>2.0124824921938581E-5</v>
      </c>
      <c r="K17" s="33">
        <v>7575.242574257426</v>
      </c>
      <c r="L17" s="15">
        <f t="shared" si="6"/>
        <v>7.5752425742574257E-3</v>
      </c>
      <c r="M17" s="14">
        <f t="shared" si="7"/>
        <v>4.7762865441819992E-3</v>
      </c>
      <c r="N17" s="37">
        <f t="shared" si="8"/>
        <v>6.3836383825776152E-5</v>
      </c>
      <c r="O17" s="37">
        <v>2.032E-3</v>
      </c>
      <c r="P17" s="15">
        <v>0.3</v>
      </c>
      <c r="Q17" s="15">
        <f t="shared" si="9"/>
        <v>130000</v>
      </c>
      <c r="R17" s="15">
        <v>7.0000000000000007E-2</v>
      </c>
      <c r="S17" s="15">
        <f t="shared" si="10"/>
        <v>107000</v>
      </c>
      <c r="T17" s="15">
        <f t="shared" si="11"/>
        <v>810.55095544554456</v>
      </c>
      <c r="U17" s="15">
        <f t="shared" si="12"/>
        <v>3.9060948580477311E-10</v>
      </c>
      <c r="V17" s="15">
        <f t="shared" si="13"/>
        <v>235225032351634.38</v>
      </c>
      <c r="W17" s="6">
        <f t="shared" si="14"/>
        <v>10</v>
      </c>
      <c r="X17" s="15">
        <f t="shared" si="15"/>
        <v>4.2283323046074419E-10</v>
      </c>
      <c r="Y17" s="15">
        <f t="shared" si="16"/>
        <v>254630171383460.16</v>
      </c>
    </row>
    <row r="18" spans="1:25" x14ac:dyDescent="0.25">
      <c r="A18" s="14">
        <v>88</v>
      </c>
      <c r="B18" s="14">
        <f t="shared" si="1"/>
        <v>1.4666666666666666</v>
      </c>
      <c r="C18" s="14">
        <v>20</v>
      </c>
      <c r="D18" s="14">
        <f t="shared" si="0"/>
        <v>29.146000000000001</v>
      </c>
      <c r="E18" s="14">
        <f t="shared" si="2"/>
        <v>4.8576666666666667E-7</v>
      </c>
      <c r="F18" s="14">
        <v>21.1</v>
      </c>
      <c r="G18" s="14">
        <f t="shared" si="3"/>
        <v>294.10000000000002</v>
      </c>
      <c r="H18" s="14">
        <v>101.3</v>
      </c>
      <c r="I18" s="14">
        <f t="shared" si="4"/>
        <v>101300</v>
      </c>
      <c r="J18" s="14">
        <f t="shared" si="5"/>
        <v>2.0124824921938581E-5</v>
      </c>
      <c r="K18" s="38">
        <v>7605.5396039603966</v>
      </c>
      <c r="L18" s="15">
        <f t="shared" si="6"/>
        <v>7.6055396039603962E-3</v>
      </c>
      <c r="M18" s="14">
        <f t="shared" si="7"/>
        <v>4.7762865441819992E-3</v>
      </c>
      <c r="N18" s="52">
        <f t="shared" si="8"/>
        <v>6.4091696153789529E-5</v>
      </c>
      <c r="O18" s="37">
        <v>2.032E-3</v>
      </c>
      <c r="P18" s="15">
        <v>0.3</v>
      </c>
      <c r="Q18" s="15">
        <f t="shared" si="9"/>
        <v>130000</v>
      </c>
      <c r="R18" s="15">
        <v>7.0000000000000007E-2</v>
      </c>
      <c r="S18" s="15">
        <f t="shared" si="10"/>
        <v>107000</v>
      </c>
      <c r="T18" s="15">
        <f t="shared" si="11"/>
        <v>813.79273762376238</v>
      </c>
      <c r="U18" s="16">
        <f t="shared" si="12"/>
        <v>3.9223889924862609E-10</v>
      </c>
      <c r="V18" s="16">
        <f t="shared" si="13"/>
        <v>236206265127522.66</v>
      </c>
      <c r="W18" s="6">
        <f t="shared" si="14"/>
        <v>10</v>
      </c>
      <c r="X18" s="16">
        <f t="shared" si="15"/>
        <v>4.2468181453262754E-10</v>
      </c>
      <c r="Y18" s="16">
        <f t="shared" si="16"/>
        <v>255743388711548.31</v>
      </c>
    </row>
    <row r="19" spans="1:25" x14ac:dyDescent="0.25">
      <c r="A19" s="14">
        <v>93.5</v>
      </c>
      <c r="B19" s="14">
        <f t="shared" si="1"/>
        <v>1.5583333333333333</v>
      </c>
      <c r="C19" s="14">
        <v>20</v>
      </c>
      <c r="D19" s="14">
        <f t="shared" si="0"/>
        <v>29.146000000000001</v>
      </c>
      <c r="E19" s="14">
        <f t="shared" si="2"/>
        <v>4.8576666666666667E-7</v>
      </c>
      <c r="F19" s="14">
        <v>21.1</v>
      </c>
      <c r="G19" s="14">
        <f t="shared" si="3"/>
        <v>294.10000000000002</v>
      </c>
      <c r="H19" s="14">
        <v>101.3</v>
      </c>
      <c r="I19" s="14">
        <f t="shared" si="4"/>
        <v>101300</v>
      </c>
      <c r="J19" s="14">
        <f t="shared" si="5"/>
        <v>2.0124824921938581E-5</v>
      </c>
      <c r="K19" s="38">
        <v>7622.7673267326745</v>
      </c>
      <c r="L19" s="15">
        <f t="shared" si="6"/>
        <v>7.6227673267326747E-3</v>
      </c>
      <c r="M19" s="14">
        <f t="shared" si="7"/>
        <v>4.7762865441819992E-3</v>
      </c>
      <c r="N19" s="52">
        <f t="shared" si="8"/>
        <v>6.4236873752071658E-5</v>
      </c>
      <c r="O19" s="37">
        <v>2.032E-3</v>
      </c>
      <c r="P19" s="15">
        <v>0.3</v>
      </c>
      <c r="Q19" s="15">
        <f t="shared" si="9"/>
        <v>130000</v>
      </c>
      <c r="R19" s="15">
        <v>7.0000000000000007E-2</v>
      </c>
      <c r="S19" s="15">
        <f t="shared" si="10"/>
        <v>107000</v>
      </c>
      <c r="T19" s="15">
        <f t="shared" si="11"/>
        <v>815.63610396039621</v>
      </c>
      <c r="U19" s="16">
        <f t="shared" si="12"/>
        <v>3.9316561762514779E-10</v>
      </c>
      <c r="V19" s="16">
        <f t="shared" si="13"/>
        <v>236764334933864</v>
      </c>
      <c r="W19" s="6">
        <f t="shared" si="14"/>
        <v>10</v>
      </c>
      <c r="X19" s="16">
        <f t="shared" si="15"/>
        <v>4.2573344164520191E-10</v>
      </c>
      <c r="Y19" s="16">
        <f t="shared" si="16"/>
        <v>256376678558740.59</v>
      </c>
    </row>
    <row r="20" spans="1:25" x14ac:dyDescent="0.25">
      <c r="A20" s="14">
        <v>99</v>
      </c>
      <c r="B20" s="14">
        <f t="shared" si="1"/>
        <v>1.65</v>
      </c>
      <c r="C20" s="14">
        <v>20</v>
      </c>
      <c r="D20" s="14">
        <f t="shared" si="0"/>
        <v>29.146000000000001</v>
      </c>
      <c r="E20" s="14">
        <f t="shared" si="2"/>
        <v>4.8576666666666667E-7</v>
      </c>
      <c r="F20" s="14">
        <v>21.1</v>
      </c>
      <c r="G20" s="14">
        <f t="shared" si="3"/>
        <v>294.10000000000002</v>
      </c>
      <c r="H20" s="14">
        <v>101.3</v>
      </c>
      <c r="I20" s="14">
        <f t="shared" si="4"/>
        <v>101300</v>
      </c>
      <c r="J20" s="14">
        <f t="shared" si="5"/>
        <v>2.0124824921938581E-5</v>
      </c>
      <c r="K20" s="38">
        <v>7607.272277227723</v>
      </c>
      <c r="L20" s="15">
        <f t="shared" si="6"/>
        <v>7.6072722772277225E-3</v>
      </c>
      <c r="M20" s="14">
        <f t="shared" si="7"/>
        <v>4.7762865441819992E-3</v>
      </c>
      <c r="N20" s="52">
        <f t="shared" si="8"/>
        <v>6.410629734901905E-5</v>
      </c>
      <c r="O20" s="37">
        <v>2.032E-3</v>
      </c>
      <c r="P20" s="15">
        <v>0.3</v>
      </c>
      <c r="Q20" s="15">
        <f t="shared" si="9"/>
        <v>130000</v>
      </c>
      <c r="R20" s="15">
        <v>7.0000000000000007E-2</v>
      </c>
      <c r="S20" s="15">
        <f t="shared" si="10"/>
        <v>107000</v>
      </c>
      <c r="T20" s="15">
        <f t="shared" si="11"/>
        <v>813.97813366336629</v>
      </c>
      <c r="U20" s="16">
        <f t="shared" si="12"/>
        <v>3.9233209748343826E-10</v>
      </c>
      <c r="V20" s="16">
        <f t="shared" si="13"/>
        <v>236262389104526.53</v>
      </c>
      <c r="W20" s="6">
        <f t="shared" si="14"/>
        <v>10</v>
      </c>
      <c r="X20" s="16">
        <f t="shared" si="15"/>
        <v>4.2478756617265021E-10</v>
      </c>
      <c r="Y20" s="16">
        <f t="shared" si="16"/>
        <v>255807072349169.97</v>
      </c>
    </row>
    <row r="21" spans="1:25" x14ac:dyDescent="0.25">
      <c r="A21" s="14">
        <v>104.5</v>
      </c>
      <c r="B21" s="14">
        <f t="shared" si="1"/>
        <v>1.7416666666666667</v>
      </c>
      <c r="C21" s="14">
        <v>20</v>
      </c>
      <c r="D21" s="14">
        <f t="shared" si="0"/>
        <v>29.146000000000001</v>
      </c>
      <c r="E21" s="14">
        <f t="shared" si="2"/>
        <v>4.8576666666666667E-7</v>
      </c>
      <c r="F21" s="14">
        <v>21.1</v>
      </c>
      <c r="G21" s="14">
        <f t="shared" si="3"/>
        <v>294.10000000000002</v>
      </c>
      <c r="H21" s="14">
        <v>101.3</v>
      </c>
      <c r="I21" s="14">
        <f t="shared" si="4"/>
        <v>101300</v>
      </c>
      <c r="J21" s="14">
        <f t="shared" si="5"/>
        <v>2.0124824921938581E-5</v>
      </c>
      <c r="K21" s="38">
        <v>7566.5544554455455</v>
      </c>
      <c r="L21" s="15">
        <f t="shared" si="6"/>
        <v>7.5665544554455455E-3</v>
      </c>
      <c r="M21" s="14">
        <f t="shared" si="7"/>
        <v>4.7762865441819992E-3</v>
      </c>
      <c r="N21" s="52">
        <f t="shared" si="8"/>
        <v>6.376316926112525E-5</v>
      </c>
      <c r="O21" s="37">
        <v>2.032E-3</v>
      </c>
      <c r="P21" s="15">
        <v>0.3</v>
      </c>
      <c r="Q21" s="15">
        <f t="shared" si="9"/>
        <v>130000</v>
      </c>
      <c r="R21" s="15">
        <v>7.0000000000000007E-2</v>
      </c>
      <c r="S21" s="15">
        <f t="shared" si="10"/>
        <v>107000</v>
      </c>
      <c r="T21" s="15">
        <f t="shared" si="11"/>
        <v>809.62132673267342</v>
      </c>
      <c r="U21" s="16">
        <f t="shared" si="12"/>
        <v>3.9014230586750886E-10</v>
      </c>
      <c r="V21" s="16">
        <f t="shared" si="13"/>
        <v>234943696593413.84</v>
      </c>
      <c r="W21" s="6">
        <f t="shared" si="14"/>
        <v>10</v>
      </c>
      <c r="X21" s="16">
        <f t="shared" si="15"/>
        <v>4.2230331695371423E-10</v>
      </c>
      <c r="Y21" s="16">
        <f t="shared" si="16"/>
        <v>254311057469526.72</v>
      </c>
    </row>
    <row r="22" spans="1:25" x14ac:dyDescent="0.25">
      <c r="A22" s="14">
        <v>110</v>
      </c>
      <c r="B22" s="14">
        <f t="shared" si="1"/>
        <v>1.8333333333333333</v>
      </c>
      <c r="C22" s="14">
        <v>20</v>
      </c>
      <c r="D22" s="14">
        <f t="shared" si="0"/>
        <v>29.146000000000001</v>
      </c>
      <c r="E22" s="14">
        <f t="shared" si="2"/>
        <v>4.8576666666666667E-7</v>
      </c>
      <c r="F22" s="14">
        <v>21.1</v>
      </c>
      <c r="G22" s="14">
        <f t="shared" si="3"/>
        <v>294.10000000000002</v>
      </c>
      <c r="H22" s="14">
        <v>101.3</v>
      </c>
      <c r="I22" s="14">
        <f t="shared" si="4"/>
        <v>101300</v>
      </c>
      <c r="J22" s="14">
        <f t="shared" si="5"/>
        <v>2.0124824921938581E-5</v>
      </c>
      <c r="K22" s="38">
        <v>7593.0891089108918</v>
      </c>
      <c r="L22" s="15">
        <f t="shared" si="6"/>
        <v>7.5930891089108915E-3</v>
      </c>
      <c r="M22" s="14">
        <f t="shared" si="7"/>
        <v>4.7762865441819992E-3</v>
      </c>
      <c r="N22" s="52">
        <f t="shared" si="8"/>
        <v>6.3986776136640248E-5</v>
      </c>
      <c r="O22" s="37">
        <v>2.032E-3</v>
      </c>
      <c r="P22" s="15">
        <v>0.3</v>
      </c>
      <c r="Q22" s="15">
        <f t="shared" si="9"/>
        <v>130000</v>
      </c>
      <c r="R22" s="15">
        <v>7.0000000000000007E-2</v>
      </c>
      <c r="S22" s="15">
        <f t="shared" si="10"/>
        <v>107000</v>
      </c>
      <c r="T22" s="15">
        <f t="shared" si="11"/>
        <v>812.4605346534654</v>
      </c>
      <c r="U22" s="16">
        <f t="shared" si="12"/>
        <v>3.9156924415866071E-10</v>
      </c>
      <c r="V22" s="16">
        <f t="shared" si="13"/>
        <v>235802998832345.5</v>
      </c>
      <c r="W22" s="6">
        <f t="shared" si="14"/>
        <v>10</v>
      </c>
      <c r="X22" s="16">
        <f t="shared" si="15"/>
        <v>4.2392201514539194E-10</v>
      </c>
      <c r="Y22" s="16">
        <f t="shared" si="16"/>
        <v>255285837520555.03</v>
      </c>
    </row>
    <row r="23" spans="1:25" x14ac:dyDescent="0.25">
      <c r="A23" s="14">
        <v>115.5</v>
      </c>
      <c r="B23" s="14">
        <f t="shared" si="1"/>
        <v>1.925</v>
      </c>
      <c r="C23" s="14">
        <v>20</v>
      </c>
      <c r="D23" s="14">
        <f t="shared" si="0"/>
        <v>29.146000000000001</v>
      </c>
      <c r="E23" s="14">
        <f t="shared" si="2"/>
        <v>4.8576666666666667E-7</v>
      </c>
      <c r="F23" s="14">
        <v>21.1</v>
      </c>
      <c r="G23" s="14">
        <f t="shared" si="3"/>
        <v>294.10000000000002</v>
      </c>
      <c r="H23" s="14">
        <v>101.3</v>
      </c>
      <c r="I23" s="14">
        <f t="shared" si="4"/>
        <v>101300</v>
      </c>
      <c r="J23" s="14">
        <f t="shared" si="5"/>
        <v>2.0124824921938581E-5</v>
      </c>
      <c r="K23" s="38">
        <v>7604.6485148514857</v>
      </c>
      <c r="L23" s="15">
        <f t="shared" si="6"/>
        <v>7.6046485148514855E-3</v>
      </c>
      <c r="M23" s="14">
        <f t="shared" si="7"/>
        <v>4.7762865441819992E-3</v>
      </c>
      <c r="N23" s="52">
        <f t="shared" si="8"/>
        <v>6.4084186967671493E-5</v>
      </c>
      <c r="O23" s="37">
        <v>2.032E-3</v>
      </c>
      <c r="P23" s="15">
        <v>0.3</v>
      </c>
      <c r="Q23" s="15">
        <f t="shared" si="9"/>
        <v>130000</v>
      </c>
      <c r="R23" s="15">
        <v>7.0000000000000007E-2</v>
      </c>
      <c r="S23" s="15">
        <f t="shared" si="10"/>
        <v>107000</v>
      </c>
      <c r="T23" s="15">
        <f t="shared" si="11"/>
        <v>813.69739108910892</v>
      </c>
      <c r="U23" s="16">
        <f t="shared" si="12"/>
        <v>3.9219096926791419E-10</v>
      </c>
      <c r="V23" s="16">
        <f t="shared" si="13"/>
        <v>236177401693137.94</v>
      </c>
      <c r="W23" s="6">
        <f t="shared" si="14"/>
        <v>10</v>
      </c>
      <c r="X23" s="16">
        <f t="shared" si="15"/>
        <v>4.246274293210109E-10</v>
      </c>
      <c r="Y23" s="16">
        <f t="shared" si="16"/>
        <v>255710637937112.78</v>
      </c>
    </row>
    <row r="24" spans="1:25" x14ac:dyDescent="0.25">
      <c r="A24" s="14">
        <v>121</v>
      </c>
      <c r="B24" s="14">
        <f t="shared" si="1"/>
        <v>2.0166666666666666</v>
      </c>
      <c r="C24" s="14">
        <v>20</v>
      </c>
      <c r="D24" s="14">
        <f t="shared" si="0"/>
        <v>29.146000000000001</v>
      </c>
      <c r="E24" s="14">
        <f t="shared" si="2"/>
        <v>4.8576666666666667E-7</v>
      </c>
      <c r="F24" s="14">
        <v>21.1</v>
      </c>
      <c r="G24" s="14">
        <f t="shared" si="3"/>
        <v>294.10000000000002</v>
      </c>
      <c r="H24" s="14">
        <v>101.3</v>
      </c>
      <c r="I24" s="14">
        <f t="shared" si="4"/>
        <v>101300</v>
      </c>
      <c r="J24" s="14">
        <f t="shared" si="5"/>
        <v>2.0124824921938581E-5</v>
      </c>
      <c r="K24" s="38">
        <v>7584.1039603960407</v>
      </c>
      <c r="L24" s="15">
        <f t="shared" si="6"/>
        <v>7.5841039603960405E-3</v>
      </c>
      <c r="M24" s="14">
        <f t="shared" si="7"/>
        <v>4.7762865441819992E-3</v>
      </c>
      <c r="N24" s="52">
        <f t="shared" si="8"/>
        <v>6.391105850995001E-5</v>
      </c>
      <c r="O24" s="37">
        <v>2.032E-3</v>
      </c>
      <c r="P24" s="15">
        <v>0.3</v>
      </c>
      <c r="Q24" s="15">
        <f t="shared" si="9"/>
        <v>130000</v>
      </c>
      <c r="R24" s="15">
        <v>7.0000000000000007E-2</v>
      </c>
      <c r="S24" s="15">
        <f t="shared" si="10"/>
        <v>107000</v>
      </c>
      <c r="T24" s="15">
        <f t="shared" si="11"/>
        <v>811.49912376237637</v>
      </c>
      <c r="U24" s="16">
        <f t="shared" si="12"/>
        <v>3.9108601869790077E-10</v>
      </c>
      <c r="V24" s="16">
        <f t="shared" si="13"/>
        <v>235512000459875.84</v>
      </c>
      <c r="W24" s="6">
        <f t="shared" si="14"/>
        <v>10</v>
      </c>
      <c r="X24" s="16">
        <f t="shared" si="15"/>
        <v>4.233738016697602E-10</v>
      </c>
      <c r="Y24" s="16">
        <f t="shared" si="16"/>
        <v>254955703365529.59</v>
      </c>
    </row>
    <row r="25" spans="1:25" x14ac:dyDescent="0.25">
      <c r="A25" s="14">
        <v>126.5</v>
      </c>
      <c r="B25" s="14">
        <f t="shared" si="1"/>
        <v>2.1083333333333334</v>
      </c>
      <c r="C25" s="14">
        <v>20</v>
      </c>
      <c r="D25" s="14">
        <f t="shared" si="0"/>
        <v>29.146000000000001</v>
      </c>
      <c r="E25" s="14">
        <f t="shared" si="2"/>
        <v>4.8576666666666667E-7</v>
      </c>
      <c r="F25" s="14">
        <v>21.1</v>
      </c>
      <c r="G25" s="14">
        <f t="shared" si="3"/>
        <v>294.10000000000002</v>
      </c>
      <c r="H25" s="14">
        <v>101.3</v>
      </c>
      <c r="I25" s="14">
        <f t="shared" si="4"/>
        <v>101300</v>
      </c>
      <c r="J25" s="14">
        <f t="shared" si="5"/>
        <v>2.0124824921938581E-5</v>
      </c>
      <c r="K25" s="38">
        <v>7615.5396039603966</v>
      </c>
      <c r="L25" s="15">
        <f t="shared" si="6"/>
        <v>7.6155396039603966E-3</v>
      </c>
      <c r="M25" s="14">
        <f t="shared" si="7"/>
        <v>4.7762865441819992E-3</v>
      </c>
      <c r="N25" s="52">
        <f t="shared" si="8"/>
        <v>6.4175965909114209E-5</v>
      </c>
      <c r="O25" s="37">
        <v>2.032E-3</v>
      </c>
      <c r="P25" s="15">
        <v>0.3</v>
      </c>
      <c r="Q25" s="15">
        <f t="shared" si="9"/>
        <v>130000</v>
      </c>
      <c r="R25" s="15">
        <v>7.0000000000000007E-2</v>
      </c>
      <c r="S25" s="15">
        <f t="shared" si="10"/>
        <v>107000</v>
      </c>
      <c r="T25" s="15">
        <f t="shared" si="11"/>
        <v>814.86273762376243</v>
      </c>
      <c r="U25" s="16">
        <f t="shared" si="12"/>
        <v>3.9277680529675647E-10</v>
      </c>
      <c r="V25" s="16">
        <f t="shared" si="13"/>
        <v>236530192149706.75</v>
      </c>
      <c r="W25" s="6">
        <f t="shared" si="14"/>
        <v>10</v>
      </c>
      <c r="X25" s="16">
        <f t="shared" si="15"/>
        <v>4.252922001628999E-10</v>
      </c>
      <c r="Y25" s="16">
        <f t="shared" si="16"/>
        <v>256110962938098.34</v>
      </c>
    </row>
    <row r="26" spans="1:25" x14ac:dyDescent="0.25">
      <c r="A26" s="14">
        <v>132</v>
      </c>
      <c r="B26" s="14">
        <f t="shared" si="1"/>
        <v>2.2000000000000002</v>
      </c>
      <c r="C26" s="14">
        <v>20</v>
      </c>
      <c r="D26" s="14">
        <f t="shared" si="0"/>
        <v>29.146000000000001</v>
      </c>
      <c r="E26" s="14">
        <f t="shared" si="2"/>
        <v>4.8576666666666667E-7</v>
      </c>
      <c r="F26" s="14">
        <v>21.1</v>
      </c>
      <c r="G26" s="14">
        <f t="shared" si="3"/>
        <v>294.10000000000002</v>
      </c>
      <c r="H26" s="14">
        <v>101.3</v>
      </c>
      <c r="I26" s="14">
        <f t="shared" si="4"/>
        <v>101300</v>
      </c>
      <c r="J26" s="14">
        <f t="shared" si="5"/>
        <v>2.0124824921938581E-5</v>
      </c>
      <c r="K26" s="38">
        <v>7615.6138613861385</v>
      </c>
      <c r="L26" s="15">
        <f t="shared" si="6"/>
        <v>7.6156138613861389E-3</v>
      </c>
      <c r="M26" s="14">
        <f t="shared" si="7"/>
        <v>4.7762865441819992E-3</v>
      </c>
      <c r="N26" s="52">
        <f t="shared" si="8"/>
        <v>6.417659167462404E-5</v>
      </c>
      <c r="O26" s="37">
        <v>2.032E-3</v>
      </c>
      <c r="P26" s="15">
        <v>0.3</v>
      </c>
      <c r="Q26" s="15">
        <f t="shared" si="9"/>
        <v>130000</v>
      </c>
      <c r="R26" s="15">
        <v>7.0000000000000007E-2</v>
      </c>
      <c r="S26" s="15">
        <f t="shared" si="10"/>
        <v>107000</v>
      </c>
      <c r="T26" s="15">
        <f t="shared" si="11"/>
        <v>814.87068316831687</v>
      </c>
      <c r="U26" s="16">
        <f t="shared" si="12"/>
        <v>3.9278079982134156E-10</v>
      </c>
      <c r="V26" s="16">
        <f t="shared" si="13"/>
        <v>236532597652411.91</v>
      </c>
      <c r="W26" s="6">
        <f t="shared" si="14"/>
        <v>10</v>
      </c>
      <c r="X26" s="16">
        <f t="shared" si="15"/>
        <v>4.2529673316008376E-10</v>
      </c>
      <c r="Y26" s="16">
        <f t="shared" si="16"/>
        <v>256113692709002.44</v>
      </c>
    </row>
    <row r="27" spans="1:25" x14ac:dyDescent="0.25">
      <c r="A27" s="14">
        <v>137.5</v>
      </c>
      <c r="B27" s="14">
        <f t="shared" si="1"/>
        <v>2.2916666666666665</v>
      </c>
      <c r="C27" s="14">
        <v>20</v>
      </c>
      <c r="D27" s="14">
        <f t="shared" si="0"/>
        <v>29.146000000000001</v>
      </c>
      <c r="E27" s="14">
        <f t="shared" si="2"/>
        <v>4.8576666666666667E-7</v>
      </c>
      <c r="F27" s="14">
        <v>21.1</v>
      </c>
      <c r="G27" s="14">
        <f t="shared" si="3"/>
        <v>294.10000000000002</v>
      </c>
      <c r="H27" s="14">
        <v>101.3</v>
      </c>
      <c r="I27" s="14">
        <f t="shared" si="4"/>
        <v>101300</v>
      </c>
      <c r="J27" s="14">
        <f t="shared" si="5"/>
        <v>2.0124824921938581E-5</v>
      </c>
      <c r="K27" s="38">
        <v>7637.2970297029715</v>
      </c>
      <c r="L27" s="15">
        <f t="shared" si="6"/>
        <v>7.6372970297029713E-3</v>
      </c>
      <c r="M27" s="14">
        <f t="shared" si="7"/>
        <v>4.7762865441819992E-3</v>
      </c>
      <c r="N27" s="52">
        <f t="shared" si="8"/>
        <v>6.4359315203496386E-5</v>
      </c>
      <c r="O27" s="37">
        <v>2.032E-3</v>
      </c>
      <c r="P27" s="15">
        <v>0.3</v>
      </c>
      <c r="Q27" s="15">
        <f t="shared" si="9"/>
        <v>130000</v>
      </c>
      <c r="R27" s="15">
        <v>7.0000000000000007E-2</v>
      </c>
      <c r="S27" s="15">
        <f t="shared" si="10"/>
        <v>107000</v>
      </c>
      <c r="T27" s="15">
        <f t="shared" si="11"/>
        <v>817.19078217821789</v>
      </c>
      <c r="U27" s="16">
        <f t="shared" si="12"/>
        <v>3.9394730987932219E-10</v>
      </c>
      <c r="V27" s="16">
        <f t="shared" si="13"/>
        <v>237235070009327.84</v>
      </c>
      <c r="W27" s="6">
        <f t="shared" si="14"/>
        <v>10</v>
      </c>
      <c r="X27" s="16">
        <f t="shared" si="15"/>
        <v>4.2662063980926971E-10</v>
      </c>
      <c r="Y27" s="16">
        <f t="shared" si="16"/>
        <v>256910949293142.22</v>
      </c>
    </row>
    <row r="28" spans="1:25" x14ac:dyDescent="0.25">
      <c r="A28" s="14">
        <v>143</v>
      </c>
      <c r="B28" s="14">
        <f t="shared" si="1"/>
        <v>2.3833333333333333</v>
      </c>
      <c r="C28" s="14">
        <v>20</v>
      </c>
      <c r="D28" s="14">
        <f t="shared" si="0"/>
        <v>29.146000000000001</v>
      </c>
      <c r="E28" s="14">
        <f t="shared" si="2"/>
        <v>4.8576666666666667E-7</v>
      </c>
      <c r="F28" s="14">
        <v>21.1</v>
      </c>
      <c r="G28" s="14">
        <f t="shared" si="3"/>
        <v>294.10000000000002</v>
      </c>
      <c r="H28" s="14">
        <v>101.3</v>
      </c>
      <c r="I28" s="14">
        <f t="shared" si="4"/>
        <v>101300</v>
      </c>
      <c r="J28" s="14">
        <f t="shared" si="5"/>
        <v>2.0124824921938581E-5</v>
      </c>
      <c r="K28" s="38">
        <v>7643.8316831683178</v>
      </c>
      <c r="L28" s="15">
        <f t="shared" si="6"/>
        <v>7.6438316831683182E-3</v>
      </c>
      <c r="M28" s="14">
        <f t="shared" si="7"/>
        <v>4.7762865441819992E-3</v>
      </c>
      <c r="N28" s="52">
        <f t="shared" si="8"/>
        <v>6.441438256836201E-5</v>
      </c>
      <c r="O28" s="37">
        <v>2.032E-3</v>
      </c>
      <c r="P28" s="15">
        <v>0.3</v>
      </c>
      <c r="Q28" s="15">
        <f t="shared" si="9"/>
        <v>130000</v>
      </c>
      <c r="R28" s="15">
        <v>7.0000000000000007E-2</v>
      </c>
      <c r="S28" s="15">
        <f t="shared" si="10"/>
        <v>107000</v>
      </c>
      <c r="T28" s="15">
        <f t="shared" si="11"/>
        <v>817.88999009900999</v>
      </c>
      <c r="U28" s="16">
        <f t="shared" si="12"/>
        <v>3.9429890339143998E-10</v>
      </c>
      <c r="V28" s="16">
        <f t="shared" si="13"/>
        <v>237446799622325.16</v>
      </c>
      <c r="W28" s="6">
        <f t="shared" si="14"/>
        <v>10</v>
      </c>
      <c r="X28" s="16">
        <f t="shared" si="15"/>
        <v>4.2701973144825855E-10</v>
      </c>
      <c r="Y28" s="16">
        <f t="shared" si="16"/>
        <v>257151282278141.31</v>
      </c>
    </row>
    <row r="29" spans="1:25" x14ac:dyDescent="0.25">
      <c r="A29" s="14">
        <v>148.5</v>
      </c>
      <c r="B29" s="14">
        <f t="shared" si="1"/>
        <v>2.4750000000000001</v>
      </c>
      <c r="C29" s="14">
        <v>20</v>
      </c>
      <c r="D29" s="14">
        <f t="shared" si="0"/>
        <v>29.146000000000001</v>
      </c>
      <c r="E29" s="14">
        <f t="shared" si="2"/>
        <v>4.8576666666666667E-7</v>
      </c>
      <c r="F29" s="14">
        <v>21.1</v>
      </c>
      <c r="G29" s="14">
        <f t="shared" si="3"/>
        <v>294.10000000000002</v>
      </c>
      <c r="H29" s="14">
        <v>101.3</v>
      </c>
      <c r="I29" s="14">
        <f t="shared" si="4"/>
        <v>101300</v>
      </c>
      <c r="J29" s="14">
        <f t="shared" si="5"/>
        <v>2.0124824921938581E-5</v>
      </c>
      <c r="K29" s="38">
        <v>7656.5544554455455</v>
      </c>
      <c r="L29" s="15">
        <f t="shared" si="6"/>
        <v>7.6565544554455453E-3</v>
      </c>
      <c r="M29" s="14">
        <f t="shared" si="7"/>
        <v>4.7762865441819992E-3</v>
      </c>
      <c r="N29" s="52">
        <f t="shared" si="8"/>
        <v>6.4521597059047372E-5</v>
      </c>
      <c r="O29" s="37">
        <v>2.032E-3</v>
      </c>
      <c r="P29" s="15">
        <v>0.3</v>
      </c>
      <c r="Q29" s="15">
        <f t="shared" si="9"/>
        <v>130000</v>
      </c>
      <c r="R29" s="15">
        <v>7.0000000000000007E-2</v>
      </c>
      <c r="S29" s="15">
        <f t="shared" si="10"/>
        <v>107000</v>
      </c>
      <c r="T29" s="15">
        <f t="shared" si="11"/>
        <v>819.25132673267331</v>
      </c>
      <c r="U29" s="16">
        <f t="shared" si="12"/>
        <v>3.9498350178453034E-10</v>
      </c>
      <c r="V29" s="16">
        <f t="shared" si="13"/>
        <v>237859064774644.19</v>
      </c>
      <c r="W29" s="6">
        <f t="shared" si="14"/>
        <v>10</v>
      </c>
      <c r="X29" s="16">
        <f t="shared" si="15"/>
        <v>4.2779689165538782E-10</v>
      </c>
      <c r="Y29" s="16">
        <f t="shared" si="16"/>
        <v>257619288154874.56</v>
      </c>
    </row>
    <row r="30" spans="1:25" x14ac:dyDescent="0.25">
      <c r="A30" s="14">
        <v>154</v>
      </c>
      <c r="B30" s="14">
        <f t="shared" si="1"/>
        <v>2.5666666666666669</v>
      </c>
      <c r="C30" s="14">
        <v>20</v>
      </c>
      <c r="D30" s="14">
        <f t="shared" si="0"/>
        <v>29.146000000000001</v>
      </c>
      <c r="E30" s="14">
        <f t="shared" si="2"/>
        <v>4.8576666666666667E-7</v>
      </c>
      <c r="F30" s="14">
        <v>21.1</v>
      </c>
      <c r="G30" s="14">
        <f t="shared" si="3"/>
        <v>294.10000000000002</v>
      </c>
      <c r="H30" s="14">
        <v>101.3</v>
      </c>
      <c r="I30" s="14">
        <f t="shared" si="4"/>
        <v>101300</v>
      </c>
      <c r="J30" s="14">
        <f t="shared" si="5"/>
        <v>2.0124824921938581E-5</v>
      </c>
      <c r="K30" s="38">
        <v>7630.2178217821793</v>
      </c>
      <c r="L30" s="15">
        <f t="shared" si="6"/>
        <v>7.6302178217821795E-3</v>
      </c>
      <c r="M30" s="14">
        <f t="shared" si="7"/>
        <v>4.7762865441819992E-3</v>
      </c>
      <c r="N30" s="52">
        <f t="shared" si="8"/>
        <v>6.4299658891558612E-5</v>
      </c>
      <c r="O30" s="37">
        <v>2.032E-3</v>
      </c>
      <c r="P30" s="15">
        <v>0.3</v>
      </c>
      <c r="Q30" s="15">
        <f t="shared" si="9"/>
        <v>130000</v>
      </c>
      <c r="R30" s="15">
        <v>7.0000000000000007E-2</v>
      </c>
      <c r="S30" s="15">
        <f t="shared" si="10"/>
        <v>107000</v>
      </c>
      <c r="T30" s="15">
        <f t="shared" si="11"/>
        <v>816.43330693069322</v>
      </c>
      <c r="U30" s="16">
        <f t="shared" si="12"/>
        <v>3.93566439134174E-10</v>
      </c>
      <c r="V30" s="16">
        <f t="shared" si="13"/>
        <v>237005709646599.59</v>
      </c>
      <c r="W30" s="6">
        <f t="shared" si="14"/>
        <v>10</v>
      </c>
      <c r="X30" s="16">
        <f t="shared" si="15"/>
        <v>4.261883459653806E-10</v>
      </c>
      <c r="Y30" s="16">
        <f t="shared" si="16"/>
        <v>256650621940352.22</v>
      </c>
    </row>
    <row r="31" spans="1:25" x14ac:dyDescent="0.25">
      <c r="A31" s="14">
        <v>159.5</v>
      </c>
      <c r="B31" s="14">
        <f t="shared" si="1"/>
        <v>2.6583333333333332</v>
      </c>
      <c r="C31" s="14">
        <v>20</v>
      </c>
      <c r="D31" s="14">
        <f t="shared" si="0"/>
        <v>29.146000000000001</v>
      </c>
      <c r="E31" s="14">
        <f t="shared" si="2"/>
        <v>4.8576666666666667E-7</v>
      </c>
      <c r="F31" s="14">
        <v>21.1</v>
      </c>
      <c r="G31" s="14">
        <f t="shared" si="3"/>
        <v>294.10000000000002</v>
      </c>
      <c r="H31" s="14">
        <v>101.3</v>
      </c>
      <c r="I31" s="14">
        <f t="shared" si="4"/>
        <v>101300</v>
      </c>
      <c r="J31" s="14">
        <f t="shared" si="5"/>
        <v>2.0124824921938581E-5</v>
      </c>
      <c r="K31" s="38">
        <v>7673.7326732673273</v>
      </c>
      <c r="L31" s="15">
        <f t="shared" si="6"/>
        <v>7.6737326732673273E-3</v>
      </c>
      <c r="M31" s="14">
        <f t="shared" si="7"/>
        <v>4.7762865441819992E-3</v>
      </c>
      <c r="N31" s="52">
        <f t="shared" si="8"/>
        <v>6.4666357480322925E-5</v>
      </c>
      <c r="O31" s="37">
        <v>2.032E-3</v>
      </c>
      <c r="P31" s="15">
        <v>0.3</v>
      </c>
      <c r="Q31" s="15">
        <f t="shared" si="9"/>
        <v>130000</v>
      </c>
      <c r="R31" s="15">
        <v>7.0000000000000007E-2</v>
      </c>
      <c r="S31" s="15">
        <f t="shared" si="10"/>
        <v>107000</v>
      </c>
      <c r="T31" s="15">
        <f t="shared" si="11"/>
        <v>821.08939603960403</v>
      </c>
      <c r="U31" s="16">
        <f t="shared" si="12"/>
        <v>3.9590796113926716E-10</v>
      </c>
      <c r="V31" s="16">
        <f t="shared" si="13"/>
        <v>238415774198066.69</v>
      </c>
      <c r="W31" s="6">
        <f t="shared" si="14"/>
        <v>10</v>
      </c>
      <c r="X31" s="16">
        <f t="shared" si="15"/>
        <v>4.2884650436417539E-10</v>
      </c>
      <c r="Y31" s="16">
        <f t="shared" si="16"/>
        <v>258251364928106.44</v>
      </c>
    </row>
    <row r="32" spans="1:25" x14ac:dyDescent="0.25">
      <c r="A32" s="14">
        <v>165</v>
      </c>
      <c r="B32" s="14">
        <f t="shared" si="1"/>
        <v>2.75</v>
      </c>
      <c r="C32" s="14">
        <v>20</v>
      </c>
      <c r="D32" s="14">
        <f t="shared" si="0"/>
        <v>29.146000000000001</v>
      </c>
      <c r="E32" s="14">
        <f t="shared" si="2"/>
        <v>4.8576666666666667E-7</v>
      </c>
      <c r="F32" s="14">
        <v>21.1</v>
      </c>
      <c r="G32" s="14">
        <f t="shared" si="3"/>
        <v>294.10000000000002</v>
      </c>
      <c r="H32" s="14">
        <v>101.3</v>
      </c>
      <c r="I32" s="14">
        <f t="shared" si="4"/>
        <v>101300</v>
      </c>
      <c r="J32" s="14">
        <f t="shared" si="5"/>
        <v>2.0124824921938581E-5</v>
      </c>
      <c r="K32" s="38">
        <v>7661.925742574258</v>
      </c>
      <c r="L32" s="15">
        <f t="shared" si="6"/>
        <v>7.6619257425742581E-3</v>
      </c>
      <c r="M32" s="14">
        <f t="shared" si="7"/>
        <v>4.7762865441819992E-3</v>
      </c>
      <c r="N32" s="52">
        <f t="shared" si="8"/>
        <v>6.4566860764258879E-5</v>
      </c>
      <c r="O32" s="37">
        <v>2.032E-3</v>
      </c>
      <c r="P32" s="15">
        <v>0.3</v>
      </c>
      <c r="Q32" s="15">
        <f t="shared" si="9"/>
        <v>130000</v>
      </c>
      <c r="R32" s="15">
        <v>7.0000000000000007E-2</v>
      </c>
      <c r="S32" s="15">
        <f t="shared" si="10"/>
        <v>107000</v>
      </c>
      <c r="T32" s="15">
        <f t="shared" si="11"/>
        <v>819.82605445544561</v>
      </c>
      <c r="U32" s="16">
        <f t="shared" si="12"/>
        <v>3.9527254723621954E-10</v>
      </c>
      <c r="V32" s="16">
        <f t="shared" si="13"/>
        <v>238033127945651.41</v>
      </c>
      <c r="W32" s="6">
        <f t="shared" si="14"/>
        <v>10</v>
      </c>
      <c r="X32" s="16">
        <f t="shared" si="15"/>
        <v>4.2812504823395272E-10</v>
      </c>
      <c r="Y32" s="16">
        <f t="shared" si="16"/>
        <v>257816904046486.34</v>
      </c>
    </row>
    <row r="33" spans="1:25" x14ac:dyDescent="0.25">
      <c r="A33" s="14">
        <v>170.5</v>
      </c>
      <c r="B33" s="14">
        <f t="shared" si="1"/>
        <v>2.8416666666666668</v>
      </c>
      <c r="C33" s="14">
        <v>20</v>
      </c>
      <c r="D33" s="14">
        <f t="shared" si="0"/>
        <v>29.146000000000001</v>
      </c>
      <c r="E33" s="14">
        <f t="shared" si="2"/>
        <v>4.8576666666666667E-7</v>
      </c>
      <c r="F33" s="14">
        <v>21.1</v>
      </c>
      <c r="G33" s="14">
        <f t="shared" si="3"/>
        <v>294.10000000000002</v>
      </c>
      <c r="H33" s="14">
        <v>101.3</v>
      </c>
      <c r="I33" s="14">
        <f t="shared" si="4"/>
        <v>101300</v>
      </c>
      <c r="J33" s="14">
        <f t="shared" si="5"/>
        <v>2.0124824921938581E-5</v>
      </c>
      <c r="K33" s="38">
        <v>7683.2623762376234</v>
      </c>
      <c r="L33" s="15">
        <f t="shared" si="6"/>
        <v>7.6832623762376233E-3</v>
      </c>
      <c r="M33" s="14">
        <f t="shared" si="7"/>
        <v>4.7762865441819992E-3</v>
      </c>
      <c r="N33" s="52">
        <f t="shared" si="8"/>
        <v>6.4746664054085299E-5</v>
      </c>
      <c r="O33" s="37">
        <v>2.032E-3</v>
      </c>
      <c r="P33" s="15">
        <v>0.3</v>
      </c>
      <c r="Q33" s="15">
        <f t="shared" si="9"/>
        <v>130000</v>
      </c>
      <c r="R33" s="15">
        <v>7.0000000000000007E-2</v>
      </c>
      <c r="S33" s="15">
        <f t="shared" si="10"/>
        <v>107000</v>
      </c>
      <c r="T33" s="15">
        <f t="shared" si="11"/>
        <v>822.10907425742573</v>
      </c>
      <c r="U33" s="16">
        <f t="shared" si="12"/>
        <v>3.9642086822593867E-10</v>
      </c>
      <c r="V33" s="16">
        <f t="shared" si="13"/>
        <v>238724646845660.28</v>
      </c>
      <c r="W33" s="6">
        <f t="shared" si="14"/>
        <v>10</v>
      </c>
      <c r="X33" s="16">
        <f t="shared" si="15"/>
        <v>4.294289285366513E-10</v>
      </c>
      <c r="Y33" s="16">
        <f t="shared" si="16"/>
        <v>258602100764771.44</v>
      </c>
    </row>
    <row r="34" spans="1:25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35"/>
      <c r="L34" s="27"/>
      <c r="M34" s="26"/>
      <c r="N34" s="46"/>
      <c r="O34" s="46"/>
      <c r="P34" s="27"/>
      <c r="Q34" s="27"/>
      <c r="R34" s="27"/>
      <c r="S34" s="27"/>
      <c r="T34" s="27"/>
      <c r="U34" s="27"/>
      <c r="V34" s="27"/>
    </row>
    <row r="35" spans="1:25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35"/>
      <c r="L35" s="27"/>
      <c r="M35" s="26"/>
      <c r="N35" s="46"/>
      <c r="O35" s="46"/>
      <c r="P35" s="27"/>
      <c r="Q35" s="27"/>
      <c r="R35" s="27"/>
      <c r="S35" s="27"/>
      <c r="T35" s="27"/>
      <c r="U35" s="27"/>
      <c r="V35" s="27"/>
    </row>
    <row r="36" spans="1:25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35"/>
      <c r="L36" s="27"/>
      <c r="M36" s="26"/>
      <c r="N36" s="46"/>
      <c r="O36" s="46"/>
      <c r="P36" s="27"/>
      <c r="Q36" s="27"/>
      <c r="R36" s="27"/>
      <c r="S36" s="27"/>
      <c r="T36" s="27"/>
      <c r="U36" s="27"/>
      <c r="V36" s="27"/>
    </row>
    <row r="37" spans="1:25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35"/>
      <c r="L37" s="27"/>
      <c r="M37" s="26"/>
      <c r="N37" s="46"/>
      <c r="O37" s="46"/>
      <c r="P37" s="27"/>
      <c r="Q37" s="27"/>
      <c r="R37" s="27"/>
      <c r="S37" s="27"/>
      <c r="T37" s="27"/>
      <c r="U37" s="40">
        <f>AVERAGE(U18:U33)</f>
        <v>3.9329251801613665E-10</v>
      </c>
      <c r="V37" s="40">
        <f>AVERAGE(V18:V33)</f>
        <v>236840754349317.5</v>
      </c>
      <c r="X37" s="42">
        <f>AVERAGE(X18:X33)</f>
        <v>4.25877775548526E-10</v>
      </c>
      <c r="Y37" s="42">
        <f>AVERAGE(Y18:Y33)</f>
        <v>256463596435322.38</v>
      </c>
    </row>
    <row r="38" spans="1:25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35"/>
      <c r="L38" s="27"/>
      <c r="M38" s="26"/>
      <c r="N38" s="46"/>
      <c r="O38" s="46"/>
      <c r="P38" s="27"/>
      <c r="Q38" s="27"/>
      <c r="R38" s="27"/>
      <c r="S38" s="27"/>
      <c r="T38" s="27"/>
      <c r="U38" s="27"/>
      <c r="V38" s="27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DFA1-4ED5-456A-B9A1-D7B28609F207}">
  <dimension ref="A1:Y40"/>
  <sheetViews>
    <sheetView topLeftCell="V22" zoomScale="110" zoomScaleNormal="110" workbookViewId="0">
      <selection activeCell="Y40" sqref="Y40"/>
    </sheetView>
  </sheetViews>
  <sheetFormatPr defaultRowHeight="13.8" x14ac:dyDescent="0.25"/>
  <cols>
    <col min="1" max="4" width="22.109375" style="23" customWidth="1"/>
    <col min="5" max="5" width="18.77734375" style="23" customWidth="1"/>
    <col min="6" max="6" width="17.33203125" style="23" customWidth="1"/>
    <col min="7" max="7" width="16.6640625" style="23" customWidth="1"/>
    <col min="8" max="8" width="20.88671875" style="23" customWidth="1"/>
    <col min="9" max="9" width="19.21875" style="23" customWidth="1"/>
    <col min="10" max="10" width="23.109375" style="23" customWidth="1"/>
    <col min="11" max="11" width="13.6640625" style="34" customWidth="1"/>
    <col min="12" max="12" width="20.88671875" style="17" customWidth="1"/>
    <col min="13" max="13" width="31.6640625" style="23" customWidth="1"/>
    <col min="14" max="14" width="17.77734375" style="45" customWidth="1"/>
    <col min="15" max="15" width="23" style="45" customWidth="1"/>
    <col min="16" max="16" width="20.6640625" style="17" customWidth="1"/>
    <col min="17" max="17" width="26.88671875" style="17" customWidth="1"/>
    <col min="18" max="20" width="20.6640625" style="17" customWidth="1"/>
    <col min="21" max="21" width="36.33203125" style="23" customWidth="1"/>
    <col min="22" max="22" width="36" style="23" customWidth="1"/>
    <col min="23" max="23" width="41" style="7" customWidth="1"/>
    <col min="24" max="24" width="46.21875" style="7" customWidth="1"/>
    <col min="25" max="25" width="53.33203125" style="7" customWidth="1"/>
    <col min="26" max="16384" width="8.88671875" style="19"/>
  </cols>
  <sheetData>
    <row r="1" spans="1:25" s="18" customFormat="1" ht="55.2" x14ac:dyDescent="0.3">
      <c r="A1" s="11" t="s">
        <v>7</v>
      </c>
      <c r="B1" s="12" t="s">
        <v>6</v>
      </c>
      <c r="C1" s="11" t="s">
        <v>2</v>
      </c>
      <c r="D1" s="11" t="s">
        <v>1</v>
      </c>
      <c r="E1" s="12" t="s">
        <v>0</v>
      </c>
      <c r="F1" s="11" t="s">
        <v>3</v>
      </c>
      <c r="G1" s="12" t="s">
        <v>10</v>
      </c>
      <c r="H1" s="11" t="s">
        <v>4</v>
      </c>
      <c r="I1" s="12" t="s">
        <v>11</v>
      </c>
      <c r="J1" s="12" t="s">
        <v>8</v>
      </c>
      <c r="K1" s="32" t="s">
        <v>5</v>
      </c>
      <c r="L1" s="13" t="s">
        <v>18</v>
      </c>
      <c r="M1" s="12" t="s">
        <v>9</v>
      </c>
      <c r="N1" s="44" t="s">
        <v>27</v>
      </c>
      <c r="O1" s="44" t="s">
        <v>12</v>
      </c>
      <c r="P1" s="21" t="s">
        <v>16</v>
      </c>
      <c r="Q1" s="13" t="s">
        <v>17</v>
      </c>
      <c r="R1" s="13" t="s">
        <v>13</v>
      </c>
      <c r="S1" s="13" t="s">
        <v>14</v>
      </c>
      <c r="T1" s="13" t="s">
        <v>15</v>
      </c>
      <c r="U1" s="2" t="s">
        <v>28</v>
      </c>
      <c r="V1" s="12" t="s">
        <v>29</v>
      </c>
      <c r="W1" s="3" t="s">
        <v>26</v>
      </c>
      <c r="X1" s="41" t="s">
        <v>30</v>
      </c>
      <c r="Y1" s="41" t="s">
        <v>31</v>
      </c>
    </row>
    <row r="2" spans="1:25" x14ac:dyDescent="0.25">
      <c r="A2" s="14">
        <v>0</v>
      </c>
      <c r="B2" s="14">
        <f>(A2/60)</f>
        <v>0</v>
      </c>
      <c r="C2" s="14">
        <v>20</v>
      </c>
      <c r="D2" s="14">
        <f t="shared" ref="D2:D37" si="0">(C2*1.4573)</f>
        <v>29.146000000000001</v>
      </c>
      <c r="E2" s="14">
        <f>(D2/(1000000*60))</f>
        <v>4.8576666666666667E-7</v>
      </c>
      <c r="F2" s="14">
        <v>21.1</v>
      </c>
      <c r="G2" s="14">
        <f>(273+F2)</f>
        <v>294.10000000000002</v>
      </c>
      <c r="H2" s="14">
        <v>101.3</v>
      </c>
      <c r="I2" s="14">
        <f>(H2*1000)</f>
        <v>101300</v>
      </c>
      <c r="J2" s="14">
        <f>((I2*E2)/(8.314*G2))</f>
        <v>2.0124824921938581E-5</v>
      </c>
      <c r="K2" s="33">
        <v>8.3861386138613856</v>
      </c>
      <c r="L2" s="15">
        <f>(K2/1000000)</f>
        <v>8.3861386138613853E-6</v>
      </c>
      <c r="M2" s="14">
        <f>(3.142*3.07*3.07*25.4*25.4)/(4*1000000)</f>
        <v>4.7762865441819992E-3</v>
      </c>
      <c r="N2" s="37">
        <f>(2*L2*J2)/M2</f>
        <v>7.0669784910893799E-8</v>
      </c>
      <c r="O2" s="37">
        <v>2.032E-3</v>
      </c>
      <c r="P2" s="15">
        <v>0.1</v>
      </c>
      <c r="Q2" s="15">
        <f>(1+P2)*100000*1</f>
        <v>110000.00000000001</v>
      </c>
      <c r="R2" s="15">
        <v>0.06</v>
      </c>
      <c r="S2" s="15">
        <f>(1+R2)*100000</f>
        <v>106000</v>
      </c>
      <c r="T2" s="15">
        <f>(L2*S2)</f>
        <v>0.88893069306930683</v>
      </c>
      <c r="U2" s="15">
        <f>((N2*O2)/((SQRT(Q2))-(SQRT(T2))))</f>
        <v>4.3420765558890582E-13</v>
      </c>
      <c r="V2" s="15">
        <f>(U2*6.022E+23)</f>
        <v>261479850195.6391</v>
      </c>
      <c r="W2" s="6">
        <f>(50/1000000)*100000</f>
        <v>5</v>
      </c>
      <c r="X2" s="15">
        <f>(N2*O2)/(SQRT(Q2)-(2*SQRT(T2))+SQRT(W2))</f>
        <v>4.3251635585199902E-13</v>
      </c>
      <c r="Y2" s="15">
        <f>(X2*6.022E+23)</f>
        <v>260461349494.07382</v>
      </c>
    </row>
    <row r="3" spans="1:25" x14ac:dyDescent="0.25">
      <c r="A3" s="14">
        <v>5.5</v>
      </c>
      <c r="B3" s="14">
        <f t="shared" ref="B3:B37" si="1">(A3/60)</f>
        <v>9.166666666666666E-2</v>
      </c>
      <c r="C3" s="14">
        <v>20</v>
      </c>
      <c r="D3" s="14">
        <f t="shared" si="0"/>
        <v>29.146000000000001</v>
      </c>
      <c r="E3" s="14">
        <f t="shared" ref="E3:E37" si="2">(D3/(1000000*60))</f>
        <v>4.8576666666666667E-7</v>
      </c>
      <c r="F3" s="14">
        <v>21.1</v>
      </c>
      <c r="G3" s="14">
        <f t="shared" ref="G3:G37" si="3">(273+F3)</f>
        <v>294.10000000000002</v>
      </c>
      <c r="H3" s="14">
        <v>101.3</v>
      </c>
      <c r="I3" s="14">
        <f t="shared" ref="I3:I37" si="4">(H3*1000)</f>
        <v>101300</v>
      </c>
      <c r="J3" s="14">
        <f t="shared" ref="J3:J37" si="5">((I3*E3)/(8.314*G3))</f>
        <v>2.0124824921938581E-5</v>
      </c>
      <c r="K3" s="33">
        <v>3.5099009900990095</v>
      </c>
      <c r="L3" s="15">
        <f t="shared" ref="L3:L37" si="6">(K3/1000000)</f>
        <v>3.5099009900990093E-6</v>
      </c>
      <c r="M3" s="14">
        <f t="shared" ref="M3:M37" si="7">(3.142*3.07*3.07*25.4*25.4)/(4*1000000)</f>
        <v>4.7762865441819992E-3</v>
      </c>
      <c r="N3" s="37">
        <f t="shared" ref="N3:N37" si="8">(2*L3*J3)/M3</f>
        <v>2.9577849764949059E-8</v>
      </c>
      <c r="O3" s="37">
        <v>2.032E-3</v>
      </c>
      <c r="P3" s="15">
        <v>0.1</v>
      </c>
      <c r="Q3" s="15">
        <f t="shared" ref="Q3:Q37" si="9">(1+P3)*100000*1</f>
        <v>110000.00000000001</v>
      </c>
      <c r="R3" s="15">
        <v>0.06</v>
      </c>
      <c r="S3" s="15">
        <f t="shared" ref="S3:S37" si="10">(1+R3)*100000</f>
        <v>106000</v>
      </c>
      <c r="T3" s="15">
        <f t="shared" ref="T3:T37" si="11">(L3*S3)</f>
        <v>0.37204950495049499</v>
      </c>
      <c r="U3" s="15">
        <f t="shared" ref="U3:U37" si="12">((N3*O3)/((SQRT(Q3))-(SQRT(T3))))</f>
        <v>1.8154880876598352E-13</v>
      </c>
      <c r="V3" s="15">
        <f t="shared" ref="V3:V37" si="13">(U3*6.022E+23)</f>
        <v>109328692638.87527</v>
      </c>
      <c r="W3" s="6">
        <f t="shared" ref="W3:W37" si="14">(50/1000000)*100000</f>
        <v>5</v>
      </c>
      <c r="X3" s="15">
        <f t="shared" ref="X3:X37" si="15">(N3*O3)/(SQRT(Q3)-(2*SQRT(T3))+SQRT(W3))</f>
        <v>1.8066141116272208E-13</v>
      </c>
      <c r="Y3" s="15">
        <f t="shared" ref="Y3:Y37" si="16">(X3*6.022E+23)</f>
        <v>108794301802.19124</v>
      </c>
    </row>
    <row r="4" spans="1:25" x14ac:dyDescent="0.25">
      <c r="A4" s="14">
        <v>11</v>
      </c>
      <c r="B4" s="14">
        <f t="shared" si="1"/>
        <v>0.18333333333333332</v>
      </c>
      <c r="C4" s="14">
        <v>20</v>
      </c>
      <c r="D4" s="14">
        <f t="shared" si="0"/>
        <v>29.146000000000001</v>
      </c>
      <c r="E4" s="14">
        <f t="shared" si="2"/>
        <v>4.8576666666666667E-7</v>
      </c>
      <c r="F4" s="14">
        <v>21.1</v>
      </c>
      <c r="G4" s="14">
        <f t="shared" si="3"/>
        <v>294.10000000000002</v>
      </c>
      <c r="H4" s="14">
        <v>101.3</v>
      </c>
      <c r="I4" s="14">
        <f t="shared" si="4"/>
        <v>101300</v>
      </c>
      <c r="J4" s="14">
        <f t="shared" si="5"/>
        <v>2.0124824921938581E-5</v>
      </c>
      <c r="K4" s="33">
        <v>7.6683168316831694</v>
      </c>
      <c r="L4" s="15">
        <f t="shared" si="6"/>
        <v>7.6683168316831699E-6</v>
      </c>
      <c r="M4" s="14">
        <f t="shared" si="7"/>
        <v>4.7762865441819992E-3</v>
      </c>
      <c r="N4" s="37">
        <f t="shared" si="8"/>
        <v>6.4620718315805504E-8</v>
      </c>
      <c r="O4" s="37">
        <v>2.032E-3</v>
      </c>
      <c r="P4" s="15">
        <v>0.1</v>
      </c>
      <c r="Q4" s="15">
        <f t="shared" si="9"/>
        <v>110000.00000000001</v>
      </c>
      <c r="R4" s="15">
        <v>0.06</v>
      </c>
      <c r="S4" s="15">
        <f t="shared" si="10"/>
        <v>106000</v>
      </c>
      <c r="T4" s="15">
        <f t="shared" si="11"/>
        <v>0.81284158415841601</v>
      </c>
      <c r="U4" s="15">
        <f t="shared" si="12"/>
        <v>3.9699160003221988E-13</v>
      </c>
      <c r="V4" s="15">
        <f t="shared" si="13"/>
        <v>239068341539.40283</v>
      </c>
      <c r="W4" s="6">
        <f t="shared" si="14"/>
        <v>5</v>
      </c>
      <c r="X4" s="15">
        <f t="shared" si="15"/>
        <v>3.9539633068811108E-13</v>
      </c>
      <c r="Y4" s="15">
        <f t="shared" si="16"/>
        <v>238107670340.38049</v>
      </c>
    </row>
    <row r="5" spans="1:25" x14ac:dyDescent="0.25">
      <c r="A5" s="14">
        <v>16.5</v>
      </c>
      <c r="B5" s="14">
        <f t="shared" si="1"/>
        <v>0.27500000000000002</v>
      </c>
      <c r="C5" s="14">
        <v>20</v>
      </c>
      <c r="D5" s="14">
        <f t="shared" si="0"/>
        <v>29.146000000000001</v>
      </c>
      <c r="E5" s="14">
        <f t="shared" si="2"/>
        <v>4.8576666666666667E-7</v>
      </c>
      <c r="F5" s="14">
        <v>21.1</v>
      </c>
      <c r="G5" s="14">
        <f t="shared" si="3"/>
        <v>294.10000000000002</v>
      </c>
      <c r="H5" s="14">
        <v>101.3</v>
      </c>
      <c r="I5" s="14">
        <f t="shared" si="4"/>
        <v>101300</v>
      </c>
      <c r="J5" s="14">
        <f t="shared" si="5"/>
        <v>2.0124824921938581E-5</v>
      </c>
      <c r="K5" s="33">
        <v>6.0841584158415847</v>
      </c>
      <c r="L5" s="15">
        <f t="shared" si="6"/>
        <v>6.0841584158415846E-6</v>
      </c>
      <c r="M5" s="14">
        <f t="shared" si="7"/>
        <v>4.7762865441819992E-3</v>
      </c>
      <c r="N5" s="37">
        <f t="shared" si="8"/>
        <v>5.1271054105955424E-8</v>
      </c>
      <c r="O5" s="37">
        <v>2.032E-3</v>
      </c>
      <c r="P5" s="15">
        <v>0.1</v>
      </c>
      <c r="Q5" s="15">
        <f t="shared" si="9"/>
        <v>110000.00000000001</v>
      </c>
      <c r="R5" s="15">
        <v>0.06</v>
      </c>
      <c r="S5" s="15">
        <f t="shared" si="10"/>
        <v>106000</v>
      </c>
      <c r="T5" s="15">
        <f t="shared" si="11"/>
        <v>0.64492079207920794</v>
      </c>
      <c r="U5" s="15">
        <f t="shared" si="12"/>
        <v>3.1488535303538917E-13</v>
      </c>
      <c r="V5" s="15">
        <f t="shared" si="13"/>
        <v>189623959597.91138</v>
      </c>
      <c r="W5" s="6">
        <f t="shared" si="14"/>
        <v>5</v>
      </c>
      <c r="X5" s="15">
        <f t="shared" si="15"/>
        <v>3.1352742192557172E-13</v>
      </c>
      <c r="Y5" s="15">
        <f t="shared" si="16"/>
        <v>188806213483.57928</v>
      </c>
    </row>
    <row r="6" spans="1:25" x14ac:dyDescent="0.25">
      <c r="A6" s="14">
        <v>22</v>
      </c>
      <c r="B6" s="14">
        <f t="shared" si="1"/>
        <v>0.36666666666666664</v>
      </c>
      <c r="C6" s="14">
        <v>20</v>
      </c>
      <c r="D6" s="14">
        <f t="shared" si="0"/>
        <v>29.146000000000001</v>
      </c>
      <c r="E6" s="14">
        <f t="shared" si="2"/>
        <v>4.8576666666666667E-7</v>
      </c>
      <c r="F6" s="14">
        <v>21.1</v>
      </c>
      <c r="G6" s="14">
        <f t="shared" si="3"/>
        <v>294.10000000000002</v>
      </c>
      <c r="H6" s="14">
        <v>101.3</v>
      </c>
      <c r="I6" s="14">
        <f t="shared" si="4"/>
        <v>101300</v>
      </c>
      <c r="J6" s="14">
        <f t="shared" si="5"/>
        <v>2.0124824921938581E-5</v>
      </c>
      <c r="K6" s="33">
        <v>59.846534653465355</v>
      </c>
      <c r="L6" s="15">
        <f t="shared" si="6"/>
        <v>5.9846534653465356E-5</v>
      </c>
      <c r="M6" s="14">
        <f t="shared" si="7"/>
        <v>4.7762865441819992E-3</v>
      </c>
      <c r="N6" s="37">
        <f t="shared" si="8"/>
        <v>5.0432528322774228E-7</v>
      </c>
      <c r="O6" s="37">
        <v>2.032E-3</v>
      </c>
      <c r="P6" s="15">
        <v>0.1</v>
      </c>
      <c r="Q6" s="15">
        <f t="shared" si="9"/>
        <v>110000.00000000001</v>
      </c>
      <c r="R6" s="15">
        <v>0.06</v>
      </c>
      <c r="S6" s="15">
        <f t="shared" si="10"/>
        <v>106000</v>
      </c>
      <c r="T6" s="15">
        <f t="shared" si="11"/>
        <v>6.3437326732673274</v>
      </c>
      <c r="U6" s="15">
        <f t="shared" si="12"/>
        <v>3.1134992318432272E-12</v>
      </c>
      <c r="V6" s="15">
        <f t="shared" si="13"/>
        <v>1874949237415.9915</v>
      </c>
      <c r="W6" s="6">
        <f t="shared" si="14"/>
        <v>5</v>
      </c>
      <c r="X6" s="15">
        <f t="shared" si="15"/>
        <v>3.1161748356443819E-12</v>
      </c>
      <c r="Y6" s="15">
        <f t="shared" si="16"/>
        <v>1876560486025.0469</v>
      </c>
    </row>
    <row r="7" spans="1:25" x14ac:dyDescent="0.25">
      <c r="A7" s="14">
        <v>27.5</v>
      </c>
      <c r="B7" s="14">
        <f t="shared" si="1"/>
        <v>0.45833333333333331</v>
      </c>
      <c r="C7" s="14">
        <v>20</v>
      </c>
      <c r="D7" s="14">
        <f t="shared" si="0"/>
        <v>29.146000000000001</v>
      </c>
      <c r="E7" s="14">
        <f t="shared" si="2"/>
        <v>4.8576666666666667E-7</v>
      </c>
      <c r="F7" s="14">
        <v>21.1</v>
      </c>
      <c r="G7" s="14">
        <f t="shared" si="3"/>
        <v>294.10000000000002</v>
      </c>
      <c r="H7" s="14">
        <v>101.3</v>
      </c>
      <c r="I7" s="14">
        <f t="shared" si="4"/>
        <v>101300</v>
      </c>
      <c r="J7" s="14">
        <f t="shared" si="5"/>
        <v>2.0124824921938581E-5</v>
      </c>
      <c r="K7" s="33">
        <v>354.64851485148517</v>
      </c>
      <c r="L7" s="15">
        <f t="shared" si="6"/>
        <v>3.5464851485148517E-4</v>
      </c>
      <c r="M7" s="14">
        <f t="shared" si="7"/>
        <v>4.7762865441819992E-3</v>
      </c>
      <c r="N7" s="37">
        <f t="shared" si="8"/>
        <v>2.9886143572795289E-6</v>
      </c>
      <c r="O7" s="37">
        <v>2.032E-3</v>
      </c>
      <c r="P7" s="15">
        <v>0.1</v>
      </c>
      <c r="Q7" s="15">
        <f t="shared" si="9"/>
        <v>110000.00000000001</v>
      </c>
      <c r="R7" s="15">
        <v>0.06</v>
      </c>
      <c r="S7" s="15">
        <f t="shared" si="10"/>
        <v>106000</v>
      </c>
      <c r="T7" s="15">
        <f t="shared" si="11"/>
        <v>37.592742574257429</v>
      </c>
      <c r="U7" s="15">
        <f t="shared" si="12"/>
        <v>1.8655246002059643E-11</v>
      </c>
      <c r="V7" s="15">
        <f t="shared" si="13"/>
        <v>11234189142440.318</v>
      </c>
      <c r="W7" s="6">
        <f t="shared" si="14"/>
        <v>5</v>
      </c>
      <c r="X7" s="15">
        <f t="shared" si="15"/>
        <v>1.888117336175825E-11</v>
      </c>
      <c r="Y7" s="15">
        <f t="shared" si="16"/>
        <v>11370242598450.818</v>
      </c>
    </row>
    <row r="8" spans="1:25" x14ac:dyDescent="0.25">
      <c r="A8" s="14">
        <v>33</v>
      </c>
      <c r="B8" s="14">
        <f t="shared" si="1"/>
        <v>0.55000000000000004</v>
      </c>
      <c r="C8" s="14">
        <v>20</v>
      </c>
      <c r="D8" s="14">
        <f t="shared" si="0"/>
        <v>29.146000000000001</v>
      </c>
      <c r="E8" s="14">
        <f t="shared" si="2"/>
        <v>4.8576666666666667E-7</v>
      </c>
      <c r="F8" s="14">
        <v>21.1</v>
      </c>
      <c r="G8" s="14">
        <f t="shared" si="3"/>
        <v>294.10000000000002</v>
      </c>
      <c r="H8" s="14">
        <v>101.3</v>
      </c>
      <c r="I8" s="14">
        <f t="shared" si="4"/>
        <v>101300</v>
      </c>
      <c r="J8" s="14">
        <f t="shared" si="5"/>
        <v>2.0124824921938581E-5</v>
      </c>
      <c r="K8" s="33">
        <v>676.48019801980195</v>
      </c>
      <c r="L8" s="15">
        <f t="shared" si="6"/>
        <v>6.7648019801980197E-4</v>
      </c>
      <c r="M8" s="14">
        <f t="shared" si="7"/>
        <v>4.7762865441819992E-3</v>
      </c>
      <c r="N8" s="37">
        <f t="shared" si="8"/>
        <v>5.7006820769118819E-6</v>
      </c>
      <c r="O8" s="37">
        <v>2.032E-3</v>
      </c>
      <c r="P8" s="15">
        <v>0.1</v>
      </c>
      <c r="Q8" s="15">
        <f t="shared" si="9"/>
        <v>110000.00000000001</v>
      </c>
      <c r="R8" s="15">
        <v>0.06</v>
      </c>
      <c r="S8" s="15">
        <f t="shared" si="10"/>
        <v>106000</v>
      </c>
      <c r="T8" s="15">
        <f t="shared" si="11"/>
        <v>71.706900990099015</v>
      </c>
      <c r="U8" s="15">
        <f t="shared" si="12"/>
        <v>3.5841533415198179E-11</v>
      </c>
      <c r="V8" s="15">
        <f t="shared" si="13"/>
        <v>21583771422632.344</v>
      </c>
      <c r="W8" s="6">
        <f t="shared" si="14"/>
        <v>5</v>
      </c>
      <c r="X8" s="15">
        <f t="shared" si="15"/>
        <v>3.6546227806913556E-11</v>
      </c>
      <c r="Y8" s="15">
        <f t="shared" si="16"/>
        <v>22008138385323.344</v>
      </c>
    </row>
    <row r="9" spans="1:25" x14ac:dyDescent="0.25">
      <c r="A9" s="14">
        <v>38.5</v>
      </c>
      <c r="B9" s="14">
        <f t="shared" si="1"/>
        <v>0.64166666666666672</v>
      </c>
      <c r="C9" s="14">
        <v>20</v>
      </c>
      <c r="D9" s="14">
        <f t="shared" si="0"/>
        <v>29.146000000000001</v>
      </c>
      <c r="E9" s="14">
        <f t="shared" si="2"/>
        <v>4.8576666666666667E-7</v>
      </c>
      <c r="F9" s="14">
        <v>21.1</v>
      </c>
      <c r="G9" s="14">
        <f t="shared" si="3"/>
        <v>294.10000000000002</v>
      </c>
      <c r="H9" s="14">
        <v>101.3</v>
      </c>
      <c r="I9" s="14">
        <f t="shared" si="4"/>
        <v>101300</v>
      </c>
      <c r="J9" s="14">
        <f t="shared" si="5"/>
        <v>2.0124824921938581E-5</v>
      </c>
      <c r="K9" s="33">
        <v>990.01980198019805</v>
      </c>
      <c r="L9" s="15">
        <f t="shared" si="6"/>
        <v>9.9001980198019815E-4</v>
      </c>
      <c r="M9" s="14">
        <f t="shared" si="7"/>
        <v>4.7762865441819992E-3</v>
      </c>
      <c r="N9" s="37">
        <f t="shared" si="8"/>
        <v>8.3428726479458027E-6</v>
      </c>
      <c r="O9" s="37">
        <v>2.032E-3</v>
      </c>
      <c r="P9" s="15">
        <v>0.1</v>
      </c>
      <c r="Q9" s="15">
        <f t="shared" si="9"/>
        <v>110000.00000000001</v>
      </c>
      <c r="R9" s="15">
        <v>0.06</v>
      </c>
      <c r="S9" s="15">
        <f t="shared" si="10"/>
        <v>106000</v>
      </c>
      <c r="T9" s="15">
        <f t="shared" si="11"/>
        <v>104.942099009901</v>
      </c>
      <c r="U9" s="15">
        <f t="shared" si="12"/>
        <v>5.2743463504530561E-11</v>
      </c>
      <c r="V9" s="15">
        <f t="shared" si="13"/>
        <v>31762113722428.305</v>
      </c>
      <c r="W9" s="6">
        <f t="shared" si="14"/>
        <v>5</v>
      </c>
      <c r="X9" s="15">
        <f t="shared" si="15"/>
        <v>5.4091130357630624E-11</v>
      </c>
      <c r="Y9" s="15">
        <f t="shared" si="16"/>
        <v>32573678701365.164</v>
      </c>
    </row>
    <row r="10" spans="1:25" x14ac:dyDescent="0.25">
      <c r="A10" s="14">
        <v>44</v>
      </c>
      <c r="B10" s="14">
        <f t="shared" si="1"/>
        <v>0.73333333333333328</v>
      </c>
      <c r="C10" s="14">
        <v>20</v>
      </c>
      <c r="D10" s="14">
        <f t="shared" si="0"/>
        <v>29.146000000000001</v>
      </c>
      <c r="E10" s="14">
        <f t="shared" si="2"/>
        <v>4.8576666666666667E-7</v>
      </c>
      <c r="F10" s="14">
        <v>21.1</v>
      </c>
      <c r="G10" s="14">
        <f t="shared" si="3"/>
        <v>294.10000000000002</v>
      </c>
      <c r="H10" s="14">
        <v>101.3</v>
      </c>
      <c r="I10" s="14">
        <f t="shared" si="4"/>
        <v>101300</v>
      </c>
      <c r="J10" s="14">
        <f t="shared" si="5"/>
        <v>2.0124824921938581E-5</v>
      </c>
      <c r="K10" s="33">
        <v>1224.0049504950496</v>
      </c>
      <c r="L10" s="15">
        <f t="shared" si="6"/>
        <v>1.2240049504950495E-3</v>
      </c>
      <c r="M10" s="14">
        <f t="shared" si="7"/>
        <v>4.7762865441819992E-3</v>
      </c>
      <c r="N10" s="37">
        <f t="shared" si="8"/>
        <v>1.0314659769441313E-5</v>
      </c>
      <c r="O10" s="37">
        <v>2.032E-3</v>
      </c>
      <c r="P10" s="15">
        <v>0.1</v>
      </c>
      <c r="Q10" s="15">
        <f t="shared" si="9"/>
        <v>110000.00000000001</v>
      </c>
      <c r="R10" s="15">
        <v>0.06</v>
      </c>
      <c r="S10" s="15">
        <f t="shared" si="10"/>
        <v>106000</v>
      </c>
      <c r="T10" s="15">
        <f t="shared" si="11"/>
        <v>129.74452475247526</v>
      </c>
      <c r="U10" s="15">
        <f t="shared" si="12"/>
        <v>6.5442477004725655E-11</v>
      </c>
      <c r="V10" s="15">
        <f t="shared" si="13"/>
        <v>39409459652245.789</v>
      </c>
      <c r="W10" s="6">
        <f t="shared" si="14"/>
        <v>5</v>
      </c>
      <c r="X10" s="15">
        <f t="shared" si="15"/>
        <v>6.7368089557115511E-11</v>
      </c>
      <c r="Y10" s="15">
        <f t="shared" si="16"/>
        <v>40569063531294.961</v>
      </c>
    </row>
    <row r="11" spans="1:25" x14ac:dyDescent="0.25">
      <c r="A11" s="14">
        <v>49.5</v>
      </c>
      <c r="B11" s="14">
        <f t="shared" si="1"/>
        <v>0.82499999999999996</v>
      </c>
      <c r="C11" s="14">
        <v>20</v>
      </c>
      <c r="D11" s="14">
        <f t="shared" si="0"/>
        <v>29.146000000000001</v>
      </c>
      <c r="E11" s="14">
        <f t="shared" si="2"/>
        <v>4.8576666666666667E-7</v>
      </c>
      <c r="F11" s="14">
        <v>21.1</v>
      </c>
      <c r="G11" s="14">
        <f t="shared" si="3"/>
        <v>294.10000000000002</v>
      </c>
      <c r="H11" s="14">
        <v>101.3</v>
      </c>
      <c r="I11" s="14">
        <f t="shared" si="4"/>
        <v>101300</v>
      </c>
      <c r="J11" s="14">
        <f t="shared" si="5"/>
        <v>2.0124824921938581E-5</v>
      </c>
      <c r="K11" s="33">
        <v>1386.950495049505</v>
      </c>
      <c r="L11" s="15">
        <f t="shared" si="6"/>
        <v>1.3869504950495049E-3</v>
      </c>
      <c r="M11" s="14">
        <f t="shared" si="7"/>
        <v>4.7762865441819992E-3</v>
      </c>
      <c r="N11" s="37">
        <f t="shared" si="8"/>
        <v>1.168779788652636E-5</v>
      </c>
      <c r="O11" s="37">
        <v>2.032E-3</v>
      </c>
      <c r="P11" s="15">
        <v>0.1</v>
      </c>
      <c r="Q11" s="15">
        <f t="shared" si="9"/>
        <v>110000.00000000001</v>
      </c>
      <c r="R11" s="15">
        <v>0.06</v>
      </c>
      <c r="S11" s="15">
        <f t="shared" si="10"/>
        <v>106000</v>
      </c>
      <c r="T11" s="15">
        <f t="shared" si="11"/>
        <v>147.01675247524753</v>
      </c>
      <c r="U11" s="15">
        <f t="shared" si="12"/>
        <v>7.4324955034225754E-11</v>
      </c>
      <c r="V11" s="15">
        <f t="shared" si="13"/>
        <v>44758487921610.75</v>
      </c>
      <c r="W11" s="6">
        <f t="shared" si="14"/>
        <v>5</v>
      </c>
      <c r="X11" s="15">
        <f t="shared" si="15"/>
        <v>7.6698607716802854E-11</v>
      </c>
      <c r="Y11" s="15">
        <f t="shared" si="16"/>
        <v>46187901567058.68</v>
      </c>
    </row>
    <row r="12" spans="1:25" x14ac:dyDescent="0.25">
      <c r="A12" s="14">
        <v>55</v>
      </c>
      <c r="B12" s="14">
        <f t="shared" si="1"/>
        <v>0.91666666666666663</v>
      </c>
      <c r="C12" s="14">
        <v>20</v>
      </c>
      <c r="D12" s="14">
        <f t="shared" si="0"/>
        <v>29.146000000000001</v>
      </c>
      <c r="E12" s="14">
        <f t="shared" si="2"/>
        <v>4.8576666666666667E-7</v>
      </c>
      <c r="F12" s="14">
        <v>21.1</v>
      </c>
      <c r="G12" s="14">
        <f t="shared" si="3"/>
        <v>294.10000000000002</v>
      </c>
      <c r="H12" s="14">
        <v>101.3</v>
      </c>
      <c r="I12" s="14">
        <f t="shared" si="4"/>
        <v>101300</v>
      </c>
      <c r="J12" s="14">
        <f t="shared" si="5"/>
        <v>2.0124824921938581E-5</v>
      </c>
      <c r="K12" s="33">
        <v>1512.3960396039604</v>
      </c>
      <c r="L12" s="15">
        <f t="shared" si="6"/>
        <v>1.5123960396039604E-3</v>
      </c>
      <c r="M12" s="14">
        <f t="shared" si="7"/>
        <v>4.7762865441819992E-3</v>
      </c>
      <c r="N12" s="37">
        <f t="shared" si="8"/>
        <v>1.2744924421143863E-5</v>
      </c>
      <c r="O12" s="37">
        <v>2.032E-3</v>
      </c>
      <c r="P12" s="15">
        <v>0.1</v>
      </c>
      <c r="Q12" s="15">
        <f t="shared" si="9"/>
        <v>110000.00000000001</v>
      </c>
      <c r="R12" s="15">
        <v>0.06</v>
      </c>
      <c r="S12" s="15">
        <f t="shared" si="10"/>
        <v>106000</v>
      </c>
      <c r="T12" s="15">
        <f t="shared" si="11"/>
        <v>160.31398019801981</v>
      </c>
      <c r="U12" s="15">
        <f t="shared" si="12"/>
        <v>8.1183724820703829E-11</v>
      </c>
      <c r="V12" s="15">
        <f t="shared" si="13"/>
        <v>48888839087027.852</v>
      </c>
      <c r="W12" s="6">
        <f t="shared" si="14"/>
        <v>5</v>
      </c>
      <c r="X12" s="15">
        <f t="shared" si="15"/>
        <v>8.3926575881468652E-11</v>
      </c>
      <c r="Y12" s="15">
        <f t="shared" si="16"/>
        <v>50540583995820.422</v>
      </c>
    </row>
    <row r="13" spans="1:25" x14ac:dyDescent="0.25">
      <c r="A13" s="14">
        <v>60.5</v>
      </c>
      <c r="B13" s="14">
        <f t="shared" si="1"/>
        <v>1.0083333333333333</v>
      </c>
      <c r="C13" s="14">
        <v>20</v>
      </c>
      <c r="D13" s="14">
        <f t="shared" si="0"/>
        <v>29.146000000000001</v>
      </c>
      <c r="E13" s="14">
        <f t="shared" si="2"/>
        <v>4.8576666666666667E-7</v>
      </c>
      <c r="F13" s="14">
        <v>21.1</v>
      </c>
      <c r="G13" s="14">
        <f t="shared" si="3"/>
        <v>294.10000000000002</v>
      </c>
      <c r="H13" s="14">
        <v>101.3</v>
      </c>
      <c r="I13" s="14">
        <f t="shared" si="4"/>
        <v>101300</v>
      </c>
      <c r="J13" s="14">
        <f t="shared" si="5"/>
        <v>2.0124824921938581E-5</v>
      </c>
      <c r="K13" s="33">
        <v>1556.2574257425742</v>
      </c>
      <c r="L13" s="15">
        <f t="shared" si="6"/>
        <v>1.5562574257425741E-3</v>
      </c>
      <c r="M13" s="14">
        <f t="shared" si="7"/>
        <v>4.7762865441819992E-3</v>
      </c>
      <c r="N13" s="37">
        <f t="shared" si="8"/>
        <v>1.3114543248954085E-5</v>
      </c>
      <c r="O13" s="37">
        <v>2.032E-3</v>
      </c>
      <c r="P13" s="15">
        <v>0.1</v>
      </c>
      <c r="Q13" s="15">
        <f t="shared" si="9"/>
        <v>110000.00000000001</v>
      </c>
      <c r="R13" s="15">
        <v>0.06</v>
      </c>
      <c r="S13" s="15">
        <f t="shared" si="10"/>
        <v>106000</v>
      </c>
      <c r="T13" s="15">
        <f t="shared" si="11"/>
        <v>164.96328712871286</v>
      </c>
      <c r="U13" s="15">
        <f t="shared" si="12"/>
        <v>8.3585918651559946E-11</v>
      </c>
      <c r="V13" s="15">
        <f t="shared" si="13"/>
        <v>50335440211969.398</v>
      </c>
      <c r="W13" s="6">
        <f t="shared" si="14"/>
        <v>5</v>
      </c>
      <c r="X13" s="15">
        <f t="shared" si="15"/>
        <v>8.6462705939472871E-11</v>
      </c>
      <c r="Y13" s="15">
        <f t="shared" si="16"/>
        <v>52067841516750.563</v>
      </c>
    </row>
    <row r="14" spans="1:25" x14ac:dyDescent="0.25">
      <c r="A14" s="14">
        <v>66</v>
      </c>
      <c r="B14" s="14">
        <f t="shared" si="1"/>
        <v>1.1000000000000001</v>
      </c>
      <c r="C14" s="14">
        <v>20</v>
      </c>
      <c r="D14" s="14">
        <f t="shared" si="0"/>
        <v>29.146000000000001</v>
      </c>
      <c r="E14" s="14">
        <f t="shared" si="2"/>
        <v>4.8576666666666667E-7</v>
      </c>
      <c r="F14" s="14">
        <v>21.1</v>
      </c>
      <c r="G14" s="14">
        <f t="shared" si="3"/>
        <v>294.10000000000002</v>
      </c>
      <c r="H14" s="14">
        <v>101.3</v>
      </c>
      <c r="I14" s="14">
        <f t="shared" si="4"/>
        <v>101300</v>
      </c>
      <c r="J14" s="14">
        <f t="shared" si="5"/>
        <v>2.0124824921938581E-5</v>
      </c>
      <c r="K14" s="33">
        <v>1601.5049504950496</v>
      </c>
      <c r="L14" s="15">
        <f t="shared" si="6"/>
        <v>1.6015049504950495E-3</v>
      </c>
      <c r="M14" s="14">
        <f t="shared" si="7"/>
        <v>4.7762865441819992E-3</v>
      </c>
      <c r="N14" s="37">
        <f t="shared" si="8"/>
        <v>1.3495843032947928E-5</v>
      </c>
      <c r="O14" s="37">
        <v>2.032E-3</v>
      </c>
      <c r="P14" s="15">
        <v>0.1</v>
      </c>
      <c r="Q14" s="15">
        <f t="shared" si="9"/>
        <v>110000.00000000001</v>
      </c>
      <c r="R14" s="15">
        <v>0.06</v>
      </c>
      <c r="S14" s="15">
        <f t="shared" si="10"/>
        <v>106000</v>
      </c>
      <c r="T14" s="15">
        <f t="shared" si="11"/>
        <v>169.75952475247524</v>
      </c>
      <c r="U14" s="15">
        <f t="shared" si="12"/>
        <v>8.60661867537475E-11</v>
      </c>
      <c r="V14" s="15">
        <f t="shared" si="13"/>
        <v>51829057663106.75</v>
      </c>
      <c r="W14" s="6">
        <f t="shared" si="14"/>
        <v>5</v>
      </c>
      <c r="X14" s="15">
        <f t="shared" si="15"/>
        <v>8.9083732904056375E-11</v>
      </c>
      <c r="Y14" s="15">
        <f t="shared" si="16"/>
        <v>53646223954822.75</v>
      </c>
    </row>
    <row r="15" spans="1:25" x14ac:dyDescent="0.25">
      <c r="A15" s="14">
        <v>71.5</v>
      </c>
      <c r="B15" s="14">
        <f t="shared" si="1"/>
        <v>1.1916666666666667</v>
      </c>
      <c r="C15" s="14">
        <v>20</v>
      </c>
      <c r="D15" s="14">
        <f t="shared" si="0"/>
        <v>29.146000000000001</v>
      </c>
      <c r="E15" s="14">
        <f t="shared" si="2"/>
        <v>4.8576666666666667E-7</v>
      </c>
      <c r="F15" s="14">
        <v>21.1</v>
      </c>
      <c r="G15" s="14">
        <f t="shared" si="3"/>
        <v>294.10000000000002</v>
      </c>
      <c r="H15" s="14">
        <v>101.3</v>
      </c>
      <c r="I15" s="14">
        <f t="shared" si="4"/>
        <v>101300</v>
      </c>
      <c r="J15" s="14">
        <f t="shared" si="5"/>
        <v>2.0124824921938581E-5</v>
      </c>
      <c r="K15" s="33">
        <v>1637.8415841584156</v>
      </c>
      <c r="L15" s="15">
        <f t="shared" si="6"/>
        <v>1.6378415841584156E-3</v>
      </c>
      <c r="M15" s="14">
        <f t="shared" si="7"/>
        <v>4.7762865441819992E-3</v>
      </c>
      <c r="N15" s="37">
        <f t="shared" si="8"/>
        <v>1.3802050955761362E-5</v>
      </c>
      <c r="O15" s="37">
        <v>2.032E-3</v>
      </c>
      <c r="P15" s="15">
        <v>0.1</v>
      </c>
      <c r="Q15" s="15">
        <f t="shared" si="9"/>
        <v>110000.00000000001</v>
      </c>
      <c r="R15" s="15">
        <v>0.06</v>
      </c>
      <c r="S15" s="15">
        <f t="shared" si="10"/>
        <v>106000</v>
      </c>
      <c r="T15" s="15">
        <f t="shared" si="11"/>
        <v>173.61120792079205</v>
      </c>
      <c r="U15" s="15">
        <f t="shared" si="12"/>
        <v>8.8059567767568361E-11</v>
      </c>
      <c r="V15" s="15">
        <f t="shared" si="13"/>
        <v>53029471709629.672</v>
      </c>
      <c r="W15" s="6">
        <f t="shared" si="14"/>
        <v>5</v>
      </c>
      <c r="X15" s="15">
        <f t="shared" si="15"/>
        <v>9.1192039396125207E-11</v>
      </c>
      <c r="Y15" s="15">
        <f t="shared" si="16"/>
        <v>54915846124346.602</v>
      </c>
    </row>
    <row r="16" spans="1:25" x14ac:dyDescent="0.25">
      <c r="A16" s="14">
        <v>77</v>
      </c>
      <c r="B16" s="14">
        <f t="shared" si="1"/>
        <v>1.2833333333333334</v>
      </c>
      <c r="C16" s="14">
        <v>20</v>
      </c>
      <c r="D16" s="14">
        <f t="shared" si="0"/>
        <v>29.146000000000001</v>
      </c>
      <c r="E16" s="14">
        <f t="shared" si="2"/>
        <v>4.8576666666666667E-7</v>
      </c>
      <c r="F16" s="14">
        <v>21.1</v>
      </c>
      <c r="G16" s="14">
        <f t="shared" si="3"/>
        <v>294.10000000000002</v>
      </c>
      <c r="H16" s="14">
        <v>101.3</v>
      </c>
      <c r="I16" s="14">
        <f t="shared" si="4"/>
        <v>101300</v>
      </c>
      <c r="J16" s="14">
        <f t="shared" si="5"/>
        <v>2.0124824921938581E-5</v>
      </c>
      <c r="K16" s="33">
        <v>1646.7524752475249</v>
      </c>
      <c r="L16" s="15">
        <f t="shared" si="6"/>
        <v>1.646752475247525E-3</v>
      </c>
      <c r="M16" s="14">
        <f t="shared" si="7"/>
        <v>4.7762865441819992E-3</v>
      </c>
      <c r="N16" s="37">
        <f t="shared" si="8"/>
        <v>1.3877142816941773E-5</v>
      </c>
      <c r="O16" s="37">
        <v>2.032E-3</v>
      </c>
      <c r="P16" s="15">
        <v>0.1</v>
      </c>
      <c r="Q16" s="15">
        <f t="shared" si="9"/>
        <v>110000.00000000001</v>
      </c>
      <c r="R16" s="15">
        <v>0.06</v>
      </c>
      <c r="S16" s="15">
        <f t="shared" si="10"/>
        <v>106000</v>
      </c>
      <c r="T16" s="15">
        <f t="shared" si="11"/>
        <v>174.55576237623765</v>
      </c>
      <c r="U16" s="15">
        <f t="shared" si="12"/>
        <v>8.8548619332334085E-11</v>
      </c>
      <c r="V16" s="15">
        <f t="shared" si="13"/>
        <v>53323978561931.586</v>
      </c>
      <c r="W16" s="6">
        <f t="shared" si="14"/>
        <v>5</v>
      </c>
      <c r="X16" s="15">
        <f t="shared" si="15"/>
        <v>9.1709529376800329E-11</v>
      </c>
      <c r="Y16" s="15">
        <f t="shared" si="16"/>
        <v>55227478590709.164</v>
      </c>
    </row>
    <row r="17" spans="1:25" x14ac:dyDescent="0.25">
      <c r="A17" s="14">
        <v>82.5</v>
      </c>
      <c r="B17" s="14">
        <f t="shared" si="1"/>
        <v>1.375</v>
      </c>
      <c r="C17" s="14">
        <v>20</v>
      </c>
      <c r="D17" s="14">
        <f t="shared" si="0"/>
        <v>29.146000000000001</v>
      </c>
      <c r="E17" s="14">
        <f t="shared" si="2"/>
        <v>4.8576666666666667E-7</v>
      </c>
      <c r="F17" s="14">
        <v>21.1</v>
      </c>
      <c r="G17" s="14">
        <f t="shared" si="3"/>
        <v>294.10000000000002</v>
      </c>
      <c r="H17" s="14">
        <v>101.3</v>
      </c>
      <c r="I17" s="14">
        <f t="shared" si="4"/>
        <v>101300</v>
      </c>
      <c r="J17" s="14">
        <f t="shared" si="5"/>
        <v>2.0124824921938581E-5</v>
      </c>
      <c r="K17" s="33">
        <v>1643.8564356435645</v>
      </c>
      <c r="L17" s="15">
        <f t="shared" si="6"/>
        <v>1.6438564356435646E-3</v>
      </c>
      <c r="M17" s="14">
        <f t="shared" si="7"/>
        <v>4.7762865441819992E-3</v>
      </c>
      <c r="N17" s="37">
        <f t="shared" si="8"/>
        <v>1.3852737962058141E-5</v>
      </c>
      <c r="O17" s="37">
        <v>2.032E-3</v>
      </c>
      <c r="P17" s="15">
        <v>0.1</v>
      </c>
      <c r="Q17" s="15">
        <f t="shared" si="9"/>
        <v>110000.00000000001</v>
      </c>
      <c r="R17" s="15">
        <v>0.06</v>
      </c>
      <c r="S17" s="15">
        <f t="shared" si="10"/>
        <v>106000</v>
      </c>
      <c r="T17" s="15">
        <f t="shared" si="11"/>
        <v>174.24878217821785</v>
      </c>
      <c r="U17" s="15">
        <f t="shared" si="12"/>
        <v>8.8389668469999274E-11</v>
      </c>
      <c r="V17" s="15">
        <f t="shared" si="13"/>
        <v>53228258352633.563</v>
      </c>
      <c r="W17" s="6">
        <f t="shared" si="14"/>
        <v>5</v>
      </c>
      <c r="X17" s="15">
        <f t="shared" si="15"/>
        <v>9.1541325042091755E-11</v>
      </c>
      <c r="Y17" s="15">
        <f t="shared" si="16"/>
        <v>55126185940347.656</v>
      </c>
    </row>
    <row r="18" spans="1:25" x14ac:dyDescent="0.25">
      <c r="A18" s="14">
        <v>88</v>
      </c>
      <c r="B18" s="14">
        <f t="shared" si="1"/>
        <v>1.4666666666666666</v>
      </c>
      <c r="C18" s="14">
        <v>20</v>
      </c>
      <c r="D18" s="14">
        <f t="shared" si="0"/>
        <v>29.146000000000001</v>
      </c>
      <c r="E18" s="14">
        <f t="shared" si="2"/>
        <v>4.8576666666666667E-7</v>
      </c>
      <c r="F18" s="14">
        <v>21.1</v>
      </c>
      <c r="G18" s="14">
        <f t="shared" si="3"/>
        <v>294.10000000000002</v>
      </c>
      <c r="H18" s="14">
        <v>101.3</v>
      </c>
      <c r="I18" s="14">
        <f t="shared" si="4"/>
        <v>101300</v>
      </c>
      <c r="J18" s="14">
        <f t="shared" si="5"/>
        <v>2.0124824921938581E-5</v>
      </c>
      <c r="K18" s="38">
        <v>1668.1386138613861</v>
      </c>
      <c r="L18" s="15">
        <f t="shared" si="6"/>
        <v>1.6681386138613862E-3</v>
      </c>
      <c r="M18" s="14">
        <f t="shared" si="7"/>
        <v>4.7762865441819992E-3</v>
      </c>
      <c r="N18" s="52">
        <f t="shared" si="8"/>
        <v>1.4057363283774747E-5</v>
      </c>
      <c r="O18" s="37">
        <v>2.032E-3</v>
      </c>
      <c r="P18" s="15">
        <v>0.1</v>
      </c>
      <c r="Q18" s="15">
        <f t="shared" si="9"/>
        <v>110000.00000000001</v>
      </c>
      <c r="R18" s="15">
        <v>0.06</v>
      </c>
      <c r="S18" s="15">
        <f t="shared" si="10"/>
        <v>106000</v>
      </c>
      <c r="T18" s="15">
        <f t="shared" si="11"/>
        <v>176.82269306930695</v>
      </c>
      <c r="U18" s="16">
        <f t="shared" si="12"/>
        <v>8.9722680980049946E-11</v>
      </c>
      <c r="V18" s="16">
        <f t="shared" si="13"/>
        <v>54030998486186.078</v>
      </c>
      <c r="W18" s="6">
        <f t="shared" si="14"/>
        <v>5</v>
      </c>
      <c r="X18" s="16">
        <f t="shared" si="15"/>
        <v>9.2952251238128121E-11</v>
      </c>
      <c r="Y18" s="16">
        <f t="shared" si="16"/>
        <v>55975845695600.758</v>
      </c>
    </row>
    <row r="19" spans="1:25" x14ac:dyDescent="0.25">
      <c r="A19" s="14">
        <v>93.5</v>
      </c>
      <c r="B19" s="14">
        <f t="shared" si="1"/>
        <v>1.5583333333333333</v>
      </c>
      <c r="C19" s="14">
        <v>20</v>
      </c>
      <c r="D19" s="14">
        <f t="shared" si="0"/>
        <v>29.146000000000001</v>
      </c>
      <c r="E19" s="14">
        <f t="shared" si="2"/>
        <v>4.8576666666666667E-7</v>
      </c>
      <c r="F19" s="14">
        <v>21.1</v>
      </c>
      <c r="G19" s="14">
        <f t="shared" si="3"/>
        <v>294.10000000000002</v>
      </c>
      <c r="H19" s="14">
        <v>101.3</v>
      </c>
      <c r="I19" s="14">
        <f t="shared" si="4"/>
        <v>101300</v>
      </c>
      <c r="J19" s="14">
        <f t="shared" si="5"/>
        <v>2.0124824921938581E-5</v>
      </c>
      <c r="K19" s="38">
        <v>1681.6534653465346</v>
      </c>
      <c r="L19" s="15">
        <f t="shared" si="6"/>
        <v>1.6816534653465347E-3</v>
      </c>
      <c r="M19" s="14">
        <f t="shared" si="7"/>
        <v>4.7762865441819992E-3</v>
      </c>
      <c r="N19" s="52">
        <f t="shared" si="8"/>
        <v>1.4171252606565032E-5</v>
      </c>
      <c r="O19" s="37">
        <v>2.032E-3</v>
      </c>
      <c r="P19" s="15">
        <v>0.1</v>
      </c>
      <c r="Q19" s="15">
        <f t="shared" si="9"/>
        <v>110000.00000000001</v>
      </c>
      <c r="R19" s="15">
        <v>0.06</v>
      </c>
      <c r="S19" s="15">
        <f t="shared" si="10"/>
        <v>106000</v>
      </c>
      <c r="T19" s="15">
        <f t="shared" si="11"/>
        <v>178.25526732673268</v>
      </c>
      <c r="U19" s="16">
        <f t="shared" si="12"/>
        <v>9.0464867732660289E-11</v>
      </c>
      <c r="V19" s="16">
        <f t="shared" si="13"/>
        <v>54477943348608.031</v>
      </c>
      <c r="W19" s="6">
        <f t="shared" si="14"/>
        <v>5</v>
      </c>
      <c r="X19" s="16">
        <f t="shared" si="15"/>
        <v>9.3738123583066805E-11</v>
      </c>
      <c r="Y19" s="16">
        <f t="shared" si="16"/>
        <v>56449098021722.836</v>
      </c>
    </row>
    <row r="20" spans="1:25" x14ac:dyDescent="0.25">
      <c r="A20" s="14">
        <v>99</v>
      </c>
      <c r="B20" s="14">
        <f t="shared" si="1"/>
        <v>1.65</v>
      </c>
      <c r="C20" s="14">
        <v>20</v>
      </c>
      <c r="D20" s="14">
        <f t="shared" si="0"/>
        <v>29.146000000000001</v>
      </c>
      <c r="E20" s="14">
        <f t="shared" si="2"/>
        <v>4.8576666666666667E-7</v>
      </c>
      <c r="F20" s="14">
        <v>21.1</v>
      </c>
      <c r="G20" s="14">
        <f t="shared" si="3"/>
        <v>294.10000000000002</v>
      </c>
      <c r="H20" s="14">
        <v>101.3</v>
      </c>
      <c r="I20" s="14">
        <f t="shared" si="4"/>
        <v>101300</v>
      </c>
      <c r="J20" s="14">
        <f t="shared" si="5"/>
        <v>2.0124824921938581E-5</v>
      </c>
      <c r="K20" s="38">
        <v>1669.5</v>
      </c>
      <c r="L20" s="15">
        <f t="shared" si="6"/>
        <v>1.6695E-3</v>
      </c>
      <c r="M20" s="14">
        <f t="shared" si="7"/>
        <v>4.7762865441819992E-3</v>
      </c>
      <c r="N20" s="52">
        <f t="shared" si="8"/>
        <v>1.4068835651455087E-5</v>
      </c>
      <c r="O20" s="37">
        <v>2.032E-3</v>
      </c>
      <c r="P20" s="15">
        <v>0.1</v>
      </c>
      <c r="Q20" s="15">
        <f t="shared" si="9"/>
        <v>110000.00000000001</v>
      </c>
      <c r="R20" s="15">
        <v>0.06</v>
      </c>
      <c r="S20" s="15">
        <f t="shared" si="10"/>
        <v>106000</v>
      </c>
      <c r="T20" s="15">
        <f t="shared" si="11"/>
        <v>176.96699999999998</v>
      </c>
      <c r="U20" s="16">
        <f t="shared" si="12"/>
        <v>8.9797434804578401E-11</v>
      </c>
      <c r="V20" s="16">
        <f t="shared" si="13"/>
        <v>54076015239317.117</v>
      </c>
      <c r="W20" s="6">
        <f t="shared" si="14"/>
        <v>5</v>
      </c>
      <c r="X20" s="16">
        <f t="shared" si="15"/>
        <v>9.3031395253416938E-11</v>
      </c>
      <c r="Y20" s="16">
        <f t="shared" si="16"/>
        <v>56023506221607.68</v>
      </c>
    </row>
    <row r="21" spans="1:25" x14ac:dyDescent="0.25">
      <c r="A21" s="14">
        <v>104.5</v>
      </c>
      <c r="B21" s="14">
        <f t="shared" si="1"/>
        <v>1.7416666666666667</v>
      </c>
      <c r="C21" s="14">
        <v>20</v>
      </c>
      <c r="D21" s="14">
        <f t="shared" si="0"/>
        <v>29.146000000000001</v>
      </c>
      <c r="E21" s="14">
        <f t="shared" si="2"/>
        <v>4.8576666666666667E-7</v>
      </c>
      <c r="F21" s="14">
        <v>21.1</v>
      </c>
      <c r="G21" s="14">
        <f t="shared" si="3"/>
        <v>294.10000000000002</v>
      </c>
      <c r="H21" s="14">
        <v>101.3</v>
      </c>
      <c r="I21" s="14">
        <f t="shared" si="4"/>
        <v>101300</v>
      </c>
      <c r="J21" s="14">
        <f t="shared" si="5"/>
        <v>2.0124824921938581E-5</v>
      </c>
      <c r="K21" s="38">
        <v>1683.4356435643565</v>
      </c>
      <c r="L21" s="15">
        <f t="shared" si="6"/>
        <v>1.6834356435643566E-3</v>
      </c>
      <c r="M21" s="14">
        <f t="shared" si="7"/>
        <v>4.7762865441819992E-3</v>
      </c>
      <c r="N21" s="52">
        <f t="shared" si="8"/>
        <v>1.4186270978801114E-5</v>
      </c>
      <c r="O21" s="37">
        <v>2.032E-3</v>
      </c>
      <c r="P21" s="15">
        <v>0.1</v>
      </c>
      <c r="Q21" s="15">
        <f t="shared" si="9"/>
        <v>110000.00000000001</v>
      </c>
      <c r="R21" s="15">
        <v>0.06</v>
      </c>
      <c r="S21" s="15">
        <f t="shared" si="10"/>
        <v>106000</v>
      </c>
      <c r="T21" s="15">
        <f t="shared" si="11"/>
        <v>178.44417821782179</v>
      </c>
      <c r="U21" s="16">
        <f t="shared" si="12"/>
        <v>9.0562752628600391E-11</v>
      </c>
      <c r="V21" s="16">
        <f t="shared" si="13"/>
        <v>54536889632943.156</v>
      </c>
      <c r="W21" s="6">
        <f t="shared" si="14"/>
        <v>5</v>
      </c>
      <c r="X21" s="16">
        <f t="shared" si="15"/>
        <v>9.3841786291491113E-11</v>
      </c>
      <c r="Y21" s="16">
        <f t="shared" si="16"/>
        <v>56511523704735.953</v>
      </c>
    </row>
    <row r="22" spans="1:25" x14ac:dyDescent="0.25">
      <c r="A22" s="14">
        <v>110</v>
      </c>
      <c r="B22" s="14">
        <f t="shared" si="1"/>
        <v>1.8333333333333333</v>
      </c>
      <c r="C22" s="14">
        <v>20</v>
      </c>
      <c r="D22" s="14">
        <f t="shared" si="0"/>
        <v>29.146000000000001</v>
      </c>
      <c r="E22" s="14">
        <f t="shared" si="2"/>
        <v>4.8576666666666667E-7</v>
      </c>
      <c r="F22" s="14">
        <v>21.1</v>
      </c>
      <c r="G22" s="14">
        <f t="shared" si="3"/>
        <v>294.10000000000002</v>
      </c>
      <c r="H22" s="14">
        <v>101.3</v>
      </c>
      <c r="I22" s="14">
        <f t="shared" si="4"/>
        <v>101300</v>
      </c>
      <c r="J22" s="14">
        <f t="shared" si="5"/>
        <v>2.0124824921938581E-5</v>
      </c>
      <c r="K22" s="38">
        <v>1661.2326732673268</v>
      </c>
      <c r="L22" s="15">
        <f t="shared" si="6"/>
        <v>1.6612326732673268E-3</v>
      </c>
      <c r="M22" s="14">
        <f t="shared" si="7"/>
        <v>4.7762865441819992E-3</v>
      </c>
      <c r="N22" s="52">
        <f t="shared" si="8"/>
        <v>1.3999167091359933E-5</v>
      </c>
      <c r="O22" s="37">
        <v>2.032E-3</v>
      </c>
      <c r="P22" s="15">
        <v>0.1</v>
      </c>
      <c r="Q22" s="15">
        <f t="shared" si="9"/>
        <v>110000.00000000001</v>
      </c>
      <c r="R22" s="15">
        <v>0.06</v>
      </c>
      <c r="S22" s="15">
        <f t="shared" si="10"/>
        <v>106000</v>
      </c>
      <c r="T22" s="15">
        <f t="shared" si="11"/>
        <v>176.09066336633663</v>
      </c>
      <c r="U22" s="16">
        <f t="shared" si="12"/>
        <v>8.9343504866846888E-11</v>
      </c>
      <c r="V22" s="16">
        <f t="shared" si="13"/>
        <v>53802658630815.195</v>
      </c>
      <c r="W22" s="6">
        <f t="shared" si="14"/>
        <v>5</v>
      </c>
      <c r="X22" s="16">
        <f t="shared" si="15"/>
        <v>9.2550840725818585E-11</v>
      </c>
      <c r="Y22" s="16">
        <f t="shared" si="16"/>
        <v>55734116285087.953</v>
      </c>
    </row>
    <row r="23" spans="1:25" x14ac:dyDescent="0.25">
      <c r="A23" s="14">
        <v>115.5</v>
      </c>
      <c r="B23" s="14">
        <f t="shared" si="1"/>
        <v>1.925</v>
      </c>
      <c r="C23" s="14">
        <v>20</v>
      </c>
      <c r="D23" s="14">
        <f t="shared" si="0"/>
        <v>29.146000000000001</v>
      </c>
      <c r="E23" s="14">
        <f t="shared" si="2"/>
        <v>4.8576666666666667E-7</v>
      </c>
      <c r="F23" s="14">
        <v>21.1</v>
      </c>
      <c r="G23" s="14">
        <f t="shared" si="3"/>
        <v>294.10000000000002</v>
      </c>
      <c r="H23" s="14">
        <v>101.3</v>
      </c>
      <c r="I23" s="14">
        <f t="shared" si="4"/>
        <v>101300</v>
      </c>
      <c r="J23" s="14">
        <f t="shared" si="5"/>
        <v>2.0124824921938581E-5</v>
      </c>
      <c r="K23" s="38">
        <v>1668.0643564356435</v>
      </c>
      <c r="L23" s="15">
        <f t="shared" si="6"/>
        <v>1.6680643564356435E-3</v>
      </c>
      <c r="M23" s="14">
        <f t="shared" si="7"/>
        <v>4.7762865441819992E-3</v>
      </c>
      <c r="N23" s="52">
        <f t="shared" si="8"/>
        <v>1.4056737518264912E-5</v>
      </c>
      <c r="O23" s="37">
        <v>2.032E-3</v>
      </c>
      <c r="P23" s="15">
        <v>0.1</v>
      </c>
      <c r="Q23" s="15">
        <f t="shared" si="9"/>
        <v>110000.00000000001</v>
      </c>
      <c r="R23" s="15">
        <v>0.06</v>
      </c>
      <c r="S23" s="15">
        <f t="shared" si="10"/>
        <v>106000</v>
      </c>
      <c r="T23" s="15">
        <f t="shared" si="11"/>
        <v>176.8148217821782</v>
      </c>
      <c r="U23" s="16">
        <f t="shared" si="12"/>
        <v>8.9718603554044194E-11</v>
      </c>
      <c r="V23" s="16">
        <f t="shared" si="13"/>
        <v>54028543060245.414</v>
      </c>
      <c r="W23" s="6">
        <f t="shared" si="14"/>
        <v>5</v>
      </c>
      <c r="X23" s="16">
        <f t="shared" si="15"/>
        <v>9.2947934414065311E-11</v>
      </c>
      <c r="Y23" s="16">
        <f t="shared" si="16"/>
        <v>55973246104150.133</v>
      </c>
    </row>
    <row r="24" spans="1:25" x14ac:dyDescent="0.25">
      <c r="A24" s="14">
        <v>121</v>
      </c>
      <c r="B24" s="14">
        <f t="shared" si="1"/>
        <v>2.0166666666666666</v>
      </c>
      <c r="C24" s="14">
        <v>20</v>
      </c>
      <c r="D24" s="14">
        <f t="shared" si="0"/>
        <v>29.146000000000001</v>
      </c>
      <c r="E24" s="14">
        <f t="shared" si="2"/>
        <v>4.8576666666666667E-7</v>
      </c>
      <c r="F24" s="14">
        <v>21.1</v>
      </c>
      <c r="G24" s="14">
        <f t="shared" si="3"/>
        <v>294.10000000000002</v>
      </c>
      <c r="H24" s="14">
        <v>101.3</v>
      </c>
      <c r="I24" s="14">
        <f t="shared" si="4"/>
        <v>101300</v>
      </c>
      <c r="J24" s="14">
        <f t="shared" si="5"/>
        <v>2.0124824921938581E-5</v>
      </c>
      <c r="K24" s="38">
        <v>1689.970297029703</v>
      </c>
      <c r="L24" s="15">
        <f t="shared" si="6"/>
        <v>1.689970297029703E-3</v>
      </c>
      <c r="M24" s="14">
        <f t="shared" si="7"/>
        <v>4.7762865441819992E-3</v>
      </c>
      <c r="N24" s="52">
        <f t="shared" si="8"/>
        <v>1.4241338343666745E-5</v>
      </c>
      <c r="O24" s="37">
        <v>2.032E-3</v>
      </c>
      <c r="P24" s="15">
        <v>0.1</v>
      </c>
      <c r="Q24" s="15">
        <f t="shared" si="9"/>
        <v>110000.00000000001</v>
      </c>
      <c r="R24" s="15">
        <v>0.06</v>
      </c>
      <c r="S24" s="15">
        <f t="shared" si="10"/>
        <v>106000</v>
      </c>
      <c r="T24" s="15">
        <f t="shared" si="11"/>
        <v>179.13685148514853</v>
      </c>
      <c r="U24" s="16">
        <f t="shared" si="12"/>
        <v>9.0921691999066387E-11</v>
      </c>
      <c r="V24" s="16">
        <f t="shared" si="13"/>
        <v>54753042921837.781</v>
      </c>
      <c r="W24" s="6">
        <f t="shared" si="14"/>
        <v>5</v>
      </c>
      <c r="X24" s="16">
        <f t="shared" si="15"/>
        <v>9.4221944964859458E-11</v>
      </c>
      <c r="Y24" s="16">
        <f t="shared" si="16"/>
        <v>56740455257838.367</v>
      </c>
    </row>
    <row r="25" spans="1:25" x14ac:dyDescent="0.25">
      <c r="A25" s="14">
        <v>126.5</v>
      </c>
      <c r="B25" s="14">
        <f t="shared" si="1"/>
        <v>2.1083333333333334</v>
      </c>
      <c r="C25" s="14">
        <v>20</v>
      </c>
      <c r="D25" s="14">
        <f t="shared" si="0"/>
        <v>29.146000000000001</v>
      </c>
      <c r="E25" s="14">
        <f t="shared" si="2"/>
        <v>4.8576666666666667E-7</v>
      </c>
      <c r="F25" s="14">
        <v>21.1</v>
      </c>
      <c r="G25" s="14">
        <f t="shared" si="3"/>
        <v>294.10000000000002</v>
      </c>
      <c r="H25" s="14">
        <v>101.3</v>
      </c>
      <c r="I25" s="14">
        <f t="shared" si="4"/>
        <v>101300</v>
      </c>
      <c r="J25" s="14">
        <f t="shared" si="5"/>
        <v>2.0124824921938581E-5</v>
      </c>
      <c r="K25" s="38">
        <v>1675.6881188118812</v>
      </c>
      <c r="L25" s="15">
        <f t="shared" si="6"/>
        <v>1.6756881188118812E-3</v>
      </c>
      <c r="M25" s="14">
        <f t="shared" si="7"/>
        <v>4.7762865441819992E-3</v>
      </c>
      <c r="N25" s="52">
        <f t="shared" si="8"/>
        <v>1.4120982777274814E-5</v>
      </c>
      <c r="O25" s="37">
        <v>2.032E-3</v>
      </c>
      <c r="P25" s="15">
        <v>0.1</v>
      </c>
      <c r="Q25" s="15">
        <f t="shared" si="9"/>
        <v>110000.00000000001</v>
      </c>
      <c r="R25" s="15">
        <v>0.06</v>
      </c>
      <c r="S25" s="15">
        <f t="shared" si="10"/>
        <v>106000</v>
      </c>
      <c r="T25" s="15">
        <f t="shared" si="11"/>
        <v>177.6229405940594</v>
      </c>
      <c r="U25" s="16">
        <f t="shared" si="12"/>
        <v>9.0137249147265672E-11</v>
      </c>
      <c r="V25" s="16">
        <f t="shared" si="13"/>
        <v>54280651436483.391</v>
      </c>
      <c r="W25" s="6">
        <f t="shared" si="14"/>
        <v>5</v>
      </c>
      <c r="X25" s="16">
        <f t="shared" si="15"/>
        <v>9.3391194307739833E-11</v>
      </c>
      <c r="Y25" s="16">
        <f t="shared" si="16"/>
        <v>56240177212120.93</v>
      </c>
    </row>
    <row r="26" spans="1:25" x14ac:dyDescent="0.25">
      <c r="A26" s="14">
        <v>132</v>
      </c>
      <c r="B26" s="14">
        <f t="shared" si="1"/>
        <v>2.2000000000000002</v>
      </c>
      <c r="C26" s="14">
        <v>20</v>
      </c>
      <c r="D26" s="14">
        <f t="shared" si="0"/>
        <v>29.146000000000001</v>
      </c>
      <c r="E26" s="14">
        <f t="shared" si="2"/>
        <v>4.8576666666666667E-7</v>
      </c>
      <c r="F26" s="14">
        <v>21.1</v>
      </c>
      <c r="G26" s="14">
        <f t="shared" si="3"/>
        <v>294.10000000000002</v>
      </c>
      <c r="H26" s="14">
        <v>101.3</v>
      </c>
      <c r="I26" s="14">
        <f t="shared" si="4"/>
        <v>101300</v>
      </c>
      <c r="J26" s="14">
        <f t="shared" si="5"/>
        <v>2.0124824921938581E-5</v>
      </c>
      <c r="K26" s="38">
        <v>1676.1336633663368</v>
      </c>
      <c r="L26" s="15">
        <f t="shared" si="6"/>
        <v>1.6761336633663369E-3</v>
      </c>
      <c r="M26" s="14">
        <f t="shared" si="7"/>
        <v>4.7762865441819992E-3</v>
      </c>
      <c r="N26" s="52">
        <f t="shared" si="8"/>
        <v>1.4124737370333836E-5</v>
      </c>
      <c r="O26" s="37">
        <v>2.032E-3</v>
      </c>
      <c r="P26" s="15">
        <v>0.1</v>
      </c>
      <c r="Q26" s="15">
        <f t="shared" si="9"/>
        <v>110000.00000000001</v>
      </c>
      <c r="R26" s="15">
        <v>0.06</v>
      </c>
      <c r="S26" s="15">
        <f t="shared" si="10"/>
        <v>106000</v>
      </c>
      <c r="T26" s="15">
        <f t="shared" si="11"/>
        <v>177.67016831683171</v>
      </c>
      <c r="U26" s="16">
        <f t="shared" si="12"/>
        <v>9.0161717311855173E-11</v>
      </c>
      <c r="V26" s="16">
        <f t="shared" si="13"/>
        <v>54295386165199.188</v>
      </c>
      <c r="W26" s="6">
        <f t="shared" si="14"/>
        <v>5</v>
      </c>
      <c r="X26" s="16">
        <f t="shared" si="15"/>
        <v>9.3417103224205225E-11</v>
      </c>
      <c r="Y26" s="16">
        <f t="shared" si="16"/>
        <v>56255779561616.391</v>
      </c>
    </row>
    <row r="27" spans="1:25" x14ac:dyDescent="0.25">
      <c r="A27" s="14">
        <v>137.5</v>
      </c>
      <c r="B27" s="14">
        <f t="shared" si="1"/>
        <v>2.2916666666666665</v>
      </c>
      <c r="C27" s="14">
        <v>20</v>
      </c>
      <c r="D27" s="14">
        <f t="shared" si="0"/>
        <v>29.146000000000001</v>
      </c>
      <c r="E27" s="14">
        <f t="shared" si="2"/>
        <v>4.8576666666666667E-7</v>
      </c>
      <c r="F27" s="14">
        <v>21.1</v>
      </c>
      <c r="G27" s="14">
        <f t="shared" si="3"/>
        <v>294.10000000000002</v>
      </c>
      <c r="H27" s="14">
        <v>101.3</v>
      </c>
      <c r="I27" s="14">
        <f t="shared" si="4"/>
        <v>101300</v>
      </c>
      <c r="J27" s="14">
        <f t="shared" si="5"/>
        <v>2.0124824921938581E-5</v>
      </c>
      <c r="K27" s="38">
        <v>1679.3514851485149</v>
      </c>
      <c r="L27" s="15">
        <f t="shared" si="6"/>
        <v>1.679351485148515E-3</v>
      </c>
      <c r="M27" s="14">
        <f t="shared" si="7"/>
        <v>4.7762865441819992E-3</v>
      </c>
      <c r="N27" s="52">
        <f t="shared" si="8"/>
        <v>1.4151853875760094E-5</v>
      </c>
      <c r="O27" s="37">
        <v>2.032E-3</v>
      </c>
      <c r="P27" s="15">
        <v>0.1</v>
      </c>
      <c r="Q27" s="15">
        <f t="shared" si="9"/>
        <v>110000.00000000001</v>
      </c>
      <c r="R27" s="15">
        <v>0.06</v>
      </c>
      <c r="S27" s="15">
        <f t="shared" si="10"/>
        <v>106000</v>
      </c>
      <c r="T27" s="15">
        <f t="shared" si="11"/>
        <v>178.0112574257426</v>
      </c>
      <c r="U27" s="16">
        <f t="shared" si="12"/>
        <v>9.0338437938454943E-11</v>
      </c>
      <c r="V27" s="16">
        <f t="shared" si="13"/>
        <v>54401807326537.57</v>
      </c>
      <c r="W27" s="6">
        <f t="shared" si="14"/>
        <v>5</v>
      </c>
      <c r="X27" s="16">
        <f t="shared" si="15"/>
        <v>9.3604236665235058E-11</v>
      </c>
      <c r="Y27" s="16">
        <f t="shared" si="16"/>
        <v>56368471319804.555</v>
      </c>
    </row>
    <row r="28" spans="1:25" x14ac:dyDescent="0.25">
      <c r="A28" s="14">
        <v>143</v>
      </c>
      <c r="B28" s="14">
        <f t="shared" si="1"/>
        <v>2.3833333333333333</v>
      </c>
      <c r="C28" s="14">
        <v>20</v>
      </c>
      <c r="D28" s="14">
        <f t="shared" si="0"/>
        <v>29.146000000000001</v>
      </c>
      <c r="E28" s="14">
        <f t="shared" si="2"/>
        <v>4.8576666666666667E-7</v>
      </c>
      <c r="F28" s="14">
        <v>21.1</v>
      </c>
      <c r="G28" s="14">
        <f t="shared" si="3"/>
        <v>294.10000000000002</v>
      </c>
      <c r="H28" s="14">
        <v>101.3</v>
      </c>
      <c r="I28" s="14">
        <f t="shared" si="4"/>
        <v>101300</v>
      </c>
      <c r="J28" s="14">
        <f t="shared" si="5"/>
        <v>2.0124824921938581E-5</v>
      </c>
      <c r="K28" s="38">
        <v>1684.9950495049504</v>
      </c>
      <c r="L28" s="15">
        <f t="shared" si="6"/>
        <v>1.6849950495049504E-3</v>
      </c>
      <c r="M28" s="14">
        <f t="shared" si="7"/>
        <v>4.7762865441819992E-3</v>
      </c>
      <c r="N28" s="52">
        <f t="shared" si="8"/>
        <v>1.4199412054507683E-5</v>
      </c>
      <c r="O28" s="37">
        <v>2.032E-3</v>
      </c>
      <c r="P28" s="15">
        <v>0.1</v>
      </c>
      <c r="Q28" s="15">
        <f t="shared" si="9"/>
        <v>110000.00000000001</v>
      </c>
      <c r="R28" s="15">
        <v>0.06</v>
      </c>
      <c r="S28" s="15">
        <f t="shared" si="10"/>
        <v>106000</v>
      </c>
      <c r="T28" s="15">
        <f t="shared" si="11"/>
        <v>178.60947524752473</v>
      </c>
      <c r="U28" s="16">
        <f t="shared" si="12"/>
        <v>9.0648404606566982E-11</v>
      </c>
      <c r="V28" s="16">
        <f t="shared" si="13"/>
        <v>54588469254074.641</v>
      </c>
      <c r="W28" s="6">
        <f t="shared" si="14"/>
        <v>5</v>
      </c>
      <c r="X28" s="16">
        <f t="shared" si="15"/>
        <v>9.3932497115478245E-11</v>
      </c>
      <c r="Y28" s="16">
        <f t="shared" si="16"/>
        <v>56566149762941</v>
      </c>
    </row>
    <row r="29" spans="1:25" x14ac:dyDescent="0.25">
      <c r="A29" s="14">
        <v>148.5</v>
      </c>
      <c r="B29" s="14">
        <f t="shared" si="1"/>
        <v>2.4750000000000001</v>
      </c>
      <c r="C29" s="14">
        <v>20</v>
      </c>
      <c r="D29" s="14">
        <f t="shared" si="0"/>
        <v>29.146000000000001</v>
      </c>
      <c r="E29" s="14">
        <f t="shared" si="2"/>
        <v>4.8576666666666667E-7</v>
      </c>
      <c r="F29" s="14">
        <v>21.1</v>
      </c>
      <c r="G29" s="14">
        <f t="shared" si="3"/>
        <v>294.10000000000002</v>
      </c>
      <c r="H29" s="14">
        <v>101.3</v>
      </c>
      <c r="I29" s="14">
        <f t="shared" si="4"/>
        <v>101300</v>
      </c>
      <c r="J29" s="14">
        <f t="shared" si="5"/>
        <v>2.0124824921938581E-5</v>
      </c>
      <c r="K29" s="38">
        <v>1669.5247524752474</v>
      </c>
      <c r="L29" s="15">
        <f t="shared" si="6"/>
        <v>1.6695247524752474E-3</v>
      </c>
      <c r="M29" s="14">
        <f t="shared" si="7"/>
        <v>4.7762865441819992E-3</v>
      </c>
      <c r="N29" s="52">
        <f t="shared" si="8"/>
        <v>1.4069044239958363E-5</v>
      </c>
      <c r="O29" s="37">
        <v>2.032E-3</v>
      </c>
      <c r="P29" s="15">
        <v>0.1</v>
      </c>
      <c r="Q29" s="15">
        <f t="shared" si="9"/>
        <v>110000.00000000001</v>
      </c>
      <c r="R29" s="15">
        <v>0.06</v>
      </c>
      <c r="S29" s="15">
        <f t="shared" si="10"/>
        <v>106000</v>
      </c>
      <c r="T29" s="15">
        <f t="shared" si="11"/>
        <v>176.96962376237622</v>
      </c>
      <c r="U29" s="16">
        <f t="shared" si="12"/>
        <v>8.9798793982830113E-11</v>
      </c>
      <c r="V29" s="16">
        <f t="shared" si="13"/>
        <v>54076833736460.297</v>
      </c>
      <c r="W29" s="6">
        <f t="shared" si="14"/>
        <v>5</v>
      </c>
      <c r="X29" s="16">
        <f t="shared" si="15"/>
        <v>9.3032834274845669E-11</v>
      </c>
      <c r="Y29" s="16">
        <f t="shared" si="16"/>
        <v>56024372800312.063</v>
      </c>
    </row>
    <row r="30" spans="1:25" x14ac:dyDescent="0.25">
      <c r="A30" s="14">
        <v>154</v>
      </c>
      <c r="B30" s="14">
        <f t="shared" si="1"/>
        <v>2.5666666666666669</v>
      </c>
      <c r="C30" s="14">
        <v>20</v>
      </c>
      <c r="D30" s="14">
        <f t="shared" si="0"/>
        <v>29.146000000000001</v>
      </c>
      <c r="E30" s="14">
        <f t="shared" si="2"/>
        <v>4.8576666666666667E-7</v>
      </c>
      <c r="F30" s="14">
        <v>21.1</v>
      </c>
      <c r="G30" s="14">
        <f t="shared" si="3"/>
        <v>294.10000000000002</v>
      </c>
      <c r="H30" s="14">
        <v>101.3</v>
      </c>
      <c r="I30" s="14">
        <f t="shared" si="4"/>
        <v>101300</v>
      </c>
      <c r="J30" s="14">
        <f t="shared" si="5"/>
        <v>2.0124824921938581E-5</v>
      </c>
      <c r="K30" s="38">
        <v>1688.7574257425742</v>
      </c>
      <c r="L30" s="15">
        <f t="shared" si="6"/>
        <v>1.6887574257425742E-3</v>
      </c>
      <c r="M30" s="14">
        <f t="shared" si="7"/>
        <v>4.7762865441819992E-3</v>
      </c>
      <c r="N30" s="52">
        <f t="shared" si="8"/>
        <v>1.4231117507006077E-5</v>
      </c>
      <c r="O30" s="37">
        <v>2.032E-3</v>
      </c>
      <c r="P30" s="15">
        <v>0.1</v>
      </c>
      <c r="Q30" s="15">
        <f t="shared" si="9"/>
        <v>110000.00000000001</v>
      </c>
      <c r="R30" s="15">
        <v>0.06</v>
      </c>
      <c r="S30" s="15">
        <f t="shared" si="10"/>
        <v>106000</v>
      </c>
      <c r="T30" s="15">
        <f t="shared" si="11"/>
        <v>179.00828712871285</v>
      </c>
      <c r="U30" s="16">
        <f t="shared" si="12"/>
        <v>9.0855067343017621E-11</v>
      </c>
      <c r="V30" s="16">
        <f t="shared" si="13"/>
        <v>54712921553965.211</v>
      </c>
      <c r="W30" s="6">
        <f t="shared" si="14"/>
        <v>5</v>
      </c>
      <c r="X30" s="16">
        <f t="shared" si="15"/>
        <v>9.4151377842574462E-11</v>
      </c>
      <c r="Y30" s="16">
        <f t="shared" si="16"/>
        <v>56697959736798.344</v>
      </c>
    </row>
    <row r="31" spans="1:25" x14ac:dyDescent="0.25">
      <c r="A31" s="14">
        <v>159.5</v>
      </c>
      <c r="B31" s="14">
        <f t="shared" si="1"/>
        <v>2.6583333333333332</v>
      </c>
      <c r="C31" s="14">
        <v>20</v>
      </c>
      <c r="D31" s="14">
        <f t="shared" si="0"/>
        <v>29.146000000000001</v>
      </c>
      <c r="E31" s="14">
        <f t="shared" si="2"/>
        <v>4.8576666666666667E-7</v>
      </c>
      <c r="F31" s="14">
        <v>21.1</v>
      </c>
      <c r="G31" s="14">
        <f t="shared" si="3"/>
        <v>294.10000000000002</v>
      </c>
      <c r="H31" s="14">
        <v>101.3</v>
      </c>
      <c r="I31" s="14">
        <f t="shared" si="4"/>
        <v>101300</v>
      </c>
      <c r="J31" s="14">
        <f t="shared" si="5"/>
        <v>2.0124824921938581E-5</v>
      </c>
      <c r="K31" s="38">
        <v>1699.40099009901</v>
      </c>
      <c r="L31" s="15">
        <f t="shared" si="6"/>
        <v>1.6994009900990099E-3</v>
      </c>
      <c r="M31" s="14">
        <f t="shared" si="7"/>
        <v>4.7762865441819992E-3</v>
      </c>
      <c r="N31" s="52">
        <f t="shared" si="8"/>
        <v>1.4320810563416005E-5</v>
      </c>
      <c r="O31" s="37">
        <v>2.032E-3</v>
      </c>
      <c r="P31" s="15">
        <v>0.1</v>
      </c>
      <c r="Q31" s="15">
        <f t="shared" si="9"/>
        <v>110000.00000000001</v>
      </c>
      <c r="R31" s="15">
        <v>0.06</v>
      </c>
      <c r="S31" s="15">
        <f t="shared" si="10"/>
        <v>106000</v>
      </c>
      <c r="T31" s="15">
        <f t="shared" si="11"/>
        <v>180.13650495049507</v>
      </c>
      <c r="U31" s="16">
        <f t="shared" si="12"/>
        <v>9.1439784458983575E-11</v>
      </c>
      <c r="V31" s="16">
        <f t="shared" si="13"/>
        <v>55065038201199.914</v>
      </c>
      <c r="W31" s="6">
        <f t="shared" si="14"/>
        <v>5</v>
      </c>
      <c r="X31" s="16">
        <f t="shared" si="15"/>
        <v>9.4770754794133062E-11</v>
      </c>
      <c r="Y31" s="16">
        <f t="shared" si="16"/>
        <v>57070948537026.93</v>
      </c>
    </row>
    <row r="32" spans="1:25" x14ac:dyDescent="0.25">
      <c r="A32" s="14">
        <v>165</v>
      </c>
      <c r="B32" s="14">
        <f t="shared" si="1"/>
        <v>2.75</v>
      </c>
      <c r="C32" s="14">
        <v>20</v>
      </c>
      <c r="D32" s="14">
        <f t="shared" si="0"/>
        <v>29.146000000000001</v>
      </c>
      <c r="E32" s="14">
        <f t="shared" si="2"/>
        <v>4.8576666666666667E-7</v>
      </c>
      <c r="F32" s="14">
        <v>21.1</v>
      </c>
      <c r="G32" s="14">
        <f t="shared" si="3"/>
        <v>294.10000000000002</v>
      </c>
      <c r="H32" s="14">
        <v>101.3</v>
      </c>
      <c r="I32" s="14">
        <f t="shared" si="4"/>
        <v>101300</v>
      </c>
      <c r="J32" s="14">
        <f t="shared" si="5"/>
        <v>2.0124824921938581E-5</v>
      </c>
      <c r="K32" s="38">
        <v>1692.1485148514851</v>
      </c>
      <c r="L32" s="15">
        <f t="shared" si="6"/>
        <v>1.6921485148514851E-3</v>
      </c>
      <c r="M32" s="14">
        <f t="shared" si="7"/>
        <v>4.7762865441819992E-3</v>
      </c>
      <c r="N32" s="52">
        <f t="shared" si="8"/>
        <v>1.4259694131955287E-5</v>
      </c>
      <c r="O32" s="37">
        <v>2.032E-3</v>
      </c>
      <c r="P32" s="15">
        <v>0.1</v>
      </c>
      <c r="Q32" s="15">
        <f t="shared" si="9"/>
        <v>110000.00000000001</v>
      </c>
      <c r="R32" s="15">
        <v>0.06</v>
      </c>
      <c r="S32" s="15">
        <f t="shared" si="10"/>
        <v>106000</v>
      </c>
      <c r="T32" s="15">
        <f t="shared" si="11"/>
        <v>179.36774257425742</v>
      </c>
      <c r="U32" s="16">
        <f t="shared" si="12"/>
        <v>9.1041348254448905E-11</v>
      </c>
      <c r="V32" s="16">
        <f t="shared" si="13"/>
        <v>54825099918829.133</v>
      </c>
      <c r="W32" s="6">
        <f t="shared" si="14"/>
        <v>5</v>
      </c>
      <c r="X32" s="16">
        <f t="shared" si="15"/>
        <v>9.4348686182699802E-11</v>
      </c>
      <c r="Y32" s="16">
        <f t="shared" si="16"/>
        <v>56816778819221.82</v>
      </c>
    </row>
    <row r="33" spans="1:25" x14ac:dyDescent="0.25">
      <c r="A33" s="14">
        <v>170.5</v>
      </c>
      <c r="B33" s="14">
        <f t="shared" si="1"/>
        <v>2.8416666666666668</v>
      </c>
      <c r="C33" s="14">
        <v>20</v>
      </c>
      <c r="D33" s="14">
        <f t="shared" si="0"/>
        <v>29.146000000000001</v>
      </c>
      <c r="E33" s="14">
        <f t="shared" si="2"/>
        <v>4.8576666666666667E-7</v>
      </c>
      <c r="F33" s="14">
        <v>21.1</v>
      </c>
      <c r="G33" s="14">
        <f t="shared" si="3"/>
        <v>294.10000000000002</v>
      </c>
      <c r="H33" s="14">
        <v>101.3</v>
      </c>
      <c r="I33" s="14">
        <f t="shared" si="4"/>
        <v>101300</v>
      </c>
      <c r="J33" s="14">
        <f t="shared" si="5"/>
        <v>2.0124824921938581E-5</v>
      </c>
      <c r="K33" s="38">
        <v>1690.6881188118812</v>
      </c>
      <c r="L33" s="15">
        <f t="shared" si="6"/>
        <v>1.6906881188118812E-3</v>
      </c>
      <c r="M33" s="14">
        <f t="shared" si="7"/>
        <v>4.7762865441819992E-3</v>
      </c>
      <c r="N33" s="52">
        <f t="shared" si="8"/>
        <v>1.4247387410261832E-5</v>
      </c>
      <c r="O33" s="37">
        <v>2.032E-3</v>
      </c>
      <c r="P33" s="15">
        <v>0.1</v>
      </c>
      <c r="Q33" s="15">
        <f t="shared" si="9"/>
        <v>110000.00000000001</v>
      </c>
      <c r="R33" s="15">
        <v>0.06</v>
      </c>
      <c r="S33" s="15">
        <f t="shared" si="10"/>
        <v>106000</v>
      </c>
      <c r="T33" s="15">
        <f t="shared" si="11"/>
        <v>179.2129405940594</v>
      </c>
      <c r="U33" s="16">
        <f t="shared" si="12"/>
        <v>9.0961123633242984E-11</v>
      </c>
      <c r="V33" s="16">
        <f t="shared" si="13"/>
        <v>54776788651938.93</v>
      </c>
      <c r="W33" s="6">
        <f t="shared" si="14"/>
        <v>5</v>
      </c>
      <c r="X33" s="16">
        <f t="shared" si="15"/>
        <v>9.4263710761336792E-11</v>
      </c>
      <c r="Y33" s="16">
        <f t="shared" si="16"/>
        <v>56765606620477.016</v>
      </c>
    </row>
    <row r="34" spans="1:25" x14ac:dyDescent="0.25">
      <c r="A34" s="14">
        <v>176</v>
      </c>
      <c r="B34" s="14">
        <f t="shared" si="1"/>
        <v>2.9333333333333331</v>
      </c>
      <c r="C34" s="14">
        <v>20</v>
      </c>
      <c r="D34" s="14">
        <f t="shared" si="0"/>
        <v>29.146000000000001</v>
      </c>
      <c r="E34" s="14">
        <f t="shared" si="2"/>
        <v>4.8576666666666667E-7</v>
      </c>
      <c r="F34" s="14">
        <v>21.1</v>
      </c>
      <c r="G34" s="14">
        <f t="shared" si="3"/>
        <v>294.10000000000002</v>
      </c>
      <c r="H34" s="14">
        <v>101.3</v>
      </c>
      <c r="I34" s="14">
        <f t="shared" si="4"/>
        <v>101300</v>
      </c>
      <c r="J34" s="14">
        <f t="shared" si="5"/>
        <v>2.0124824921938581E-5</v>
      </c>
      <c r="K34" s="38">
        <v>1719.7970297029703</v>
      </c>
      <c r="L34" s="15">
        <f t="shared" si="6"/>
        <v>1.7197970297029702E-3</v>
      </c>
      <c r="M34" s="14">
        <f t="shared" si="7"/>
        <v>4.7762865441819992E-3</v>
      </c>
      <c r="N34" s="52">
        <f t="shared" si="8"/>
        <v>1.4492687490117828E-5</v>
      </c>
      <c r="O34" s="37">
        <v>2.032E-3</v>
      </c>
      <c r="P34" s="15">
        <v>0.1</v>
      </c>
      <c r="Q34" s="15">
        <f t="shared" si="9"/>
        <v>110000.00000000001</v>
      </c>
      <c r="R34" s="15">
        <v>0.06</v>
      </c>
      <c r="S34" s="15">
        <f t="shared" si="10"/>
        <v>106000</v>
      </c>
      <c r="T34" s="15">
        <f t="shared" si="11"/>
        <v>182.29848514851486</v>
      </c>
      <c r="U34" s="16">
        <f t="shared" si="12"/>
        <v>9.2560591284902406E-11</v>
      </c>
      <c r="V34" s="16">
        <f t="shared" si="13"/>
        <v>55739988071768.234</v>
      </c>
      <c r="W34" s="6">
        <f t="shared" si="14"/>
        <v>5</v>
      </c>
      <c r="X34" s="16">
        <f t="shared" si="15"/>
        <v>9.5958374118757883E-11</v>
      </c>
      <c r="Y34" s="16">
        <f t="shared" si="16"/>
        <v>57786132894316</v>
      </c>
    </row>
    <row r="35" spans="1:25" x14ac:dyDescent="0.25">
      <c r="A35" s="14">
        <v>181.5</v>
      </c>
      <c r="B35" s="14">
        <f t="shared" si="1"/>
        <v>3.0249999999999999</v>
      </c>
      <c r="C35" s="14">
        <v>20</v>
      </c>
      <c r="D35" s="14">
        <f t="shared" si="0"/>
        <v>29.146000000000001</v>
      </c>
      <c r="E35" s="14">
        <f t="shared" si="2"/>
        <v>4.8576666666666667E-7</v>
      </c>
      <c r="F35" s="14">
        <v>21.1</v>
      </c>
      <c r="G35" s="14">
        <f t="shared" si="3"/>
        <v>294.10000000000002</v>
      </c>
      <c r="H35" s="14">
        <v>101.3</v>
      </c>
      <c r="I35" s="14">
        <f t="shared" si="4"/>
        <v>101300</v>
      </c>
      <c r="J35" s="14">
        <f t="shared" si="5"/>
        <v>2.0124824921938581E-5</v>
      </c>
      <c r="K35" s="38">
        <v>1693.3118811881186</v>
      </c>
      <c r="L35" s="15">
        <f t="shared" si="6"/>
        <v>1.6933118811881186E-3</v>
      </c>
      <c r="M35" s="14">
        <f t="shared" si="7"/>
        <v>4.7762865441819992E-3</v>
      </c>
      <c r="N35" s="52">
        <f t="shared" si="8"/>
        <v>1.4269497791609396E-5</v>
      </c>
      <c r="O35" s="37">
        <v>2.032E-3</v>
      </c>
      <c r="P35" s="15">
        <v>0.1</v>
      </c>
      <c r="Q35" s="15">
        <f t="shared" si="9"/>
        <v>110000.00000000001</v>
      </c>
      <c r="R35" s="15">
        <v>0.06</v>
      </c>
      <c r="S35" s="15">
        <f t="shared" si="10"/>
        <v>106000</v>
      </c>
      <c r="T35" s="15">
        <f t="shared" si="11"/>
        <v>179.49105940594058</v>
      </c>
      <c r="U35" s="16">
        <f t="shared" si="12"/>
        <v>9.1105257578027871E-11</v>
      </c>
      <c r="V35" s="16">
        <f t="shared" si="13"/>
        <v>54863586113488.383</v>
      </c>
      <c r="W35" s="6">
        <f t="shared" si="14"/>
        <v>5</v>
      </c>
      <c r="X35" s="16">
        <f t="shared" si="15"/>
        <v>9.441638194840386E-11</v>
      </c>
      <c r="Y35" s="16">
        <f t="shared" si="16"/>
        <v>56857545209328.805</v>
      </c>
    </row>
    <row r="36" spans="1:25" x14ac:dyDescent="0.25">
      <c r="A36" s="14">
        <v>187</v>
      </c>
      <c r="B36" s="14">
        <f t="shared" si="1"/>
        <v>3.1166666666666667</v>
      </c>
      <c r="C36" s="14">
        <v>20</v>
      </c>
      <c r="D36" s="14">
        <f t="shared" si="0"/>
        <v>29.146000000000001</v>
      </c>
      <c r="E36" s="14">
        <f t="shared" si="2"/>
        <v>4.8576666666666667E-7</v>
      </c>
      <c r="F36" s="14">
        <v>21.1</v>
      </c>
      <c r="G36" s="14">
        <f t="shared" si="3"/>
        <v>294.10000000000002</v>
      </c>
      <c r="H36" s="14">
        <v>101.3</v>
      </c>
      <c r="I36" s="14">
        <f t="shared" si="4"/>
        <v>101300</v>
      </c>
      <c r="J36" s="14">
        <f t="shared" si="5"/>
        <v>2.0124824921938581E-5</v>
      </c>
      <c r="K36" s="38">
        <v>1693.757425742574</v>
      </c>
      <c r="L36" s="15">
        <f t="shared" si="6"/>
        <v>1.693757425742574E-3</v>
      </c>
      <c r="M36" s="14">
        <f t="shared" si="7"/>
        <v>4.7762865441819992E-3</v>
      </c>
      <c r="N36" s="52">
        <f t="shared" si="8"/>
        <v>1.4273252384668413E-5</v>
      </c>
      <c r="O36" s="37">
        <v>2.032E-3</v>
      </c>
      <c r="P36" s="15">
        <v>0.1</v>
      </c>
      <c r="Q36" s="15">
        <f t="shared" si="9"/>
        <v>110000.00000000001</v>
      </c>
      <c r="R36" s="15">
        <v>0.06</v>
      </c>
      <c r="S36" s="15">
        <f t="shared" si="10"/>
        <v>106000</v>
      </c>
      <c r="T36" s="15">
        <f t="shared" si="11"/>
        <v>179.53828712871285</v>
      </c>
      <c r="U36" s="16">
        <f t="shared" si="12"/>
        <v>9.1129733858846683E-11</v>
      </c>
      <c r="V36" s="16">
        <f t="shared" si="13"/>
        <v>54878325729797.477</v>
      </c>
      <c r="W36" s="6">
        <f t="shared" si="14"/>
        <v>5</v>
      </c>
      <c r="X36" s="16">
        <f t="shared" si="15"/>
        <v>9.4442308803614883E-11</v>
      </c>
      <c r="Y36" s="16">
        <f t="shared" si="16"/>
        <v>56873158361536.883</v>
      </c>
    </row>
    <row r="37" spans="1:25" x14ac:dyDescent="0.25">
      <c r="A37" s="14">
        <v>192.5</v>
      </c>
      <c r="B37" s="14">
        <f t="shared" si="1"/>
        <v>3.2083333333333335</v>
      </c>
      <c r="C37" s="14">
        <v>20</v>
      </c>
      <c r="D37" s="14">
        <f t="shared" si="0"/>
        <v>29.146000000000001</v>
      </c>
      <c r="E37" s="14">
        <f t="shared" si="2"/>
        <v>4.8576666666666667E-7</v>
      </c>
      <c r="F37" s="14">
        <v>21.1</v>
      </c>
      <c r="G37" s="14">
        <f t="shared" si="3"/>
        <v>294.10000000000002</v>
      </c>
      <c r="H37" s="14">
        <v>101.3</v>
      </c>
      <c r="I37" s="14">
        <f t="shared" si="4"/>
        <v>101300</v>
      </c>
      <c r="J37" s="14">
        <f t="shared" si="5"/>
        <v>2.0124824921938581E-5</v>
      </c>
      <c r="K37" s="38">
        <v>1701.2821782178216</v>
      </c>
      <c r="L37" s="15">
        <f t="shared" si="6"/>
        <v>1.7012821782178217E-3</v>
      </c>
      <c r="M37" s="14">
        <f t="shared" si="7"/>
        <v>4.7762865441819992E-3</v>
      </c>
      <c r="N37" s="52">
        <f t="shared" si="8"/>
        <v>1.4336663289665202E-5</v>
      </c>
      <c r="O37" s="37">
        <v>2.032E-3</v>
      </c>
      <c r="P37" s="15">
        <v>0.1</v>
      </c>
      <c r="Q37" s="15">
        <f t="shared" si="9"/>
        <v>110000.00000000001</v>
      </c>
      <c r="R37" s="15">
        <v>0.06</v>
      </c>
      <c r="S37" s="15">
        <f t="shared" si="10"/>
        <v>106000</v>
      </c>
      <c r="T37" s="15">
        <f t="shared" si="11"/>
        <v>180.3359108910891</v>
      </c>
      <c r="U37" s="16">
        <f t="shared" si="12"/>
        <v>9.154314194904378E-11</v>
      </c>
      <c r="V37" s="16">
        <f t="shared" si="13"/>
        <v>55127280081714.164</v>
      </c>
      <c r="W37" s="6">
        <f t="shared" si="14"/>
        <v>5</v>
      </c>
      <c r="X37" s="16">
        <f t="shared" si="15"/>
        <v>9.4880252911371136E-11</v>
      </c>
      <c r="Y37" s="16">
        <f t="shared" si="16"/>
        <v>57136888303227.703</v>
      </c>
    </row>
    <row r="40" spans="1:25" x14ac:dyDescent="0.25">
      <c r="U40" s="40">
        <f>AVERAGE(U18:U37)</f>
        <v>9.0612609395666671E-11</v>
      </c>
      <c r="V40" s="40">
        <f>AVERAGE(V18:V37)</f>
        <v>54566913378070.453</v>
      </c>
      <c r="X40" s="42">
        <f>AVERAGE(X18:X37)</f>
        <v>9.3894699471062108E-11</v>
      </c>
      <c r="Y40" s="42">
        <f>AVERAGE(Y18:Y37)</f>
        <v>56543388021473.602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3326-35E0-4F34-8793-63D5BFF88100}">
  <dimension ref="A1:Y41"/>
  <sheetViews>
    <sheetView topLeftCell="W27" zoomScale="110" zoomScaleNormal="110" workbookViewId="0">
      <selection activeCell="Y41" sqref="Y41"/>
    </sheetView>
  </sheetViews>
  <sheetFormatPr defaultRowHeight="13.8" x14ac:dyDescent="0.25"/>
  <cols>
    <col min="1" max="4" width="22.109375" style="23" customWidth="1"/>
    <col min="5" max="5" width="18.77734375" style="23" customWidth="1"/>
    <col min="6" max="6" width="17.33203125" style="23" customWidth="1"/>
    <col min="7" max="7" width="16.6640625" style="23" customWidth="1"/>
    <col min="8" max="8" width="20.88671875" style="23" customWidth="1"/>
    <col min="9" max="9" width="19.21875" style="23" customWidth="1"/>
    <col min="10" max="10" width="23.109375" style="23" customWidth="1"/>
    <col min="11" max="11" width="13.6640625" style="34" customWidth="1"/>
    <col min="12" max="12" width="20.88671875" style="17" customWidth="1"/>
    <col min="13" max="13" width="31.6640625" style="23" customWidth="1"/>
    <col min="14" max="14" width="18" style="45" customWidth="1"/>
    <col min="15" max="15" width="23" style="45" customWidth="1"/>
    <col min="16" max="16" width="20.6640625" style="17" customWidth="1"/>
    <col min="17" max="17" width="26.88671875" style="17" customWidth="1"/>
    <col min="18" max="20" width="20.6640625" style="17" customWidth="1"/>
    <col min="21" max="21" width="38.44140625" style="23" customWidth="1"/>
    <col min="22" max="22" width="36" style="23" customWidth="1"/>
    <col min="23" max="23" width="44.109375" style="7" customWidth="1"/>
    <col min="24" max="24" width="57.88671875" style="7" customWidth="1"/>
    <col min="25" max="25" width="51.5546875" style="7" customWidth="1"/>
    <col min="26" max="16384" width="8.88671875" style="19"/>
  </cols>
  <sheetData>
    <row r="1" spans="1:25" s="18" customFormat="1" ht="55.2" x14ac:dyDescent="0.3">
      <c r="A1" s="11" t="s">
        <v>7</v>
      </c>
      <c r="B1" s="12" t="s">
        <v>6</v>
      </c>
      <c r="C1" s="11" t="s">
        <v>2</v>
      </c>
      <c r="D1" s="11" t="s">
        <v>1</v>
      </c>
      <c r="E1" s="12" t="s">
        <v>0</v>
      </c>
      <c r="F1" s="11" t="s">
        <v>3</v>
      </c>
      <c r="G1" s="12" t="s">
        <v>10</v>
      </c>
      <c r="H1" s="11" t="s">
        <v>4</v>
      </c>
      <c r="I1" s="12" t="s">
        <v>11</v>
      </c>
      <c r="J1" s="12" t="s">
        <v>8</v>
      </c>
      <c r="K1" s="32" t="s">
        <v>5</v>
      </c>
      <c r="L1" s="13" t="s">
        <v>18</v>
      </c>
      <c r="M1" s="12" t="s">
        <v>9</v>
      </c>
      <c r="N1" s="44" t="s">
        <v>27</v>
      </c>
      <c r="O1" s="44" t="s">
        <v>12</v>
      </c>
      <c r="P1" s="21" t="s">
        <v>16</v>
      </c>
      <c r="Q1" s="13" t="s">
        <v>17</v>
      </c>
      <c r="R1" s="13" t="s">
        <v>13</v>
      </c>
      <c r="S1" s="13" t="s">
        <v>14</v>
      </c>
      <c r="T1" s="13" t="s">
        <v>15</v>
      </c>
      <c r="U1" s="2" t="s">
        <v>28</v>
      </c>
      <c r="V1" s="12" t="s">
        <v>29</v>
      </c>
      <c r="W1" s="3" t="s">
        <v>26</v>
      </c>
      <c r="X1" s="41" t="s">
        <v>30</v>
      </c>
      <c r="Y1" s="41" t="s">
        <v>31</v>
      </c>
    </row>
    <row r="2" spans="1:25" x14ac:dyDescent="0.25">
      <c r="A2" s="14">
        <v>0</v>
      </c>
      <c r="B2" s="14">
        <f>(A2/60)</f>
        <v>0</v>
      </c>
      <c r="C2" s="14">
        <v>20</v>
      </c>
      <c r="D2" s="14">
        <f t="shared" ref="D2:D33" si="0">(C2*1.4573)</f>
        <v>29.146000000000001</v>
      </c>
      <c r="E2" s="14">
        <f>(D2/(1000000*60))</f>
        <v>4.8576666666666667E-7</v>
      </c>
      <c r="F2" s="14">
        <v>21.1</v>
      </c>
      <c r="G2" s="14">
        <f>(273+F2)</f>
        <v>294.10000000000002</v>
      </c>
      <c r="H2" s="14">
        <v>101.3</v>
      </c>
      <c r="I2" s="14">
        <f>(H2*1000)</f>
        <v>101300</v>
      </c>
      <c r="J2" s="14">
        <f>((I2*E2)/(8.314*G2))</f>
        <v>2.0124824921938581E-5</v>
      </c>
      <c r="K2" s="33">
        <v>17.742574257425744</v>
      </c>
      <c r="L2" s="15">
        <f>(K2/1000000)</f>
        <v>1.7742574257425744E-5</v>
      </c>
      <c r="M2" s="14">
        <f>(3.142*3.07*3.07*25.4*25.4)/(4*1000000)</f>
        <v>4.7762865441819992E-3</v>
      </c>
      <c r="N2" s="37">
        <f>(2*L2*J2)/M2</f>
        <v>1.4951623915032081E-7</v>
      </c>
      <c r="O2" s="37">
        <v>2.032E-3</v>
      </c>
      <c r="P2" s="15">
        <v>0.1</v>
      </c>
      <c r="Q2" s="15">
        <f>(1+P2)*100000*1</f>
        <v>110000.00000000001</v>
      </c>
      <c r="R2" s="15">
        <v>0.06</v>
      </c>
      <c r="S2" s="15">
        <f>(1+R2)*100000</f>
        <v>106000</v>
      </c>
      <c r="T2" s="15">
        <f>(L2*S2)</f>
        <v>1.8807128712871288</v>
      </c>
      <c r="U2" s="15">
        <f>((N2*O2)/((SQRT(Q2))-(SQRT(T2))))</f>
        <v>9.1984618666249738E-13</v>
      </c>
      <c r="V2" s="15">
        <f>(U2*6.022E+23)</f>
        <v>553931373608.15601</v>
      </c>
      <c r="W2" s="6">
        <f>(50/1000000)*100000</f>
        <v>5</v>
      </c>
      <c r="X2" s="15">
        <f>(N2*O2)/(SQRT(Q2)-(2*SQRT(T2))+SQRT(W2))</f>
        <v>9.17444386545676E-13</v>
      </c>
      <c r="Y2" s="15">
        <f>(X2*6.022E+23)</f>
        <v>552485009577.80615</v>
      </c>
    </row>
    <row r="3" spans="1:25" x14ac:dyDescent="0.25">
      <c r="A3" s="14">
        <v>5.5</v>
      </c>
      <c r="B3" s="14">
        <f t="shared" ref="B3:B33" si="1">(A3/60)</f>
        <v>9.166666666666666E-2</v>
      </c>
      <c r="C3" s="14">
        <v>20</v>
      </c>
      <c r="D3" s="14">
        <f t="shared" si="0"/>
        <v>29.146000000000001</v>
      </c>
      <c r="E3" s="14">
        <f t="shared" ref="E3:E33" si="2">(D3/(1000000*60))</f>
        <v>4.8576666666666667E-7</v>
      </c>
      <c r="F3" s="14">
        <v>21.1</v>
      </c>
      <c r="G3" s="14">
        <f t="shared" ref="G3:G33" si="3">(273+F3)</f>
        <v>294.10000000000002</v>
      </c>
      <c r="H3" s="14">
        <v>101.3</v>
      </c>
      <c r="I3" s="14">
        <f t="shared" ref="I3:I33" si="4">(H3*1000)</f>
        <v>101300</v>
      </c>
      <c r="J3" s="14">
        <f t="shared" ref="J3:J33" si="5">((I3*E3)/(8.314*G3))</f>
        <v>2.0124824921938581E-5</v>
      </c>
      <c r="K3" s="33">
        <v>16.10891089108911</v>
      </c>
      <c r="L3" s="15">
        <f t="shared" ref="L3:L33" si="6">(K3/1000000)</f>
        <v>1.6108910891089111E-5</v>
      </c>
      <c r="M3" s="14">
        <f t="shared" ref="M3:M37" si="7">(3.142*3.07*3.07*25.4*25.4)/(4*1000000)</f>
        <v>4.7762865441819992E-3</v>
      </c>
      <c r="N3" s="37">
        <f t="shared" ref="N3:N37" si="8">(2*L3*J3)/M3</f>
        <v>1.3574939793391292E-7</v>
      </c>
      <c r="O3" s="37">
        <v>2.032E-3</v>
      </c>
      <c r="P3" s="15">
        <v>0.1</v>
      </c>
      <c r="Q3" s="15">
        <f t="shared" ref="Q3:Q33" si="9">(1+P3)*100000*1</f>
        <v>110000.00000000001</v>
      </c>
      <c r="R3" s="15">
        <v>0.06</v>
      </c>
      <c r="S3" s="15">
        <f t="shared" ref="S3:S33" si="10">(1+R3)*100000</f>
        <v>106000</v>
      </c>
      <c r="T3" s="15">
        <f t="shared" ref="T3:T33" si="11">(L3*S3)</f>
        <v>1.7075445544554457</v>
      </c>
      <c r="U3" s="15">
        <f t="shared" ref="U3:U33" si="12">((N3*O3)/((SQRT(Q3))-(SQRT(T3))))</f>
        <v>8.3498706412733263E-13</v>
      </c>
      <c r="V3" s="15">
        <f t="shared" ref="V3:V33" si="13">(U3*6.022E+23)</f>
        <v>502829210017.47974</v>
      </c>
      <c r="W3" s="6">
        <f t="shared" ref="W3:W37" si="14">(50/1000000)*100000</f>
        <v>5</v>
      </c>
      <c r="X3" s="15">
        <f t="shared" ref="X3:X37" si="15">(N3*O3)/(SQRT(Q3)-(2*SQRT(T3))+SQRT(W3))</f>
        <v>8.3264471664766784E-13</v>
      </c>
      <c r="Y3" s="15">
        <f t="shared" ref="Y3:Y37" si="16">(X3*6.022E+23)</f>
        <v>501418648365.22559</v>
      </c>
    </row>
    <row r="4" spans="1:25" x14ac:dyDescent="0.25">
      <c r="A4" s="14">
        <v>11</v>
      </c>
      <c r="B4" s="14">
        <f t="shared" si="1"/>
        <v>0.18333333333333332</v>
      </c>
      <c r="C4" s="14">
        <v>20</v>
      </c>
      <c r="D4" s="14">
        <f t="shared" si="0"/>
        <v>29.146000000000001</v>
      </c>
      <c r="E4" s="14">
        <f t="shared" si="2"/>
        <v>4.8576666666666667E-7</v>
      </c>
      <c r="F4" s="14">
        <v>21.1</v>
      </c>
      <c r="G4" s="14">
        <f t="shared" si="3"/>
        <v>294.10000000000002</v>
      </c>
      <c r="H4" s="14">
        <v>101.3</v>
      </c>
      <c r="I4" s="14">
        <f t="shared" si="4"/>
        <v>101300</v>
      </c>
      <c r="J4" s="14">
        <f t="shared" si="5"/>
        <v>2.0124824921938581E-5</v>
      </c>
      <c r="K4" s="33">
        <v>15.292079207920793</v>
      </c>
      <c r="L4" s="15">
        <f t="shared" si="6"/>
        <v>1.5292079207920793E-5</v>
      </c>
      <c r="M4" s="14">
        <f t="shared" si="7"/>
        <v>4.7762865441819992E-3</v>
      </c>
      <c r="N4" s="37">
        <f t="shared" si="8"/>
        <v>1.2886597732570895E-7</v>
      </c>
      <c r="O4" s="37">
        <v>2.032E-3</v>
      </c>
      <c r="P4" s="15">
        <v>0.1</v>
      </c>
      <c r="Q4" s="15">
        <f t="shared" si="9"/>
        <v>110000.00000000001</v>
      </c>
      <c r="R4" s="15">
        <v>0.06</v>
      </c>
      <c r="S4" s="15">
        <f t="shared" si="10"/>
        <v>106000</v>
      </c>
      <c r="T4" s="15">
        <f t="shared" si="11"/>
        <v>1.620960396039604</v>
      </c>
      <c r="U4" s="15">
        <f t="shared" si="12"/>
        <v>7.9256700599067879E-13</v>
      </c>
      <c r="V4" s="15">
        <f t="shared" si="13"/>
        <v>477283851007.58679</v>
      </c>
      <c r="W4" s="6">
        <f t="shared" si="14"/>
        <v>5</v>
      </c>
      <c r="X4" s="15">
        <f t="shared" si="15"/>
        <v>7.9026383250779688E-13</v>
      </c>
      <c r="Y4" s="15">
        <f t="shared" si="16"/>
        <v>475896879936.19531</v>
      </c>
    </row>
    <row r="5" spans="1:25" x14ac:dyDescent="0.25">
      <c r="A5" s="14">
        <v>16.5</v>
      </c>
      <c r="B5" s="14">
        <f t="shared" si="1"/>
        <v>0.27500000000000002</v>
      </c>
      <c r="C5" s="14">
        <v>20</v>
      </c>
      <c r="D5" s="14">
        <f t="shared" si="0"/>
        <v>29.146000000000001</v>
      </c>
      <c r="E5" s="14">
        <f t="shared" si="2"/>
        <v>4.8576666666666667E-7</v>
      </c>
      <c r="F5" s="14">
        <v>21.1</v>
      </c>
      <c r="G5" s="14">
        <f t="shared" si="3"/>
        <v>294.10000000000002</v>
      </c>
      <c r="H5" s="14">
        <v>101.3</v>
      </c>
      <c r="I5" s="14">
        <f t="shared" si="4"/>
        <v>101300</v>
      </c>
      <c r="J5" s="14">
        <f t="shared" si="5"/>
        <v>2.0124824921938581E-5</v>
      </c>
      <c r="K5" s="33">
        <v>29.698019801980198</v>
      </c>
      <c r="L5" s="15">
        <f t="shared" si="6"/>
        <v>2.9698019801980198E-5</v>
      </c>
      <c r="M5" s="14">
        <f t="shared" si="7"/>
        <v>4.7762865441819992E-3</v>
      </c>
      <c r="N5" s="37">
        <f t="shared" si="8"/>
        <v>2.5026448623403307E-7</v>
      </c>
      <c r="O5" s="37">
        <v>2.032E-3</v>
      </c>
      <c r="P5" s="15">
        <v>0.1</v>
      </c>
      <c r="Q5" s="15">
        <f t="shared" si="9"/>
        <v>110000.00000000001</v>
      </c>
      <c r="R5" s="15">
        <v>0.06</v>
      </c>
      <c r="S5" s="15">
        <f t="shared" si="10"/>
        <v>106000</v>
      </c>
      <c r="T5" s="15">
        <f t="shared" si="11"/>
        <v>3.1479900990099008</v>
      </c>
      <c r="U5" s="15">
        <f t="shared" si="12"/>
        <v>1.5415446900288904E-12</v>
      </c>
      <c r="V5" s="15">
        <f t="shared" si="13"/>
        <v>928318212335.39783</v>
      </c>
      <c r="W5" s="6">
        <f t="shared" si="14"/>
        <v>5</v>
      </c>
      <c r="X5" s="15">
        <f t="shared" si="15"/>
        <v>1.5393896991486595E-12</v>
      </c>
      <c r="Y5" s="15">
        <f t="shared" si="16"/>
        <v>927020476827.32275</v>
      </c>
    </row>
    <row r="6" spans="1:25" x14ac:dyDescent="0.25">
      <c r="A6" s="14">
        <v>22</v>
      </c>
      <c r="B6" s="14">
        <f t="shared" si="1"/>
        <v>0.36666666666666664</v>
      </c>
      <c r="C6" s="14">
        <v>20</v>
      </c>
      <c r="D6" s="14">
        <f t="shared" si="0"/>
        <v>29.146000000000001</v>
      </c>
      <c r="E6" s="14">
        <f t="shared" si="2"/>
        <v>4.8576666666666667E-7</v>
      </c>
      <c r="F6" s="14">
        <v>21.1</v>
      </c>
      <c r="G6" s="14">
        <f t="shared" si="3"/>
        <v>294.10000000000002</v>
      </c>
      <c r="H6" s="14">
        <v>101.3</v>
      </c>
      <c r="I6" s="14">
        <f t="shared" si="4"/>
        <v>101300</v>
      </c>
      <c r="J6" s="14">
        <f t="shared" si="5"/>
        <v>2.0124824921938581E-5</v>
      </c>
      <c r="K6" s="33">
        <v>617.47029702970303</v>
      </c>
      <c r="L6" s="15">
        <f t="shared" si="6"/>
        <v>6.1747029702970298E-4</v>
      </c>
      <c r="M6" s="14">
        <f t="shared" si="7"/>
        <v>4.7762865441819992E-3</v>
      </c>
      <c r="N6" s="37">
        <f t="shared" si="8"/>
        <v>5.203407085094967E-6</v>
      </c>
      <c r="O6" s="37">
        <v>2.032E-3</v>
      </c>
      <c r="P6" s="15">
        <v>0.1</v>
      </c>
      <c r="Q6" s="15">
        <f t="shared" si="9"/>
        <v>110000.00000000001</v>
      </c>
      <c r="R6" s="15">
        <v>0.06</v>
      </c>
      <c r="S6" s="15">
        <f t="shared" si="10"/>
        <v>106000</v>
      </c>
      <c r="T6" s="15">
        <f t="shared" si="11"/>
        <v>65.451851485148509</v>
      </c>
      <c r="U6" s="15">
        <f t="shared" si="12"/>
        <v>3.2676854362756326E-11</v>
      </c>
      <c r="V6" s="15">
        <f t="shared" si="13"/>
        <v>19678001697251.859</v>
      </c>
      <c r="W6" s="6">
        <f t="shared" si="14"/>
        <v>5</v>
      </c>
      <c r="X6" s="15">
        <f t="shared" si="15"/>
        <v>3.3278946816823387E-11</v>
      </c>
      <c r="Y6" s="15">
        <f t="shared" si="16"/>
        <v>20040581773091.043</v>
      </c>
    </row>
    <row r="7" spans="1:25" x14ac:dyDescent="0.25">
      <c r="A7" s="14">
        <v>27.5</v>
      </c>
      <c r="B7" s="14">
        <f t="shared" si="1"/>
        <v>0.45833333333333331</v>
      </c>
      <c r="C7" s="14">
        <v>20</v>
      </c>
      <c r="D7" s="14">
        <f t="shared" si="0"/>
        <v>29.146000000000001</v>
      </c>
      <c r="E7" s="14">
        <f t="shared" si="2"/>
        <v>4.8576666666666667E-7</v>
      </c>
      <c r="F7" s="14">
        <v>21.1</v>
      </c>
      <c r="G7" s="14">
        <f t="shared" si="3"/>
        <v>294.10000000000002</v>
      </c>
      <c r="H7" s="14">
        <v>101.3</v>
      </c>
      <c r="I7" s="14">
        <f t="shared" si="4"/>
        <v>101300</v>
      </c>
      <c r="J7" s="14">
        <f t="shared" si="5"/>
        <v>2.0124824921938581E-5</v>
      </c>
      <c r="K7" s="33">
        <v>1783.0148514851485</v>
      </c>
      <c r="L7" s="15">
        <f t="shared" si="6"/>
        <v>1.7830148514851485E-3</v>
      </c>
      <c r="M7" s="14">
        <f t="shared" si="7"/>
        <v>4.7762865441819992E-3</v>
      </c>
      <c r="N7" s="37">
        <f t="shared" si="8"/>
        <v>1.5025422527492157E-5</v>
      </c>
      <c r="O7" s="37">
        <v>2.032E-3</v>
      </c>
      <c r="P7" s="15">
        <v>0.1</v>
      </c>
      <c r="Q7" s="15">
        <f t="shared" si="9"/>
        <v>110000.00000000001</v>
      </c>
      <c r="R7" s="15">
        <v>0.06</v>
      </c>
      <c r="S7" s="15">
        <f t="shared" si="10"/>
        <v>106000</v>
      </c>
      <c r="T7" s="15">
        <f t="shared" si="11"/>
        <v>188.99957425742573</v>
      </c>
      <c r="U7" s="15">
        <f t="shared" si="12"/>
        <v>9.6037245524075106E-11</v>
      </c>
      <c r="V7" s="15">
        <f t="shared" si="13"/>
        <v>57833629254598.031</v>
      </c>
      <c r="W7" s="6">
        <f t="shared" si="14"/>
        <v>5</v>
      </c>
      <c r="X7" s="15">
        <f t="shared" si="15"/>
        <v>9.9645389368299874E-11</v>
      </c>
      <c r="Y7" s="15">
        <f t="shared" si="16"/>
        <v>60006453477590.188</v>
      </c>
    </row>
    <row r="8" spans="1:25" x14ac:dyDescent="0.25">
      <c r="A8" s="14">
        <v>33</v>
      </c>
      <c r="B8" s="14">
        <f t="shared" si="1"/>
        <v>0.55000000000000004</v>
      </c>
      <c r="C8" s="14">
        <v>20</v>
      </c>
      <c r="D8" s="14">
        <f t="shared" si="0"/>
        <v>29.146000000000001</v>
      </c>
      <c r="E8" s="14">
        <f t="shared" si="2"/>
        <v>4.8576666666666667E-7</v>
      </c>
      <c r="F8" s="14">
        <v>21.1</v>
      </c>
      <c r="G8" s="14">
        <f t="shared" si="3"/>
        <v>294.10000000000002</v>
      </c>
      <c r="H8" s="14">
        <v>101.3</v>
      </c>
      <c r="I8" s="14">
        <f t="shared" si="4"/>
        <v>101300</v>
      </c>
      <c r="J8" s="14">
        <f t="shared" si="5"/>
        <v>2.0124824921938581E-5</v>
      </c>
      <c r="K8" s="33">
        <v>2698.8069306930693</v>
      </c>
      <c r="L8" s="15">
        <f t="shared" si="6"/>
        <v>2.6988069306930693E-3</v>
      </c>
      <c r="M8" s="14">
        <f t="shared" si="7"/>
        <v>4.7762865441819992E-3</v>
      </c>
      <c r="N8" s="37">
        <f t="shared" si="8"/>
        <v>2.2742779971805171E-5</v>
      </c>
      <c r="O8" s="37">
        <v>2.032E-3</v>
      </c>
      <c r="P8" s="15">
        <v>0.1</v>
      </c>
      <c r="Q8" s="15">
        <f t="shared" si="9"/>
        <v>110000.00000000001</v>
      </c>
      <c r="R8" s="15">
        <v>0.06</v>
      </c>
      <c r="S8" s="15">
        <f t="shared" si="10"/>
        <v>106000</v>
      </c>
      <c r="T8" s="15">
        <f t="shared" si="11"/>
        <v>286.07353465346534</v>
      </c>
      <c r="U8" s="15">
        <f t="shared" si="12"/>
        <v>1.4682608234372115E-10</v>
      </c>
      <c r="V8" s="15">
        <f t="shared" si="13"/>
        <v>88418666787388.875</v>
      </c>
      <c r="W8" s="6">
        <f t="shared" si="14"/>
        <v>5</v>
      </c>
      <c r="X8" s="15">
        <f t="shared" si="15"/>
        <v>1.5400791437521571E-10</v>
      </c>
      <c r="Y8" s="15">
        <f t="shared" si="16"/>
        <v>92743566036754.906</v>
      </c>
    </row>
    <row r="9" spans="1:25" x14ac:dyDescent="0.25">
      <c r="A9" s="14">
        <v>38.5</v>
      </c>
      <c r="B9" s="14">
        <f t="shared" si="1"/>
        <v>0.64166666666666672</v>
      </c>
      <c r="C9" s="14">
        <v>20</v>
      </c>
      <c r="D9" s="14">
        <f t="shared" si="0"/>
        <v>29.146000000000001</v>
      </c>
      <c r="E9" s="14">
        <f t="shared" si="2"/>
        <v>4.8576666666666667E-7</v>
      </c>
      <c r="F9" s="14">
        <v>21.1</v>
      </c>
      <c r="G9" s="14">
        <f t="shared" si="3"/>
        <v>294.10000000000002</v>
      </c>
      <c r="H9" s="14">
        <v>101.3</v>
      </c>
      <c r="I9" s="14">
        <f t="shared" si="4"/>
        <v>101300</v>
      </c>
      <c r="J9" s="14">
        <f t="shared" si="5"/>
        <v>2.0124824921938581E-5</v>
      </c>
      <c r="K9" s="33">
        <v>3198.7079207920792</v>
      </c>
      <c r="L9" s="15">
        <f t="shared" si="6"/>
        <v>3.1987079207920792E-3</v>
      </c>
      <c r="M9" s="14">
        <f t="shared" si="7"/>
        <v>4.7762865441819992E-3</v>
      </c>
      <c r="N9" s="37">
        <f t="shared" si="8"/>
        <v>2.6955433384025981E-5</v>
      </c>
      <c r="O9" s="37">
        <v>2.032E-3</v>
      </c>
      <c r="P9" s="15">
        <v>0.1</v>
      </c>
      <c r="Q9" s="15">
        <f t="shared" si="9"/>
        <v>110000.00000000001</v>
      </c>
      <c r="R9" s="15">
        <v>0.06</v>
      </c>
      <c r="S9" s="15">
        <f t="shared" si="10"/>
        <v>106000</v>
      </c>
      <c r="T9" s="15">
        <f t="shared" si="11"/>
        <v>339.06303960396036</v>
      </c>
      <c r="U9" s="15">
        <f t="shared" si="12"/>
        <v>1.7485601889399485E-10</v>
      </c>
      <c r="V9" s="15">
        <f t="shared" si="13"/>
        <v>105298294577963.7</v>
      </c>
      <c r="W9" s="6">
        <f t="shared" si="14"/>
        <v>5</v>
      </c>
      <c r="X9" s="15">
        <f t="shared" si="15"/>
        <v>1.8437814674722602E-10</v>
      </c>
      <c r="Y9" s="15">
        <f t="shared" si="16"/>
        <v>111032519971179.52</v>
      </c>
    </row>
    <row r="10" spans="1:25" x14ac:dyDescent="0.25">
      <c r="A10" s="14">
        <v>44</v>
      </c>
      <c r="B10" s="14">
        <f t="shared" si="1"/>
        <v>0.73333333333333328</v>
      </c>
      <c r="C10" s="14">
        <v>20</v>
      </c>
      <c r="D10" s="14">
        <f t="shared" si="0"/>
        <v>29.146000000000001</v>
      </c>
      <c r="E10" s="14">
        <f t="shared" si="2"/>
        <v>4.8576666666666667E-7</v>
      </c>
      <c r="F10" s="14">
        <v>21.1</v>
      </c>
      <c r="G10" s="14">
        <f t="shared" si="3"/>
        <v>294.10000000000002</v>
      </c>
      <c r="H10" s="14">
        <v>101.3</v>
      </c>
      <c r="I10" s="14">
        <f t="shared" si="4"/>
        <v>101300</v>
      </c>
      <c r="J10" s="14">
        <f t="shared" si="5"/>
        <v>2.0124824921938581E-5</v>
      </c>
      <c r="K10" s="33">
        <v>3482.7425742574264</v>
      </c>
      <c r="L10" s="15">
        <f t="shared" si="6"/>
        <v>3.4827425742574264E-3</v>
      </c>
      <c r="M10" s="14">
        <f t="shared" si="7"/>
        <v>4.7762865441819992E-3</v>
      </c>
      <c r="N10" s="37">
        <f t="shared" si="8"/>
        <v>2.9348986459151453E-5</v>
      </c>
      <c r="O10" s="37">
        <v>2.032E-3</v>
      </c>
      <c r="P10" s="15">
        <v>0.1</v>
      </c>
      <c r="Q10" s="15">
        <f t="shared" si="9"/>
        <v>110000.00000000001</v>
      </c>
      <c r="R10" s="15">
        <v>0.06</v>
      </c>
      <c r="S10" s="15">
        <f t="shared" si="10"/>
        <v>106000</v>
      </c>
      <c r="T10" s="15">
        <f t="shared" si="11"/>
        <v>369.17071287128721</v>
      </c>
      <c r="U10" s="15">
        <f t="shared" si="12"/>
        <v>1.9087020518493586E-10</v>
      </c>
      <c r="V10" s="15">
        <f t="shared" si="13"/>
        <v>114942037562368.38</v>
      </c>
      <c r="W10" s="6">
        <f t="shared" si="14"/>
        <v>5</v>
      </c>
      <c r="X10" s="15">
        <f t="shared" si="15"/>
        <v>2.0183759999522488E-10</v>
      </c>
      <c r="Y10" s="15">
        <f t="shared" si="16"/>
        <v>121546602717124.42</v>
      </c>
    </row>
    <row r="11" spans="1:25" x14ac:dyDescent="0.25">
      <c r="A11" s="14">
        <v>49.5</v>
      </c>
      <c r="B11" s="14">
        <f t="shared" si="1"/>
        <v>0.82499999999999996</v>
      </c>
      <c r="C11" s="14">
        <v>20</v>
      </c>
      <c r="D11" s="14">
        <f t="shared" si="0"/>
        <v>29.146000000000001</v>
      </c>
      <c r="E11" s="14">
        <f t="shared" si="2"/>
        <v>4.8576666666666667E-7</v>
      </c>
      <c r="F11" s="14">
        <v>21.1</v>
      </c>
      <c r="G11" s="14">
        <f t="shared" si="3"/>
        <v>294.10000000000002</v>
      </c>
      <c r="H11" s="14">
        <v>101.3</v>
      </c>
      <c r="I11" s="14">
        <f t="shared" si="4"/>
        <v>101300</v>
      </c>
      <c r="J11" s="14">
        <f t="shared" si="5"/>
        <v>2.0124824921938581E-5</v>
      </c>
      <c r="K11" s="33">
        <v>3599.3267326732675</v>
      </c>
      <c r="L11" s="15">
        <f t="shared" si="6"/>
        <v>3.5993267326732675E-3</v>
      </c>
      <c r="M11" s="14">
        <f t="shared" si="7"/>
        <v>4.7762865441819992E-3</v>
      </c>
      <c r="N11" s="37">
        <f t="shared" si="8"/>
        <v>3.0331438309595099E-5</v>
      </c>
      <c r="O11" s="37">
        <v>2.032E-3</v>
      </c>
      <c r="P11" s="15">
        <v>0.1</v>
      </c>
      <c r="Q11" s="15">
        <f t="shared" si="9"/>
        <v>110000.00000000001</v>
      </c>
      <c r="R11" s="15">
        <v>0.06</v>
      </c>
      <c r="S11" s="15">
        <f t="shared" si="10"/>
        <v>106000</v>
      </c>
      <c r="T11" s="15">
        <f t="shared" si="11"/>
        <v>381.52863366336635</v>
      </c>
      <c r="U11" s="15">
        <f t="shared" si="12"/>
        <v>1.9746111467188913E-10</v>
      </c>
      <c r="V11" s="15">
        <f t="shared" si="13"/>
        <v>118911083255411.64</v>
      </c>
      <c r="W11" s="6">
        <f t="shared" si="14"/>
        <v>5</v>
      </c>
      <c r="X11" s="15">
        <f t="shared" si="15"/>
        <v>2.0904537872874855E-10</v>
      </c>
      <c r="Y11" s="15">
        <f t="shared" si="16"/>
        <v>125887127070452.38</v>
      </c>
    </row>
    <row r="12" spans="1:25" x14ac:dyDescent="0.25">
      <c r="A12" s="14">
        <v>55</v>
      </c>
      <c r="B12" s="14">
        <f t="shared" si="1"/>
        <v>0.91666666666666663</v>
      </c>
      <c r="C12" s="14">
        <v>20</v>
      </c>
      <c r="D12" s="14">
        <f t="shared" si="0"/>
        <v>29.146000000000001</v>
      </c>
      <c r="E12" s="14">
        <f t="shared" si="2"/>
        <v>4.8576666666666667E-7</v>
      </c>
      <c r="F12" s="14">
        <v>21.1</v>
      </c>
      <c r="G12" s="14">
        <f t="shared" si="3"/>
        <v>294.10000000000002</v>
      </c>
      <c r="H12" s="14">
        <v>101.3</v>
      </c>
      <c r="I12" s="14">
        <f t="shared" si="4"/>
        <v>101300</v>
      </c>
      <c r="J12" s="14">
        <f t="shared" si="5"/>
        <v>2.0124824921938581E-5</v>
      </c>
      <c r="K12" s="33">
        <v>3687.5445544554455</v>
      </c>
      <c r="L12" s="15">
        <f t="shared" si="6"/>
        <v>3.6875445544554456E-3</v>
      </c>
      <c r="M12" s="14">
        <f t="shared" si="7"/>
        <v>4.7762865441819992E-3</v>
      </c>
      <c r="N12" s="37">
        <f t="shared" si="8"/>
        <v>3.1074847735281124E-5</v>
      </c>
      <c r="O12" s="37">
        <v>2.032E-3</v>
      </c>
      <c r="P12" s="15">
        <v>0.1</v>
      </c>
      <c r="Q12" s="15">
        <f t="shared" si="9"/>
        <v>110000.00000000001</v>
      </c>
      <c r="R12" s="15">
        <v>0.06</v>
      </c>
      <c r="S12" s="15">
        <f t="shared" si="10"/>
        <v>106000</v>
      </c>
      <c r="T12" s="15">
        <f t="shared" si="11"/>
        <v>390.8797227722772</v>
      </c>
      <c r="U12" s="15">
        <f t="shared" si="12"/>
        <v>2.0245511571996492E-10</v>
      </c>
      <c r="V12" s="15">
        <f t="shared" si="13"/>
        <v>121918470686562.88</v>
      </c>
      <c r="W12" s="6">
        <f t="shared" si="14"/>
        <v>5</v>
      </c>
      <c r="X12" s="15">
        <f t="shared" si="15"/>
        <v>2.1451519677426886E-10</v>
      </c>
      <c r="Y12" s="15">
        <f t="shared" si="16"/>
        <v>129181051497464.72</v>
      </c>
    </row>
    <row r="13" spans="1:25" x14ac:dyDescent="0.25">
      <c r="A13" s="14">
        <v>60.5</v>
      </c>
      <c r="B13" s="14">
        <f t="shared" si="1"/>
        <v>1.0083333333333333</v>
      </c>
      <c r="C13" s="14">
        <v>20</v>
      </c>
      <c r="D13" s="14">
        <f t="shared" si="0"/>
        <v>29.146000000000001</v>
      </c>
      <c r="E13" s="14">
        <f t="shared" si="2"/>
        <v>4.8576666666666667E-7</v>
      </c>
      <c r="F13" s="14">
        <v>21.1</v>
      </c>
      <c r="G13" s="14">
        <f t="shared" si="3"/>
        <v>294.10000000000002</v>
      </c>
      <c r="H13" s="14">
        <v>101.3</v>
      </c>
      <c r="I13" s="14">
        <f t="shared" si="4"/>
        <v>101300</v>
      </c>
      <c r="J13" s="14">
        <f t="shared" si="5"/>
        <v>2.0124824921938581E-5</v>
      </c>
      <c r="K13" s="33">
        <v>3733.8811881188121</v>
      </c>
      <c r="L13" s="15">
        <f t="shared" si="6"/>
        <v>3.7338811881188123E-3</v>
      </c>
      <c r="M13" s="14">
        <f t="shared" si="7"/>
        <v>4.7762865441819992E-3</v>
      </c>
      <c r="N13" s="37">
        <f t="shared" si="8"/>
        <v>3.1465325413419238E-5</v>
      </c>
      <c r="O13" s="37">
        <v>2.032E-3</v>
      </c>
      <c r="P13" s="15">
        <v>0.1</v>
      </c>
      <c r="Q13" s="15">
        <f t="shared" si="9"/>
        <v>110000.00000000001</v>
      </c>
      <c r="R13" s="15">
        <v>0.06</v>
      </c>
      <c r="S13" s="15">
        <f t="shared" si="10"/>
        <v>106000</v>
      </c>
      <c r="T13" s="15">
        <f t="shared" si="11"/>
        <v>395.79140594059407</v>
      </c>
      <c r="U13" s="15">
        <f t="shared" si="12"/>
        <v>2.0508053090899373E-10</v>
      </c>
      <c r="V13" s="15">
        <f t="shared" si="13"/>
        <v>123499495713396.03</v>
      </c>
      <c r="W13" s="6">
        <f t="shared" si="14"/>
        <v>5</v>
      </c>
      <c r="X13" s="15">
        <f t="shared" si="15"/>
        <v>2.1739363751355176E-10</v>
      </c>
      <c r="Y13" s="15">
        <f t="shared" si="16"/>
        <v>130914448510660.88</v>
      </c>
    </row>
    <row r="14" spans="1:25" x14ac:dyDescent="0.25">
      <c r="A14" s="14">
        <v>66</v>
      </c>
      <c r="B14" s="14">
        <f t="shared" si="1"/>
        <v>1.1000000000000001</v>
      </c>
      <c r="C14" s="14">
        <v>20</v>
      </c>
      <c r="D14" s="14">
        <f t="shared" si="0"/>
        <v>29.146000000000001</v>
      </c>
      <c r="E14" s="14">
        <f t="shared" si="2"/>
        <v>4.8576666666666667E-7</v>
      </c>
      <c r="F14" s="14">
        <v>21.1</v>
      </c>
      <c r="G14" s="14">
        <f t="shared" si="3"/>
        <v>294.10000000000002</v>
      </c>
      <c r="H14" s="14">
        <v>101.3</v>
      </c>
      <c r="I14" s="14">
        <f t="shared" si="4"/>
        <v>101300</v>
      </c>
      <c r="J14" s="14">
        <f t="shared" si="5"/>
        <v>2.0124824921938581E-5</v>
      </c>
      <c r="K14" s="33">
        <v>3744.4504950495052</v>
      </c>
      <c r="L14" s="15">
        <f t="shared" si="6"/>
        <v>3.7444504950495052E-3</v>
      </c>
      <c r="M14" s="14">
        <f t="shared" si="7"/>
        <v>4.7762865441819992E-3</v>
      </c>
      <c r="N14" s="37">
        <f t="shared" si="8"/>
        <v>3.1554392704319336E-5</v>
      </c>
      <c r="O14" s="37">
        <v>2.032E-3</v>
      </c>
      <c r="P14" s="15">
        <v>0.1</v>
      </c>
      <c r="Q14" s="15">
        <f t="shared" si="9"/>
        <v>110000.00000000001</v>
      </c>
      <c r="R14" s="15">
        <v>0.06</v>
      </c>
      <c r="S14" s="15">
        <f t="shared" si="10"/>
        <v>106000</v>
      </c>
      <c r="T14" s="15">
        <f t="shared" si="11"/>
        <v>396.91175247524757</v>
      </c>
      <c r="U14" s="15">
        <f t="shared" si="12"/>
        <v>2.0567960463528886E-10</v>
      </c>
      <c r="V14" s="15">
        <f t="shared" si="13"/>
        <v>123860257911370.95</v>
      </c>
      <c r="W14" s="6">
        <f t="shared" si="14"/>
        <v>5</v>
      </c>
      <c r="X14" s="15">
        <f t="shared" si="15"/>
        <v>2.1805072415685489E-10</v>
      </c>
      <c r="Y14" s="15">
        <f t="shared" si="16"/>
        <v>131310146087258.02</v>
      </c>
    </row>
    <row r="15" spans="1:25" x14ac:dyDescent="0.25">
      <c r="A15" s="14">
        <v>71.5</v>
      </c>
      <c r="B15" s="14">
        <f t="shared" si="1"/>
        <v>1.1916666666666667</v>
      </c>
      <c r="C15" s="14">
        <v>20</v>
      </c>
      <c r="D15" s="14">
        <f t="shared" si="0"/>
        <v>29.146000000000001</v>
      </c>
      <c r="E15" s="14">
        <f t="shared" si="2"/>
        <v>4.8576666666666667E-7</v>
      </c>
      <c r="F15" s="14">
        <v>21.1</v>
      </c>
      <c r="G15" s="14">
        <f t="shared" si="3"/>
        <v>294.10000000000002</v>
      </c>
      <c r="H15" s="14">
        <v>101.3</v>
      </c>
      <c r="I15" s="14">
        <f t="shared" si="4"/>
        <v>101300</v>
      </c>
      <c r="J15" s="14">
        <f t="shared" si="5"/>
        <v>2.0124824921938581E-5</v>
      </c>
      <c r="K15" s="33">
        <v>3773.7326732673273</v>
      </c>
      <c r="L15" s="15">
        <f t="shared" si="6"/>
        <v>3.7737326732673274E-3</v>
      </c>
      <c r="M15" s="14">
        <f t="shared" si="7"/>
        <v>4.7762865441819992E-3</v>
      </c>
      <c r="N15" s="37">
        <f t="shared" si="8"/>
        <v>3.1801152903698284E-5</v>
      </c>
      <c r="O15" s="37">
        <v>2.032E-3</v>
      </c>
      <c r="P15" s="15">
        <v>0.1</v>
      </c>
      <c r="Q15" s="15">
        <f t="shared" si="9"/>
        <v>110000.00000000001</v>
      </c>
      <c r="R15" s="15">
        <v>0.06</v>
      </c>
      <c r="S15" s="15">
        <f t="shared" si="10"/>
        <v>106000</v>
      </c>
      <c r="T15" s="15">
        <f t="shared" si="11"/>
        <v>400.0156633663367</v>
      </c>
      <c r="U15" s="15">
        <f t="shared" si="12"/>
        <v>2.073397609184679E-10</v>
      </c>
      <c r="V15" s="15">
        <f t="shared" si="13"/>
        <v>124860004025101.38</v>
      </c>
      <c r="W15" s="6">
        <f t="shared" si="14"/>
        <v>5</v>
      </c>
      <c r="X15" s="15">
        <f t="shared" si="15"/>
        <v>2.198721822625718E-10</v>
      </c>
      <c r="Y15" s="15">
        <f t="shared" si="16"/>
        <v>132407028158520.75</v>
      </c>
    </row>
    <row r="16" spans="1:25" x14ac:dyDescent="0.25">
      <c r="A16" s="14">
        <v>77</v>
      </c>
      <c r="B16" s="14">
        <f t="shared" si="1"/>
        <v>1.2833333333333334</v>
      </c>
      <c r="C16" s="14">
        <v>20</v>
      </c>
      <c r="D16" s="14">
        <f t="shared" si="0"/>
        <v>29.146000000000001</v>
      </c>
      <c r="E16" s="14">
        <f t="shared" si="2"/>
        <v>4.8576666666666667E-7</v>
      </c>
      <c r="F16" s="14">
        <v>21.1</v>
      </c>
      <c r="G16" s="14">
        <f t="shared" si="3"/>
        <v>294.10000000000002</v>
      </c>
      <c r="H16" s="14">
        <v>101.3</v>
      </c>
      <c r="I16" s="14">
        <f t="shared" si="4"/>
        <v>101300</v>
      </c>
      <c r="J16" s="14">
        <f t="shared" si="5"/>
        <v>2.0124824921938581E-5</v>
      </c>
      <c r="K16" s="38">
        <v>3783.1633663366342</v>
      </c>
      <c r="L16" s="15">
        <f t="shared" si="6"/>
        <v>3.7831633663366342E-3</v>
      </c>
      <c r="M16" s="14">
        <f t="shared" si="7"/>
        <v>4.7762865441819992E-3</v>
      </c>
      <c r="N16" s="52">
        <f t="shared" si="8"/>
        <v>3.1880625123447547E-5</v>
      </c>
      <c r="O16" s="37">
        <v>2.032E-3</v>
      </c>
      <c r="P16" s="15">
        <v>0.1</v>
      </c>
      <c r="Q16" s="15">
        <f t="shared" si="9"/>
        <v>110000.00000000001</v>
      </c>
      <c r="R16" s="15">
        <v>0.06</v>
      </c>
      <c r="S16" s="15">
        <f t="shared" si="10"/>
        <v>106000</v>
      </c>
      <c r="T16" s="15">
        <f t="shared" si="11"/>
        <v>401.01531683168321</v>
      </c>
      <c r="U16" s="16">
        <f t="shared" si="12"/>
        <v>2.0787456857489609E-10</v>
      </c>
      <c r="V16" s="16">
        <f t="shared" si="13"/>
        <v>125182065195802.42</v>
      </c>
      <c r="W16" s="6">
        <f t="shared" si="14"/>
        <v>5</v>
      </c>
      <c r="X16" s="16">
        <f t="shared" si="15"/>
        <v>2.2045911968290803E-10</v>
      </c>
      <c r="Y16" s="16">
        <f t="shared" si="16"/>
        <v>132760481873047.22</v>
      </c>
    </row>
    <row r="17" spans="1:25" x14ac:dyDescent="0.25">
      <c r="A17" s="14">
        <v>82.5</v>
      </c>
      <c r="B17" s="14">
        <f t="shared" si="1"/>
        <v>1.375</v>
      </c>
      <c r="C17" s="14">
        <v>20</v>
      </c>
      <c r="D17" s="14">
        <f t="shared" si="0"/>
        <v>29.146000000000001</v>
      </c>
      <c r="E17" s="14">
        <f t="shared" si="2"/>
        <v>4.8576666666666667E-7</v>
      </c>
      <c r="F17" s="14">
        <v>21.1</v>
      </c>
      <c r="G17" s="14">
        <f t="shared" si="3"/>
        <v>294.10000000000002</v>
      </c>
      <c r="H17" s="14">
        <v>101.3</v>
      </c>
      <c r="I17" s="14">
        <f t="shared" si="4"/>
        <v>101300</v>
      </c>
      <c r="J17" s="14">
        <f t="shared" si="5"/>
        <v>2.0124824921938581E-5</v>
      </c>
      <c r="K17" s="38">
        <v>3772.0247524752481</v>
      </c>
      <c r="L17" s="15">
        <f t="shared" si="6"/>
        <v>3.772024752475248E-3</v>
      </c>
      <c r="M17" s="14">
        <f t="shared" si="7"/>
        <v>4.7762865441819992E-3</v>
      </c>
      <c r="N17" s="52">
        <f t="shared" si="8"/>
        <v>3.1786760296972038E-5</v>
      </c>
      <c r="O17" s="37">
        <v>2.032E-3</v>
      </c>
      <c r="P17" s="15">
        <v>0.1</v>
      </c>
      <c r="Q17" s="15">
        <f t="shared" si="9"/>
        <v>110000.00000000001</v>
      </c>
      <c r="R17" s="15">
        <v>0.06</v>
      </c>
      <c r="S17" s="15">
        <f t="shared" si="10"/>
        <v>106000</v>
      </c>
      <c r="T17" s="15">
        <f t="shared" si="11"/>
        <v>399.83462376237628</v>
      </c>
      <c r="U17" s="16">
        <f t="shared" si="12"/>
        <v>2.0724291293714363E-10</v>
      </c>
      <c r="V17" s="16">
        <f t="shared" si="13"/>
        <v>124801682170747.89</v>
      </c>
      <c r="W17" s="6">
        <f t="shared" si="14"/>
        <v>5</v>
      </c>
      <c r="X17" s="16">
        <f t="shared" si="15"/>
        <v>2.1976590285697347E-10</v>
      </c>
      <c r="Y17" s="16">
        <f t="shared" si="16"/>
        <v>132343026700469.42</v>
      </c>
    </row>
    <row r="18" spans="1:25" x14ac:dyDescent="0.25">
      <c r="A18" s="14">
        <v>88</v>
      </c>
      <c r="B18" s="14">
        <f t="shared" si="1"/>
        <v>1.4666666666666666</v>
      </c>
      <c r="C18" s="14">
        <v>20</v>
      </c>
      <c r="D18" s="14">
        <f t="shared" si="0"/>
        <v>29.146000000000001</v>
      </c>
      <c r="E18" s="14">
        <f t="shared" si="2"/>
        <v>4.8576666666666667E-7</v>
      </c>
      <c r="F18" s="14">
        <v>21.1</v>
      </c>
      <c r="G18" s="14">
        <f t="shared" si="3"/>
        <v>294.10000000000002</v>
      </c>
      <c r="H18" s="14">
        <v>101.3</v>
      </c>
      <c r="I18" s="14">
        <f t="shared" si="4"/>
        <v>101300</v>
      </c>
      <c r="J18" s="14">
        <f t="shared" si="5"/>
        <v>2.0124824921938581E-5</v>
      </c>
      <c r="K18" s="38">
        <v>3756.2326732673268</v>
      </c>
      <c r="L18" s="15">
        <f t="shared" si="6"/>
        <v>3.7562326732673268E-3</v>
      </c>
      <c r="M18" s="14">
        <f t="shared" si="7"/>
        <v>4.7762865441819992E-3</v>
      </c>
      <c r="N18" s="52">
        <f t="shared" si="8"/>
        <v>3.1653680831880094E-5</v>
      </c>
      <c r="O18" s="37">
        <v>2.032E-3</v>
      </c>
      <c r="P18" s="15">
        <v>0.1</v>
      </c>
      <c r="Q18" s="15">
        <f t="shared" si="9"/>
        <v>110000.00000000001</v>
      </c>
      <c r="R18" s="15">
        <v>0.06</v>
      </c>
      <c r="S18" s="15">
        <f t="shared" si="10"/>
        <v>106000</v>
      </c>
      <c r="T18" s="15">
        <f t="shared" si="11"/>
        <v>398.16066336633662</v>
      </c>
      <c r="U18" s="16">
        <f t="shared" si="12"/>
        <v>2.0634752105052879E-10</v>
      </c>
      <c r="V18" s="16">
        <f t="shared" si="13"/>
        <v>124262477176628.44</v>
      </c>
      <c r="W18" s="6">
        <f t="shared" si="14"/>
        <v>5</v>
      </c>
      <c r="X18" s="16">
        <f t="shared" si="15"/>
        <v>2.1878344108890926E-10</v>
      </c>
      <c r="Y18" s="16">
        <f t="shared" si="16"/>
        <v>131751388223741.16</v>
      </c>
    </row>
    <row r="19" spans="1:25" x14ac:dyDescent="0.25">
      <c r="A19" s="14">
        <v>93.5</v>
      </c>
      <c r="B19" s="14">
        <f t="shared" si="1"/>
        <v>1.5583333333333333</v>
      </c>
      <c r="C19" s="14">
        <v>20</v>
      </c>
      <c r="D19" s="14">
        <f t="shared" si="0"/>
        <v>29.146000000000001</v>
      </c>
      <c r="E19" s="14">
        <f t="shared" si="2"/>
        <v>4.8576666666666667E-7</v>
      </c>
      <c r="F19" s="14">
        <v>21.1</v>
      </c>
      <c r="G19" s="14">
        <f t="shared" si="3"/>
        <v>294.10000000000002</v>
      </c>
      <c r="H19" s="14">
        <v>101.3</v>
      </c>
      <c r="I19" s="14">
        <f t="shared" si="4"/>
        <v>101300</v>
      </c>
      <c r="J19" s="14">
        <f t="shared" si="5"/>
        <v>2.0124824921938581E-5</v>
      </c>
      <c r="K19" s="38">
        <v>3766.9009900990104</v>
      </c>
      <c r="L19" s="15">
        <f t="shared" si="6"/>
        <v>3.7669009900990103E-3</v>
      </c>
      <c r="M19" s="14">
        <f t="shared" si="7"/>
        <v>4.7762865441819992E-3</v>
      </c>
      <c r="N19" s="52">
        <f t="shared" si="8"/>
        <v>3.1743582476793304E-5</v>
      </c>
      <c r="O19" s="37">
        <v>2.032E-3</v>
      </c>
      <c r="P19" s="15">
        <v>0.1</v>
      </c>
      <c r="Q19" s="15">
        <f t="shared" si="9"/>
        <v>110000.00000000001</v>
      </c>
      <c r="R19" s="15">
        <v>0.06</v>
      </c>
      <c r="S19" s="15">
        <f t="shared" si="10"/>
        <v>106000</v>
      </c>
      <c r="T19" s="15">
        <f t="shared" si="11"/>
        <v>399.2915049504951</v>
      </c>
      <c r="U19" s="16">
        <f t="shared" si="12"/>
        <v>2.0695238178616294E-10</v>
      </c>
      <c r="V19" s="16">
        <f t="shared" si="13"/>
        <v>124626724311627.33</v>
      </c>
      <c r="W19" s="6">
        <f t="shared" si="14"/>
        <v>5</v>
      </c>
      <c r="X19" s="16">
        <f t="shared" si="15"/>
        <v>2.1944709473361306E-10</v>
      </c>
      <c r="Y19" s="16">
        <f t="shared" si="16"/>
        <v>132151040448581.8</v>
      </c>
    </row>
    <row r="20" spans="1:25" x14ac:dyDescent="0.25">
      <c r="A20" s="14">
        <v>99</v>
      </c>
      <c r="B20" s="14">
        <f t="shared" si="1"/>
        <v>1.65</v>
      </c>
      <c r="C20" s="14">
        <v>20</v>
      </c>
      <c r="D20" s="14">
        <f t="shared" si="0"/>
        <v>29.146000000000001</v>
      </c>
      <c r="E20" s="14">
        <f t="shared" si="2"/>
        <v>4.8576666666666667E-7</v>
      </c>
      <c r="F20" s="14">
        <v>21.1</v>
      </c>
      <c r="G20" s="14">
        <f t="shared" si="3"/>
        <v>294.10000000000002</v>
      </c>
      <c r="H20" s="14">
        <v>101.3</v>
      </c>
      <c r="I20" s="14">
        <f t="shared" si="4"/>
        <v>101300</v>
      </c>
      <c r="J20" s="14">
        <f t="shared" si="5"/>
        <v>2.0124824921938581E-5</v>
      </c>
      <c r="K20" s="38">
        <v>3768.1881188118814</v>
      </c>
      <c r="L20" s="15">
        <f t="shared" si="6"/>
        <v>3.7681881188118813E-3</v>
      </c>
      <c r="M20" s="14">
        <f t="shared" si="7"/>
        <v>4.7762865441819992E-3</v>
      </c>
      <c r="N20" s="52">
        <f t="shared" si="8"/>
        <v>3.1754429078963808E-5</v>
      </c>
      <c r="O20" s="37">
        <v>2.032E-3</v>
      </c>
      <c r="P20" s="15">
        <v>0.1</v>
      </c>
      <c r="Q20" s="15">
        <f t="shared" si="9"/>
        <v>110000.00000000001</v>
      </c>
      <c r="R20" s="15">
        <v>0.06</v>
      </c>
      <c r="S20" s="15">
        <f t="shared" si="10"/>
        <v>106000</v>
      </c>
      <c r="T20" s="15">
        <f t="shared" si="11"/>
        <v>399.42794059405941</v>
      </c>
      <c r="U20" s="16">
        <f t="shared" si="12"/>
        <v>2.0702536365177996E-10</v>
      </c>
      <c r="V20" s="16">
        <f t="shared" si="13"/>
        <v>124670673991101.91</v>
      </c>
      <c r="W20" s="6">
        <f t="shared" si="14"/>
        <v>5</v>
      </c>
      <c r="X20" s="16">
        <f t="shared" si="15"/>
        <v>2.1952717755227381E-10</v>
      </c>
      <c r="Y20" s="16">
        <f t="shared" si="16"/>
        <v>132199266321979.3</v>
      </c>
    </row>
    <row r="21" spans="1:25" x14ac:dyDescent="0.25">
      <c r="A21" s="14">
        <v>104.5</v>
      </c>
      <c r="B21" s="14">
        <f t="shared" si="1"/>
        <v>1.7416666666666667</v>
      </c>
      <c r="C21" s="14">
        <v>20</v>
      </c>
      <c r="D21" s="14">
        <f t="shared" si="0"/>
        <v>29.146000000000001</v>
      </c>
      <c r="E21" s="14">
        <f t="shared" si="2"/>
        <v>4.8576666666666667E-7</v>
      </c>
      <c r="F21" s="14">
        <v>21.1</v>
      </c>
      <c r="G21" s="14">
        <f t="shared" si="3"/>
        <v>294.10000000000002</v>
      </c>
      <c r="H21" s="14">
        <v>101.3</v>
      </c>
      <c r="I21" s="14">
        <f t="shared" si="4"/>
        <v>101300</v>
      </c>
      <c r="J21" s="14">
        <f t="shared" si="5"/>
        <v>2.0124824921938581E-5</v>
      </c>
      <c r="K21" s="38">
        <v>3766.2821782178221</v>
      </c>
      <c r="L21" s="15">
        <f t="shared" si="6"/>
        <v>3.7662821782178221E-3</v>
      </c>
      <c r="M21" s="14">
        <f t="shared" si="7"/>
        <v>4.7762865441819992E-3</v>
      </c>
      <c r="N21" s="52">
        <f t="shared" si="8"/>
        <v>3.1738367764211337E-5</v>
      </c>
      <c r="O21" s="37">
        <v>2.032E-3</v>
      </c>
      <c r="P21" s="15">
        <v>0.1</v>
      </c>
      <c r="Q21" s="15">
        <f t="shared" si="9"/>
        <v>110000.00000000001</v>
      </c>
      <c r="R21" s="15">
        <v>0.06</v>
      </c>
      <c r="S21" s="15">
        <f t="shared" si="10"/>
        <v>106000</v>
      </c>
      <c r="T21" s="15">
        <f t="shared" si="11"/>
        <v>399.22591089108914</v>
      </c>
      <c r="U21" s="16">
        <f t="shared" si="12"/>
        <v>2.0691729478199424E-10</v>
      </c>
      <c r="V21" s="16">
        <f t="shared" si="13"/>
        <v>124605594917716.94</v>
      </c>
      <c r="W21" s="6">
        <f t="shared" si="14"/>
        <v>5</v>
      </c>
      <c r="X21" s="16">
        <f t="shared" si="15"/>
        <v>2.1940859439277363E-10</v>
      </c>
      <c r="Y21" s="16">
        <f t="shared" si="16"/>
        <v>132127855543328.28</v>
      </c>
    </row>
    <row r="22" spans="1:25" x14ac:dyDescent="0.25">
      <c r="A22" s="14">
        <v>110</v>
      </c>
      <c r="B22" s="14">
        <f t="shared" si="1"/>
        <v>1.8333333333333333</v>
      </c>
      <c r="C22" s="14">
        <v>20</v>
      </c>
      <c r="D22" s="14">
        <f t="shared" si="0"/>
        <v>29.146000000000001</v>
      </c>
      <c r="E22" s="14">
        <f t="shared" si="2"/>
        <v>4.8576666666666667E-7</v>
      </c>
      <c r="F22" s="14">
        <v>21.1</v>
      </c>
      <c r="G22" s="14">
        <f t="shared" si="3"/>
        <v>294.10000000000002</v>
      </c>
      <c r="H22" s="14">
        <v>101.3</v>
      </c>
      <c r="I22" s="14">
        <f t="shared" si="4"/>
        <v>101300</v>
      </c>
      <c r="J22" s="14">
        <f t="shared" si="5"/>
        <v>2.0124824921938581E-5</v>
      </c>
      <c r="K22" s="38">
        <v>3750.8118811881191</v>
      </c>
      <c r="L22" s="15">
        <f t="shared" si="6"/>
        <v>3.7508118811881192E-3</v>
      </c>
      <c r="M22" s="14">
        <f t="shared" si="7"/>
        <v>4.7762865441819992E-3</v>
      </c>
      <c r="N22" s="52">
        <f t="shared" si="8"/>
        <v>3.1607999949662011E-5</v>
      </c>
      <c r="O22" s="37">
        <v>2.032E-3</v>
      </c>
      <c r="P22" s="15">
        <v>0.1</v>
      </c>
      <c r="Q22" s="15">
        <f t="shared" si="9"/>
        <v>110000.00000000001</v>
      </c>
      <c r="R22" s="15">
        <v>0.06</v>
      </c>
      <c r="S22" s="15">
        <f t="shared" si="10"/>
        <v>106000</v>
      </c>
      <c r="T22" s="15">
        <f t="shared" si="11"/>
        <v>397.58605940594066</v>
      </c>
      <c r="U22" s="16">
        <f t="shared" si="12"/>
        <v>2.0604021074087481E-10</v>
      </c>
      <c r="V22" s="16">
        <f t="shared" si="13"/>
        <v>124077414908154.81</v>
      </c>
      <c r="W22" s="6">
        <f t="shared" si="14"/>
        <v>5</v>
      </c>
      <c r="X22" s="16">
        <f t="shared" si="15"/>
        <v>2.1844630003008137E-10</v>
      </c>
      <c r="Y22" s="16">
        <f t="shared" si="16"/>
        <v>131548361878115</v>
      </c>
    </row>
    <row r="23" spans="1:25" x14ac:dyDescent="0.25">
      <c r="A23" s="14">
        <v>115.5</v>
      </c>
      <c r="B23" s="14">
        <f t="shared" si="1"/>
        <v>1.925</v>
      </c>
      <c r="C23" s="14">
        <v>20</v>
      </c>
      <c r="D23" s="14">
        <f t="shared" si="0"/>
        <v>29.146000000000001</v>
      </c>
      <c r="E23" s="14">
        <f t="shared" si="2"/>
        <v>4.8576666666666667E-7</v>
      </c>
      <c r="F23" s="14">
        <v>21.1</v>
      </c>
      <c r="G23" s="14">
        <f t="shared" si="3"/>
        <v>294.10000000000002</v>
      </c>
      <c r="H23" s="14">
        <v>101.3</v>
      </c>
      <c r="I23" s="14">
        <f t="shared" si="4"/>
        <v>101300</v>
      </c>
      <c r="J23" s="14">
        <f t="shared" si="5"/>
        <v>2.0124824921938581E-5</v>
      </c>
      <c r="K23" s="38">
        <v>3786.8019801980204</v>
      </c>
      <c r="L23" s="15">
        <f t="shared" si="6"/>
        <v>3.7868019801980202E-3</v>
      </c>
      <c r="M23" s="14">
        <f t="shared" si="7"/>
        <v>4.7762865441819992E-3</v>
      </c>
      <c r="N23" s="52">
        <f t="shared" si="8"/>
        <v>3.1911287633429546E-5</v>
      </c>
      <c r="O23" s="37">
        <v>2.032E-3</v>
      </c>
      <c r="P23" s="15">
        <v>0.1</v>
      </c>
      <c r="Q23" s="15">
        <f t="shared" si="9"/>
        <v>110000.00000000001</v>
      </c>
      <c r="R23" s="15">
        <v>0.06</v>
      </c>
      <c r="S23" s="15">
        <f t="shared" si="10"/>
        <v>106000</v>
      </c>
      <c r="T23" s="15">
        <f t="shared" si="11"/>
        <v>401.40100990099012</v>
      </c>
      <c r="U23" s="16">
        <f t="shared" si="12"/>
        <v>2.0808092904649844E-10</v>
      </c>
      <c r="V23" s="16">
        <f t="shared" si="13"/>
        <v>125306335471801.36</v>
      </c>
      <c r="W23" s="6">
        <f t="shared" si="14"/>
        <v>5</v>
      </c>
      <c r="X23" s="16">
        <f t="shared" si="15"/>
        <v>2.2068561670059325E-10</v>
      </c>
      <c r="Y23" s="16">
        <f t="shared" si="16"/>
        <v>132896878377097.27</v>
      </c>
    </row>
    <row r="24" spans="1:25" x14ac:dyDescent="0.25">
      <c r="A24" s="14">
        <v>121</v>
      </c>
      <c r="B24" s="14">
        <f t="shared" si="1"/>
        <v>2.0166666666666666</v>
      </c>
      <c r="C24" s="14">
        <v>20</v>
      </c>
      <c r="D24" s="14">
        <f t="shared" si="0"/>
        <v>29.146000000000001</v>
      </c>
      <c r="E24" s="14">
        <f t="shared" si="2"/>
        <v>4.8576666666666667E-7</v>
      </c>
      <c r="F24" s="14">
        <v>21.1</v>
      </c>
      <c r="G24" s="14">
        <f t="shared" si="3"/>
        <v>294.10000000000002</v>
      </c>
      <c r="H24" s="14">
        <v>101.3</v>
      </c>
      <c r="I24" s="14">
        <f t="shared" si="4"/>
        <v>101300</v>
      </c>
      <c r="J24" s="14">
        <f t="shared" si="5"/>
        <v>2.0124824921938581E-5</v>
      </c>
      <c r="K24" s="38">
        <v>3770.4653465346541</v>
      </c>
      <c r="L24" s="15">
        <f t="shared" si="6"/>
        <v>3.770465346534654E-3</v>
      </c>
      <c r="M24" s="14">
        <f t="shared" si="7"/>
        <v>4.7762865441819992E-3</v>
      </c>
      <c r="N24" s="52">
        <f t="shared" si="8"/>
        <v>3.1773619221265472E-5</v>
      </c>
      <c r="O24" s="37">
        <v>2.032E-3</v>
      </c>
      <c r="P24" s="15">
        <v>0.1</v>
      </c>
      <c r="Q24" s="15">
        <f t="shared" si="9"/>
        <v>110000.00000000001</v>
      </c>
      <c r="R24" s="15">
        <v>0.06</v>
      </c>
      <c r="S24" s="15">
        <f t="shared" si="10"/>
        <v>106000</v>
      </c>
      <c r="T24" s="15">
        <f t="shared" si="11"/>
        <v>399.66932673267331</v>
      </c>
      <c r="U24" s="16">
        <f t="shared" si="12"/>
        <v>2.0715448838128785E-10</v>
      </c>
      <c r="V24" s="16">
        <f t="shared" si="13"/>
        <v>124748432903211.55</v>
      </c>
      <c r="W24" s="6">
        <f t="shared" si="14"/>
        <v>5</v>
      </c>
      <c r="X24" s="16">
        <f t="shared" si="15"/>
        <v>2.1966886951871123E-10</v>
      </c>
      <c r="Y24" s="16">
        <f t="shared" si="16"/>
        <v>132284593224167.91</v>
      </c>
    </row>
    <row r="25" spans="1:25" x14ac:dyDescent="0.25">
      <c r="A25" s="14">
        <v>126.5</v>
      </c>
      <c r="B25" s="14">
        <f t="shared" si="1"/>
        <v>2.1083333333333334</v>
      </c>
      <c r="C25" s="14">
        <v>20</v>
      </c>
      <c r="D25" s="14">
        <f t="shared" si="0"/>
        <v>29.146000000000001</v>
      </c>
      <c r="E25" s="14">
        <f t="shared" si="2"/>
        <v>4.8576666666666667E-7</v>
      </c>
      <c r="F25" s="14">
        <v>21.1</v>
      </c>
      <c r="G25" s="14">
        <f t="shared" si="3"/>
        <v>294.10000000000002</v>
      </c>
      <c r="H25" s="14">
        <v>101.3</v>
      </c>
      <c r="I25" s="14">
        <f t="shared" si="4"/>
        <v>101300</v>
      </c>
      <c r="J25" s="14">
        <f t="shared" si="5"/>
        <v>2.0124824921938581E-5</v>
      </c>
      <c r="K25" s="38">
        <v>3793.7326732673273</v>
      </c>
      <c r="L25" s="15">
        <f t="shared" si="6"/>
        <v>3.7937326732673275E-3</v>
      </c>
      <c r="M25" s="14">
        <f t="shared" si="7"/>
        <v>4.7762865441819992E-3</v>
      </c>
      <c r="N25" s="52">
        <f t="shared" si="8"/>
        <v>3.1969692414347645E-5</v>
      </c>
      <c r="O25" s="37">
        <v>2.032E-3</v>
      </c>
      <c r="P25" s="15">
        <v>0.1</v>
      </c>
      <c r="Q25" s="15">
        <f t="shared" si="9"/>
        <v>110000.00000000001</v>
      </c>
      <c r="R25" s="15">
        <v>0.06</v>
      </c>
      <c r="S25" s="15">
        <f t="shared" si="10"/>
        <v>106000</v>
      </c>
      <c r="T25" s="15">
        <f t="shared" si="11"/>
        <v>402.1356633663367</v>
      </c>
      <c r="U25" s="16">
        <f t="shared" si="12"/>
        <v>2.0847402333348258E-10</v>
      </c>
      <c r="V25" s="16">
        <f t="shared" si="13"/>
        <v>125543056851423.22</v>
      </c>
      <c r="W25" s="6">
        <f t="shared" si="14"/>
        <v>5</v>
      </c>
      <c r="X25" s="16">
        <f t="shared" si="15"/>
        <v>2.2111710247822677E-10</v>
      </c>
      <c r="Y25" s="16">
        <f t="shared" si="16"/>
        <v>133156719112388.17</v>
      </c>
    </row>
    <row r="26" spans="1:25" x14ac:dyDescent="0.25">
      <c r="A26" s="14">
        <v>132</v>
      </c>
      <c r="B26" s="14">
        <f t="shared" si="1"/>
        <v>2.2000000000000002</v>
      </c>
      <c r="C26" s="14">
        <v>20</v>
      </c>
      <c r="D26" s="14">
        <f t="shared" si="0"/>
        <v>29.146000000000001</v>
      </c>
      <c r="E26" s="14">
        <f t="shared" si="2"/>
        <v>4.8576666666666667E-7</v>
      </c>
      <c r="F26" s="14">
        <v>21.1</v>
      </c>
      <c r="G26" s="14">
        <f t="shared" si="3"/>
        <v>294.10000000000002</v>
      </c>
      <c r="H26" s="14">
        <v>101.3</v>
      </c>
      <c r="I26" s="14">
        <f t="shared" si="4"/>
        <v>101300</v>
      </c>
      <c r="J26" s="14">
        <f t="shared" si="5"/>
        <v>2.0124824921938581E-5</v>
      </c>
      <c r="K26" s="38">
        <v>3772.2227722772282</v>
      </c>
      <c r="L26" s="15">
        <f t="shared" si="6"/>
        <v>3.7722227722772283E-3</v>
      </c>
      <c r="M26" s="14">
        <f t="shared" si="7"/>
        <v>4.7762865441819992E-3</v>
      </c>
      <c r="N26" s="52">
        <f t="shared" si="8"/>
        <v>3.1788429004998268E-5</v>
      </c>
      <c r="O26" s="37">
        <v>2.032E-3</v>
      </c>
      <c r="P26" s="15">
        <v>0.1</v>
      </c>
      <c r="Q26" s="15">
        <f t="shared" si="9"/>
        <v>110000.00000000001</v>
      </c>
      <c r="R26" s="15">
        <v>0.06</v>
      </c>
      <c r="S26" s="15">
        <f t="shared" si="10"/>
        <v>106000</v>
      </c>
      <c r="T26" s="15">
        <f t="shared" si="11"/>
        <v>399.85561386138619</v>
      </c>
      <c r="U26" s="16">
        <f t="shared" si="12"/>
        <v>2.072541415793499E-10</v>
      </c>
      <c r="V26" s="16">
        <f t="shared" si="13"/>
        <v>124808444059084.52</v>
      </c>
      <c r="W26" s="6">
        <f t="shared" si="14"/>
        <v>5</v>
      </c>
      <c r="X26" s="16">
        <f t="shared" si="15"/>
        <v>2.1977822484988948E-10</v>
      </c>
      <c r="Y26" s="16">
        <f t="shared" si="16"/>
        <v>132350447004603.45</v>
      </c>
    </row>
    <row r="27" spans="1:25" x14ac:dyDescent="0.25">
      <c r="A27" s="14">
        <v>137.5</v>
      </c>
      <c r="B27" s="14">
        <f t="shared" si="1"/>
        <v>2.2916666666666665</v>
      </c>
      <c r="C27" s="14">
        <v>20</v>
      </c>
      <c r="D27" s="14">
        <f t="shared" si="0"/>
        <v>29.146000000000001</v>
      </c>
      <c r="E27" s="14">
        <f t="shared" si="2"/>
        <v>4.8576666666666667E-7</v>
      </c>
      <c r="F27" s="14">
        <v>21.1</v>
      </c>
      <c r="G27" s="14">
        <f t="shared" si="3"/>
        <v>294.10000000000002</v>
      </c>
      <c r="H27" s="14">
        <v>101.3</v>
      </c>
      <c r="I27" s="14">
        <f t="shared" si="4"/>
        <v>101300</v>
      </c>
      <c r="J27" s="14">
        <f t="shared" si="5"/>
        <v>2.0124824921938581E-5</v>
      </c>
      <c r="K27" s="38">
        <v>3802.8910891089117</v>
      </c>
      <c r="L27" s="15">
        <f t="shared" si="6"/>
        <v>3.8028910891089117E-3</v>
      </c>
      <c r="M27" s="14">
        <f t="shared" si="7"/>
        <v>4.7762865441819992E-3</v>
      </c>
      <c r="N27" s="52">
        <f t="shared" si="8"/>
        <v>3.2046870160560839E-5</v>
      </c>
      <c r="O27" s="37">
        <v>2.032E-3</v>
      </c>
      <c r="P27" s="15">
        <v>0.1</v>
      </c>
      <c r="Q27" s="15">
        <f t="shared" si="9"/>
        <v>110000.00000000001</v>
      </c>
      <c r="R27" s="15">
        <v>0.06</v>
      </c>
      <c r="S27" s="15">
        <f t="shared" si="10"/>
        <v>106000</v>
      </c>
      <c r="T27" s="15">
        <f t="shared" si="11"/>
        <v>403.10645544554467</v>
      </c>
      <c r="U27" s="16">
        <f t="shared" si="12"/>
        <v>2.0899352306949916E-10</v>
      </c>
      <c r="V27" s="16">
        <f t="shared" si="13"/>
        <v>125855899592452.41</v>
      </c>
      <c r="W27" s="6">
        <f t="shared" si="14"/>
        <v>5</v>
      </c>
      <c r="X27" s="16">
        <f t="shared" si="15"/>
        <v>2.2168740654308882E-10</v>
      </c>
      <c r="Y27" s="16">
        <f t="shared" si="16"/>
        <v>133500156220248.09</v>
      </c>
    </row>
    <row r="28" spans="1:25" x14ac:dyDescent="0.25">
      <c r="A28" s="14">
        <v>143</v>
      </c>
      <c r="B28" s="14">
        <f t="shared" si="1"/>
        <v>2.3833333333333333</v>
      </c>
      <c r="C28" s="14">
        <v>20</v>
      </c>
      <c r="D28" s="14">
        <f t="shared" si="0"/>
        <v>29.146000000000001</v>
      </c>
      <c r="E28" s="14">
        <f t="shared" si="2"/>
        <v>4.8576666666666667E-7</v>
      </c>
      <c r="F28" s="14">
        <v>21.1</v>
      </c>
      <c r="G28" s="14">
        <f t="shared" si="3"/>
        <v>294.10000000000002</v>
      </c>
      <c r="H28" s="14">
        <v>101.3</v>
      </c>
      <c r="I28" s="14">
        <f t="shared" si="4"/>
        <v>101300</v>
      </c>
      <c r="J28" s="14">
        <f t="shared" si="5"/>
        <v>2.0124824921938581E-5</v>
      </c>
      <c r="K28" s="38">
        <v>3784.5742574257429</v>
      </c>
      <c r="L28" s="15">
        <f t="shared" si="6"/>
        <v>3.7845742574257428E-3</v>
      </c>
      <c r="M28" s="14">
        <f t="shared" si="7"/>
        <v>4.7762865441819992E-3</v>
      </c>
      <c r="N28" s="52">
        <f t="shared" si="8"/>
        <v>3.1892514668134444E-5</v>
      </c>
      <c r="O28" s="37">
        <v>2.032E-3</v>
      </c>
      <c r="P28" s="15">
        <v>0.1</v>
      </c>
      <c r="Q28" s="15">
        <f t="shared" si="9"/>
        <v>110000.00000000001</v>
      </c>
      <c r="R28" s="15">
        <v>0.06</v>
      </c>
      <c r="S28" s="15">
        <f t="shared" si="10"/>
        <v>106000</v>
      </c>
      <c r="T28" s="15">
        <f t="shared" si="11"/>
        <v>401.16487128712873</v>
      </c>
      <c r="U28" s="16">
        <f t="shared" si="12"/>
        <v>2.079545847536662E-10</v>
      </c>
      <c r="V28" s="16">
        <f t="shared" si="13"/>
        <v>125230250938657.8</v>
      </c>
      <c r="W28" s="6">
        <f t="shared" si="14"/>
        <v>5</v>
      </c>
      <c r="X28" s="16">
        <f t="shared" si="15"/>
        <v>2.2054694235811987E-10</v>
      </c>
      <c r="Y28" s="16">
        <f t="shared" si="16"/>
        <v>132813368688059.8</v>
      </c>
    </row>
    <row r="29" spans="1:25" x14ac:dyDescent="0.25">
      <c r="A29" s="14">
        <v>148.5</v>
      </c>
      <c r="B29" s="14">
        <f t="shared" si="1"/>
        <v>2.4750000000000001</v>
      </c>
      <c r="C29" s="14">
        <v>20</v>
      </c>
      <c r="D29" s="14">
        <f t="shared" si="0"/>
        <v>29.146000000000001</v>
      </c>
      <c r="E29" s="14">
        <f t="shared" si="2"/>
        <v>4.8576666666666667E-7</v>
      </c>
      <c r="F29" s="14">
        <v>21.1</v>
      </c>
      <c r="G29" s="14">
        <f t="shared" si="3"/>
        <v>294.10000000000002</v>
      </c>
      <c r="H29" s="14">
        <v>101.3</v>
      </c>
      <c r="I29" s="14">
        <f t="shared" si="4"/>
        <v>101300</v>
      </c>
      <c r="J29" s="14">
        <f t="shared" si="5"/>
        <v>2.0124824921938581E-5</v>
      </c>
      <c r="K29" s="38">
        <v>3802.8168316831689</v>
      </c>
      <c r="L29" s="15">
        <f t="shared" si="6"/>
        <v>3.802816831683169E-3</v>
      </c>
      <c r="M29" s="14">
        <f t="shared" si="7"/>
        <v>4.7762865441819992E-3</v>
      </c>
      <c r="N29" s="52">
        <f t="shared" si="8"/>
        <v>3.2046244395051002E-5</v>
      </c>
      <c r="O29" s="37">
        <v>2.032E-3</v>
      </c>
      <c r="P29" s="15">
        <v>0.1</v>
      </c>
      <c r="Q29" s="15">
        <f t="shared" si="9"/>
        <v>110000.00000000001</v>
      </c>
      <c r="R29" s="15">
        <v>0.06</v>
      </c>
      <c r="S29" s="15">
        <f t="shared" si="10"/>
        <v>106000</v>
      </c>
      <c r="T29" s="15">
        <f t="shared" si="11"/>
        <v>403.09858415841592</v>
      </c>
      <c r="U29" s="16">
        <f t="shared" si="12"/>
        <v>2.0898931066372005E-10</v>
      </c>
      <c r="V29" s="16">
        <f t="shared" si="13"/>
        <v>125853362881692.22</v>
      </c>
      <c r="W29" s="6">
        <f t="shared" si="14"/>
        <v>5</v>
      </c>
      <c r="X29" s="16">
        <f t="shared" si="15"/>
        <v>2.216827818775411E-10</v>
      </c>
      <c r="Y29" s="16">
        <f t="shared" si="16"/>
        <v>133497371246655.25</v>
      </c>
    </row>
    <row r="30" spans="1:25" x14ac:dyDescent="0.25">
      <c r="A30" s="14">
        <v>154</v>
      </c>
      <c r="B30" s="14">
        <f t="shared" si="1"/>
        <v>2.5666666666666669</v>
      </c>
      <c r="C30" s="14">
        <v>20</v>
      </c>
      <c r="D30" s="14">
        <f t="shared" si="0"/>
        <v>29.146000000000001</v>
      </c>
      <c r="E30" s="14">
        <f t="shared" si="2"/>
        <v>4.8576666666666667E-7</v>
      </c>
      <c r="F30" s="14">
        <v>21.1</v>
      </c>
      <c r="G30" s="14">
        <f t="shared" si="3"/>
        <v>294.10000000000002</v>
      </c>
      <c r="H30" s="14">
        <v>101.3</v>
      </c>
      <c r="I30" s="14">
        <f t="shared" si="4"/>
        <v>101300</v>
      </c>
      <c r="J30" s="14">
        <f t="shared" si="5"/>
        <v>2.0124824921938581E-5</v>
      </c>
      <c r="K30" s="38">
        <v>3785.7623762376243</v>
      </c>
      <c r="L30" s="15">
        <f t="shared" si="6"/>
        <v>3.7857623762376242E-3</v>
      </c>
      <c r="M30" s="14">
        <f t="shared" si="7"/>
        <v>4.7762865441819992E-3</v>
      </c>
      <c r="N30" s="52">
        <f t="shared" si="8"/>
        <v>3.1902526916291836E-5</v>
      </c>
      <c r="O30" s="37">
        <v>2.032E-3</v>
      </c>
      <c r="P30" s="15">
        <v>0.1</v>
      </c>
      <c r="Q30" s="15">
        <f t="shared" si="9"/>
        <v>110000.00000000001</v>
      </c>
      <c r="R30" s="15">
        <v>0.06</v>
      </c>
      <c r="S30" s="15">
        <f t="shared" si="10"/>
        <v>106000</v>
      </c>
      <c r="T30" s="15">
        <f t="shared" si="11"/>
        <v>401.29081188118818</v>
      </c>
      <c r="U30" s="16">
        <f t="shared" si="12"/>
        <v>2.0802196792582025E-10</v>
      </c>
      <c r="V30" s="16">
        <f t="shared" si="13"/>
        <v>125270829084928.95</v>
      </c>
      <c r="W30" s="6">
        <f t="shared" si="14"/>
        <v>5</v>
      </c>
      <c r="X30" s="16">
        <f t="shared" si="15"/>
        <v>2.2062090094685903E-10</v>
      </c>
      <c r="Y30" s="16">
        <f t="shared" si="16"/>
        <v>132857906550198.52</v>
      </c>
    </row>
    <row r="31" spans="1:25" x14ac:dyDescent="0.25">
      <c r="A31" s="14">
        <v>159.5</v>
      </c>
      <c r="B31" s="14">
        <f t="shared" si="1"/>
        <v>2.6583333333333332</v>
      </c>
      <c r="C31" s="14">
        <v>20</v>
      </c>
      <c r="D31" s="14">
        <f t="shared" si="0"/>
        <v>29.146000000000001</v>
      </c>
      <c r="E31" s="14">
        <f t="shared" si="2"/>
        <v>4.8576666666666667E-7</v>
      </c>
      <c r="F31" s="14">
        <v>21.1</v>
      </c>
      <c r="G31" s="14">
        <f t="shared" si="3"/>
        <v>294.10000000000002</v>
      </c>
      <c r="H31" s="14">
        <v>101.3</v>
      </c>
      <c r="I31" s="14">
        <f t="shared" si="4"/>
        <v>101300</v>
      </c>
      <c r="J31" s="14">
        <f t="shared" si="5"/>
        <v>2.0124824921938581E-5</v>
      </c>
      <c r="K31" s="38">
        <v>3803.6831683168321</v>
      </c>
      <c r="L31" s="15">
        <f t="shared" si="6"/>
        <v>3.8036831683168322E-3</v>
      </c>
      <c r="M31" s="14">
        <f t="shared" si="7"/>
        <v>4.7762865441819992E-3</v>
      </c>
      <c r="N31" s="52">
        <f t="shared" si="8"/>
        <v>3.2053544992665762E-5</v>
      </c>
      <c r="O31" s="37">
        <v>2.032E-3</v>
      </c>
      <c r="P31" s="15">
        <v>0.1</v>
      </c>
      <c r="Q31" s="15">
        <f t="shared" si="9"/>
        <v>110000.00000000001</v>
      </c>
      <c r="R31" s="15">
        <v>0.06</v>
      </c>
      <c r="S31" s="15">
        <f t="shared" si="10"/>
        <v>106000</v>
      </c>
      <c r="T31" s="15">
        <f t="shared" si="11"/>
        <v>403.19041584158424</v>
      </c>
      <c r="U31" s="16">
        <f t="shared" si="12"/>
        <v>2.0903845564771778E-10</v>
      </c>
      <c r="V31" s="16">
        <f t="shared" si="13"/>
        <v>125882957991055.66</v>
      </c>
      <c r="W31" s="6">
        <f t="shared" si="14"/>
        <v>5</v>
      </c>
      <c r="X31" s="16">
        <f t="shared" si="15"/>
        <v>2.2173673689728756E-10</v>
      </c>
      <c r="Y31" s="16">
        <f t="shared" si="16"/>
        <v>133529862959546.58</v>
      </c>
    </row>
    <row r="32" spans="1:25" x14ac:dyDescent="0.25">
      <c r="A32" s="14">
        <v>165</v>
      </c>
      <c r="B32" s="14">
        <f t="shared" si="1"/>
        <v>2.75</v>
      </c>
      <c r="C32" s="14">
        <v>20</v>
      </c>
      <c r="D32" s="14">
        <f t="shared" si="0"/>
        <v>29.146000000000001</v>
      </c>
      <c r="E32" s="14">
        <f t="shared" si="2"/>
        <v>4.8576666666666667E-7</v>
      </c>
      <c r="F32" s="14">
        <v>21.1</v>
      </c>
      <c r="G32" s="14">
        <f t="shared" si="3"/>
        <v>294.10000000000002</v>
      </c>
      <c r="H32" s="14">
        <v>101.3</v>
      </c>
      <c r="I32" s="14">
        <f t="shared" si="4"/>
        <v>101300</v>
      </c>
      <c r="J32" s="14">
        <f t="shared" si="5"/>
        <v>2.0124824921938581E-5</v>
      </c>
      <c r="K32" s="38">
        <v>3823.8069306930702</v>
      </c>
      <c r="L32" s="15">
        <f t="shared" si="6"/>
        <v>3.8238069306930703E-3</v>
      </c>
      <c r="M32" s="14">
        <f t="shared" si="7"/>
        <v>4.7762865441819992E-3</v>
      </c>
      <c r="N32" s="52">
        <f t="shared" si="8"/>
        <v>3.2223127445831516E-5</v>
      </c>
      <c r="O32" s="37">
        <v>2.032E-3</v>
      </c>
      <c r="P32" s="15">
        <v>0.1</v>
      </c>
      <c r="Q32" s="15">
        <f t="shared" si="9"/>
        <v>110000.00000000001</v>
      </c>
      <c r="R32" s="15">
        <v>0.06</v>
      </c>
      <c r="S32" s="15">
        <f t="shared" si="10"/>
        <v>106000</v>
      </c>
      <c r="T32" s="15">
        <f t="shared" si="11"/>
        <v>405.32353465346546</v>
      </c>
      <c r="U32" s="16">
        <f t="shared" si="12"/>
        <v>2.1018017713520656E-10</v>
      </c>
      <c r="V32" s="16">
        <f t="shared" si="13"/>
        <v>126570502670821.39</v>
      </c>
      <c r="W32" s="6">
        <f t="shared" si="14"/>
        <v>5</v>
      </c>
      <c r="X32" s="16">
        <f t="shared" si="15"/>
        <v>2.2299039688545517E-10</v>
      </c>
      <c r="Y32" s="16">
        <f t="shared" si="16"/>
        <v>134284817004421.11</v>
      </c>
    </row>
    <row r="33" spans="1:25" x14ac:dyDescent="0.25">
      <c r="A33" s="14">
        <v>170.5</v>
      </c>
      <c r="B33" s="14">
        <f t="shared" si="1"/>
        <v>2.8416666666666668</v>
      </c>
      <c r="C33" s="14">
        <v>20</v>
      </c>
      <c r="D33" s="14">
        <f t="shared" si="0"/>
        <v>29.146000000000001</v>
      </c>
      <c r="E33" s="14">
        <f t="shared" si="2"/>
        <v>4.8576666666666667E-7</v>
      </c>
      <c r="F33" s="14">
        <v>21.1</v>
      </c>
      <c r="G33" s="14">
        <f t="shared" si="3"/>
        <v>294.10000000000002</v>
      </c>
      <c r="H33" s="14">
        <v>101.3</v>
      </c>
      <c r="I33" s="14">
        <f t="shared" si="4"/>
        <v>101300</v>
      </c>
      <c r="J33" s="14">
        <f t="shared" si="5"/>
        <v>2.0124824921938581E-5</v>
      </c>
      <c r="K33" s="38">
        <v>3804.8960396039606</v>
      </c>
      <c r="L33" s="15">
        <f t="shared" si="6"/>
        <v>3.8048960396039606E-3</v>
      </c>
      <c r="M33" s="14">
        <f t="shared" si="7"/>
        <v>4.7762865441819992E-3</v>
      </c>
      <c r="N33" s="52">
        <f t="shared" si="8"/>
        <v>3.2063765829326429E-5</v>
      </c>
      <c r="O33" s="37">
        <v>2.032E-3</v>
      </c>
      <c r="P33" s="15">
        <v>0.1</v>
      </c>
      <c r="Q33" s="15">
        <f t="shared" si="9"/>
        <v>110000.00000000001</v>
      </c>
      <c r="R33" s="15">
        <v>0.06</v>
      </c>
      <c r="S33" s="15">
        <f t="shared" si="10"/>
        <v>106000</v>
      </c>
      <c r="T33" s="15">
        <f t="shared" si="11"/>
        <v>403.3189801980198</v>
      </c>
      <c r="U33" s="16">
        <f t="shared" si="12"/>
        <v>2.0910725954366031E-10</v>
      </c>
      <c r="V33" s="16">
        <f t="shared" si="13"/>
        <v>125924391697192.25</v>
      </c>
      <c r="W33" s="6">
        <f t="shared" si="14"/>
        <v>5</v>
      </c>
      <c r="X33" s="16">
        <f t="shared" si="15"/>
        <v>2.2181227608702408E-10</v>
      </c>
      <c r="Y33" s="16">
        <f t="shared" si="16"/>
        <v>133575352659605.91</v>
      </c>
    </row>
    <row r="34" spans="1:25" x14ac:dyDescent="0.25">
      <c r="A34" s="14">
        <v>176</v>
      </c>
      <c r="B34" s="14">
        <f t="shared" ref="B34:B37" si="17">(A34/60)</f>
        <v>2.9333333333333331</v>
      </c>
      <c r="C34" s="14">
        <v>20</v>
      </c>
      <c r="D34" s="14">
        <f t="shared" ref="D34:D37" si="18">(C34*1.4573)</f>
        <v>29.146000000000001</v>
      </c>
      <c r="E34" s="14">
        <f t="shared" ref="E34:E37" si="19">(D34/(1000000*60))</f>
        <v>4.8576666666666667E-7</v>
      </c>
      <c r="F34" s="14">
        <v>21.1</v>
      </c>
      <c r="G34" s="14">
        <f t="shared" ref="G34:G37" si="20">(273+F34)</f>
        <v>294.10000000000002</v>
      </c>
      <c r="H34" s="14">
        <v>101.3</v>
      </c>
      <c r="I34" s="14">
        <f t="shared" ref="I34:I37" si="21">(H34*1000)</f>
        <v>101300</v>
      </c>
      <c r="J34" s="14">
        <f t="shared" ref="J34:J37" si="22">((I34*E34)/(8.314*G34))</f>
        <v>2.0124824921938581E-5</v>
      </c>
      <c r="K34" s="38">
        <v>3824.128712871287</v>
      </c>
      <c r="L34" s="15">
        <f t="shared" ref="L34:L37" si="23">(K34/1000000)</f>
        <v>3.8241287128712872E-3</v>
      </c>
      <c r="M34" s="14">
        <f t="shared" si="7"/>
        <v>4.7762865441819992E-3</v>
      </c>
      <c r="N34" s="52">
        <f t="shared" si="8"/>
        <v>3.2225839096374134E-5</v>
      </c>
      <c r="O34" s="37">
        <v>2.032E-3</v>
      </c>
      <c r="P34" s="15">
        <v>0.1</v>
      </c>
      <c r="Q34" s="15">
        <f t="shared" ref="Q34:Q37" si="24">(1+P34)*100000*1</f>
        <v>110000.00000000001</v>
      </c>
      <c r="R34" s="15">
        <v>0.06</v>
      </c>
      <c r="S34" s="15">
        <f t="shared" ref="S34:S37" si="25">(1+R34)*100000</f>
        <v>106000</v>
      </c>
      <c r="T34" s="15">
        <f t="shared" ref="T34:T37" si="26">(L34*S34)</f>
        <v>405.35764356435647</v>
      </c>
      <c r="U34" s="16">
        <f t="shared" ref="U34:U37" si="27">((N34*O34)/((SQRT(Q34))-(SQRT(T34))))</f>
        <v>2.1019843583669235E-10</v>
      </c>
      <c r="V34" s="16">
        <f t="shared" ref="V34:V37" si="28">(U34*6.022E+23)</f>
        <v>126581498060856.14</v>
      </c>
      <c r="W34" s="6">
        <f t="shared" si="14"/>
        <v>5</v>
      </c>
      <c r="X34" s="16">
        <f t="shared" si="15"/>
        <v>2.2301044874342838E-10</v>
      </c>
      <c r="Y34" s="16">
        <f t="shared" si="16"/>
        <v>134296892233292.58</v>
      </c>
    </row>
    <row r="35" spans="1:25" x14ac:dyDescent="0.25">
      <c r="A35" s="14">
        <v>181.5</v>
      </c>
      <c r="B35" s="14">
        <f t="shared" si="17"/>
        <v>3.0249999999999999</v>
      </c>
      <c r="C35" s="14">
        <v>20</v>
      </c>
      <c r="D35" s="14">
        <f t="shared" si="18"/>
        <v>29.146000000000001</v>
      </c>
      <c r="E35" s="14">
        <f t="shared" si="19"/>
        <v>4.8576666666666667E-7</v>
      </c>
      <c r="F35" s="14">
        <v>21.1</v>
      </c>
      <c r="G35" s="14">
        <f t="shared" si="20"/>
        <v>294.10000000000002</v>
      </c>
      <c r="H35" s="14">
        <v>101.3</v>
      </c>
      <c r="I35" s="14">
        <f t="shared" si="21"/>
        <v>101300</v>
      </c>
      <c r="J35" s="14">
        <f t="shared" si="22"/>
        <v>2.0124824921938581E-5</v>
      </c>
      <c r="K35" s="38">
        <v>3813.0396039603966</v>
      </c>
      <c r="L35" s="15">
        <f t="shared" si="23"/>
        <v>3.8130396039603967E-3</v>
      </c>
      <c r="M35" s="14">
        <f t="shared" si="7"/>
        <v>4.7762865441819992E-3</v>
      </c>
      <c r="N35" s="52">
        <f t="shared" si="8"/>
        <v>3.2132391446905194E-5</v>
      </c>
      <c r="O35" s="37">
        <v>2.032E-3</v>
      </c>
      <c r="P35" s="15">
        <v>0.1</v>
      </c>
      <c r="Q35" s="15">
        <f t="shared" si="24"/>
        <v>110000.00000000001</v>
      </c>
      <c r="R35" s="15">
        <v>0.06</v>
      </c>
      <c r="S35" s="15">
        <f t="shared" si="25"/>
        <v>106000</v>
      </c>
      <c r="T35" s="15">
        <f t="shared" si="26"/>
        <v>404.18219801980206</v>
      </c>
      <c r="U35" s="16">
        <f t="shared" si="27"/>
        <v>2.0956925629616255E-10</v>
      </c>
      <c r="V35" s="16">
        <f t="shared" si="28"/>
        <v>126202606141549.09</v>
      </c>
      <c r="W35" s="6">
        <f t="shared" si="14"/>
        <v>5</v>
      </c>
      <c r="X35" s="16">
        <f t="shared" si="15"/>
        <v>2.2231953309712858E-10</v>
      </c>
      <c r="Y35" s="16">
        <f t="shared" si="16"/>
        <v>133880822831090.83</v>
      </c>
    </row>
    <row r="36" spans="1:25" x14ac:dyDescent="0.25">
      <c r="A36" s="14">
        <v>187</v>
      </c>
      <c r="B36" s="14">
        <f t="shared" si="17"/>
        <v>3.1166666666666667</v>
      </c>
      <c r="C36" s="14">
        <v>20</v>
      </c>
      <c r="D36" s="14">
        <f t="shared" si="18"/>
        <v>29.146000000000001</v>
      </c>
      <c r="E36" s="14">
        <f t="shared" si="19"/>
        <v>4.8576666666666667E-7</v>
      </c>
      <c r="F36" s="14">
        <v>21.1</v>
      </c>
      <c r="G36" s="14">
        <f t="shared" si="20"/>
        <v>294.10000000000002</v>
      </c>
      <c r="H36" s="14">
        <v>101.3</v>
      </c>
      <c r="I36" s="14">
        <f t="shared" si="21"/>
        <v>101300</v>
      </c>
      <c r="J36" s="14">
        <f t="shared" si="22"/>
        <v>2.0124824921938581E-5</v>
      </c>
      <c r="K36" s="38">
        <v>3815.9356435643567</v>
      </c>
      <c r="L36" s="15">
        <f t="shared" si="23"/>
        <v>3.8159356435643567E-3</v>
      </c>
      <c r="M36" s="14">
        <f t="shared" si="7"/>
        <v>4.7762865441819992E-3</v>
      </c>
      <c r="N36" s="52">
        <f t="shared" si="8"/>
        <v>3.2156796301788819E-5</v>
      </c>
      <c r="O36" s="37">
        <v>2.032E-3</v>
      </c>
      <c r="P36" s="15">
        <v>0.1</v>
      </c>
      <c r="Q36" s="15">
        <f t="shared" si="24"/>
        <v>110000.00000000001</v>
      </c>
      <c r="R36" s="15">
        <v>0.06</v>
      </c>
      <c r="S36" s="15">
        <f t="shared" si="25"/>
        <v>106000</v>
      </c>
      <c r="T36" s="15">
        <f t="shared" si="26"/>
        <v>404.4891782178218</v>
      </c>
      <c r="U36" s="16">
        <f t="shared" si="27"/>
        <v>2.0973356464679095E-10</v>
      </c>
      <c r="V36" s="16">
        <f t="shared" si="28"/>
        <v>126301552630297.52</v>
      </c>
      <c r="W36" s="6">
        <f t="shared" si="14"/>
        <v>5</v>
      </c>
      <c r="X36" s="16">
        <f t="shared" si="15"/>
        <v>2.2249995280134968E-10</v>
      </c>
      <c r="Y36" s="16">
        <f t="shared" si="16"/>
        <v>133989471576972.78</v>
      </c>
    </row>
    <row r="37" spans="1:25" x14ac:dyDescent="0.25">
      <c r="A37" s="14">
        <v>192.5</v>
      </c>
      <c r="B37" s="14">
        <f t="shared" si="17"/>
        <v>3.2083333333333335</v>
      </c>
      <c r="C37" s="14">
        <v>20</v>
      </c>
      <c r="D37" s="14">
        <f t="shared" si="18"/>
        <v>29.146000000000001</v>
      </c>
      <c r="E37" s="14">
        <f t="shared" si="19"/>
        <v>4.8576666666666667E-7</v>
      </c>
      <c r="F37" s="14">
        <v>21.1</v>
      </c>
      <c r="G37" s="14">
        <f t="shared" si="20"/>
        <v>294.10000000000002</v>
      </c>
      <c r="H37" s="14">
        <v>101.3</v>
      </c>
      <c r="I37" s="14">
        <f t="shared" si="21"/>
        <v>101300</v>
      </c>
      <c r="J37" s="14">
        <f t="shared" si="22"/>
        <v>2.0124824921938581E-5</v>
      </c>
      <c r="K37" s="38">
        <v>3853.5099009900996</v>
      </c>
      <c r="L37" s="15">
        <f t="shared" si="23"/>
        <v>3.8535099009900996E-3</v>
      </c>
      <c r="M37" s="14">
        <f t="shared" si="7"/>
        <v>4.7762865441819992E-3</v>
      </c>
      <c r="N37" s="52">
        <f t="shared" si="8"/>
        <v>3.2473433649766201E-5</v>
      </c>
      <c r="O37" s="37">
        <v>2.032E-3</v>
      </c>
      <c r="P37" s="15">
        <v>0.1</v>
      </c>
      <c r="Q37" s="15">
        <f t="shared" si="24"/>
        <v>110000.00000000001</v>
      </c>
      <c r="R37" s="15">
        <v>0.06</v>
      </c>
      <c r="S37" s="15">
        <f t="shared" si="25"/>
        <v>106000</v>
      </c>
      <c r="T37" s="15">
        <f t="shared" si="26"/>
        <v>408.47204950495058</v>
      </c>
      <c r="U37" s="16">
        <f t="shared" si="27"/>
        <v>2.1186591250962177E-10</v>
      </c>
      <c r="V37" s="16">
        <f t="shared" si="28"/>
        <v>127585652513294.23</v>
      </c>
      <c r="W37" s="6">
        <f t="shared" si="14"/>
        <v>5</v>
      </c>
      <c r="X37" s="16">
        <f t="shared" si="15"/>
        <v>2.2484208399186495E-10</v>
      </c>
      <c r="Y37" s="16">
        <f t="shared" si="16"/>
        <v>135399902979901.08</v>
      </c>
    </row>
    <row r="38" spans="1:25" s="28" customFormat="1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35"/>
      <c r="L38" s="27"/>
      <c r="M38" s="26"/>
      <c r="N38" s="46"/>
      <c r="O38" s="46"/>
      <c r="P38" s="27"/>
      <c r="Q38" s="27"/>
      <c r="R38" s="27"/>
      <c r="S38" s="27"/>
      <c r="T38" s="27"/>
      <c r="U38" s="27"/>
      <c r="V38" s="27"/>
      <c r="W38" s="30"/>
      <c r="X38" s="30"/>
      <c r="Y38" s="30"/>
    </row>
    <row r="41" spans="1:25" x14ac:dyDescent="0.25">
      <c r="U41" s="40">
        <f>AVERAGE(U16:U37)</f>
        <v>2.0831892199511624E-10</v>
      </c>
      <c r="V41" s="40">
        <f>AVERAGE(V16:V37)</f>
        <v>125449654825458.98</v>
      </c>
      <c r="X41" s="42">
        <f>AVERAGE(X16:X37)</f>
        <v>2.2094713200518637E-10</v>
      </c>
      <c r="Y41" s="42">
        <f>AVERAGE(Y16:Y37)</f>
        <v>133054362893523.25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E4F8-7EEB-48D0-8D28-52D9723DA197}">
  <dimension ref="A1:Y41"/>
  <sheetViews>
    <sheetView topLeftCell="V31" zoomScale="110" zoomScaleNormal="110" workbookViewId="0">
      <selection activeCell="W50" sqref="W50"/>
    </sheetView>
  </sheetViews>
  <sheetFormatPr defaultRowHeight="13.8" x14ac:dyDescent="0.25"/>
  <cols>
    <col min="1" max="4" width="22.109375" style="23" customWidth="1"/>
    <col min="5" max="5" width="18.77734375" style="23" customWidth="1"/>
    <col min="6" max="6" width="17.33203125" style="23" customWidth="1"/>
    <col min="7" max="7" width="16.6640625" style="23" customWidth="1"/>
    <col min="8" max="8" width="20.88671875" style="23" customWidth="1"/>
    <col min="9" max="9" width="19.21875" style="23" customWidth="1"/>
    <col min="10" max="10" width="23.109375" style="23" customWidth="1"/>
    <col min="11" max="11" width="13.6640625" style="34" customWidth="1"/>
    <col min="12" max="12" width="20.88671875" style="17" customWidth="1"/>
    <col min="13" max="13" width="31.6640625" style="23" customWidth="1"/>
    <col min="14" max="14" width="20.6640625" style="45" customWidth="1"/>
    <col min="15" max="15" width="23" style="45" customWidth="1"/>
    <col min="16" max="16" width="20.6640625" style="17" customWidth="1"/>
    <col min="17" max="17" width="26.88671875" style="17" customWidth="1"/>
    <col min="18" max="20" width="20.6640625" style="17" customWidth="1"/>
    <col min="21" max="21" width="38.44140625" style="23" customWidth="1"/>
    <col min="22" max="22" width="36" style="23" customWidth="1"/>
    <col min="23" max="23" width="35.6640625" style="7" customWidth="1"/>
    <col min="24" max="24" width="44.33203125" style="7" customWidth="1"/>
    <col min="25" max="25" width="48.77734375" style="7" customWidth="1"/>
    <col min="26" max="16384" width="8.88671875" style="19"/>
  </cols>
  <sheetData>
    <row r="1" spans="1:25" s="22" customFormat="1" ht="55.2" x14ac:dyDescent="0.3">
      <c r="A1" s="11" t="s">
        <v>7</v>
      </c>
      <c r="B1" s="12" t="s">
        <v>6</v>
      </c>
      <c r="C1" s="11" t="s">
        <v>2</v>
      </c>
      <c r="D1" s="11" t="s">
        <v>1</v>
      </c>
      <c r="E1" s="12" t="s">
        <v>0</v>
      </c>
      <c r="F1" s="11" t="s">
        <v>3</v>
      </c>
      <c r="G1" s="12" t="s">
        <v>10</v>
      </c>
      <c r="H1" s="11" t="s">
        <v>4</v>
      </c>
      <c r="I1" s="12" t="s">
        <v>11</v>
      </c>
      <c r="J1" s="12" t="s">
        <v>8</v>
      </c>
      <c r="K1" s="32" t="s">
        <v>5</v>
      </c>
      <c r="L1" s="13" t="s">
        <v>18</v>
      </c>
      <c r="M1" s="12" t="s">
        <v>9</v>
      </c>
      <c r="N1" s="44" t="s">
        <v>27</v>
      </c>
      <c r="O1" s="44" t="s">
        <v>12</v>
      </c>
      <c r="P1" s="21" t="s">
        <v>16</v>
      </c>
      <c r="Q1" s="13" t="s">
        <v>17</v>
      </c>
      <c r="R1" s="13" t="s">
        <v>13</v>
      </c>
      <c r="S1" s="13" t="s">
        <v>14</v>
      </c>
      <c r="T1" s="13" t="s">
        <v>15</v>
      </c>
      <c r="U1" s="2" t="s">
        <v>28</v>
      </c>
      <c r="V1" s="12" t="s">
        <v>29</v>
      </c>
      <c r="W1" s="3" t="s">
        <v>26</v>
      </c>
      <c r="X1" s="41" t="s">
        <v>30</v>
      </c>
      <c r="Y1" s="41" t="s">
        <v>31</v>
      </c>
    </row>
    <row r="2" spans="1:25" x14ac:dyDescent="0.25">
      <c r="A2" s="14">
        <v>0</v>
      </c>
      <c r="B2" s="14">
        <f>(A2/60)</f>
        <v>0</v>
      </c>
      <c r="C2" s="14">
        <v>20</v>
      </c>
      <c r="D2" s="14">
        <f t="shared" ref="D2:D33" si="0">(C2*1.4573)</f>
        <v>29.146000000000001</v>
      </c>
      <c r="E2" s="14">
        <f>(D2/(1000000*60))</f>
        <v>4.8576666666666667E-7</v>
      </c>
      <c r="F2" s="14">
        <v>21.1</v>
      </c>
      <c r="G2" s="14">
        <f>(273+F2)</f>
        <v>294.10000000000002</v>
      </c>
      <c r="H2" s="14">
        <v>101.3</v>
      </c>
      <c r="I2" s="14">
        <f>(H2*1000)</f>
        <v>101300</v>
      </c>
      <c r="J2" s="14">
        <f>((I2*E2)/(8.314*G2))</f>
        <v>2.0124824921938581E-5</v>
      </c>
      <c r="K2" s="33">
        <v>24.846534653465348</v>
      </c>
      <c r="L2" s="15">
        <f>(K2/1000000)</f>
        <v>2.4846534653465349E-5</v>
      </c>
      <c r="M2" s="14">
        <f>(3.142*3.07*3.07*25.4*25.4)/(4*1000000)</f>
        <v>4.7762865441819992E-3</v>
      </c>
      <c r="N2" s="37">
        <f>(2*L2*J2)/M2</f>
        <v>2.0938113959136721E-7</v>
      </c>
      <c r="O2" s="37">
        <v>2.032E-3</v>
      </c>
      <c r="P2" s="15">
        <v>0.1</v>
      </c>
      <c r="Q2" s="15">
        <f>(1+P2)*100000*1</f>
        <v>110000.00000000001</v>
      </c>
      <c r="R2" s="15">
        <v>0.08</v>
      </c>
      <c r="S2" s="15">
        <f>(1+R2)*100000</f>
        <v>108000</v>
      </c>
      <c r="T2" s="15">
        <f>(L2*S2)</f>
        <v>2.6834257425742578</v>
      </c>
      <c r="U2" s="15">
        <f>((N2*O2)/((SQRT(Q2))-(SQRT(T2))))</f>
        <v>1.2891850541287039E-12</v>
      </c>
      <c r="V2" s="15">
        <f>(U2*6.022E+23)</f>
        <v>776347239596.30554</v>
      </c>
      <c r="W2" s="6">
        <f>(100/1000000)*100000</f>
        <v>10</v>
      </c>
      <c r="X2" s="15">
        <f>(N2*O2)/(SQRT(Q2)-(2*SQRT(T2))+SQRT(W2))</f>
        <v>1.2832585437747192E-12</v>
      </c>
      <c r="Y2" s="15">
        <f>(X2*6.022E+23)</f>
        <v>772778295061.13599</v>
      </c>
    </row>
    <row r="3" spans="1:25" x14ac:dyDescent="0.25">
      <c r="A3" s="14">
        <v>5.5</v>
      </c>
      <c r="B3" s="14">
        <f t="shared" ref="B3:B33" si="1">(A3/60)</f>
        <v>9.166666666666666E-2</v>
      </c>
      <c r="C3" s="14">
        <v>20</v>
      </c>
      <c r="D3" s="14">
        <f t="shared" si="0"/>
        <v>29.146000000000001</v>
      </c>
      <c r="E3" s="14">
        <f t="shared" ref="E3:E33" si="2">(D3/(1000000*60))</f>
        <v>4.8576666666666667E-7</v>
      </c>
      <c r="F3" s="14">
        <v>21.1</v>
      </c>
      <c r="G3" s="14">
        <f t="shared" ref="G3:G33" si="3">(273+F3)</f>
        <v>294.10000000000002</v>
      </c>
      <c r="H3" s="14">
        <v>101.3</v>
      </c>
      <c r="I3" s="14">
        <f t="shared" ref="I3:I33" si="4">(H3*1000)</f>
        <v>101300</v>
      </c>
      <c r="J3" s="14">
        <f t="shared" ref="J3:J33" si="5">((I3*E3)/(8.314*G3))</f>
        <v>2.0124824921938581E-5</v>
      </c>
      <c r="K3" s="33">
        <v>27.594059405940595</v>
      </c>
      <c r="L3" s="15">
        <f t="shared" ref="L3:L33" si="6">(K3/1000000)</f>
        <v>2.7594059405940596E-5</v>
      </c>
      <c r="M3" s="14">
        <f t="shared" ref="M3:M37" si="7">(3.142*3.07*3.07*25.4*25.4)/(4*1000000)</f>
        <v>4.7762865441819992E-3</v>
      </c>
      <c r="N3" s="37">
        <f t="shared" ref="N3:N37" si="8">(2*L3*J3)/M3</f>
        <v>2.3253446345532594E-7</v>
      </c>
      <c r="O3" s="37">
        <v>2.032E-3</v>
      </c>
      <c r="P3" s="15">
        <v>0.1</v>
      </c>
      <c r="Q3" s="15">
        <f t="shared" ref="Q3:Q33" si="9">(1+P3)*100000*1</f>
        <v>110000.00000000001</v>
      </c>
      <c r="R3" s="15">
        <v>0.08</v>
      </c>
      <c r="S3" s="15">
        <f t="shared" ref="S3:S33" si="10">(1+R3)*100000</f>
        <v>108000</v>
      </c>
      <c r="T3" s="15">
        <f t="shared" ref="T3:T33" si="11">(L3*S3)</f>
        <v>2.9801584158415846</v>
      </c>
      <c r="U3" s="15">
        <f t="shared" ref="U3:U33" si="12">((N3*O3)/((SQRT(Q3))-(SQRT(T3))))</f>
        <v>1.4321256023030849E-12</v>
      </c>
      <c r="V3" s="15">
        <f t="shared" ref="V3:V33" si="13">(U3*6.022E+23)</f>
        <v>862426037706.91772</v>
      </c>
      <c r="W3" s="6">
        <f t="shared" ref="W3:W37" si="14">(100/1000000)*100000</f>
        <v>10</v>
      </c>
      <c r="X3" s="15">
        <f t="shared" ref="X3:X37" si="15">(N3*O3)/(SQRT(Q3)-(2*SQRT(T3))+SQRT(W3))</f>
        <v>1.4259196458995169E-12</v>
      </c>
      <c r="Y3" s="15">
        <f t="shared" ref="Y3:Y37" si="16">(X3*6.022E+23)</f>
        <v>858688810760.68909</v>
      </c>
    </row>
    <row r="4" spans="1:25" x14ac:dyDescent="0.25">
      <c r="A4" s="14">
        <v>11</v>
      </c>
      <c r="B4" s="14">
        <f t="shared" si="1"/>
        <v>0.18333333333333332</v>
      </c>
      <c r="C4" s="14">
        <v>20</v>
      </c>
      <c r="D4" s="14">
        <f t="shared" si="0"/>
        <v>29.146000000000001</v>
      </c>
      <c r="E4" s="14">
        <f t="shared" si="2"/>
        <v>4.8576666666666667E-7</v>
      </c>
      <c r="F4" s="14">
        <v>21.1</v>
      </c>
      <c r="G4" s="14">
        <f t="shared" si="3"/>
        <v>294.10000000000002</v>
      </c>
      <c r="H4" s="14">
        <v>101.3</v>
      </c>
      <c r="I4" s="14">
        <f t="shared" si="4"/>
        <v>101300</v>
      </c>
      <c r="J4" s="14">
        <f t="shared" si="5"/>
        <v>2.0124824921938581E-5</v>
      </c>
      <c r="K4" s="33">
        <v>39.227722772277232</v>
      </c>
      <c r="L4" s="15">
        <f t="shared" si="6"/>
        <v>3.9227722772277232E-5</v>
      </c>
      <c r="M4" s="14">
        <f t="shared" si="7"/>
        <v>4.7762865441819992E-3</v>
      </c>
      <c r="N4" s="37">
        <f t="shared" si="8"/>
        <v>3.305710599964124E-7</v>
      </c>
      <c r="O4" s="37">
        <v>2.032E-3</v>
      </c>
      <c r="P4" s="15">
        <v>0.1</v>
      </c>
      <c r="Q4" s="15">
        <f t="shared" si="9"/>
        <v>110000.00000000001</v>
      </c>
      <c r="R4" s="15">
        <v>0.08</v>
      </c>
      <c r="S4" s="15">
        <f t="shared" si="10"/>
        <v>108000</v>
      </c>
      <c r="T4" s="15">
        <f t="shared" si="11"/>
        <v>4.2365940594059408</v>
      </c>
      <c r="U4" s="15">
        <f t="shared" si="12"/>
        <v>2.0379607852267251E-12</v>
      </c>
      <c r="V4" s="15">
        <f t="shared" si="13"/>
        <v>1227259984863.5339</v>
      </c>
      <c r="W4" s="6">
        <f t="shared" si="14"/>
        <v>10</v>
      </c>
      <c r="X4" s="15">
        <f t="shared" si="15"/>
        <v>2.0311576099523873E-12</v>
      </c>
      <c r="Y4" s="15">
        <f t="shared" si="16"/>
        <v>1223163112713.3276</v>
      </c>
    </row>
    <row r="5" spans="1:25" x14ac:dyDescent="0.25">
      <c r="A5" s="14">
        <v>16.5</v>
      </c>
      <c r="B5" s="14">
        <f t="shared" si="1"/>
        <v>0.27500000000000002</v>
      </c>
      <c r="C5" s="14">
        <v>20</v>
      </c>
      <c r="D5" s="14">
        <f t="shared" si="0"/>
        <v>29.146000000000001</v>
      </c>
      <c r="E5" s="14">
        <f t="shared" si="2"/>
        <v>4.8576666666666667E-7</v>
      </c>
      <c r="F5" s="14">
        <v>21.1</v>
      </c>
      <c r="G5" s="14">
        <f t="shared" si="3"/>
        <v>294.10000000000002</v>
      </c>
      <c r="H5" s="14">
        <v>101.3</v>
      </c>
      <c r="I5" s="14">
        <f t="shared" si="4"/>
        <v>101300</v>
      </c>
      <c r="J5" s="14">
        <f t="shared" si="5"/>
        <v>2.0124824921938581E-5</v>
      </c>
      <c r="K5" s="33">
        <v>105.63861386138615</v>
      </c>
      <c r="L5" s="15">
        <f t="shared" si="6"/>
        <v>1.0563861386138614E-4</v>
      </c>
      <c r="M5" s="14">
        <f t="shared" si="7"/>
        <v>4.7762865441819992E-3</v>
      </c>
      <c r="N5" s="37">
        <f t="shared" si="8"/>
        <v>8.9021401429372083E-7</v>
      </c>
      <c r="O5" s="37">
        <v>2.032E-3</v>
      </c>
      <c r="P5" s="15">
        <v>0.1</v>
      </c>
      <c r="Q5" s="15">
        <f t="shared" si="9"/>
        <v>110000.00000000001</v>
      </c>
      <c r="R5" s="15">
        <v>0.08</v>
      </c>
      <c r="S5" s="15">
        <f t="shared" si="10"/>
        <v>108000</v>
      </c>
      <c r="T5" s="15">
        <f t="shared" si="11"/>
        <v>11.408970297029704</v>
      </c>
      <c r="U5" s="15">
        <f t="shared" si="12"/>
        <v>5.5102005476337238E-12</v>
      </c>
      <c r="V5" s="15">
        <f t="shared" si="13"/>
        <v>3318242769785.0288</v>
      </c>
      <c r="W5" s="6">
        <f t="shared" si="14"/>
        <v>10</v>
      </c>
      <c r="X5" s="15">
        <f t="shared" si="15"/>
        <v>5.513819028203012E-12</v>
      </c>
      <c r="Y5" s="15">
        <f t="shared" si="16"/>
        <v>3320421818783.854</v>
      </c>
    </row>
    <row r="6" spans="1:25" x14ac:dyDescent="0.25">
      <c r="A6" s="14">
        <v>22</v>
      </c>
      <c r="B6" s="14">
        <f t="shared" si="1"/>
        <v>0.36666666666666664</v>
      </c>
      <c r="C6" s="14">
        <v>20</v>
      </c>
      <c r="D6" s="14">
        <f t="shared" si="0"/>
        <v>29.146000000000001</v>
      </c>
      <c r="E6" s="14">
        <f t="shared" si="2"/>
        <v>4.8576666666666667E-7</v>
      </c>
      <c r="F6" s="14">
        <v>21.1</v>
      </c>
      <c r="G6" s="14">
        <f t="shared" si="3"/>
        <v>294.10000000000002</v>
      </c>
      <c r="H6" s="14">
        <v>101.3</v>
      </c>
      <c r="I6" s="14">
        <f t="shared" si="4"/>
        <v>101300</v>
      </c>
      <c r="J6" s="14">
        <f t="shared" si="5"/>
        <v>2.0124824921938581E-5</v>
      </c>
      <c r="K6" s="33">
        <v>2368.9059405940593</v>
      </c>
      <c r="L6" s="15">
        <f t="shared" si="6"/>
        <v>2.3689059405940594E-3</v>
      </c>
      <c r="M6" s="14">
        <f t="shared" si="7"/>
        <v>4.7762865441819992E-3</v>
      </c>
      <c r="N6" s="37">
        <f t="shared" si="8"/>
        <v>1.9962712400103894E-5</v>
      </c>
      <c r="O6" s="37">
        <v>2.032E-3</v>
      </c>
      <c r="P6" s="15">
        <v>0.1</v>
      </c>
      <c r="Q6" s="15">
        <f t="shared" si="9"/>
        <v>110000.00000000001</v>
      </c>
      <c r="R6" s="15">
        <v>0.08</v>
      </c>
      <c r="S6" s="15">
        <f t="shared" si="10"/>
        <v>108000</v>
      </c>
      <c r="T6" s="15">
        <f t="shared" si="11"/>
        <v>255.8418415841584</v>
      </c>
      <c r="U6" s="15">
        <f t="shared" si="12"/>
        <v>1.2850306600511843E-10</v>
      </c>
      <c r="V6" s="15">
        <f t="shared" si="13"/>
        <v>77384546348282.328</v>
      </c>
      <c r="W6" s="6">
        <f t="shared" si="14"/>
        <v>10</v>
      </c>
      <c r="X6" s="15">
        <f t="shared" si="15"/>
        <v>1.3394845179721962E-10</v>
      </c>
      <c r="Y6" s="15">
        <f t="shared" si="16"/>
        <v>80663757672285.656</v>
      </c>
    </row>
    <row r="7" spans="1:25" x14ac:dyDescent="0.25">
      <c r="A7" s="14">
        <v>27.5</v>
      </c>
      <c r="B7" s="14">
        <f t="shared" si="1"/>
        <v>0.45833333333333331</v>
      </c>
      <c r="C7" s="14">
        <v>20</v>
      </c>
      <c r="D7" s="14">
        <f t="shared" si="0"/>
        <v>29.146000000000001</v>
      </c>
      <c r="E7" s="14">
        <f t="shared" si="2"/>
        <v>4.8576666666666667E-7</v>
      </c>
      <c r="F7" s="14">
        <v>21.1</v>
      </c>
      <c r="G7" s="14">
        <f t="shared" si="3"/>
        <v>294.10000000000002</v>
      </c>
      <c r="H7" s="14">
        <v>101.3</v>
      </c>
      <c r="I7" s="14">
        <f t="shared" si="4"/>
        <v>101300</v>
      </c>
      <c r="J7" s="14">
        <f t="shared" si="5"/>
        <v>2.0124824921938581E-5</v>
      </c>
      <c r="K7" s="33">
        <v>4779.029702970297</v>
      </c>
      <c r="L7" s="15">
        <f t="shared" si="6"/>
        <v>4.7790297029702972E-3</v>
      </c>
      <c r="M7" s="14">
        <f t="shared" si="7"/>
        <v>4.7762865441819992E-3</v>
      </c>
      <c r="N7" s="37">
        <f t="shared" si="8"/>
        <v>4.0272766375867826E-5</v>
      </c>
      <c r="O7" s="37">
        <v>2.032E-3</v>
      </c>
      <c r="P7" s="15">
        <v>0.1</v>
      </c>
      <c r="Q7" s="15">
        <f t="shared" si="9"/>
        <v>110000.00000000001</v>
      </c>
      <c r="R7" s="15">
        <v>0.08</v>
      </c>
      <c r="S7" s="15">
        <f t="shared" si="10"/>
        <v>108000</v>
      </c>
      <c r="T7" s="15">
        <f t="shared" si="11"/>
        <v>516.13520792079214</v>
      </c>
      <c r="U7" s="15">
        <f t="shared" si="12"/>
        <v>2.6488391351570172E-10</v>
      </c>
      <c r="V7" s="15">
        <f t="shared" si="13"/>
        <v>159513092719155.59</v>
      </c>
      <c r="W7" s="6">
        <f t="shared" si="14"/>
        <v>10</v>
      </c>
      <c r="X7" s="15">
        <f t="shared" si="15"/>
        <v>2.8278433068242502E-10</v>
      </c>
      <c r="Y7" s="15">
        <f t="shared" si="16"/>
        <v>170292723936956.34</v>
      </c>
    </row>
    <row r="8" spans="1:25" x14ac:dyDescent="0.25">
      <c r="A8" s="14">
        <v>33</v>
      </c>
      <c r="B8" s="14">
        <f t="shared" si="1"/>
        <v>0.55000000000000004</v>
      </c>
      <c r="C8" s="14">
        <v>20</v>
      </c>
      <c r="D8" s="14">
        <f t="shared" si="0"/>
        <v>29.146000000000001</v>
      </c>
      <c r="E8" s="14">
        <f t="shared" si="2"/>
        <v>4.8576666666666667E-7</v>
      </c>
      <c r="F8" s="14">
        <v>21.1</v>
      </c>
      <c r="G8" s="14">
        <f t="shared" si="3"/>
        <v>294.10000000000002</v>
      </c>
      <c r="H8" s="14">
        <v>101.3</v>
      </c>
      <c r="I8" s="14">
        <f t="shared" si="4"/>
        <v>101300</v>
      </c>
      <c r="J8" s="14">
        <f t="shared" si="5"/>
        <v>2.0124824921938581E-5</v>
      </c>
      <c r="K8" s="33">
        <v>5916.8019801980199</v>
      </c>
      <c r="L8" s="15">
        <f t="shared" si="6"/>
        <v>5.9168019801980202E-3</v>
      </c>
      <c r="M8" s="14">
        <f t="shared" si="7"/>
        <v>4.7762865441819992E-3</v>
      </c>
      <c r="N8" s="37">
        <f t="shared" si="8"/>
        <v>4.9860745517586081E-5</v>
      </c>
      <c r="O8" s="37">
        <v>2.032E-3</v>
      </c>
      <c r="P8" s="15">
        <v>0.1</v>
      </c>
      <c r="Q8" s="15">
        <f t="shared" si="9"/>
        <v>110000.00000000001</v>
      </c>
      <c r="R8" s="15">
        <v>0.08</v>
      </c>
      <c r="S8" s="15">
        <f t="shared" si="10"/>
        <v>108000</v>
      </c>
      <c r="T8" s="15">
        <f t="shared" si="11"/>
        <v>639.01461386138612</v>
      </c>
      <c r="U8" s="15">
        <f t="shared" si="12"/>
        <v>3.3068672206135119E-10</v>
      </c>
      <c r="V8" s="15">
        <f t="shared" si="13"/>
        <v>199139544025345.69</v>
      </c>
      <c r="W8" s="6">
        <f t="shared" si="14"/>
        <v>10</v>
      </c>
      <c r="X8" s="15">
        <f t="shared" si="15"/>
        <v>3.5641469152377936E-10</v>
      </c>
      <c r="Y8" s="15">
        <f t="shared" si="16"/>
        <v>214632927235619.94</v>
      </c>
    </row>
    <row r="9" spans="1:25" x14ac:dyDescent="0.25">
      <c r="A9" s="14">
        <v>38.5</v>
      </c>
      <c r="B9" s="14">
        <f t="shared" si="1"/>
        <v>0.64166666666666672</v>
      </c>
      <c r="C9" s="14">
        <v>20</v>
      </c>
      <c r="D9" s="14">
        <f t="shared" si="0"/>
        <v>29.146000000000001</v>
      </c>
      <c r="E9" s="14">
        <f t="shared" si="2"/>
        <v>4.8576666666666667E-7</v>
      </c>
      <c r="F9" s="14">
        <v>21.1</v>
      </c>
      <c r="G9" s="14">
        <f t="shared" si="3"/>
        <v>294.10000000000002</v>
      </c>
      <c r="H9" s="14">
        <v>101.3</v>
      </c>
      <c r="I9" s="14">
        <f t="shared" si="4"/>
        <v>101300</v>
      </c>
      <c r="J9" s="14">
        <f t="shared" si="5"/>
        <v>2.0124824921938581E-5</v>
      </c>
      <c r="K9" s="33">
        <v>6344.5742574257429</v>
      </c>
      <c r="L9" s="15">
        <f t="shared" si="6"/>
        <v>6.3445742574257426E-3</v>
      </c>
      <c r="M9" s="14">
        <f t="shared" si="7"/>
        <v>4.7762865441819992E-3</v>
      </c>
      <c r="N9" s="37">
        <f t="shared" si="8"/>
        <v>5.3465572031252157E-5</v>
      </c>
      <c r="O9" s="37">
        <v>2.032E-3</v>
      </c>
      <c r="P9" s="15">
        <v>0.1</v>
      </c>
      <c r="Q9" s="15">
        <f t="shared" si="9"/>
        <v>110000.00000000001</v>
      </c>
      <c r="R9" s="15">
        <v>0.08</v>
      </c>
      <c r="S9" s="15">
        <f t="shared" si="10"/>
        <v>108000</v>
      </c>
      <c r="T9" s="15">
        <f t="shared" si="11"/>
        <v>685.21401980198016</v>
      </c>
      <c r="U9" s="15">
        <f t="shared" si="12"/>
        <v>3.5563686351824275E-10</v>
      </c>
      <c r="V9" s="15">
        <f t="shared" si="13"/>
        <v>214164519210685.78</v>
      </c>
      <c r="W9" s="6">
        <f t="shared" si="14"/>
        <v>10</v>
      </c>
      <c r="X9" s="15">
        <f t="shared" si="15"/>
        <v>3.846123065802199E-10</v>
      </c>
      <c r="Y9" s="15">
        <f t="shared" si="16"/>
        <v>231613531022608.44</v>
      </c>
    </row>
    <row r="10" spans="1:25" x14ac:dyDescent="0.25">
      <c r="A10" s="14">
        <v>44</v>
      </c>
      <c r="B10" s="14">
        <f t="shared" si="1"/>
        <v>0.73333333333333328</v>
      </c>
      <c r="C10" s="14">
        <v>20</v>
      </c>
      <c r="D10" s="14">
        <f t="shared" si="0"/>
        <v>29.146000000000001</v>
      </c>
      <c r="E10" s="14">
        <f t="shared" si="2"/>
        <v>4.8576666666666667E-7</v>
      </c>
      <c r="F10" s="14">
        <v>21.1</v>
      </c>
      <c r="G10" s="14">
        <f t="shared" si="3"/>
        <v>294.10000000000002</v>
      </c>
      <c r="H10" s="14">
        <v>101.3</v>
      </c>
      <c r="I10" s="14">
        <f t="shared" si="4"/>
        <v>101300</v>
      </c>
      <c r="J10" s="14">
        <f t="shared" si="5"/>
        <v>2.0124824921938581E-5</v>
      </c>
      <c r="K10" s="33">
        <v>6588.8316831683178</v>
      </c>
      <c r="L10" s="15">
        <f t="shared" si="6"/>
        <v>6.5888316831683178E-3</v>
      </c>
      <c r="M10" s="14">
        <f t="shared" si="7"/>
        <v>4.7762865441819992E-3</v>
      </c>
      <c r="N10" s="37">
        <f t="shared" si="8"/>
        <v>5.5523923381608416E-5</v>
      </c>
      <c r="O10" s="37">
        <v>2.032E-3</v>
      </c>
      <c r="P10" s="15">
        <v>0.1</v>
      </c>
      <c r="Q10" s="15">
        <f t="shared" si="9"/>
        <v>110000.00000000001</v>
      </c>
      <c r="R10" s="15">
        <v>0.08</v>
      </c>
      <c r="S10" s="15">
        <f t="shared" si="10"/>
        <v>108000</v>
      </c>
      <c r="T10" s="15">
        <f t="shared" si="11"/>
        <v>711.59382178217834</v>
      </c>
      <c r="U10" s="15">
        <f t="shared" si="12"/>
        <v>3.6993281666496988E-10</v>
      </c>
      <c r="V10" s="15">
        <f t="shared" si="13"/>
        <v>222773542195644.88</v>
      </c>
      <c r="W10" s="6">
        <f t="shared" si="14"/>
        <v>10</v>
      </c>
      <c r="X10" s="15">
        <f t="shared" si="15"/>
        <v>4.0083589590019217E-10</v>
      </c>
      <c r="Y10" s="15">
        <f t="shared" si="16"/>
        <v>241383376511095.75</v>
      </c>
    </row>
    <row r="11" spans="1:25" x14ac:dyDescent="0.25">
      <c r="A11" s="14">
        <v>49.5</v>
      </c>
      <c r="B11" s="14">
        <f t="shared" si="1"/>
        <v>0.82499999999999996</v>
      </c>
      <c r="C11" s="14">
        <v>20</v>
      </c>
      <c r="D11" s="14">
        <f t="shared" si="0"/>
        <v>29.146000000000001</v>
      </c>
      <c r="E11" s="14">
        <f t="shared" si="2"/>
        <v>4.8576666666666667E-7</v>
      </c>
      <c r="F11" s="14">
        <v>21.1</v>
      </c>
      <c r="G11" s="14">
        <f t="shared" si="3"/>
        <v>294.10000000000002</v>
      </c>
      <c r="H11" s="14">
        <v>101.3</v>
      </c>
      <c r="I11" s="14">
        <f t="shared" si="4"/>
        <v>101300</v>
      </c>
      <c r="J11" s="14">
        <f t="shared" si="5"/>
        <v>2.0124824921938581E-5</v>
      </c>
      <c r="K11" s="33">
        <v>6693.4356435643567</v>
      </c>
      <c r="L11" s="15">
        <f t="shared" si="6"/>
        <v>6.6934356435643565E-3</v>
      </c>
      <c r="M11" s="14">
        <f t="shared" si="7"/>
        <v>4.7762865441819992E-3</v>
      </c>
      <c r="N11" s="37">
        <f t="shared" si="8"/>
        <v>5.640541839646507E-5</v>
      </c>
      <c r="O11" s="37">
        <v>2.032E-3</v>
      </c>
      <c r="P11" s="15">
        <v>0.1</v>
      </c>
      <c r="Q11" s="15">
        <f t="shared" si="9"/>
        <v>110000.00000000001</v>
      </c>
      <c r="R11" s="15">
        <v>0.08</v>
      </c>
      <c r="S11" s="15">
        <f t="shared" si="10"/>
        <v>108000</v>
      </c>
      <c r="T11" s="15">
        <f t="shared" si="11"/>
        <v>722.8910495049505</v>
      </c>
      <c r="U11" s="15">
        <f t="shared" si="12"/>
        <v>3.760659244504236E-10</v>
      </c>
      <c r="V11" s="15">
        <f t="shared" si="13"/>
        <v>226466899704045.09</v>
      </c>
      <c r="W11" s="6">
        <f t="shared" si="14"/>
        <v>10</v>
      </c>
      <c r="X11" s="15">
        <f t="shared" si="15"/>
        <v>4.0781071871176433E-10</v>
      </c>
      <c r="Y11" s="15">
        <f t="shared" si="16"/>
        <v>245583614808224.5</v>
      </c>
    </row>
    <row r="12" spans="1:25" x14ac:dyDescent="0.25">
      <c r="A12" s="14">
        <v>55</v>
      </c>
      <c r="B12" s="14">
        <f t="shared" si="1"/>
        <v>0.91666666666666663</v>
      </c>
      <c r="C12" s="14">
        <v>20</v>
      </c>
      <c r="D12" s="14">
        <f t="shared" si="0"/>
        <v>29.146000000000001</v>
      </c>
      <c r="E12" s="14">
        <f t="shared" si="2"/>
        <v>4.8576666666666667E-7</v>
      </c>
      <c r="F12" s="14">
        <v>21.1</v>
      </c>
      <c r="G12" s="14">
        <f t="shared" si="3"/>
        <v>294.10000000000002</v>
      </c>
      <c r="H12" s="14">
        <v>101.3</v>
      </c>
      <c r="I12" s="14">
        <f t="shared" si="4"/>
        <v>101300</v>
      </c>
      <c r="J12" s="14">
        <f t="shared" si="5"/>
        <v>2.0124824921938581E-5</v>
      </c>
      <c r="K12" s="33">
        <v>6750.7128712871299</v>
      </c>
      <c r="L12" s="15">
        <f t="shared" si="6"/>
        <v>6.75071287128713E-3</v>
      </c>
      <c r="M12" s="14">
        <f t="shared" si="7"/>
        <v>4.7762865441819992E-3</v>
      </c>
      <c r="N12" s="37">
        <f t="shared" si="8"/>
        <v>5.6888092193052476E-5</v>
      </c>
      <c r="O12" s="37">
        <v>2.032E-3</v>
      </c>
      <c r="P12" s="15">
        <v>0.1</v>
      </c>
      <c r="Q12" s="15">
        <f t="shared" si="9"/>
        <v>110000.00000000001</v>
      </c>
      <c r="R12" s="15">
        <v>0.08</v>
      </c>
      <c r="S12" s="15">
        <f t="shared" si="10"/>
        <v>108000</v>
      </c>
      <c r="T12" s="15">
        <f t="shared" si="11"/>
        <v>729.07699009901</v>
      </c>
      <c r="U12" s="15">
        <f t="shared" si="12"/>
        <v>3.7942691418072859E-10</v>
      </c>
      <c r="V12" s="15">
        <f t="shared" si="13"/>
        <v>228490887719634.78</v>
      </c>
      <c r="W12" s="6">
        <f t="shared" si="14"/>
        <v>10</v>
      </c>
      <c r="X12" s="15">
        <f t="shared" si="15"/>
        <v>4.1163670340680619E-10</v>
      </c>
      <c r="Y12" s="15">
        <f t="shared" si="16"/>
        <v>247887622791578.69</v>
      </c>
    </row>
    <row r="13" spans="1:25" x14ac:dyDescent="0.25">
      <c r="A13" s="14">
        <v>60.5</v>
      </c>
      <c r="B13" s="14">
        <f t="shared" si="1"/>
        <v>1.0083333333333333</v>
      </c>
      <c r="C13" s="14">
        <v>20</v>
      </c>
      <c r="D13" s="14">
        <f t="shared" si="0"/>
        <v>29.146000000000001</v>
      </c>
      <c r="E13" s="14">
        <f t="shared" si="2"/>
        <v>4.8576666666666667E-7</v>
      </c>
      <c r="F13" s="14">
        <v>21.1</v>
      </c>
      <c r="G13" s="14">
        <f t="shared" si="3"/>
        <v>294.10000000000002</v>
      </c>
      <c r="H13" s="14">
        <v>101.3</v>
      </c>
      <c r="I13" s="14">
        <f t="shared" si="4"/>
        <v>101300</v>
      </c>
      <c r="J13" s="14">
        <f t="shared" si="5"/>
        <v>2.0124824921938581E-5</v>
      </c>
      <c r="K13" s="33">
        <v>6742.7178217821784</v>
      </c>
      <c r="L13" s="15">
        <f t="shared" si="6"/>
        <v>6.7427178217821784E-3</v>
      </c>
      <c r="M13" s="14">
        <f t="shared" si="7"/>
        <v>4.7762865441819992E-3</v>
      </c>
      <c r="N13" s="37">
        <f t="shared" si="8"/>
        <v>5.6820718106493386E-5</v>
      </c>
      <c r="O13" s="37">
        <v>2.032E-3</v>
      </c>
      <c r="P13" s="15">
        <v>0.1</v>
      </c>
      <c r="Q13" s="15">
        <f t="shared" si="9"/>
        <v>110000.00000000001</v>
      </c>
      <c r="R13" s="15">
        <v>0.08</v>
      </c>
      <c r="S13" s="15">
        <f t="shared" si="10"/>
        <v>108000</v>
      </c>
      <c r="T13" s="15">
        <f t="shared" si="11"/>
        <v>728.21352475247522</v>
      </c>
      <c r="U13" s="15">
        <f t="shared" si="12"/>
        <v>3.7895765436598281E-10</v>
      </c>
      <c r="V13" s="15">
        <f t="shared" si="13"/>
        <v>228208299459194.84</v>
      </c>
      <c r="W13" s="6">
        <f t="shared" si="14"/>
        <v>10</v>
      </c>
      <c r="X13" s="15">
        <f t="shared" si="15"/>
        <v>4.1110236304167151E-10</v>
      </c>
      <c r="Y13" s="15">
        <f t="shared" si="16"/>
        <v>247565843023694.59</v>
      </c>
    </row>
    <row r="14" spans="1:25" x14ac:dyDescent="0.25">
      <c r="A14" s="14">
        <v>66</v>
      </c>
      <c r="B14" s="14">
        <f t="shared" si="1"/>
        <v>1.1000000000000001</v>
      </c>
      <c r="C14" s="14">
        <v>20</v>
      </c>
      <c r="D14" s="14">
        <f t="shared" si="0"/>
        <v>29.146000000000001</v>
      </c>
      <c r="E14" s="14">
        <f t="shared" si="2"/>
        <v>4.8576666666666667E-7</v>
      </c>
      <c r="F14" s="14">
        <v>21.1</v>
      </c>
      <c r="G14" s="14">
        <f t="shared" si="3"/>
        <v>294.10000000000002</v>
      </c>
      <c r="H14" s="14">
        <v>101.3</v>
      </c>
      <c r="I14" s="14">
        <f t="shared" si="4"/>
        <v>101300</v>
      </c>
      <c r="J14" s="14">
        <f t="shared" si="5"/>
        <v>2.0124824921938581E-5</v>
      </c>
      <c r="K14" s="38">
        <v>6788.5099009900996</v>
      </c>
      <c r="L14" s="15">
        <f t="shared" si="6"/>
        <v>6.7885099009900992E-3</v>
      </c>
      <c r="M14" s="14">
        <f t="shared" si="7"/>
        <v>4.7762865441819992E-3</v>
      </c>
      <c r="N14" s="52">
        <f t="shared" si="8"/>
        <v>5.7206606837559357E-5</v>
      </c>
      <c r="O14" s="37">
        <v>2.032E-3</v>
      </c>
      <c r="P14" s="15">
        <v>0.1</v>
      </c>
      <c r="Q14" s="15">
        <f t="shared" si="9"/>
        <v>110000.00000000001</v>
      </c>
      <c r="R14" s="15">
        <v>0.08</v>
      </c>
      <c r="S14" s="15">
        <f t="shared" si="10"/>
        <v>108000</v>
      </c>
      <c r="T14" s="15">
        <f t="shared" si="11"/>
        <v>733.15906930693075</v>
      </c>
      <c r="U14" s="16">
        <f t="shared" si="12"/>
        <v>3.816458723300198E-10</v>
      </c>
      <c r="V14" s="16">
        <f t="shared" si="13"/>
        <v>229827144317137.94</v>
      </c>
      <c r="W14" s="6">
        <f t="shared" si="14"/>
        <v>10</v>
      </c>
      <c r="X14" s="16">
        <f t="shared" si="15"/>
        <v>4.1416409792553081E-10</v>
      </c>
      <c r="Y14" s="16">
        <f t="shared" si="16"/>
        <v>249409619770754.66</v>
      </c>
    </row>
    <row r="15" spans="1:25" x14ac:dyDescent="0.25">
      <c r="A15" s="14">
        <v>71.5</v>
      </c>
      <c r="B15" s="14">
        <f t="shared" si="1"/>
        <v>1.1916666666666667</v>
      </c>
      <c r="C15" s="14">
        <v>20</v>
      </c>
      <c r="D15" s="14">
        <f t="shared" si="0"/>
        <v>29.146000000000001</v>
      </c>
      <c r="E15" s="14">
        <f t="shared" si="2"/>
        <v>4.8576666666666667E-7</v>
      </c>
      <c r="F15" s="14">
        <v>21.1</v>
      </c>
      <c r="G15" s="14">
        <f t="shared" si="3"/>
        <v>294.10000000000002</v>
      </c>
      <c r="H15" s="14">
        <v>101.3</v>
      </c>
      <c r="I15" s="14">
        <f t="shared" si="4"/>
        <v>101300</v>
      </c>
      <c r="J15" s="14">
        <f t="shared" si="5"/>
        <v>2.0124824921938581E-5</v>
      </c>
      <c r="K15" s="38">
        <v>6807.198019801981</v>
      </c>
      <c r="L15" s="15">
        <f t="shared" si="6"/>
        <v>6.8071980198019808E-3</v>
      </c>
      <c r="M15" s="14">
        <f t="shared" si="7"/>
        <v>4.7762865441819992E-3</v>
      </c>
      <c r="N15" s="52">
        <f t="shared" si="8"/>
        <v>5.7364091157534939E-5</v>
      </c>
      <c r="O15" s="37">
        <v>2.032E-3</v>
      </c>
      <c r="P15" s="15">
        <v>0.1</v>
      </c>
      <c r="Q15" s="15">
        <f t="shared" si="9"/>
        <v>110000.00000000001</v>
      </c>
      <c r="R15" s="15">
        <v>0.08</v>
      </c>
      <c r="S15" s="15">
        <f t="shared" si="10"/>
        <v>108000</v>
      </c>
      <c r="T15" s="15">
        <f t="shared" si="11"/>
        <v>735.17738613861388</v>
      </c>
      <c r="U15" s="16">
        <f t="shared" si="12"/>
        <v>3.8274330845126361E-10</v>
      </c>
      <c r="V15" s="16">
        <f t="shared" si="13"/>
        <v>230488020349350.97</v>
      </c>
      <c r="W15" s="6">
        <f t="shared" si="14"/>
        <v>10</v>
      </c>
      <c r="X15" s="16">
        <f t="shared" si="15"/>
        <v>4.1541450140047727E-10</v>
      </c>
      <c r="Y15" s="16">
        <f t="shared" si="16"/>
        <v>250162612743367.44</v>
      </c>
    </row>
    <row r="16" spans="1:25" x14ac:dyDescent="0.25">
      <c r="A16" s="14">
        <v>77</v>
      </c>
      <c r="B16" s="14">
        <f t="shared" si="1"/>
        <v>1.2833333333333334</v>
      </c>
      <c r="C16" s="14">
        <v>20</v>
      </c>
      <c r="D16" s="14">
        <f t="shared" si="0"/>
        <v>29.146000000000001</v>
      </c>
      <c r="E16" s="14">
        <f t="shared" si="2"/>
        <v>4.8576666666666667E-7</v>
      </c>
      <c r="F16" s="14">
        <v>21.1</v>
      </c>
      <c r="G16" s="14">
        <f t="shared" si="3"/>
        <v>294.10000000000002</v>
      </c>
      <c r="H16" s="14">
        <v>101.3</v>
      </c>
      <c r="I16" s="14">
        <f t="shared" si="4"/>
        <v>101300</v>
      </c>
      <c r="J16" s="14">
        <f t="shared" si="5"/>
        <v>2.0124824921938581E-5</v>
      </c>
      <c r="K16" s="38">
        <v>6795.0198019801983</v>
      </c>
      <c r="L16" s="15">
        <f t="shared" si="6"/>
        <v>6.7950198019801986E-3</v>
      </c>
      <c r="M16" s="14">
        <f t="shared" si="7"/>
        <v>4.7762865441819992E-3</v>
      </c>
      <c r="N16" s="52">
        <f t="shared" si="8"/>
        <v>5.7261465613921713E-5</v>
      </c>
      <c r="O16" s="37">
        <v>2.032E-3</v>
      </c>
      <c r="P16" s="15">
        <v>0.1</v>
      </c>
      <c r="Q16" s="15">
        <f t="shared" si="9"/>
        <v>110000.00000000001</v>
      </c>
      <c r="R16" s="15">
        <v>0.08</v>
      </c>
      <c r="S16" s="15">
        <f t="shared" si="10"/>
        <v>108000</v>
      </c>
      <c r="T16" s="15">
        <f t="shared" si="11"/>
        <v>733.86213861386148</v>
      </c>
      <c r="U16" s="16">
        <f t="shared" si="12"/>
        <v>3.8202813485176193E-10</v>
      </c>
      <c r="V16" s="16">
        <f t="shared" si="13"/>
        <v>230057342807731.03</v>
      </c>
      <c r="W16" s="6">
        <f t="shared" si="14"/>
        <v>10</v>
      </c>
      <c r="X16" s="16">
        <f t="shared" si="15"/>
        <v>4.145996107715397E-10</v>
      </c>
      <c r="Y16" s="16">
        <f t="shared" si="16"/>
        <v>249671885606621.22</v>
      </c>
    </row>
    <row r="17" spans="1:25" x14ac:dyDescent="0.25">
      <c r="A17" s="14">
        <v>82.5</v>
      </c>
      <c r="B17" s="14">
        <f t="shared" si="1"/>
        <v>1.375</v>
      </c>
      <c r="C17" s="14">
        <v>20</v>
      </c>
      <c r="D17" s="14">
        <f t="shared" si="0"/>
        <v>29.146000000000001</v>
      </c>
      <c r="E17" s="14">
        <f t="shared" si="2"/>
        <v>4.8576666666666667E-7</v>
      </c>
      <c r="F17" s="14">
        <v>21.1</v>
      </c>
      <c r="G17" s="14">
        <f t="shared" si="3"/>
        <v>294.10000000000002</v>
      </c>
      <c r="H17" s="14">
        <v>101.3</v>
      </c>
      <c r="I17" s="14">
        <f t="shared" si="4"/>
        <v>101300</v>
      </c>
      <c r="J17" s="14">
        <f t="shared" si="5"/>
        <v>2.0124824921938581E-5</v>
      </c>
      <c r="K17" s="38">
        <v>6782.0495049504952</v>
      </c>
      <c r="L17" s="15">
        <f t="shared" si="6"/>
        <v>6.7820495049504955E-3</v>
      </c>
      <c r="M17" s="14">
        <f t="shared" si="7"/>
        <v>4.7762865441819992E-3</v>
      </c>
      <c r="N17" s="52">
        <f t="shared" si="8"/>
        <v>5.715216523820357E-5</v>
      </c>
      <c r="O17" s="37">
        <v>2.032E-3</v>
      </c>
      <c r="P17" s="15">
        <v>0.1</v>
      </c>
      <c r="Q17" s="15">
        <f t="shared" si="9"/>
        <v>110000.00000000001</v>
      </c>
      <c r="R17" s="15">
        <v>0.08</v>
      </c>
      <c r="S17" s="15">
        <f t="shared" si="10"/>
        <v>108000</v>
      </c>
      <c r="T17" s="15">
        <f t="shared" si="11"/>
        <v>732.46134653465356</v>
      </c>
      <c r="U17" s="16">
        <f t="shared" si="12"/>
        <v>3.8126654125211685E-10</v>
      </c>
      <c r="V17" s="16">
        <f t="shared" si="13"/>
        <v>229598711142024.78</v>
      </c>
      <c r="W17" s="6">
        <f t="shared" si="14"/>
        <v>10</v>
      </c>
      <c r="X17" s="16">
        <f t="shared" si="15"/>
        <v>4.1373195846025398E-10</v>
      </c>
      <c r="Y17" s="16">
        <f t="shared" si="16"/>
        <v>249149385384764.97</v>
      </c>
    </row>
    <row r="18" spans="1:25" x14ac:dyDescent="0.25">
      <c r="A18" s="14">
        <v>88</v>
      </c>
      <c r="B18" s="14">
        <f t="shared" si="1"/>
        <v>1.4666666666666666</v>
      </c>
      <c r="C18" s="14">
        <v>20</v>
      </c>
      <c r="D18" s="14">
        <f t="shared" si="0"/>
        <v>29.146000000000001</v>
      </c>
      <c r="E18" s="14">
        <f t="shared" si="2"/>
        <v>4.8576666666666667E-7</v>
      </c>
      <c r="F18" s="14">
        <v>21.1</v>
      </c>
      <c r="G18" s="14">
        <f t="shared" si="3"/>
        <v>294.10000000000002</v>
      </c>
      <c r="H18" s="14">
        <v>101.3</v>
      </c>
      <c r="I18" s="14">
        <f t="shared" si="4"/>
        <v>101300</v>
      </c>
      <c r="J18" s="14">
        <f t="shared" si="5"/>
        <v>2.0124824921938581E-5</v>
      </c>
      <c r="K18" s="38">
        <v>6743.6831683168321</v>
      </c>
      <c r="L18" s="15">
        <f t="shared" si="6"/>
        <v>6.7436831683168321E-3</v>
      </c>
      <c r="M18" s="14">
        <f t="shared" si="7"/>
        <v>4.7762865441819992E-3</v>
      </c>
      <c r="N18" s="52">
        <f t="shared" si="8"/>
        <v>5.6828853058121265E-5</v>
      </c>
      <c r="O18" s="37">
        <v>2.032E-3</v>
      </c>
      <c r="P18" s="15">
        <v>0.1</v>
      </c>
      <c r="Q18" s="15">
        <f t="shared" si="9"/>
        <v>110000.00000000001</v>
      </c>
      <c r="R18" s="15">
        <v>0.08</v>
      </c>
      <c r="S18" s="15">
        <f t="shared" si="10"/>
        <v>108000</v>
      </c>
      <c r="T18" s="15">
        <f t="shared" si="11"/>
        <v>728.31778217821784</v>
      </c>
      <c r="U18" s="16">
        <f t="shared" si="12"/>
        <v>3.7901431223045952E-10</v>
      </c>
      <c r="V18" s="16">
        <f t="shared" si="13"/>
        <v>228242418825182.75</v>
      </c>
      <c r="W18" s="6">
        <f t="shared" si="14"/>
        <v>10</v>
      </c>
      <c r="X18" s="16">
        <f t="shared" si="15"/>
        <v>4.1116687593069397E-10</v>
      </c>
      <c r="Y18" s="16">
        <f t="shared" si="16"/>
        <v>247604692685463.91</v>
      </c>
    </row>
    <row r="19" spans="1:25" x14ac:dyDescent="0.25">
      <c r="A19" s="14">
        <v>93.5</v>
      </c>
      <c r="B19" s="14">
        <f t="shared" si="1"/>
        <v>1.5583333333333333</v>
      </c>
      <c r="C19" s="14">
        <v>20</v>
      </c>
      <c r="D19" s="14">
        <f t="shared" si="0"/>
        <v>29.146000000000001</v>
      </c>
      <c r="E19" s="14">
        <f t="shared" si="2"/>
        <v>4.8576666666666667E-7</v>
      </c>
      <c r="F19" s="14">
        <v>21.1</v>
      </c>
      <c r="G19" s="14">
        <f t="shared" si="3"/>
        <v>294.10000000000002</v>
      </c>
      <c r="H19" s="14">
        <v>101.3</v>
      </c>
      <c r="I19" s="14">
        <f t="shared" si="4"/>
        <v>101300</v>
      </c>
      <c r="J19" s="14">
        <f t="shared" si="5"/>
        <v>2.0124824921938581E-5</v>
      </c>
      <c r="K19" s="38">
        <v>6756.8267326732675</v>
      </c>
      <c r="L19" s="15">
        <f t="shared" si="6"/>
        <v>6.7568267326732672E-3</v>
      </c>
      <c r="M19" s="14">
        <f t="shared" si="7"/>
        <v>4.7762865441819992E-3</v>
      </c>
      <c r="N19" s="52">
        <f t="shared" si="8"/>
        <v>5.6939613553362357E-5</v>
      </c>
      <c r="O19" s="37">
        <v>2.032E-3</v>
      </c>
      <c r="P19" s="15">
        <v>0.1</v>
      </c>
      <c r="Q19" s="15">
        <f t="shared" si="9"/>
        <v>110000.00000000001</v>
      </c>
      <c r="R19" s="15">
        <v>0.08</v>
      </c>
      <c r="S19" s="15">
        <f t="shared" si="10"/>
        <v>108000</v>
      </c>
      <c r="T19" s="15">
        <f t="shared" si="11"/>
        <v>729.73728712871286</v>
      </c>
      <c r="U19" s="16">
        <f t="shared" si="12"/>
        <v>3.7978578520189228E-10</v>
      </c>
      <c r="V19" s="16">
        <f t="shared" si="13"/>
        <v>228706999848579.53</v>
      </c>
      <c r="W19" s="6">
        <f t="shared" si="14"/>
        <v>10</v>
      </c>
      <c r="X19" s="16">
        <f t="shared" si="15"/>
        <v>4.1204538001963317E-10</v>
      </c>
      <c r="Y19" s="16">
        <f t="shared" si="16"/>
        <v>248133727847823.09</v>
      </c>
    </row>
    <row r="20" spans="1:25" x14ac:dyDescent="0.25">
      <c r="A20" s="14">
        <v>99</v>
      </c>
      <c r="B20" s="14">
        <f t="shared" si="1"/>
        <v>1.65</v>
      </c>
      <c r="C20" s="14">
        <v>20</v>
      </c>
      <c r="D20" s="14">
        <f t="shared" si="0"/>
        <v>29.146000000000001</v>
      </c>
      <c r="E20" s="14">
        <f t="shared" si="2"/>
        <v>4.8576666666666667E-7</v>
      </c>
      <c r="F20" s="14">
        <v>21.1</v>
      </c>
      <c r="G20" s="14">
        <f t="shared" si="3"/>
        <v>294.10000000000002</v>
      </c>
      <c r="H20" s="14">
        <v>101.3</v>
      </c>
      <c r="I20" s="14">
        <f t="shared" si="4"/>
        <v>101300</v>
      </c>
      <c r="J20" s="14">
        <f t="shared" si="5"/>
        <v>2.0124824921938581E-5</v>
      </c>
      <c r="K20" s="38">
        <v>6754.7722772277239</v>
      </c>
      <c r="L20" s="15">
        <f t="shared" si="6"/>
        <v>6.7547722772277234E-3</v>
      </c>
      <c r="M20" s="14">
        <f t="shared" si="7"/>
        <v>4.7762865441819992E-3</v>
      </c>
      <c r="N20" s="52">
        <f t="shared" si="8"/>
        <v>5.6922300707590218E-5</v>
      </c>
      <c r="O20" s="37">
        <v>2.032E-3</v>
      </c>
      <c r="P20" s="15">
        <v>0.1</v>
      </c>
      <c r="Q20" s="15">
        <f t="shared" si="9"/>
        <v>110000.00000000001</v>
      </c>
      <c r="R20" s="15">
        <v>0.08</v>
      </c>
      <c r="S20" s="15">
        <f t="shared" si="10"/>
        <v>108000</v>
      </c>
      <c r="T20" s="15">
        <f t="shared" si="11"/>
        <v>729.51540594059418</v>
      </c>
      <c r="U20" s="16">
        <f t="shared" si="12"/>
        <v>3.7966519047179029E-10</v>
      </c>
      <c r="V20" s="16">
        <f t="shared" si="13"/>
        <v>228634377702112.13</v>
      </c>
      <c r="W20" s="6">
        <f t="shared" si="14"/>
        <v>10</v>
      </c>
      <c r="X20" s="16">
        <f t="shared" si="15"/>
        <v>4.1190804531313853E-10</v>
      </c>
      <c r="Y20" s="16">
        <f t="shared" si="16"/>
        <v>248051024887572.03</v>
      </c>
    </row>
    <row r="21" spans="1:25" x14ac:dyDescent="0.25">
      <c r="A21" s="14">
        <v>104.5</v>
      </c>
      <c r="B21" s="14">
        <f t="shared" si="1"/>
        <v>1.7416666666666667</v>
      </c>
      <c r="C21" s="14">
        <v>20</v>
      </c>
      <c r="D21" s="14">
        <f t="shared" si="0"/>
        <v>29.146000000000001</v>
      </c>
      <c r="E21" s="14">
        <f t="shared" si="2"/>
        <v>4.8576666666666667E-7</v>
      </c>
      <c r="F21" s="14">
        <v>21.1</v>
      </c>
      <c r="G21" s="14">
        <f t="shared" si="3"/>
        <v>294.10000000000002</v>
      </c>
      <c r="H21" s="14">
        <v>101.3</v>
      </c>
      <c r="I21" s="14">
        <f t="shared" si="4"/>
        <v>101300</v>
      </c>
      <c r="J21" s="14">
        <f t="shared" si="5"/>
        <v>2.0124824921938581E-5</v>
      </c>
      <c r="K21" s="38">
        <v>6725.1188118811879</v>
      </c>
      <c r="L21" s="15">
        <f t="shared" si="6"/>
        <v>6.7251188118811877E-3</v>
      </c>
      <c r="M21" s="14">
        <f t="shared" si="7"/>
        <v>4.7762865441819992E-3</v>
      </c>
      <c r="N21" s="52">
        <f t="shared" si="8"/>
        <v>5.6672411680662069E-5</v>
      </c>
      <c r="O21" s="37">
        <v>2.032E-3</v>
      </c>
      <c r="P21" s="15">
        <v>0.1</v>
      </c>
      <c r="Q21" s="15">
        <f t="shared" si="9"/>
        <v>110000.00000000001</v>
      </c>
      <c r="R21" s="15">
        <v>0.08</v>
      </c>
      <c r="S21" s="15">
        <f t="shared" si="10"/>
        <v>108000</v>
      </c>
      <c r="T21" s="15">
        <f t="shared" si="11"/>
        <v>726.31283168316827</v>
      </c>
      <c r="U21" s="16">
        <f t="shared" si="12"/>
        <v>3.779248337347158E-10</v>
      </c>
      <c r="V21" s="16">
        <f t="shared" si="13"/>
        <v>227586334875045.88</v>
      </c>
      <c r="W21" s="6">
        <f t="shared" si="14"/>
        <v>10</v>
      </c>
      <c r="X21" s="16">
        <f t="shared" si="15"/>
        <v>4.099264836622981E-10</v>
      </c>
      <c r="Y21" s="16">
        <f t="shared" si="16"/>
        <v>246857728461435.94</v>
      </c>
    </row>
    <row r="22" spans="1:25" x14ac:dyDescent="0.25">
      <c r="A22" s="14">
        <v>110</v>
      </c>
      <c r="B22" s="14">
        <f t="shared" si="1"/>
        <v>1.8333333333333333</v>
      </c>
      <c r="C22" s="14">
        <v>20</v>
      </c>
      <c r="D22" s="14">
        <f t="shared" si="0"/>
        <v>29.146000000000001</v>
      </c>
      <c r="E22" s="14">
        <f t="shared" si="2"/>
        <v>4.8576666666666667E-7</v>
      </c>
      <c r="F22" s="14">
        <v>21.1</v>
      </c>
      <c r="G22" s="14">
        <f t="shared" si="3"/>
        <v>294.10000000000002</v>
      </c>
      <c r="H22" s="14">
        <v>101.3</v>
      </c>
      <c r="I22" s="14">
        <f t="shared" si="4"/>
        <v>101300</v>
      </c>
      <c r="J22" s="14">
        <f t="shared" si="5"/>
        <v>2.0124824921938581E-5</v>
      </c>
      <c r="K22" s="38">
        <v>6796.1089108910901</v>
      </c>
      <c r="L22" s="15">
        <f t="shared" si="6"/>
        <v>6.7961089108910903E-3</v>
      </c>
      <c r="M22" s="14">
        <f t="shared" si="7"/>
        <v>4.7762865441819992E-3</v>
      </c>
      <c r="N22" s="52">
        <f t="shared" si="8"/>
        <v>5.7270643508065999E-5</v>
      </c>
      <c r="O22" s="37">
        <v>2.032E-3</v>
      </c>
      <c r="P22" s="15">
        <v>0.1</v>
      </c>
      <c r="Q22" s="15">
        <f t="shared" si="9"/>
        <v>110000.00000000001</v>
      </c>
      <c r="R22" s="15">
        <v>0.08</v>
      </c>
      <c r="S22" s="15">
        <f t="shared" si="10"/>
        <v>108000</v>
      </c>
      <c r="T22" s="15">
        <f t="shared" si="11"/>
        <v>733.97976237623777</v>
      </c>
      <c r="U22" s="16">
        <f t="shared" si="12"/>
        <v>3.8209208993663892E-10</v>
      </c>
      <c r="V22" s="16">
        <f t="shared" si="13"/>
        <v>230095856559843.97</v>
      </c>
      <c r="W22" s="6">
        <f t="shared" si="14"/>
        <v>10</v>
      </c>
      <c r="X22" s="16">
        <f t="shared" si="15"/>
        <v>4.1467247830914544E-10</v>
      </c>
      <c r="Y22" s="16">
        <f t="shared" si="16"/>
        <v>249715766437767.41</v>
      </c>
    </row>
    <row r="23" spans="1:25" x14ac:dyDescent="0.25">
      <c r="A23" s="14">
        <v>115.5</v>
      </c>
      <c r="B23" s="14">
        <f t="shared" si="1"/>
        <v>1.925</v>
      </c>
      <c r="C23" s="14">
        <v>20</v>
      </c>
      <c r="D23" s="14">
        <f t="shared" si="0"/>
        <v>29.146000000000001</v>
      </c>
      <c r="E23" s="14">
        <f t="shared" si="2"/>
        <v>4.8576666666666667E-7</v>
      </c>
      <c r="F23" s="14">
        <v>21.1</v>
      </c>
      <c r="G23" s="14">
        <f t="shared" si="3"/>
        <v>294.10000000000002</v>
      </c>
      <c r="H23" s="14">
        <v>101.3</v>
      </c>
      <c r="I23" s="14">
        <f t="shared" si="4"/>
        <v>101300</v>
      </c>
      <c r="J23" s="14">
        <f t="shared" si="5"/>
        <v>2.0124824921938581E-5</v>
      </c>
      <c r="K23" s="38">
        <v>6780.0198019801983</v>
      </c>
      <c r="L23" s="15">
        <f t="shared" si="6"/>
        <v>6.7800198019801984E-3</v>
      </c>
      <c r="M23" s="14">
        <f t="shared" si="7"/>
        <v>4.7762865441819992E-3</v>
      </c>
      <c r="N23" s="52">
        <f t="shared" si="8"/>
        <v>5.7135060980934692E-5</v>
      </c>
      <c r="O23" s="37">
        <v>2.032E-3</v>
      </c>
      <c r="P23" s="15">
        <v>0.1</v>
      </c>
      <c r="Q23" s="15">
        <f t="shared" si="9"/>
        <v>110000.00000000001</v>
      </c>
      <c r="R23" s="15">
        <v>0.08</v>
      </c>
      <c r="S23" s="15">
        <f t="shared" si="10"/>
        <v>108000</v>
      </c>
      <c r="T23" s="15">
        <f t="shared" si="11"/>
        <v>732.24213861386147</v>
      </c>
      <c r="U23" s="16">
        <f t="shared" si="12"/>
        <v>3.8114736947922212E-10</v>
      </c>
      <c r="V23" s="16">
        <f t="shared" si="13"/>
        <v>229526945900387.56</v>
      </c>
      <c r="W23" s="6">
        <f t="shared" si="14"/>
        <v>10</v>
      </c>
      <c r="X23" s="16">
        <f t="shared" si="15"/>
        <v>4.1359620315473805E-10</v>
      </c>
      <c r="Y23" s="16">
        <f t="shared" si="16"/>
        <v>249067633539783.25</v>
      </c>
    </row>
    <row r="24" spans="1:25" x14ac:dyDescent="0.25">
      <c r="A24" s="14">
        <v>121</v>
      </c>
      <c r="B24" s="14">
        <f t="shared" si="1"/>
        <v>2.0166666666666666</v>
      </c>
      <c r="C24" s="14">
        <v>20</v>
      </c>
      <c r="D24" s="14">
        <f t="shared" si="0"/>
        <v>29.146000000000001</v>
      </c>
      <c r="E24" s="14">
        <f t="shared" si="2"/>
        <v>4.8576666666666667E-7</v>
      </c>
      <c r="F24" s="14">
        <v>21.1</v>
      </c>
      <c r="G24" s="14">
        <f t="shared" si="3"/>
        <v>294.10000000000002</v>
      </c>
      <c r="H24" s="14">
        <v>101.3</v>
      </c>
      <c r="I24" s="14">
        <f t="shared" si="4"/>
        <v>101300</v>
      </c>
      <c r="J24" s="14">
        <f t="shared" si="5"/>
        <v>2.0124824921938581E-5</v>
      </c>
      <c r="K24" s="38">
        <v>6765.0940594059412</v>
      </c>
      <c r="L24" s="15">
        <f t="shared" si="6"/>
        <v>6.7650940594059412E-3</v>
      </c>
      <c r="M24" s="14">
        <f t="shared" si="7"/>
        <v>4.7762865441819992E-3</v>
      </c>
      <c r="N24" s="52">
        <f t="shared" si="8"/>
        <v>5.7009282113457523E-5</v>
      </c>
      <c r="O24" s="37">
        <v>2.032E-3</v>
      </c>
      <c r="P24" s="15">
        <v>0.1</v>
      </c>
      <c r="Q24" s="15">
        <f t="shared" si="9"/>
        <v>110000.00000000001</v>
      </c>
      <c r="R24" s="15">
        <v>0.08</v>
      </c>
      <c r="S24" s="15">
        <f t="shared" si="10"/>
        <v>108000</v>
      </c>
      <c r="T24" s="15">
        <f t="shared" si="11"/>
        <v>730.63015841584161</v>
      </c>
      <c r="U24" s="16">
        <f t="shared" si="12"/>
        <v>3.8027109501596307E-10</v>
      </c>
      <c r="V24" s="16">
        <f t="shared" si="13"/>
        <v>228999253418612.97</v>
      </c>
      <c r="W24" s="6">
        <f t="shared" si="14"/>
        <v>10</v>
      </c>
      <c r="X24" s="16">
        <f t="shared" si="15"/>
        <v>4.1259809080765897E-10</v>
      </c>
      <c r="Y24" s="16">
        <f t="shared" si="16"/>
        <v>248466570284372.25</v>
      </c>
    </row>
    <row r="25" spans="1:25" x14ac:dyDescent="0.25">
      <c r="A25" s="14">
        <v>126.5</v>
      </c>
      <c r="B25" s="14">
        <f t="shared" si="1"/>
        <v>2.1083333333333334</v>
      </c>
      <c r="C25" s="14">
        <v>20</v>
      </c>
      <c r="D25" s="14">
        <f t="shared" si="0"/>
        <v>29.146000000000001</v>
      </c>
      <c r="E25" s="14">
        <f t="shared" si="2"/>
        <v>4.8576666666666667E-7</v>
      </c>
      <c r="F25" s="14">
        <v>21.1</v>
      </c>
      <c r="G25" s="14">
        <f t="shared" si="3"/>
        <v>294.10000000000002</v>
      </c>
      <c r="H25" s="14">
        <v>101.3</v>
      </c>
      <c r="I25" s="14">
        <f t="shared" si="4"/>
        <v>101300</v>
      </c>
      <c r="J25" s="14">
        <f t="shared" si="5"/>
        <v>2.0124824921938581E-5</v>
      </c>
      <c r="K25" s="38">
        <v>6802.272277227723</v>
      </c>
      <c r="L25" s="15">
        <f t="shared" si="6"/>
        <v>6.8022722772277232E-3</v>
      </c>
      <c r="M25" s="14">
        <f t="shared" si="7"/>
        <v>4.7762865441819992E-3</v>
      </c>
      <c r="N25" s="52">
        <f t="shared" si="8"/>
        <v>5.7322582045382436E-5</v>
      </c>
      <c r="O25" s="37">
        <v>2.032E-3</v>
      </c>
      <c r="P25" s="15">
        <v>0.1</v>
      </c>
      <c r="Q25" s="15">
        <f t="shared" si="9"/>
        <v>110000.00000000001</v>
      </c>
      <c r="R25" s="15">
        <v>0.08</v>
      </c>
      <c r="S25" s="15">
        <f t="shared" si="10"/>
        <v>108000</v>
      </c>
      <c r="T25" s="15">
        <f t="shared" si="11"/>
        <v>734.64540594059406</v>
      </c>
      <c r="U25" s="16">
        <f t="shared" si="12"/>
        <v>3.8245403064123984E-10</v>
      </c>
      <c r="V25" s="16">
        <f t="shared" si="13"/>
        <v>230313817252154.66</v>
      </c>
      <c r="W25" s="6">
        <f t="shared" si="14"/>
        <v>10</v>
      </c>
      <c r="X25" s="16">
        <f t="shared" si="15"/>
        <v>4.1508487512321189E-10</v>
      </c>
      <c r="Y25" s="16">
        <f t="shared" si="16"/>
        <v>249964111799198.22</v>
      </c>
    </row>
    <row r="26" spans="1:25" x14ac:dyDescent="0.25">
      <c r="A26" s="14">
        <v>132</v>
      </c>
      <c r="B26" s="14">
        <f t="shared" si="1"/>
        <v>2.2000000000000002</v>
      </c>
      <c r="C26" s="14">
        <v>20</v>
      </c>
      <c r="D26" s="14">
        <f t="shared" si="0"/>
        <v>29.146000000000001</v>
      </c>
      <c r="E26" s="14">
        <f t="shared" si="2"/>
        <v>4.8576666666666667E-7</v>
      </c>
      <c r="F26" s="14">
        <v>21.1</v>
      </c>
      <c r="G26" s="14">
        <f t="shared" si="3"/>
        <v>294.10000000000002</v>
      </c>
      <c r="H26" s="14">
        <v>101.3</v>
      </c>
      <c r="I26" s="14">
        <f t="shared" si="4"/>
        <v>101300</v>
      </c>
      <c r="J26" s="14">
        <f t="shared" si="5"/>
        <v>2.0124824921938581E-5</v>
      </c>
      <c r="K26" s="38">
        <v>6808.6336633663368</v>
      </c>
      <c r="L26" s="15">
        <f t="shared" si="6"/>
        <v>6.8086336633663364E-3</v>
      </c>
      <c r="M26" s="14">
        <f t="shared" si="7"/>
        <v>4.7762865441819992E-3</v>
      </c>
      <c r="N26" s="52">
        <f t="shared" si="8"/>
        <v>5.7376189290725104E-5</v>
      </c>
      <c r="O26" s="37">
        <v>2.032E-3</v>
      </c>
      <c r="P26" s="15">
        <v>0.1</v>
      </c>
      <c r="Q26" s="15">
        <f t="shared" si="9"/>
        <v>110000.00000000001</v>
      </c>
      <c r="R26" s="15">
        <v>0.08</v>
      </c>
      <c r="S26" s="15">
        <f t="shared" si="10"/>
        <v>108000</v>
      </c>
      <c r="T26" s="15">
        <f t="shared" si="11"/>
        <v>735.33243564356428</v>
      </c>
      <c r="U26" s="16">
        <f t="shared" si="12"/>
        <v>3.8282762324494435E-10</v>
      </c>
      <c r="V26" s="16">
        <f t="shared" si="13"/>
        <v>230538794718105.5</v>
      </c>
      <c r="W26" s="6">
        <f t="shared" si="14"/>
        <v>10</v>
      </c>
      <c r="X26" s="16">
        <f t="shared" si="15"/>
        <v>4.1551058007914996E-10</v>
      </c>
      <c r="Y26" s="16">
        <f t="shared" si="16"/>
        <v>250220471323664.13</v>
      </c>
    </row>
    <row r="27" spans="1:25" x14ac:dyDescent="0.25">
      <c r="A27" s="14">
        <v>137.5</v>
      </c>
      <c r="B27" s="14">
        <f t="shared" si="1"/>
        <v>2.2916666666666665</v>
      </c>
      <c r="C27" s="14">
        <v>20</v>
      </c>
      <c r="D27" s="14">
        <f t="shared" si="0"/>
        <v>29.146000000000001</v>
      </c>
      <c r="E27" s="14">
        <f t="shared" si="2"/>
        <v>4.8576666666666667E-7</v>
      </c>
      <c r="F27" s="14">
        <v>21.1</v>
      </c>
      <c r="G27" s="14">
        <f t="shared" si="3"/>
        <v>294.10000000000002</v>
      </c>
      <c r="H27" s="14">
        <v>101.3</v>
      </c>
      <c r="I27" s="14">
        <f t="shared" si="4"/>
        <v>101300</v>
      </c>
      <c r="J27" s="14">
        <f t="shared" si="5"/>
        <v>2.0124824921938581E-5</v>
      </c>
      <c r="K27" s="38">
        <v>6824.4009900990104</v>
      </c>
      <c r="L27" s="15">
        <f t="shared" si="6"/>
        <v>6.8244009900990102E-3</v>
      </c>
      <c r="M27" s="14">
        <f t="shared" si="7"/>
        <v>4.7762865441819992E-3</v>
      </c>
      <c r="N27" s="52">
        <f t="shared" si="8"/>
        <v>5.7509060167313773E-5</v>
      </c>
      <c r="O27" s="37">
        <v>2.032E-3</v>
      </c>
      <c r="P27" s="15">
        <v>0.1</v>
      </c>
      <c r="Q27" s="15">
        <f t="shared" si="9"/>
        <v>110000.00000000001</v>
      </c>
      <c r="R27" s="15">
        <v>0.08</v>
      </c>
      <c r="S27" s="15">
        <f t="shared" si="10"/>
        <v>108000</v>
      </c>
      <c r="T27" s="15">
        <f t="shared" si="11"/>
        <v>737.03530693069308</v>
      </c>
      <c r="U27" s="16">
        <f t="shared" si="12"/>
        <v>3.8375371148461159E-10</v>
      </c>
      <c r="V27" s="16">
        <f t="shared" si="13"/>
        <v>231096485056033.13</v>
      </c>
      <c r="W27" s="6">
        <f t="shared" si="14"/>
        <v>10</v>
      </c>
      <c r="X27" s="16">
        <f t="shared" si="15"/>
        <v>4.165659879086903E-10</v>
      </c>
      <c r="Y27" s="16">
        <f t="shared" si="16"/>
        <v>250856037918613.31</v>
      </c>
    </row>
    <row r="28" spans="1:25" x14ac:dyDescent="0.25">
      <c r="A28" s="14">
        <v>143</v>
      </c>
      <c r="B28" s="14">
        <f t="shared" si="1"/>
        <v>2.3833333333333333</v>
      </c>
      <c r="C28" s="14">
        <v>20</v>
      </c>
      <c r="D28" s="14">
        <f t="shared" si="0"/>
        <v>29.146000000000001</v>
      </c>
      <c r="E28" s="14">
        <f t="shared" si="2"/>
        <v>4.8576666666666667E-7</v>
      </c>
      <c r="F28" s="14">
        <v>21.1</v>
      </c>
      <c r="G28" s="14">
        <f t="shared" si="3"/>
        <v>294.10000000000002</v>
      </c>
      <c r="H28" s="14">
        <v>101.3</v>
      </c>
      <c r="I28" s="14">
        <f t="shared" si="4"/>
        <v>101300</v>
      </c>
      <c r="J28" s="14">
        <f t="shared" si="5"/>
        <v>2.0124824921938581E-5</v>
      </c>
      <c r="K28" s="38">
        <v>6819.5990099009905</v>
      </c>
      <c r="L28" s="15">
        <f t="shared" si="6"/>
        <v>6.8195990099009906E-3</v>
      </c>
      <c r="M28" s="14">
        <f t="shared" si="7"/>
        <v>4.7762865441819992E-3</v>
      </c>
      <c r="N28" s="52">
        <f t="shared" si="8"/>
        <v>5.7468593997677664E-5</v>
      </c>
      <c r="O28" s="37">
        <v>2.032E-3</v>
      </c>
      <c r="P28" s="15">
        <v>0.1</v>
      </c>
      <c r="Q28" s="15">
        <f t="shared" si="9"/>
        <v>110000.00000000001</v>
      </c>
      <c r="R28" s="15">
        <v>0.08</v>
      </c>
      <c r="S28" s="15">
        <f t="shared" si="10"/>
        <v>108000</v>
      </c>
      <c r="T28" s="15">
        <f t="shared" si="11"/>
        <v>736.51669306930694</v>
      </c>
      <c r="U28" s="16">
        <f t="shared" si="12"/>
        <v>3.8347165353883162E-10</v>
      </c>
      <c r="V28" s="16">
        <f t="shared" si="13"/>
        <v>230926629761084.41</v>
      </c>
      <c r="W28" s="6">
        <f t="shared" si="14"/>
        <v>10</v>
      </c>
      <c r="X28" s="16">
        <f t="shared" si="15"/>
        <v>4.1624452211590286E-10</v>
      </c>
      <c r="Y28" s="16">
        <f t="shared" si="16"/>
        <v>250662451218196.72</v>
      </c>
    </row>
    <row r="29" spans="1:25" x14ac:dyDescent="0.25">
      <c r="A29" s="14">
        <v>148.5</v>
      </c>
      <c r="B29" s="14">
        <f t="shared" si="1"/>
        <v>2.4750000000000001</v>
      </c>
      <c r="C29" s="14">
        <v>20</v>
      </c>
      <c r="D29" s="14">
        <f t="shared" si="0"/>
        <v>29.146000000000001</v>
      </c>
      <c r="E29" s="14">
        <f t="shared" si="2"/>
        <v>4.8576666666666667E-7</v>
      </c>
      <c r="F29" s="14">
        <v>21.1</v>
      </c>
      <c r="G29" s="14">
        <f t="shared" si="3"/>
        <v>294.10000000000002</v>
      </c>
      <c r="H29" s="14">
        <v>101.3</v>
      </c>
      <c r="I29" s="14">
        <f t="shared" si="4"/>
        <v>101300</v>
      </c>
      <c r="J29" s="14">
        <f t="shared" si="5"/>
        <v>2.0124824921938581E-5</v>
      </c>
      <c r="K29" s="38">
        <v>6851.257425742574</v>
      </c>
      <c r="L29" s="15">
        <f t="shared" si="6"/>
        <v>6.8512574257425744E-3</v>
      </c>
      <c r="M29" s="14">
        <f t="shared" si="7"/>
        <v>4.7762865441819992E-3</v>
      </c>
      <c r="N29" s="52">
        <f t="shared" si="8"/>
        <v>5.7735378693371388E-5</v>
      </c>
      <c r="O29" s="37">
        <v>2.032E-3</v>
      </c>
      <c r="P29" s="15">
        <v>0.1</v>
      </c>
      <c r="Q29" s="15">
        <f t="shared" si="9"/>
        <v>110000.00000000001</v>
      </c>
      <c r="R29" s="15">
        <v>0.08</v>
      </c>
      <c r="S29" s="15">
        <f t="shared" si="10"/>
        <v>108000</v>
      </c>
      <c r="T29" s="15">
        <f t="shared" si="11"/>
        <v>739.93580198019799</v>
      </c>
      <c r="U29" s="16">
        <f t="shared" si="12"/>
        <v>3.8533144855366596E-10</v>
      </c>
      <c r="V29" s="16">
        <f t="shared" si="13"/>
        <v>232046598319017.66</v>
      </c>
      <c r="W29" s="6">
        <f t="shared" si="14"/>
        <v>10</v>
      </c>
      <c r="X29" s="16">
        <f t="shared" si="15"/>
        <v>4.1836449953443678E-10</v>
      </c>
      <c r="Y29" s="16">
        <f t="shared" si="16"/>
        <v>251939101619637.84</v>
      </c>
    </row>
    <row r="30" spans="1:25" x14ac:dyDescent="0.25">
      <c r="A30" s="14">
        <v>154</v>
      </c>
      <c r="B30" s="14">
        <f t="shared" si="1"/>
        <v>2.5666666666666669</v>
      </c>
      <c r="C30" s="14">
        <v>20</v>
      </c>
      <c r="D30" s="14">
        <f t="shared" si="0"/>
        <v>29.146000000000001</v>
      </c>
      <c r="E30" s="14">
        <f t="shared" si="2"/>
        <v>4.8576666666666667E-7</v>
      </c>
      <c r="F30" s="14">
        <v>21.1</v>
      </c>
      <c r="G30" s="14">
        <f t="shared" si="3"/>
        <v>294.10000000000002</v>
      </c>
      <c r="H30" s="14">
        <v>101.3</v>
      </c>
      <c r="I30" s="14">
        <f t="shared" si="4"/>
        <v>101300</v>
      </c>
      <c r="J30" s="14">
        <f t="shared" si="5"/>
        <v>2.0124824921938581E-5</v>
      </c>
      <c r="K30" s="38">
        <v>6854.6237623762381</v>
      </c>
      <c r="L30" s="15">
        <f t="shared" si="6"/>
        <v>6.8546237623762383E-3</v>
      </c>
      <c r="M30" s="14">
        <f t="shared" si="7"/>
        <v>4.7762865441819992E-3</v>
      </c>
      <c r="N30" s="52">
        <f t="shared" si="8"/>
        <v>5.7763746729817326E-5</v>
      </c>
      <c r="O30" s="37">
        <v>2.032E-3</v>
      </c>
      <c r="P30" s="15">
        <v>0.1</v>
      </c>
      <c r="Q30" s="15">
        <f t="shared" si="9"/>
        <v>110000.00000000001</v>
      </c>
      <c r="R30" s="15">
        <v>0.08</v>
      </c>
      <c r="S30" s="15">
        <f t="shared" si="10"/>
        <v>108000</v>
      </c>
      <c r="T30" s="15">
        <f t="shared" si="11"/>
        <v>740.29936633663374</v>
      </c>
      <c r="U30" s="16">
        <f t="shared" si="12"/>
        <v>3.8552924064998223E-10</v>
      </c>
      <c r="V30" s="16">
        <f t="shared" si="13"/>
        <v>232165708719419.31</v>
      </c>
      <c r="W30" s="6">
        <f t="shared" si="14"/>
        <v>10</v>
      </c>
      <c r="X30" s="16">
        <f t="shared" si="15"/>
        <v>4.1859000961693038E-10</v>
      </c>
      <c r="Y30" s="16">
        <f t="shared" si="16"/>
        <v>252074903791315.47</v>
      </c>
    </row>
    <row r="31" spans="1:25" x14ac:dyDescent="0.25">
      <c r="A31" s="14">
        <v>159.5</v>
      </c>
      <c r="B31" s="14">
        <f t="shared" si="1"/>
        <v>2.6583333333333332</v>
      </c>
      <c r="C31" s="14">
        <v>20</v>
      </c>
      <c r="D31" s="14">
        <f t="shared" si="0"/>
        <v>29.146000000000001</v>
      </c>
      <c r="E31" s="14">
        <f t="shared" si="2"/>
        <v>4.8576666666666667E-7</v>
      </c>
      <c r="F31" s="14">
        <v>21.1</v>
      </c>
      <c r="G31" s="14">
        <f t="shared" si="3"/>
        <v>294.10000000000002</v>
      </c>
      <c r="H31" s="14">
        <v>101.3</v>
      </c>
      <c r="I31" s="14">
        <f t="shared" si="4"/>
        <v>101300</v>
      </c>
      <c r="J31" s="14">
        <f t="shared" si="5"/>
        <v>2.0124824921938581E-5</v>
      </c>
      <c r="K31" s="38">
        <v>6845.5148514851489</v>
      </c>
      <c r="L31" s="15">
        <f t="shared" si="6"/>
        <v>6.8455148514851493E-3</v>
      </c>
      <c r="M31" s="14">
        <f t="shared" si="7"/>
        <v>4.7762865441819992E-3</v>
      </c>
      <c r="N31" s="52">
        <f t="shared" si="8"/>
        <v>5.7686986160610688E-5</v>
      </c>
      <c r="O31" s="37">
        <v>2.032E-3</v>
      </c>
      <c r="P31" s="15">
        <v>0.1</v>
      </c>
      <c r="Q31" s="15">
        <f t="shared" si="9"/>
        <v>110000.00000000001</v>
      </c>
      <c r="R31" s="15">
        <v>0.08</v>
      </c>
      <c r="S31" s="15">
        <f t="shared" si="10"/>
        <v>108000</v>
      </c>
      <c r="T31" s="15">
        <f t="shared" si="11"/>
        <v>739.31560396039617</v>
      </c>
      <c r="U31" s="16">
        <f t="shared" si="12"/>
        <v>3.8499405375138808E-10</v>
      </c>
      <c r="V31" s="16">
        <f t="shared" si="13"/>
        <v>231843419169085.91</v>
      </c>
      <c r="W31" s="6">
        <f t="shared" si="14"/>
        <v>10</v>
      </c>
      <c r="X31" s="16">
        <f t="shared" si="15"/>
        <v>4.1797984417062221E-10</v>
      </c>
      <c r="Y31" s="16">
        <f t="shared" si="16"/>
        <v>251707462159548.72</v>
      </c>
    </row>
    <row r="32" spans="1:25" x14ac:dyDescent="0.25">
      <c r="A32" s="14">
        <v>165</v>
      </c>
      <c r="B32" s="14">
        <f t="shared" si="1"/>
        <v>2.75</v>
      </c>
      <c r="C32" s="14">
        <v>20</v>
      </c>
      <c r="D32" s="14">
        <f t="shared" si="0"/>
        <v>29.146000000000001</v>
      </c>
      <c r="E32" s="14">
        <f t="shared" si="2"/>
        <v>4.8576666666666667E-7</v>
      </c>
      <c r="F32" s="14">
        <v>21.1</v>
      </c>
      <c r="G32" s="14">
        <f t="shared" si="3"/>
        <v>294.10000000000002</v>
      </c>
      <c r="H32" s="14">
        <v>101.3</v>
      </c>
      <c r="I32" s="14">
        <f t="shared" si="4"/>
        <v>101300</v>
      </c>
      <c r="J32" s="14">
        <f t="shared" si="5"/>
        <v>2.0124824921938581E-5</v>
      </c>
      <c r="K32" s="38">
        <v>6856.7772277227723</v>
      </c>
      <c r="L32" s="15">
        <f t="shared" si="6"/>
        <v>6.8567772277227726E-3</v>
      </c>
      <c r="M32" s="14">
        <f t="shared" si="7"/>
        <v>4.7762865441819992E-3</v>
      </c>
      <c r="N32" s="52">
        <f t="shared" si="8"/>
        <v>5.7781893929602584E-5</v>
      </c>
      <c r="O32" s="37">
        <v>2.032E-3</v>
      </c>
      <c r="P32" s="15">
        <v>0.1</v>
      </c>
      <c r="Q32" s="15">
        <f t="shared" si="9"/>
        <v>110000.00000000001</v>
      </c>
      <c r="R32" s="15">
        <v>0.08</v>
      </c>
      <c r="S32" s="15">
        <f t="shared" si="10"/>
        <v>108000</v>
      </c>
      <c r="T32" s="15">
        <f t="shared" si="11"/>
        <v>740.53194059405939</v>
      </c>
      <c r="U32" s="16">
        <f t="shared" si="12"/>
        <v>3.856557728809181E-10</v>
      </c>
      <c r="V32" s="16">
        <f t="shared" si="13"/>
        <v>232241906428888.88</v>
      </c>
      <c r="W32" s="6">
        <f t="shared" si="14"/>
        <v>10</v>
      </c>
      <c r="X32" s="16">
        <f t="shared" si="15"/>
        <v>4.1873427844689752E-10</v>
      </c>
      <c r="Y32" s="16">
        <f t="shared" si="16"/>
        <v>252161782480721.69</v>
      </c>
    </row>
    <row r="33" spans="1:25" x14ac:dyDescent="0.25">
      <c r="A33" s="14">
        <v>170.5</v>
      </c>
      <c r="B33" s="14">
        <f t="shared" si="1"/>
        <v>2.8416666666666668</v>
      </c>
      <c r="C33" s="14">
        <v>20</v>
      </c>
      <c r="D33" s="14">
        <f t="shared" si="0"/>
        <v>29.146000000000001</v>
      </c>
      <c r="E33" s="14">
        <f t="shared" si="2"/>
        <v>4.8576666666666667E-7</v>
      </c>
      <c r="F33" s="14">
        <v>21.1</v>
      </c>
      <c r="G33" s="14">
        <f t="shared" si="3"/>
        <v>294.10000000000002</v>
      </c>
      <c r="H33" s="14">
        <v>101.3</v>
      </c>
      <c r="I33" s="14">
        <f t="shared" si="4"/>
        <v>101300</v>
      </c>
      <c r="J33" s="14">
        <f t="shared" si="5"/>
        <v>2.0124824921938581E-5</v>
      </c>
      <c r="K33" s="38">
        <v>6895.6633663366347</v>
      </c>
      <c r="L33" s="15">
        <f t="shared" si="6"/>
        <v>6.8956633663366344E-3</v>
      </c>
      <c r="M33" s="14">
        <f t="shared" si="7"/>
        <v>4.7762865441819992E-3</v>
      </c>
      <c r="N33" s="52">
        <f t="shared" si="8"/>
        <v>5.8109586468253757E-5</v>
      </c>
      <c r="O33" s="37">
        <v>2.032E-3</v>
      </c>
      <c r="P33" s="15">
        <v>0.1</v>
      </c>
      <c r="Q33" s="15">
        <f t="shared" si="9"/>
        <v>110000.00000000001</v>
      </c>
      <c r="R33" s="15">
        <v>0.08</v>
      </c>
      <c r="S33" s="15">
        <f t="shared" si="10"/>
        <v>108000</v>
      </c>
      <c r="T33" s="15">
        <f t="shared" si="11"/>
        <v>744.73164356435655</v>
      </c>
      <c r="U33" s="16">
        <f t="shared" si="12"/>
        <v>3.8794108961501065E-10</v>
      </c>
      <c r="V33" s="16">
        <f t="shared" si="13"/>
        <v>233618124166159.44</v>
      </c>
      <c r="W33" s="6">
        <f t="shared" si="14"/>
        <v>10</v>
      </c>
      <c r="X33" s="16">
        <f t="shared" si="15"/>
        <v>4.2134057662781456E-10</v>
      </c>
      <c r="Y33" s="16">
        <f t="shared" si="16"/>
        <v>253731295245269.94</v>
      </c>
    </row>
    <row r="34" spans="1:25" x14ac:dyDescent="0.25">
      <c r="A34" s="14">
        <v>176</v>
      </c>
      <c r="B34" s="14">
        <f t="shared" ref="B34:B37" si="17">(A34/60)</f>
        <v>2.9333333333333331</v>
      </c>
      <c r="C34" s="14">
        <v>20</v>
      </c>
      <c r="D34" s="14">
        <f t="shared" ref="D34:D37" si="18">(C34*1.4573)</f>
        <v>29.146000000000001</v>
      </c>
      <c r="E34" s="14">
        <f t="shared" ref="E34:E37" si="19">(D34/(1000000*60))</f>
        <v>4.8576666666666667E-7</v>
      </c>
      <c r="F34" s="14">
        <v>21.1</v>
      </c>
      <c r="G34" s="14">
        <f t="shared" ref="G34:G37" si="20">(273+F34)</f>
        <v>294.10000000000002</v>
      </c>
      <c r="H34" s="14">
        <v>101.3</v>
      </c>
      <c r="I34" s="14">
        <f t="shared" ref="I34:I37" si="21">(H34*1000)</f>
        <v>101300</v>
      </c>
      <c r="J34" s="14">
        <f t="shared" ref="J34:J37" si="22">((I34*E34)/(8.314*G34))</f>
        <v>2.0124824921938581E-5</v>
      </c>
      <c r="K34" s="38">
        <v>6869.3019801980208</v>
      </c>
      <c r="L34" s="15">
        <f t="shared" ref="L34:L37" si="23">(K34/1000000)</f>
        <v>6.8693019801980212E-3</v>
      </c>
      <c r="M34" s="14">
        <f t="shared" si="7"/>
        <v>4.7762865441819992E-3</v>
      </c>
      <c r="N34" s="52">
        <f t="shared" si="8"/>
        <v>5.7887439712261722E-5</v>
      </c>
      <c r="O34" s="37">
        <v>2.032E-3</v>
      </c>
      <c r="P34" s="15">
        <v>0.1</v>
      </c>
      <c r="Q34" s="15">
        <f t="shared" ref="Q34:Q37" si="24">(1+P34)*100000*1</f>
        <v>110000.00000000001</v>
      </c>
      <c r="R34" s="15">
        <v>0.08</v>
      </c>
      <c r="S34" s="15">
        <f t="shared" ref="S34:S37" si="25">(1+R34)*100000</f>
        <v>108000</v>
      </c>
      <c r="T34" s="15">
        <f t="shared" ref="T34:T37" si="26">(L34*S34)</f>
        <v>741.88461386138624</v>
      </c>
      <c r="U34" s="16">
        <f t="shared" ref="U34:U37" si="27">((N34*O34)/((SQRT(Q34))-(SQRT(T34))))</f>
        <v>3.8639174951928061E-10</v>
      </c>
      <c r="V34" s="16">
        <f t="shared" ref="V34:V37" si="28">(U34*6.022E+23)</f>
        <v>232685111560510.78</v>
      </c>
      <c r="W34" s="6">
        <f t="shared" si="14"/>
        <v>10</v>
      </c>
      <c r="X34" s="16">
        <f t="shared" si="15"/>
        <v>4.1957349381191153E-10</v>
      </c>
      <c r="Y34" s="16">
        <f t="shared" si="16"/>
        <v>252667157973533.13</v>
      </c>
    </row>
    <row r="35" spans="1:25" x14ac:dyDescent="0.25">
      <c r="A35" s="14">
        <v>181.5</v>
      </c>
      <c r="B35" s="14">
        <f t="shared" si="17"/>
        <v>3.0249999999999999</v>
      </c>
      <c r="C35" s="14">
        <v>20</v>
      </c>
      <c r="D35" s="14">
        <f t="shared" si="18"/>
        <v>29.146000000000001</v>
      </c>
      <c r="E35" s="14">
        <f t="shared" si="19"/>
        <v>4.8576666666666667E-7</v>
      </c>
      <c r="F35" s="14">
        <v>21.1</v>
      </c>
      <c r="G35" s="14">
        <f t="shared" si="20"/>
        <v>294.10000000000002</v>
      </c>
      <c r="H35" s="14">
        <v>101.3</v>
      </c>
      <c r="I35" s="14">
        <f t="shared" si="21"/>
        <v>101300</v>
      </c>
      <c r="J35" s="14">
        <f t="shared" si="22"/>
        <v>2.0124824921938581E-5</v>
      </c>
      <c r="K35" s="38">
        <v>6886.727722772277</v>
      </c>
      <c r="L35" s="15">
        <f t="shared" si="23"/>
        <v>6.8867277227722774E-3</v>
      </c>
      <c r="M35" s="14">
        <f t="shared" si="7"/>
        <v>4.7762865441819992E-3</v>
      </c>
      <c r="N35" s="52">
        <f t="shared" si="8"/>
        <v>5.8034286018570062E-5</v>
      </c>
      <c r="O35" s="37">
        <v>2.032E-3</v>
      </c>
      <c r="P35" s="15">
        <v>0.1</v>
      </c>
      <c r="Q35" s="15">
        <f t="shared" si="24"/>
        <v>110000.00000000001</v>
      </c>
      <c r="R35" s="15">
        <v>0.08</v>
      </c>
      <c r="S35" s="15">
        <f t="shared" si="25"/>
        <v>108000</v>
      </c>
      <c r="T35" s="15">
        <f t="shared" si="26"/>
        <v>743.76659405940597</v>
      </c>
      <c r="U35" s="16">
        <f t="shared" si="27"/>
        <v>3.874158689447965E-10</v>
      </c>
      <c r="V35" s="16">
        <f t="shared" si="28"/>
        <v>233301836278556.47</v>
      </c>
      <c r="W35" s="6">
        <f t="shared" si="14"/>
        <v>10</v>
      </c>
      <c r="X35" s="16">
        <f t="shared" si="15"/>
        <v>4.2074147972919923E-10</v>
      </c>
      <c r="Y35" s="16">
        <f t="shared" si="16"/>
        <v>253370519092923.78</v>
      </c>
    </row>
    <row r="36" spans="1:25" x14ac:dyDescent="0.25">
      <c r="A36" s="14">
        <v>187</v>
      </c>
      <c r="B36" s="14">
        <f t="shared" si="17"/>
        <v>3.1166666666666667</v>
      </c>
      <c r="C36" s="14">
        <v>20</v>
      </c>
      <c r="D36" s="14">
        <f t="shared" si="18"/>
        <v>29.146000000000001</v>
      </c>
      <c r="E36" s="14">
        <f t="shared" si="19"/>
        <v>4.8576666666666667E-7</v>
      </c>
      <c r="F36" s="14">
        <v>21.1</v>
      </c>
      <c r="G36" s="14">
        <f t="shared" si="20"/>
        <v>294.10000000000002</v>
      </c>
      <c r="H36" s="14">
        <v>101.3</v>
      </c>
      <c r="I36" s="14">
        <f t="shared" si="21"/>
        <v>101300</v>
      </c>
      <c r="J36" s="14">
        <f t="shared" si="22"/>
        <v>2.0124824921938581E-5</v>
      </c>
      <c r="K36" s="38">
        <v>6880.2178217821784</v>
      </c>
      <c r="L36" s="15">
        <f t="shared" si="23"/>
        <v>6.880217821782178E-3</v>
      </c>
      <c r="M36" s="14">
        <f t="shared" si="7"/>
        <v>4.7762865441819992E-3</v>
      </c>
      <c r="N36" s="52">
        <f t="shared" si="8"/>
        <v>5.7979427242207706E-5</v>
      </c>
      <c r="O36" s="37">
        <v>2.032E-3</v>
      </c>
      <c r="P36" s="15">
        <v>0.1</v>
      </c>
      <c r="Q36" s="15">
        <f t="shared" si="24"/>
        <v>110000.00000000001</v>
      </c>
      <c r="R36" s="15">
        <v>0.08</v>
      </c>
      <c r="S36" s="15">
        <f t="shared" si="25"/>
        <v>108000</v>
      </c>
      <c r="T36" s="15">
        <f t="shared" si="26"/>
        <v>743.06352475247525</v>
      </c>
      <c r="U36" s="16">
        <f t="shared" si="27"/>
        <v>3.8703325819827536E-10</v>
      </c>
      <c r="V36" s="16">
        <f t="shared" si="28"/>
        <v>233071428087001.44</v>
      </c>
      <c r="W36" s="6">
        <f t="shared" si="14"/>
        <v>10</v>
      </c>
      <c r="X36" s="16">
        <f t="shared" si="15"/>
        <v>4.2030509209297257E-10</v>
      </c>
      <c r="Y36" s="16">
        <f t="shared" si="16"/>
        <v>253107726458388.09</v>
      </c>
    </row>
    <row r="37" spans="1:25" x14ac:dyDescent="0.25">
      <c r="A37" s="14">
        <v>192.5</v>
      </c>
      <c r="B37" s="14">
        <f t="shared" si="17"/>
        <v>3.2083333333333335</v>
      </c>
      <c r="C37" s="14">
        <v>20</v>
      </c>
      <c r="D37" s="14">
        <f t="shared" si="18"/>
        <v>29.146000000000001</v>
      </c>
      <c r="E37" s="14">
        <f t="shared" si="19"/>
        <v>4.8576666666666667E-7</v>
      </c>
      <c r="F37" s="14">
        <v>21.1</v>
      </c>
      <c r="G37" s="14">
        <f t="shared" si="20"/>
        <v>294.10000000000002</v>
      </c>
      <c r="H37" s="14">
        <v>101.3</v>
      </c>
      <c r="I37" s="14">
        <f t="shared" si="21"/>
        <v>101300</v>
      </c>
      <c r="J37" s="14">
        <f t="shared" si="22"/>
        <v>2.0124824921938581E-5</v>
      </c>
      <c r="K37" s="38">
        <v>6912.9158415841594</v>
      </c>
      <c r="L37" s="15">
        <f t="shared" si="23"/>
        <v>6.9129158415841595E-3</v>
      </c>
      <c r="M37" s="14">
        <f t="shared" si="7"/>
        <v>4.7762865441819992E-3</v>
      </c>
      <c r="N37" s="52">
        <f t="shared" si="8"/>
        <v>5.8254972655039154E-5</v>
      </c>
      <c r="O37" s="37">
        <v>2.032E-3</v>
      </c>
      <c r="P37" s="15">
        <v>0.1</v>
      </c>
      <c r="Q37" s="15">
        <f t="shared" si="24"/>
        <v>110000.00000000001</v>
      </c>
      <c r="R37" s="15">
        <v>0.08</v>
      </c>
      <c r="S37" s="15">
        <f t="shared" si="25"/>
        <v>108000</v>
      </c>
      <c r="T37" s="15">
        <f t="shared" si="26"/>
        <v>746.59491089108917</v>
      </c>
      <c r="U37" s="16">
        <f t="shared" si="27"/>
        <v>3.889552896560316E-10</v>
      </c>
      <c r="V37" s="16">
        <f t="shared" si="28"/>
        <v>234228875430862.25</v>
      </c>
      <c r="W37" s="6">
        <f t="shared" si="14"/>
        <v>10</v>
      </c>
      <c r="X37" s="16">
        <f t="shared" si="15"/>
        <v>4.2249761203998403E-10</v>
      </c>
      <c r="Y37" s="16">
        <f t="shared" si="16"/>
        <v>254428061970478.41</v>
      </c>
    </row>
    <row r="38" spans="1:25" x14ac:dyDescent="0.25">
      <c r="B38" s="26"/>
      <c r="C38" s="26"/>
      <c r="D38" s="26"/>
      <c r="E38" s="26"/>
      <c r="F38" s="26"/>
      <c r="G38" s="26"/>
      <c r="H38" s="26"/>
      <c r="I38" s="26"/>
      <c r="J38" s="26"/>
      <c r="K38" s="35"/>
      <c r="L38" s="27"/>
      <c r="M38" s="26"/>
      <c r="N38" s="46"/>
      <c r="O38" s="46"/>
      <c r="P38" s="27"/>
      <c r="Q38" s="27"/>
      <c r="R38" s="27"/>
      <c r="S38" s="27"/>
      <c r="T38" s="27"/>
      <c r="U38" s="27"/>
      <c r="V38" s="27"/>
    </row>
    <row r="41" spans="1:25" x14ac:dyDescent="0.25">
      <c r="U41" s="40">
        <f>AVERAGE(U14:U37)</f>
        <v>3.8330580515145079E-10</v>
      </c>
      <c r="V41" s="40">
        <f>AVERAGE(V14:V37)</f>
        <v>230826755862203.66</v>
      </c>
      <c r="X41" s="42">
        <f>AVERAGE(X14:X37)</f>
        <v>4.1605652404386797E-10</v>
      </c>
      <c r="Y41" s="42">
        <f>AVERAGE(Y14:Y37)</f>
        <v>250549238779217.28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DBC0-308C-4760-BF45-766F17EE89A9}">
  <dimension ref="C1:L8"/>
  <sheetViews>
    <sheetView tabSelected="1" topLeftCell="D1" zoomScale="110" zoomScaleNormal="110" workbookViewId="0">
      <selection activeCell="H13" sqref="H13"/>
    </sheetView>
  </sheetViews>
  <sheetFormatPr defaultRowHeight="14.4" x14ac:dyDescent="0.3"/>
  <cols>
    <col min="1" max="2" width="8.88671875" style="24"/>
    <col min="3" max="3" width="19.21875" style="7" bestFit="1" customWidth="1"/>
    <col min="4" max="4" width="17.6640625" style="25" customWidth="1"/>
    <col min="5" max="5" width="23" style="25" customWidth="1"/>
    <col min="6" max="7" width="16.6640625" style="25" customWidth="1"/>
    <col min="8" max="8" width="22" style="24" customWidth="1"/>
    <col min="9" max="9" width="21" customWidth="1"/>
    <col min="10" max="10" width="15.109375" style="24" customWidth="1"/>
    <col min="11" max="11" width="19.6640625" style="24" customWidth="1"/>
    <col min="12" max="12" width="21.5546875" style="24" customWidth="1"/>
    <col min="13" max="16384" width="8.88671875" style="24"/>
  </cols>
  <sheetData>
    <row r="1" spans="3:12" x14ac:dyDescent="0.3">
      <c r="D1" s="34"/>
      <c r="E1" s="34"/>
      <c r="F1" s="34"/>
      <c r="G1" s="34"/>
      <c r="H1" s="47"/>
      <c r="J1" s="47"/>
      <c r="K1" s="47"/>
      <c r="L1" s="47"/>
    </row>
    <row r="2" spans="3:12" x14ac:dyDescent="0.3">
      <c r="D2" s="34"/>
      <c r="E2" s="34"/>
      <c r="F2" s="34"/>
      <c r="G2" s="34"/>
      <c r="H2" s="47"/>
      <c r="J2" s="47"/>
      <c r="K2" s="47"/>
      <c r="L2" s="47"/>
    </row>
    <row r="3" spans="3:12" customFormat="1" x14ac:dyDescent="0.3">
      <c r="C3" s="53" t="s">
        <v>32</v>
      </c>
      <c r="D3" s="53"/>
      <c r="E3" s="53"/>
      <c r="F3" s="53"/>
      <c r="G3" s="50"/>
      <c r="I3" s="53" t="s">
        <v>33</v>
      </c>
      <c r="J3" s="53"/>
      <c r="K3" s="53"/>
      <c r="L3" s="53"/>
    </row>
    <row r="4" spans="3:12" customFormat="1" x14ac:dyDescent="0.3">
      <c r="C4" s="49" t="s">
        <v>19</v>
      </c>
      <c r="D4" s="49" t="s">
        <v>20</v>
      </c>
      <c r="E4" s="49" t="s">
        <v>21</v>
      </c>
      <c r="F4" s="49" t="s">
        <v>22</v>
      </c>
      <c r="G4" s="50"/>
      <c r="I4" s="49" t="s">
        <v>19</v>
      </c>
      <c r="J4" s="49" t="s">
        <v>20</v>
      </c>
      <c r="K4" s="49" t="s">
        <v>21</v>
      </c>
      <c r="L4" s="49" t="s">
        <v>22</v>
      </c>
    </row>
    <row r="5" spans="3:12" x14ac:dyDescent="0.3">
      <c r="C5" s="51" t="s">
        <v>23</v>
      </c>
      <c r="D5" s="33">
        <v>57538937568172.539</v>
      </c>
      <c r="E5" s="33">
        <v>56543388021473.602</v>
      </c>
      <c r="F5" s="36">
        <f t="shared" ref="F5:F7" si="0">AVERAGE(D5:E5)</f>
        <v>57041162794823.07</v>
      </c>
      <c r="G5" s="48"/>
      <c r="H5" s="47"/>
      <c r="I5" s="51" t="s">
        <v>23</v>
      </c>
      <c r="J5" s="33">
        <v>9.5547887027852086E-11</v>
      </c>
      <c r="K5" s="33">
        <v>9.3894699471062108E-11</v>
      </c>
      <c r="L5" s="36">
        <f t="shared" ref="L5:L7" si="1">AVERAGE(J5:K5)</f>
        <v>9.4721293249457097E-11</v>
      </c>
    </row>
    <row r="6" spans="3:12" x14ac:dyDescent="0.3">
      <c r="C6" s="51" t="s">
        <v>24</v>
      </c>
      <c r="D6" s="33">
        <v>136937940616116.91</v>
      </c>
      <c r="E6" s="33">
        <v>133054362893523.25</v>
      </c>
      <c r="F6" s="36">
        <f t="shared" si="0"/>
        <v>134996151754820.08</v>
      </c>
      <c r="G6" s="48"/>
      <c r="H6" s="47"/>
      <c r="I6" s="51" t="s">
        <v>24</v>
      </c>
      <c r="J6" s="33">
        <v>2.273961152708683E-10</v>
      </c>
      <c r="K6" s="33">
        <v>2.2094713200518637E-10</v>
      </c>
      <c r="L6" s="36">
        <f t="shared" si="1"/>
        <v>2.2417162363802733E-10</v>
      </c>
    </row>
    <row r="7" spans="3:12" x14ac:dyDescent="0.3">
      <c r="C7" s="51" t="s">
        <v>25</v>
      </c>
      <c r="D7" s="33">
        <v>256463596435322.38</v>
      </c>
      <c r="E7" s="33">
        <v>250549238779217.28</v>
      </c>
      <c r="F7" s="36">
        <f t="shared" si="0"/>
        <v>253506417607269.81</v>
      </c>
      <c r="G7" s="48"/>
      <c r="H7" s="47"/>
      <c r="I7" s="51" t="s">
        <v>25</v>
      </c>
      <c r="J7" s="33">
        <v>4.25877775548526E-10</v>
      </c>
      <c r="K7" s="37">
        <v>4.1605652404386797E-10</v>
      </c>
      <c r="L7" s="36">
        <f t="shared" si="1"/>
        <v>4.2096714979619698E-10</v>
      </c>
    </row>
    <row r="8" spans="3:12" x14ac:dyDescent="0.3">
      <c r="D8" s="34"/>
      <c r="E8" s="34"/>
      <c r="F8" s="34"/>
      <c r="G8" s="34"/>
      <c r="H8" s="47"/>
      <c r="J8" s="47"/>
      <c r="K8" s="47"/>
      <c r="L8" s="47"/>
    </row>
  </sheetData>
  <mergeCells count="2">
    <mergeCell ref="I3:L3"/>
    <mergeCell ref="C3:F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Ni coated dry 500C_1</vt:lpstr>
      <vt:lpstr>Ni coated dry 600C_1</vt:lpstr>
      <vt:lpstr>Ni coated dry 700C_1</vt:lpstr>
      <vt:lpstr>Ni coated dry 500C_2</vt:lpstr>
      <vt:lpstr>Ni coated dry 600C_2</vt:lpstr>
      <vt:lpstr>Ni coated dry 700C_2</vt:lpstr>
      <vt:lpstr>Average Ni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2026-03-24T15:18:31Z</dcterms:modified>
</cp:coreProperties>
</file>