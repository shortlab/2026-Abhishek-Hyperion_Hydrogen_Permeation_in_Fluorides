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2. Permeability estimations_Nickel\Transparent coating\"/>
    </mc:Choice>
  </mc:AlternateContent>
  <xr:revisionPtr revIDLastSave="0" documentId="13_ncr:1_{2F4D5A30-FE0A-44E6-AB25-652A7E313B61}" xr6:coauthVersionLast="47" xr6:coauthVersionMax="47" xr10:uidLastSave="{00000000-0000-0000-0000-000000000000}"/>
  <bookViews>
    <workbookView xWindow="-108" yWindow="-108" windowWidth="23256" windowHeight="12456" tabRatio="711" xr2:uid="{00000000-000D-0000-FFFF-FFFF00000000}"/>
  </bookViews>
  <sheets>
    <sheet name="1D Ø Arrhenius_Ni 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19" l="1"/>
  <c r="K10" i="19"/>
  <c r="D34" i="19"/>
  <c r="D35" i="19"/>
  <c r="D33" i="19"/>
  <c r="D3" i="19"/>
  <c r="D4" i="19"/>
  <c r="D2" i="19"/>
  <c r="K47" i="19" l="1"/>
  <c r="K46" i="19"/>
  <c r="E35" i="19"/>
  <c r="B35" i="19"/>
  <c r="E34" i="19"/>
  <c r="B34" i="19"/>
  <c r="M33" i="19"/>
  <c r="M34" i="19" s="1"/>
  <c r="J33" i="19"/>
  <c r="J34" i="19" s="1"/>
  <c r="J35" i="19" s="1"/>
  <c r="E33" i="19"/>
  <c r="B33" i="19"/>
  <c r="K19" i="19"/>
  <c r="K18" i="19"/>
  <c r="E4" i="19"/>
  <c r="B4" i="19"/>
  <c r="E3" i="19"/>
  <c r="B3" i="19"/>
  <c r="M2" i="19"/>
  <c r="M3" i="19" s="1"/>
  <c r="J2" i="19"/>
  <c r="J3" i="19" s="1"/>
  <c r="J4" i="19" s="1"/>
  <c r="E2" i="19"/>
  <c r="B2" i="19"/>
</calcChain>
</file>

<file path=xl/sharedStrings.xml><?xml version="1.0" encoding="utf-8"?>
<sst xmlns="http://schemas.openxmlformats.org/spreadsheetml/2006/main" count="34" uniqueCount="19">
  <si>
    <t>T</t>
  </si>
  <si>
    <t>1/T (1/K)</t>
  </si>
  <si>
    <t>Slope</t>
  </si>
  <si>
    <t>Y-intercept</t>
  </si>
  <si>
    <t>T(K)</t>
  </si>
  <si>
    <t>Value checks and calculations</t>
  </si>
  <si>
    <t>Calculated values of Ø at T for which experiments not done</t>
  </si>
  <si>
    <r>
      <t>ln Ø</t>
    </r>
    <r>
      <rPr>
        <b/>
        <vertAlign val="subscript"/>
        <sz val="11"/>
        <color rgb="FF00B050"/>
        <rFont val="Times New Roman"/>
        <family val="1"/>
      </rPr>
      <t>Ni</t>
    </r>
  </si>
  <si>
    <r>
      <t>(-E</t>
    </r>
    <r>
      <rPr>
        <vertAlign val="subscript"/>
        <sz val="11"/>
        <color rgb="FF00B050"/>
        <rFont val="Times New Roman"/>
        <family val="1"/>
      </rPr>
      <t>Ø</t>
    </r>
    <r>
      <rPr>
        <sz val="11"/>
        <color rgb="FF00B050"/>
        <rFont val="Calibri"/>
        <family val="2"/>
        <scheme val="minor"/>
      </rPr>
      <t>/R)</t>
    </r>
  </si>
  <si>
    <r>
      <t>E</t>
    </r>
    <r>
      <rPr>
        <vertAlign val="subscript"/>
        <sz val="11"/>
        <color rgb="FF00B050"/>
        <rFont val="Calibri"/>
        <family val="2"/>
        <scheme val="minor"/>
      </rPr>
      <t>Ø</t>
    </r>
    <r>
      <rPr>
        <sz val="11"/>
        <color rgb="FF00B050"/>
        <rFont val="Calibri"/>
        <family val="2"/>
        <scheme val="minor"/>
      </rPr>
      <t>/R</t>
    </r>
  </si>
  <si>
    <r>
      <t>E</t>
    </r>
    <r>
      <rPr>
        <b/>
        <vertAlign val="subscript"/>
        <sz val="11"/>
        <color rgb="FF00B050"/>
        <rFont val="Calibri"/>
        <family val="2"/>
        <scheme val="minor"/>
      </rPr>
      <t>Ø</t>
    </r>
  </si>
  <si>
    <r>
      <t xml:space="preserve">ln </t>
    </r>
    <r>
      <rPr>
        <sz val="11"/>
        <color rgb="FF00B050"/>
        <rFont val="Times New Roman"/>
        <family val="1"/>
      </rPr>
      <t>Ø</t>
    </r>
    <r>
      <rPr>
        <vertAlign val="subscript"/>
        <sz val="11"/>
        <color rgb="FF00B050"/>
        <rFont val="Calibri"/>
        <family val="2"/>
      </rPr>
      <t>0</t>
    </r>
  </si>
  <si>
    <r>
      <rPr>
        <b/>
        <sz val="11"/>
        <color rgb="FF00B050"/>
        <rFont val="Times New Roman"/>
        <family val="1"/>
      </rPr>
      <t>Ø</t>
    </r>
    <r>
      <rPr>
        <b/>
        <vertAlign val="subscript"/>
        <sz val="11"/>
        <color rgb="FF00B050"/>
        <rFont val="Calibri"/>
        <family val="2"/>
      </rPr>
      <t>0</t>
    </r>
  </si>
  <si>
    <r>
      <t>Calculated values of Ø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at T for which experiments not done</t>
    </r>
  </si>
  <si>
    <r>
      <t>T (˚</t>
    </r>
    <r>
      <rPr>
        <b/>
        <sz val="13.2"/>
        <color rgb="FF00B050"/>
        <rFont val="Times New Roman"/>
        <family val="1"/>
      </rPr>
      <t>C)</t>
    </r>
  </si>
  <si>
    <r>
      <t>E</t>
    </r>
    <r>
      <rPr>
        <b/>
        <vertAlign val="subscript"/>
        <sz val="11"/>
        <color rgb="FF00B050"/>
        <rFont val="Calibri"/>
        <family val="2"/>
        <scheme val="minor"/>
      </rPr>
      <t>Ø</t>
    </r>
    <r>
      <rPr>
        <b/>
        <sz val="11"/>
        <color rgb="FF00B050"/>
        <rFont val="Calibri"/>
        <family val="2"/>
        <scheme val="minor"/>
      </rPr>
      <t xml:space="preserve"> (J)</t>
    </r>
  </si>
  <si>
    <r>
      <t>Uncertainty in Ø</t>
    </r>
    <r>
      <rPr>
        <b/>
        <vertAlign val="subscript"/>
        <sz val="11"/>
        <color rgb="FF00B050"/>
        <rFont val="Times New Roman"/>
        <family val="1"/>
      </rPr>
      <t>Ni</t>
    </r>
  </si>
  <si>
    <r>
      <t xml:space="preserve"> Ø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(H/m.s.Pa0.5)</t>
    </r>
  </si>
  <si>
    <r>
      <t xml:space="preserve"> Ø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(mol-H/m.s.Pa0.5)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</si>
</sst>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vertAlign val="subscript"/>
      <sz val="11"/>
      <color rgb="FF00B050"/>
      <name val="Times New Roman"/>
      <family val="1"/>
    </font>
    <font>
      <sz val="11"/>
      <color rgb="FF00B050"/>
      <name val="Calibri"/>
      <family val="2"/>
      <scheme val="minor"/>
    </font>
    <font>
      <vertAlign val="subscript"/>
      <sz val="11"/>
      <color rgb="FF00B050"/>
      <name val="Times New Roman"/>
      <family val="1"/>
    </font>
    <font>
      <vertAlign val="subscript"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vertAlign val="subscript"/>
      <sz val="11"/>
      <color rgb="FF00B050"/>
      <name val="Calibri"/>
      <family val="2"/>
      <scheme val="minor"/>
    </font>
    <font>
      <vertAlign val="subscript"/>
      <sz val="11"/>
      <color rgb="FF00B050"/>
      <name val="Calibri"/>
      <family val="2"/>
    </font>
    <font>
      <b/>
      <sz val="11"/>
      <color rgb="FF00B050"/>
      <name val="Calibri"/>
      <family val="1"/>
    </font>
    <font>
      <b/>
      <vertAlign val="subscript"/>
      <sz val="11"/>
      <color rgb="FF00B050"/>
      <name val="Calibri"/>
      <family val="2"/>
    </font>
    <font>
      <b/>
      <sz val="13.2"/>
      <color rgb="FF00B05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1" fontId="2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7" fillId="3" borderId="0" xfId="0" applyFont="1" applyFill="1"/>
    <xf numFmtId="0" fontId="7" fillId="0" borderId="0" xfId="0" applyFont="1" applyAlignment="1">
      <alignment horizontal="center"/>
    </xf>
    <xf numFmtId="11" fontId="2" fillId="0" borderId="0" xfId="0" applyNumberFormat="1" applyFont="1"/>
    <xf numFmtId="164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Arrhenius plot (</a:t>
            </a:r>
            <a:r>
              <a:rPr lang="en-US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for units H/m.s.Pa</a:t>
            </a:r>
            <a:r>
              <a:rPr lang="en-US" sz="1400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0.5</a:t>
            </a:r>
            <a:r>
              <a:rPr lang="en-US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  <a:endParaRPr lang="en-US" sz="14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Arrhenius_Ni '!$E$1</c:f>
              <c:strCache>
                <c:ptCount val="1"/>
                <c:pt idx="0">
                  <c:v>ln ØNi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9048223613188"/>
                  <c:y val="-0.336419278588479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Arrhenius_Ni '!$B$2:$B$7</c:f>
              <c:numCache>
                <c:formatCode>General</c:formatCode>
                <c:ptCount val="6"/>
                <c:pt idx="0">
                  <c:v>1.29366106080207E-3</c:v>
                </c:pt>
                <c:pt idx="1">
                  <c:v>1.145475372279496E-3</c:v>
                </c:pt>
                <c:pt idx="2">
                  <c:v>1.0277492291880781E-3</c:v>
                </c:pt>
              </c:numCache>
            </c:numRef>
          </c:xVal>
          <c:yVal>
            <c:numRef>
              <c:f>'1D Ø Arrhenius_Ni '!$E$2:$E$7</c:f>
              <c:numCache>
                <c:formatCode>General</c:formatCode>
                <c:ptCount val="6"/>
                <c:pt idx="0">
                  <c:v>31.674794277430294</c:v>
                </c:pt>
                <c:pt idx="1">
                  <c:v>32.536267388440834</c:v>
                </c:pt>
                <c:pt idx="2">
                  <c:v>33.166410254644347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7E-44EB-8344-D1BF7F329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559663"/>
        <c:axId val="309560143"/>
      </c:scatterChart>
      <c:valAx>
        <c:axId val="309559663"/>
        <c:scaling>
          <c:orientation val="minMax"/>
          <c:max val="1.3000000000000004E-3"/>
          <c:min val="1.020000000000000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1/T (K</a:t>
                </a:r>
                <a:r>
                  <a:rPr lang="en-IN" baseline="30000"/>
                  <a:t>-1</a:t>
                </a:r>
                <a:r>
                  <a:rPr lang="en-IN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60143"/>
        <c:crosses val="autoZero"/>
        <c:crossBetween val="midCat"/>
      </c:valAx>
      <c:valAx>
        <c:axId val="30956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ln Ø-Ni </a:t>
                </a:r>
              </a:p>
            </c:rich>
          </c:tx>
          <c:layout>
            <c:manualLayout>
              <c:xMode val="edge"/>
              <c:yMode val="edge"/>
              <c:x val="1.4385532264693794E-2"/>
              <c:y val="0.40540536599591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59663"/>
        <c:crosses val="autoZero"/>
        <c:crossBetween val="midCat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Arrhenius plot for units (mol-H/m.s.Pa</a:t>
            </a:r>
            <a:r>
              <a:rPr lang="en-US" sz="1400" b="1" i="0" u="none" strike="noStrike" kern="1200" spc="0" baseline="30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0.5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Arrhenius_Ni '!$E$32</c:f>
              <c:strCache>
                <c:ptCount val="1"/>
                <c:pt idx="0">
                  <c:v>ln ØNi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526802643863956"/>
                  <c:y val="-0.38115827760876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Arrhenius_Ni '!$B$33:$B$35</c:f>
              <c:numCache>
                <c:formatCode>General</c:formatCode>
                <c:ptCount val="3"/>
                <c:pt idx="0">
                  <c:v>1.29366106080207E-3</c:v>
                </c:pt>
                <c:pt idx="1">
                  <c:v>1.145475372279496E-3</c:v>
                </c:pt>
                <c:pt idx="2">
                  <c:v>1.0277492291880781E-3</c:v>
                </c:pt>
              </c:numCache>
            </c:numRef>
          </c:xVal>
          <c:yVal>
            <c:numRef>
              <c:f>'1D Ø Arrhenius_Ni '!$E$33:$E$35</c:f>
              <c:numCache>
                <c:formatCode>General</c:formatCode>
                <c:ptCount val="3"/>
                <c:pt idx="0">
                  <c:v>-23.080082291492296</c:v>
                </c:pt>
                <c:pt idx="1">
                  <c:v>-22.218609180481756</c:v>
                </c:pt>
                <c:pt idx="2">
                  <c:v>-21.588466314278243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AB-42F2-836E-8C7FAE8C9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135983"/>
        <c:axId val="514126863"/>
      </c:scatterChart>
      <c:valAx>
        <c:axId val="514135983"/>
        <c:scaling>
          <c:orientation val="minMax"/>
          <c:max val="1.3000000000000004E-3"/>
          <c:min val="1.020000000000000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1/T (K</a:t>
                </a:r>
                <a:r>
                  <a:rPr lang="en-IN" sz="10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IN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4126863"/>
        <c:crosses val="autoZero"/>
        <c:crossBetween val="midCat"/>
      </c:valAx>
      <c:valAx>
        <c:axId val="5141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 Ø-Ni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4135983"/>
        <c:crosses val="autoZero"/>
        <c:crossBetween val="midCat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9</xdr:row>
      <xdr:rowOff>3810</xdr:rowOff>
    </xdr:from>
    <xdr:to>
      <xdr:col>6</xdr:col>
      <xdr:colOff>502920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3E96A-FF58-473F-8E3E-C0EB2622A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421530</xdr:colOff>
      <xdr:row>37</xdr:row>
      <xdr:rowOff>6485</xdr:rowOff>
    </xdr:from>
    <xdr:to>
      <xdr:col>6</xdr:col>
      <xdr:colOff>429638</xdr:colOff>
      <xdr:row>51</xdr:row>
      <xdr:rowOff>139430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0772A2-FD6E-4C43-AE68-92C0DBEA4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BAE7-D748-4E50-B204-39B962BC6F3D}">
  <dimension ref="A1:Q53"/>
  <sheetViews>
    <sheetView tabSelected="1" topLeftCell="B1" zoomScale="110" zoomScaleNormal="110" workbookViewId="0">
      <selection activeCell="K31" sqref="K31"/>
    </sheetView>
  </sheetViews>
  <sheetFormatPr defaultRowHeight="14.4" x14ac:dyDescent="0.3"/>
  <cols>
    <col min="1" max="1" width="8.88671875" style="1"/>
    <col min="2" max="2" width="27.44140625" style="1" customWidth="1"/>
    <col min="3" max="3" width="28.5546875" style="1" customWidth="1"/>
    <col min="4" max="4" width="28.5546875" style="16" customWidth="1"/>
    <col min="5" max="5" width="21.77734375" style="1" customWidth="1"/>
    <col min="6" max="7" width="8.88671875" style="1"/>
    <col min="8" max="8" width="7.21875" style="1" customWidth="1"/>
    <col min="9" max="9" width="6.88671875" style="5" customWidth="1"/>
    <col min="10" max="10" width="26.33203125" style="5" bestFit="1" customWidth="1"/>
    <col min="11" max="11" width="15.5546875" style="1" customWidth="1"/>
    <col min="12" max="12" width="13.5546875" style="1" customWidth="1"/>
    <col min="13" max="13" width="12" style="1" bestFit="1" customWidth="1"/>
    <col min="14" max="14" width="8.88671875" style="1"/>
    <col min="15" max="15" width="12.109375" style="1" bestFit="1" customWidth="1"/>
    <col min="16" max="16384" width="8.88671875" style="1"/>
  </cols>
  <sheetData>
    <row r="1" spans="1:13" ht="16.2" x14ac:dyDescent="0.35">
      <c r="A1" s="7" t="s">
        <v>0</v>
      </c>
      <c r="B1" s="7" t="s">
        <v>1</v>
      </c>
      <c r="C1" s="7" t="s">
        <v>17</v>
      </c>
      <c r="D1" s="7" t="s">
        <v>16</v>
      </c>
      <c r="E1" s="7" t="s">
        <v>7</v>
      </c>
      <c r="I1" s="10" t="s">
        <v>2</v>
      </c>
      <c r="J1" s="10">
        <v>-5618.1</v>
      </c>
      <c r="L1" s="10" t="s">
        <v>3</v>
      </c>
      <c r="M1" s="10">
        <v>38.951999999999998</v>
      </c>
    </row>
    <row r="2" spans="1:13" ht="16.2" x14ac:dyDescent="0.35">
      <c r="A2" s="8">
        <v>773</v>
      </c>
      <c r="B2" s="8">
        <f>(1/A2)</f>
        <v>1.29366106080207E-3</v>
      </c>
      <c r="C2" s="8">
        <v>57041162794823.07</v>
      </c>
      <c r="D2" s="8">
        <f>(12.91*C2)/100</f>
        <v>7364014116811.6592</v>
      </c>
      <c r="E2" s="8">
        <f>LN(C2)</f>
        <v>31.674794277430294</v>
      </c>
      <c r="I2" s="10" t="s">
        <v>8</v>
      </c>
      <c r="J2" s="10">
        <f>J1</f>
        <v>-5618.1</v>
      </c>
      <c r="L2" s="10" t="s">
        <v>11</v>
      </c>
      <c r="M2" s="10">
        <f>(M1)</f>
        <v>38.951999999999998</v>
      </c>
    </row>
    <row r="3" spans="1:13" ht="15.6" x14ac:dyDescent="0.35">
      <c r="A3" s="8">
        <v>873</v>
      </c>
      <c r="B3" s="8">
        <f t="shared" ref="B3:B4" si="0">(1/A3)</f>
        <v>1.145475372279496E-3</v>
      </c>
      <c r="C3" s="8">
        <v>134996151754820.08</v>
      </c>
      <c r="D3" s="8">
        <f t="shared" ref="D3:D4" si="1">(12.91*C3)/100</f>
        <v>17428003191547.273</v>
      </c>
      <c r="E3" s="8">
        <f t="shared" ref="E3:E4" si="2">LN(C3)</f>
        <v>32.536267388440834</v>
      </c>
      <c r="I3" s="10" t="s">
        <v>9</v>
      </c>
      <c r="J3" s="10">
        <f>(-1)*J2</f>
        <v>5618.1</v>
      </c>
      <c r="L3" s="12" t="s">
        <v>12</v>
      </c>
      <c r="M3" s="11">
        <f>EXP(M2)</f>
        <v>8.2535095682039808E+16</v>
      </c>
    </row>
    <row r="4" spans="1:13" ht="15.6" x14ac:dyDescent="0.35">
      <c r="A4" s="8">
        <v>973</v>
      </c>
      <c r="B4" s="8">
        <f t="shared" si="0"/>
        <v>1.0277492291880781E-3</v>
      </c>
      <c r="C4" s="8">
        <v>253506417607269.81</v>
      </c>
      <c r="D4" s="8">
        <f t="shared" si="1"/>
        <v>32727678513098.535</v>
      </c>
      <c r="E4" s="8">
        <f t="shared" si="2"/>
        <v>33.166410254644347</v>
      </c>
      <c r="I4" s="11" t="s">
        <v>10</v>
      </c>
      <c r="J4" s="11">
        <f>(J3*8.314)</f>
        <v>46708.883400000006</v>
      </c>
    </row>
    <row r="5" spans="1:13" x14ac:dyDescent="0.3">
      <c r="A5" s="2"/>
      <c r="B5" s="2"/>
      <c r="C5" s="2"/>
      <c r="D5" s="15"/>
      <c r="E5" s="2"/>
      <c r="I5" s="6"/>
      <c r="J5" s="6"/>
    </row>
    <row r="6" spans="1:13" x14ac:dyDescent="0.3">
      <c r="A6" s="2"/>
      <c r="B6" s="2"/>
      <c r="C6" s="2"/>
      <c r="D6" s="15"/>
      <c r="E6" s="2"/>
      <c r="I6" s="6"/>
      <c r="J6" s="6"/>
    </row>
    <row r="7" spans="1:13" x14ac:dyDescent="0.3">
      <c r="B7" s="2"/>
      <c r="C7" s="2"/>
      <c r="D7" s="15"/>
    </row>
    <row r="10" spans="1:13" x14ac:dyDescent="0.3">
      <c r="J10" s="13" t="s">
        <v>5</v>
      </c>
      <c r="K10" s="13">
        <f>(M3*(EXP(-J4/(8.314*973))))</f>
        <v>256462111325626.78</v>
      </c>
    </row>
    <row r="12" spans="1:13" x14ac:dyDescent="0.3">
      <c r="K12" s="6"/>
    </row>
    <row r="16" spans="1:13" ht="16.2" x14ac:dyDescent="0.35">
      <c r="J16" s="21" t="s">
        <v>13</v>
      </c>
      <c r="K16" s="21"/>
      <c r="L16" s="21"/>
      <c r="M16" s="21"/>
    </row>
    <row r="17" spans="1:17" ht="17.399999999999999" x14ac:dyDescent="0.35">
      <c r="J17" s="7" t="s">
        <v>14</v>
      </c>
      <c r="K17" s="7" t="s">
        <v>4</v>
      </c>
      <c r="L17" s="21" t="s">
        <v>17</v>
      </c>
      <c r="M17" s="21"/>
    </row>
    <row r="18" spans="1:17" x14ac:dyDescent="0.3">
      <c r="J18" s="14">
        <v>550</v>
      </c>
      <c r="K18" s="14">
        <f>(273+J18)</f>
        <v>823</v>
      </c>
      <c r="L18" s="22">
        <v>89533417357555.5</v>
      </c>
      <c r="M18" s="22"/>
    </row>
    <row r="19" spans="1:17" x14ac:dyDescent="0.3">
      <c r="J19" s="14">
        <v>650</v>
      </c>
      <c r="K19" s="14">
        <f>(273+J19)</f>
        <v>923</v>
      </c>
      <c r="L19" s="22">
        <v>187578355144078</v>
      </c>
      <c r="M19" s="22"/>
    </row>
    <row r="20" spans="1:17" x14ac:dyDescent="0.3">
      <c r="J20" s="18"/>
      <c r="K20" s="16"/>
    </row>
    <row r="27" spans="1:17" x14ac:dyDescent="0.3">
      <c r="A27" s="3"/>
      <c r="B27" s="3"/>
      <c r="C27" s="3"/>
      <c r="D27" s="17"/>
      <c r="E27" s="3"/>
      <c r="F27" s="3"/>
      <c r="G27" s="3"/>
      <c r="H27" s="3"/>
      <c r="I27" s="4"/>
      <c r="J27" s="4"/>
      <c r="K27" s="3"/>
      <c r="L27" s="3"/>
      <c r="M27" s="3"/>
      <c r="N27" s="3"/>
      <c r="O27" s="3"/>
      <c r="P27" s="3"/>
      <c r="Q27" s="3"/>
    </row>
    <row r="31" spans="1:17" x14ac:dyDescent="0.3">
      <c r="H31" s="16"/>
      <c r="I31" s="18"/>
      <c r="J31" s="18"/>
      <c r="K31" s="16"/>
      <c r="L31" s="16"/>
      <c r="M31" s="16"/>
      <c r="N31" s="16"/>
      <c r="O31" s="16"/>
    </row>
    <row r="32" spans="1:17" ht="16.2" x14ac:dyDescent="0.35">
      <c r="A32" s="7" t="s">
        <v>0</v>
      </c>
      <c r="B32" s="7" t="s">
        <v>1</v>
      </c>
      <c r="C32" s="7" t="s">
        <v>18</v>
      </c>
      <c r="D32" s="7" t="s">
        <v>16</v>
      </c>
      <c r="E32" s="7" t="s">
        <v>7</v>
      </c>
      <c r="H32" s="16"/>
      <c r="I32" s="10" t="s">
        <v>2</v>
      </c>
      <c r="J32" s="10">
        <v>-5618.1</v>
      </c>
      <c r="K32" s="16"/>
      <c r="L32" s="10" t="s">
        <v>3</v>
      </c>
      <c r="M32" s="10">
        <v>-15.803000000000001</v>
      </c>
      <c r="N32" s="16"/>
      <c r="O32" s="16"/>
    </row>
    <row r="33" spans="1:15" ht="16.2" x14ac:dyDescent="0.35">
      <c r="A33" s="8">
        <v>773</v>
      </c>
      <c r="B33" s="8">
        <f>(1/A33)</f>
        <v>1.29366106080207E-3</v>
      </c>
      <c r="C33" s="8">
        <v>9.4721293249457097E-11</v>
      </c>
      <c r="D33" s="8">
        <f>(12.91*C33)/100</f>
        <v>1.2228518958504912E-11</v>
      </c>
      <c r="E33" s="8">
        <f>LN(C33)</f>
        <v>-23.080082291492296</v>
      </c>
      <c r="H33" s="16"/>
      <c r="I33" s="10" t="s">
        <v>8</v>
      </c>
      <c r="J33" s="10">
        <f>J32</f>
        <v>-5618.1</v>
      </c>
      <c r="K33" s="16"/>
      <c r="L33" s="10" t="s">
        <v>11</v>
      </c>
      <c r="M33" s="10">
        <f>(M32)</f>
        <v>-15.803000000000001</v>
      </c>
      <c r="N33" s="16"/>
      <c r="O33" s="16"/>
    </row>
    <row r="34" spans="1:15" ht="15.6" x14ac:dyDescent="0.35">
      <c r="A34" s="8">
        <v>873</v>
      </c>
      <c r="B34" s="8">
        <f t="shared" ref="B34:B35" si="3">(1/A34)</f>
        <v>1.145475372279496E-3</v>
      </c>
      <c r="C34" s="8">
        <v>2.2417162363802733E-10</v>
      </c>
      <c r="D34" s="8">
        <f t="shared" ref="D34:D35" si="4">(12.91*C34)/100</f>
        <v>2.8940556611669331E-11</v>
      </c>
      <c r="E34" s="8">
        <f t="shared" ref="E34:E35" si="5">LN(C34)</f>
        <v>-22.218609180481756</v>
      </c>
      <c r="H34" s="16"/>
      <c r="I34" s="10" t="s">
        <v>9</v>
      </c>
      <c r="J34" s="10">
        <f>(-1)*J33</f>
        <v>5618.1</v>
      </c>
      <c r="K34" s="16"/>
      <c r="L34" s="12" t="s">
        <v>12</v>
      </c>
      <c r="M34" s="11">
        <f>EXP(M33)</f>
        <v>1.3703903838417586E-7</v>
      </c>
      <c r="N34" s="16"/>
      <c r="O34" s="16"/>
    </row>
    <row r="35" spans="1:15" ht="15.6" x14ac:dyDescent="0.35">
      <c r="A35" s="8">
        <v>973</v>
      </c>
      <c r="B35" s="8">
        <f t="shared" si="3"/>
        <v>1.0277492291880781E-3</v>
      </c>
      <c r="C35" s="8">
        <v>4.2096714979619698E-10</v>
      </c>
      <c r="D35" s="8">
        <f t="shared" si="4"/>
        <v>5.4346859038689028E-11</v>
      </c>
      <c r="E35" s="8">
        <f t="shared" si="5"/>
        <v>-21.588466314278243</v>
      </c>
      <c r="H35" s="16"/>
      <c r="I35" s="11" t="s">
        <v>15</v>
      </c>
      <c r="J35" s="11">
        <f>(J34*8.314)</f>
        <v>46708.883400000006</v>
      </c>
      <c r="K35" s="16"/>
      <c r="L35" s="16"/>
      <c r="M35" s="16"/>
      <c r="N35" s="16"/>
      <c r="O35" s="16"/>
    </row>
    <row r="36" spans="1:15" x14ac:dyDescent="0.3">
      <c r="H36" s="16"/>
      <c r="I36" s="18"/>
      <c r="J36" s="18"/>
      <c r="K36" s="16"/>
      <c r="L36" s="16"/>
      <c r="M36" s="16"/>
      <c r="N36" s="16"/>
      <c r="O36" s="16"/>
    </row>
    <row r="37" spans="1:15" x14ac:dyDescent="0.3">
      <c r="O37" s="19"/>
    </row>
    <row r="39" spans="1:15" x14ac:dyDescent="0.3">
      <c r="J39" s="13" t="s">
        <v>5</v>
      </c>
      <c r="K39" s="13">
        <f>(M34*(EXP(-J35/(8.314*823))))</f>
        <v>1.4865886222748313E-10</v>
      </c>
    </row>
    <row r="41" spans="1:15" x14ac:dyDescent="0.3">
      <c r="K41" s="6"/>
    </row>
    <row r="44" spans="1:15" x14ac:dyDescent="0.3">
      <c r="J44" s="21" t="s">
        <v>6</v>
      </c>
      <c r="K44" s="21"/>
      <c r="L44" s="21"/>
      <c r="M44" s="21"/>
    </row>
    <row r="45" spans="1:15" ht="17.399999999999999" x14ac:dyDescent="0.35">
      <c r="J45" s="7" t="s">
        <v>14</v>
      </c>
      <c r="K45" s="7" t="s">
        <v>4</v>
      </c>
      <c r="L45" s="21" t="s">
        <v>18</v>
      </c>
      <c r="M45" s="21"/>
    </row>
    <row r="46" spans="1:15" x14ac:dyDescent="0.3">
      <c r="J46" s="14">
        <v>550</v>
      </c>
      <c r="K46" s="14">
        <f>(273+J46)</f>
        <v>823</v>
      </c>
      <c r="L46" s="20">
        <v>1.48658862227483E-10</v>
      </c>
      <c r="M46" s="20"/>
    </row>
    <row r="47" spans="1:15" x14ac:dyDescent="0.3">
      <c r="J47" s="14">
        <v>650</v>
      </c>
      <c r="K47" s="14">
        <f>(273+J47)</f>
        <v>923</v>
      </c>
      <c r="L47" s="20">
        <v>3.1145002254142401E-10</v>
      </c>
      <c r="M47" s="20"/>
    </row>
    <row r="51" spans="10:10" x14ac:dyDescent="0.3">
      <c r="J51" s="9"/>
    </row>
    <row r="53" spans="10:10" x14ac:dyDescent="0.3">
      <c r="J53" s="9"/>
    </row>
  </sheetData>
  <mergeCells count="8">
    <mergeCell ref="L46:M46"/>
    <mergeCell ref="L47:M47"/>
    <mergeCell ref="J16:M16"/>
    <mergeCell ref="L17:M17"/>
    <mergeCell ref="L18:M18"/>
    <mergeCell ref="L19:M19"/>
    <mergeCell ref="J44:M44"/>
    <mergeCell ref="L45:M45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 Ø Arrhenius_Ni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2026-03-24T15:18:27Z</dcterms:modified>
</cp:coreProperties>
</file>