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4. Permeability estimations_FLiBe_Metal side charging\Ideal coating\"/>
    </mc:Choice>
  </mc:AlternateContent>
  <xr:revisionPtr revIDLastSave="0" documentId="13_ncr:1_{19B46DE0-7C54-4A1A-9094-A97AD30A70C4}" xr6:coauthVersionLast="47" xr6:coauthVersionMax="47" xr10:uidLastSave="{00000000-0000-0000-0000-000000000000}"/>
  <bookViews>
    <workbookView xWindow="-108" yWindow="-108" windowWidth="23256" windowHeight="12456" tabRatio="774" firstSheet="6" activeTab="9" xr2:uid="{00000000-000D-0000-FFFF-FFFF00000000}"/>
  </bookViews>
  <sheets>
    <sheet name="500C_5 mm Flibe_coated+dewar_1" sheetId="4" r:id="rId1"/>
    <sheet name="500C_5 mm Flibe_coated+dewar_2" sheetId="21" r:id="rId2"/>
    <sheet name="550C_5 mm Flibe_coated+dewar_1" sheetId="12" r:id="rId3"/>
    <sheet name="550C_5 mm Flibe_coated+dewar_2" sheetId="16" r:id="rId4"/>
    <sheet name="600C_5 mm Flibe_coated+dewar_1" sheetId="11" r:id="rId5"/>
    <sheet name="600C_5 mm Flibe_coated+dewar_2" sheetId="14" r:id="rId6"/>
    <sheet name="650C_5 mm Flibe_coated+dewar_1" sheetId="13" r:id="rId7"/>
    <sheet name="650C_5 mm Flibe_coated+dewar_2" sheetId="17" r:id="rId8"/>
    <sheet name="700C_5 mm Flibe_coated+dewar_1" sheetId="18" r:id="rId9"/>
    <sheet name="700C_5 mm Flibe_coated+dewar_2" sheetId="20" r:id="rId10"/>
    <sheet name="Avg FLiBe parameter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0" l="1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2" i="20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2" i="18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2" i="17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2" i="14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2" i="1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2" i="16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2" i="12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2" i="2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2" i="4"/>
  <c r="W62" i="21" l="1"/>
  <c r="U62" i="21"/>
  <c r="R62" i="21"/>
  <c r="M62" i="21"/>
  <c r="L62" i="21"/>
  <c r="I62" i="21"/>
  <c r="G62" i="21"/>
  <c r="D62" i="21"/>
  <c r="E62" i="21" s="1"/>
  <c r="B62" i="21"/>
  <c r="W61" i="21"/>
  <c r="U61" i="21"/>
  <c r="R61" i="21"/>
  <c r="M61" i="21"/>
  <c r="L61" i="21"/>
  <c r="I61" i="21"/>
  <c r="G61" i="21"/>
  <c r="D61" i="21"/>
  <c r="E61" i="21" s="1"/>
  <c r="B61" i="21"/>
  <c r="W60" i="21"/>
  <c r="U60" i="21"/>
  <c r="R60" i="21"/>
  <c r="M60" i="21"/>
  <c r="L60" i="21"/>
  <c r="I60" i="21"/>
  <c r="G60" i="21"/>
  <c r="D60" i="21"/>
  <c r="E60" i="21" s="1"/>
  <c r="B60" i="21"/>
  <c r="W59" i="21"/>
  <c r="U59" i="21"/>
  <c r="R59" i="21"/>
  <c r="M59" i="21"/>
  <c r="L59" i="21"/>
  <c r="I59" i="21"/>
  <c r="G59" i="21"/>
  <c r="D59" i="21"/>
  <c r="E59" i="21" s="1"/>
  <c r="B59" i="21"/>
  <c r="W58" i="21"/>
  <c r="X58" i="21" s="1"/>
  <c r="U58" i="21"/>
  <c r="R58" i="21"/>
  <c r="M58" i="21"/>
  <c r="L58" i="21"/>
  <c r="I58" i="21"/>
  <c r="G58" i="21"/>
  <c r="D58" i="21"/>
  <c r="E58" i="21" s="1"/>
  <c r="J58" i="21" s="1"/>
  <c r="N58" i="21" s="1"/>
  <c r="B58" i="21"/>
  <c r="W57" i="21"/>
  <c r="U57" i="21"/>
  <c r="R57" i="21"/>
  <c r="M57" i="21"/>
  <c r="L57" i="21"/>
  <c r="X57" i="21" s="1"/>
  <c r="I57" i="21"/>
  <c r="G57" i="21"/>
  <c r="E57" i="21"/>
  <c r="D57" i="21"/>
  <c r="B57" i="21"/>
  <c r="W56" i="21"/>
  <c r="U56" i="21"/>
  <c r="R56" i="21"/>
  <c r="M56" i="21"/>
  <c r="L56" i="21"/>
  <c r="I56" i="21"/>
  <c r="G56" i="21"/>
  <c r="D56" i="21"/>
  <c r="E56" i="21" s="1"/>
  <c r="B56" i="21"/>
  <c r="W55" i="21"/>
  <c r="U55" i="21"/>
  <c r="R55" i="21"/>
  <c r="M55" i="21"/>
  <c r="L55" i="21"/>
  <c r="X55" i="21" s="1"/>
  <c r="I55" i="21"/>
  <c r="G55" i="21"/>
  <c r="D55" i="21"/>
  <c r="E55" i="21" s="1"/>
  <c r="B55" i="21"/>
  <c r="W54" i="21"/>
  <c r="U54" i="21"/>
  <c r="R54" i="21"/>
  <c r="M54" i="21"/>
  <c r="L54" i="21"/>
  <c r="I54" i="21"/>
  <c r="G54" i="21"/>
  <c r="D54" i="21"/>
  <c r="E54" i="21" s="1"/>
  <c r="J54" i="21" s="1"/>
  <c r="B54" i="21"/>
  <c r="W53" i="21"/>
  <c r="U53" i="21"/>
  <c r="R53" i="21"/>
  <c r="M53" i="21"/>
  <c r="L53" i="21"/>
  <c r="I53" i="21"/>
  <c r="G53" i="21"/>
  <c r="D53" i="21"/>
  <c r="E53" i="21" s="1"/>
  <c r="B53" i="21"/>
  <c r="W52" i="21"/>
  <c r="U52" i="21"/>
  <c r="R52" i="21"/>
  <c r="M52" i="21"/>
  <c r="L52" i="21"/>
  <c r="I52" i="21"/>
  <c r="G52" i="21"/>
  <c r="D52" i="21"/>
  <c r="E52" i="21" s="1"/>
  <c r="J52" i="21" s="1"/>
  <c r="N52" i="21" s="1"/>
  <c r="B52" i="21"/>
  <c r="W51" i="21"/>
  <c r="U51" i="21"/>
  <c r="R51" i="21"/>
  <c r="M51" i="21"/>
  <c r="L51" i="21"/>
  <c r="I51" i="21"/>
  <c r="J51" i="21" s="1"/>
  <c r="G51" i="21"/>
  <c r="D51" i="21"/>
  <c r="E51" i="21" s="1"/>
  <c r="B51" i="21"/>
  <c r="W50" i="21"/>
  <c r="U50" i="21"/>
  <c r="R50" i="21"/>
  <c r="M50" i="21"/>
  <c r="L50" i="21"/>
  <c r="I50" i="21"/>
  <c r="G50" i="21"/>
  <c r="D50" i="21"/>
  <c r="E50" i="21" s="1"/>
  <c r="J50" i="21" s="1"/>
  <c r="B50" i="21"/>
  <c r="W49" i="21"/>
  <c r="U49" i="21"/>
  <c r="R49" i="21"/>
  <c r="M49" i="21"/>
  <c r="L49" i="21"/>
  <c r="I49" i="21"/>
  <c r="G49" i="21"/>
  <c r="D49" i="21"/>
  <c r="E49" i="21" s="1"/>
  <c r="B49" i="21"/>
  <c r="W48" i="21"/>
  <c r="U48" i="21"/>
  <c r="R48" i="21"/>
  <c r="M48" i="21"/>
  <c r="L48" i="21"/>
  <c r="I48" i="21"/>
  <c r="J48" i="21" s="1"/>
  <c r="G48" i="21"/>
  <c r="D48" i="21"/>
  <c r="E48" i="21" s="1"/>
  <c r="B48" i="21"/>
  <c r="W47" i="21"/>
  <c r="U47" i="21"/>
  <c r="R47" i="21"/>
  <c r="M47" i="21"/>
  <c r="L47" i="21"/>
  <c r="I47" i="21"/>
  <c r="G47" i="21"/>
  <c r="D47" i="21"/>
  <c r="E47" i="21" s="1"/>
  <c r="B47" i="21"/>
  <c r="W46" i="21"/>
  <c r="U46" i="21"/>
  <c r="R46" i="21"/>
  <c r="M46" i="21"/>
  <c r="L46" i="21"/>
  <c r="I46" i="21"/>
  <c r="G46" i="21"/>
  <c r="D46" i="21"/>
  <c r="E46" i="21" s="1"/>
  <c r="J46" i="21" s="1"/>
  <c r="B46" i="21"/>
  <c r="W45" i="21"/>
  <c r="U45" i="21"/>
  <c r="R45" i="21"/>
  <c r="M45" i="21"/>
  <c r="L45" i="21"/>
  <c r="I45" i="21"/>
  <c r="G45" i="21"/>
  <c r="D45" i="21"/>
  <c r="E45" i="21" s="1"/>
  <c r="J45" i="21" s="1"/>
  <c r="B45" i="21"/>
  <c r="W44" i="21"/>
  <c r="U44" i="21"/>
  <c r="R44" i="21"/>
  <c r="M44" i="21"/>
  <c r="L44" i="21"/>
  <c r="I44" i="21"/>
  <c r="J44" i="21" s="1"/>
  <c r="G44" i="21"/>
  <c r="D44" i="21"/>
  <c r="E44" i="21" s="1"/>
  <c r="B44" i="21"/>
  <c r="W43" i="21"/>
  <c r="U43" i="21"/>
  <c r="R43" i="21"/>
  <c r="M43" i="21"/>
  <c r="L43" i="21"/>
  <c r="I43" i="21"/>
  <c r="G43" i="21"/>
  <c r="E43" i="21"/>
  <c r="D43" i="21"/>
  <c r="B43" i="21"/>
  <c r="W42" i="21"/>
  <c r="U42" i="21"/>
  <c r="R42" i="21"/>
  <c r="M42" i="21"/>
  <c r="L42" i="21"/>
  <c r="I42" i="21"/>
  <c r="J42" i="21" s="1"/>
  <c r="G42" i="21"/>
  <c r="E42" i="21"/>
  <c r="D42" i="21"/>
  <c r="B42" i="21"/>
  <c r="W41" i="21"/>
  <c r="U41" i="21"/>
  <c r="R41" i="21"/>
  <c r="M41" i="21"/>
  <c r="L41" i="21"/>
  <c r="I41" i="21"/>
  <c r="G41" i="21"/>
  <c r="D41" i="21"/>
  <c r="E41" i="21" s="1"/>
  <c r="B41" i="21"/>
  <c r="W40" i="21"/>
  <c r="U40" i="21"/>
  <c r="R40" i="21"/>
  <c r="M40" i="21"/>
  <c r="L40" i="21"/>
  <c r="I40" i="21"/>
  <c r="G40" i="21"/>
  <c r="D40" i="21"/>
  <c r="E40" i="21" s="1"/>
  <c r="B40" i="21"/>
  <c r="W39" i="21"/>
  <c r="U39" i="21"/>
  <c r="R39" i="21"/>
  <c r="M39" i="21"/>
  <c r="L39" i="21"/>
  <c r="I39" i="21"/>
  <c r="G39" i="21"/>
  <c r="D39" i="21"/>
  <c r="E39" i="21" s="1"/>
  <c r="J39" i="21" s="1"/>
  <c r="B39" i="21"/>
  <c r="W38" i="21"/>
  <c r="U38" i="21"/>
  <c r="R38" i="21"/>
  <c r="M38" i="21"/>
  <c r="L38" i="21"/>
  <c r="I38" i="21"/>
  <c r="G38" i="21"/>
  <c r="D38" i="21"/>
  <c r="E38" i="21" s="1"/>
  <c r="J38" i="21" s="1"/>
  <c r="B38" i="21"/>
  <c r="W37" i="21"/>
  <c r="U37" i="21"/>
  <c r="R37" i="21"/>
  <c r="M37" i="21"/>
  <c r="L37" i="21"/>
  <c r="I37" i="21"/>
  <c r="G37" i="21"/>
  <c r="D37" i="21"/>
  <c r="E37" i="21" s="1"/>
  <c r="B37" i="21"/>
  <c r="W36" i="21"/>
  <c r="U36" i="21"/>
  <c r="R36" i="21"/>
  <c r="M36" i="21"/>
  <c r="L36" i="21"/>
  <c r="X36" i="21" s="1"/>
  <c r="I36" i="21"/>
  <c r="G36" i="21"/>
  <c r="D36" i="21"/>
  <c r="E36" i="21" s="1"/>
  <c r="J36" i="21" s="1"/>
  <c r="B36" i="21"/>
  <c r="W35" i="21"/>
  <c r="U35" i="21"/>
  <c r="R35" i="21"/>
  <c r="M35" i="21"/>
  <c r="L35" i="21"/>
  <c r="I35" i="21"/>
  <c r="J35" i="21" s="1"/>
  <c r="G35" i="21"/>
  <c r="D35" i="21"/>
  <c r="E35" i="21" s="1"/>
  <c r="B35" i="21"/>
  <c r="W34" i="21"/>
  <c r="X34" i="21" s="1"/>
  <c r="U34" i="21"/>
  <c r="R34" i="21"/>
  <c r="M34" i="21"/>
  <c r="L34" i="21"/>
  <c r="I34" i="21"/>
  <c r="G34" i="21"/>
  <c r="D34" i="21"/>
  <c r="E34" i="21" s="1"/>
  <c r="J34" i="21" s="1"/>
  <c r="N34" i="21" s="1"/>
  <c r="B34" i="21"/>
  <c r="W33" i="21"/>
  <c r="U33" i="21"/>
  <c r="R33" i="21"/>
  <c r="M33" i="21"/>
  <c r="L33" i="21"/>
  <c r="I33" i="21"/>
  <c r="G33" i="21"/>
  <c r="D33" i="21"/>
  <c r="E33" i="21" s="1"/>
  <c r="B33" i="21"/>
  <c r="W32" i="21"/>
  <c r="U32" i="21"/>
  <c r="R32" i="21"/>
  <c r="M32" i="21"/>
  <c r="L32" i="21"/>
  <c r="I32" i="21"/>
  <c r="G32" i="21"/>
  <c r="D32" i="21"/>
  <c r="E32" i="21" s="1"/>
  <c r="B32" i="21"/>
  <c r="W31" i="21"/>
  <c r="U31" i="21"/>
  <c r="R31" i="21"/>
  <c r="M31" i="21"/>
  <c r="L31" i="21"/>
  <c r="X31" i="21" s="1"/>
  <c r="I31" i="21"/>
  <c r="J31" i="21" s="1"/>
  <c r="G31" i="21"/>
  <c r="D31" i="21"/>
  <c r="E31" i="21" s="1"/>
  <c r="B31" i="21"/>
  <c r="W30" i="21"/>
  <c r="U30" i="21"/>
  <c r="R30" i="21"/>
  <c r="M30" i="21"/>
  <c r="L30" i="21"/>
  <c r="X30" i="21" s="1"/>
  <c r="I30" i="21"/>
  <c r="G30" i="21"/>
  <c r="D30" i="21"/>
  <c r="E30" i="21" s="1"/>
  <c r="J30" i="21" s="1"/>
  <c r="B30" i="21"/>
  <c r="W29" i="21"/>
  <c r="U29" i="21"/>
  <c r="R29" i="21"/>
  <c r="M29" i="21"/>
  <c r="L29" i="21"/>
  <c r="I29" i="21"/>
  <c r="G29" i="21"/>
  <c r="D29" i="21"/>
  <c r="E29" i="21" s="1"/>
  <c r="B29" i="21"/>
  <c r="W28" i="21"/>
  <c r="U28" i="21"/>
  <c r="R28" i="21"/>
  <c r="M28" i="21"/>
  <c r="L28" i="21"/>
  <c r="I28" i="21"/>
  <c r="G28" i="21"/>
  <c r="D28" i="21"/>
  <c r="E28" i="21" s="1"/>
  <c r="B28" i="21"/>
  <c r="W27" i="21"/>
  <c r="U27" i="21"/>
  <c r="R27" i="21"/>
  <c r="M27" i="21"/>
  <c r="L27" i="21"/>
  <c r="I27" i="21"/>
  <c r="G27" i="21"/>
  <c r="D27" i="21"/>
  <c r="E27" i="21" s="1"/>
  <c r="B27" i="21"/>
  <c r="W26" i="21"/>
  <c r="U26" i="21"/>
  <c r="R26" i="21"/>
  <c r="M26" i="21"/>
  <c r="L26" i="21"/>
  <c r="I26" i="21"/>
  <c r="G26" i="21"/>
  <c r="D26" i="21"/>
  <c r="E26" i="21" s="1"/>
  <c r="B26" i="21"/>
  <c r="W25" i="21"/>
  <c r="U25" i="21"/>
  <c r="R25" i="21"/>
  <c r="M25" i="21"/>
  <c r="L25" i="21"/>
  <c r="X25" i="21" s="1"/>
  <c r="I25" i="21"/>
  <c r="J25" i="21" s="1"/>
  <c r="G25" i="21"/>
  <c r="D25" i="21"/>
  <c r="E25" i="21" s="1"/>
  <c r="B25" i="21"/>
  <c r="W24" i="21"/>
  <c r="U24" i="21"/>
  <c r="R24" i="21"/>
  <c r="M24" i="21"/>
  <c r="L24" i="21"/>
  <c r="X24" i="21" s="1"/>
  <c r="I24" i="21"/>
  <c r="G24" i="21"/>
  <c r="D24" i="21"/>
  <c r="E24" i="21" s="1"/>
  <c r="J24" i="21" s="1"/>
  <c r="B24" i="21"/>
  <c r="W23" i="21"/>
  <c r="U23" i="21"/>
  <c r="R23" i="21"/>
  <c r="M23" i="21"/>
  <c r="L23" i="21"/>
  <c r="I23" i="21"/>
  <c r="G23" i="21"/>
  <c r="D23" i="21"/>
  <c r="E23" i="21" s="1"/>
  <c r="B23" i="21"/>
  <c r="W22" i="21"/>
  <c r="U22" i="21"/>
  <c r="R22" i="21"/>
  <c r="M22" i="21"/>
  <c r="L22" i="21"/>
  <c r="I22" i="21"/>
  <c r="J22" i="21" s="1"/>
  <c r="G22" i="21"/>
  <c r="E22" i="21"/>
  <c r="D22" i="21"/>
  <c r="B22" i="21"/>
  <c r="W21" i="21"/>
  <c r="U21" i="21"/>
  <c r="R21" i="21"/>
  <c r="M21" i="21"/>
  <c r="L21" i="21"/>
  <c r="I21" i="21"/>
  <c r="J21" i="21" s="1"/>
  <c r="N21" i="21" s="1"/>
  <c r="G21" i="21"/>
  <c r="D21" i="21"/>
  <c r="E21" i="21" s="1"/>
  <c r="B21" i="21"/>
  <c r="W20" i="21"/>
  <c r="U20" i="21"/>
  <c r="R20" i="21"/>
  <c r="M20" i="21"/>
  <c r="L20" i="21"/>
  <c r="X20" i="21" s="1"/>
  <c r="I20" i="21"/>
  <c r="G20" i="21"/>
  <c r="D20" i="21"/>
  <c r="E20" i="21" s="1"/>
  <c r="J20" i="21" s="1"/>
  <c r="B20" i="21"/>
  <c r="W19" i="21"/>
  <c r="U19" i="21"/>
  <c r="R19" i="21"/>
  <c r="M19" i="21"/>
  <c r="L19" i="21"/>
  <c r="I19" i="21"/>
  <c r="G19" i="21"/>
  <c r="D19" i="21"/>
  <c r="E19" i="21" s="1"/>
  <c r="B19" i="21"/>
  <c r="W18" i="21"/>
  <c r="U18" i="21"/>
  <c r="R18" i="21"/>
  <c r="M18" i="21"/>
  <c r="L18" i="21"/>
  <c r="I18" i="21"/>
  <c r="G18" i="21"/>
  <c r="E18" i="21"/>
  <c r="D18" i="21"/>
  <c r="B18" i="21"/>
  <c r="W17" i="21"/>
  <c r="U17" i="21"/>
  <c r="R17" i="21"/>
  <c r="M17" i="21"/>
  <c r="L17" i="21"/>
  <c r="I17" i="21"/>
  <c r="G17" i="21"/>
  <c r="D17" i="21"/>
  <c r="E17" i="21" s="1"/>
  <c r="B17" i="21"/>
  <c r="W16" i="21"/>
  <c r="U16" i="21"/>
  <c r="R16" i="21"/>
  <c r="M16" i="21"/>
  <c r="L16" i="21"/>
  <c r="J16" i="21"/>
  <c r="I16" i="21"/>
  <c r="G16" i="21"/>
  <c r="D16" i="21"/>
  <c r="E16" i="21" s="1"/>
  <c r="B16" i="21"/>
  <c r="W15" i="21"/>
  <c r="U15" i="21"/>
  <c r="R15" i="21"/>
  <c r="M15" i="21"/>
  <c r="L15" i="21"/>
  <c r="I15" i="21"/>
  <c r="G15" i="21"/>
  <c r="D15" i="21"/>
  <c r="E15" i="21" s="1"/>
  <c r="B15" i="21"/>
  <c r="W14" i="21"/>
  <c r="U14" i="21"/>
  <c r="R14" i="21"/>
  <c r="M14" i="21"/>
  <c r="L14" i="21"/>
  <c r="J14" i="21"/>
  <c r="I14" i="21"/>
  <c r="G14" i="21"/>
  <c r="D14" i="21"/>
  <c r="E14" i="21" s="1"/>
  <c r="B14" i="21"/>
  <c r="W13" i="21"/>
  <c r="U13" i="21"/>
  <c r="R13" i="21"/>
  <c r="M13" i="21"/>
  <c r="L13" i="21"/>
  <c r="X13" i="21" s="1"/>
  <c r="I13" i="21"/>
  <c r="G13" i="21"/>
  <c r="D13" i="21"/>
  <c r="E13" i="21" s="1"/>
  <c r="B13" i="21"/>
  <c r="W12" i="21"/>
  <c r="U12" i="21"/>
  <c r="R12" i="21"/>
  <c r="M12" i="21"/>
  <c r="L12" i="21"/>
  <c r="I12" i="21"/>
  <c r="J12" i="21" s="1"/>
  <c r="G12" i="21"/>
  <c r="E12" i="21"/>
  <c r="D12" i="21"/>
  <c r="B12" i="21"/>
  <c r="W11" i="21"/>
  <c r="U11" i="21"/>
  <c r="R11" i="21"/>
  <c r="M11" i="21"/>
  <c r="L11" i="21"/>
  <c r="I11" i="21"/>
  <c r="G11" i="21"/>
  <c r="D11" i="21"/>
  <c r="E11" i="21" s="1"/>
  <c r="B11" i="21"/>
  <c r="W10" i="21"/>
  <c r="U10" i="21"/>
  <c r="R10" i="21"/>
  <c r="M10" i="21"/>
  <c r="L10" i="21"/>
  <c r="I10" i="21"/>
  <c r="G10" i="21"/>
  <c r="D10" i="21"/>
  <c r="E10" i="21" s="1"/>
  <c r="B10" i="21"/>
  <c r="W9" i="21"/>
  <c r="U9" i="21"/>
  <c r="R9" i="21"/>
  <c r="M9" i="21"/>
  <c r="L9" i="21"/>
  <c r="I9" i="21"/>
  <c r="G9" i="21"/>
  <c r="E9" i="21"/>
  <c r="D9" i="21"/>
  <c r="B9" i="21"/>
  <c r="W8" i="21"/>
  <c r="U8" i="21"/>
  <c r="R8" i="21"/>
  <c r="M8" i="21"/>
  <c r="L8" i="21"/>
  <c r="I8" i="21"/>
  <c r="G8" i="21"/>
  <c r="D8" i="21"/>
  <c r="E8" i="21" s="1"/>
  <c r="J8" i="21" s="1"/>
  <c r="B8" i="21"/>
  <c r="W7" i="21"/>
  <c r="U7" i="21"/>
  <c r="R7" i="21"/>
  <c r="M7" i="21"/>
  <c r="L7" i="21"/>
  <c r="I7" i="21"/>
  <c r="J7" i="21" s="1"/>
  <c r="G7" i="21"/>
  <c r="D7" i="21"/>
  <c r="E7" i="21" s="1"/>
  <c r="B7" i="21"/>
  <c r="W6" i="21"/>
  <c r="U6" i="21"/>
  <c r="R6" i="21"/>
  <c r="M6" i="21"/>
  <c r="L6" i="21"/>
  <c r="I6" i="21"/>
  <c r="G6" i="21"/>
  <c r="D6" i="21"/>
  <c r="E6" i="21" s="1"/>
  <c r="J6" i="21" s="1"/>
  <c r="B6" i="21"/>
  <c r="W5" i="21"/>
  <c r="U5" i="21"/>
  <c r="R5" i="21"/>
  <c r="M5" i="21"/>
  <c r="L5" i="21"/>
  <c r="X5" i="21" s="1"/>
  <c r="I5" i="21"/>
  <c r="G5" i="21"/>
  <c r="D5" i="21"/>
  <c r="E5" i="21" s="1"/>
  <c r="B5" i="21"/>
  <c r="W4" i="21"/>
  <c r="U4" i="21"/>
  <c r="R4" i="21"/>
  <c r="M4" i="21"/>
  <c r="L4" i="21"/>
  <c r="I4" i="21"/>
  <c r="G4" i="21"/>
  <c r="D4" i="21"/>
  <c r="E4" i="21" s="1"/>
  <c r="B4" i="21"/>
  <c r="W3" i="21"/>
  <c r="U3" i="21"/>
  <c r="R3" i="21"/>
  <c r="M3" i="21"/>
  <c r="L3" i="21"/>
  <c r="I3" i="21"/>
  <c r="G3" i="21"/>
  <c r="D3" i="21"/>
  <c r="E3" i="21" s="1"/>
  <c r="B3" i="21"/>
  <c r="W2" i="21"/>
  <c r="U2" i="21"/>
  <c r="R2" i="21"/>
  <c r="M2" i="21"/>
  <c r="L2" i="21"/>
  <c r="I2" i="21"/>
  <c r="G2" i="21"/>
  <c r="D2" i="21"/>
  <c r="E2" i="21" s="1"/>
  <c r="B2" i="21"/>
  <c r="L60" i="20"/>
  <c r="M60" i="20"/>
  <c r="N60" i="20"/>
  <c r="R60" i="20"/>
  <c r="S60" i="20"/>
  <c r="T60" i="20"/>
  <c r="U60" i="20"/>
  <c r="W60" i="20"/>
  <c r="X60" i="20"/>
  <c r="Y60" i="20"/>
  <c r="Z60" i="20"/>
  <c r="L61" i="20"/>
  <c r="M61" i="20"/>
  <c r="N61" i="20"/>
  <c r="R61" i="20"/>
  <c r="S61" i="20"/>
  <c r="T61" i="20" s="1"/>
  <c r="Y61" i="20" s="1"/>
  <c r="Z61" i="20" s="1"/>
  <c r="U61" i="20"/>
  <c r="W61" i="20"/>
  <c r="X61" i="20"/>
  <c r="L62" i="20"/>
  <c r="M62" i="20"/>
  <c r="N62" i="20"/>
  <c r="R62" i="20"/>
  <c r="S62" i="20"/>
  <c r="T62" i="20"/>
  <c r="Y62" i="20" s="1"/>
  <c r="Z62" i="20" s="1"/>
  <c r="U62" i="20"/>
  <c r="W62" i="20"/>
  <c r="X62" i="20"/>
  <c r="L63" i="20"/>
  <c r="M63" i="20"/>
  <c r="N63" i="20"/>
  <c r="R63" i="20"/>
  <c r="S63" i="20"/>
  <c r="T63" i="20"/>
  <c r="Y63" i="20" s="1"/>
  <c r="Z63" i="20" s="1"/>
  <c r="U63" i="20"/>
  <c r="W63" i="20"/>
  <c r="X63" i="20"/>
  <c r="L64" i="20"/>
  <c r="M64" i="20"/>
  <c r="N64" i="20"/>
  <c r="R64" i="20"/>
  <c r="S64" i="20"/>
  <c r="T64" i="20"/>
  <c r="Y64" i="20" s="1"/>
  <c r="Z64" i="20" s="1"/>
  <c r="U64" i="20"/>
  <c r="W64" i="20"/>
  <c r="X64" i="20"/>
  <c r="L65" i="20"/>
  <c r="M65" i="20"/>
  <c r="N65" i="20"/>
  <c r="R65" i="20"/>
  <c r="S65" i="20"/>
  <c r="T65" i="20"/>
  <c r="Y65" i="20" s="1"/>
  <c r="Z65" i="20" s="1"/>
  <c r="U65" i="20"/>
  <c r="W65" i="20"/>
  <c r="X65" i="20"/>
  <c r="L66" i="20"/>
  <c r="M66" i="20"/>
  <c r="N66" i="20"/>
  <c r="R66" i="20"/>
  <c r="S66" i="20"/>
  <c r="T66" i="20"/>
  <c r="U66" i="20"/>
  <c r="W66" i="20"/>
  <c r="X66" i="20"/>
  <c r="Y66" i="20"/>
  <c r="Z66" i="20" s="1"/>
  <c r="L67" i="20"/>
  <c r="M67" i="20"/>
  <c r="N67" i="20"/>
  <c r="R67" i="20"/>
  <c r="S67" i="20"/>
  <c r="T67" i="20"/>
  <c r="U67" i="20"/>
  <c r="W67" i="20"/>
  <c r="X67" i="20"/>
  <c r="Y67" i="20"/>
  <c r="Z67" i="20"/>
  <c r="L68" i="20"/>
  <c r="M68" i="20"/>
  <c r="N68" i="20"/>
  <c r="R68" i="20"/>
  <c r="S68" i="20"/>
  <c r="T68" i="20"/>
  <c r="U68" i="20"/>
  <c r="W68" i="20"/>
  <c r="X68" i="20"/>
  <c r="Y68" i="20"/>
  <c r="Z68" i="20"/>
  <c r="L69" i="20"/>
  <c r="M69" i="20"/>
  <c r="N69" i="20"/>
  <c r="R69" i="20"/>
  <c r="S69" i="20"/>
  <c r="T69" i="20"/>
  <c r="U69" i="20"/>
  <c r="W69" i="20"/>
  <c r="X69" i="20"/>
  <c r="Y69" i="20"/>
  <c r="Z69" i="20"/>
  <c r="L70" i="20"/>
  <c r="M70" i="20"/>
  <c r="N70" i="20"/>
  <c r="R70" i="20"/>
  <c r="S70" i="20"/>
  <c r="T70" i="20"/>
  <c r="U70" i="20"/>
  <c r="W70" i="20"/>
  <c r="X70" i="20"/>
  <c r="Y70" i="20"/>
  <c r="Z70" i="20"/>
  <c r="L71" i="20"/>
  <c r="M71" i="20"/>
  <c r="N71" i="20"/>
  <c r="R71" i="20"/>
  <c r="S71" i="20"/>
  <c r="T71" i="20" s="1"/>
  <c r="Y71" i="20" s="1"/>
  <c r="Z71" i="20" s="1"/>
  <c r="U71" i="20"/>
  <c r="W71" i="20"/>
  <c r="X71" i="20"/>
  <c r="L72" i="20"/>
  <c r="M72" i="20"/>
  <c r="N72" i="20"/>
  <c r="R72" i="20"/>
  <c r="S72" i="20"/>
  <c r="T72" i="20"/>
  <c r="U72" i="20"/>
  <c r="W72" i="20"/>
  <c r="X72" i="20"/>
  <c r="Y72" i="20"/>
  <c r="Z72" i="20"/>
  <c r="L73" i="20"/>
  <c r="M73" i="20"/>
  <c r="N73" i="20"/>
  <c r="R73" i="20"/>
  <c r="S73" i="20"/>
  <c r="T73" i="20" s="1"/>
  <c r="Y73" i="20" s="1"/>
  <c r="Z73" i="20" s="1"/>
  <c r="U73" i="20"/>
  <c r="W73" i="20"/>
  <c r="X73" i="20"/>
  <c r="L74" i="20"/>
  <c r="M74" i="20"/>
  <c r="N74" i="20"/>
  <c r="R74" i="20"/>
  <c r="S74" i="20"/>
  <c r="T74" i="20"/>
  <c r="Y74" i="20" s="1"/>
  <c r="Z74" i="20" s="1"/>
  <c r="U74" i="20"/>
  <c r="W74" i="20"/>
  <c r="X74" i="20"/>
  <c r="L75" i="20"/>
  <c r="M75" i="20"/>
  <c r="N75" i="20"/>
  <c r="R75" i="20"/>
  <c r="S75" i="20"/>
  <c r="T75" i="20"/>
  <c r="Y75" i="20" s="1"/>
  <c r="Z75" i="20" s="1"/>
  <c r="U75" i="20"/>
  <c r="W75" i="20"/>
  <c r="X75" i="20"/>
  <c r="L76" i="20"/>
  <c r="M76" i="20"/>
  <c r="N76" i="20"/>
  <c r="R76" i="20"/>
  <c r="S76" i="20"/>
  <c r="T76" i="20"/>
  <c r="Y76" i="20" s="1"/>
  <c r="Z76" i="20" s="1"/>
  <c r="U76" i="20"/>
  <c r="W76" i="20"/>
  <c r="X76" i="20"/>
  <c r="L77" i="20"/>
  <c r="M77" i="20"/>
  <c r="N77" i="20"/>
  <c r="R77" i="20"/>
  <c r="S77" i="20"/>
  <c r="T77" i="20"/>
  <c r="Y77" i="20" s="1"/>
  <c r="Z77" i="20" s="1"/>
  <c r="U77" i="20"/>
  <c r="W77" i="20"/>
  <c r="X77" i="20"/>
  <c r="L78" i="20"/>
  <c r="M78" i="20"/>
  <c r="N78" i="20"/>
  <c r="R78" i="20"/>
  <c r="S78" i="20"/>
  <c r="T78" i="20"/>
  <c r="U78" i="20"/>
  <c r="W78" i="20"/>
  <c r="X78" i="20"/>
  <c r="Y78" i="20"/>
  <c r="Z78" i="20" s="1"/>
  <c r="L79" i="20"/>
  <c r="M79" i="20"/>
  <c r="N79" i="20"/>
  <c r="R79" i="20"/>
  <c r="S79" i="20"/>
  <c r="T79" i="20"/>
  <c r="U79" i="20"/>
  <c r="W79" i="20"/>
  <c r="X79" i="20"/>
  <c r="Y79" i="20"/>
  <c r="Z79" i="20"/>
  <c r="L80" i="20"/>
  <c r="M80" i="20"/>
  <c r="N80" i="20"/>
  <c r="R80" i="20"/>
  <c r="S80" i="20"/>
  <c r="T80" i="20"/>
  <c r="U80" i="20"/>
  <c r="W80" i="20"/>
  <c r="X80" i="20"/>
  <c r="Y80" i="20"/>
  <c r="Z80" i="20"/>
  <c r="L81" i="20"/>
  <c r="M81" i="20"/>
  <c r="N81" i="20"/>
  <c r="R81" i="20"/>
  <c r="S81" i="20"/>
  <c r="T81" i="20"/>
  <c r="U81" i="20"/>
  <c r="W81" i="20"/>
  <c r="X81" i="20"/>
  <c r="Y81" i="20"/>
  <c r="Z81" i="20"/>
  <c r="L82" i="20"/>
  <c r="M82" i="20"/>
  <c r="N82" i="20"/>
  <c r="R82" i="20"/>
  <c r="S82" i="20"/>
  <c r="T82" i="20"/>
  <c r="U82" i="20"/>
  <c r="W82" i="20"/>
  <c r="X82" i="20"/>
  <c r="Y82" i="20"/>
  <c r="Z82" i="20"/>
  <c r="B60" i="20"/>
  <c r="D60" i="20"/>
  <c r="E60" i="20"/>
  <c r="G60" i="20"/>
  <c r="I60" i="20"/>
  <c r="J60" i="20"/>
  <c r="B61" i="20"/>
  <c r="D61" i="20"/>
  <c r="E61" i="20"/>
  <c r="G61" i="20"/>
  <c r="I61" i="20"/>
  <c r="J61" i="20"/>
  <c r="B62" i="20"/>
  <c r="D62" i="20"/>
  <c r="E62" i="20"/>
  <c r="G62" i="20"/>
  <c r="I62" i="20"/>
  <c r="J62" i="20"/>
  <c r="B63" i="20"/>
  <c r="D63" i="20"/>
  <c r="E63" i="20"/>
  <c r="G63" i="20"/>
  <c r="I63" i="20"/>
  <c r="J63" i="20"/>
  <c r="B64" i="20"/>
  <c r="D64" i="20"/>
  <c r="E64" i="20"/>
  <c r="G64" i="20"/>
  <c r="I64" i="20"/>
  <c r="J64" i="20"/>
  <c r="B65" i="20"/>
  <c r="D65" i="20"/>
  <c r="E65" i="20"/>
  <c r="G65" i="20"/>
  <c r="I65" i="20"/>
  <c r="J65" i="20"/>
  <c r="B66" i="20"/>
  <c r="D66" i="20"/>
  <c r="E66" i="20"/>
  <c r="G66" i="20"/>
  <c r="I66" i="20"/>
  <c r="J66" i="20"/>
  <c r="B67" i="20"/>
  <c r="D67" i="20"/>
  <c r="E67" i="20"/>
  <c r="G67" i="20"/>
  <c r="I67" i="20"/>
  <c r="J67" i="20"/>
  <c r="B68" i="20"/>
  <c r="D68" i="20"/>
  <c r="E68" i="20"/>
  <c r="G68" i="20"/>
  <c r="I68" i="20"/>
  <c r="J68" i="20"/>
  <c r="B69" i="20"/>
  <c r="D69" i="20"/>
  <c r="E69" i="20"/>
  <c r="G69" i="20"/>
  <c r="I69" i="20"/>
  <c r="J69" i="20"/>
  <c r="B70" i="20"/>
  <c r="D70" i="20"/>
  <c r="E70" i="20"/>
  <c r="G70" i="20"/>
  <c r="I70" i="20"/>
  <c r="J70" i="20"/>
  <c r="B71" i="20"/>
  <c r="D71" i="20"/>
  <c r="E71" i="20"/>
  <c r="G71" i="20"/>
  <c r="I71" i="20"/>
  <c r="J71" i="20"/>
  <c r="B72" i="20"/>
  <c r="D72" i="20"/>
  <c r="E72" i="20"/>
  <c r="G72" i="20"/>
  <c r="I72" i="20"/>
  <c r="J72" i="20"/>
  <c r="B73" i="20"/>
  <c r="D73" i="20"/>
  <c r="E73" i="20"/>
  <c r="G73" i="20"/>
  <c r="I73" i="20"/>
  <c r="J73" i="20"/>
  <c r="B74" i="20"/>
  <c r="D74" i="20"/>
  <c r="E74" i="20"/>
  <c r="G74" i="20"/>
  <c r="I74" i="20"/>
  <c r="J74" i="20"/>
  <c r="B75" i="20"/>
  <c r="D75" i="20"/>
  <c r="E75" i="20"/>
  <c r="G75" i="20"/>
  <c r="I75" i="20"/>
  <c r="J75" i="20"/>
  <c r="B76" i="20"/>
  <c r="D76" i="20"/>
  <c r="E76" i="20"/>
  <c r="G76" i="20"/>
  <c r="I76" i="20"/>
  <c r="J76" i="20"/>
  <c r="B77" i="20"/>
  <c r="D77" i="20"/>
  <c r="E77" i="20"/>
  <c r="G77" i="20"/>
  <c r="I77" i="20"/>
  <c r="J77" i="20"/>
  <c r="B78" i="20"/>
  <c r="D78" i="20"/>
  <c r="E78" i="20"/>
  <c r="G78" i="20"/>
  <c r="I78" i="20"/>
  <c r="J78" i="20"/>
  <c r="B79" i="20"/>
  <c r="D79" i="20"/>
  <c r="E79" i="20"/>
  <c r="G79" i="20"/>
  <c r="I79" i="20"/>
  <c r="J79" i="20"/>
  <c r="B80" i="20"/>
  <c r="D80" i="20"/>
  <c r="E80" i="20"/>
  <c r="G80" i="20"/>
  <c r="I80" i="20"/>
  <c r="J80" i="20"/>
  <c r="B81" i="20"/>
  <c r="D81" i="20"/>
  <c r="E81" i="20"/>
  <c r="G81" i="20"/>
  <c r="I81" i="20"/>
  <c r="J81" i="20"/>
  <c r="B82" i="20"/>
  <c r="D82" i="20"/>
  <c r="E82" i="20"/>
  <c r="G82" i="20"/>
  <c r="I82" i="20"/>
  <c r="J82" i="20"/>
  <c r="W59" i="20"/>
  <c r="U59" i="20"/>
  <c r="R59" i="20"/>
  <c r="M59" i="20"/>
  <c r="L59" i="20"/>
  <c r="I59" i="20"/>
  <c r="G59" i="20"/>
  <c r="E59" i="20"/>
  <c r="D59" i="20"/>
  <c r="B59" i="20"/>
  <c r="W58" i="20"/>
  <c r="U58" i="20"/>
  <c r="R58" i="20"/>
  <c r="M58" i="20"/>
  <c r="L58" i="20"/>
  <c r="I58" i="20"/>
  <c r="G58" i="20"/>
  <c r="D58" i="20"/>
  <c r="E58" i="20" s="1"/>
  <c r="B58" i="20"/>
  <c r="W57" i="20"/>
  <c r="U57" i="20"/>
  <c r="R57" i="20"/>
  <c r="M57" i="20"/>
  <c r="L57" i="20"/>
  <c r="I57" i="20"/>
  <c r="G57" i="20"/>
  <c r="E57" i="20"/>
  <c r="D57" i="20"/>
  <c r="B57" i="20"/>
  <c r="W56" i="20"/>
  <c r="U56" i="20"/>
  <c r="R56" i="20"/>
  <c r="M56" i="20"/>
  <c r="L56" i="20"/>
  <c r="I56" i="20"/>
  <c r="G56" i="20"/>
  <c r="D56" i="20"/>
  <c r="E56" i="20" s="1"/>
  <c r="B56" i="20"/>
  <c r="W55" i="20"/>
  <c r="U55" i="20"/>
  <c r="R55" i="20"/>
  <c r="M55" i="20"/>
  <c r="L55" i="20"/>
  <c r="I55" i="20"/>
  <c r="J55" i="20" s="1"/>
  <c r="G55" i="20"/>
  <c r="E55" i="20"/>
  <c r="D55" i="20"/>
  <c r="B55" i="20"/>
  <c r="W54" i="20"/>
  <c r="U54" i="20"/>
  <c r="R54" i="20"/>
  <c r="M54" i="20"/>
  <c r="L54" i="20"/>
  <c r="X54" i="20" s="1"/>
  <c r="I54" i="20"/>
  <c r="J54" i="20" s="1"/>
  <c r="G54" i="20"/>
  <c r="E54" i="20"/>
  <c r="D54" i="20"/>
  <c r="B54" i="20"/>
  <c r="W53" i="20"/>
  <c r="U53" i="20"/>
  <c r="R53" i="20"/>
  <c r="M53" i="20"/>
  <c r="L53" i="20"/>
  <c r="I53" i="20"/>
  <c r="J53" i="20" s="1"/>
  <c r="N53" i="20" s="1"/>
  <c r="G53" i="20"/>
  <c r="E53" i="20"/>
  <c r="D53" i="20"/>
  <c r="B53" i="20"/>
  <c r="W52" i="20"/>
  <c r="U52" i="20"/>
  <c r="R52" i="20"/>
  <c r="M52" i="20"/>
  <c r="L52" i="20"/>
  <c r="I52" i="20"/>
  <c r="G52" i="20"/>
  <c r="D52" i="20"/>
  <c r="E52" i="20" s="1"/>
  <c r="B52" i="20"/>
  <c r="W51" i="20"/>
  <c r="U51" i="20"/>
  <c r="R51" i="20"/>
  <c r="M51" i="20"/>
  <c r="L51" i="20"/>
  <c r="I51" i="20"/>
  <c r="J51" i="20" s="1"/>
  <c r="G51" i="20"/>
  <c r="E51" i="20"/>
  <c r="D51" i="20"/>
  <c r="B51" i="20"/>
  <c r="W50" i="20"/>
  <c r="U50" i="20"/>
  <c r="R50" i="20"/>
  <c r="M50" i="20"/>
  <c r="L50" i="20"/>
  <c r="X50" i="20" s="1"/>
  <c r="I50" i="20"/>
  <c r="G50" i="20"/>
  <c r="E50" i="20"/>
  <c r="D50" i="20"/>
  <c r="B50" i="20"/>
  <c r="W49" i="20"/>
  <c r="U49" i="20"/>
  <c r="R49" i="20"/>
  <c r="M49" i="20"/>
  <c r="L49" i="20"/>
  <c r="I49" i="20"/>
  <c r="J49" i="20" s="1"/>
  <c r="N49" i="20" s="1"/>
  <c r="G49" i="20"/>
  <c r="E49" i="20"/>
  <c r="D49" i="20"/>
  <c r="B49" i="20"/>
  <c r="W48" i="20"/>
  <c r="U48" i="20"/>
  <c r="R48" i="20"/>
  <c r="M48" i="20"/>
  <c r="L48" i="20"/>
  <c r="I48" i="20"/>
  <c r="G48" i="20"/>
  <c r="D48" i="20"/>
  <c r="E48" i="20" s="1"/>
  <c r="B48" i="20"/>
  <c r="W47" i="20"/>
  <c r="U47" i="20"/>
  <c r="R47" i="20"/>
  <c r="M47" i="20"/>
  <c r="L47" i="20"/>
  <c r="N47" i="20" s="1"/>
  <c r="I47" i="20"/>
  <c r="J47" i="20" s="1"/>
  <c r="G47" i="20"/>
  <c r="E47" i="20"/>
  <c r="D47" i="20"/>
  <c r="B47" i="20"/>
  <c r="W46" i="20"/>
  <c r="U46" i="20"/>
  <c r="R46" i="20"/>
  <c r="M46" i="20"/>
  <c r="L46" i="20"/>
  <c r="I46" i="20"/>
  <c r="G46" i="20"/>
  <c r="E46" i="20"/>
  <c r="D46" i="20"/>
  <c r="B46" i="20"/>
  <c r="W45" i="20"/>
  <c r="U45" i="20"/>
  <c r="R45" i="20"/>
  <c r="M45" i="20"/>
  <c r="L45" i="20"/>
  <c r="I45" i="20"/>
  <c r="J45" i="20" s="1"/>
  <c r="G45" i="20"/>
  <c r="E45" i="20"/>
  <c r="D45" i="20"/>
  <c r="B45" i="20"/>
  <c r="W44" i="20"/>
  <c r="X44" i="20" s="1"/>
  <c r="U44" i="20"/>
  <c r="R44" i="20"/>
  <c r="M44" i="20"/>
  <c r="L44" i="20"/>
  <c r="I44" i="20"/>
  <c r="G44" i="20"/>
  <c r="D44" i="20"/>
  <c r="E44" i="20" s="1"/>
  <c r="B44" i="20"/>
  <c r="W43" i="20"/>
  <c r="U43" i="20"/>
  <c r="R43" i="20"/>
  <c r="M43" i="20"/>
  <c r="L43" i="20"/>
  <c r="I43" i="20"/>
  <c r="J43" i="20" s="1"/>
  <c r="G43" i="20"/>
  <c r="E43" i="20"/>
  <c r="D43" i="20"/>
  <c r="B43" i="20"/>
  <c r="W42" i="20"/>
  <c r="U42" i="20"/>
  <c r="R42" i="20"/>
  <c r="M42" i="20"/>
  <c r="L42" i="20"/>
  <c r="X42" i="20" s="1"/>
  <c r="I42" i="20"/>
  <c r="G42" i="20"/>
  <c r="E42" i="20"/>
  <c r="D42" i="20"/>
  <c r="B42" i="20"/>
  <c r="W41" i="20"/>
  <c r="U41" i="20"/>
  <c r="R41" i="20"/>
  <c r="M41" i="20"/>
  <c r="L41" i="20"/>
  <c r="X41" i="20" s="1"/>
  <c r="I41" i="20"/>
  <c r="G41" i="20"/>
  <c r="E41" i="20"/>
  <c r="D41" i="20"/>
  <c r="B41" i="20"/>
  <c r="W40" i="20"/>
  <c r="U40" i="20"/>
  <c r="R40" i="20"/>
  <c r="M40" i="20"/>
  <c r="L40" i="20"/>
  <c r="X40" i="20" s="1"/>
  <c r="I40" i="20"/>
  <c r="G40" i="20"/>
  <c r="D40" i="20"/>
  <c r="E40" i="20" s="1"/>
  <c r="B40" i="20"/>
  <c r="W39" i="20"/>
  <c r="U39" i="20"/>
  <c r="R39" i="20"/>
  <c r="M39" i="20"/>
  <c r="L39" i="20"/>
  <c r="I39" i="20"/>
  <c r="J39" i="20" s="1"/>
  <c r="G39" i="20"/>
  <c r="E39" i="20"/>
  <c r="D39" i="20"/>
  <c r="B39" i="20"/>
  <c r="W38" i="20"/>
  <c r="U38" i="20"/>
  <c r="R38" i="20"/>
  <c r="M38" i="20"/>
  <c r="L38" i="20"/>
  <c r="I38" i="20"/>
  <c r="G38" i="20"/>
  <c r="E38" i="20"/>
  <c r="D38" i="20"/>
  <c r="B38" i="20"/>
  <c r="W37" i="20"/>
  <c r="U37" i="20"/>
  <c r="R37" i="20"/>
  <c r="M37" i="20"/>
  <c r="L37" i="20"/>
  <c r="I37" i="20"/>
  <c r="J37" i="20" s="1"/>
  <c r="N37" i="20" s="1"/>
  <c r="G37" i="20"/>
  <c r="E37" i="20"/>
  <c r="D37" i="20"/>
  <c r="B37" i="20"/>
  <c r="W36" i="20"/>
  <c r="U36" i="20"/>
  <c r="R36" i="20"/>
  <c r="M36" i="20"/>
  <c r="L36" i="20"/>
  <c r="I36" i="20"/>
  <c r="G36" i="20"/>
  <c r="D36" i="20"/>
  <c r="E36" i="20" s="1"/>
  <c r="B36" i="20"/>
  <c r="W35" i="20"/>
  <c r="U35" i="20"/>
  <c r="R35" i="20"/>
  <c r="M35" i="20"/>
  <c r="L35" i="20"/>
  <c r="X35" i="20" s="1"/>
  <c r="J35" i="20"/>
  <c r="I35" i="20"/>
  <c r="G35" i="20"/>
  <c r="E35" i="20"/>
  <c r="D35" i="20"/>
  <c r="B35" i="20"/>
  <c r="X34" i="20"/>
  <c r="W34" i="20"/>
  <c r="U34" i="20"/>
  <c r="R34" i="20"/>
  <c r="M34" i="20"/>
  <c r="L34" i="20"/>
  <c r="I34" i="20"/>
  <c r="G34" i="20"/>
  <c r="E34" i="20"/>
  <c r="D34" i="20"/>
  <c r="B34" i="20"/>
  <c r="W33" i="20"/>
  <c r="X33" i="20" s="1"/>
  <c r="U33" i="20"/>
  <c r="R33" i="20"/>
  <c r="M33" i="20"/>
  <c r="L33" i="20"/>
  <c r="I33" i="20"/>
  <c r="G33" i="20"/>
  <c r="E33" i="20"/>
  <c r="J33" i="20" s="1"/>
  <c r="N33" i="20" s="1"/>
  <c r="D33" i="20"/>
  <c r="B33" i="20"/>
  <c r="W32" i="20"/>
  <c r="U32" i="20"/>
  <c r="R32" i="20"/>
  <c r="M32" i="20"/>
  <c r="L32" i="20"/>
  <c r="X32" i="20" s="1"/>
  <c r="I32" i="20"/>
  <c r="G32" i="20"/>
  <c r="D32" i="20"/>
  <c r="E32" i="20" s="1"/>
  <c r="B32" i="20"/>
  <c r="W31" i="20"/>
  <c r="X31" i="20" s="1"/>
  <c r="U31" i="20"/>
  <c r="R31" i="20"/>
  <c r="M31" i="20"/>
  <c r="L31" i="20"/>
  <c r="I31" i="20"/>
  <c r="G31" i="20"/>
  <c r="E31" i="20"/>
  <c r="D31" i="20"/>
  <c r="B31" i="20"/>
  <c r="W30" i="20"/>
  <c r="U30" i="20"/>
  <c r="R30" i="20"/>
  <c r="M30" i="20"/>
  <c r="L30" i="20"/>
  <c r="I30" i="20"/>
  <c r="G30" i="20"/>
  <c r="E30" i="20"/>
  <c r="D30" i="20"/>
  <c r="B30" i="20"/>
  <c r="W29" i="20"/>
  <c r="U29" i="20"/>
  <c r="R29" i="20"/>
  <c r="M29" i="20"/>
  <c r="L29" i="20"/>
  <c r="I29" i="20"/>
  <c r="J29" i="20" s="1"/>
  <c r="G29" i="20"/>
  <c r="E29" i="20"/>
  <c r="D29" i="20"/>
  <c r="B29" i="20"/>
  <c r="W28" i="20"/>
  <c r="U28" i="20"/>
  <c r="R28" i="20"/>
  <c r="M28" i="20"/>
  <c r="L28" i="20"/>
  <c r="X28" i="20" s="1"/>
  <c r="I28" i="20"/>
  <c r="G28" i="20"/>
  <c r="D28" i="20"/>
  <c r="E28" i="20" s="1"/>
  <c r="B28" i="20"/>
  <c r="W27" i="20"/>
  <c r="U27" i="20"/>
  <c r="R27" i="20"/>
  <c r="M27" i="20"/>
  <c r="L27" i="20"/>
  <c r="I27" i="20"/>
  <c r="J27" i="20" s="1"/>
  <c r="N27" i="20" s="1"/>
  <c r="G27" i="20"/>
  <c r="E27" i="20"/>
  <c r="D27" i="20"/>
  <c r="B27" i="20"/>
  <c r="W26" i="20"/>
  <c r="U26" i="20"/>
  <c r="R26" i="20"/>
  <c r="M26" i="20"/>
  <c r="L26" i="20"/>
  <c r="I26" i="20"/>
  <c r="G26" i="20"/>
  <c r="E26" i="20"/>
  <c r="D26" i="20"/>
  <c r="B26" i="20"/>
  <c r="W25" i="20"/>
  <c r="U25" i="20"/>
  <c r="R25" i="20"/>
  <c r="M25" i="20"/>
  <c r="L25" i="20"/>
  <c r="I25" i="20"/>
  <c r="J25" i="20" s="1"/>
  <c r="N25" i="20" s="1"/>
  <c r="G25" i="20"/>
  <c r="E25" i="20"/>
  <c r="D25" i="20"/>
  <c r="B25" i="20"/>
  <c r="W24" i="20"/>
  <c r="U24" i="20"/>
  <c r="R24" i="20"/>
  <c r="M24" i="20"/>
  <c r="L24" i="20"/>
  <c r="I24" i="20"/>
  <c r="G24" i="20"/>
  <c r="D24" i="20"/>
  <c r="E24" i="20" s="1"/>
  <c r="B24" i="20"/>
  <c r="W23" i="20"/>
  <c r="X23" i="20" s="1"/>
  <c r="U23" i="20"/>
  <c r="R23" i="20"/>
  <c r="M23" i="20"/>
  <c r="L23" i="20"/>
  <c r="I23" i="20"/>
  <c r="J23" i="20" s="1"/>
  <c r="G23" i="20"/>
  <c r="E23" i="20"/>
  <c r="D23" i="20"/>
  <c r="B23" i="20"/>
  <c r="W22" i="20"/>
  <c r="U22" i="20"/>
  <c r="R22" i="20"/>
  <c r="M22" i="20"/>
  <c r="L22" i="20"/>
  <c r="X22" i="20" s="1"/>
  <c r="I22" i="20"/>
  <c r="J22" i="20" s="1"/>
  <c r="G22" i="20"/>
  <c r="E22" i="20"/>
  <c r="D22" i="20"/>
  <c r="B22" i="20"/>
  <c r="W21" i="20"/>
  <c r="X21" i="20" s="1"/>
  <c r="U21" i="20"/>
  <c r="R21" i="20"/>
  <c r="M21" i="20"/>
  <c r="L21" i="20"/>
  <c r="I21" i="20"/>
  <c r="G21" i="20"/>
  <c r="E21" i="20"/>
  <c r="D21" i="20"/>
  <c r="B21" i="20"/>
  <c r="W20" i="20"/>
  <c r="X20" i="20" s="1"/>
  <c r="U20" i="20"/>
  <c r="R20" i="20"/>
  <c r="M20" i="20"/>
  <c r="L20" i="20"/>
  <c r="I20" i="20"/>
  <c r="G20" i="20"/>
  <c r="E20" i="20"/>
  <c r="D20" i="20"/>
  <c r="B20" i="20"/>
  <c r="W19" i="20"/>
  <c r="U19" i="20"/>
  <c r="R19" i="20"/>
  <c r="M19" i="20"/>
  <c r="L19" i="20"/>
  <c r="J19" i="20"/>
  <c r="I19" i="20"/>
  <c r="G19" i="20"/>
  <c r="E19" i="20"/>
  <c r="D19" i="20"/>
  <c r="B19" i="20"/>
  <c r="X18" i="20"/>
  <c r="W18" i="20"/>
  <c r="U18" i="20"/>
  <c r="R18" i="20"/>
  <c r="M18" i="20"/>
  <c r="L18" i="20"/>
  <c r="I18" i="20"/>
  <c r="G18" i="20"/>
  <c r="E18" i="20"/>
  <c r="D18" i="20"/>
  <c r="B18" i="20"/>
  <c r="W17" i="20"/>
  <c r="X17" i="20" s="1"/>
  <c r="U17" i="20"/>
  <c r="R17" i="20"/>
  <c r="M17" i="20"/>
  <c r="N17" i="20" s="1"/>
  <c r="L17" i="20"/>
  <c r="J17" i="20"/>
  <c r="I17" i="20"/>
  <c r="G17" i="20"/>
  <c r="E17" i="20"/>
  <c r="D17" i="20"/>
  <c r="B17" i="20"/>
  <c r="W16" i="20"/>
  <c r="U16" i="20"/>
  <c r="R16" i="20"/>
  <c r="M16" i="20"/>
  <c r="L16" i="20"/>
  <c r="X16" i="20" s="1"/>
  <c r="I16" i="20"/>
  <c r="G16" i="20"/>
  <c r="D16" i="20"/>
  <c r="E16" i="20" s="1"/>
  <c r="B16" i="20"/>
  <c r="W15" i="20"/>
  <c r="U15" i="20"/>
  <c r="R15" i="20"/>
  <c r="M15" i="20"/>
  <c r="L15" i="20"/>
  <c r="I15" i="20"/>
  <c r="J15" i="20" s="1"/>
  <c r="G15" i="20"/>
  <c r="E15" i="20"/>
  <c r="D15" i="20"/>
  <c r="B15" i="20"/>
  <c r="W14" i="20"/>
  <c r="U14" i="20"/>
  <c r="R14" i="20"/>
  <c r="M14" i="20"/>
  <c r="L14" i="20"/>
  <c r="I14" i="20"/>
  <c r="J14" i="20" s="1"/>
  <c r="G14" i="20"/>
  <c r="E14" i="20"/>
  <c r="D14" i="20"/>
  <c r="B14" i="20"/>
  <c r="W13" i="20"/>
  <c r="U13" i="20"/>
  <c r="R13" i="20"/>
  <c r="M13" i="20"/>
  <c r="L13" i="20"/>
  <c r="I13" i="20"/>
  <c r="G13" i="20"/>
  <c r="E13" i="20"/>
  <c r="D13" i="20"/>
  <c r="B13" i="20"/>
  <c r="W12" i="20"/>
  <c r="U12" i="20"/>
  <c r="R12" i="20"/>
  <c r="M12" i="20"/>
  <c r="L12" i="20"/>
  <c r="I12" i="20"/>
  <c r="G12" i="20"/>
  <c r="E12" i="20"/>
  <c r="D12" i="20"/>
  <c r="B12" i="20"/>
  <c r="W11" i="20"/>
  <c r="U11" i="20"/>
  <c r="R11" i="20"/>
  <c r="M11" i="20"/>
  <c r="L11" i="20"/>
  <c r="J11" i="20"/>
  <c r="I11" i="20"/>
  <c r="G11" i="20"/>
  <c r="E11" i="20"/>
  <c r="D11" i="20"/>
  <c r="B11" i="20"/>
  <c r="W10" i="20"/>
  <c r="U10" i="20"/>
  <c r="R10" i="20"/>
  <c r="M10" i="20"/>
  <c r="L10" i="20"/>
  <c r="I10" i="20"/>
  <c r="G10" i="20"/>
  <c r="E10" i="20"/>
  <c r="D10" i="20"/>
  <c r="B10" i="20"/>
  <c r="W9" i="20"/>
  <c r="U9" i="20"/>
  <c r="R9" i="20"/>
  <c r="M9" i="20"/>
  <c r="L9" i="20"/>
  <c r="I9" i="20"/>
  <c r="J9" i="20" s="1"/>
  <c r="N9" i="20" s="1"/>
  <c r="G9" i="20"/>
  <c r="E9" i="20"/>
  <c r="D9" i="20"/>
  <c r="B9" i="20"/>
  <c r="W8" i="20"/>
  <c r="U8" i="20"/>
  <c r="R8" i="20"/>
  <c r="M8" i="20"/>
  <c r="L8" i="20"/>
  <c r="X8" i="20" s="1"/>
  <c r="I8" i="20"/>
  <c r="G8" i="20"/>
  <c r="D8" i="20"/>
  <c r="E8" i="20" s="1"/>
  <c r="B8" i="20"/>
  <c r="W7" i="20"/>
  <c r="X7" i="20" s="1"/>
  <c r="U7" i="20"/>
  <c r="R7" i="20"/>
  <c r="M7" i="20"/>
  <c r="L7" i="20"/>
  <c r="I7" i="20"/>
  <c r="J7" i="20" s="1"/>
  <c r="G7" i="20"/>
  <c r="E7" i="20"/>
  <c r="D7" i="20"/>
  <c r="B7" i="20"/>
  <c r="W6" i="20"/>
  <c r="U6" i="20"/>
  <c r="R6" i="20"/>
  <c r="M6" i="20"/>
  <c r="L6" i="20"/>
  <c r="I6" i="20"/>
  <c r="J6" i="20" s="1"/>
  <c r="G6" i="20"/>
  <c r="E6" i="20"/>
  <c r="D6" i="20"/>
  <c r="B6" i="20"/>
  <c r="W5" i="20"/>
  <c r="X5" i="20" s="1"/>
  <c r="U5" i="20"/>
  <c r="R5" i="20"/>
  <c r="M5" i="20"/>
  <c r="L5" i="20"/>
  <c r="I5" i="20"/>
  <c r="G5" i="20"/>
  <c r="E5" i="20"/>
  <c r="D5" i="20"/>
  <c r="B5" i="20"/>
  <c r="W4" i="20"/>
  <c r="U4" i="20"/>
  <c r="R4" i="20"/>
  <c r="M4" i="20"/>
  <c r="L4" i="20"/>
  <c r="I4" i="20"/>
  <c r="G4" i="20"/>
  <c r="E4" i="20"/>
  <c r="D4" i="20"/>
  <c r="B4" i="20"/>
  <c r="W3" i="20"/>
  <c r="U3" i="20"/>
  <c r="R3" i="20"/>
  <c r="M3" i="20"/>
  <c r="L3" i="20"/>
  <c r="J3" i="20"/>
  <c r="I3" i="20"/>
  <c r="G3" i="20"/>
  <c r="E3" i="20"/>
  <c r="D3" i="20"/>
  <c r="B3" i="20"/>
  <c r="W2" i="20"/>
  <c r="U2" i="20"/>
  <c r="R2" i="20"/>
  <c r="M2" i="20"/>
  <c r="L2" i="20"/>
  <c r="I2" i="20"/>
  <c r="J2" i="20" s="1"/>
  <c r="G2" i="20"/>
  <c r="E2" i="20"/>
  <c r="D2" i="20"/>
  <c r="B2" i="20"/>
  <c r="L8" i="10"/>
  <c r="F8" i="10"/>
  <c r="U3" i="18"/>
  <c r="U4" i="18"/>
  <c r="U5" i="18"/>
  <c r="U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2" i="18"/>
  <c r="X60" i="21" l="1"/>
  <c r="S21" i="21"/>
  <c r="T21" i="21" s="1"/>
  <c r="J5" i="21"/>
  <c r="N24" i="21"/>
  <c r="J37" i="21"/>
  <c r="J55" i="21"/>
  <c r="J2" i="21"/>
  <c r="N2" i="21" s="1"/>
  <c r="J10" i="21"/>
  <c r="N10" i="21" s="1"/>
  <c r="S10" i="21" s="1"/>
  <c r="T10" i="21" s="1"/>
  <c r="J28" i="21"/>
  <c r="N28" i="21" s="1"/>
  <c r="S28" i="21" s="1"/>
  <c r="T28" i="21" s="1"/>
  <c r="X11" i="21"/>
  <c r="X12" i="21"/>
  <c r="X15" i="21"/>
  <c r="J29" i="21"/>
  <c r="N29" i="21" s="1"/>
  <c r="J23" i="21"/>
  <c r="N23" i="21" s="1"/>
  <c r="J11" i="21"/>
  <c r="N11" i="21" s="1"/>
  <c r="N54" i="21"/>
  <c r="X45" i="21"/>
  <c r="X46" i="21"/>
  <c r="J9" i="21"/>
  <c r="N9" i="21" s="1"/>
  <c r="S9" i="21" s="1"/>
  <c r="T9" i="21" s="1"/>
  <c r="J26" i="21"/>
  <c r="N26" i="21" s="1"/>
  <c r="S26" i="21" s="1"/>
  <c r="T26" i="21" s="1"/>
  <c r="J27" i="21"/>
  <c r="X35" i="21"/>
  <c r="X44" i="21"/>
  <c r="X9" i="21"/>
  <c r="J15" i="21"/>
  <c r="N15" i="21" s="1"/>
  <c r="S15" i="21" s="1"/>
  <c r="T15" i="21" s="1"/>
  <c r="J40" i="21"/>
  <c r="X17" i="21"/>
  <c r="J33" i="21"/>
  <c r="X42" i="21"/>
  <c r="X7" i="21"/>
  <c r="X16" i="21"/>
  <c r="X26" i="21"/>
  <c r="N33" i="21"/>
  <c r="S33" i="21" s="1"/>
  <c r="T33" i="21" s="1"/>
  <c r="J56" i="21"/>
  <c r="J4" i="21"/>
  <c r="N4" i="21" s="1"/>
  <c r="S4" i="21" s="1"/>
  <c r="T4" i="21" s="1"/>
  <c r="Y4" i="21" s="1"/>
  <c r="Z4" i="21" s="1"/>
  <c r="J57" i="21"/>
  <c r="N57" i="21" s="1"/>
  <c r="X4" i="21"/>
  <c r="X56" i="21"/>
  <c r="X3" i="21"/>
  <c r="S34" i="21"/>
  <c r="T34" i="21" s="1"/>
  <c r="Y34" i="21" s="1"/>
  <c r="Z34" i="21" s="1"/>
  <c r="N56" i="21"/>
  <c r="S56" i="21" s="1"/>
  <c r="T56" i="21" s="1"/>
  <c r="N31" i="21"/>
  <c r="S31" i="21" s="1"/>
  <c r="T31" i="21" s="1"/>
  <c r="N42" i="21"/>
  <c r="S42" i="21" s="1"/>
  <c r="T42" i="21" s="1"/>
  <c r="Y42" i="21" s="1"/>
  <c r="Z42" i="21" s="1"/>
  <c r="N46" i="21"/>
  <c r="S46" i="21" s="1"/>
  <c r="T46" i="21" s="1"/>
  <c r="Y46" i="21" s="1"/>
  <c r="N20" i="21"/>
  <c r="S20" i="21" s="1"/>
  <c r="T20" i="21" s="1"/>
  <c r="Y20" i="21" s="1"/>
  <c r="Z20" i="21" s="1"/>
  <c r="N30" i="21"/>
  <c r="S30" i="21" s="1"/>
  <c r="T30" i="21" s="1"/>
  <c r="Y30" i="21" s="1"/>
  <c r="Z30" i="21" s="1"/>
  <c r="X10" i="21"/>
  <c r="X32" i="21"/>
  <c r="X41" i="21"/>
  <c r="X43" i="21"/>
  <c r="X54" i="21"/>
  <c r="X8" i="21"/>
  <c r="X21" i="21"/>
  <c r="X40" i="21"/>
  <c r="X53" i="21"/>
  <c r="N5" i="21"/>
  <c r="S5" i="21" s="1"/>
  <c r="T5" i="21" s="1"/>
  <c r="Y5" i="21" s="1"/>
  <c r="Z5" i="21" s="1"/>
  <c r="X19" i="21"/>
  <c r="N45" i="21"/>
  <c r="S45" i="21" s="1"/>
  <c r="T45" i="21" s="1"/>
  <c r="X52" i="21"/>
  <c r="X62" i="21"/>
  <c r="X39" i="21"/>
  <c r="X28" i="21"/>
  <c r="N35" i="21"/>
  <c r="S35" i="21" s="1"/>
  <c r="T35" i="21" s="1"/>
  <c r="N44" i="21"/>
  <c r="S44" i="21" s="1"/>
  <c r="T44" i="21" s="1"/>
  <c r="X18" i="21"/>
  <c r="X22" i="21"/>
  <c r="N22" i="21"/>
  <c r="N40" i="21"/>
  <c r="J3" i="21"/>
  <c r="N3" i="21" s="1"/>
  <c r="S24" i="21"/>
  <c r="T24" i="21" s="1"/>
  <c r="Y24" i="21" s="1"/>
  <c r="Z24" i="21" s="1"/>
  <c r="X50" i="21"/>
  <c r="N50" i="21"/>
  <c r="X2" i="21"/>
  <c r="J32" i="21"/>
  <c r="N32" i="21" s="1"/>
  <c r="N39" i="21"/>
  <c r="J47" i="21"/>
  <c r="N47" i="21" s="1"/>
  <c r="X49" i="21"/>
  <c r="S52" i="21"/>
  <c r="T52" i="21" s="1"/>
  <c r="X29" i="21"/>
  <c r="X27" i="21"/>
  <c r="N27" i="21"/>
  <c r="X47" i="21"/>
  <c r="S58" i="21"/>
  <c r="T58" i="21" s="1"/>
  <c r="Y58" i="21" s="1"/>
  <c r="Z58" i="21" s="1"/>
  <c r="S11" i="21"/>
  <c r="T11" i="21" s="1"/>
  <c r="Y11" i="21" s="1"/>
  <c r="Z11" i="21" s="1"/>
  <c r="X37" i="21"/>
  <c r="N37" i="21"/>
  <c r="N14" i="21"/>
  <c r="N51" i="21"/>
  <c r="N6" i="21"/>
  <c r="N8" i="21"/>
  <c r="S8" i="21" s="1"/>
  <c r="T8" i="21" s="1"/>
  <c r="J19" i="21"/>
  <c r="N19" i="21" s="1"/>
  <c r="N38" i="21"/>
  <c r="S38" i="21" s="1"/>
  <c r="T38" i="21" s="1"/>
  <c r="J59" i="21"/>
  <c r="N59" i="21" s="1"/>
  <c r="J60" i="21"/>
  <c r="N60" i="21" s="1"/>
  <c r="S60" i="21" s="1"/>
  <c r="T60" i="21" s="1"/>
  <c r="J53" i="21"/>
  <c r="N53" i="21" s="1"/>
  <c r="J61" i="21"/>
  <c r="N61" i="21" s="1"/>
  <c r="N7" i="21"/>
  <c r="X61" i="21"/>
  <c r="J41" i="21"/>
  <c r="N41" i="21" s="1"/>
  <c r="N55" i="21"/>
  <c r="N16" i="21"/>
  <c r="N25" i="21"/>
  <c r="X51" i="21"/>
  <c r="N12" i="21"/>
  <c r="X14" i="21"/>
  <c r="X23" i="21"/>
  <c r="S54" i="21"/>
  <c r="T54" i="21" s="1"/>
  <c r="X6" i="21"/>
  <c r="J13" i="21"/>
  <c r="N13" i="21" s="1"/>
  <c r="J18" i="21"/>
  <c r="N18" i="21" s="1"/>
  <c r="X38" i="21"/>
  <c r="J43" i="21"/>
  <c r="N43" i="21" s="1"/>
  <c r="X48" i="21"/>
  <c r="N48" i="21"/>
  <c r="S48" i="21" s="1"/>
  <c r="T48" i="21" s="1"/>
  <c r="J49" i="21"/>
  <c r="N49" i="21" s="1"/>
  <c r="X59" i="21"/>
  <c r="X33" i="21"/>
  <c r="Y33" i="21" s="1"/>
  <c r="Z33" i="21" s="1"/>
  <c r="J17" i="21"/>
  <c r="N17" i="21" s="1"/>
  <c r="N36" i="21"/>
  <c r="J62" i="21"/>
  <c r="N62" i="21" s="1"/>
  <c r="X19" i="20"/>
  <c r="X14" i="20"/>
  <c r="X27" i="20"/>
  <c r="X48" i="20"/>
  <c r="X26" i="20"/>
  <c r="X38" i="20"/>
  <c r="X25" i="20"/>
  <c r="X56" i="20"/>
  <c r="X3" i="20"/>
  <c r="X10" i="20"/>
  <c r="X11" i="20"/>
  <c r="X24" i="20"/>
  <c r="X46" i="20"/>
  <c r="X4" i="20"/>
  <c r="X47" i="20"/>
  <c r="X58" i="20"/>
  <c r="N29" i="20"/>
  <c r="X45" i="20"/>
  <c r="X55" i="20"/>
  <c r="X53" i="20"/>
  <c r="X13" i="20"/>
  <c r="X52" i="20"/>
  <c r="X9" i="20"/>
  <c r="X39" i="20"/>
  <c r="X49" i="20"/>
  <c r="X15" i="20"/>
  <c r="X29" i="20"/>
  <c r="X37" i="20"/>
  <c r="N45" i="20"/>
  <c r="S45" i="20" s="1"/>
  <c r="T45" i="20" s="1"/>
  <c r="N30" i="20"/>
  <c r="S47" i="20"/>
  <c r="T47" i="20" s="1"/>
  <c r="Y47" i="20" s="1"/>
  <c r="Z47" i="20" s="1"/>
  <c r="S6" i="20"/>
  <c r="T6" i="20" s="1"/>
  <c r="J13" i="20"/>
  <c r="N13" i="20" s="1"/>
  <c r="S13" i="20" s="1"/>
  <c r="T13" i="20" s="1"/>
  <c r="S22" i="20"/>
  <c r="T22" i="20" s="1"/>
  <c r="N31" i="20"/>
  <c r="S31" i="20" s="1"/>
  <c r="T31" i="20" s="1"/>
  <c r="N39" i="20"/>
  <c r="S39" i="20" s="1"/>
  <c r="T39" i="20" s="1"/>
  <c r="J41" i="20"/>
  <c r="N41" i="20" s="1"/>
  <c r="N7" i="20"/>
  <c r="N11" i="20"/>
  <c r="S11" i="20" s="1"/>
  <c r="T11" i="20" s="1"/>
  <c r="S7" i="20"/>
  <c r="T7" i="20" s="1"/>
  <c r="S29" i="20"/>
  <c r="T29" i="20" s="1"/>
  <c r="N3" i="20"/>
  <c r="S3" i="20" s="1"/>
  <c r="T3" i="20" s="1"/>
  <c r="N19" i="20"/>
  <c r="S19" i="20" s="1"/>
  <c r="T19" i="20" s="1"/>
  <c r="X30" i="20"/>
  <c r="N34" i="20"/>
  <c r="S51" i="20"/>
  <c r="T51" i="20" s="1"/>
  <c r="N28" i="20"/>
  <c r="N6" i="20"/>
  <c r="N22" i="20"/>
  <c r="J30" i="20"/>
  <c r="N35" i="20"/>
  <c r="J38" i="20"/>
  <c r="N38" i="20" s="1"/>
  <c r="S46" i="20"/>
  <c r="T46" i="20" s="1"/>
  <c r="N48" i="20"/>
  <c r="S48" i="20" s="1"/>
  <c r="T48" i="20" s="1"/>
  <c r="N2" i="20"/>
  <c r="S2" i="20" s="1"/>
  <c r="T2" i="20" s="1"/>
  <c r="N12" i="20"/>
  <c r="N23" i="20"/>
  <c r="S23" i="20" s="1"/>
  <c r="T23" i="20" s="1"/>
  <c r="S27" i="20"/>
  <c r="T27" i="20" s="1"/>
  <c r="Y27" i="20" s="1"/>
  <c r="Z27" i="20" s="1"/>
  <c r="J31" i="20"/>
  <c r="X51" i="20"/>
  <c r="N51" i="20"/>
  <c r="N52" i="20"/>
  <c r="X59" i="20"/>
  <c r="N59" i="20"/>
  <c r="X6" i="20"/>
  <c r="N14" i="20"/>
  <c r="S37" i="20"/>
  <c r="T37" i="20" s="1"/>
  <c r="N54" i="20"/>
  <c r="J57" i="20"/>
  <c r="X36" i="20"/>
  <c r="N55" i="20"/>
  <c r="S55" i="20" s="1"/>
  <c r="T55" i="20" s="1"/>
  <c r="X57" i="20"/>
  <c r="N57" i="20"/>
  <c r="S57" i="20" s="1"/>
  <c r="T57" i="20" s="1"/>
  <c r="N15" i="20"/>
  <c r="S15" i="20" s="1"/>
  <c r="T15" i="20" s="1"/>
  <c r="N20" i="20"/>
  <c r="J5" i="20"/>
  <c r="N5" i="20" s="1"/>
  <c r="S5" i="20" s="1"/>
  <c r="T5" i="20" s="1"/>
  <c r="X12" i="20"/>
  <c r="S14" i="20"/>
  <c r="T14" i="20" s="1"/>
  <c r="J21" i="20"/>
  <c r="N21" i="20" s="1"/>
  <c r="S21" i="20" s="1"/>
  <c r="T21" i="20" s="1"/>
  <c r="X43" i="20"/>
  <c r="N43" i="20"/>
  <c r="S43" i="20" s="1"/>
  <c r="T43" i="20" s="1"/>
  <c r="N44" i="20"/>
  <c r="J46" i="20"/>
  <c r="N46" i="20"/>
  <c r="S53" i="20"/>
  <c r="T53" i="20" s="1"/>
  <c r="J58" i="20"/>
  <c r="N58" i="20" s="1"/>
  <c r="X2" i="20"/>
  <c r="J4" i="20"/>
  <c r="N4" i="20" s="1"/>
  <c r="J12" i="20"/>
  <c r="J20" i="20"/>
  <c r="J28" i="20"/>
  <c r="J36" i="20"/>
  <c r="N36" i="20" s="1"/>
  <c r="J44" i="20"/>
  <c r="J52" i="20"/>
  <c r="J59" i="20"/>
  <c r="J18" i="20"/>
  <c r="N18" i="20" s="1"/>
  <c r="S9" i="20"/>
  <c r="T9" i="20" s="1"/>
  <c r="S17" i="20"/>
  <c r="T17" i="20" s="1"/>
  <c r="Y17" i="20" s="1"/>
  <c r="Z17" i="20" s="1"/>
  <c r="S25" i="20"/>
  <c r="T25" i="20" s="1"/>
  <c r="Y25" i="20" s="1"/>
  <c r="Z25" i="20" s="1"/>
  <c r="S33" i="20"/>
  <c r="T33" i="20" s="1"/>
  <c r="Y33" i="20" s="1"/>
  <c r="S41" i="20"/>
  <c r="T41" i="20" s="1"/>
  <c r="S49" i="20"/>
  <c r="T49" i="20" s="1"/>
  <c r="Y49" i="20" s="1"/>
  <c r="Z49" i="20" s="1"/>
  <c r="J10" i="20"/>
  <c r="N10" i="20" s="1"/>
  <c r="J26" i="20"/>
  <c r="N26" i="20" s="1"/>
  <c r="J34" i="20"/>
  <c r="J42" i="20"/>
  <c r="N42" i="20" s="1"/>
  <c r="J50" i="20"/>
  <c r="N50" i="20" s="1"/>
  <c r="J8" i="20"/>
  <c r="N8" i="20" s="1"/>
  <c r="J16" i="20"/>
  <c r="N16" i="20" s="1"/>
  <c r="J24" i="20"/>
  <c r="N24" i="20" s="1"/>
  <c r="J32" i="20"/>
  <c r="N32" i="20" s="1"/>
  <c r="S32" i="20" s="1"/>
  <c r="T32" i="20" s="1"/>
  <c r="J40" i="20"/>
  <c r="N40" i="20" s="1"/>
  <c r="S40" i="20" s="1"/>
  <c r="T40" i="20" s="1"/>
  <c r="J48" i="20"/>
  <c r="J56" i="20"/>
  <c r="N56" i="20" s="1"/>
  <c r="W59" i="18"/>
  <c r="R59" i="18"/>
  <c r="M59" i="18"/>
  <c r="L59" i="18"/>
  <c r="I59" i="18"/>
  <c r="G59" i="18"/>
  <c r="D59" i="18"/>
  <c r="E59" i="18" s="1"/>
  <c r="B59" i="18"/>
  <c r="W58" i="18"/>
  <c r="R58" i="18"/>
  <c r="M58" i="18"/>
  <c r="L58" i="18"/>
  <c r="X58" i="18" s="1"/>
  <c r="I58" i="18"/>
  <c r="G58" i="18"/>
  <c r="D58" i="18"/>
  <c r="E58" i="18" s="1"/>
  <c r="B58" i="18"/>
  <c r="W57" i="18"/>
  <c r="R57" i="18"/>
  <c r="M57" i="18"/>
  <c r="L57" i="18"/>
  <c r="I57" i="18"/>
  <c r="G57" i="18"/>
  <c r="D57" i="18"/>
  <c r="E57" i="18" s="1"/>
  <c r="J57" i="18" s="1"/>
  <c r="B57" i="18"/>
  <c r="W56" i="18"/>
  <c r="R56" i="18"/>
  <c r="M56" i="18"/>
  <c r="L56" i="18"/>
  <c r="I56" i="18"/>
  <c r="G56" i="18"/>
  <c r="D56" i="18"/>
  <c r="E56" i="18" s="1"/>
  <c r="B56" i="18"/>
  <c r="W55" i="18"/>
  <c r="R55" i="18"/>
  <c r="M55" i="18"/>
  <c r="L55" i="18"/>
  <c r="I55" i="18"/>
  <c r="G55" i="18"/>
  <c r="D55" i="18"/>
  <c r="E55" i="18" s="1"/>
  <c r="B55" i="18"/>
  <c r="W54" i="18"/>
  <c r="R54" i="18"/>
  <c r="M54" i="18"/>
  <c r="L54" i="18"/>
  <c r="I54" i="18"/>
  <c r="G54" i="18"/>
  <c r="D54" i="18"/>
  <c r="E54" i="18" s="1"/>
  <c r="B54" i="18"/>
  <c r="W53" i="18"/>
  <c r="R53" i="18"/>
  <c r="M53" i="18"/>
  <c r="L53" i="18"/>
  <c r="I53" i="18"/>
  <c r="G53" i="18"/>
  <c r="D53" i="18"/>
  <c r="E53" i="18" s="1"/>
  <c r="B53" i="18"/>
  <c r="W52" i="18"/>
  <c r="R52" i="18"/>
  <c r="M52" i="18"/>
  <c r="L52" i="18"/>
  <c r="I52" i="18"/>
  <c r="G52" i="18"/>
  <c r="D52" i="18"/>
  <c r="E52" i="18" s="1"/>
  <c r="B52" i="18"/>
  <c r="W51" i="18"/>
  <c r="R51" i="18"/>
  <c r="M51" i="18"/>
  <c r="L51" i="18"/>
  <c r="I51" i="18"/>
  <c r="G51" i="18"/>
  <c r="D51" i="18"/>
  <c r="E51" i="18" s="1"/>
  <c r="B51" i="18"/>
  <c r="W50" i="18"/>
  <c r="R50" i="18"/>
  <c r="M50" i="18"/>
  <c r="L50" i="18"/>
  <c r="I50" i="18"/>
  <c r="G50" i="18"/>
  <c r="D50" i="18"/>
  <c r="E50" i="18" s="1"/>
  <c r="J50" i="18" s="1"/>
  <c r="B50" i="18"/>
  <c r="W49" i="18"/>
  <c r="R49" i="18"/>
  <c r="M49" i="18"/>
  <c r="L49" i="18"/>
  <c r="I49" i="18"/>
  <c r="G49" i="18"/>
  <c r="D49" i="18"/>
  <c r="E49" i="18" s="1"/>
  <c r="J49" i="18" s="1"/>
  <c r="B49" i="18"/>
  <c r="W48" i="18"/>
  <c r="R48" i="18"/>
  <c r="M48" i="18"/>
  <c r="L48" i="18"/>
  <c r="I48" i="18"/>
  <c r="G48" i="18"/>
  <c r="D48" i="18"/>
  <c r="E48" i="18" s="1"/>
  <c r="B48" i="18"/>
  <c r="W47" i="18"/>
  <c r="R47" i="18"/>
  <c r="M47" i="18"/>
  <c r="L47" i="18"/>
  <c r="I47" i="18"/>
  <c r="G47" i="18"/>
  <c r="D47" i="18"/>
  <c r="E47" i="18" s="1"/>
  <c r="B47" i="18"/>
  <c r="W46" i="18"/>
  <c r="R46" i="18"/>
  <c r="M46" i="18"/>
  <c r="L46" i="18"/>
  <c r="X46" i="18" s="1"/>
  <c r="I46" i="18"/>
  <c r="G46" i="18"/>
  <c r="D46" i="18"/>
  <c r="E46" i="18" s="1"/>
  <c r="B46" i="18"/>
  <c r="W45" i="18"/>
  <c r="R45" i="18"/>
  <c r="M45" i="18"/>
  <c r="L45" i="18"/>
  <c r="I45" i="18"/>
  <c r="G45" i="18"/>
  <c r="D45" i="18"/>
  <c r="E45" i="18" s="1"/>
  <c r="B45" i="18"/>
  <c r="W44" i="18"/>
  <c r="R44" i="18"/>
  <c r="M44" i="18"/>
  <c r="L44" i="18"/>
  <c r="I44" i="18"/>
  <c r="G44" i="18"/>
  <c r="D44" i="18"/>
  <c r="E44" i="18" s="1"/>
  <c r="B44" i="18"/>
  <c r="W43" i="18"/>
  <c r="R43" i="18"/>
  <c r="M43" i="18"/>
  <c r="L43" i="18"/>
  <c r="I43" i="18"/>
  <c r="G43" i="18"/>
  <c r="D43" i="18"/>
  <c r="E43" i="18" s="1"/>
  <c r="B43" i="18"/>
  <c r="W42" i="18"/>
  <c r="R42" i="18"/>
  <c r="M42" i="18"/>
  <c r="L42" i="18"/>
  <c r="I42" i="18"/>
  <c r="G42" i="18"/>
  <c r="D42" i="18"/>
  <c r="E42" i="18" s="1"/>
  <c r="B42" i="18"/>
  <c r="W41" i="18"/>
  <c r="R41" i="18"/>
  <c r="M41" i="18"/>
  <c r="L41" i="18"/>
  <c r="I41" i="18"/>
  <c r="G41" i="18"/>
  <c r="D41" i="18"/>
  <c r="E41" i="18" s="1"/>
  <c r="B41" i="18"/>
  <c r="W40" i="18"/>
  <c r="R40" i="18"/>
  <c r="M40" i="18"/>
  <c r="L40" i="18"/>
  <c r="I40" i="18"/>
  <c r="G40" i="18"/>
  <c r="D40" i="18"/>
  <c r="E40" i="18" s="1"/>
  <c r="B40" i="18"/>
  <c r="W39" i="18"/>
  <c r="R39" i="18"/>
  <c r="M39" i="18"/>
  <c r="L39" i="18"/>
  <c r="I39" i="18"/>
  <c r="G39" i="18"/>
  <c r="D39" i="18"/>
  <c r="E39" i="18" s="1"/>
  <c r="B39" i="18"/>
  <c r="W38" i="18"/>
  <c r="R38" i="18"/>
  <c r="M38" i="18"/>
  <c r="L38" i="18"/>
  <c r="I38" i="18"/>
  <c r="G38" i="18"/>
  <c r="D38" i="18"/>
  <c r="E38" i="18" s="1"/>
  <c r="B38" i="18"/>
  <c r="W37" i="18"/>
  <c r="R37" i="18"/>
  <c r="M37" i="18"/>
  <c r="L37" i="18"/>
  <c r="I37" i="18"/>
  <c r="G37" i="18"/>
  <c r="D37" i="18"/>
  <c r="E37" i="18" s="1"/>
  <c r="B37" i="18"/>
  <c r="W36" i="18"/>
  <c r="R36" i="18"/>
  <c r="M36" i="18"/>
  <c r="L36" i="18"/>
  <c r="I36" i="18"/>
  <c r="G36" i="18"/>
  <c r="D36" i="18"/>
  <c r="E36" i="18" s="1"/>
  <c r="B36" i="18"/>
  <c r="W35" i="18"/>
  <c r="R35" i="18"/>
  <c r="M35" i="18"/>
  <c r="L35" i="18"/>
  <c r="I35" i="18"/>
  <c r="G35" i="18"/>
  <c r="D35" i="18"/>
  <c r="E35" i="18" s="1"/>
  <c r="B35" i="18"/>
  <c r="W34" i="18"/>
  <c r="R34" i="18"/>
  <c r="M34" i="18"/>
  <c r="L34" i="18"/>
  <c r="I34" i="18"/>
  <c r="G34" i="18"/>
  <c r="D34" i="18"/>
  <c r="E34" i="18" s="1"/>
  <c r="B34" i="18"/>
  <c r="W33" i="18"/>
  <c r="R33" i="18"/>
  <c r="M33" i="18"/>
  <c r="L33" i="18"/>
  <c r="I33" i="18"/>
  <c r="G33" i="18"/>
  <c r="D33" i="18"/>
  <c r="E33" i="18" s="1"/>
  <c r="B33" i="18"/>
  <c r="W32" i="18"/>
  <c r="R32" i="18"/>
  <c r="M32" i="18"/>
  <c r="L32" i="18"/>
  <c r="I32" i="18"/>
  <c r="G32" i="18"/>
  <c r="D32" i="18"/>
  <c r="E32" i="18" s="1"/>
  <c r="B32" i="18"/>
  <c r="W31" i="18"/>
  <c r="R31" i="18"/>
  <c r="M31" i="18"/>
  <c r="L31" i="18"/>
  <c r="I31" i="18"/>
  <c r="G31" i="18"/>
  <c r="D31" i="18"/>
  <c r="E31" i="18" s="1"/>
  <c r="B31" i="18"/>
  <c r="W30" i="18"/>
  <c r="R30" i="18"/>
  <c r="M30" i="18"/>
  <c r="L30" i="18"/>
  <c r="I30" i="18"/>
  <c r="G30" i="18"/>
  <c r="D30" i="18"/>
  <c r="E30" i="18" s="1"/>
  <c r="B30" i="18"/>
  <c r="W29" i="18"/>
  <c r="R29" i="18"/>
  <c r="M29" i="18"/>
  <c r="L29" i="18"/>
  <c r="I29" i="18"/>
  <c r="G29" i="18"/>
  <c r="D29" i="18"/>
  <c r="E29" i="18" s="1"/>
  <c r="B29" i="18"/>
  <c r="W28" i="18"/>
  <c r="R28" i="18"/>
  <c r="M28" i="18"/>
  <c r="L28" i="18"/>
  <c r="I28" i="18"/>
  <c r="G28" i="18"/>
  <c r="D28" i="18"/>
  <c r="E28" i="18" s="1"/>
  <c r="B28" i="18"/>
  <c r="W27" i="18"/>
  <c r="R27" i="18"/>
  <c r="M27" i="18"/>
  <c r="L27" i="18"/>
  <c r="I27" i="18"/>
  <c r="G27" i="18"/>
  <c r="D27" i="18"/>
  <c r="E27" i="18" s="1"/>
  <c r="B27" i="18"/>
  <c r="W26" i="18"/>
  <c r="R26" i="18"/>
  <c r="M26" i="18"/>
  <c r="L26" i="18"/>
  <c r="I26" i="18"/>
  <c r="G26" i="18"/>
  <c r="D26" i="18"/>
  <c r="E26" i="18" s="1"/>
  <c r="B26" i="18"/>
  <c r="W25" i="18"/>
  <c r="R25" i="18"/>
  <c r="M25" i="18"/>
  <c r="L25" i="18"/>
  <c r="I25" i="18"/>
  <c r="G25" i="18"/>
  <c r="D25" i="18"/>
  <c r="E25" i="18" s="1"/>
  <c r="B25" i="18"/>
  <c r="W24" i="18"/>
  <c r="R24" i="18"/>
  <c r="M24" i="18"/>
  <c r="L24" i="18"/>
  <c r="I24" i="18"/>
  <c r="G24" i="18"/>
  <c r="D24" i="18"/>
  <c r="E24" i="18" s="1"/>
  <c r="B24" i="18"/>
  <c r="W23" i="18"/>
  <c r="R23" i="18"/>
  <c r="M23" i="18"/>
  <c r="L23" i="18"/>
  <c r="I23" i="18"/>
  <c r="G23" i="18"/>
  <c r="D23" i="18"/>
  <c r="E23" i="18" s="1"/>
  <c r="B23" i="18"/>
  <c r="W22" i="18"/>
  <c r="R22" i="18"/>
  <c r="M22" i="18"/>
  <c r="L22" i="18"/>
  <c r="I22" i="18"/>
  <c r="J22" i="18" s="1"/>
  <c r="G22" i="18"/>
  <c r="D22" i="18"/>
  <c r="E22" i="18" s="1"/>
  <c r="B22" i="18"/>
  <c r="W21" i="18"/>
  <c r="R21" i="18"/>
  <c r="M21" i="18"/>
  <c r="L21" i="18"/>
  <c r="X21" i="18" s="1"/>
  <c r="I21" i="18"/>
  <c r="G21" i="18"/>
  <c r="D21" i="18"/>
  <c r="E21" i="18" s="1"/>
  <c r="B21" i="18"/>
  <c r="W20" i="18"/>
  <c r="R20" i="18"/>
  <c r="M20" i="18"/>
  <c r="L20" i="18"/>
  <c r="X20" i="18" s="1"/>
  <c r="I20" i="18"/>
  <c r="G20" i="18"/>
  <c r="D20" i="18"/>
  <c r="E20" i="18" s="1"/>
  <c r="B20" i="18"/>
  <c r="W19" i="18"/>
  <c r="R19" i="18"/>
  <c r="M19" i="18"/>
  <c r="L19" i="18"/>
  <c r="I19" i="18"/>
  <c r="G19" i="18"/>
  <c r="D19" i="18"/>
  <c r="E19" i="18" s="1"/>
  <c r="B19" i="18"/>
  <c r="W18" i="18"/>
  <c r="R18" i="18"/>
  <c r="M18" i="18"/>
  <c r="L18" i="18"/>
  <c r="I18" i="18"/>
  <c r="G18" i="18"/>
  <c r="D18" i="18"/>
  <c r="E18" i="18" s="1"/>
  <c r="B18" i="18"/>
  <c r="W17" i="18"/>
  <c r="R17" i="18"/>
  <c r="M17" i="18"/>
  <c r="L17" i="18"/>
  <c r="X17" i="18" s="1"/>
  <c r="I17" i="18"/>
  <c r="G17" i="18"/>
  <c r="D17" i="18"/>
  <c r="E17" i="18" s="1"/>
  <c r="B17" i="18"/>
  <c r="W16" i="18"/>
  <c r="R16" i="18"/>
  <c r="M16" i="18"/>
  <c r="L16" i="18"/>
  <c r="I16" i="18"/>
  <c r="G16" i="18"/>
  <c r="D16" i="18"/>
  <c r="E16" i="18" s="1"/>
  <c r="B16" i="18"/>
  <c r="W15" i="18"/>
  <c r="R15" i="18"/>
  <c r="M15" i="18"/>
  <c r="L15" i="18"/>
  <c r="I15" i="18"/>
  <c r="G15" i="18"/>
  <c r="D15" i="18"/>
  <c r="E15" i="18" s="1"/>
  <c r="B15" i="18"/>
  <c r="W14" i="18"/>
  <c r="R14" i="18"/>
  <c r="M14" i="18"/>
  <c r="L14" i="18"/>
  <c r="I14" i="18"/>
  <c r="G14" i="18"/>
  <c r="D14" i="18"/>
  <c r="E14" i="18" s="1"/>
  <c r="B14" i="18"/>
  <c r="W13" i="18"/>
  <c r="R13" i="18"/>
  <c r="M13" i="18"/>
  <c r="L13" i="18"/>
  <c r="I13" i="18"/>
  <c r="J13" i="18" s="1"/>
  <c r="G13" i="18"/>
  <c r="D13" i="18"/>
  <c r="E13" i="18" s="1"/>
  <c r="B13" i="18"/>
  <c r="W12" i="18"/>
  <c r="R12" i="18"/>
  <c r="M12" i="18"/>
  <c r="L12" i="18"/>
  <c r="I12" i="18"/>
  <c r="G12" i="18"/>
  <c r="D12" i="18"/>
  <c r="E12" i="18" s="1"/>
  <c r="B12" i="18"/>
  <c r="W11" i="18"/>
  <c r="R11" i="18"/>
  <c r="M11" i="18"/>
  <c r="L11" i="18"/>
  <c r="I11" i="18"/>
  <c r="G11" i="18"/>
  <c r="D11" i="18"/>
  <c r="E11" i="18" s="1"/>
  <c r="B11" i="18"/>
  <c r="W10" i="18"/>
  <c r="R10" i="18"/>
  <c r="M10" i="18"/>
  <c r="L10" i="18"/>
  <c r="I10" i="18"/>
  <c r="G10" i="18"/>
  <c r="D10" i="18"/>
  <c r="E10" i="18" s="1"/>
  <c r="B10" i="18"/>
  <c r="W9" i="18"/>
  <c r="R9" i="18"/>
  <c r="M9" i="18"/>
  <c r="L9" i="18"/>
  <c r="I9" i="18"/>
  <c r="J9" i="18" s="1"/>
  <c r="G9" i="18"/>
  <c r="D9" i="18"/>
  <c r="E9" i="18" s="1"/>
  <c r="B9" i="18"/>
  <c r="W8" i="18"/>
  <c r="R8" i="18"/>
  <c r="M8" i="18"/>
  <c r="L8" i="18"/>
  <c r="X8" i="18" s="1"/>
  <c r="I8" i="18"/>
  <c r="G8" i="18"/>
  <c r="D8" i="18"/>
  <c r="E8" i="18" s="1"/>
  <c r="B8" i="18"/>
  <c r="W7" i="18"/>
  <c r="R7" i="18"/>
  <c r="M7" i="18"/>
  <c r="L7" i="18"/>
  <c r="I7" i="18"/>
  <c r="G7" i="18"/>
  <c r="D7" i="18"/>
  <c r="E7" i="18" s="1"/>
  <c r="J7" i="18" s="1"/>
  <c r="B7" i="18"/>
  <c r="W6" i="18"/>
  <c r="R6" i="18"/>
  <c r="M6" i="18"/>
  <c r="L6" i="18"/>
  <c r="I6" i="18"/>
  <c r="G6" i="18"/>
  <c r="D6" i="18"/>
  <c r="E6" i="18" s="1"/>
  <c r="B6" i="18"/>
  <c r="W5" i="18"/>
  <c r="R5" i="18"/>
  <c r="M5" i="18"/>
  <c r="L5" i="18"/>
  <c r="I5" i="18"/>
  <c r="G5" i="18"/>
  <c r="D5" i="18"/>
  <c r="E5" i="18" s="1"/>
  <c r="B5" i="18"/>
  <c r="W4" i="18"/>
  <c r="R4" i="18"/>
  <c r="M4" i="18"/>
  <c r="L4" i="18"/>
  <c r="I4" i="18"/>
  <c r="G4" i="18"/>
  <c r="D4" i="18"/>
  <c r="E4" i="18" s="1"/>
  <c r="B4" i="18"/>
  <c r="W3" i="18"/>
  <c r="R3" i="18"/>
  <c r="M3" i="18"/>
  <c r="L3" i="18"/>
  <c r="I3" i="18"/>
  <c r="G3" i="18"/>
  <c r="D3" i="18"/>
  <c r="E3" i="18" s="1"/>
  <c r="J3" i="18" s="1"/>
  <c r="B3" i="18"/>
  <c r="W2" i="18"/>
  <c r="X2" i="18" s="1"/>
  <c r="R2" i="18"/>
  <c r="M2" i="18"/>
  <c r="L2" i="18"/>
  <c r="I2" i="18"/>
  <c r="G2" i="18"/>
  <c r="D2" i="18"/>
  <c r="E2" i="18" s="1"/>
  <c r="B2" i="18"/>
  <c r="Y21" i="21" l="1"/>
  <c r="Z21" i="21" s="1"/>
  <c r="Y10" i="21"/>
  <c r="Z10" i="21" s="1"/>
  <c r="Y44" i="21"/>
  <c r="Z44" i="21" s="1"/>
  <c r="Y35" i="21"/>
  <c r="Z35" i="21" s="1"/>
  <c r="Y15" i="21"/>
  <c r="Z15" i="21" s="1"/>
  <c r="Y31" i="21"/>
  <c r="Z31" i="21" s="1"/>
  <c r="Y56" i="21"/>
  <c r="Z56" i="21" s="1"/>
  <c r="Y54" i="21"/>
  <c r="Z54" i="21" s="1"/>
  <c r="Y45" i="21"/>
  <c r="Z45" i="21" s="1"/>
  <c r="Y52" i="21"/>
  <c r="Z52" i="21" s="1"/>
  <c r="Y26" i="21"/>
  <c r="Z26" i="21" s="1"/>
  <c r="Y9" i="21"/>
  <c r="Z9" i="21" s="1"/>
  <c r="Y28" i="21"/>
  <c r="Z28" i="21" s="1"/>
  <c r="S13" i="21"/>
  <c r="T13" i="21" s="1"/>
  <c r="Y13" i="21" s="1"/>
  <c r="Z13" i="21" s="1"/>
  <c r="S49" i="21"/>
  <c r="T49" i="21" s="1"/>
  <c r="Y49" i="21"/>
  <c r="Z49" i="21" s="1"/>
  <c r="S61" i="21"/>
  <c r="T61" i="21" s="1"/>
  <c r="Y61" i="21" s="1"/>
  <c r="Z61" i="21" s="1"/>
  <c r="S47" i="21"/>
  <c r="T47" i="21" s="1"/>
  <c r="Y47" i="21" s="1"/>
  <c r="Z46" i="21"/>
  <c r="S18" i="21"/>
  <c r="T18" i="21" s="1"/>
  <c r="Y18" i="21" s="1"/>
  <c r="Z18" i="21" s="1"/>
  <c r="S59" i="21"/>
  <c r="T59" i="21" s="1"/>
  <c r="Y59" i="21" s="1"/>
  <c r="Z59" i="21" s="1"/>
  <c r="S6" i="21"/>
  <c r="T6" i="21" s="1"/>
  <c r="Y6" i="21" s="1"/>
  <c r="Z6" i="21" s="1"/>
  <c r="S39" i="21"/>
  <c r="T39" i="21" s="1"/>
  <c r="Y39" i="21" s="1"/>
  <c r="Z39" i="21" s="1"/>
  <c r="S41" i="21"/>
  <c r="T41" i="21" s="1"/>
  <c r="Y41" i="21" s="1"/>
  <c r="Z41" i="21" s="1"/>
  <c r="S40" i="21"/>
  <c r="T40" i="21" s="1"/>
  <c r="Y40" i="21" s="1"/>
  <c r="Z40" i="21" s="1"/>
  <c r="S62" i="21"/>
  <c r="T62" i="21" s="1"/>
  <c r="Y62" i="21" s="1"/>
  <c r="Z62" i="21" s="1"/>
  <c r="S36" i="21"/>
  <c r="T36" i="21" s="1"/>
  <c r="Y36" i="21" s="1"/>
  <c r="Y60" i="21"/>
  <c r="Z60" i="21" s="1"/>
  <c r="S16" i="21"/>
  <c r="T16" i="21" s="1"/>
  <c r="Y16" i="21" s="1"/>
  <c r="Z16" i="21" s="1"/>
  <c r="S3" i="21"/>
  <c r="T3" i="21" s="1"/>
  <c r="Y3" i="21" s="1"/>
  <c r="Z3" i="21" s="1"/>
  <c r="S22" i="21"/>
  <c r="T22" i="21" s="1"/>
  <c r="Y22" i="21" s="1"/>
  <c r="Z22" i="21" s="1"/>
  <c r="S12" i="21"/>
  <c r="T12" i="21" s="1"/>
  <c r="Y12" i="21" s="1"/>
  <c r="Z12" i="21" s="1"/>
  <c r="S43" i="21"/>
  <c r="T43" i="21" s="1"/>
  <c r="Y43" i="21"/>
  <c r="Z43" i="21" s="1"/>
  <c r="S37" i="21"/>
  <c r="T37" i="21" s="1"/>
  <c r="Y37" i="21" s="1"/>
  <c r="Z37" i="21" s="1"/>
  <c r="S29" i="21"/>
  <c r="T29" i="21" s="1"/>
  <c r="Y29" i="21" s="1"/>
  <c r="Z29" i="21" s="1"/>
  <c r="S32" i="21"/>
  <c r="T32" i="21" s="1"/>
  <c r="Y32" i="21" s="1"/>
  <c r="Z32" i="21" s="1"/>
  <c r="S57" i="21"/>
  <c r="T57" i="21" s="1"/>
  <c r="Y57" i="21" s="1"/>
  <c r="Z57" i="21" s="1"/>
  <c r="S51" i="21"/>
  <c r="T51" i="21" s="1"/>
  <c r="Y51" i="21" s="1"/>
  <c r="Z51" i="21" s="1"/>
  <c r="S2" i="21"/>
  <c r="T2" i="21" s="1"/>
  <c r="Y2" i="21" s="1"/>
  <c r="Z2" i="21" s="1"/>
  <c r="S55" i="21"/>
  <c r="T55" i="21" s="1"/>
  <c r="Y55" i="21"/>
  <c r="Z55" i="21" s="1"/>
  <c r="S23" i="21"/>
  <c r="T23" i="21" s="1"/>
  <c r="Y23" i="21" s="1"/>
  <c r="Z23" i="21" s="1"/>
  <c r="S17" i="21"/>
  <c r="T17" i="21" s="1"/>
  <c r="Y17" i="21" s="1"/>
  <c r="Z17" i="21" s="1"/>
  <c r="S27" i="21"/>
  <c r="T27" i="21" s="1"/>
  <c r="Y27" i="21" s="1"/>
  <c r="Z27" i="21" s="1"/>
  <c r="Y38" i="21"/>
  <c r="Z38" i="21" s="1"/>
  <c r="S14" i="21"/>
  <c r="T14" i="21" s="1"/>
  <c r="Y14" i="21" s="1"/>
  <c r="Z14" i="21" s="1"/>
  <c r="S53" i="21"/>
  <c r="T53" i="21" s="1"/>
  <c r="Y53" i="21"/>
  <c r="Z53" i="21" s="1"/>
  <c r="S19" i="21"/>
  <c r="T19" i="21" s="1"/>
  <c r="Y19" i="21" s="1"/>
  <c r="Z19" i="21" s="1"/>
  <c r="Y48" i="21"/>
  <c r="Z48" i="21" s="1"/>
  <c r="S25" i="21"/>
  <c r="T25" i="21" s="1"/>
  <c r="Y25" i="21" s="1"/>
  <c r="Z25" i="21" s="1"/>
  <c r="S7" i="21"/>
  <c r="T7" i="21" s="1"/>
  <c r="Y7" i="21"/>
  <c r="Z7" i="21" s="1"/>
  <c r="S50" i="21"/>
  <c r="T50" i="21" s="1"/>
  <c r="Y50" i="21" s="1"/>
  <c r="Z50" i="21" s="1"/>
  <c r="Y8" i="21"/>
  <c r="Z8" i="21" s="1"/>
  <c r="Y37" i="20"/>
  <c r="Z37" i="20" s="1"/>
  <c r="Y45" i="20"/>
  <c r="Z45" i="20" s="1"/>
  <c r="Y9" i="20"/>
  <c r="Z9" i="20" s="1"/>
  <c r="Y53" i="20"/>
  <c r="Z53" i="20" s="1"/>
  <c r="Y29" i="20"/>
  <c r="Z29" i="20" s="1"/>
  <c r="S38" i="20"/>
  <c r="T38" i="20" s="1"/>
  <c r="Y38" i="20" s="1"/>
  <c r="Z38" i="20" s="1"/>
  <c r="S18" i="20"/>
  <c r="T18" i="20" s="1"/>
  <c r="Y18" i="20" s="1"/>
  <c r="Z18" i="20" s="1"/>
  <c r="S10" i="20"/>
  <c r="T10" i="20" s="1"/>
  <c r="Y10" i="20" s="1"/>
  <c r="Z10" i="20" s="1"/>
  <c r="Z33" i="20"/>
  <c r="S4" i="20"/>
  <c r="T4" i="20" s="1"/>
  <c r="Y4" i="20"/>
  <c r="Z4" i="20" s="1"/>
  <c r="S50" i="20"/>
  <c r="T50" i="20" s="1"/>
  <c r="Y50" i="20" s="1"/>
  <c r="Z50" i="20" s="1"/>
  <c r="S42" i="20"/>
  <c r="T42" i="20" s="1"/>
  <c r="Y42" i="20" s="1"/>
  <c r="Z42" i="20" s="1"/>
  <c r="S26" i="20"/>
  <c r="T26" i="20" s="1"/>
  <c r="Y26" i="20" s="1"/>
  <c r="Z26" i="20" s="1"/>
  <c r="S36" i="20"/>
  <c r="T36" i="20" s="1"/>
  <c r="Y36" i="20" s="1"/>
  <c r="Z36" i="20" s="1"/>
  <c r="S56" i="20"/>
  <c r="T56" i="20" s="1"/>
  <c r="Y56" i="20" s="1"/>
  <c r="Z56" i="20" s="1"/>
  <c r="S12" i="20"/>
  <c r="T12" i="20" s="1"/>
  <c r="Y12" i="20" s="1"/>
  <c r="Z12" i="20" s="1"/>
  <c r="Y11" i="20"/>
  <c r="Z11" i="20" s="1"/>
  <c r="Y7" i="20"/>
  <c r="Z7" i="20" s="1"/>
  <c r="Y2" i="20"/>
  <c r="Z2" i="20" s="1"/>
  <c r="Y41" i="20"/>
  <c r="Z41" i="20" s="1"/>
  <c r="Y13" i="20"/>
  <c r="Z13" i="20" s="1"/>
  <c r="S58" i="20"/>
  <c r="T58" i="20" s="1"/>
  <c r="Y58" i="20" s="1"/>
  <c r="Z58" i="20" s="1"/>
  <c r="Y3" i="20"/>
  <c r="Z3" i="20" s="1"/>
  <c r="Y39" i="20"/>
  <c r="Z39" i="20" s="1"/>
  <c r="S44" i="20"/>
  <c r="T44" i="20" s="1"/>
  <c r="Y44" i="20" s="1"/>
  <c r="Z44" i="20" s="1"/>
  <c r="S59" i="20"/>
  <c r="T59" i="20" s="1"/>
  <c r="Y59" i="20" s="1"/>
  <c r="Z59" i="20" s="1"/>
  <c r="Y43" i="20"/>
  <c r="Z43" i="20" s="1"/>
  <c r="Y55" i="20"/>
  <c r="Z55" i="20" s="1"/>
  <c r="S52" i="20"/>
  <c r="T52" i="20" s="1"/>
  <c r="Y52" i="20" s="1"/>
  <c r="Z52" i="20" s="1"/>
  <c r="Y21" i="20"/>
  <c r="Z21" i="20" s="1"/>
  <c r="Y51" i="20"/>
  <c r="Z51" i="20" s="1"/>
  <c r="Y46" i="20"/>
  <c r="Z46" i="20" s="1"/>
  <c r="Y5" i="20"/>
  <c r="Z5" i="20" s="1"/>
  <c r="S30" i="20"/>
  <c r="T30" i="20" s="1"/>
  <c r="Y30" i="20" s="1"/>
  <c r="Z30" i="20" s="1"/>
  <c r="S20" i="20"/>
  <c r="T20" i="20" s="1"/>
  <c r="Y20" i="20" s="1"/>
  <c r="Z20" i="20" s="1"/>
  <c r="S16" i="20"/>
  <c r="T16" i="20" s="1"/>
  <c r="Y16" i="20" s="1"/>
  <c r="Z16" i="20" s="1"/>
  <c r="Y19" i="20"/>
  <c r="Z19" i="20" s="1"/>
  <c r="Y15" i="20"/>
  <c r="Z15" i="20" s="1"/>
  <c r="Y40" i="20"/>
  <c r="S54" i="20"/>
  <c r="T54" i="20" s="1"/>
  <c r="Y54" i="20" s="1"/>
  <c r="Z54" i="20" s="1"/>
  <c r="Y14" i="20"/>
  <c r="Z14" i="20" s="1"/>
  <c r="Y23" i="20"/>
  <c r="Z23" i="20" s="1"/>
  <c r="Y22" i="20"/>
  <c r="Z22" i="20" s="1"/>
  <c r="S24" i="20"/>
  <c r="T24" i="20" s="1"/>
  <c r="Y24" i="20" s="1"/>
  <c r="Z24" i="20" s="1"/>
  <c r="S35" i="20"/>
  <c r="T35" i="20" s="1"/>
  <c r="Y35" i="20" s="1"/>
  <c r="Z35" i="20" s="1"/>
  <c r="S34" i="20"/>
  <c r="T34" i="20" s="1"/>
  <c r="Y34" i="20" s="1"/>
  <c r="Z34" i="20" s="1"/>
  <c r="S28" i="20"/>
  <c r="T28" i="20" s="1"/>
  <c r="Y28" i="20"/>
  <c r="Z28" i="20" s="1"/>
  <c r="Y48" i="20"/>
  <c r="Z48" i="20" s="1"/>
  <c r="Y32" i="20"/>
  <c r="Z32" i="20" s="1"/>
  <c r="Y57" i="20"/>
  <c r="Z57" i="20" s="1"/>
  <c r="Y6" i="20"/>
  <c r="Z6" i="20" s="1"/>
  <c r="S8" i="20"/>
  <c r="T8" i="20" s="1"/>
  <c r="Y8" i="20" s="1"/>
  <c r="Z8" i="20" s="1"/>
  <c r="Y31" i="20"/>
  <c r="Z31" i="20" s="1"/>
  <c r="J45" i="18"/>
  <c r="X40" i="18"/>
  <c r="J44" i="18"/>
  <c r="X15" i="18"/>
  <c r="X11" i="18"/>
  <c r="X5" i="18"/>
  <c r="J56" i="18"/>
  <c r="N56" i="18" s="1"/>
  <c r="S56" i="18" s="1"/>
  <c r="T56" i="18" s="1"/>
  <c r="Y56" i="18" s="1"/>
  <c r="Z56" i="18" s="1"/>
  <c r="J32" i="18"/>
  <c r="N32" i="18" s="1"/>
  <c r="S32" i="18" s="1"/>
  <c r="T32" i="18" s="1"/>
  <c r="X34" i="18"/>
  <c r="X56" i="18"/>
  <c r="X3" i="18"/>
  <c r="X12" i="18"/>
  <c r="X4" i="18"/>
  <c r="J31" i="18"/>
  <c r="N31" i="18" s="1"/>
  <c r="S31" i="18" s="1"/>
  <c r="T31" i="18" s="1"/>
  <c r="J25" i="18"/>
  <c r="N25" i="18" s="1"/>
  <c r="S25" i="18" s="1"/>
  <c r="T25" i="18" s="1"/>
  <c r="J27" i="18"/>
  <c r="N27" i="18" s="1"/>
  <c r="X28" i="18"/>
  <c r="X29" i="18"/>
  <c r="J52" i="18"/>
  <c r="N52" i="18" s="1"/>
  <c r="S52" i="18" s="1"/>
  <c r="T52" i="18" s="1"/>
  <c r="J17" i="18"/>
  <c r="J15" i="18"/>
  <c r="N15" i="18" s="1"/>
  <c r="S15" i="18" s="1"/>
  <c r="T15" i="18" s="1"/>
  <c r="Y15" i="18" s="1"/>
  <c r="Z15" i="18" s="1"/>
  <c r="X6" i="18"/>
  <c r="X27" i="18"/>
  <c r="X36" i="18"/>
  <c r="X38" i="18"/>
  <c r="X52" i="18"/>
  <c r="J16" i="18"/>
  <c r="N16" i="18" s="1"/>
  <c r="N44" i="18"/>
  <c r="S44" i="18" s="1"/>
  <c r="T44" i="18" s="1"/>
  <c r="Y44" i="18" s="1"/>
  <c r="N7" i="18"/>
  <c r="S7" i="18" s="1"/>
  <c r="T7" i="18" s="1"/>
  <c r="J10" i="18"/>
  <c r="N10" i="18" s="1"/>
  <c r="J2" i="18"/>
  <c r="N2" i="18" s="1"/>
  <c r="J19" i="18"/>
  <c r="J21" i="18"/>
  <c r="N21" i="18" s="1"/>
  <c r="X22" i="18"/>
  <c r="X23" i="18"/>
  <c r="X50" i="18"/>
  <c r="X43" i="18"/>
  <c r="X42" i="18"/>
  <c r="X44" i="18"/>
  <c r="X30" i="18"/>
  <c r="X32" i="18"/>
  <c r="X55" i="18"/>
  <c r="X24" i="18"/>
  <c r="X26" i="18"/>
  <c r="X54" i="18"/>
  <c r="X18" i="18"/>
  <c r="X48" i="18"/>
  <c r="X49" i="18"/>
  <c r="J8" i="18"/>
  <c r="N8" i="18" s="1"/>
  <c r="X9" i="18"/>
  <c r="N9" i="18"/>
  <c r="J14" i="18"/>
  <c r="N14" i="18" s="1"/>
  <c r="J20" i="18"/>
  <c r="N20" i="18" s="1"/>
  <c r="X16" i="18"/>
  <c r="J37" i="18"/>
  <c r="J33" i="18"/>
  <c r="N33" i="18" s="1"/>
  <c r="X25" i="18"/>
  <c r="J29" i="18"/>
  <c r="N29" i="18" s="1"/>
  <c r="J54" i="18"/>
  <c r="N54" i="18" s="1"/>
  <c r="X33" i="18"/>
  <c r="N37" i="18"/>
  <c r="X41" i="18"/>
  <c r="J23" i="18"/>
  <c r="N23" i="18" s="1"/>
  <c r="J59" i="18"/>
  <c r="N59" i="18" s="1"/>
  <c r="J38" i="18"/>
  <c r="N38" i="18" s="1"/>
  <c r="S38" i="18" s="1"/>
  <c r="T38" i="18" s="1"/>
  <c r="J55" i="18"/>
  <c r="N55" i="18" s="1"/>
  <c r="S55" i="18" s="1"/>
  <c r="T55" i="18" s="1"/>
  <c r="J51" i="18"/>
  <c r="N51" i="18" s="1"/>
  <c r="N17" i="18"/>
  <c r="J24" i="18"/>
  <c r="N24" i="18" s="1"/>
  <c r="S24" i="18" s="1"/>
  <c r="T24" i="18" s="1"/>
  <c r="N45" i="18"/>
  <c r="S45" i="18" s="1"/>
  <c r="T45" i="18" s="1"/>
  <c r="J4" i="18"/>
  <c r="N4" i="18" s="1"/>
  <c r="N3" i="18"/>
  <c r="S3" i="18" s="1"/>
  <c r="T3" i="18" s="1"/>
  <c r="J43" i="18"/>
  <c r="N43" i="18" s="1"/>
  <c r="J47" i="18"/>
  <c r="N47" i="18" s="1"/>
  <c r="X7" i="18"/>
  <c r="J39" i="18"/>
  <c r="N39" i="18" s="1"/>
  <c r="X10" i="18"/>
  <c r="N13" i="18"/>
  <c r="X13" i="18"/>
  <c r="J26" i="18"/>
  <c r="N26" i="18" s="1"/>
  <c r="N19" i="18"/>
  <c r="S19" i="18" s="1"/>
  <c r="T19" i="18" s="1"/>
  <c r="X19" i="18"/>
  <c r="N50" i="18"/>
  <c r="J12" i="18"/>
  <c r="N12" i="18" s="1"/>
  <c r="J18" i="18"/>
  <c r="N18" i="18" s="1"/>
  <c r="N5" i="18"/>
  <c r="J6" i="18"/>
  <c r="N6" i="18" s="1"/>
  <c r="S6" i="18" s="1"/>
  <c r="T6" i="18" s="1"/>
  <c r="X14" i="18"/>
  <c r="X31" i="18"/>
  <c r="J35" i="18"/>
  <c r="N35" i="18" s="1"/>
  <c r="X37" i="18"/>
  <c r="X39" i="18"/>
  <c r="J11" i="18"/>
  <c r="N11" i="18" s="1"/>
  <c r="X35" i="18"/>
  <c r="J41" i="18"/>
  <c r="N41" i="18" s="1"/>
  <c r="X47" i="18"/>
  <c r="N49" i="18"/>
  <c r="X59" i="18"/>
  <c r="X51" i="18"/>
  <c r="X53" i="18"/>
  <c r="J34" i="18"/>
  <c r="N34" i="18" s="1"/>
  <c r="J36" i="18"/>
  <c r="N36" i="18" s="1"/>
  <c r="J28" i="18"/>
  <c r="N28" i="18" s="1"/>
  <c r="J30" i="18"/>
  <c r="N30" i="18" s="1"/>
  <c r="S30" i="18" s="1"/>
  <c r="T30" i="18" s="1"/>
  <c r="X57" i="18"/>
  <c r="N22" i="18"/>
  <c r="S22" i="18" s="1"/>
  <c r="T22" i="18" s="1"/>
  <c r="J40" i="18"/>
  <c r="N40" i="18" s="1"/>
  <c r="J42" i="18"/>
  <c r="N42" i="18" s="1"/>
  <c r="S42" i="18" s="1"/>
  <c r="T42" i="18" s="1"/>
  <c r="S49" i="18"/>
  <c r="T49" i="18" s="1"/>
  <c r="N57" i="18"/>
  <c r="S57" i="18" s="1"/>
  <c r="T57" i="18" s="1"/>
  <c r="X45" i="18"/>
  <c r="J53" i="18"/>
  <c r="N53" i="18" s="1"/>
  <c r="J5" i="18"/>
  <c r="J46" i="18"/>
  <c r="N46" i="18" s="1"/>
  <c r="S46" i="18" s="1"/>
  <c r="T46" i="18" s="1"/>
  <c r="J48" i="18"/>
  <c r="N48" i="18" s="1"/>
  <c r="S48" i="18" s="1"/>
  <c r="T48" i="18" s="1"/>
  <c r="J58" i="18"/>
  <c r="N58" i="18" s="1"/>
  <c r="S58" i="18" s="1"/>
  <c r="T58" i="18" s="1"/>
  <c r="W73" i="17"/>
  <c r="U73" i="17"/>
  <c r="R73" i="17"/>
  <c r="M73" i="17"/>
  <c r="L73" i="17"/>
  <c r="I73" i="17"/>
  <c r="G73" i="17"/>
  <c r="D73" i="17"/>
  <c r="E73" i="17" s="1"/>
  <c r="B73" i="17"/>
  <c r="W72" i="17"/>
  <c r="U72" i="17"/>
  <c r="R72" i="17"/>
  <c r="M72" i="17"/>
  <c r="L72" i="17"/>
  <c r="I72" i="17"/>
  <c r="G72" i="17"/>
  <c r="D72" i="17"/>
  <c r="E72" i="17" s="1"/>
  <c r="B72" i="17"/>
  <c r="W71" i="17"/>
  <c r="U71" i="17"/>
  <c r="R71" i="17"/>
  <c r="M71" i="17"/>
  <c r="L71" i="17"/>
  <c r="I71" i="17"/>
  <c r="G71" i="17"/>
  <c r="D71" i="17"/>
  <c r="E71" i="17" s="1"/>
  <c r="B71" i="17"/>
  <c r="W70" i="17"/>
  <c r="U70" i="17"/>
  <c r="R70" i="17"/>
  <c r="M70" i="17"/>
  <c r="L70" i="17"/>
  <c r="I70" i="17"/>
  <c r="G70" i="17"/>
  <c r="D70" i="17"/>
  <c r="E70" i="17" s="1"/>
  <c r="B70" i="17"/>
  <c r="W69" i="17"/>
  <c r="U69" i="17"/>
  <c r="R69" i="17"/>
  <c r="M69" i="17"/>
  <c r="L69" i="17"/>
  <c r="I69" i="17"/>
  <c r="G69" i="17"/>
  <c r="D69" i="17"/>
  <c r="E69" i="17" s="1"/>
  <c r="B69" i="17"/>
  <c r="W68" i="17"/>
  <c r="U68" i="17"/>
  <c r="R68" i="17"/>
  <c r="M68" i="17"/>
  <c r="L68" i="17"/>
  <c r="I68" i="17"/>
  <c r="G68" i="17"/>
  <c r="D68" i="17"/>
  <c r="E68" i="17" s="1"/>
  <c r="B68" i="17"/>
  <c r="W67" i="17"/>
  <c r="U67" i="17"/>
  <c r="R67" i="17"/>
  <c r="M67" i="17"/>
  <c r="L67" i="17"/>
  <c r="I67" i="17"/>
  <c r="G67" i="17"/>
  <c r="E67" i="17"/>
  <c r="D67" i="17"/>
  <c r="B67" i="17"/>
  <c r="W66" i="17"/>
  <c r="U66" i="17"/>
  <c r="R66" i="17"/>
  <c r="M66" i="17"/>
  <c r="L66" i="17"/>
  <c r="I66" i="17"/>
  <c r="G66" i="17"/>
  <c r="D66" i="17"/>
  <c r="E66" i="17" s="1"/>
  <c r="B66" i="17"/>
  <c r="W65" i="17"/>
  <c r="U65" i="17"/>
  <c r="R65" i="17"/>
  <c r="M65" i="17"/>
  <c r="L65" i="17"/>
  <c r="I65" i="17"/>
  <c r="G65" i="17"/>
  <c r="D65" i="17"/>
  <c r="E65" i="17" s="1"/>
  <c r="B65" i="17"/>
  <c r="W64" i="17"/>
  <c r="U64" i="17"/>
  <c r="R64" i="17"/>
  <c r="M64" i="17"/>
  <c r="L64" i="17"/>
  <c r="I64" i="17"/>
  <c r="G64" i="17"/>
  <c r="D64" i="17"/>
  <c r="E64" i="17" s="1"/>
  <c r="B64" i="17"/>
  <c r="W63" i="17"/>
  <c r="U63" i="17"/>
  <c r="R63" i="17"/>
  <c r="M63" i="17"/>
  <c r="L63" i="17"/>
  <c r="I63" i="17"/>
  <c r="G63" i="17"/>
  <c r="D63" i="17"/>
  <c r="E63" i="17" s="1"/>
  <c r="B63" i="17"/>
  <c r="W62" i="17"/>
  <c r="U62" i="17"/>
  <c r="R62" i="17"/>
  <c r="M62" i="17"/>
  <c r="L62" i="17"/>
  <c r="I62" i="17"/>
  <c r="J62" i="17" s="1"/>
  <c r="N62" i="17" s="1"/>
  <c r="G62" i="17"/>
  <c r="D62" i="17"/>
  <c r="E62" i="17" s="1"/>
  <c r="B62" i="17"/>
  <c r="W61" i="17"/>
  <c r="U61" i="17"/>
  <c r="R61" i="17"/>
  <c r="M61" i="17"/>
  <c r="L61" i="17"/>
  <c r="X61" i="17" s="1"/>
  <c r="I61" i="17"/>
  <c r="G61" i="17"/>
  <c r="D61" i="17"/>
  <c r="E61" i="17" s="1"/>
  <c r="B61" i="17"/>
  <c r="W60" i="17"/>
  <c r="U60" i="17"/>
  <c r="R60" i="17"/>
  <c r="M60" i="17"/>
  <c r="L60" i="17"/>
  <c r="X60" i="17" s="1"/>
  <c r="I60" i="17"/>
  <c r="J60" i="17" s="1"/>
  <c r="G60" i="17"/>
  <c r="D60" i="17"/>
  <c r="E60" i="17" s="1"/>
  <c r="B60" i="17"/>
  <c r="W59" i="17"/>
  <c r="U59" i="17"/>
  <c r="R59" i="17"/>
  <c r="M59" i="17"/>
  <c r="L59" i="17"/>
  <c r="X59" i="17" s="1"/>
  <c r="I59" i="17"/>
  <c r="G59" i="17"/>
  <c r="E59" i="17"/>
  <c r="D59" i="17"/>
  <c r="B59" i="17"/>
  <c r="W58" i="17"/>
  <c r="U58" i="17"/>
  <c r="R58" i="17"/>
  <c r="M58" i="17"/>
  <c r="L58" i="17"/>
  <c r="I58" i="17"/>
  <c r="J58" i="17" s="1"/>
  <c r="G58" i="17"/>
  <c r="D58" i="17"/>
  <c r="E58" i="17" s="1"/>
  <c r="B58" i="17"/>
  <c r="W57" i="17"/>
  <c r="U57" i="17"/>
  <c r="R57" i="17"/>
  <c r="M57" i="17"/>
  <c r="L57" i="17"/>
  <c r="I57" i="17"/>
  <c r="G57" i="17"/>
  <c r="D57" i="17"/>
  <c r="E57" i="17" s="1"/>
  <c r="B57" i="17"/>
  <c r="W56" i="17"/>
  <c r="U56" i="17"/>
  <c r="R56" i="17"/>
  <c r="M56" i="17"/>
  <c r="L56" i="17"/>
  <c r="I56" i="17"/>
  <c r="G56" i="17"/>
  <c r="D56" i="17"/>
  <c r="E56" i="17" s="1"/>
  <c r="B56" i="17"/>
  <c r="W55" i="17"/>
  <c r="U55" i="17"/>
  <c r="R55" i="17"/>
  <c r="M55" i="17"/>
  <c r="L55" i="17"/>
  <c r="I55" i="17"/>
  <c r="G55" i="17"/>
  <c r="D55" i="17"/>
  <c r="E55" i="17" s="1"/>
  <c r="B55" i="17"/>
  <c r="W54" i="17"/>
  <c r="U54" i="17"/>
  <c r="R54" i="17"/>
  <c r="M54" i="17"/>
  <c r="L54" i="17"/>
  <c r="I54" i="17"/>
  <c r="G54" i="17"/>
  <c r="D54" i="17"/>
  <c r="E54" i="17" s="1"/>
  <c r="B54" i="17"/>
  <c r="W53" i="17"/>
  <c r="U53" i="17"/>
  <c r="R53" i="17"/>
  <c r="M53" i="17"/>
  <c r="L53" i="17"/>
  <c r="I53" i="17"/>
  <c r="G53" i="17"/>
  <c r="D53" i="17"/>
  <c r="E53" i="17" s="1"/>
  <c r="B53" i="17"/>
  <c r="W52" i="17"/>
  <c r="U52" i="17"/>
  <c r="R52" i="17"/>
  <c r="M52" i="17"/>
  <c r="L52" i="17"/>
  <c r="I52" i="17"/>
  <c r="G52" i="17"/>
  <c r="D52" i="17"/>
  <c r="E52" i="17" s="1"/>
  <c r="B52" i="17"/>
  <c r="W51" i="17"/>
  <c r="U51" i="17"/>
  <c r="R51" i="17"/>
  <c r="M51" i="17"/>
  <c r="L51" i="17"/>
  <c r="I51" i="17"/>
  <c r="G51" i="17"/>
  <c r="D51" i="17"/>
  <c r="E51" i="17" s="1"/>
  <c r="B51" i="17"/>
  <c r="W50" i="17"/>
  <c r="U50" i="17"/>
  <c r="R50" i="17"/>
  <c r="M50" i="17"/>
  <c r="L50" i="17"/>
  <c r="I50" i="17"/>
  <c r="G50" i="17"/>
  <c r="D50" i="17"/>
  <c r="E50" i="17" s="1"/>
  <c r="J50" i="17" s="1"/>
  <c r="B50" i="17"/>
  <c r="W49" i="17"/>
  <c r="U49" i="17"/>
  <c r="R49" i="17"/>
  <c r="M49" i="17"/>
  <c r="L49" i="17"/>
  <c r="I49" i="17"/>
  <c r="G49" i="17"/>
  <c r="D49" i="17"/>
  <c r="E49" i="17" s="1"/>
  <c r="B49" i="17"/>
  <c r="W48" i="17"/>
  <c r="U48" i="17"/>
  <c r="R48" i="17"/>
  <c r="M48" i="17"/>
  <c r="L48" i="17"/>
  <c r="I48" i="17"/>
  <c r="G48" i="17"/>
  <c r="D48" i="17"/>
  <c r="E48" i="17" s="1"/>
  <c r="B48" i="17"/>
  <c r="W47" i="17"/>
  <c r="U47" i="17"/>
  <c r="R47" i="17"/>
  <c r="M47" i="17"/>
  <c r="L47" i="17"/>
  <c r="I47" i="17"/>
  <c r="G47" i="17"/>
  <c r="D47" i="17"/>
  <c r="E47" i="17" s="1"/>
  <c r="B47" i="17"/>
  <c r="W46" i="17"/>
  <c r="U46" i="17"/>
  <c r="R46" i="17"/>
  <c r="M46" i="17"/>
  <c r="L46" i="17"/>
  <c r="X46" i="17" s="1"/>
  <c r="I46" i="17"/>
  <c r="G46" i="17"/>
  <c r="D46" i="17"/>
  <c r="E46" i="17" s="1"/>
  <c r="B46" i="17"/>
  <c r="W45" i="17"/>
  <c r="U45" i="17"/>
  <c r="R45" i="17"/>
  <c r="M45" i="17"/>
  <c r="L45" i="17"/>
  <c r="I45" i="17"/>
  <c r="G45" i="17"/>
  <c r="D45" i="17"/>
  <c r="E45" i="17" s="1"/>
  <c r="B45" i="17"/>
  <c r="W44" i="17"/>
  <c r="U44" i="17"/>
  <c r="R44" i="17"/>
  <c r="M44" i="17"/>
  <c r="L44" i="17"/>
  <c r="I44" i="17"/>
  <c r="G44" i="17"/>
  <c r="D44" i="17"/>
  <c r="E44" i="17" s="1"/>
  <c r="J44" i="17" s="1"/>
  <c r="N44" i="17" s="1"/>
  <c r="B44" i="17"/>
  <c r="W43" i="17"/>
  <c r="U43" i="17"/>
  <c r="R43" i="17"/>
  <c r="M43" i="17"/>
  <c r="L43" i="17"/>
  <c r="I43" i="17"/>
  <c r="G43" i="17"/>
  <c r="D43" i="17"/>
  <c r="E43" i="17" s="1"/>
  <c r="B43" i="17"/>
  <c r="W42" i="17"/>
  <c r="U42" i="17"/>
  <c r="R42" i="17"/>
  <c r="M42" i="17"/>
  <c r="L42" i="17"/>
  <c r="I42" i="17"/>
  <c r="G42" i="17"/>
  <c r="D42" i="17"/>
  <c r="E42" i="17" s="1"/>
  <c r="B42" i="17"/>
  <c r="W41" i="17"/>
  <c r="U41" i="17"/>
  <c r="R41" i="17"/>
  <c r="M41" i="17"/>
  <c r="L41" i="17"/>
  <c r="I41" i="17"/>
  <c r="G41" i="17"/>
  <c r="D41" i="17"/>
  <c r="E41" i="17" s="1"/>
  <c r="B41" i="17"/>
  <c r="W40" i="17"/>
  <c r="U40" i="17"/>
  <c r="R40" i="17"/>
  <c r="M40" i="17"/>
  <c r="L40" i="17"/>
  <c r="I40" i="17"/>
  <c r="G40" i="17"/>
  <c r="D40" i="17"/>
  <c r="E40" i="17" s="1"/>
  <c r="B40" i="17"/>
  <c r="W39" i="17"/>
  <c r="U39" i="17"/>
  <c r="R39" i="17"/>
  <c r="M39" i="17"/>
  <c r="L39" i="17"/>
  <c r="I39" i="17"/>
  <c r="G39" i="17"/>
  <c r="D39" i="17"/>
  <c r="E39" i="17" s="1"/>
  <c r="B39" i="17"/>
  <c r="W38" i="17"/>
  <c r="U38" i="17"/>
  <c r="R38" i="17"/>
  <c r="M38" i="17"/>
  <c r="L38" i="17"/>
  <c r="I38" i="17"/>
  <c r="G38" i="17"/>
  <c r="D38" i="17"/>
  <c r="E38" i="17" s="1"/>
  <c r="J38" i="17" s="1"/>
  <c r="B38" i="17"/>
  <c r="W37" i="17"/>
  <c r="U37" i="17"/>
  <c r="R37" i="17"/>
  <c r="M37" i="17"/>
  <c r="L37" i="17"/>
  <c r="I37" i="17"/>
  <c r="G37" i="17"/>
  <c r="D37" i="17"/>
  <c r="E37" i="17" s="1"/>
  <c r="B37" i="17"/>
  <c r="W36" i="17"/>
  <c r="U36" i="17"/>
  <c r="R36" i="17"/>
  <c r="M36" i="17"/>
  <c r="L36" i="17"/>
  <c r="I36" i="17"/>
  <c r="G36" i="17"/>
  <c r="D36" i="17"/>
  <c r="E36" i="17" s="1"/>
  <c r="B36" i="17"/>
  <c r="W35" i="17"/>
  <c r="U35" i="17"/>
  <c r="R35" i="17"/>
  <c r="M35" i="17"/>
  <c r="L35" i="17"/>
  <c r="I35" i="17"/>
  <c r="G35" i="17"/>
  <c r="D35" i="17"/>
  <c r="E35" i="17" s="1"/>
  <c r="J35" i="17" s="1"/>
  <c r="B35" i="17"/>
  <c r="W34" i="17"/>
  <c r="U34" i="17"/>
  <c r="R34" i="17"/>
  <c r="M34" i="17"/>
  <c r="L34" i="17"/>
  <c r="I34" i="17"/>
  <c r="G34" i="17"/>
  <c r="D34" i="17"/>
  <c r="E34" i="17" s="1"/>
  <c r="B34" i="17"/>
  <c r="W33" i="17"/>
  <c r="U33" i="17"/>
  <c r="R33" i="17"/>
  <c r="M33" i="17"/>
  <c r="L33" i="17"/>
  <c r="I33" i="17"/>
  <c r="G33" i="17"/>
  <c r="D33" i="17"/>
  <c r="E33" i="17" s="1"/>
  <c r="B33" i="17"/>
  <c r="W32" i="17"/>
  <c r="U32" i="17"/>
  <c r="R32" i="17"/>
  <c r="M32" i="17"/>
  <c r="L32" i="17"/>
  <c r="I32" i="17"/>
  <c r="G32" i="17"/>
  <c r="D32" i="17"/>
  <c r="E32" i="17" s="1"/>
  <c r="B32" i="17"/>
  <c r="W31" i="17"/>
  <c r="U31" i="17"/>
  <c r="R31" i="17"/>
  <c r="M31" i="17"/>
  <c r="L31" i="17"/>
  <c r="I31" i="17"/>
  <c r="G31" i="17"/>
  <c r="D31" i="17"/>
  <c r="E31" i="17" s="1"/>
  <c r="B31" i="17"/>
  <c r="W30" i="17"/>
  <c r="U30" i="17"/>
  <c r="R30" i="17"/>
  <c r="M30" i="17"/>
  <c r="L30" i="17"/>
  <c r="I30" i="17"/>
  <c r="G30" i="17"/>
  <c r="D30" i="17"/>
  <c r="E30" i="17" s="1"/>
  <c r="B30" i="17"/>
  <c r="W29" i="17"/>
  <c r="U29" i="17"/>
  <c r="R29" i="17"/>
  <c r="M29" i="17"/>
  <c r="L29" i="17"/>
  <c r="I29" i="17"/>
  <c r="G29" i="17"/>
  <c r="D29" i="17"/>
  <c r="E29" i="17" s="1"/>
  <c r="B29" i="17"/>
  <c r="W28" i="17"/>
  <c r="U28" i="17"/>
  <c r="R28" i="17"/>
  <c r="M28" i="17"/>
  <c r="L28" i="17"/>
  <c r="I28" i="17"/>
  <c r="G28" i="17"/>
  <c r="D28" i="17"/>
  <c r="E28" i="17" s="1"/>
  <c r="B28" i="17"/>
  <c r="W27" i="17"/>
  <c r="U27" i="17"/>
  <c r="R27" i="17"/>
  <c r="M27" i="17"/>
  <c r="L27" i="17"/>
  <c r="I27" i="17"/>
  <c r="G27" i="17"/>
  <c r="D27" i="17"/>
  <c r="E27" i="17" s="1"/>
  <c r="B27" i="17"/>
  <c r="W26" i="17"/>
  <c r="U26" i="17"/>
  <c r="R26" i="17"/>
  <c r="M26" i="17"/>
  <c r="L26" i="17"/>
  <c r="I26" i="17"/>
  <c r="G26" i="17"/>
  <c r="D26" i="17"/>
  <c r="E26" i="17" s="1"/>
  <c r="B26" i="17"/>
  <c r="W25" i="17"/>
  <c r="U25" i="17"/>
  <c r="R25" i="17"/>
  <c r="M25" i="17"/>
  <c r="L25" i="17"/>
  <c r="I25" i="17"/>
  <c r="G25" i="17"/>
  <c r="D25" i="17"/>
  <c r="E25" i="17" s="1"/>
  <c r="B25" i="17"/>
  <c r="W24" i="17"/>
  <c r="U24" i="17"/>
  <c r="R24" i="17"/>
  <c r="M24" i="17"/>
  <c r="L24" i="17"/>
  <c r="I24" i="17"/>
  <c r="G24" i="17"/>
  <c r="D24" i="17"/>
  <c r="E24" i="17" s="1"/>
  <c r="B24" i="17"/>
  <c r="W23" i="17"/>
  <c r="U23" i="17"/>
  <c r="R23" i="17"/>
  <c r="M23" i="17"/>
  <c r="L23" i="17"/>
  <c r="I23" i="17"/>
  <c r="G23" i="17"/>
  <c r="D23" i="17"/>
  <c r="E23" i="17" s="1"/>
  <c r="B23" i="17"/>
  <c r="W22" i="17"/>
  <c r="U22" i="17"/>
  <c r="R22" i="17"/>
  <c r="M22" i="17"/>
  <c r="L22" i="17"/>
  <c r="I22" i="17"/>
  <c r="G22" i="17"/>
  <c r="D22" i="17"/>
  <c r="E22" i="17" s="1"/>
  <c r="B22" i="17"/>
  <c r="W21" i="17"/>
  <c r="U21" i="17"/>
  <c r="R21" i="17"/>
  <c r="M21" i="17"/>
  <c r="L21" i="17"/>
  <c r="I21" i="17"/>
  <c r="G21" i="17"/>
  <c r="D21" i="17"/>
  <c r="E21" i="17" s="1"/>
  <c r="B21" i="17"/>
  <c r="W20" i="17"/>
  <c r="U20" i="17"/>
  <c r="R20" i="17"/>
  <c r="M20" i="17"/>
  <c r="L20" i="17"/>
  <c r="X20" i="17" s="1"/>
  <c r="I20" i="17"/>
  <c r="G20" i="17"/>
  <c r="D20" i="17"/>
  <c r="E20" i="17" s="1"/>
  <c r="B20" i="17"/>
  <c r="W19" i="17"/>
  <c r="U19" i="17"/>
  <c r="R19" i="17"/>
  <c r="M19" i="17"/>
  <c r="L19" i="17"/>
  <c r="X19" i="17" s="1"/>
  <c r="I19" i="17"/>
  <c r="G19" i="17"/>
  <c r="D19" i="17"/>
  <c r="E19" i="17" s="1"/>
  <c r="B19" i="17"/>
  <c r="W18" i="17"/>
  <c r="U18" i="17"/>
  <c r="R18" i="17"/>
  <c r="M18" i="17"/>
  <c r="L18" i="17"/>
  <c r="I18" i="17"/>
  <c r="G18" i="17"/>
  <c r="D18" i="17"/>
  <c r="E18" i="17" s="1"/>
  <c r="B18" i="17"/>
  <c r="W17" i="17"/>
  <c r="U17" i="17"/>
  <c r="R17" i="17"/>
  <c r="M17" i="17"/>
  <c r="L17" i="17"/>
  <c r="I17" i="17"/>
  <c r="G17" i="17"/>
  <c r="D17" i="17"/>
  <c r="E17" i="17" s="1"/>
  <c r="B17" i="17"/>
  <c r="W16" i="17"/>
  <c r="U16" i="17"/>
  <c r="R16" i="17"/>
  <c r="M16" i="17"/>
  <c r="L16" i="17"/>
  <c r="I16" i="17"/>
  <c r="G16" i="17"/>
  <c r="D16" i="17"/>
  <c r="E16" i="17" s="1"/>
  <c r="B16" i="17"/>
  <c r="W15" i="17"/>
  <c r="U15" i="17"/>
  <c r="R15" i="17"/>
  <c r="M15" i="17"/>
  <c r="L15" i="17"/>
  <c r="I15" i="17"/>
  <c r="G15" i="17"/>
  <c r="D15" i="17"/>
  <c r="E15" i="17" s="1"/>
  <c r="B15" i="17"/>
  <c r="W14" i="17"/>
  <c r="U14" i="17"/>
  <c r="R14" i="17"/>
  <c r="M14" i="17"/>
  <c r="L14" i="17"/>
  <c r="I14" i="17"/>
  <c r="G14" i="17"/>
  <c r="D14" i="17"/>
  <c r="E14" i="17" s="1"/>
  <c r="J14" i="17" s="1"/>
  <c r="B14" i="17"/>
  <c r="W13" i="17"/>
  <c r="U13" i="17"/>
  <c r="R13" i="17"/>
  <c r="M13" i="17"/>
  <c r="L13" i="17"/>
  <c r="I13" i="17"/>
  <c r="G13" i="17"/>
  <c r="D13" i="17"/>
  <c r="E13" i="17" s="1"/>
  <c r="B13" i="17"/>
  <c r="W12" i="17"/>
  <c r="U12" i="17"/>
  <c r="R12" i="17"/>
  <c r="M12" i="17"/>
  <c r="L12" i="17"/>
  <c r="I12" i="17"/>
  <c r="G12" i="17"/>
  <c r="D12" i="17"/>
  <c r="E12" i="17" s="1"/>
  <c r="B12" i="17"/>
  <c r="W11" i="17"/>
  <c r="U11" i="17"/>
  <c r="R11" i="17"/>
  <c r="M11" i="17"/>
  <c r="L11" i="17"/>
  <c r="I11" i="17"/>
  <c r="G11" i="17"/>
  <c r="D11" i="17"/>
  <c r="E11" i="17" s="1"/>
  <c r="B11" i="17"/>
  <c r="W10" i="17"/>
  <c r="U10" i="17"/>
  <c r="R10" i="17"/>
  <c r="M10" i="17"/>
  <c r="L10" i="17"/>
  <c r="I10" i="17"/>
  <c r="G10" i="17"/>
  <c r="D10" i="17"/>
  <c r="E10" i="17" s="1"/>
  <c r="B10" i="17"/>
  <c r="W9" i="17"/>
  <c r="U9" i="17"/>
  <c r="R9" i="17"/>
  <c r="M9" i="17"/>
  <c r="L9" i="17"/>
  <c r="I9" i="17"/>
  <c r="G9" i="17"/>
  <c r="D9" i="17"/>
  <c r="E9" i="17" s="1"/>
  <c r="B9" i="17"/>
  <c r="W8" i="17"/>
  <c r="U8" i="17"/>
  <c r="R8" i="17"/>
  <c r="M8" i="17"/>
  <c r="L8" i="17"/>
  <c r="I8" i="17"/>
  <c r="G8" i="17"/>
  <c r="D8" i="17"/>
  <c r="E8" i="17" s="1"/>
  <c r="B8" i="17"/>
  <c r="W7" i="17"/>
  <c r="U7" i="17"/>
  <c r="R7" i="17"/>
  <c r="M7" i="17"/>
  <c r="L7" i="17"/>
  <c r="I7" i="17"/>
  <c r="G7" i="17"/>
  <c r="D7" i="17"/>
  <c r="E7" i="17" s="1"/>
  <c r="B7" i="17"/>
  <c r="W6" i="17"/>
  <c r="U6" i="17"/>
  <c r="R6" i="17"/>
  <c r="M6" i="17"/>
  <c r="L6" i="17"/>
  <c r="I6" i="17"/>
  <c r="G6" i="17"/>
  <c r="D6" i="17"/>
  <c r="E6" i="17" s="1"/>
  <c r="B6" i="17"/>
  <c r="W5" i="17"/>
  <c r="U5" i="17"/>
  <c r="R5" i="17"/>
  <c r="M5" i="17"/>
  <c r="L5" i="17"/>
  <c r="I5" i="17"/>
  <c r="G5" i="17"/>
  <c r="D5" i="17"/>
  <c r="E5" i="17" s="1"/>
  <c r="B5" i="17"/>
  <c r="W4" i="17"/>
  <c r="U4" i="17"/>
  <c r="R4" i="17"/>
  <c r="M4" i="17"/>
  <c r="L4" i="17"/>
  <c r="I4" i="17"/>
  <c r="G4" i="17"/>
  <c r="D4" i="17"/>
  <c r="E4" i="17" s="1"/>
  <c r="B4" i="17"/>
  <c r="W3" i="17"/>
  <c r="U3" i="17"/>
  <c r="R3" i="17"/>
  <c r="M3" i="17"/>
  <c r="L3" i="17"/>
  <c r="I3" i="17"/>
  <c r="G3" i="17"/>
  <c r="D3" i="17"/>
  <c r="E3" i="17" s="1"/>
  <c r="B3" i="17"/>
  <c r="W2" i="17"/>
  <c r="U2" i="17"/>
  <c r="R2" i="17"/>
  <c r="M2" i="17"/>
  <c r="L2" i="17"/>
  <c r="I2" i="17"/>
  <c r="G2" i="17"/>
  <c r="D2" i="17"/>
  <c r="E2" i="17" s="1"/>
  <c r="B2" i="17"/>
  <c r="Z40" i="20" l="1"/>
  <c r="Z86" i="20" s="1"/>
  <c r="Y86" i="20"/>
  <c r="Z36" i="21"/>
  <c r="Y67" i="21"/>
  <c r="Z47" i="21"/>
  <c r="Y32" i="18"/>
  <c r="Z32" i="18" s="1"/>
  <c r="J59" i="17"/>
  <c r="X18" i="17"/>
  <c r="J30" i="17"/>
  <c r="X5" i="17"/>
  <c r="X30" i="17"/>
  <c r="X55" i="17"/>
  <c r="X63" i="17"/>
  <c r="J20" i="17"/>
  <c r="J24" i="17"/>
  <c r="J40" i="17"/>
  <c r="N40" i="17" s="1"/>
  <c r="J47" i="17"/>
  <c r="N47" i="17" s="1"/>
  <c r="J52" i="17"/>
  <c r="N52" i="17" s="1"/>
  <c r="S52" i="17" s="1"/>
  <c r="T52" i="17" s="1"/>
  <c r="J18" i="17"/>
  <c r="X6" i="17"/>
  <c r="X31" i="17"/>
  <c r="X56" i="17"/>
  <c r="X64" i="17"/>
  <c r="J5" i="17"/>
  <c r="X33" i="17"/>
  <c r="J2" i="17"/>
  <c r="N2" i="17" s="1"/>
  <c r="J53" i="17"/>
  <c r="N53" i="17" s="1"/>
  <c r="X62" i="17"/>
  <c r="Y52" i="18"/>
  <c r="Z52" i="18" s="1"/>
  <c r="S21" i="18"/>
  <c r="T21" i="18" s="1"/>
  <c r="Y21" i="18" s="1"/>
  <c r="Z21" i="18" s="1"/>
  <c r="Y7" i="18"/>
  <c r="Z7" i="18" s="1"/>
  <c r="S26" i="18"/>
  <c r="T26" i="18" s="1"/>
  <c r="Y26" i="18" s="1"/>
  <c r="Z26" i="18" s="1"/>
  <c r="S51" i="18"/>
  <c r="S8" i="18"/>
  <c r="T8" i="18" s="1"/>
  <c r="Y8" i="18" s="1"/>
  <c r="Z8" i="18" s="1"/>
  <c r="S53" i="18"/>
  <c r="T53" i="18" s="1"/>
  <c r="Y53" i="18" s="1"/>
  <c r="Z53" i="18" s="1"/>
  <c r="S41" i="18"/>
  <c r="T41" i="18" s="1"/>
  <c r="Y41" i="18" s="1"/>
  <c r="Z41" i="18" s="1"/>
  <c r="S4" i="18"/>
  <c r="T4" i="18" s="1"/>
  <c r="Y4" i="18" s="1"/>
  <c r="Z4" i="18" s="1"/>
  <c r="S20" i="18"/>
  <c r="T20" i="18" s="1"/>
  <c r="Y20" i="18" s="1"/>
  <c r="Z20" i="18" s="1"/>
  <c r="S14" i="18"/>
  <c r="T14" i="18" s="1"/>
  <c r="Y14" i="18" s="1"/>
  <c r="Z14" i="18" s="1"/>
  <c r="S39" i="18"/>
  <c r="T39" i="18" s="1"/>
  <c r="Y39" i="18" s="1"/>
  <c r="Z39" i="18" s="1"/>
  <c r="S35" i="18"/>
  <c r="T35" i="18" s="1"/>
  <c r="Y35" i="18" s="1"/>
  <c r="Z35" i="18" s="1"/>
  <c r="S59" i="18"/>
  <c r="T59" i="18" s="1"/>
  <c r="Y59" i="18" s="1"/>
  <c r="Z59" i="18" s="1"/>
  <c r="S23" i="18"/>
  <c r="T23" i="18" s="1"/>
  <c r="Y23" i="18" s="1"/>
  <c r="Z23" i="18" s="1"/>
  <c r="Z44" i="18"/>
  <c r="S43" i="18"/>
  <c r="T43" i="18" s="1"/>
  <c r="Y43" i="18" s="1"/>
  <c r="Z43" i="18" s="1"/>
  <c r="Y49" i="18"/>
  <c r="Z49" i="18" s="1"/>
  <c r="Y31" i="18"/>
  <c r="Z31" i="18" s="1"/>
  <c r="Y24" i="18"/>
  <c r="Z24" i="18" s="1"/>
  <c r="S40" i="18"/>
  <c r="T40" i="18" s="1"/>
  <c r="Y40" i="18" s="1"/>
  <c r="Z40" i="18" s="1"/>
  <c r="S47" i="18"/>
  <c r="T47" i="18" s="1"/>
  <c r="Y47" i="18" s="1"/>
  <c r="Y22" i="18"/>
  <c r="Z22" i="18" s="1"/>
  <c r="S13" i="18"/>
  <c r="T13" i="18" s="1"/>
  <c r="Y13" i="18" s="1"/>
  <c r="Z13" i="18" s="1"/>
  <c r="S54" i="18"/>
  <c r="T54" i="18" s="1"/>
  <c r="Y54" i="18" s="1"/>
  <c r="Z54" i="18" s="1"/>
  <c r="S28" i="18"/>
  <c r="T28" i="18" s="1"/>
  <c r="Y28" i="18" s="1"/>
  <c r="Z28" i="18" s="1"/>
  <c r="Y42" i="18"/>
  <c r="Z42" i="18" s="1"/>
  <c r="Y38" i="18"/>
  <c r="Z38" i="18" s="1"/>
  <c r="S10" i="18"/>
  <c r="T10" i="18" s="1"/>
  <c r="Y10" i="18" s="1"/>
  <c r="Z10" i="18" s="1"/>
  <c r="S33" i="18"/>
  <c r="T33" i="18" s="1"/>
  <c r="Y33" i="18" s="1"/>
  <c r="S9" i="18"/>
  <c r="T9" i="18" s="1"/>
  <c r="Y9" i="18" s="1"/>
  <c r="Z9" i="18" s="1"/>
  <c r="S17" i="18"/>
  <c r="T17" i="18" s="1"/>
  <c r="Y17" i="18" s="1"/>
  <c r="Z17" i="18" s="1"/>
  <c r="S16" i="18"/>
  <c r="T16" i="18" s="1"/>
  <c r="Y16" i="18" s="1"/>
  <c r="Z16" i="18" s="1"/>
  <c r="S36" i="18"/>
  <c r="T36" i="18" s="1"/>
  <c r="Y36" i="18" s="1"/>
  <c r="Z36" i="18" s="1"/>
  <c r="Y46" i="18"/>
  <c r="Z46" i="18" s="1"/>
  <c r="Y3" i="18"/>
  <c r="Z3" i="18" s="1"/>
  <c r="Y58" i="18"/>
  <c r="Z58" i="18" s="1"/>
  <c r="S18" i="18"/>
  <c r="T18" i="18" s="1"/>
  <c r="Y18" i="18" s="1"/>
  <c r="Z18" i="18" s="1"/>
  <c r="S2" i="18"/>
  <c r="T2" i="18" s="1"/>
  <c r="Y2" i="18" s="1"/>
  <c r="Z2" i="18" s="1"/>
  <c r="Y25" i="18"/>
  <c r="Z25" i="18" s="1"/>
  <c r="Y48" i="18"/>
  <c r="Z48" i="18" s="1"/>
  <c r="S37" i="18"/>
  <c r="T37" i="18" s="1"/>
  <c r="Y37" i="18" s="1"/>
  <c r="Z37" i="18" s="1"/>
  <c r="Y45" i="18"/>
  <c r="Z45" i="18" s="1"/>
  <c r="S29" i="18"/>
  <c r="T29" i="18" s="1"/>
  <c r="Y29" i="18" s="1"/>
  <c r="Z29" i="18" s="1"/>
  <c r="S5" i="18"/>
  <c r="T5" i="18" s="1"/>
  <c r="Y5" i="18" s="1"/>
  <c r="Z5" i="18" s="1"/>
  <c r="Y6" i="18"/>
  <c r="Z6" i="18" s="1"/>
  <c r="S11" i="18"/>
  <c r="T11" i="18" s="1"/>
  <c r="Y11" i="18" s="1"/>
  <c r="Z11" i="18" s="1"/>
  <c r="Y30" i="18"/>
  <c r="Z30" i="18" s="1"/>
  <c r="Y55" i="18"/>
  <c r="Z55" i="18" s="1"/>
  <c r="S50" i="18"/>
  <c r="T50" i="18" s="1"/>
  <c r="Y50" i="18" s="1"/>
  <c r="Z50" i="18" s="1"/>
  <c r="Y19" i="18"/>
  <c r="Z19" i="18" s="1"/>
  <c r="Y57" i="18"/>
  <c r="Z57" i="18" s="1"/>
  <c r="S12" i="18"/>
  <c r="T12" i="18" s="1"/>
  <c r="Y12" i="18"/>
  <c r="Z12" i="18" s="1"/>
  <c r="S27" i="18"/>
  <c r="T27" i="18" s="1"/>
  <c r="Y27" i="18" s="1"/>
  <c r="Z27" i="18" s="1"/>
  <c r="S34" i="18"/>
  <c r="T34" i="18" s="1"/>
  <c r="Y34" i="18" s="1"/>
  <c r="Z34" i="18" s="1"/>
  <c r="X13" i="17"/>
  <c r="X51" i="17"/>
  <c r="X50" i="17"/>
  <c r="X52" i="17"/>
  <c r="X24" i="17"/>
  <c r="X25" i="17"/>
  <c r="X23" i="17"/>
  <c r="X48" i="17"/>
  <c r="X2" i="17"/>
  <c r="J25" i="17"/>
  <c r="X4" i="17"/>
  <c r="J12" i="17"/>
  <c r="N12" i="17" s="1"/>
  <c r="S12" i="17" s="1"/>
  <c r="T12" i="17" s="1"/>
  <c r="N14" i="17"/>
  <c r="J73" i="17"/>
  <c r="N73" i="17" s="1"/>
  <c r="S73" i="17" s="1"/>
  <c r="T73" i="17" s="1"/>
  <c r="X3" i="17"/>
  <c r="J8" i="17"/>
  <c r="N8" i="17" s="1"/>
  <c r="J10" i="17"/>
  <c r="N10" i="17" s="1"/>
  <c r="S10" i="17" s="1"/>
  <c r="T10" i="17" s="1"/>
  <c r="J11" i="17"/>
  <c r="N11" i="17" s="1"/>
  <c r="X12" i="17"/>
  <c r="J41" i="17"/>
  <c r="N41" i="17" s="1"/>
  <c r="X42" i="17"/>
  <c r="X43" i="17"/>
  <c r="J68" i="17"/>
  <c r="J71" i="17"/>
  <c r="X73" i="17"/>
  <c r="X70" i="17"/>
  <c r="J23" i="17"/>
  <c r="N23" i="17" s="1"/>
  <c r="J54" i="17"/>
  <c r="N54" i="17" s="1"/>
  <c r="S54" i="17" s="1"/>
  <c r="T54" i="17" s="1"/>
  <c r="J48" i="17"/>
  <c r="N48" i="17" s="1"/>
  <c r="S48" i="17" s="1"/>
  <c r="T48" i="17" s="1"/>
  <c r="Y48" i="17" s="1"/>
  <c r="Z48" i="17" s="1"/>
  <c r="J15" i="17"/>
  <c r="N15" i="17" s="1"/>
  <c r="S15" i="17" s="1"/>
  <c r="T15" i="17" s="1"/>
  <c r="Y15" i="17" s="1"/>
  <c r="Z15" i="17" s="1"/>
  <c r="N49" i="17"/>
  <c r="S49" i="17" s="1"/>
  <c r="T49" i="17" s="1"/>
  <c r="X11" i="17"/>
  <c r="J37" i="17"/>
  <c r="N37" i="17" s="1"/>
  <c r="X41" i="17"/>
  <c r="J6" i="17"/>
  <c r="N6" i="17" s="1"/>
  <c r="S6" i="17" s="1"/>
  <c r="T6" i="17" s="1"/>
  <c r="X9" i="17"/>
  <c r="J32" i="17"/>
  <c r="N32" i="17" s="1"/>
  <c r="S32" i="17" s="1"/>
  <c r="T32" i="17" s="1"/>
  <c r="X37" i="17"/>
  <c r="X68" i="17"/>
  <c r="J49" i="17"/>
  <c r="J17" i="17"/>
  <c r="N17" i="17" s="1"/>
  <c r="J7" i="17"/>
  <c r="N7" i="17" s="1"/>
  <c r="J66" i="17"/>
  <c r="N66" i="17" s="1"/>
  <c r="J67" i="17"/>
  <c r="N67" i="17" s="1"/>
  <c r="X7" i="17"/>
  <c r="J26" i="17"/>
  <c r="N26" i="17" s="1"/>
  <c r="X35" i="17"/>
  <c r="J56" i="17"/>
  <c r="N56" i="17" s="1"/>
  <c r="S56" i="17" s="1"/>
  <c r="T56" i="17" s="1"/>
  <c r="Y56" i="17" s="1"/>
  <c r="Z56" i="17" s="1"/>
  <c r="J64" i="17"/>
  <c r="N64" i="17" s="1"/>
  <c r="S64" i="17" s="1"/>
  <c r="T64" i="17" s="1"/>
  <c r="X66" i="17"/>
  <c r="X67" i="17"/>
  <c r="N38" i="17"/>
  <c r="S38" i="17" s="1"/>
  <c r="T38" i="17" s="1"/>
  <c r="X69" i="17"/>
  <c r="X65" i="17"/>
  <c r="X21" i="17"/>
  <c r="X27" i="17"/>
  <c r="X29" i="17"/>
  <c r="N18" i="17"/>
  <c r="N35" i="17"/>
  <c r="S35" i="17" s="1"/>
  <c r="T35" i="17" s="1"/>
  <c r="S44" i="17"/>
  <c r="T44" i="17" s="1"/>
  <c r="N50" i="17"/>
  <c r="N60" i="17"/>
  <c r="S14" i="17"/>
  <c r="T14" i="17" s="1"/>
  <c r="N20" i="17"/>
  <c r="S20" i="17" s="1"/>
  <c r="T20" i="17" s="1"/>
  <c r="Y20" i="17" s="1"/>
  <c r="Z20" i="17" s="1"/>
  <c r="N24" i="17"/>
  <c r="S24" i="17" s="1"/>
  <c r="T24" i="17" s="1"/>
  <c r="Y24" i="17" s="1"/>
  <c r="Z24" i="17" s="1"/>
  <c r="X45" i="17"/>
  <c r="X57" i="17"/>
  <c r="X58" i="17"/>
  <c r="N68" i="17"/>
  <c r="X10" i="17"/>
  <c r="X39" i="17"/>
  <c r="X40" i="17"/>
  <c r="X49" i="17"/>
  <c r="X15" i="17"/>
  <c r="X17" i="17"/>
  <c r="X34" i="17"/>
  <c r="N5" i="17"/>
  <c r="J34" i="17"/>
  <c r="N34" i="17" s="1"/>
  <c r="J28" i="17"/>
  <c r="J51" i="17"/>
  <c r="N51" i="17" s="1"/>
  <c r="J22" i="17"/>
  <c r="N22" i="17" s="1"/>
  <c r="J36" i="17"/>
  <c r="N36" i="17" s="1"/>
  <c r="J9" i="17"/>
  <c r="N9" i="17" s="1"/>
  <c r="X36" i="17"/>
  <c r="X47" i="17"/>
  <c r="J39" i="17"/>
  <c r="N39" i="17" s="1"/>
  <c r="S39" i="17" s="1"/>
  <c r="T39" i="17" s="1"/>
  <c r="S8" i="17"/>
  <c r="T8" i="17" s="1"/>
  <c r="J72" i="17"/>
  <c r="N72" i="17" s="1"/>
  <c r="J19" i="17"/>
  <c r="N19" i="17" s="1"/>
  <c r="N30" i="17"/>
  <c r="S30" i="17" s="1"/>
  <c r="T30" i="17" s="1"/>
  <c r="J33" i="17"/>
  <c r="N33" i="17" s="1"/>
  <c r="X44" i="17"/>
  <c r="X53" i="17"/>
  <c r="N71" i="17"/>
  <c r="X71" i="17"/>
  <c r="X54" i="17"/>
  <c r="S62" i="17"/>
  <c r="T62" i="17" s="1"/>
  <c r="J3" i="17"/>
  <c r="N3" i="17" s="1"/>
  <c r="S3" i="17" s="1"/>
  <c r="T3" i="17" s="1"/>
  <c r="J13" i="17"/>
  <c r="N13" i="17" s="1"/>
  <c r="S13" i="17" s="1"/>
  <c r="T13" i="17" s="1"/>
  <c r="J16" i="17"/>
  <c r="N16" i="17" s="1"/>
  <c r="N25" i="17"/>
  <c r="N28" i="17"/>
  <c r="J55" i="17"/>
  <c r="N55" i="17" s="1"/>
  <c r="S55" i="17" s="1"/>
  <c r="T55" i="17" s="1"/>
  <c r="X72" i="17"/>
  <c r="X16" i="17"/>
  <c r="X22" i="17"/>
  <c r="J42" i="17"/>
  <c r="N42" i="17" s="1"/>
  <c r="S42" i="17" s="1"/>
  <c r="T42" i="17" s="1"/>
  <c r="J4" i="17"/>
  <c r="J46" i="17"/>
  <c r="N46" i="17" s="1"/>
  <c r="J65" i="17"/>
  <c r="N65" i="17" s="1"/>
  <c r="X26" i="17"/>
  <c r="J43" i="17"/>
  <c r="N43" i="17" s="1"/>
  <c r="S43" i="17" s="1"/>
  <c r="T43" i="17" s="1"/>
  <c r="J69" i="17"/>
  <c r="N69" i="17" s="1"/>
  <c r="J45" i="17"/>
  <c r="N45" i="17" s="1"/>
  <c r="S45" i="17" s="1"/>
  <c r="T45" i="17" s="1"/>
  <c r="J29" i="17"/>
  <c r="N29" i="17" s="1"/>
  <c r="N59" i="17"/>
  <c r="N4" i="17"/>
  <c r="S4" i="17" s="1"/>
  <c r="T4" i="17" s="1"/>
  <c r="X14" i="17"/>
  <c r="X28" i="17"/>
  <c r="J57" i="17"/>
  <c r="N57" i="17" s="1"/>
  <c r="S57" i="17" s="1"/>
  <c r="T57" i="17" s="1"/>
  <c r="J70" i="17"/>
  <c r="J21" i="17"/>
  <c r="N21" i="17" s="1"/>
  <c r="X32" i="17"/>
  <c r="N58" i="17"/>
  <c r="S58" i="17" s="1"/>
  <c r="T58" i="17" s="1"/>
  <c r="X38" i="17"/>
  <c r="X8" i="17"/>
  <c r="J27" i="17"/>
  <c r="N27" i="17" s="1"/>
  <c r="S27" i="17" s="1"/>
  <c r="T27" i="17" s="1"/>
  <c r="J31" i="17"/>
  <c r="N31" i="17" s="1"/>
  <c r="J61" i="17"/>
  <c r="N61" i="17" s="1"/>
  <c r="J63" i="17"/>
  <c r="N63" i="17" s="1"/>
  <c r="S63" i="17" s="1"/>
  <c r="T63" i="17" s="1"/>
  <c r="N70" i="17"/>
  <c r="M7" i="16"/>
  <c r="W72" i="16"/>
  <c r="U72" i="16"/>
  <c r="R72" i="16"/>
  <c r="M72" i="16"/>
  <c r="L72" i="16"/>
  <c r="I72" i="16"/>
  <c r="G72" i="16"/>
  <c r="D72" i="16"/>
  <c r="E72" i="16" s="1"/>
  <c r="B72" i="16"/>
  <c r="W71" i="16"/>
  <c r="U71" i="16"/>
  <c r="R71" i="16"/>
  <c r="M71" i="16"/>
  <c r="L71" i="16"/>
  <c r="I71" i="16"/>
  <c r="G71" i="16"/>
  <c r="D71" i="16"/>
  <c r="E71" i="16" s="1"/>
  <c r="B71" i="16"/>
  <c r="W70" i="16"/>
  <c r="U70" i="16"/>
  <c r="R70" i="16"/>
  <c r="M70" i="16"/>
  <c r="L70" i="16"/>
  <c r="I70" i="16"/>
  <c r="G70" i="16"/>
  <c r="D70" i="16"/>
  <c r="E70" i="16" s="1"/>
  <c r="B70" i="16"/>
  <c r="W69" i="16"/>
  <c r="U69" i="16"/>
  <c r="R69" i="16"/>
  <c r="M69" i="16"/>
  <c r="L69" i="16"/>
  <c r="I69" i="16"/>
  <c r="G69" i="16"/>
  <c r="D69" i="16"/>
  <c r="E69" i="16" s="1"/>
  <c r="B69" i="16"/>
  <c r="W68" i="16"/>
  <c r="U68" i="16"/>
  <c r="R68" i="16"/>
  <c r="M68" i="16"/>
  <c r="L68" i="16"/>
  <c r="I68" i="16"/>
  <c r="G68" i="16"/>
  <c r="D68" i="16"/>
  <c r="E68" i="16" s="1"/>
  <c r="B68" i="16"/>
  <c r="W67" i="16"/>
  <c r="U67" i="16"/>
  <c r="R67" i="16"/>
  <c r="M67" i="16"/>
  <c r="L67" i="16"/>
  <c r="I67" i="16"/>
  <c r="G67" i="16"/>
  <c r="D67" i="16"/>
  <c r="E67" i="16" s="1"/>
  <c r="B67" i="16"/>
  <c r="W66" i="16"/>
  <c r="U66" i="16"/>
  <c r="R66" i="16"/>
  <c r="M66" i="16"/>
  <c r="L66" i="16"/>
  <c r="I66" i="16"/>
  <c r="G66" i="16"/>
  <c r="D66" i="16"/>
  <c r="E66" i="16" s="1"/>
  <c r="B66" i="16"/>
  <c r="W65" i="16"/>
  <c r="U65" i="16"/>
  <c r="R65" i="16"/>
  <c r="M65" i="16"/>
  <c r="L65" i="16"/>
  <c r="I65" i="16"/>
  <c r="G65" i="16"/>
  <c r="D65" i="16"/>
  <c r="E65" i="16" s="1"/>
  <c r="B65" i="16"/>
  <c r="W64" i="16"/>
  <c r="U64" i="16"/>
  <c r="R64" i="16"/>
  <c r="M64" i="16"/>
  <c r="L64" i="16"/>
  <c r="I64" i="16"/>
  <c r="G64" i="16"/>
  <c r="D64" i="16"/>
  <c r="E64" i="16" s="1"/>
  <c r="B64" i="16"/>
  <c r="W63" i="16"/>
  <c r="U63" i="16"/>
  <c r="R63" i="16"/>
  <c r="M63" i="16"/>
  <c r="L63" i="16"/>
  <c r="I63" i="16"/>
  <c r="G63" i="16"/>
  <c r="D63" i="16"/>
  <c r="E63" i="16" s="1"/>
  <c r="B63" i="16"/>
  <c r="W62" i="16"/>
  <c r="U62" i="16"/>
  <c r="R62" i="16"/>
  <c r="M62" i="16"/>
  <c r="L62" i="16"/>
  <c r="I62" i="16"/>
  <c r="G62" i="16"/>
  <c r="D62" i="16"/>
  <c r="E62" i="16" s="1"/>
  <c r="B62" i="16"/>
  <c r="W61" i="16"/>
  <c r="U61" i="16"/>
  <c r="R61" i="16"/>
  <c r="M61" i="16"/>
  <c r="L61" i="16"/>
  <c r="I61" i="16"/>
  <c r="G61" i="16"/>
  <c r="D61" i="16"/>
  <c r="E61" i="16" s="1"/>
  <c r="B61" i="16"/>
  <c r="W60" i="16"/>
  <c r="U60" i="16"/>
  <c r="R60" i="16"/>
  <c r="M60" i="16"/>
  <c r="L60" i="16"/>
  <c r="I60" i="16"/>
  <c r="G60" i="16"/>
  <c r="D60" i="16"/>
  <c r="E60" i="16" s="1"/>
  <c r="B60" i="16"/>
  <c r="W59" i="16"/>
  <c r="U59" i="16"/>
  <c r="R59" i="16"/>
  <c r="M59" i="16"/>
  <c r="L59" i="16"/>
  <c r="I59" i="16"/>
  <c r="G59" i="16"/>
  <c r="D59" i="16"/>
  <c r="E59" i="16" s="1"/>
  <c r="B59" i="16"/>
  <c r="W58" i="16"/>
  <c r="U58" i="16"/>
  <c r="R58" i="16"/>
  <c r="M58" i="16"/>
  <c r="L58" i="16"/>
  <c r="I58" i="16"/>
  <c r="G58" i="16"/>
  <c r="D58" i="16"/>
  <c r="E58" i="16" s="1"/>
  <c r="B58" i="16"/>
  <c r="W57" i="16"/>
  <c r="U57" i="16"/>
  <c r="R57" i="16"/>
  <c r="M57" i="16"/>
  <c r="L57" i="16"/>
  <c r="I57" i="16"/>
  <c r="G57" i="16"/>
  <c r="D57" i="16"/>
  <c r="E57" i="16" s="1"/>
  <c r="B57" i="16"/>
  <c r="W56" i="16"/>
  <c r="U56" i="16"/>
  <c r="R56" i="16"/>
  <c r="M56" i="16"/>
  <c r="L56" i="16"/>
  <c r="I56" i="16"/>
  <c r="G56" i="16"/>
  <c r="D56" i="16"/>
  <c r="E56" i="16" s="1"/>
  <c r="B56" i="16"/>
  <c r="W55" i="16"/>
  <c r="U55" i="16"/>
  <c r="R55" i="16"/>
  <c r="M55" i="16"/>
  <c r="L55" i="16"/>
  <c r="I55" i="16"/>
  <c r="G55" i="16"/>
  <c r="D55" i="16"/>
  <c r="E55" i="16" s="1"/>
  <c r="B55" i="16"/>
  <c r="W54" i="16"/>
  <c r="U54" i="16"/>
  <c r="R54" i="16"/>
  <c r="M54" i="16"/>
  <c r="L54" i="16"/>
  <c r="I54" i="16"/>
  <c r="G54" i="16"/>
  <c r="D54" i="16"/>
  <c r="E54" i="16" s="1"/>
  <c r="B54" i="16"/>
  <c r="W53" i="16"/>
  <c r="U53" i="16"/>
  <c r="R53" i="16"/>
  <c r="M53" i="16"/>
  <c r="L53" i="16"/>
  <c r="N53" i="16" s="1"/>
  <c r="I53" i="16"/>
  <c r="G53" i="16"/>
  <c r="D53" i="16"/>
  <c r="E53" i="16" s="1"/>
  <c r="J53" i="16" s="1"/>
  <c r="B53" i="16"/>
  <c r="W52" i="16"/>
  <c r="U52" i="16"/>
  <c r="R52" i="16"/>
  <c r="M52" i="16"/>
  <c r="L52" i="16"/>
  <c r="I52" i="16"/>
  <c r="G52" i="16"/>
  <c r="D52" i="16"/>
  <c r="E52" i="16" s="1"/>
  <c r="B52" i="16"/>
  <c r="W51" i="16"/>
  <c r="U51" i="16"/>
  <c r="R51" i="16"/>
  <c r="M51" i="16"/>
  <c r="L51" i="16"/>
  <c r="I51" i="16"/>
  <c r="G51" i="16"/>
  <c r="D51" i="16"/>
  <c r="E51" i="16" s="1"/>
  <c r="B51" i="16"/>
  <c r="W50" i="16"/>
  <c r="U50" i="16"/>
  <c r="R50" i="16"/>
  <c r="M50" i="16"/>
  <c r="L50" i="16"/>
  <c r="I50" i="16"/>
  <c r="G50" i="16"/>
  <c r="D50" i="16"/>
  <c r="E50" i="16" s="1"/>
  <c r="B50" i="16"/>
  <c r="W49" i="16"/>
  <c r="U49" i="16"/>
  <c r="R49" i="16"/>
  <c r="M49" i="16"/>
  <c r="L49" i="16"/>
  <c r="I49" i="16"/>
  <c r="G49" i="16"/>
  <c r="D49" i="16"/>
  <c r="E49" i="16" s="1"/>
  <c r="B49" i="16"/>
  <c r="W48" i="16"/>
  <c r="U48" i="16"/>
  <c r="R48" i="16"/>
  <c r="M48" i="16"/>
  <c r="L48" i="16"/>
  <c r="I48" i="16"/>
  <c r="G48" i="16"/>
  <c r="D48" i="16"/>
  <c r="E48" i="16" s="1"/>
  <c r="B48" i="16"/>
  <c r="W47" i="16"/>
  <c r="U47" i="16"/>
  <c r="R47" i="16"/>
  <c r="M47" i="16"/>
  <c r="L47" i="16"/>
  <c r="I47" i="16"/>
  <c r="G47" i="16"/>
  <c r="D47" i="16"/>
  <c r="E47" i="16" s="1"/>
  <c r="B47" i="16"/>
  <c r="W46" i="16"/>
  <c r="U46" i="16"/>
  <c r="R46" i="16"/>
  <c r="M46" i="16"/>
  <c r="L46" i="16"/>
  <c r="I46" i="16"/>
  <c r="G46" i="16"/>
  <c r="D46" i="16"/>
  <c r="E46" i="16" s="1"/>
  <c r="B46" i="16"/>
  <c r="W45" i="16"/>
  <c r="U45" i="16"/>
  <c r="R45" i="16"/>
  <c r="M45" i="16"/>
  <c r="L45" i="16"/>
  <c r="I45" i="16"/>
  <c r="G45" i="16"/>
  <c r="D45" i="16"/>
  <c r="E45" i="16" s="1"/>
  <c r="B45" i="16"/>
  <c r="W44" i="16"/>
  <c r="U44" i="16"/>
  <c r="R44" i="16"/>
  <c r="M44" i="16"/>
  <c r="L44" i="16"/>
  <c r="I44" i="16"/>
  <c r="G44" i="16"/>
  <c r="D44" i="16"/>
  <c r="E44" i="16" s="1"/>
  <c r="B44" i="16"/>
  <c r="W43" i="16"/>
  <c r="U43" i="16"/>
  <c r="R43" i="16"/>
  <c r="M43" i="16"/>
  <c r="L43" i="16"/>
  <c r="I43" i="16"/>
  <c r="G43" i="16"/>
  <c r="D43" i="16"/>
  <c r="E43" i="16" s="1"/>
  <c r="B43" i="16"/>
  <c r="W42" i="16"/>
  <c r="U42" i="16"/>
  <c r="R42" i="16"/>
  <c r="M42" i="16"/>
  <c r="L42" i="16"/>
  <c r="I42" i="16"/>
  <c r="G42" i="16"/>
  <c r="D42" i="16"/>
  <c r="E42" i="16" s="1"/>
  <c r="B42" i="16"/>
  <c r="W41" i="16"/>
  <c r="U41" i="16"/>
  <c r="R41" i="16"/>
  <c r="M41" i="16"/>
  <c r="L41" i="16"/>
  <c r="I41" i="16"/>
  <c r="G41" i="16"/>
  <c r="D41" i="16"/>
  <c r="E41" i="16" s="1"/>
  <c r="B41" i="16"/>
  <c r="W40" i="16"/>
  <c r="U40" i="16"/>
  <c r="R40" i="16"/>
  <c r="M40" i="16"/>
  <c r="L40" i="16"/>
  <c r="I40" i="16"/>
  <c r="G40" i="16"/>
  <c r="D40" i="16"/>
  <c r="E40" i="16" s="1"/>
  <c r="B40" i="16"/>
  <c r="W39" i="16"/>
  <c r="U39" i="16"/>
  <c r="R39" i="16"/>
  <c r="M39" i="16"/>
  <c r="L39" i="16"/>
  <c r="I39" i="16"/>
  <c r="G39" i="16"/>
  <c r="D39" i="16"/>
  <c r="E39" i="16" s="1"/>
  <c r="B39" i="16"/>
  <c r="W38" i="16"/>
  <c r="U38" i="16"/>
  <c r="R38" i="16"/>
  <c r="M38" i="16"/>
  <c r="L38" i="16"/>
  <c r="I38" i="16"/>
  <c r="G38" i="16"/>
  <c r="D38" i="16"/>
  <c r="E38" i="16" s="1"/>
  <c r="B38" i="16"/>
  <c r="W37" i="16"/>
  <c r="U37" i="16"/>
  <c r="R37" i="16"/>
  <c r="M37" i="16"/>
  <c r="L37" i="16"/>
  <c r="I37" i="16"/>
  <c r="G37" i="16"/>
  <c r="D37" i="16"/>
  <c r="E37" i="16" s="1"/>
  <c r="B37" i="16"/>
  <c r="W36" i="16"/>
  <c r="X36" i="16" s="1"/>
  <c r="U36" i="16"/>
  <c r="R36" i="16"/>
  <c r="M36" i="16"/>
  <c r="L36" i="16"/>
  <c r="I36" i="16"/>
  <c r="G36" i="16"/>
  <c r="D36" i="16"/>
  <c r="E36" i="16" s="1"/>
  <c r="B36" i="16"/>
  <c r="W35" i="16"/>
  <c r="U35" i="16"/>
  <c r="R35" i="16"/>
  <c r="M35" i="16"/>
  <c r="L35" i="16"/>
  <c r="I35" i="16"/>
  <c r="G35" i="16"/>
  <c r="D35" i="16"/>
  <c r="E35" i="16" s="1"/>
  <c r="B35" i="16"/>
  <c r="W34" i="16"/>
  <c r="U34" i="16"/>
  <c r="R34" i="16"/>
  <c r="M34" i="16"/>
  <c r="L34" i="16"/>
  <c r="I34" i="16"/>
  <c r="G34" i="16"/>
  <c r="D34" i="16"/>
  <c r="E34" i="16" s="1"/>
  <c r="B34" i="16"/>
  <c r="W33" i="16"/>
  <c r="U33" i="16"/>
  <c r="R33" i="16"/>
  <c r="M33" i="16"/>
  <c r="L33" i="16"/>
  <c r="I33" i="16"/>
  <c r="G33" i="16"/>
  <c r="D33" i="16"/>
  <c r="E33" i="16" s="1"/>
  <c r="B33" i="16"/>
  <c r="W32" i="16"/>
  <c r="U32" i="16"/>
  <c r="R32" i="16"/>
  <c r="M32" i="16"/>
  <c r="L32" i="16"/>
  <c r="I32" i="16"/>
  <c r="G32" i="16"/>
  <c r="D32" i="16"/>
  <c r="E32" i="16" s="1"/>
  <c r="B32" i="16"/>
  <c r="W31" i="16"/>
  <c r="U31" i="16"/>
  <c r="R31" i="16"/>
  <c r="M31" i="16"/>
  <c r="L31" i="16"/>
  <c r="I31" i="16"/>
  <c r="G31" i="16"/>
  <c r="D31" i="16"/>
  <c r="E31" i="16" s="1"/>
  <c r="B31" i="16"/>
  <c r="W30" i="16"/>
  <c r="U30" i="16"/>
  <c r="R30" i="16"/>
  <c r="M30" i="16"/>
  <c r="L30" i="16"/>
  <c r="I30" i="16"/>
  <c r="G30" i="16"/>
  <c r="D30" i="16"/>
  <c r="E30" i="16" s="1"/>
  <c r="B30" i="16"/>
  <c r="W29" i="16"/>
  <c r="U29" i="16"/>
  <c r="R29" i="16"/>
  <c r="M29" i="16"/>
  <c r="L29" i="16"/>
  <c r="I29" i="16"/>
  <c r="G29" i="16"/>
  <c r="D29" i="16"/>
  <c r="E29" i="16" s="1"/>
  <c r="B29" i="16"/>
  <c r="W28" i="16"/>
  <c r="U28" i="16"/>
  <c r="R28" i="16"/>
  <c r="M28" i="16"/>
  <c r="L28" i="16"/>
  <c r="I28" i="16"/>
  <c r="G28" i="16"/>
  <c r="D28" i="16"/>
  <c r="E28" i="16" s="1"/>
  <c r="B28" i="16"/>
  <c r="W27" i="16"/>
  <c r="U27" i="16"/>
  <c r="R27" i="16"/>
  <c r="M27" i="16"/>
  <c r="L27" i="16"/>
  <c r="I27" i="16"/>
  <c r="G27" i="16"/>
  <c r="D27" i="16"/>
  <c r="E27" i="16" s="1"/>
  <c r="B27" i="16"/>
  <c r="W26" i="16"/>
  <c r="U26" i="16"/>
  <c r="R26" i="16"/>
  <c r="M26" i="16"/>
  <c r="L26" i="16"/>
  <c r="I26" i="16"/>
  <c r="G26" i="16"/>
  <c r="D26" i="16"/>
  <c r="E26" i="16" s="1"/>
  <c r="B26" i="16"/>
  <c r="W25" i="16"/>
  <c r="U25" i="16"/>
  <c r="R25" i="16"/>
  <c r="M25" i="16"/>
  <c r="L25" i="16"/>
  <c r="I25" i="16"/>
  <c r="G25" i="16"/>
  <c r="D25" i="16"/>
  <c r="E25" i="16" s="1"/>
  <c r="B25" i="16"/>
  <c r="W24" i="16"/>
  <c r="U24" i="16"/>
  <c r="R24" i="16"/>
  <c r="M24" i="16"/>
  <c r="L24" i="16"/>
  <c r="I24" i="16"/>
  <c r="G24" i="16"/>
  <c r="D24" i="16"/>
  <c r="E24" i="16" s="1"/>
  <c r="B24" i="16"/>
  <c r="W23" i="16"/>
  <c r="U23" i="16"/>
  <c r="R23" i="16"/>
  <c r="M23" i="16"/>
  <c r="L23" i="16"/>
  <c r="I23" i="16"/>
  <c r="G23" i="16"/>
  <c r="D23" i="16"/>
  <c r="E23" i="16" s="1"/>
  <c r="B23" i="16"/>
  <c r="W22" i="16"/>
  <c r="U22" i="16"/>
  <c r="R22" i="16"/>
  <c r="M22" i="16"/>
  <c r="L22" i="16"/>
  <c r="I22" i="16"/>
  <c r="G22" i="16"/>
  <c r="D22" i="16"/>
  <c r="E22" i="16" s="1"/>
  <c r="B22" i="16"/>
  <c r="W21" i="16"/>
  <c r="U21" i="16"/>
  <c r="R21" i="16"/>
  <c r="M21" i="16"/>
  <c r="L21" i="16"/>
  <c r="I21" i="16"/>
  <c r="G21" i="16"/>
  <c r="D21" i="16"/>
  <c r="E21" i="16" s="1"/>
  <c r="B21" i="16"/>
  <c r="W20" i="16"/>
  <c r="U20" i="16"/>
  <c r="R20" i="16"/>
  <c r="M20" i="16"/>
  <c r="L20" i="16"/>
  <c r="I20" i="16"/>
  <c r="G20" i="16"/>
  <c r="D20" i="16"/>
  <c r="E20" i="16" s="1"/>
  <c r="B20" i="16"/>
  <c r="W19" i="16"/>
  <c r="U19" i="16"/>
  <c r="R19" i="16"/>
  <c r="M19" i="16"/>
  <c r="L19" i="16"/>
  <c r="I19" i="16"/>
  <c r="G19" i="16"/>
  <c r="D19" i="16"/>
  <c r="E19" i="16" s="1"/>
  <c r="B19" i="16"/>
  <c r="W18" i="16"/>
  <c r="U18" i="16"/>
  <c r="R18" i="16"/>
  <c r="M18" i="16"/>
  <c r="L18" i="16"/>
  <c r="I18" i="16"/>
  <c r="G18" i="16"/>
  <c r="D18" i="16"/>
  <c r="E18" i="16" s="1"/>
  <c r="B18" i="16"/>
  <c r="W17" i="16"/>
  <c r="U17" i="16"/>
  <c r="R17" i="16"/>
  <c r="M17" i="16"/>
  <c r="L17" i="16"/>
  <c r="I17" i="16"/>
  <c r="G17" i="16"/>
  <c r="D17" i="16"/>
  <c r="E17" i="16" s="1"/>
  <c r="B17" i="16"/>
  <c r="W16" i="16"/>
  <c r="U16" i="16"/>
  <c r="R16" i="16"/>
  <c r="M16" i="16"/>
  <c r="L16" i="16"/>
  <c r="I16" i="16"/>
  <c r="G16" i="16"/>
  <c r="D16" i="16"/>
  <c r="E16" i="16" s="1"/>
  <c r="B16" i="16"/>
  <c r="W15" i="16"/>
  <c r="U15" i="16"/>
  <c r="R15" i="16"/>
  <c r="M15" i="16"/>
  <c r="L15" i="16"/>
  <c r="I15" i="16"/>
  <c r="G15" i="16"/>
  <c r="D15" i="16"/>
  <c r="E15" i="16" s="1"/>
  <c r="B15" i="16"/>
  <c r="W14" i="16"/>
  <c r="U14" i="16"/>
  <c r="R14" i="16"/>
  <c r="M14" i="16"/>
  <c r="L14" i="16"/>
  <c r="I14" i="16"/>
  <c r="G14" i="16"/>
  <c r="D14" i="16"/>
  <c r="E14" i="16" s="1"/>
  <c r="B14" i="16"/>
  <c r="W13" i="16"/>
  <c r="U13" i="16"/>
  <c r="R13" i="16"/>
  <c r="M13" i="16"/>
  <c r="L13" i="16"/>
  <c r="I13" i="16"/>
  <c r="G13" i="16"/>
  <c r="D13" i="16"/>
  <c r="E13" i="16" s="1"/>
  <c r="B13" i="16"/>
  <c r="W12" i="16"/>
  <c r="U12" i="16"/>
  <c r="R12" i="16"/>
  <c r="M12" i="16"/>
  <c r="L12" i="16"/>
  <c r="I12" i="16"/>
  <c r="G12" i="16"/>
  <c r="D12" i="16"/>
  <c r="E12" i="16" s="1"/>
  <c r="B12" i="16"/>
  <c r="W11" i="16"/>
  <c r="U11" i="16"/>
  <c r="R11" i="16"/>
  <c r="M11" i="16"/>
  <c r="L11" i="16"/>
  <c r="I11" i="16"/>
  <c r="G11" i="16"/>
  <c r="D11" i="16"/>
  <c r="E11" i="16" s="1"/>
  <c r="J11" i="16" s="1"/>
  <c r="B11" i="16"/>
  <c r="W10" i="16"/>
  <c r="U10" i="16"/>
  <c r="R10" i="16"/>
  <c r="M10" i="16"/>
  <c r="L10" i="16"/>
  <c r="I10" i="16"/>
  <c r="G10" i="16"/>
  <c r="D10" i="16"/>
  <c r="E10" i="16" s="1"/>
  <c r="B10" i="16"/>
  <c r="W9" i="16"/>
  <c r="U9" i="16"/>
  <c r="R9" i="16"/>
  <c r="M9" i="16"/>
  <c r="L9" i="16"/>
  <c r="I9" i="16"/>
  <c r="G9" i="16"/>
  <c r="D9" i="16"/>
  <c r="E9" i="16" s="1"/>
  <c r="B9" i="16"/>
  <c r="W8" i="16"/>
  <c r="U8" i="16"/>
  <c r="R8" i="16"/>
  <c r="M8" i="16"/>
  <c r="L8" i="16"/>
  <c r="I8" i="16"/>
  <c r="G8" i="16"/>
  <c r="D8" i="16"/>
  <c r="E8" i="16" s="1"/>
  <c r="B8" i="16"/>
  <c r="W7" i="16"/>
  <c r="U7" i="16"/>
  <c r="R7" i="16"/>
  <c r="L7" i="16"/>
  <c r="I7" i="16"/>
  <c r="G7" i="16"/>
  <c r="D7" i="16"/>
  <c r="E7" i="16" s="1"/>
  <c r="B7" i="16"/>
  <c r="W6" i="16"/>
  <c r="U6" i="16"/>
  <c r="R6" i="16"/>
  <c r="M6" i="16"/>
  <c r="L6" i="16"/>
  <c r="I6" i="16"/>
  <c r="G6" i="16"/>
  <c r="D6" i="16"/>
  <c r="E6" i="16" s="1"/>
  <c r="B6" i="16"/>
  <c r="W5" i="16"/>
  <c r="U5" i="16"/>
  <c r="R5" i="16"/>
  <c r="M5" i="16"/>
  <c r="L5" i="16"/>
  <c r="I5" i="16"/>
  <c r="G5" i="16"/>
  <c r="D5" i="16"/>
  <c r="E5" i="16" s="1"/>
  <c r="B5" i="16"/>
  <c r="W4" i="16"/>
  <c r="U4" i="16"/>
  <c r="R4" i="16"/>
  <c r="M4" i="16"/>
  <c r="L4" i="16"/>
  <c r="I4" i="16"/>
  <c r="G4" i="16"/>
  <c r="D4" i="16"/>
  <c r="E4" i="16" s="1"/>
  <c r="B4" i="16"/>
  <c r="W3" i="16"/>
  <c r="U3" i="16"/>
  <c r="R3" i="16"/>
  <c r="M3" i="16"/>
  <c r="L3" i="16"/>
  <c r="I3" i="16"/>
  <c r="G3" i="16"/>
  <c r="D3" i="16"/>
  <c r="E3" i="16" s="1"/>
  <c r="B3" i="16"/>
  <c r="W2" i="16"/>
  <c r="U2" i="16"/>
  <c r="R2" i="16"/>
  <c r="M2" i="16"/>
  <c r="L2" i="16"/>
  <c r="I2" i="16"/>
  <c r="G2" i="16"/>
  <c r="D2" i="16"/>
  <c r="E2" i="16" s="1"/>
  <c r="B2" i="16"/>
  <c r="Z67" i="21" l="1"/>
  <c r="Z33" i="18"/>
  <c r="T51" i="18"/>
  <c r="Y51" i="18" s="1"/>
  <c r="Y62" i="17"/>
  <c r="Z62" i="17" s="1"/>
  <c r="N49" i="16"/>
  <c r="N61" i="16"/>
  <c r="S61" i="16" s="1"/>
  <c r="T61" i="16" s="1"/>
  <c r="N11" i="16"/>
  <c r="J5" i="16"/>
  <c r="N5" i="16"/>
  <c r="X15" i="16"/>
  <c r="J49" i="16"/>
  <c r="J61" i="16"/>
  <c r="Z47" i="18"/>
  <c r="Y12" i="17"/>
  <c r="Z12" i="17" s="1"/>
  <c r="Y35" i="17"/>
  <c r="Z35" i="17" s="1"/>
  <c r="S18" i="17"/>
  <c r="T18" i="17" s="1"/>
  <c r="Y18" i="17" s="1"/>
  <c r="Z18" i="17" s="1"/>
  <c r="S2" i="17"/>
  <c r="T2" i="17" s="1"/>
  <c r="Y2" i="17" s="1"/>
  <c r="Z2" i="17" s="1"/>
  <c r="S68" i="17"/>
  <c r="T68" i="17" s="1"/>
  <c r="Y68" i="17" s="1"/>
  <c r="Z68" i="17" s="1"/>
  <c r="S11" i="17"/>
  <c r="T11" i="17" s="1"/>
  <c r="Y38" i="17"/>
  <c r="Z38" i="17" s="1"/>
  <c r="Y11" i="17"/>
  <c r="Z11" i="17" s="1"/>
  <c r="S26" i="17"/>
  <c r="T26" i="17" s="1"/>
  <c r="Y26" i="17" s="1"/>
  <c r="Z26" i="17" s="1"/>
  <c r="Y32" i="17"/>
  <c r="Z32" i="17" s="1"/>
  <c r="S37" i="17"/>
  <c r="T37" i="17" s="1"/>
  <c r="Y37" i="17" s="1"/>
  <c r="Z37" i="17" s="1"/>
  <c r="S67" i="17"/>
  <c r="T67" i="17" s="1"/>
  <c r="Y67" i="17" s="1"/>
  <c r="Z67" i="17" s="1"/>
  <c r="S50" i="17"/>
  <c r="T50" i="17" s="1"/>
  <c r="Y50" i="17" s="1"/>
  <c r="Z50" i="17" s="1"/>
  <c r="Y8" i="17"/>
  <c r="Z8" i="17" s="1"/>
  <c r="Y14" i="17"/>
  <c r="Z14" i="17" s="1"/>
  <c r="S60" i="17"/>
  <c r="T60" i="17" s="1"/>
  <c r="Y60" i="17" s="1"/>
  <c r="Z60" i="17" s="1"/>
  <c r="Y49" i="17"/>
  <c r="Z49" i="17" s="1"/>
  <c r="S72" i="17"/>
  <c r="T72" i="17" s="1"/>
  <c r="Y72" i="17" s="1"/>
  <c r="Z72" i="17" s="1"/>
  <c r="S34" i="17"/>
  <c r="T34" i="17" s="1"/>
  <c r="Y34" i="17" s="1"/>
  <c r="Z34" i="17" s="1"/>
  <c r="S46" i="17"/>
  <c r="T46" i="17" s="1"/>
  <c r="Y46" i="17" s="1"/>
  <c r="Z46" i="17" s="1"/>
  <c r="S36" i="17"/>
  <c r="T36" i="17" s="1"/>
  <c r="Y36" i="17" s="1"/>
  <c r="Z36" i="17" s="1"/>
  <c r="Y30" i="17"/>
  <c r="Z30" i="17" s="1"/>
  <c r="S5" i="17"/>
  <c r="T5" i="17" s="1"/>
  <c r="Y5" i="17" s="1"/>
  <c r="Z5" i="17" s="1"/>
  <c r="Y6" i="17"/>
  <c r="Z6" i="17" s="1"/>
  <c r="Y52" i="17"/>
  <c r="Z52" i="17" s="1"/>
  <c r="Y13" i="17"/>
  <c r="Z13" i="17" s="1"/>
  <c r="S7" i="17"/>
  <c r="T7" i="17" s="1"/>
  <c r="Y7" i="17" s="1"/>
  <c r="Z7" i="17" s="1"/>
  <c r="S51" i="17"/>
  <c r="T51" i="17" s="1"/>
  <c r="Y51" i="17" s="1"/>
  <c r="Z51" i="17" s="1"/>
  <c r="S59" i="17"/>
  <c r="T59" i="17" s="1"/>
  <c r="Y59" i="17" s="1"/>
  <c r="Z59" i="17" s="1"/>
  <c r="Y3" i="17"/>
  <c r="Z3" i="17" s="1"/>
  <c r="S21" i="17"/>
  <c r="T21" i="17" s="1"/>
  <c r="Y21" i="17" s="1"/>
  <c r="Z21" i="17" s="1"/>
  <c r="S65" i="17"/>
  <c r="T65" i="17" s="1"/>
  <c r="Y65" i="17" s="1"/>
  <c r="Z65" i="17" s="1"/>
  <c r="S53" i="17"/>
  <c r="T53" i="17" s="1"/>
  <c r="Y53" i="17" s="1"/>
  <c r="Z53" i="17" s="1"/>
  <c r="Y27" i="17"/>
  <c r="Z27" i="17" s="1"/>
  <c r="Y43" i="17"/>
  <c r="Z43" i="17" s="1"/>
  <c r="S33" i="17"/>
  <c r="T33" i="17" s="1"/>
  <c r="Y33" i="17" s="1"/>
  <c r="Z33" i="17" s="1"/>
  <c r="Y57" i="17"/>
  <c r="Z57" i="17" s="1"/>
  <c r="S29" i="17"/>
  <c r="T29" i="17" s="1"/>
  <c r="Y29" i="17" s="1"/>
  <c r="Z29" i="17" s="1"/>
  <c r="S9" i="17"/>
  <c r="T9" i="17" s="1"/>
  <c r="Y9" i="17" s="1"/>
  <c r="Z9" i="17" s="1"/>
  <c r="Y42" i="17"/>
  <c r="Z42" i="17" s="1"/>
  <c r="Y39" i="17"/>
  <c r="Z39" i="17" s="1"/>
  <c r="Y55" i="17"/>
  <c r="Z55" i="17" s="1"/>
  <c r="Y63" i="17"/>
  <c r="Z63" i="17" s="1"/>
  <c r="Y4" i="17"/>
  <c r="Z4" i="17" s="1"/>
  <c r="S66" i="17"/>
  <c r="T66" i="17" s="1"/>
  <c r="Y66" i="17" s="1"/>
  <c r="Z66" i="17" s="1"/>
  <c r="Y10" i="17"/>
  <c r="Z10" i="17" s="1"/>
  <c r="S41" i="17"/>
  <c r="T41" i="17" s="1"/>
  <c r="Y41" i="17" s="1"/>
  <c r="Z41" i="17" s="1"/>
  <c r="Y73" i="17"/>
  <c r="Z73" i="17" s="1"/>
  <c r="S28" i="17"/>
  <c r="T28" i="17" s="1"/>
  <c r="Y28" i="17" s="1"/>
  <c r="Z28" i="17" s="1"/>
  <c r="Y58" i="17"/>
  <c r="Z58" i="17" s="1"/>
  <c r="S22" i="17"/>
  <c r="T22" i="17" s="1"/>
  <c r="Y22" i="17" s="1"/>
  <c r="Z22" i="17" s="1"/>
  <c r="S61" i="17"/>
  <c r="T61" i="17" s="1"/>
  <c r="Y61" i="17" s="1"/>
  <c r="Z61" i="17" s="1"/>
  <c r="Y44" i="17"/>
  <c r="S23" i="17"/>
  <c r="T23" i="17" s="1"/>
  <c r="Y23" i="17" s="1"/>
  <c r="Z23" i="17" s="1"/>
  <c r="S19" i="17"/>
  <c r="T19" i="17" s="1"/>
  <c r="Y19" i="17" s="1"/>
  <c r="Z19" i="17" s="1"/>
  <c r="S71" i="17"/>
  <c r="T71" i="17" s="1"/>
  <c r="Y71" i="17"/>
  <c r="Z71" i="17" s="1"/>
  <c r="S17" i="17"/>
  <c r="T17" i="17" s="1"/>
  <c r="Y17" i="17" s="1"/>
  <c r="Z17" i="17" s="1"/>
  <c r="S47" i="17"/>
  <c r="T47" i="17" s="1"/>
  <c r="Y47" i="17" s="1"/>
  <c r="Z47" i="17" s="1"/>
  <c r="S40" i="17"/>
  <c r="T40" i="17" s="1"/>
  <c r="Y40" i="17" s="1"/>
  <c r="Z40" i="17" s="1"/>
  <c r="Y45" i="17"/>
  <c r="S16" i="17"/>
  <c r="T16" i="17" s="1"/>
  <c r="Y16" i="17" s="1"/>
  <c r="Z16" i="17" s="1"/>
  <c r="S70" i="17"/>
  <c r="T70" i="17" s="1"/>
  <c r="Y70" i="17" s="1"/>
  <c r="Z70" i="17" s="1"/>
  <c r="Y64" i="17"/>
  <c r="Z64" i="17" s="1"/>
  <c r="Y54" i="17"/>
  <c r="Z54" i="17" s="1"/>
  <c r="S69" i="17"/>
  <c r="T69" i="17" s="1"/>
  <c r="Y69" i="17" s="1"/>
  <c r="Z69" i="17" s="1"/>
  <c r="S25" i="17"/>
  <c r="T25" i="17" s="1"/>
  <c r="Y25" i="17" s="1"/>
  <c r="Z25" i="17" s="1"/>
  <c r="S31" i="17"/>
  <c r="T31" i="17" s="1"/>
  <c r="Y31" i="17" s="1"/>
  <c r="Z31" i="17" s="1"/>
  <c r="N8" i="16"/>
  <c r="S8" i="16" s="1"/>
  <c r="T8" i="16" s="1"/>
  <c r="N20" i="16"/>
  <c r="S20" i="16" s="1"/>
  <c r="T20" i="16" s="1"/>
  <c r="N55" i="16"/>
  <c r="J15" i="16"/>
  <c r="N15" i="16" s="1"/>
  <c r="J27" i="16"/>
  <c r="N27" i="16" s="1"/>
  <c r="J3" i="16"/>
  <c r="N3" i="16" s="1"/>
  <c r="S3" i="16" s="1"/>
  <c r="T3" i="16" s="1"/>
  <c r="J58" i="16"/>
  <c r="N58" i="16" s="1"/>
  <c r="S58" i="16" s="1"/>
  <c r="T58" i="16" s="1"/>
  <c r="X59" i="16"/>
  <c r="X30" i="16"/>
  <c r="X42" i="16"/>
  <c r="J37" i="16"/>
  <c r="N37" i="16" s="1"/>
  <c r="S37" i="16" s="1"/>
  <c r="T37" i="16" s="1"/>
  <c r="J17" i="16"/>
  <c r="N17" i="16" s="1"/>
  <c r="J72" i="16"/>
  <c r="N72" i="16" s="1"/>
  <c r="J8" i="16"/>
  <c r="J16" i="16"/>
  <c r="N16" i="16" s="1"/>
  <c r="J20" i="16"/>
  <c r="X49" i="16"/>
  <c r="X62" i="16"/>
  <c r="J66" i="16"/>
  <c r="N66" i="16" s="1"/>
  <c r="J25" i="16"/>
  <c r="X40" i="16"/>
  <c r="X61" i="16"/>
  <c r="X39" i="16"/>
  <c r="J13" i="16"/>
  <c r="N13" i="16" s="1"/>
  <c r="J28" i="16"/>
  <c r="N28" i="16" s="1"/>
  <c r="X27" i="16"/>
  <c r="J47" i="16"/>
  <c r="X66" i="16"/>
  <c r="S16" i="16"/>
  <c r="T16" i="16" s="1"/>
  <c r="J18" i="16"/>
  <c r="J19" i="16"/>
  <c r="N19" i="16" s="1"/>
  <c r="J22" i="16"/>
  <c r="N22" i="16" s="1"/>
  <c r="X23" i="16"/>
  <c r="X25" i="16"/>
  <c r="J46" i="16"/>
  <c r="N46" i="16" s="1"/>
  <c r="X47" i="16"/>
  <c r="X18" i="16"/>
  <c r="X19" i="16"/>
  <c r="X21" i="16"/>
  <c r="X22" i="16"/>
  <c r="J44" i="16"/>
  <c r="X45" i="16"/>
  <c r="X46" i="16"/>
  <c r="J59" i="16"/>
  <c r="J63" i="16"/>
  <c r="N63" i="16" s="1"/>
  <c r="X20" i="16"/>
  <c r="J62" i="16"/>
  <c r="N62" i="16" s="1"/>
  <c r="J29" i="16"/>
  <c r="N29" i="16" s="1"/>
  <c r="S29" i="16" s="1"/>
  <c r="T29" i="16" s="1"/>
  <c r="J12" i="16"/>
  <c r="J7" i="16"/>
  <c r="N7" i="16" s="1"/>
  <c r="J39" i="16"/>
  <c r="N39" i="16" s="1"/>
  <c r="S39" i="16" s="1"/>
  <c r="T39" i="16" s="1"/>
  <c r="J54" i="16"/>
  <c r="N54" i="16" s="1"/>
  <c r="X56" i="16"/>
  <c r="J6" i="16"/>
  <c r="N6" i="16" s="1"/>
  <c r="X11" i="16"/>
  <c r="J34" i="16"/>
  <c r="X35" i="16"/>
  <c r="X54" i="16"/>
  <c r="X6" i="16"/>
  <c r="X8" i="16"/>
  <c r="X9" i="16"/>
  <c r="X34" i="16"/>
  <c r="J2" i="16"/>
  <c r="N2" i="16" s="1"/>
  <c r="S2" i="16" s="1"/>
  <c r="T2" i="16" s="1"/>
  <c r="J24" i="16"/>
  <c r="J31" i="16"/>
  <c r="N31" i="16" s="1"/>
  <c r="X32" i="16"/>
  <c r="J51" i="16"/>
  <c r="N51" i="16" s="1"/>
  <c r="S51" i="16" s="1"/>
  <c r="T51" i="16" s="1"/>
  <c r="J71" i="16"/>
  <c r="J55" i="16"/>
  <c r="X7" i="16"/>
  <c r="X13" i="16"/>
  <c r="X37" i="16"/>
  <c r="X53" i="16"/>
  <c r="J50" i="16"/>
  <c r="J70" i="16"/>
  <c r="N70" i="16" s="1"/>
  <c r="X71" i="16"/>
  <c r="X72" i="16"/>
  <c r="X43" i="16"/>
  <c r="S49" i="16"/>
  <c r="T49" i="16" s="1"/>
  <c r="Y49" i="16" s="1"/>
  <c r="Z49" i="16" s="1"/>
  <c r="X64" i="16"/>
  <c r="X67" i="16"/>
  <c r="X65" i="16"/>
  <c r="X60" i="16"/>
  <c r="S28" i="16"/>
  <c r="T28" i="16" s="1"/>
  <c r="X57" i="16"/>
  <c r="X33" i="16"/>
  <c r="X55" i="16"/>
  <c r="S11" i="16"/>
  <c r="T11" i="16" s="1"/>
  <c r="X17" i="16"/>
  <c r="X31" i="16"/>
  <c r="X16" i="16"/>
  <c r="X26" i="16"/>
  <c r="X28" i="16"/>
  <c r="X29" i="16"/>
  <c r="X50" i="16"/>
  <c r="X14" i="16"/>
  <c r="X48" i="16"/>
  <c r="X38" i="16"/>
  <c r="X52" i="16"/>
  <c r="S46" i="16"/>
  <c r="T46" i="16" s="1"/>
  <c r="X2" i="16"/>
  <c r="X4" i="16"/>
  <c r="X10" i="16"/>
  <c r="X69" i="16"/>
  <c r="X70" i="16"/>
  <c r="J41" i="16"/>
  <c r="N41" i="16" s="1"/>
  <c r="J56" i="16"/>
  <c r="N56" i="16" s="1"/>
  <c r="S62" i="16"/>
  <c r="T62" i="16" s="1"/>
  <c r="J48" i="16"/>
  <c r="N48" i="16" s="1"/>
  <c r="J38" i="16"/>
  <c r="N38" i="16" s="1"/>
  <c r="J40" i="16"/>
  <c r="X51" i="16"/>
  <c r="X24" i="16"/>
  <c r="J60" i="16"/>
  <c r="N60" i="16" s="1"/>
  <c r="X3" i="16"/>
  <c r="J67" i="16"/>
  <c r="N67" i="16" s="1"/>
  <c r="X5" i="16"/>
  <c r="X12" i="16"/>
  <c r="J32" i="16"/>
  <c r="N32" i="16" s="1"/>
  <c r="S32" i="16" s="1"/>
  <c r="T32" i="16" s="1"/>
  <c r="J43" i="16"/>
  <c r="N43" i="16" s="1"/>
  <c r="J36" i="16"/>
  <c r="N36" i="16" s="1"/>
  <c r="X44" i="16"/>
  <c r="X58" i="16"/>
  <c r="J21" i="16"/>
  <c r="N21" i="16" s="1"/>
  <c r="X63" i="16"/>
  <c r="J9" i="16"/>
  <c r="N9" i="16" s="1"/>
  <c r="J10" i="16"/>
  <c r="N10" i="16" s="1"/>
  <c r="J35" i="16"/>
  <c r="J68" i="16"/>
  <c r="N68" i="16" s="1"/>
  <c r="J65" i="16"/>
  <c r="N65" i="16" s="1"/>
  <c r="J52" i="16"/>
  <c r="N52" i="16" s="1"/>
  <c r="J45" i="16"/>
  <c r="N45" i="16" s="1"/>
  <c r="J64" i="16"/>
  <c r="N64" i="16" s="1"/>
  <c r="J26" i="16"/>
  <c r="N26" i="16" s="1"/>
  <c r="J69" i="16"/>
  <c r="N69" i="16" s="1"/>
  <c r="J57" i="16"/>
  <c r="N57" i="16" s="1"/>
  <c r="X68" i="16"/>
  <c r="J33" i="16"/>
  <c r="N33" i="16" s="1"/>
  <c r="J42" i="16"/>
  <c r="N42" i="16" s="1"/>
  <c r="J4" i="16"/>
  <c r="J23" i="16"/>
  <c r="N23" i="16" s="1"/>
  <c r="J14" i="16"/>
  <c r="J30" i="16"/>
  <c r="S53" i="16"/>
  <c r="T53" i="16" s="1"/>
  <c r="X41" i="16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2" i="14"/>
  <c r="Z51" i="18" l="1"/>
  <c r="Y63" i="18"/>
  <c r="Z63" i="18"/>
  <c r="Z44" i="17"/>
  <c r="Y77" i="17"/>
  <c r="Y39" i="16"/>
  <c r="Z39" i="16" s="1"/>
  <c r="Y46" i="16"/>
  <c r="Z46" i="16" s="1"/>
  <c r="Y8" i="16"/>
  <c r="Z8" i="16" s="1"/>
  <c r="Z45" i="17"/>
  <c r="N40" i="16"/>
  <c r="S40" i="16" s="1"/>
  <c r="T40" i="16" s="1"/>
  <c r="Y40" i="16" s="1"/>
  <c r="Z40" i="16" s="1"/>
  <c r="N44" i="16"/>
  <c r="N24" i="16"/>
  <c r="N50" i="16"/>
  <c r="N12" i="16"/>
  <c r="S12" i="16" s="1"/>
  <c r="T12" i="16" s="1"/>
  <c r="Y12" i="16" s="1"/>
  <c r="Z12" i="16" s="1"/>
  <c r="N35" i="16"/>
  <c r="S35" i="16" s="1"/>
  <c r="T35" i="16" s="1"/>
  <c r="Y35" i="16" s="1"/>
  <c r="Z35" i="16" s="1"/>
  <c r="S66" i="16"/>
  <c r="T66" i="16" s="1"/>
  <c r="Y66" i="16" s="1"/>
  <c r="Z66" i="16" s="1"/>
  <c r="N4" i="16"/>
  <c r="S4" i="16" s="1"/>
  <c r="T4" i="16" s="1"/>
  <c r="Y4" i="16" s="1"/>
  <c r="Z4" i="16" s="1"/>
  <c r="S6" i="16"/>
  <c r="T6" i="16" s="1"/>
  <c r="Y6" i="16" s="1"/>
  <c r="Z6" i="16" s="1"/>
  <c r="N47" i="16"/>
  <c r="S47" i="16" s="1"/>
  <c r="T47" i="16" s="1"/>
  <c r="Y47" i="16" s="1"/>
  <c r="Z47" i="16" s="1"/>
  <c r="N18" i="16"/>
  <c r="S18" i="16" s="1"/>
  <c r="T18" i="16" s="1"/>
  <c r="N14" i="16"/>
  <c r="N71" i="16"/>
  <c r="S71" i="16" s="1"/>
  <c r="T71" i="16" s="1"/>
  <c r="Y71" i="16" s="1"/>
  <c r="Z71" i="16" s="1"/>
  <c r="N34" i="16"/>
  <c r="S34" i="16" s="1"/>
  <c r="T34" i="16" s="1"/>
  <c r="Y34" i="16" s="1"/>
  <c r="Z34" i="16" s="1"/>
  <c r="N59" i="16"/>
  <c r="S59" i="16" s="1"/>
  <c r="T59" i="16" s="1"/>
  <c r="Y59" i="16" s="1"/>
  <c r="Z59" i="16" s="1"/>
  <c r="N25" i="16"/>
  <c r="S25" i="16" s="1"/>
  <c r="T25" i="16" s="1"/>
  <c r="Y25" i="16" s="1"/>
  <c r="Z25" i="16" s="1"/>
  <c r="N30" i="16"/>
  <c r="S30" i="16" s="1"/>
  <c r="T30" i="16" s="1"/>
  <c r="Y30" i="16" s="1"/>
  <c r="Z30" i="16" s="1"/>
  <c r="Y20" i="16"/>
  <c r="Z20" i="16" s="1"/>
  <c r="Y61" i="16"/>
  <c r="Z61" i="16" s="1"/>
  <c r="Y62" i="16"/>
  <c r="Z62" i="16" s="1"/>
  <c r="Y28" i="16"/>
  <c r="Z28" i="16" s="1"/>
  <c r="Y16" i="16"/>
  <c r="Z16" i="16" s="1"/>
  <c r="Y2" i="16"/>
  <c r="Z2" i="16" s="1"/>
  <c r="Y11" i="16"/>
  <c r="Z11" i="16" s="1"/>
  <c r="S36" i="16"/>
  <c r="T36" i="16" s="1"/>
  <c r="Y36" i="16" s="1"/>
  <c r="Z36" i="16" s="1"/>
  <c r="S69" i="16"/>
  <c r="T69" i="16" s="1"/>
  <c r="Y69" i="16" s="1"/>
  <c r="Z69" i="16" s="1"/>
  <c r="S26" i="16"/>
  <c r="T26" i="16" s="1"/>
  <c r="Y26" i="16" s="1"/>
  <c r="Z26" i="16" s="1"/>
  <c r="S42" i="16"/>
  <c r="T42" i="16" s="1"/>
  <c r="Y42" i="16" s="1"/>
  <c r="Z42" i="16" s="1"/>
  <c r="S57" i="16"/>
  <c r="T57" i="16" s="1"/>
  <c r="Y57" i="16" s="1"/>
  <c r="Z57" i="16" s="1"/>
  <c r="S67" i="16"/>
  <c r="T67" i="16" s="1"/>
  <c r="Y67" i="16" s="1"/>
  <c r="Z67" i="16" s="1"/>
  <c r="S38" i="16"/>
  <c r="T38" i="16" s="1"/>
  <c r="Y38" i="16"/>
  <c r="Z38" i="16" s="1"/>
  <c r="S56" i="16"/>
  <c r="T56" i="16" s="1"/>
  <c r="Y56" i="16" s="1"/>
  <c r="Z56" i="16" s="1"/>
  <c r="S9" i="16"/>
  <c r="T9" i="16" s="1"/>
  <c r="Y9" i="16" s="1"/>
  <c r="Z9" i="16" s="1"/>
  <c r="S21" i="16"/>
  <c r="T21" i="16" s="1"/>
  <c r="Y21" i="16" s="1"/>
  <c r="Z21" i="16" s="1"/>
  <c r="S60" i="16"/>
  <c r="T60" i="16" s="1"/>
  <c r="Y60" i="16" s="1"/>
  <c r="S41" i="16"/>
  <c r="T41" i="16" s="1"/>
  <c r="Y41" i="16" s="1"/>
  <c r="Z41" i="16" s="1"/>
  <c r="S10" i="16"/>
  <c r="T10" i="16" s="1"/>
  <c r="Y10" i="16"/>
  <c r="Z10" i="16" s="1"/>
  <c r="S55" i="16"/>
  <c r="T55" i="16" s="1"/>
  <c r="Y55" i="16" s="1"/>
  <c r="Z55" i="16" s="1"/>
  <c r="Y32" i="16"/>
  <c r="Z32" i="16" s="1"/>
  <c r="S43" i="16"/>
  <c r="T43" i="16" s="1"/>
  <c r="Y43" i="16" s="1"/>
  <c r="Z43" i="16" s="1"/>
  <c r="S13" i="16"/>
  <c r="T13" i="16" s="1"/>
  <c r="Y13" i="16" s="1"/>
  <c r="Z13" i="16" s="1"/>
  <c r="S19" i="16"/>
  <c r="T19" i="16" s="1"/>
  <c r="Y19" i="16"/>
  <c r="Z19" i="16" s="1"/>
  <c r="S63" i="16"/>
  <c r="T63" i="16" s="1"/>
  <c r="Y63" i="16" s="1"/>
  <c r="Z63" i="16" s="1"/>
  <c r="S65" i="16"/>
  <c r="T65" i="16" s="1"/>
  <c r="Y65" i="16" s="1"/>
  <c r="Z65" i="16" s="1"/>
  <c r="Y53" i="16"/>
  <c r="Z53" i="16" s="1"/>
  <c r="S64" i="16"/>
  <c r="T64" i="16" s="1"/>
  <c r="Y64" i="16" s="1"/>
  <c r="Z64" i="16" s="1"/>
  <c r="Y3" i="16"/>
  <c r="Z3" i="16" s="1"/>
  <c r="S33" i="16"/>
  <c r="T33" i="16" s="1"/>
  <c r="Y33" i="16" s="1"/>
  <c r="Z33" i="16" s="1"/>
  <c r="S48" i="16"/>
  <c r="T48" i="16" s="1"/>
  <c r="Y48" i="16" s="1"/>
  <c r="Z48" i="16" s="1"/>
  <c r="S31" i="16"/>
  <c r="T31" i="16" s="1"/>
  <c r="Y31" i="16" s="1"/>
  <c r="Z31" i="16" s="1"/>
  <c r="S17" i="16"/>
  <c r="T17" i="16" s="1"/>
  <c r="Y17" i="16" s="1"/>
  <c r="Z17" i="16" s="1"/>
  <c r="S15" i="16"/>
  <c r="T15" i="16" s="1"/>
  <c r="Y15" i="16" s="1"/>
  <c r="Z15" i="16" s="1"/>
  <c r="S27" i="16"/>
  <c r="T27" i="16" s="1"/>
  <c r="Y27" i="16" s="1"/>
  <c r="Z27" i="16" s="1"/>
  <c r="S23" i="16"/>
  <c r="T23" i="16" s="1"/>
  <c r="Y23" i="16" s="1"/>
  <c r="Z23" i="16" s="1"/>
  <c r="Y37" i="16"/>
  <c r="Z37" i="16" s="1"/>
  <c r="S72" i="16"/>
  <c r="T72" i="16" s="1"/>
  <c r="Y72" i="16" s="1"/>
  <c r="Z72" i="16" s="1"/>
  <c r="Y51" i="16"/>
  <c r="Z51" i="16" s="1"/>
  <c r="S68" i="16"/>
  <c r="T68" i="16" s="1"/>
  <c r="Y68" i="16" s="1"/>
  <c r="Z68" i="16" s="1"/>
  <c r="S45" i="16"/>
  <c r="T45" i="16" s="1"/>
  <c r="Y45" i="16" s="1"/>
  <c r="Z45" i="16" s="1"/>
  <c r="Y29" i="16"/>
  <c r="Z29" i="16" s="1"/>
  <c r="S7" i="16"/>
  <c r="T7" i="16" s="1"/>
  <c r="Y7" i="16" s="1"/>
  <c r="Z7" i="16" s="1"/>
  <c r="S22" i="16"/>
  <c r="T22" i="16" s="1"/>
  <c r="Y22" i="16" s="1"/>
  <c r="Z22" i="16" s="1"/>
  <c r="Y58" i="16"/>
  <c r="Z58" i="16" s="1"/>
  <c r="S70" i="16"/>
  <c r="T70" i="16" s="1"/>
  <c r="Y70" i="16"/>
  <c r="Z70" i="16" s="1"/>
  <c r="S52" i="16"/>
  <c r="T52" i="16" s="1"/>
  <c r="Y52" i="16" s="1"/>
  <c r="Z52" i="16" s="1"/>
  <c r="S54" i="16"/>
  <c r="T54" i="16" s="1"/>
  <c r="Y54" i="16" s="1"/>
  <c r="S5" i="16"/>
  <c r="T5" i="16" s="1"/>
  <c r="Y5" i="16" s="1"/>
  <c r="Z5" i="16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Z77" i="17" l="1"/>
  <c r="S14" i="16"/>
  <c r="T14" i="16" s="1"/>
  <c r="Y14" i="16" s="1"/>
  <c r="Z14" i="16" s="1"/>
  <c r="S50" i="16"/>
  <c r="T50" i="16" s="1"/>
  <c r="Y50" i="16" s="1"/>
  <c r="Z50" i="16" s="1"/>
  <c r="Z54" i="16"/>
  <c r="Y75" i="16"/>
  <c r="S44" i="16"/>
  <c r="T44" i="16" s="1"/>
  <c r="Y44" i="16" s="1"/>
  <c r="Z44" i="16" s="1"/>
  <c r="Y18" i="16"/>
  <c r="Z18" i="16" s="1"/>
  <c r="S24" i="16"/>
  <c r="T24" i="16" s="1"/>
  <c r="Y24" i="16" s="1"/>
  <c r="Z24" i="16" s="1"/>
  <c r="Z60" i="16"/>
  <c r="Z75" i="16" l="1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3" i="14" l="1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W54" i="14"/>
  <c r="M54" i="14"/>
  <c r="L54" i="14"/>
  <c r="I54" i="14"/>
  <c r="G54" i="14"/>
  <c r="D54" i="14"/>
  <c r="E54" i="14" s="1"/>
  <c r="B54" i="14"/>
  <c r="W53" i="14"/>
  <c r="M53" i="14"/>
  <c r="L53" i="14"/>
  <c r="I53" i="14"/>
  <c r="G53" i="14"/>
  <c r="D53" i="14"/>
  <c r="E53" i="14" s="1"/>
  <c r="B53" i="14"/>
  <c r="W52" i="14"/>
  <c r="M52" i="14"/>
  <c r="L52" i="14"/>
  <c r="I52" i="14"/>
  <c r="G52" i="14"/>
  <c r="D52" i="14"/>
  <c r="E52" i="14" s="1"/>
  <c r="J52" i="14" s="1"/>
  <c r="B52" i="14"/>
  <c r="W51" i="14"/>
  <c r="M51" i="14"/>
  <c r="L51" i="14"/>
  <c r="I51" i="14"/>
  <c r="G51" i="14"/>
  <c r="D51" i="14"/>
  <c r="E51" i="14" s="1"/>
  <c r="J51" i="14" s="1"/>
  <c r="B51" i="14"/>
  <c r="W50" i="14"/>
  <c r="M50" i="14"/>
  <c r="L50" i="14"/>
  <c r="I50" i="14"/>
  <c r="G50" i="14"/>
  <c r="D50" i="14"/>
  <c r="E50" i="14" s="1"/>
  <c r="B50" i="14"/>
  <c r="W49" i="14"/>
  <c r="M49" i="14"/>
  <c r="L49" i="14"/>
  <c r="I49" i="14"/>
  <c r="G49" i="14"/>
  <c r="D49" i="14"/>
  <c r="E49" i="14" s="1"/>
  <c r="J49" i="14" s="1"/>
  <c r="B49" i="14"/>
  <c r="W48" i="14"/>
  <c r="M48" i="14"/>
  <c r="L48" i="14"/>
  <c r="I48" i="14"/>
  <c r="G48" i="14"/>
  <c r="D48" i="14"/>
  <c r="E48" i="14" s="1"/>
  <c r="J48" i="14" s="1"/>
  <c r="B48" i="14"/>
  <c r="W47" i="14"/>
  <c r="M47" i="14"/>
  <c r="L47" i="14"/>
  <c r="I47" i="14"/>
  <c r="G47" i="14"/>
  <c r="D47" i="14"/>
  <c r="E47" i="14" s="1"/>
  <c r="B47" i="14"/>
  <c r="W46" i="14"/>
  <c r="M46" i="14"/>
  <c r="L46" i="14"/>
  <c r="I46" i="14"/>
  <c r="G46" i="14"/>
  <c r="D46" i="14"/>
  <c r="E46" i="14" s="1"/>
  <c r="B46" i="14"/>
  <c r="W45" i="14"/>
  <c r="M45" i="14"/>
  <c r="L45" i="14"/>
  <c r="I45" i="14"/>
  <c r="G45" i="14"/>
  <c r="D45" i="14"/>
  <c r="E45" i="14" s="1"/>
  <c r="B45" i="14"/>
  <c r="W44" i="14"/>
  <c r="M44" i="14"/>
  <c r="L44" i="14"/>
  <c r="I44" i="14"/>
  <c r="G44" i="14"/>
  <c r="D44" i="14"/>
  <c r="E44" i="14" s="1"/>
  <c r="J44" i="14" s="1"/>
  <c r="B44" i="14"/>
  <c r="W43" i="14"/>
  <c r="M43" i="14"/>
  <c r="L43" i="14"/>
  <c r="I43" i="14"/>
  <c r="G43" i="14"/>
  <c r="D43" i="14"/>
  <c r="E43" i="14" s="1"/>
  <c r="B43" i="14"/>
  <c r="W42" i="14"/>
  <c r="M42" i="14"/>
  <c r="L42" i="14"/>
  <c r="I42" i="14"/>
  <c r="G42" i="14"/>
  <c r="D42" i="14"/>
  <c r="E42" i="14" s="1"/>
  <c r="J42" i="14" s="1"/>
  <c r="B42" i="14"/>
  <c r="W41" i="14"/>
  <c r="M41" i="14"/>
  <c r="L41" i="14"/>
  <c r="I41" i="14"/>
  <c r="G41" i="14"/>
  <c r="D41" i="14"/>
  <c r="E41" i="14" s="1"/>
  <c r="B41" i="14"/>
  <c r="W40" i="14"/>
  <c r="M40" i="14"/>
  <c r="L40" i="14"/>
  <c r="I40" i="14"/>
  <c r="G40" i="14"/>
  <c r="D40" i="14"/>
  <c r="E40" i="14" s="1"/>
  <c r="J40" i="14" s="1"/>
  <c r="B40" i="14"/>
  <c r="W39" i="14"/>
  <c r="M39" i="14"/>
  <c r="L39" i="14"/>
  <c r="I39" i="14"/>
  <c r="G39" i="14"/>
  <c r="D39" i="14"/>
  <c r="E39" i="14" s="1"/>
  <c r="J39" i="14" s="1"/>
  <c r="B39" i="14"/>
  <c r="W38" i="14"/>
  <c r="M38" i="14"/>
  <c r="L38" i="14"/>
  <c r="I38" i="14"/>
  <c r="G38" i="14"/>
  <c r="D38" i="14"/>
  <c r="E38" i="14" s="1"/>
  <c r="J38" i="14" s="1"/>
  <c r="B38" i="14"/>
  <c r="W37" i="14"/>
  <c r="M37" i="14"/>
  <c r="L37" i="14"/>
  <c r="I37" i="14"/>
  <c r="G37" i="14"/>
  <c r="D37" i="14"/>
  <c r="E37" i="14" s="1"/>
  <c r="J37" i="14" s="1"/>
  <c r="B37" i="14"/>
  <c r="W36" i="14"/>
  <c r="M36" i="14"/>
  <c r="L36" i="14"/>
  <c r="I36" i="14"/>
  <c r="G36" i="14"/>
  <c r="D36" i="14"/>
  <c r="E36" i="14" s="1"/>
  <c r="B36" i="14"/>
  <c r="W35" i="14"/>
  <c r="M35" i="14"/>
  <c r="L35" i="14"/>
  <c r="I35" i="14"/>
  <c r="G35" i="14"/>
  <c r="D35" i="14"/>
  <c r="E35" i="14" s="1"/>
  <c r="J35" i="14" s="1"/>
  <c r="B35" i="14"/>
  <c r="W34" i="14"/>
  <c r="M34" i="14"/>
  <c r="L34" i="14"/>
  <c r="I34" i="14"/>
  <c r="G34" i="14"/>
  <c r="D34" i="14"/>
  <c r="E34" i="14" s="1"/>
  <c r="B34" i="14"/>
  <c r="W33" i="14"/>
  <c r="M33" i="14"/>
  <c r="L33" i="14"/>
  <c r="X33" i="14" s="1"/>
  <c r="I33" i="14"/>
  <c r="G33" i="14"/>
  <c r="D33" i="14"/>
  <c r="E33" i="14" s="1"/>
  <c r="B33" i="14"/>
  <c r="W32" i="14"/>
  <c r="M32" i="14"/>
  <c r="L32" i="14"/>
  <c r="I32" i="14"/>
  <c r="G32" i="14"/>
  <c r="D32" i="14"/>
  <c r="E32" i="14" s="1"/>
  <c r="J32" i="14" s="1"/>
  <c r="B32" i="14"/>
  <c r="W31" i="14"/>
  <c r="M31" i="14"/>
  <c r="L31" i="14"/>
  <c r="I31" i="14"/>
  <c r="G31" i="14"/>
  <c r="D31" i="14"/>
  <c r="E31" i="14" s="1"/>
  <c r="J31" i="14" s="1"/>
  <c r="B31" i="14"/>
  <c r="W30" i="14"/>
  <c r="M30" i="14"/>
  <c r="L30" i="14"/>
  <c r="I30" i="14"/>
  <c r="G30" i="14"/>
  <c r="D30" i="14"/>
  <c r="E30" i="14" s="1"/>
  <c r="B30" i="14"/>
  <c r="W29" i="14"/>
  <c r="M29" i="14"/>
  <c r="L29" i="14"/>
  <c r="I29" i="14"/>
  <c r="G29" i="14"/>
  <c r="D29" i="14"/>
  <c r="E29" i="14" s="1"/>
  <c r="B29" i="14"/>
  <c r="W28" i="14"/>
  <c r="M28" i="14"/>
  <c r="L28" i="14"/>
  <c r="I28" i="14"/>
  <c r="G28" i="14"/>
  <c r="D28" i="14"/>
  <c r="E28" i="14" s="1"/>
  <c r="B28" i="14"/>
  <c r="W27" i="14"/>
  <c r="M27" i="14"/>
  <c r="L27" i="14"/>
  <c r="I27" i="14"/>
  <c r="G27" i="14"/>
  <c r="D27" i="14"/>
  <c r="E27" i="14" s="1"/>
  <c r="B27" i="14"/>
  <c r="W26" i="14"/>
  <c r="M26" i="14"/>
  <c r="L26" i="14"/>
  <c r="I26" i="14"/>
  <c r="G26" i="14"/>
  <c r="D26" i="14"/>
  <c r="E26" i="14" s="1"/>
  <c r="J26" i="14" s="1"/>
  <c r="B26" i="14"/>
  <c r="W25" i="14"/>
  <c r="M25" i="14"/>
  <c r="L25" i="14"/>
  <c r="I25" i="14"/>
  <c r="G25" i="14"/>
  <c r="D25" i="14"/>
  <c r="E25" i="14" s="1"/>
  <c r="B25" i="14"/>
  <c r="W24" i="14"/>
  <c r="M24" i="14"/>
  <c r="L24" i="14"/>
  <c r="X24" i="14" s="1"/>
  <c r="I24" i="14"/>
  <c r="G24" i="14"/>
  <c r="D24" i="14"/>
  <c r="E24" i="14" s="1"/>
  <c r="B24" i="14"/>
  <c r="W23" i="14"/>
  <c r="M23" i="14"/>
  <c r="L23" i="14"/>
  <c r="I23" i="14"/>
  <c r="G23" i="14"/>
  <c r="D23" i="14"/>
  <c r="E23" i="14" s="1"/>
  <c r="J23" i="14" s="1"/>
  <c r="B23" i="14"/>
  <c r="W22" i="14"/>
  <c r="M22" i="14"/>
  <c r="L22" i="14"/>
  <c r="I22" i="14"/>
  <c r="G22" i="14"/>
  <c r="D22" i="14"/>
  <c r="E22" i="14" s="1"/>
  <c r="B22" i="14"/>
  <c r="W21" i="14"/>
  <c r="M21" i="14"/>
  <c r="L21" i="14"/>
  <c r="I21" i="14"/>
  <c r="G21" i="14"/>
  <c r="D21" i="14"/>
  <c r="E21" i="14" s="1"/>
  <c r="B21" i="14"/>
  <c r="W20" i="14"/>
  <c r="M20" i="14"/>
  <c r="L20" i="14"/>
  <c r="I20" i="14"/>
  <c r="G20" i="14"/>
  <c r="D20" i="14"/>
  <c r="E20" i="14" s="1"/>
  <c r="J20" i="14" s="1"/>
  <c r="B20" i="14"/>
  <c r="W19" i="14"/>
  <c r="M19" i="14"/>
  <c r="L19" i="14"/>
  <c r="I19" i="14"/>
  <c r="G19" i="14"/>
  <c r="D19" i="14"/>
  <c r="E19" i="14" s="1"/>
  <c r="B19" i="14"/>
  <c r="W18" i="14"/>
  <c r="M18" i="14"/>
  <c r="L18" i="14"/>
  <c r="I18" i="14"/>
  <c r="G18" i="14"/>
  <c r="D18" i="14"/>
  <c r="E18" i="14" s="1"/>
  <c r="B18" i="14"/>
  <c r="W17" i="14"/>
  <c r="M17" i="14"/>
  <c r="L17" i="14"/>
  <c r="I17" i="14"/>
  <c r="G17" i="14"/>
  <c r="D17" i="14"/>
  <c r="E17" i="14" s="1"/>
  <c r="B17" i="14"/>
  <c r="W16" i="14"/>
  <c r="M16" i="14"/>
  <c r="L16" i="14"/>
  <c r="I16" i="14"/>
  <c r="G16" i="14"/>
  <c r="D16" i="14"/>
  <c r="E16" i="14" s="1"/>
  <c r="B16" i="14"/>
  <c r="W15" i="14"/>
  <c r="M15" i="14"/>
  <c r="L15" i="14"/>
  <c r="I15" i="14"/>
  <c r="G15" i="14"/>
  <c r="D15" i="14"/>
  <c r="E15" i="14" s="1"/>
  <c r="B15" i="14"/>
  <c r="W14" i="14"/>
  <c r="M14" i="14"/>
  <c r="L14" i="14"/>
  <c r="I14" i="14"/>
  <c r="G14" i="14"/>
  <c r="D14" i="14"/>
  <c r="E14" i="14" s="1"/>
  <c r="B14" i="14"/>
  <c r="W13" i="14"/>
  <c r="M13" i="14"/>
  <c r="L13" i="14"/>
  <c r="I13" i="14"/>
  <c r="G13" i="14"/>
  <c r="D13" i="14"/>
  <c r="E13" i="14" s="1"/>
  <c r="B13" i="14"/>
  <c r="W12" i="14"/>
  <c r="M12" i="14"/>
  <c r="L12" i="14"/>
  <c r="I12" i="14"/>
  <c r="G12" i="14"/>
  <c r="D12" i="14"/>
  <c r="E12" i="14" s="1"/>
  <c r="B12" i="14"/>
  <c r="W11" i="14"/>
  <c r="M11" i="14"/>
  <c r="L11" i="14"/>
  <c r="I11" i="14"/>
  <c r="G11" i="14"/>
  <c r="D11" i="14"/>
  <c r="E11" i="14" s="1"/>
  <c r="J11" i="14" s="1"/>
  <c r="B11" i="14"/>
  <c r="W10" i="14"/>
  <c r="M10" i="14"/>
  <c r="L10" i="14"/>
  <c r="I10" i="14"/>
  <c r="G10" i="14"/>
  <c r="D10" i="14"/>
  <c r="E10" i="14" s="1"/>
  <c r="B10" i="14"/>
  <c r="W9" i="14"/>
  <c r="M9" i="14"/>
  <c r="L9" i="14"/>
  <c r="I9" i="14"/>
  <c r="G9" i="14"/>
  <c r="D9" i="14"/>
  <c r="E9" i="14" s="1"/>
  <c r="B9" i="14"/>
  <c r="W8" i="14"/>
  <c r="M8" i="14"/>
  <c r="L8" i="14"/>
  <c r="I8" i="14"/>
  <c r="G8" i="14"/>
  <c r="D8" i="14"/>
  <c r="E8" i="14" s="1"/>
  <c r="B8" i="14"/>
  <c r="W7" i="14"/>
  <c r="M7" i="14"/>
  <c r="L7" i="14"/>
  <c r="I7" i="14"/>
  <c r="G7" i="14"/>
  <c r="D7" i="14"/>
  <c r="E7" i="14" s="1"/>
  <c r="B7" i="14"/>
  <c r="W6" i="14"/>
  <c r="M6" i="14"/>
  <c r="L6" i="14"/>
  <c r="I6" i="14"/>
  <c r="G6" i="14"/>
  <c r="D6" i="14"/>
  <c r="E6" i="14" s="1"/>
  <c r="B6" i="14"/>
  <c r="W5" i="14"/>
  <c r="M5" i="14"/>
  <c r="L5" i="14"/>
  <c r="I5" i="14"/>
  <c r="G5" i="14"/>
  <c r="D5" i="14"/>
  <c r="E5" i="14" s="1"/>
  <c r="B5" i="14"/>
  <c r="W4" i="14"/>
  <c r="M4" i="14"/>
  <c r="L4" i="14"/>
  <c r="I4" i="14"/>
  <c r="G4" i="14"/>
  <c r="D4" i="14"/>
  <c r="E4" i="14" s="1"/>
  <c r="B4" i="14"/>
  <c r="W3" i="14"/>
  <c r="M3" i="14"/>
  <c r="L3" i="14"/>
  <c r="I3" i="14"/>
  <c r="G3" i="14"/>
  <c r="D3" i="14"/>
  <c r="E3" i="14" s="1"/>
  <c r="B3" i="14"/>
  <c r="W2" i="14"/>
  <c r="R2" i="14"/>
  <c r="M2" i="14"/>
  <c r="L2" i="14"/>
  <c r="I2" i="14"/>
  <c r="G2" i="14"/>
  <c r="D2" i="14"/>
  <c r="E2" i="14" s="1"/>
  <c r="B2" i="14"/>
  <c r="X16" i="14" l="1"/>
  <c r="J4" i="14"/>
  <c r="J27" i="14"/>
  <c r="N27" i="14" s="1"/>
  <c r="S27" i="14" s="1"/>
  <c r="T27" i="14" s="1"/>
  <c r="J7" i="14"/>
  <c r="N7" i="14" s="1"/>
  <c r="J16" i="14"/>
  <c r="J29" i="14"/>
  <c r="N29" i="14" s="1"/>
  <c r="S29" i="14" s="1"/>
  <c r="T29" i="14" s="1"/>
  <c r="J47" i="14"/>
  <c r="N47" i="14" s="1"/>
  <c r="S47" i="14" s="1"/>
  <c r="T47" i="14" s="1"/>
  <c r="X6" i="14"/>
  <c r="J17" i="14"/>
  <c r="N17" i="14" s="1"/>
  <c r="S17" i="14" s="1"/>
  <c r="T17" i="14" s="1"/>
  <c r="J53" i="14"/>
  <c r="N53" i="14" s="1"/>
  <c r="X4" i="14"/>
  <c r="J45" i="14"/>
  <c r="N45" i="14" s="1"/>
  <c r="S45" i="14" s="1"/>
  <c r="T45" i="14" s="1"/>
  <c r="J6" i="14"/>
  <c r="N6" i="14" s="1"/>
  <c r="J12" i="14"/>
  <c r="J15" i="14"/>
  <c r="N15" i="14" s="1"/>
  <c r="S15" i="14" s="1"/>
  <c r="T15" i="14" s="1"/>
  <c r="J18" i="14"/>
  <c r="N18" i="14" s="1"/>
  <c r="J13" i="14"/>
  <c r="N13" i="14" s="1"/>
  <c r="J2" i="14"/>
  <c r="X3" i="14"/>
  <c r="J21" i="14"/>
  <c r="N21" i="14" s="1"/>
  <c r="S21" i="14" s="1"/>
  <c r="T21" i="14" s="1"/>
  <c r="X34" i="14"/>
  <c r="J41" i="14"/>
  <c r="N41" i="14" s="1"/>
  <c r="J34" i="14"/>
  <c r="N34" i="14" s="1"/>
  <c r="S34" i="14" s="1"/>
  <c r="T34" i="14" s="1"/>
  <c r="X51" i="14"/>
  <c r="J5" i="14"/>
  <c r="N5" i="14" s="1"/>
  <c r="S5" i="14" s="1"/>
  <c r="T5" i="14" s="1"/>
  <c r="J10" i="14"/>
  <c r="X17" i="14"/>
  <c r="J43" i="14"/>
  <c r="X46" i="14"/>
  <c r="J28" i="14"/>
  <c r="N28" i="14" s="1"/>
  <c r="X39" i="14"/>
  <c r="X45" i="14"/>
  <c r="J9" i="14"/>
  <c r="N9" i="14" s="1"/>
  <c r="S9" i="14" s="1"/>
  <c r="T9" i="14" s="1"/>
  <c r="J3" i="14"/>
  <c r="N3" i="14" s="1"/>
  <c r="S3" i="14" s="1"/>
  <c r="T3" i="14" s="1"/>
  <c r="J14" i="14"/>
  <c r="N14" i="14" s="1"/>
  <c r="S14" i="14" s="1"/>
  <c r="T14" i="14" s="1"/>
  <c r="J24" i="14"/>
  <c r="N24" i="14" s="1"/>
  <c r="S24" i="14" s="1"/>
  <c r="T24" i="14" s="1"/>
  <c r="J46" i="14"/>
  <c r="X37" i="14"/>
  <c r="X14" i="14"/>
  <c r="J33" i="14"/>
  <c r="N33" i="14" s="1"/>
  <c r="S33" i="14" s="1"/>
  <c r="T33" i="14" s="1"/>
  <c r="N52" i="14"/>
  <c r="S52" i="14" s="1"/>
  <c r="T52" i="14" s="1"/>
  <c r="N37" i="14"/>
  <c r="S37" i="14" s="1"/>
  <c r="T37" i="14" s="1"/>
  <c r="J8" i="14"/>
  <c r="N8" i="14" s="1"/>
  <c r="J19" i="14"/>
  <c r="N19" i="14" s="1"/>
  <c r="S19" i="14" s="1"/>
  <c r="T19" i="14" s="1"/>
  <c r="J30" i="14"/>
  <c r="J36" i="14"/>
  <c r="N36" i="14" s="1"/>
  <c r="J54" i="14"/>
  <c r="N54" i="14" s="1"/>
  <c r="X36" i="14"/>
  <c r="X47" i="14"/>
  <c r="X54" i="14"/>
  <c r="X13" i="14"/>
  <c r="X38" i="14"/>
  <c r="X25" i="14"/>
  <c r="X7" i="14"/>
  <c r="N31" i="14"/>
  <c r="S31" i="14" s="1"/>
  <c r="T31" i="14" s="1"/>
  <c r="X48" i="14"/>
  <c r="X49" i="14"/>
  <c r="N39" i="14"/>
  <c r="S39" i="14" s="1"/>
  <c r="T39" i="14" s="1"/>
  <c r="X10" i="14"/>
  <c r="X9" i="14"/>
  <c r="X52" i="14"/>
  <c r="X8" i="14"/>
  <c r="X50" i="14"/>
  <c r="X42" i="14"/>
  <c r="X20" i="14"/>
  <c r="X21" i="14"/>
  <c r="X43" i="14"/>
  <c r="X28" i="14"/>
  <c r="N16" i="14"/>
  <c r="S16" i="14" s="1"/>
  <c r="T16" i="14" s="1"/>
  <c r="X40" i="14"/>
  <c r="X44" i="14"/>
  <c r="N4" i="14"/>
  <c r="X27" i="14"/>
  <c r="N38" i="14"/>
  <c r="S38" i="14" s="1"/>
  <c r="T38" i="14" s="1"/>
  <c r="X22" i="14"/>
  <c r="X32" i="14"/>
  <c r="X2" i="14"/>
  <c r="X18" i="14"/>
  <c r="X19" i="14"/>
  <c r="X31" i="14"/>
  <c r="S18" i="14"/>
  <c r="T18" i="14" s="1"/>
  <c r="N12" i="14"/>
  <c r="X12" i="14"/>
  <c r="N46" i="14"/>
  <c r="S46" i="14" s="1"/>
  <c r="T46" i="14" s="1"/>
  <c r="N20" i="14"/>
  <c r="S20" i="14" s="1"/>
  <c r="T20" i="14" s="1"/>
  <c r="X26" i="14"/>
  <c r="N43" i="14"/>
  <c r="N26" i="14"/>
  <c r="S26" i="14" s="1"/>
  <c r="T26" i="14" s="1"/>
  <c r="X41" i="14"/>
  <c r="X30" i="14"/>
  <c r="N30" i="14"/>
  <c r="N10" i="14"/>
  <c r="X15" i="14"/>
  <c r="S7" i="14"/>
  <c r="T7" i="14" s="1"/>
  <c r="X11" i="14"/>
  <c r="N11" i="14"/>
  <c r="N51" i="14"/>
  <c r="S51" i="14" s="1"/>
  <c r="T51" i="14" s="1"/>
  <c r="N2" i="14"/>
  <c r="S2" i="14" s="1"/>
  <c r="T2" i="14" s="1"/>
  <c r="J22" i="14"/>
  <c r="N22" i="14" s="1"/>
  <c r="X29" i="14"/>
  <c r="J25" i="14"/>
  <c r="N25" i="14" s="1"/>
  <c r="N35" i="14"/>
  <c r="S35" i="14" s="1"/>
  <c r="T35" i="14" s="1"/>
  <c r="N49" i="14"/>
  <c r="J50" i="14"/>
  <c r="N50" i="14" s="1"/>
  <c r="X5" i="14"/>
  <c r="N42" i="14"/>
  <c r="S42" i="14" s="1"/>
  <c r="T42" i="14" s="1"/>
  <c r="N44" i="14"/>
  <c r="N32" i="14"/>
  <c r="N48" i="14"/>
  <c r="S48" i="14" s="1"/>
  <c r="T48" i="14" s="1"/>
  <c r="N40" i="14"/>
  <c r="S40" i="14" s="1"/>
  <c r="T40" i="14" s="1"/>
  <c r="X53" i="14"/>
  <c r="X23" i="14"/>
  <c r="N23" i="14"/>
  <c r="S23" i="14" s="1"/>
  <c r="T23" i="14" s="1"/>
  <c r="X35" i="14"/>
  <c r="Y38" i="14" l="1"/>
  <c r="Z38" i="14" s="1"/>
  <c r="Y47" i="14"/>
  <c r="Z47" i="14" s="1"/>
  <c r="Y21" i="14"/>
  <c r="Z21" i="14" s="1"/>
  <c r="Y24" i="14"/>
  <c r="Z24" i="14" s="1"/>
  <c r="Y34" i="14"/>
  <c r="Z34" i="14" s="1"/>
  <c r="S4" i="14"/>
  <c r="T4" i="14" s="1"/>
  <c r="Y14" i="14"/>
  <c r="Z14" i="14" s="1"/>
  <c r="Y7" i="14"/>
  <c r="Z7" i="14" s="1"/>
  <c r="S49" i="14"/>
  <c r="T49" i="14" s="1"/>
  <c r="S13" i="14"/>
  <c r="T13" i="14" s="1"/>
  <c r="Y29" i="14"/>
  <c r="Z29" i="14" s="1"/>
  <c r="Y23" i="14"/>
  <c r="Z23" i="14" s="1"/>
  <c r="S44" i="14"/>
  <c r="T44" i="14" s="1"/>
  <c r="Y26" i="14"/>
  <c r="Z26" i="14" s="1"/>
  <c r="Y52" i="14"/>
  <c r="Z52" i="14" s="1"/>
  <c r="Y40" i="14"/>
  <c r="Z40" i="14" s="1"/>
  <c r="Y42" i="14"/>
  <c r="Z42" i="14" s="1"/>
  <c r="Y37" i="14"/>
  <c r="Z37" i="14" s="1"/>
  <c r="S28" i="14"/>
  <c r="T28" i="14" s="1"/>
  <c r="Y46" i="14"/>
  <c r="Z46" i="14" s="1"/>
  <c r="S36" i="14"/>
  <c r="T36" i="14" s="1"/>
  <c r="S12" i="14"/>
  <c r="T12" i="14" s="1"/>
  <c r="Y18" i="14"/>
  <c r="Z18" i="14" s="1"/>
  <c r="S11" i="14"/>
  <c r="T11" i="14" s="1"/>
  <c r="S43" i="14"/>
  <c r="T43" i="14" s="1"/>
  <c r="S32" i="14"/>
  <c r="T32" i="14" s="1"/>
  <c r="Y45" i="14"/>
  <c r="Z45" i="14" s="1"/>
  <c r="Y35" i="14"/>
  <c r="Y17" i="14"/>
  <c r="Z17" i="14" s="1"/>
  <c r="S10" i="14"/>
  <c r="T10" i="14" s="1"/>
  <c r="S30" i="14"/>
  <c r="T30" i="14" s="1"/>
  <c r="Y20" i="14"/>
  <c r="Z20" i="14" s="1"/>
  <c r="S22" i="14"/>
  <c r="T22" i="14" s="1"/>
  <c r="S53" i="14"/>
  <c r="T53" i="14" s="1"/>
  <c r="S50" i="14"/>
  <c r="T50" i="14" s="1"/>
  <c r="S25" i="14"/>
  <c r="T25" i="14" s="1"/>
  <c r="S8" i="14"/>
  <c r="T8" i="14" s="1"/>
  <c r="Y19" i="14"/>
  <c r="Z19" i="14" s="1"/>
  <c r="S54" i="14"/>
  <c r="T54" i="14" s="1"/>
  <c r="S6" i="14"/>
  <c r="T6" i="14" s="1"/>
  <c r="Y33" i="14"/>
  <c r="Z33" i="14" s="1"/>
  <c r="S41" i="14"/>
  <c r="T41" i="14" s="1"/>
  <c r="Y5" i="14"/>
  <c r="Z5" i="14" s="1"/>
  <c r="Y3" i="14"/>
  <c r="Z3" i="14" s="1"/>
  <c r="Y39" i="14"/>
  <c r="Z39" i="14" s="1"/>
  <c r="Y27" i="14"/>
  <c r="Z27" i="14" s="1"/>
  <c r="Y2" i="14"/>
  <c r="Z2" i="14" s="1"/>
  <c r="Y48" i="14"/>
  <c r="Z48" i="14" s="1"/>
  <c r="Y51" i="14"/>
  <c r="Z51" i="14" s="1"/>
  <c r="Y15" i="14"/>
  <c r="Z15" i="14" s="1"/>
  <c r="Y9" i="14"/>
  <c r="Z9" i="14" s="1"/>
  <c r="Y16" i="14"/>
  <c r="Z16" i="14" s="1"/>
  <c r="Y31" i="14"/>
  <c r="Z31" i="14" s="1"/>
  <c r="Z35" i="14" l="1"/>
  <c r="Y25" i="14"/>
  <c r="Z25" i="14" s="1"/>
  <c r="Y44" i="14"/>
  <c r="Z44" i="14" s="1"/>
  <c r="Y22" i="14"/>
  <c r="Z22" i="14" s="1"/>
  <c r="Y53" i="14"/>
  <c r="Z53" i="14" s="1"/>
  <c r="Y4" i="14"/>
  <c r="Z4" i="14" s="1"/>
  <c r="Y8" i="14"/>
  <c r="Z8" i="14" s="1"/>
  <c r="Y49" i="14"/>
  <c r="Z49" i="14" s="1"/>
  <c r="Y28" i="14"/>
  <c r="Z28" i="14" s="1"/>
  <c r="Y10" i="14"/>
  <c r="Z10" i="14" s="1"/>
  <c r="Y12" i="14"/>
  <c r="Z12" i="14" s="1"/>
  <c r="Y43" i="14"/>
  <c r="Z43" i="14" s="1"/>
  <c r="Y41" i="14"/>
  <c r="Z41" i="14" s="1"/>
  <c r="Y11" i="14"/>
  <c r="Z11" i="14" s="1"/>
  <c r="Y6" i="14"/>
  <c r="Z6" i="14" s="1"/>
  <c r="Y30" i="14"/>
  <c r="Z30" i="14" s="1"/>
  <c r="Y50" i="14"/>
  <c r="Z50" i="14" s="1"/>
  <c r="Y32" i="14"/>
  <c r="Z32" i="14" s="1"/>
  <c r="Y36" i="14"/>
  <c r="Z36" i="14" s="1"/>
  <c r="Y54" i="14"/>
  <c r="Z54" i="14" s="1"/>
  <c r="Y13" i="14"/>
  <c r="Z13" i="14" s="1"/>
  <c r="Y58" i="14" l="1"/>
  <c r="Z58" i="14"/>
  <c r="L6" i="10"/>
  <c r="L7" i="10"/>
  <c r="F7" i="10"/>
  <c r="F5" i="10"/>
  <c r="F6" i="10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D3" i="13"/>
  <c r="E3" i="13" s="1"/>
  <c r="D4" i="13"/>
  <c r="E4" i="13" s="1"/>
  <c r="D5" i="13"/>
  <c r="E5" i="13" s="1"/>
  <c r="D6" i="13"/>
  <c r="E6" i="13" s="1"/>
  <c r="D7" i="13"/>
  <c r="E7" i="13" s="1"/>
  <c r="D8" i="13"/>
  <c r="E8" i="13" s="1"/>
  <c r="D9" i="13"/>
  <c r="E9" i="13" s="1"/>
  <c r="D10" i="13"/>
  <c r="E10" i="13" s="1"/>
  <c r="D11" i="13"/>
  <c r="E11" i="13" s="1"/>
  <c r="D12" i="13"/>
  <c r="E12" i="13" s="1"/>
  <c r="D13" i="13"/>
  <c r="E13" i="13" s="1"/>
  <c r="D14" i="13"/>
  <c r="E14" i="13" s="1"/>
  <c r="D15" i="13"/>
  <c r="E15" i="13" s="1"/>
  <c r="D16" i="13"/>
  <c r="E16" i="13" s="1"/>
  <c r="D17" i="13"/>
  <c r="E17" i="13" s="1"/>
  <c r="D18" i="13"/>
  <c r="E18" i="13" s="1"/>
  <c r="D19" i="13"/>
  <c r="E19" i="13" s="1"/>
  <c r="D20" i="13"/>
  <c r="E20" i="13" s="1"/>
  <c r="D21" i="13"/>
  <c r="E21" i="13" s="1"/>
  <c r="D22" i="13"/>
  <c r="E22" i="13" s="1"/>
  <c r="D23" i="13"/>
  <c r="E23" i="13" s="1"/>
  <c r="D24" i="13"/>
  <c r="E24" i="13" s="1"/>
  <c r="D25" i="13"/>
  <c r="E25" i="13" s="1"/>
  <c r="D26" i="13"/>
  <c r="E26" i="13" s="1"/>
  <c r="D27" i="13"/>
  <c r="E27" i="13" s="1"/>
  <c r="D28" i="13"/>
  <c r="E28" i="13" s="1"/>
  <c r="D29" i="13"/>
  <c r="E29" i="13" s="1"/>
  <c r="D30" i="13"/>
  <c r="E30" i="13" s="1"/>
  <c r="D31" i="13"/>
  <c r="E31" i="13" s="1"/>
  <c r="D32" i="13"/>
  <c r="E32" i="13" s="1"/>
  <c r="D33" i="13"/>
  <c r="E33" i="13" s="1"/>
  <c r="D34" i="13"/>
  <c r="E34" i="13" s="1"/>
  <c r="D35" i="13"/>
  <c r="E35" i="13" s="1"/>
  <c r="D36" i="13"/>
  <c r="E36" i="13" s="1"/>
  <c r="D37" i="13"/>
  <c r="E37" i="13" s="1"/>
  <c r="D38" i="13"/>
  <c r="E38" i="13" s="1"/>
  <c r="D39" i="13"/>
  <c r="E39" i="13" s="1"/>
  <c r="D40" i="13"/>
  <c r="E40" i="13" s="1"/>
  <c r="D41" i="13"/>
  <c r="E41" i="13" s="1"/>
  <c r="D42" i="13"/>
  <c r="E42" i="13" s="1"/>
  <c r="D43" i="13"/>
  <c r="E43" i="13" s="1"/>
  <c r="D44" i="13"/>
  <c r="E44" i="13" s="1"/>
  <c r="D45" i="13"/>
  <c r="E45" i="13" s="1"/>
  <c r="D46" i="13"/>
  <c r="E46" i="13" s="1"/>
  <c r="D47" i="13"/>
  <c r="E47" i="13" s="1"/>
  <c r="D48" i="13"/>
  <c r="E48" i="13" s="1"/>
  <c r="D49" i="13"/>
  <c r="E49" i="13" s="1"/>
  <c r="D50" i="13"/>
  <c r="E50" i="13" s="1"/>
  <c r="D51" i="13"/>
  <c r="E51" i="13" s="1"/>
  <c r="D52" i="13"/>
  <c r="E52" i="13" s="1"/>
  <c r="D53" i="13"/>
  <c r="E53" i="13" s="1"/>
  <c r="D54" i="13"/>
  <c r="E54" i="13" s="1"/>
  <c r="D55" i="13"/>
  <c r="E55" i="13" s="1"/>
  <c r="D56" i="13"/>
  <c r="E56" i="13" s="1"/>
  <c r="D57" i="13"/>
  <c r="E57" i="13" s="1"/>
  <c r="D58" i="13"/>
  <c r="E58" i="13" s="1"/>
  <c r="D59" i="13"/>
  <c r="E59" i="13" s="1"/>
  <c r="D60" i="13"/>
  <c r="E60" i="13" s="1"/>
  <c r="D61" i="13"/>
  <c r="E61" i="13" s="1"/>
  <c r="D62" i="13"/>
  <c r="E62" i="13" s="1"/>
  <c r="D63" i="13"/>
  <c r="E63" i="13" s="1"/>
  <c r="D64" i="13"/>
  <c r="E64" i="13" s="1"/>
  <c r="D65" i="13"/>
  <c r="E65" i="13" s="1"/>
  <c r="D66" i="13"/>
  <c r="E66" i="13" s="1"/>
  <c r="D67" i="13"/>
  <c r="E67" i="13" s="1"/>
  <c r="D68" i="13"/>
  <c r="E68" i="13" s="1"/>
  <c r="D69" i="13"/>
  <c r="E69" i="13" s="1"/>
  <c r="D70" i="13"/>
  <c r="E70" i="13" s="1"/>
  <c r="D71" i="13"/>
  <c r="E71" i="13" s="1"/>
  <c r="D72" i="13"/>
  <c r="E72" i="13" s="1"/>
  <c r="D73" i="13"/>
  <c r="E73" i="13" s="1"/>
  <c r="D74" i="13"/>
  <c r="E74" i="13" s="1"/>
  <c r="D75" i="13"/>
  <c r="E75" i="13" s="1"/>
  <c r="D76" i="13"/>
  <c r="E76" i="13" s="1"/>
  <c r="D77" i="13"/>
  <c r="E77" i="13" s="1"/>
  <c r="D78" i="13"/>
  <c r="E78" i="13" s="1"/>
  <c r="D79" i="13"/>
  <c r="E79" i="13" s="1"/>
  <c r="D80" i="13"/>
  <c r="E80" i="13" s="1"/>
  <c r="D81" i="13"/>
  <c r="E81" i="13" s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J67" i="11" s="1"/>
  <c r="G68" i="11"/>
  <c r="J68" i="11" s="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E5" i="11"/>
  <c r="E16" i="11"/>
  <c r="E17" i="11"/>
  <c r="E40" i="11"/>
  <c r="E41" i="11"/>
  <c r="E42" i="11"/>
  <c r="E46" i="11"/>
  <c r="E47" i="11"/>
  <c r="E49" i="11"/>
  <c r="E50" i="11"/>
  <c r="E76" i="11"/>
  <c r="E77" i="11"/>
  <c r="E78" i="11"/>
  <c r="J78" i="11" s="1"/>
  <c r="D3" i="11"/>
  <c r="E3" i="11" s="1"/>
  <c r="J3" i="11" s="1"/>
  <c r="D4" i="11"/>
  <c r="E4" i="11" s="1"/>
  <c r="D5" i="11"/>
  <c r="D6" i="11"/>
  <c r="E6" i="11" s="1"/>
  <c r="D7" i="11"/>
  <c r="E7" i="11" s="1"/>
  <c r="D8" i="11"/>
  <c r="E8" i="11" s="1"/>
  <c r="D9" i="11"/>
  <c r="E9" i="11" s="1"/>
  <c r="D10" i="11"/>
  <c r="E10" i="11" s="1"/>
  <c r="D11" i="11"/>
  <c r="E11" i="11" s="1"/>
  <c r="D12" i="11"/>
  <c r="E12" i="11" s="1"/>
  <c r="D13" i="11"/>
  <c r="E13" i="11" s="1"/>
  <c r="J13" i="11" s="1"/>
  <c r="D14" i="11"/>
  <c r="E14" i="11" s="1"/>
  <c r="J14" i="11" s="1"/>
  <c r="D15" i="11"/>
  <c r="E15" i="11" s="1"/>
  <c r="J15" i="11" s="1"/>
  <c r="D16" i="11"/>
  <c r="D17" i="11"/>
  <c r="D18" i="11"/>
  <c r="E18" i="11" s="1"/>
  <c r="D19" i="11"/>
  <c r="E19" i="11" s="1"/>
  <c r="D20" i="11"/>
  <c r="E20" i="11" s="1"/>
  <c r="D21" i="11"/>
  <c r="E21" i="11" s="1"/>
  <c r="D22" i="11"/>
  <c r="E22" i="11" s="1"/>
  <c r="D23" i="11"/>
  <c r="E23" i="11" s="1"/>
  <c r="D24" i="11"/>
  <c r="E24" i="11" s="1"/>
  <c r="D25" i="11"/>
  <c r="E25" i="11" s="1"/>
  <c r="D26" i="11"/>
  <c r="E26" i="11" s="1"/>
  <c r="D27" i="11"/>
  <c r="E27" i="11" s="1"/>
  <c r="D28" i="11"/>
  <c r="E28" i="11" s="1"/>
  <c r="D29" i="11"/>
  <c r="E29" i="11" s="1"/>
  <c r="J29" i="11" s="1"/>
  <c r="D30" i="11"/>
  <c r="E30" i="11" s="1"/>
  <c r="D31" i="11"/>
  <c r="E31" i="11" s="1"/>
  <c r="D32" i="11"/>
  <c r="E32" i="11" s="1"/>
  <c r="D33" i="11"/>
  <c r="E33" i="11" s="1"/>
  <c r="D34" i="11"/>
  <c r="E34" i="11" s="1"/>
  <c r="D35" i="11"/>
  <c r="E35" i="11" s="1"/>
  <c r="D36" i="11"/>
  <c r="E36" i="11" s="1"/>
  <c r="D37" i="11"/>
  <c r="E37" i="11" s="1"/>
  <c r="D38" i="11"/>
  <c r="E38" i="11" s="1"/>
  <c r="D39" i="11"/>
  <c r="E39" i="11" s="1"/>
  <c r="D40" i="11"/>
  <c r="D41" i="11"/>
  <c r="D42" i="11"/>
  <c r="D43" i="11"/>
  <c r="E43" i="11" s="1"/>
  <c r="D44" i="11"/>
  <c r="E44" i="11" s="1"/>
  <c r="D45" i="11"/>
  <c r="E45" i="11" s="1"/>
  <c r="D46" i="11"/>
  <c r="D47" i="11"/>
  <c r="D48" i="11"/>
  <c r="E48" i="11" s="1"/>
  <c r="D49" i="11"/>
  <c r="D50" i="11"/>
  <c r="D51" i="11"/>
  <c r="E51" i="11" s="1"/>
  <c r="J51" i="11" s="1"/>
  <c r="D52" i="11"/>
  <c r="E52" i="11" s="1"/>
  <c r="D53" i="11"/>
  <c r="E53" i="11" s="1"/>
  <c r="D54" i="11"/>
  <c r="E54" i="11" s="1"/>
  <c r="D55" i="11"/>
  <c r="E55" i="11" s="1"/>
  <c r="D56" i="11"/>
  <c r="E56" i="11" s="1"/>
  <c r="D57" i="11"/>
  <c r="E57" i="11" s="1"/>
  <c r="D58" i="11"/>
  <c r="E58" i="11" s="1"/>
  <c r="D59" i="11"/>
  <c r="E59" i="11" s="1"/>
  <c r="D60" i="11"/>
  <c r="E60" i="11" s="1"/>
  <c r="D61" i="11"/>
  <c r="E61" i="11" s="1"/>
  <c r="J61" i="11" s="1"/>
  <c r="D62" i="11"/>
  <c r="E62" i="11" s="1"/>
  <c r="J62" i="11" s="1"/>
  <c r="D63" i="11"/>
  <c r="E63" i="11" s="1"/>
  <c r="J63" i="11" s="1"/>
  <c r="D64" i="11"/>
  <c r="E64" i="11" s="1"/>
  <c r="D65" i="11"/>
  <c r="E65" i="11" s="1"/>
  <c r="D66" i="11"/>
  <c r="E66" i="11" s="1"/>
  <c r="D67" i="11"/>
  <c r="E67" i="11" s="1"/>
  <c r="D68" i="11"/>
  <c r="E68" i="11" s="1"/>
  <c r="D69" i="11"/>
  <c r="E69" i="11" s="1"/>
  <c r="D70" i="11"/>
  <c r="E70" i="11" s="1"/>
  <c r="D71" i="11"/>
  <c r="E71" i="11" s="1"/>
  <c r="D72" i="11"/>
  <c r="E72" i="11" s="1"/>
  <c r="D73" i="11"/>
  <c r="E73" i="11" s="1"/>
  <c r="D74" i="11"/>
  <c r="E74" i="11" s="1"/>
  <c r="D75" i="11"/>
  <c r="E75" i="11" s="1"/>
  <c r="D76" i="11"/>
  <c r="D77" i="11"/>
  <c r="D78" i="11"/>
  <c r="D79" i="11"/>
  <c r="E79" i="11" s="1"/>
  <c r="D80" i="11"/>
  <c r="E80" i="11" s="1"/>
  <c r="D81" i="11"/>
  <c r="E81" i="11" s="1"/>
  <c r="D82" i="11"/>
  <c r="E82" i="11" s="1"/>
  <c r="D83" i="11"/>
  <c r="E83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E10" i="4"/>
  <c r="E15" i="4"/>
  <c r="J15" i="4" s="1"/>
  <c r="E16" i="4"/>
  <c r="J16" i="4" s="1"/>
  <c r="E34" i="4"/>
  <c r="D3" i="4"/>
  <c r="E3" i="4" s="1"/>
  <c r="J3" i="4" s="1"/>
  <c r="D4" i="4"/>
  <c r="E4" i="4" s="1"/>
  <c r="D5" i="4"/>
  <c r="E5" i="4" s="1"/>
  <c r="D6" i="4"/>
  <c r="E6" i="4" s="1"/>
  <c r="J6" i="4" s="1"/>
  <c r="D7" i="4"/>
  <c r="E7" i="4" s="1"/>
  <c r="D8" i="4"/>
  <c r="E8" i="4" s="1"/>
  <c r="D9" i="4"/>
  <c r="E9" i="4" s="1"/>
  <c r="D10" i="4"/>
  <c r="D11" i="4"/>
  <c r="E11" i="4" s="1"/>
  <c r="D12" i="4"/>
  <c r="E12" i="4" s="1"/>
  <c r="D13" i="4"/>
  <c r="E13" i="4" s="1"/>
  <c r="D14" i="4"/>
  <c r="E14" i="4" s="1"/>
  <c r="D15" i="4"/>
  <c r="D16" i="4"/>
  <c r="D17" i="4"/>
  <c r="E17" i="4" s="1"/>
  <c r="J17" i="4" s="1"/>
  <c r="D18" i="4"/>
  <c r="E18" i="4" s="1"/>
  <c r="J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J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D35" i="4"/>
  <c r="E35" i="4" s="1"/>
  <c r="D36" i="4"/>
  <c r="E36" i="4" s="1"/>
  <c r="D37" i="4"/>
  <c r="E37" i="4" s="1"/>
  <c r="D38" i="4"/>
  <c r="E38" i="4" s="1"/>
  <c r="D39" i="4"/>
  <c r="E39" i="4" s="1"/>
  <c r="J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J51" i="4" s="1"/>
  <c r="D52" i="4"/>
  <c r="E52" i="4" s="1"/>
  <c r="D53" i="4"/>
  <c r="E53" i="4" s="1"/>
  <c r="D54" i="4"/>
  <c r="E54" i="4" s="1"/>
  <c r="J54" i="4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J63" i="4" s="1"/>
  <c r="D64" i="4"/>
  <c r="E64" i="4" s="1"/>
  <c r="D65" i="4"/>
  <c r="E65" i="4" s="1"/>
  <c r="D66" i="4"/>
  <c r="E66" i="4" s="1"/>
  <c r="J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J75" i="4" s="1"/>
  <c r="D76" i="4"/>
  <c r="E76" i="4" s="1"/>
  <c r="J76" i="4" s="1"/>
  <c r="D77" i="4"/>
  <c r="E77" i="4" s="1"/>
  <c r="D78" i="4"/>
  <c r="E78" i="4" s="1"/>
  <c r="J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J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J99" i="4" s="1"/>
  <c r="D100" i="4"/>
  <c r="E100" i="4" s="1"/>
  <c r="D101" i="4"/>
  <c r="E101" i="4" s="1"/>
  <c r="J101" i="4" s="1"/>
  <c r="D102" i="4"/>
  <c r="E102" i="4" s="1"/>
  <c r="J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1" i="4"/>
  <c r="E111" i="4" s="1"/>
  <c r="J111" i="4" s="1"/>
  <c r="D112" i="4"/>
  <c r="E112" i="4" s="1"/>
  <c r="D113" i="4"/>
  <c r="E113" i="4" s="1"/>
  <c r="D114" i="4"/>
  <c r="E114" i="4" s="1"/>
  <c r="L55" i="13"/>
  <c r="M55" i="13"/>
  <c r="R55" i="13"/>
  <c r="W55" i="13"/>
  <c r="L56" i="13"/>
  <c r="M56" i="13"/>
  <c r="R56" i="13"/>
  <c r="W56" i="13"/>
  <c r="L57" i="13"/>
  <c r="M57" i="13"/>
  <c r="R57" i="13"/>
  <c r="W57" i="13"/>
  <c r="L58" i="13"/>
  <c r="M58" i="13"/>
  <c r="R58" i="13"/>
  <c r="W58" i="13"/>
  <c r="L59" i="13"/>
  <c r="M59" i="13"/>
  <c r="R59" i="13"/>
  <c r="W59" i="13"/>
  <c r="L60" i="13"/>
  <c r="M60" i="13"/>
  <c r="R60" i="13"/>
  <c r="W60" i="13"/>
  <c r="L61" i="13"/>
  <c r="M61" i="13"/>
  <c r="R61" i="13"/>
  <c r="W61" i="13"/>
  <c r="L62" i="13"/>
  <c r="M62" i="13"/>
  <c r="R62" i="13"/>
  <c r="W62" i="13"/>
  <c r="L63" i="13"/>
  <c r="M63" i="13"/>
  <c r="R63" i="13"/>
  <c r="W63" i="13"/>
  <c r="L64" i="13"/>
  <c r="M64" i="13"/>
  <c r="R64" i="13"/>
  <c r="W64" i="13"/>
  <c r="L65" i="13"/>
  <c r="M65" i="13"/>
  <c r="R65" i="13"/>
  <c r="W65" i="13"/>
  <c r="L66" i="13"/>
  <c r="M66" i="13"/>
  <c r="R66" i="13"/>
  <c r="W66" i="13"/>
  <c r="L67" i="13"/>
  <c r="M67" i="13"/>
  <c r="R67" i="13"/>
  <c r="W67" i="13"/>
  <c r="L68" i="13"/>
  <c r="M68" i="13"/>
  <c r="R68" i="13"/>
  <c r="W68" i="13"/>
  <c r="L69" i="13"/>
  <c r="M69" i="13"/>
  <c r="R69" i="13"/>
  <c r="W69" i="13"/>
  <c r="L70" i="13"/>
  <c r="M70" i="13"/>
  <c r="R70" i="13"/>
  <c r="W70" i="13"/>
  <c r="L71" i="13"/>
  <c r="M71" i="13"/>
  <c r="R71" i="13"/>
  <c r="W71" i="13"/>
  <c r="L72" i="13"/>
  <c r="M72" i="13"/>
  <c r="R72" i="13"/>
  <c r="W72" i="13"/>
  <c r="L73" i="13"/>
  <c r="M73" i="13"/>
  <c r="R73" i="13"/>
  <c r="W73" i="13"/>
  <c r="L74" i="13"/>
  <c r="M74" i="13"/>
  <c r="R74" i="13"/>
  <c r="W74" i="13"/>
  <c r="L75" i="13"/>
  <c r="M75" i="13"/>
  <c r="R75" i="13"/>
  <c r="W75" i="13"/>
  <c r="L76" i="13"/>
  <c r="M76" i="13"/>
  <c r="R76" i="13"/>
  <c r="W76" i="13"/>
  <c r="L77" i="13"/>
  <c r="M77" i="13"/>
  <c r="R77" i="13"/>
  <c r="W77" i="13"/>
  <c r="L78" i="13"/>
  <c r="M78" i="13"/>
  <c r="R78" i="13"/>
  <c r="W78" i="13"/>
  <c r="L79" i="13"/>
  <c r="M79" i="13"/>
  <c r="R79" i="13"/>
  <c r="W79" i="13"/>
  <c r="L80" i="13"/>
  <c r="M80" i="13"/>
  <c r="R80" i="13"/>
  <c r="W80" i="13"/>
  <c r="L81" i="13"/>
  <c r="M81" i="13"/>
  <c r="R81" i="13"/>
  <c r="W81" i="13"/>
  <c r="U2" i="11"/>
  <c r="L75" i="11"/>
  <c r="M75" i="11"/>
  <c r="R75" i="11"/>
  <c r="L76" i="11"/>
  <c r="M76" i="11"/>
  <c r="R76" i="11"/>
  <c r="L77" i="11"/>
  <c r="M77" i="11"/>
  <c r="R77" i="11"/>
  <c r="L78" i="11"/>
  <c r="M78" i="11"/>
  <c r="R78" i="11"/>
  <c r="L79" i="11"/>
  <c r="M79" i="11"/>
  <c r="R79" i="11"/>
  <c r="L80" i="11"/>
  <c r="M80" i="11"/>
  <c r="R80" i="11"/>
  <c r="L81" i="11"/>
  <c r="M81" i="11"/>
  <c r="R81" i="11"/>
  <c r="L82" i="11"/>
  <c r="M82" i="11"/>
  <c r="R82" i="11"/>
  <c r="L83" i="11"/>
  <c r="M83" i="11"/>
  <c r="R83" i="11"/>
  <c r="L55" i="11"/>
  <c r="M55" i="11"/>
  <c r="R55" i="11"/>
  <c r="L56" i="11"/>
  <c r="M56" i="11"/>
  <c r="R56" i="11"/>
  <c r="L57" i="11"/>
  <c r="M57" i="11"/>
  <c r="R57" i="11"/>
  <c r="L58" i="11"/>
  <c r="M58" i="11"/>
  <c r="R58" i="11"/>
  <c r="L59" i="11"/>
  <c r="M59" i="11"/>
  <c r="R59" i="11"/>
  <c r="L60" i="11"/>
  <c r="M60" i="11"/>
  <c r="R60" i="11"/>
  <c r="L61" i="11"/>
  <c r="M61" i="11"/>
  <c r="R61" i="11"/>
  <c r="L62" i="11"/>
  <c r="M62" i="11"/>
  <c r="R62" i="11"/>
  <c r="L63" i="11"/>
  <c r="M63" i="11"/>
  <c r="R63" i="11"/>
  <c r="L64" i="11"/>
  <c r="M64" i="11"/>
  <c r="R64" i="11"/>
  <c r="L65" i="11"/>
  <c r="M65" i="11"/>
  <c r="R65" i="11"/>
  <c r="L66" i="11"/>
  <c r="M66" i="11"/>
  <c r="R66" i="11"/>
  <c r="L67" i="11"/>
  <c r="M67" i="11"/>
  <c r="R67" i="11"/>
  <c r="L68" i="11"/>
  <c r="M68" i="11"/>
  <c r="R68" i="11"/>
  <c r="L69" i="11"/>
  <c r="M69" i="11"/>
  <c r="R69" i="11"/>
  <c r="L70" i="11"/>
  <c r="M70" i="11"/>
  <c r="R70" i="11"/>
  <c r="L71" i="11"/>
  <c r="M71" i="11"/>
  <c r="R71" i="11"/>
  <c r="L72" i="11"/>
  <c r="M72" i="11"/>
  <c r="R72" i="11"/>
  <c r="L73" i="11"/>
  <c r="M73" i="11"/>
  <c r="R73" i="11"/>
  <c r="L74" i="11"/>
  <c r="M74" i="11"/>
  <c r="R74" i="11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2" i="12"/>
  <c r="J77" i="11" l="1"/>
  <c r="J44" i="11"/>
  <c r="J32" i="11"/>
  <c r="J20" i="11"/>
  <c r="J55" i="11"/>
  <c r="J80" i="11"/>
  <c r="N80" i="11" s="1"/>
  <c r="S80" i="11" s="1"/>
  <c r="T80" i="11" s="1"/>
  <c r="J8" i="11"/>
  <c r="J66" i="11"/>
  <c r="J30" i="11"/>
  <c r="J18" i="11"/>
  <c r="J65" i="11"/>
  <c r="N65" i="11" s="1"/>
  <c r="S65" i="11" s="1"/>
  <c r="T65" i="11" s="1"/>
  <c r="J31" i="11"/>
  <c r="J19" i="11"/>
  <c r="J7" i="11"/>
  <c r="J56" i="11"/>
  <c r="J64" i="11"/>
  <c r="J106" i="4"/>
  <c r="J58" i="13"/>
  <c r="N58" i="13" s="1"/>
  <c r="S58" i="13" s="1"/>
  <c r="T58" i="13" s="1"/>
  <c r="J47" i="13"/>
  <c r="X77" i="13"/>
  <c r="X65" i="13"/>
  <c r="J59" i="13"/>
  <c r="N59" i="13" s="1"/>
  <c r="S59" i="13" s="1"/>
  <c r="T59" i="13" s="1"/>
  <c r="J35" i="13"/>
  <c r="J23" i="13"/>
  <c r="J11" i="13"/>
  <c r="J71" i="13"/>
  <c r="N71" i="13" s="1"/>
  <c r="S71" i="13" s="1"/>
  <c r="T71" i="13" s="1"/>
  <c r="J70" i="13"/>
  <c r="N70" i="13" s="1"/>
  <c r="S70" i="13" s="1"/>
  <c r="T70" i="13" s="1"/>
  <c r="J46" i="13"/>
  <c r="J34" i="13"/>
  <c r="J22" i="13"/>
  <c r="J10" i="13"/>
  <c r="J56" i="13"/>
  <c r="N56" i="13" s="1"/>
  <c r="J74" i="13"/>
  <c r="N74" i="13" s="1"/>
  <c r="S74" i="13" s="1"/>
  <c r="T74" i="13" s="1"/>
  <c r="J73" i="13"/>
  <c r="N73" i="13" s="1"/>
  <c r="S73" i="13" s="1"/>
  <c r="T73" i="13" s="1"/>
  <c r="J61" i="13"/>
  <c r="N61" i="13" s="1"/>
  <c r="S61" i="13" s="1"/>
  <c r="T61" i="13" s="1"/>
  <c r="J49" i="13"/>
  <c r="J37" i="13"/>
  <c r="J25" i="13"/>
  <c r="J13" i="13"/>
  <c r="X60" i="13"/>
  <c r="X67" i="13"/>
  <c r="J79" i="13"/>
  <c r="N79" i="13" s="1"/>
  <c r="S79" i="13" s="1"/>
  <c r="T79" i="13" s="1"/>
  <c r="J67" i="13"/>
  <c r="N67" i="13" s="1"/>
  <c r="S67" i="13" s="1"/>
  <c r="T67" i="13" s="1"/>
  <c r="J55" i="13"/>
  <c r="N55" i="13" s="1"/>
  <c r="J43" i="13"/>
  <c r="J31" i="13"/>
  <c r="J19" i="13"/>
  <c r="J7" i="13"/>
  <c r="J78" i="13"/>
  <c r="J66" i="13"/>
  <c r="J54" i="13"/>
  <c r="J42" i="13"/>
  <c r="J30" i="13"/>
  <c r="J18" i="13"/>
  <c r="J6" i="13"/>
  <c r="J81" i="13"/>
  <c r="N81" i="13" s="1"/>
  <c r="S81" i="13" s="1"/>
  <c r="T81" i="13" s="1"/>
  <c r="J69" i="13"/>
  <c r="N69" i="13" s="1"/>
  <c r="S69" i="13" s="1"/>
  <c r="T69" i="13" s="1"/>
  <c r="J57" i="13"/>
  <c r="N57" i="13" s="1"/>
  <c r="S57" i="13" s="1"/>
  <c r="T57" i="13" s="1"/>
  <c r="J45" i="13"/>
  <c r="J33" i="13"/>
  <c r="J21" i="13"/>
  <c r="J9" i="13"/>
  <c r="J76" i="13"/>
  <c r="N76" i="13" s="1"/>
  <c r="S76" i="13" s="1"/>
  <c r="T76" i="13" s="1"/>
  <c r="J64" i="13"/>
  <c r="N64" i="13" s="1"/>
  <c r="S64" i="13" s="1"/>
  <c r="T64" i="13" s="1"/>
  <c r="J52" i="13"/>
  <c r="J40" i="13"/>
  <c r="J28" i="13"/>
  <c r="J16" i="13"/>
  <c r="J4" i="13"/>
  <c r="J77" i="13"/>
  <c r="N77" i="13" s="1"/>
  <c r="S77" i="13" s="1"/>
  <c r="T77" i="13" s="1"/>
  <c r="J65" i="13"/>
  <c r="N65" i="13" s="1"/>
  <c r="S65" i="13" s="1"/>
  <c r="T65" i="13" s="1"/>
  <c r="J53" i="13"/>
  <c r="J41" i="13"/>
  <c r="J29" i="13"/>
  <c r="J17" i="13"/>
  <c r="J5" i="13"/>
  <c r="J80" i="13"/>
  <c r="N80" i="13" s="1"/>
  <c r="S80" i="13" s="1"/>
  <c r="T80" i="13" s="1"/>
  <c r="J68" i="13"/>
  <c r="J44" i="13"/>
  <c r="J32" i="13"/>
  <c r="J20" i="13"/>
  <c r="J8" i="13"/>
  <c r="J75" i="13"/>
  <c r="N75" i="13" s="1"/>
  <c r="S75" i="13" s="1"/>
  <c r="T75" i="13" s="1"/>
  <c r="J63" i="13"/>
  <c r="N63" i="13" s="1"/>
  <c r="S63" i="13" s="1"/>
  <c r="T63" i="13" s="1"/>
  <c r="J51" i="13"/>
  <c r="J39" i="13"/>
  <c r="J27" i="13"/>
  <c r="J15" i="13"/>
  <c r="J3" i="13"/>
  <c r="J62" i="13"/>
  <c r="N62" i="13" s="1"/>
  <c r="S62" i="13" s="1"/>
  <c r="T62" i="13" s="1"/>
  <c r="J50" i="13"/>
  <c r="J38" i="13"/>
  <c r="J26" i="13"/>
  <c r="J14" i="13"/>
  <c r="J72" i="13"/>
  <c r="N72" i="13" s="1"/>
  <c r="S72" i="13" s="1"/>
  <c r="T72" i="13" s="1"/>
  <c r="J60" i="13"/>
  <c r="N60" i="13" s="1"/>
  <c r="S60" i="13" s="1"/>
  <c r="T60" i="13" s="1"/>
  <c r="J48" i="13"/>
  <c r="J36" i="13"/>
  <c r="J24" i="13"/>
  <c r="J12" i="13"/>
  <c r="J25" i="11"/>
  <c r="J28" i="11"/>
  <c r="J42" i="11"/>
  <c r="J41" i="11"/>
  <c r="J74" i="11"/>
  <c r="N74" i="11" s="1"/>
  <c r="S74" i="11" s="1"/>
  <c r="T74" i="11" s="1"/>
  <c r="J40" i="11"/>
  <c r="J43" i="11"/>
  <c r="J39" i="11"/>
  <c r="J5" i="11"/>
  <c r="J83" i="11"/>
  <c r="J59" i="11"/>
  <c r="N59" i="11" s="1"/>
  <c r="S59" i="11" s="1"/>
  <c r="T59" i="11" s="1"/>
  <c r="J35" i="11"/>
  <c r="J11" i="11"/>
  <c r="J54" i="11"/>
  <c r="J6" i="11"/>
  <c r="J53" i="11"/>
  <c r="J38" i="11"/>
  <c r="J4" i="11"/>
  <c r="J82" i="11"/>
  <c r="N82" i="11" s="1"/>
  <c r="S82" i="11" s="1"/>
  <c r="T82" i="11" s="1"/>
  <c r="J70" i="11"/>
  <c r="N70" i="11" s="1"/>
  <c r="S70" i="11" s="1"/>
  <c r="T70" i="11" s="1"/>
  <c r="J58" i="11"/>
  <c r="J46" i="11"/>
  <c r="J34" i="11"/>
  <c r="J22" i="11"/>
  <c r="J10" i="11"/>
  <c r="J52" i="11"/>
  <c r="J37" i="11"/>
  <c r="J81" i="11"/>
  <c r="N81" i="11" s="1"/>
  <c r="S81" i="11" s="1"/>
  <c r="T81" i="11" s="1"/>
  <c r="J69" i="11"/>
  <c r="N69" i="11" s="1"/>
  <c r="S69" i="11" s="1"/>
  <c r="T69" i="11" s="1"/>
  <c r="J57" i="11"/>
  <c r="J45" i="11"/>
  <c r="J33" i="11"/>
  <c r="J21" i="11"/>
  <c r="J9" i="11"/>
  <c r="J76" i="11"/>
  <c r="N76" i="11" s="1"/>
  <c r="S76" i="11" s="1"/>
  <c r="T76" i="11" s="1"/>
  <c r="J27" i="11"/>
  <c r="J75" i="11"/>
  <c r="J26" i="11"/>
  <c r="J79" i="11"/>
  <c r="N79" i="11" s="1"/>
  <c r="S79" i="11" s="1"/>
  <c r="T79" i="11" s="1"/>
  <c r="J73" i="11"/>
  <c r="N73" i="11" s="1"/>
  <c r="S73" i="11" s="1"/>
  <c r="T73" i="11" s="1"/>
  <c r="J71" i="11"/>
  <c r="N71" i="11" s="1"/>
  <c r="S71" i="11" s="1"/>
  <c r="T71" i="11" s="1"/>
  <c r="J47" i="11"/>
  <c r="J23" i="11"/>
  <c r="J50" i="11"/>
  <c r="J17" i="11"/>
  <c r="J49" i="11"/>
  <c r="J16" i="11"/>
  <c r="J34" i="4"/>
  <c r="J46" i="4"/>
  <c r="J82" i="4"/>
  <c r="J22" i="4"/>
  <c r="J10" i="4"/>
  <c r="J77" i="4"/>
  <c r="J65" i="4"/>
  <c r="J53" i="4"/>
  <c r="J70" i="4"/>
  <c r="J112" i="4"/>
  <c r="J100" i="4"/>
  <c r="J88" i="4"/>
  <c r="J64" i="4"/>
  <c r="J52" i="4"/>
  <c r="J40" i="4"/>
  <c r="J28" i="4"/>
  <c r="J4" i="4"/>
  <c r="J58" i="4"/>
  <c r="X81" i="13"/>
  <c r="X69" i="13"/>
  <c r="X57" i="13"/>
  <c r="X76" i="13"/>
  <c r="X59" i="13"/>
  <c r="X73" i="13"/>
  <c r="X61" i="13"/>
  <c r="X75" i="13"/>
  <c r="X68" i="13"/>
  <c r="X70" i="11"/>
  <c r="X58" i="11"/>
  <c r="X72" i="11"/>
  <c r="X60" i="11"/>
  <c r="N77" i="11"/>
  <c r="S77" i="11" s="1"/>
  <c r="T77" i="11" s="1"/>
  <c r="J72" i="11"/>
  <c r="J48" i="11"/>
  <c r="J36" i="11"/>
  <c r="J12" i="11"/>
  <c r="J60" i="11"/>
  <c r="N60" i="11" s="1"/>
  <c r="S60" i="11" s="1"/>
  <c r="T60" i="11" s="1"/>
  <c r="J24" i="11"/>
  <c r="X74" i="11"/>
  <c r="X69" i="11"/>
  <c r="X57" i="11"/>
  <c r="X71" i="11"/>
  <c r="X59" i="11"/>
  <c r="N66" i="11"/>
  <c r="X73" i="11"/>
  <c r="J42" i="4"/>
  <c r="J41" i="4"/>
  <c r="J94" i="4"/>
  <c r="J110" i="4"/>
  <c r="J98" i="4"/>
  <c r="J86" i="4"/>
  <c r="J74" i="4"/>
  <c r="J62" i="4"/>
  <c r="J50" i="4"/>
  <c r="J38" i="4"/>
  <c r="J26" i="4"/>
  <c r="J14" i="4"/>
  <c r="J90" i="4"/>
  <c r="J5" i="4"/>
  <c r="J89" i="4"/>
  <c r="J30" i="4"/>
  <c r="J114" i="4"/>
  <c r="J29" i="4"/>
  <c r="J113" i="4"/>
  <c r="J109" i="4"/>
  <c r="J97" i="4"/>
  <c r="J85" i="4"/>
  <c r="J73" i="4"/>
  <c r="J61" i="4"/>
  <c r="J49" i="4"/>
  <c r="J37" i="4"/>
  <c r="J25" i="4"/>
  <c r="J13" i="4"/>
  <c r="J108" i="4"/>
  <c r="J96" i="4"/>
  <c r="J84" i="4"/>
  <c r="J72" i="4"/>
  <c r="J60" i="4"/>
  <c r="J48" i="4"/>
  <c r="J36" i="4"/>
  <c r="J24" i="4"/>
  <c r="J12" i="4"/>
  <c r="J107" i="4"/>
  <c r="J95" i="4"/>
  <c r="J83" i="4"/>
  <c r="J71" i="4"/>
  <c r="J59" i="4"/>
  <c r="J47" i="4"/>
  <c r="J35" i="4"/>
  <c r="J23" i="4"/>
  <c r="J11" i="4"/>
  <c r="J8" i="4"/>
  <c r="J105" i="4"/>
  <c r="J93" i="4"/>
  <c r="J81" i="4"/>
  <c r="J69" i="4"/>
  <c r="J57" i="4"/>
  <c r="J45" i="4"/>
  <c r="J33" i="4"/>
  <c r="J21" i="4"/>
  <c r="J9" i="4"/>
  <c r="J104" i="4"/>
  <c r="J92" i="4"/>
  <c r="J80" i="4"/>
  <c r="J68" i="4"/>
  <c r="J56" i="4"/>
  <c r="J44" i="4"/>
  <c r="J32" i="4"/>
  <c r="J20" i="4"/>
  <c r="J103" i="4"/>
  <c r="J91" i="4"/>
  <c r="J79" i="4"/>
  <c r="J67" i="4"/>
  <c r="J55" i="4"/>
  <c r="J43" i="4"/>
  <c r="J31" i="4"/>
  <c r="J19" i="4"/>
  <c r="J7" i="4"/>
  <c r="X55" i="13"/>
  <c r="N66" i="13"/>
  <c r="S66" i="13" s="1"/>
  <c r="T66" i="13" s="1"/>
  <c r="X79" i="13"/>
  <c r="X71" i="13"/>
  <c r="X63" i="13"/>
  <c r="X74" i="13"/>
  <c r="X66" i="13"/>
  <c r="X58" i="13"/>
  <c r="X80" i="13"/>
  <c r="X72" i="13"/>
  <c r="X64" i="13"/>
  <c r="X56" i="13"/>
  <c r="X78" i="13"/>
  <c r="X70" i="13"/>
  <c r="X62" i="13"/>
  <c r="N78" i="13"/>
  <c r="S78" i="13" s="1"/>
  <c r="T78" i="13" s="1"/>
  <c r="N68" i="13"/>
  <c r="S68" i="13" s="1"/>
  <c r="T68" i="13" s="1"/>
  <c r="N55" i="11"/>
  <c r="S55" i="11" s="1"/>
  <c r="T55" i="11" s="1"/>
  <c r="N75" i="11"/>
  <c r="S75" i="11" s="1"/>
  <c r="T75" i="11" s="1"/>
  <c r="N63" i="11"/>
  <c r="S63" i="11" s="1"/>
  <c r="T63" i="11" s="1"/>
  <c r="N83" i="11"/>
  <c r="S83" i="11" s="1"/>
  <c r="T83" i="11" s="1"/>
  <c r="N64" i="11"/>
  <c r="S64" i="11" s="1"/>
  <c r="T64" i="11" s="1"/>
  <c r="N62" i="11"/>
  <c r="S62" i="11" s="1"/>
  <c r="T62" i="11" s="1"/>
  <c r="N72" i="11"/>
  <c r="S72" i="11" s="1"/>
  <c r="T72" i="11" s="1"/>
  <c r="N68" i="11"/>
  <c r="S68" i="11" s="1"/>
  <c r="T68" i="11" s="1"/>
  <c r="N56" i="11"/>
  <c r="S56" i="11" s="1"/>
  <c r="T56" i="11" s="1"/>
  <c r="N58" i="11"/>
  <c r="S58" i="11" s="1"/>
  <c r="T58" i="11" s="1"/>
  <c r="N67" i="11"/>
  <c r="S67" i="11" s="1"/>
  <c r="T67" i="11" s="1"/>
  <c r="N61" i="11"/>
  <c r="S61" i="11" s="1"/>
  <c r="T61" i="11" s="1"/>
  <c r="N57" i="11"/>
  <c r="S57" i="11" s="1"/>
  <c r="T57" i="11" s="1"/>
  <c r="N78" i="11"/>
  <c r="S78" i="11" s="1"/>
  <c r="T78" i="11" s="1"/>
  <c r="X62" i="11"/>
  <c r="X63" i="11"/>
  <c r="X64" i="11"/>
  <c r="X65" i="11"/>
  <c r="X61" i="11"/>
  <c r="X66" i="11"/>
  <c r="X83" i="11"/>
  <c r="X82" i="11"/>
  <c r="X81" i="11"/>
  <c r="X80" i="11"/>
  <c r="X79" i="11"/>
  <c r="X78" i="11"/>
  <c r="X77" i="11"/>
  <c r="X76" i="11"/>
  <c r="X75" i="11"/>
  <c r="X67" i="11"/>
  <c r="X55" i="11"/>
  <c r="X68" i="11"/>
  <c r="X56" i="11"/>
  <c r="S66" i="11"/>
  <c r="T66" i="11" s="1"/>
  <c r="Y70" i="11" l="1"/>
  <c r="Z70" i="11" s="1"/>
  <c r="Y66" i="13"/>
  <c r="Z66" i="13" s="1"/>
  <c r="Y75" i="13"/>
  <c r="Z75" i="13" s="1"/>
  <c r="Y76" i="11"/>
  <c r="Z76" i="11" s="1"/>
  <c r="Y69" i="13"/>
  <c r="Z69" i="13" s="1"/>
  <c r="Y80" i="13"/>
  <c r="Z80" i="13" s="1"/>
  <c r="Y82" i="11"/>
  <c r="Z82" i="11" s="1"/>
  <c r="Y58" i="13"/>
  <c r="Z58" i="13" s="1"/>
  <c r="Y60" i="13"/>
  <c r="Z60" i="13" s="1"/>
  <c r="Y74" i="13"/>
  <c r="Z74" i="13" s="1"/>
  <c r="Y65" i="13"/>
  <c r="Z65" i="13" s="1"/>
  <c r="Y59" i="13"/>
  <c r="Z59" i="13" s="1"/>
  <c r="Y61" i="13"/>
  <c r="Z61" i="13" s="1"/>
  <c r="Y72" i="13"/>
  <c r="Z72" i="13" s="1"/>
  <c r="Y79" i="13"/>
  <c r="Z79" i="13" s="1"/>
  <c r="Y64" i="13"/>
  <c r="Z64" i="13" s="1"/>
  <c r="Y73" i="13"/>
  <c r="Z73" i="13" s="1"/>
  <c r="Y74" i="11"/>
  <c r="Z74" i="11" s="1"/>
  <c r="Y63" i="11"/>
  <c r="Z63" i="11" s="1"/>
  <c r="Y61" i="11"/>
  <c r="Z61" i="11" s="1"/>
  <c r="Y60" i="11"/>
  <c r="Z60" i="11" s="1"/>
  <c r="Y59" i="11"/>
  <c r="Z59" i="11" s="1"/>
  <c r="Y69" i="11"/>
  <c r="Z69" i="11" s="1"/>
  <c r="S55" i="13"/>
  <c r="T55" i="13" s="1"/>
  <c r="S56" i="13"/>
  <c r="T56" i="13" s="1"/>
  <c r="Y76" i="13"/>
  <c r="Z76" i="13" s="1"/>
  <c r="Y70" i="13"/>
  <c r="Z70" i="13" s="1"/>
  <c r="Y62" i="13"/>
  <c r="Z62" i="13" s="1"/>
  <c r="Y68" i="13"/>
  <c r="Z68" i="13" s="1"/>
  <c r="Y78" i="13"/>
  <c r="Z78" i="13" s="1"/>
  <c r="Y63" i="13"/>
  <c r="Z63" i="13" s="1"/>
  <c r="Y71" i="13"/>
  <c r="Z71" i="13" s="1"/>
  <c r="Y81" i="13"/>
  <c r="Z81" i="13" s="1"/>
  <c r="Y67" i="13"/>
  <c r="Z67" i="13" s="1"/>
  <c r="Y77" i="13"/>
  <c r="Z77" i="13" s="1"/>
  <c r="Y57" i="13"/>
  <c r="Z57" i="13" s="1"/>
  <c r="Y56" i="11"/>
  <c r="Z56" i="11" s="1"/>
  <c r="Y67" i="11"/>
  <c r="Z67" i="11" s="1"/>
  <c r="Y81" i="11"/>
  <c r="Z81" i="11" s="1"/>
  <c r="Y62" i="11"/>
  <c r="Z62" i="11" s="1"/>
  <c r="Y64" i="11"/>
  <c r="Z64" i="11" s="1"/>
  <c r="Y73" i="11"/>
  <c r="Z73" i="11" s="1"/>
  <c r="Y68" i="11"/>
  <c r="Z68" i="11" s="1"/>
  <c r="Y58" i="11"/>
  <c r="Z58" i="11" s="1"/>
  <c r="Y79" i="11"/>
  <c r="Z79" i="11" s="1"/>
  <c r="Y77" i="11"/>
  <c r="Z77" i="11" s="1"/>
  <c r="Y80" i="11"/>
  <c r="Z80" i="11" s="1"/>
  <c r="Y75" i="11"/>
  <c r="Z75" i="11" s="1"/>
  <c r="Y78" i="11"/>
  <c r="Z78" i="11" s="1"/>
  <c r="Y83" i="11"/>
  <c r="Z83" i="11" s="1"/>
  <c r="Y55" i="11"/>
  <c r="Z55" i="11" s="1"/>
  <c r="Y72" i="11"/>
  <c r="Z72" i="11" s="1"/>
  <c r="Y71" i="11"/>
  <c r="Z71" i="11" s="1"/>
  <c r="Y66" i="11"/>
  <c r="Z66" i="11" s="1"/>
  <c r="Y57" i="11"/>
  <c r="Z57" i="11" s="1"/>
  <c r="Y65" i="11"/>
  <c r="Z65" i="11" s="1"/>
  <c r="Y55" i="13" l="1"/>
  <c r="Z55" i="13" s="1"/>
  <c r="Y56" i="13"/>
  <c r="Z56" i="13" s="1"/>
  <c r="W54" i="13" l="1"/>
  <c r="R54" i="13"/>
  <c r="M54" i="13"/>
  <c r="L54" i="13"/>
  <c r="W53" i="13"/>
  <c r="R53" i="13"/>
  <c r="M53" i="13"/>
  <c r="L53" i="13"/>
  <c r="W52" i="13"/>
  <c r="R52" i="13"/>
  <c r="M52" i="13"/>
  <c r="L52" i="13"/>
  <c r="W51" i="13"/>
  <c r="R51" i="13"/>
  <c r="M51" i="13"/>
  <c r="L51" i="13"/>
  <c r="W50" i="13"/>
  <c r="R50" i="13"/>
  <c r="M50" i="13"/>
  <c r="L50" i="13"/>
  <c r="W49" i="13"/>
  <c r="R49" i="13"/>
  <c r="M49" i="13"/>
  <c r="L49" i="13"/>
  <c r="W48" i="13"/>
  <c r="R48" i="13"/>
  <c r="M48" i="13"/>
  <c r="L48" i="13"/>
  <c r="W47" i="13"/>
  <c r="R47" i="13"/>
  <c r="M47" i="13"/>
  <c r="L47" i="13"/>
  <c r="W46" i="13"/>
  <c r="R46" i="13"/>
  <c r="M46" i="13"/>
  <c r="L46" i="13"/>
  <c r="W45" i="13"/>
  <c r="R45" i="13"/>
  <c r="M45" i="13"/>
  <c r="L45" i="13"/>
  <c r="W44" i="13"/>
  <c r="R44" i="13"/>
  <c r="M44" i="13"/>
  <c r="L44" i="13"/>
  <c r="W43" i="13"/>
  <c r="R43" i="13"/>
  <c r="M43" i="13"/>
  <c r="L43" i="13"/>
  <c r="W42" i="13"/>
  <c r="R42" i="13"/>
  <c r="M42" i="13"/>
  <c r="L42" i="13"/>
  <c r="W41" i="13"/>
  <c r="R41" i="13"/>
  <c r="M41" i="13"/>
  <c r="L41" i="13"/>
  <c r="W40" i="13"/>
  <c r="R40" i="13"/>
  <c r="M40" i="13"/>
  <c r="L40" i="13"/>
  <c r="W39" i="13"/>
  <c r="R39" i="13"/>
  <c r="M39" i="13"/>
  <c r="L39" i="13"/>
  <c r="W38" i="13"/>
  <c r="R38" i="13"/>
  <c r="M38" i="13"/>
  <c r="L38" i="13"/>
  <c r="W37" i="13"/>
  <c r="R37" i="13"/>
  <c r="M37" i="13"/>
  <c r="L37" i="13"/>
  <c r="W36" i="13"/>
  <c r="R36" i="13"/>
  <c r="M36" i="13"/>
  <c r="L36" i="13"/>
  <c r="W35" i="13"/>
  <c r="R35" i="13"/>
  <c r="M35" i="13"/>
  <c r="L35" i="13"/>
  <c r="W34" i="13"/>
  <c r="R34" i="13"/>
  <c r="M34" i="13"/>
  <c r="L34" i="13"/>
  <c r="W33" i="13"/>
  <c r="R33" i="13"/>
  <c r="M33" i="13"/>
  <c r="L33" i="13"/>
  <c r="W32" i="13"/>
  <c r="R32" i="13"/>
  <c r="M32" i="13"/>
  <c r="L32" i="13"/>
  <c r="W31" i="13"/>
  <c r="R31" i="13"/>
  <c r="M31" i="13"/>
  <c r="L31" i="13"/>
  <c r="W30" i="13"/>
  <c r="R30" i="13"/>
  <c r="M30" i="13"/>
  <c r="L30" i="13"/>
  <c r="W29" i="13"/>
  <c r="R29" i="13"/>
  <c r="M29" i="13"/>
  <c r="L29" i="13"/>
  <c r="W28" i="13"/>
  <c r="R28" i="13"/>
  <c r="M28" i="13"/>
  <c r="L28" i="13"/>
  <c r="W27" i="13"/>
  <c r="R27" i="13"/>
  <c r="M27" i="13"/>
  <c r="L27" i="13"/>
  <c r="W26" i="13"/>
  <c r="R26" i="13"/>
  <c r="M26" i="13"/>
  <c r="L26" i="13"/>
  <c r="W25" i="13"/>
  <c r="R25" i="13"/>
  <c r="M25" i="13"/>
  <c r="L25" i="13"/>
  <c r="W24" i="13"/>
  <c r="R24" i="13"/>
  <c r="M24" i="13"/>
  <c r="L24" i="13"/>
  <c r="W23" i="13"/>
  <c r="R23" i="13"/>
  <c r="M23" i="13"/>
  <c r="L23" i="13"/>
  <c r="W22" i="13"/>
  <c r="R22" i="13"/>
  <c r="M22" i="13"/>
  <c r="L22" i="13"/>
  <c r="W21" i="13"/>
  <c r="R21" i="13"/>
  <c r="M21" i="13"/>
  <c r="L21" i="13"/>
  <c r="W20" i="13"/>
  <c r="R20" i="13"/>
  <c r="M20" i="13"/>
  <c r="L20" i="13"/>
  <c r="W19" i="13"/>
  <c r="R19" i="13"/>
  <c r="M19" i="13"/>
  <c r="L19" i="13"/>
  <c r="W18" i="13"/>
  <c r="R18" i="13"/>
  <c r="M18" i="13"/>
  <c r="L18" i="13"/>
  <c r="W17" i="13"/>
  <c r="R17" i="13"/>
  <c r="M17" i="13"/>
  <c r="L17" i="13"/>
  <c r="W16" i="13"/>
  <c r="R16" i="13"/>
  <c r="M16" i="13"/>
  <c r="L16" i="13"/>
  <c r="W15" i="13"/>
  <c r="R15" i="13"/>
  <c r="M15" i="13"/>
  <c r="L15" i="13"/>
  <c r="W14" i="13"/>
  <c r="R14" i="13"/>
  <c r="M14" i="13"/>
  <c r="L14" i="13"/>
  <c r="W13" i="13"/>
  <c r="R13" i="13"/>
  <c r="M13" i="13"/>
  <c r="L13" i="13"/>
  <c r="W12" i="13"/>
  <c r="R12" i="13"/>
  <c r="M12" i="13"/>
  <c r="L12" i="13"/>
  <c r="W11" i="13"/>
  <c r="R11" i="13"/>
  <c r="M11" i="13"/>
  <c r="L11" i="13"/>
  <c r="W10" i="13"/>
  <c r="R10" i="13"/>
  <c r="M10" i="13"/>
  <c r="L10" i="13"/>
  <c r="W9" i="13"/>
  <c r="R9" i="13"/>
  <c r="M9" i="13"/>
  <c r="L9" i="13"/>
  <c r="W8" i="13"/>
  <c r="R8" i="13"/>
  <c r="M8" i="13"/>
  <c r="L8" i="13"/>
  <c r="W7" i="13"/>
  <c r="R7" i="13"/>
  <c r="M7" i="13"/>
  <c r="L7" i="13"/>
  <c r="W6" i="13"/>
  <c r="R6" i="13"/>
  <c r="M6" i="13"/>
  <c r="L6" i="13"/>
  <c r="W5" i="13"/>
  <c r="R5" i="13"/>
  <c r="M5" i="13"/>
  <c r="L5" i="13"/>
  <c r="W4" i="13"/>
  <c r="R4" i="13"/>
  <c r="M4" i="13"/>
  <c r="L4" i="13"/>
  <c r="W3" i="13"/>
  <c r="R3" i="13"/>
  <c r="M3" i="13"/>
  <c r="L3" i="13"/>
  <c r="W2" i="13"/>
  <c r="R2" i="13"/>
  <c r="M2" i="13"/>
  <c r="L2" i="13"/>
  <c r="I2" i="13"/>
  <c r="G2" i="13"/>
  <c r="D2" i="13"/>
  <c r="E2" i="13" s="1"/>
  <c r="B2" i="13"/>
  <c r="W81" i="12"/>
  <c r="R81" i="12"/>
  <c r="M81" i="12"/>
  <c r="L81" i="12"/>
  <c r="D81" i="12"/>
  <c r="E81" i="12" s="1"/>
  <c r="J81" i="12" s="1"/>
  <c r="W80" i="12"/>
  <c r="R80" i="12"/>
  <c r="M80" i="12"/>
  <c r="L80" i="12"/>
  <c r="D80" i="12"/>
  <c r="E80" i="12" s="1"/>
  <c r="J80" i="12" s="1"/>
  <c r="W79" i="12"/>
  <c r="R79" i="12"/>
  <c r="M79" i="12"/>
  <c r="L79" i="12"/>
  <c r="D79" i="12"/>
  <c r="E79" i="12" s="1"/>
  <c r="J79" i="12" s="1"/>
  <c r="W78" i="12"/>
  <c r="R78" i="12"/>
  <c r="M78" i="12"/>
  <c r="L78" i="12"/>
  <c r="D78" i="12"/>
  <c r="E78" i="12" s="1"/>
  <c r="J78" i="12" s="1"/>
  <c r="W77" i="12"/>
  <c r="R77" i="12"/>
  <c r="M77" i="12"/>
  <c r="L77" i="12"/>
  <c r="D77" i="12"/>
  <c r="E77" i="12" s="1"/>
  <c r="J77" i="12" s="1"/>
  <c r="W76" i="12"/>
  <c r="R76" i="12"/>
  <c r="M76" i="12"/>
  <c r="L76" i="12"/>
  <c r="D76" i="12"/>
  <c r="E76" i="12" s="1"/>
  <c r="J76" i="12" s="1"/>
  <c r="N76" i="12" s="1"/>
  <c r="W75" i="12"/>
  <c r="R75" i="12"/>
  <c r="M75" i="12"/>
  <c r="L75" i="12"/>
  <c r="D75" i="12"/>
  <c r="E75" i="12" s="1"/>
  <c r="J75" i="12" s="1"/>
  <c r="W74" i="12"/>
  <c r="R74" i="12"/>
  <c r="M74" i="12"/>
  <c r="L74" i="12"/>
  <c r="D74" i="12"/>
  <c r="E74" i="12" s="1"/>
  <c r="J74" i="12" s="1"/>
  <c r="W73" i="12"/>
  <c r="R73" i="12"/>
  <c r="M73" i="12"/>
  <c r="L73" i="12"/>
  <c r="D73" i="12"/>
  <c r="E73" i="12" s="1"/>
  <c r="J73" i="12" s="1"/>
  <c r="W72" i="12"/>
  <c r="R72" i="12"/>
  <c r="M72" i="12"/>
  <c r="L72" i="12"/>
  <c r="D72" i="12"/>
  <c r="E72" i="12" s="1"/>
  <c r="J72" i="12" s="1"/>
  <c r="W71" i="12"/>
  <c r="R71" i="12"/>
  <c r="M71" i="12"/>
  <c r="L71" i="12"/>
  <c r="D71" i="12"/>
  <c r="E71" i="12" s="1"/>
  <c r="J71" i="12" s="1"/>
  <c r="W70" i="12"/>
  <c r="R70" i="12"/>
  <c r="M70" i="12"/>
  <c r="L70" i="12"/>
  <c r="D70" i="12"/>
  <c r="E70" i="12" s="1"/>
  <c r="J70" i="12" s="1"/>
  <c r="W69" i="12"/>
  <c r="R69" i="12"/>
  <c r="M69" i="12"/>
  <c r="L69" i="12"/>
  <c r="D69" i="12"/>
  <c r="E69" i="12" s="1"/>
  <c r="J69" i="12" s="1"/>
  <c r="W68" i="12"/>
  <c r="R68" i="12"/>
  <c r="M68" i="12"/>
  <c r="L68" i="12"/>
  <c r="D68" i="12"/>
  <c r="E68" i="12" s="1"/>
  <c r="J68" i="12" s="1"/>
  <c r="N68" i="12" s="1"/>
  <c r="W67" i="12"/>
  <c r="R67" i="12"/>
  <c r="M67" i="12"/>
  <c r="L67" i="12"/>
  <c r="D67" i="12"/>
  <c r="E67" i="12" s="1"/>
  <c r="J67" i="12" s="1"/>
  <c r="W66" i="12"/>
  <c r="R66" i="12"/>
  <c r="M66" i="12"/>
  <c r="L66" i="12"/>
  <c r="D66" i="12"/>
  <c r="E66" i="12" s="1"/>
  <c r="J66" i="12" s="1"/>
  <c r="W65" i="12"/>
  <c r="R65" i="12"/>
  <c r="M65" i="12"/>
  <c r="L65" i="12"/>
  <c r="D65" i="12"/>
  <c r="E65" i="12" s="1"/>
  <c r="J65" i="12" s="1"/>
  <c r="W64" i="12"/>
  <c r="R64" i="12"/>
  <c r="M64" i="12"/>
  <c r="L64" i="12"/>
  <c r="D64" i="12"/>
  <c r="E64" i="12" s="1"/>
  <c r="J64" i="12" s="1"/>
  <c r="W63" i="12"/>
  <c r="R63" i="12"/>
  <c r="M63" i="12"/>
  <c r="L63" i="12"/>
  <c r="D63" i="12"/>
  <c r="E63" i="12" s="1"/>
  <c r="J63" i="12" s="1"/>
  <c r="W62" i="12"/>
  <c r="R62" i="12"/>
  <c r="M62" i="12"/>
  <c r="L62" i="12"/>
  <c r="D62" i="12"/>
  <c r="E62" i="12" s="1"/>
  <c r="J62" i="12" s="1"/>
  <c r="W61" i="12"/>
  <c r="R61" i="12"/>
  <c r="M61" i="12"/>
  <c r="L61" i="12"/>
  <c r="D61" i="12"/>
  <c r="E61" i="12" s="1"/>
  <c r="J61" i="12" s="1"/>
  <c r="W60" i="12"/>
  <c r="R60" i="12"/>
  <c r="M60" i="12"/>
  <c r="L60" i="12"/>
  <c r="D60" i="12"/>
  <c r="E60" i="12" s="1"/>
  <c r="J60" i="12" s="1"/>
  <c r="N60" i="12" s="1"/>
  <c r="W59" i="12"/>
  <c r="R59" i="12"/>
  <c r="M59" i="12"/>
  <c r="L59" i="12"/>
  <c r="D59" i="12"/>
  <c r="E59" i="12" s="1"/>
  <c r="J59" i="12" s="1"/>
  <c r="W58" i="12"/>
  <c r="R58" i="12"/>
  <c r="M58" i="12"/>
  <c r="L58" i="12"/>
  <c r="D58" i="12"/>
  <c r="E58" i="12" s="1"/>
  <c r="J58" i="12" s="1"/>
  <c r="W57" i="12"/>
  <c r="R57" i="12"/>
  <c r="M57" i="12"/>
  <c r="L57" i="12"/>
  <c r="D57" i="12"/>
  <c r="E57" i="12" s="1"/>
  <c r="J57" i="12" s="1"/>
  <c r="W56" i="12"/>
  <c r="R56" i="12"/>
  <c r="M56" i="12"/>
  <c r="L56" i="12"/>
  <c r="D56" i="12"/>
  <c r="E56" i="12" s="1"/>
  <c r="J56" i="12" s="1"/>
  <c r="W55" i="12"/>
  <c r="R55" i="12"/>
  <c r="M55" i="12"/>
  <c r="L55" i="12"/>
  <c r="D55" i="12"/>
  <c r="E55" i="12" s="1"/>
  <c r="J55" i="12" s="1"/>
  <c r="W54" i="12"/>
  <c r="R54" i="12"/>
  <c r="M54" i="12"/>
  <c r="L54" i="12"/>
  <c r="D54" i="12"/>
  <c r="E54" i="12" s="1"/>
  <c r="J54" i="12" s="1"/>
  <c r="N54" i="12" s="1"/>
  <c r="W53" i="12"/>
  <c r="R53" i="12"/>
  <c r="M53" i="12"/>
  <c r="L53" i="12"/>
  <c r="D53" i="12"/>
  <c r="E53" i="12" s="1"/>
  <c r="J53" i="12" s="1"/>
  <c r="W52" i="12"/>
  <c r="R52" i="12"/>
  <c r="M52" i="12"/>
  <c r="L52" i="12"/>
  <c r="D52" i="12"/>
  <c r="E52" i="12" s="1"/>
  <c r="J52" i="12" s="1"/>
  <c r="W51" i="12"/>
  <c r="R51" i="12"/>
  <c r="M51" i="12"/>
  <c r="L51" i="12"/>
  <c r="D51" i="12"/>
  <c r="E51" i="12" s="1"/>
  <c r="J51" i="12" s="1"/>
  <c r="W50" i="12"/>
  <c r="R50" i="12"/>
  <c r="M50" i="12"/>
  <c r="L50" i="12"/>
  <c r="D50" i="12"/>
  <c r="E50" i="12" s="1"/>
  <c r="J50" i="12" s="1"/>
  <c r="W49" i="12"/>
  <c r="R49" i="12"/>
  <c r="M49" i="12"/>
  <c r="L49" i="12"/>
  <c r="D49" i="12"/>
  <c r="E49" i="12" s="1"/>
  <c r="J49" i="12" s="1"/>
  <c r="W48" i="12"/>
  <c r="R48" i="12"/>
  <c r="M48" i="12"/>
  <c r="L48" i="12"/>
  <c r="D48" i="12"/>
  <c r="E48" i="12" s="1"/>
  <c r="J48" i="12" s="1"/>
  <c r="W47" i="12"/>
  <c r="R47" i="12"/>
  <c r="M47" i="12"/>
  <c r="L47" i="12"/>
  <c r="D47" i="12"/>
  <c r="E47" i="12" s="1"/>
  <c r="J47" i="12" s="1"/>
  <c r="W46" i="12"/>
  <c r="R46" i="12"/>
  <c r="M46" i="12"/>
  <c r="L46" i="12"/>
  <c r="D46" i="12"/>
  <c r="E46" i="12" s="1"/>
  <c r="J46" i="12" s="1"/>
  <c r="W45" i="12"/>
  <c r="R45" i="12"/>
  <c r="M45" i="12"/>
  <c r="L45" i="12"/>
  <c r="D45" i="12"/>
  <c r="E45" i="12" s="1"/>
  <c r="J45" i="12" s="1"/>
  <c r="W44" i="12"/>
  <c r="R44" i="12"/>
  <c r="M44" i="12"/>
  <c r="L44" i="12"/>
  <c r="D44" i="12"/>
  <c r="E44" i="12" s="1"/>
  <c r="J44" i="12" s="1"/>
  <c r="W43" i="12"/>
  <c r="R43" i="12"/>
  <c r="M43" i="12"/>
  <c r="L43" i="12"/>
  <c r="D43" i="12"/>
  <c r="E43" i="12" s="1"/>
  <c r="J43" i="12" s="1"/>
  <c r="W42" i="12"/>
  <c r="R42" i="12"/>
  <c r="M42" i="12"/>
  <c r="L42" i="12"/>
  <c r="D42" i="12"/>
  <c r="E42" i="12" s="1"/>
  <c r="J42" i="12" s="1"/>
  <c r="W41" i="12"/>
  <c r="R41" i="12"/>
  <c r="M41" i="12"/>
  <c r="L41" i="12"/>
  <c r="D41" i="12"/>
  <c r="E41" i="12" s="1"/>
  <c r="J41" i="12" s="1"/>
  <c r="W40" i="12"/>
  <c r="R40" i="12"/>
  <c r="M40" i="12"/>
  <c r="L40" i="12"/>
  <c r="D40" i="12"/>
  <c r="E40" i="12" s="1"/>
  <c r="J40" i="12" s="1"/>
  <c r="W39" i="12"/>
  <c r="R39" i="12"/>
  <c r="M39" i="12"/>
  <c r="L39" i="12"/>
  <c r="D39" i="12"/>
  <c r="E39" i="12" s="1"/>
  <c r="J39" i="12" s="1"/>
  <c r="W38" i="12"/>
  <c r="R38" i="12"/>
  <c r="M38" i="12"/>
  <c r="L38" i="12"/>
  <c r="D38" i="12"/>
  <c r="E38" i="12" s="1"/>
  <c r="J38" i="12" s="1"/>
  <c r="W37" i="12"/>
  <c r="R37" i="12"/>
  <c r="M37" i="12"/>
  <c r="L37" i="12"/>
  <c r="D37" i="12"/>
  <c r="E37" i="12" s="1"/>
  <c r="J37" i="12" s="1"/>
  <c r="W36" i="12"/>
  <c r="R36" i="12"/>
  <c r="M36" i="12"/>
  <c r="L36" i="12"/>
  <c r="D36" i="12"/>
  <c r="E36" i="12" s="1"/>
  <c r="J36" i="12" s="1"/>
  <c r="W35" i="12"/>
  <c r="R35" i="12"/>
  <c r="M35" i="12"/>
  <c r="L35" i="12"/>
  <c r="D35" i="12"/>
  <c r="E35" i="12" s="1"/>
  <c r="J35" i="12" s="1"/>
  <c r="W34" i="12"/>
  <c r="R34" i="12"/>
  <c r="M34" i="12"/>
  <c r="L34" i="12"/>
  <c r="D34" i="12"/>
  <c r="E34" i="12" s="1"/>
  <c r="J34" i="12" s="1"/>
  <c r="W33" i="12"/>
  <c r="R33" i="12"/>
  <c r="M33" i="12"/>
  <c r="L33" i="12"/>
  <c r="D33" i="12"/>
  <c r="E33" i="12" s="1"/>
  <c r="J33" i="12" s="1"/>
  <c r="W32" i="12"/>
  <c r="R32" i="12"/>
  <c r="M32" i="12"/>
  <c r="L32" i="12"/>
  <c r="D32" i="12"/>
  <c r="E32" i="12" s="1"/>
  <c r="J32" i="12" s="1"/>
  <c r="W31" i="12"/>
  <c r="R31" i="12"/>
  <c r="M31" i="12"/>
  <c r="L31" i="12"/>
  <c r="D31" i="12"/>
  <c r="E31" i="12" s="1"/>
  <c r="J31" i="12" s="1"/>
  <c r="W30" i="12"/>
  <c r="R30" i="12"/>
  <c r="M30" i="12"/>
  <c r="L30" i="12"/>
  <c r="D30" i="12"/>
  <c r="E30" i="12" s="1"/>
  <c r="J30" i="12" s="1"/>
  <c r="N30" i="12" s="1"/>
  <c r="W29" i="12"/>
  <c r="R29" i="12"/>
  <c r="M29" i="12"/>
  <c r="L29" i="12"/>
  <c r="D29" i="12"/>
  <c r="E29" i="12" s="1"/>
  <c r="J29" i="12" s="1"/>
  <c r="W28" i="12"/>
  <c r="R28" i="12"/>
  <c r="M28" i="12"/>
  <c r="L28" i="12"/>
  <c r="D28" i="12"/>
  <c r="E28" i="12" s="1"/>
  <c r="J28" i="12" s="1"/>
  <c r="W27" i="12"/>
  <c r="R27" i="12"/>
  <c r="M27" i="12"/>
  <c r="L27" i="12"/>
  <c r="D27" i="12"/>
  <c r="E27" i="12" s="1"/>
  <c r="J27" i="12" s="1"/>
  <c r="W26" i="12"/>
  <c r="R26" i="12"/>
  <c r="M26" i="12"/>
  <c r="L26" i="12"/>
  <c r="D26" i="12"/>
  <c r="E26" i="12" s="1"/>
  <c r="J26" i="12" s="1"/>
  <c r="W25" i="12"/>
  <c r="R25" i="12"/>
  <c r="M25" i="12"/>
  <c r="L25" i="12"/>
  <c r="D25" i="12"/>
  <c r="E25" i="12" s="1"/>
  <c r="J25" i="12" s="1"/>
  <c r="W24" i="12"/>
  <c r="R24" i="12"/>
  <c r="M24" i="12"/>
  <c r="L24" i="12"/>
  <c r="D24" i="12"/>
  <c r="E24" i="12" s="1"/>
  <c r="J24" i="12" s="1"/>
  <c r="W23" i="12"/>
  <c r="R23" i="12"/>
  <c r="M23" i="12"/>
  <c r="L23" i="12"/>
  <c r="D23" i="12"/>
  <c r="E23" i="12" s="1"/>
  <c r="J23" i="12" s="1"/>
  <c r="W22" i="12"/>
  <c r="R22" i="12"/>
  <c r="M22" i="12"/>
  <c r="L22" i="12"/>
  <c r="D22" i="12"/>
  <c r="E22" i="12" s="1"/>
  <c r="J22" i="12" s="1"/>
  <c r="W21" i="12"/>
  <c r="R21" i="12"/>
  <c r="M21" i="12"/>
  <c r="L21" i="12"/>
  <c r="D21" i="12"/>
  <c r="E21" i="12" s="1"/>
  <c r="J21" i="12" s="1"/>
  <c r="W20" i="12"/>
  <c r="R20" i="12"/>
  <c r="M20" i="12"/>
  <c r="L20" i="12"/>
  <c r="D20" i="12"/>
  <c r="E20" i="12" s="1"/>
  <c r="J20" i="12" s="1"/>
  <c r="W19" i="12"/>
  <c r="R19" i="12"/>
  <c r="M19" i="12"/>
  <c r="L19" i="12"/>
  <c r="D19" i="12"/>
  <c r="E19" i="12" s="1"/>
  <c r="J19" i="12" s="1"/>
  <c r="W18" i="12"/>
  <c r="R18" i="12"/>
  <c r="M18" i="12"/>
  <c r="L18" i="12"/>
  <c r="D18" i="12"/>
  <c r="E18" i="12" s="1"/>
  <c r="J18" i="12" s="1"/>
  <c r="N18" i="12" s="1"/>
  <c r="W17" i="12"/>
  <c r="R17" i="12"/>
  <c r="M17" i="12"/>
  <c r="L17" i="12"/>
  <c r="D17" i="12"/>
  <c r="E17" i="12" s="1"/>
  <c r="J17" i="12" s="1"/>
  <c r="W16" i="12"/>
  <c r="R16" i="12"/>
  <c r="M16" i="12"/>
  <c r="L16" i="12"/>
  <c r="D16" i="12"/>
  <c r="E16" i="12" s="1"/>
  <c r="J16" i="12" s="1"/>
  <c r="W15" i="12"/>
  <c r="R15" i="12"/>
  <c r="M15" i="12"/>
  <c r="L15" i="12"/>
  <c r="D15" i="12"/>
  <c r="E15" i="12" s="1"/>
  <c r="J15" i="12" s="1"/>
  <c r="W14" i="12"/>
  <c r="R14" i="12"/>
  <c r="M14" i="12"/>
  <c r="L14" i="12"/>
  <c r="D14" i="12"/>
  <c r="E14" i="12" s="1"/>
  <c r="J14" i="12" s="1"/>
  <c r="W13" i="12"/>
  <c r="R13" i="12"/>
  <c r="M13" i="12"/>
  <c r="L13" i="12"/>
  <c r="D13" i="12"/>
  <c r="E13" i="12" s="1"/>
  <c r="J13" i="12" s="1"/>
  <c r="W12" i="12"/>
  <c r="R12" i="12"/>
  <c r="M12" i="12"/>
  <c r="L12" i="12"/>
  <c r="D12" i="12"/>
  <c r="E12" i="12" s="1"/>
  <c r="J12" i="12" s="1"/>
  <c r="W11" i="12"/>
  <c r="R11" i="12"/>
  <c r="M11" i="12"/>
  <c r="L11" i="12"/>
  <c r="D11" i="12"/>
  <c r="E11" i="12" s="1"/>
  <c r="J11" i="12" s="1"/>
  <c r="W10" i="12"/>
  <c r="R10" i="12"/>
  <c r="M10" i="12"/>
  <c r="L10" i="12"/>
  <c r="D10" i="12"/>
  <c r="E10" i="12" s="1"/>
  <c r="J10" i="12" s="1"/>
  <c r="W9" i="12"/>
  <c r="R9" i="12"/>
  <c r="M9" i="12"/>
  <c r="L9" i="12"/>
  <c r="D9" i="12"/>
  <c r="E9" i="12" s="1"/>
  <c r="J9" i="12" s="1"/>
  <c r="W8" i="12"/>
  <c r="R8" i="12"/>
  <c r="M8" i="12"/>
  <c r="L8" i="12"/>
  <c r="D8" i="12"/>
  <c r="E8" i="12" s="1"/>
  <c r="J8" i="12" s="1"/>
  <c r="W7" i="12"/>
  <c r="R7" i="12"/>
  <c r="M7" i="12"/>
  <c r="L7" i="12"/>
  <c r="D7" i="12"/>
  <c r="E7" i="12" s="1"/>
  <c r="J7" i="12" s="1"/>
  <c r="W6" i="12"/>
  <c r="R6" i="12"/>
  <c r="M6" i="12"/>
  <c r="L6" i="12"/>
  <c r="D6" i="12"/>
  <c r="E6" i="12" s="1"/>
  <c r="J6" i="12" s="1"/>
  <c r="W5" i="12"/>
  <c r="R5" i="12"/>
  <c r="M5" i="12"/>
  <c r="L5" i="12"/>
  <c r="D5" i="12"/>
  <c r="E5" i="12" s="1"/>
  <c r="J5" i="12" s="1"/>
  <c r="W4" i="12"/>
  <c r="R4" i="12"/>
  <c r="M4" i="12"/>
  <c r="L4" i="12"/>
  <c r="D4" i="12"/>
  <c r="E4" i="12" s="1"/>
  <c r="J4" i="12" s="1"/>
  <c r="N4" i="12" s="1"/>
  <c r="B4" i="12"/>
  <c r="W3" i="12"/>
  <c r="R3" i="12"/>
  <c r="M3" i="12"/>
  <c r="L3" i="12"/>
  <c r="X3" i="12" s="1"/>
  <c r="D3" i="12"/>
  <c r="E3" i="12" s="1"/>
  <c r="J3" i="12" s="1"/>
  <c r="B3" i="12"/>
  <c r="W2" i="12"/>
  <c r="R2" i="12"/>
  <c r="M2" i="12"/>
  <c r="L2" i="12"/>
  <c r="I2" i="12"/>
  <c r="G2" i="12"/>
  <c r="D2" i="12"/>
  <c r="E2" i="12" s="1"/>
  <c r="B2" i="12"/>
  <c r="X15" i="13" l="1"/>
  <c r="X8" i="13"/>
  <c r="N75" i="12"/>
  <c r="X40" i="12"/>
  <c r="X48" i="12"/>
  <c r="X52" i="12"/>
  <c r="X60" i="12"/>
  <c r="X62" i="12"/>
  <c r="X70" i="12"/>
  <c r="J2" i="13"/>
  <c r="N2" i="13" s="1"/>
  <c r="S2" i="13" s="1"/>
  <c r="T2" i="13" s="1"/>
  <c r="X4" i="13"/>
  <c r="X6" i="13"/>
  <c r="X24" i="13"/>
  <c r="X30" i="13"/>
  <c r="X36" i="13"/>
  <c r="X42" i="13"/>
  <c r="X46" i="13"/>
  <c r="N5" i="12"/>
  <c r="S5" i="12" s="1"/>
  <c r="T5" i="12" s="1"/>
  <c r="N15" i="12"/>
  <c r="N37" i="12"/>
  <c r="X4" i="12"/>
  <c r="X33" i="12"/>
  <c r="X49" i="12"/>
  <c r="X69" i="12"/>
  <c r="J2" i="12"/>
  <c r="N2" i="12" s="1"/>
  <c r="S2" i="12" s="1"/>
  <c r="T2" i="12" s="1"/>
  <c r="N43" i="12"/>
  <c r="S43" i="12" s="1"/>
  <c r="T43" i="12" s="1"/>
  <c r="X16" i="12"/>
  <c r="X22" i="12"/>
  <c r="X51" i="12"/>
  <c r="X61" i="12"/>
  <c r="X14" i="12"/>
  <c r="X41" i="12"/>
  <c r="X58" i="12"/>
  <c r="X5" i="13"/>
  <c r="X39" i="13"/>
  <c r="X43" i="13"/>
  <c r="X45" i="13"/>
  <c r="X51" i="13"/>
  <c r="X65" i="12"/>
  <c r="X18" i="12"/>
  <c r="X67" i="12"/>
  <c r="X15" i="12"/>
  <c r="X5" i="12"/>
  <c r="X12" i="12"/>
  <c r="N3" i="12"/>
  <c r="S3" i="12" s="1"/>
  <c r="T3" i="12" s="1"/>
  <c r="X71" i="12"/>
  <c r="N41" i="13"/>
  <c r="N38" i="13"/>
  <c r="N35" i="13"/>
  <c r="N20" i="13"/>
  <c r="N47" i="13"/>
  <c r="N26" i="13"/>
  <c r="N24" i="13"/>
  <c r="N50" i="13"/>
  <c r="N32" i="13"/>
  <c r="N44" i="13"/>
  <c r="X10" i="12"/>
  <c r="X20" i="12"/>
  <c r="X28" i="12"/>
  <c r="X45" i="12"/>
  <c r="X68" i="12"/>
  <c r="X63" i="12"/>
  <c r="X8" i="12"/>
  <c r="X26" i="12"/>
  <c r="X53" i="12"/>
  <c r="X7" i="13"/>
  <c r="X19" i="13"/>
  <c r="X27" i="13"/>
  <c r="X33" i="13"/>
  <c r="X57" i="12"/>
  <c r="X76" i="12"/>
  <c r="X21" i="12"/>
  <c r="X54" i="12"/>
  <c r="X75" i="12"/>
  <c r="N79" i="12"/>
  <c r="S79" i="12" s="1"/>
  <c r="T79" i="12" s="1"/>
  <c r="X9" i="12"/>
  <c r="N26" i="12"/>
  <c r="S26" i="12" s="1"/>
  <c r="T26" i="12" s="1"/>
  <c r="N27" i="12"/>
  <c r="S27" i="12" s="1"/>
  <c r="T27" i="12" s="1"/>
  <c r="X55" i="12"/>
  <c r="X73" i="12"/>
  <c r="N78" i="12"/>
  <c r="S78" i="12" s="1"/>
  <c r="T78" i="12" s="1"/>
  <c r="N80" i="12"/>
  <c r="S80" i="12" s="1"/>
  <c r="T80" i="12" s="1"/>
  <c r="X48" i="13"/>
  <c r="X49" i="13"/>
  <c r="X52" i="13"/>
  <c r="X9" i="13"/>
  <c r="X54" i="13"/>
  <c r="X10" i="13"/>
  <c r="X2" i="13"/>
  <c r="X11" i="13"/>
  <c r="X3" i="13"/>
  <c r="N7" i="13"/>
  <c r="S7" i="13" s="1"/>
  <c r="T7" i="13" s="1"/>
  <c r="X12" i="13"/>
  <c r="X13" i="13"/>
  <c r="X14" i="13"/>
  <c r="X18" i="13"/>
  <c r="X21" i="13"/>
  <c r="X22" i="13"/>
  <c r="X27" i="12"/>
  <c r="N48" i="12"/>
  <c r="S48" i="12" s="1"/>
  <c r="T48" i="12" s="1"/>
  <c r="X79" i="12"/>
  <c r="X81" i="12"/>
  <c r="N12" i="12"/>
  <c r="S12" i="12" s="1"/>
  <c r="T12" i="12" s="1"/>
  <c r="N35" i="12"/>
  <c r="S35" i="12" s="1"/>
  <c r="T35" i="12" s="1"/>
  <c r="N52" i="12"/>
  <c r="S52" i="12" s="1"/>
  <c r="T52" i="12" s="1"/>
  <c r="X78" i="12"/>
  <c r="X24" i="12"/>
  <c r="S54" i="12"/>
  <c r="T54" i="12" s="1"/>
  <c r="X59" i="12"/>
  <c r="N24" i="12"/>
  <c r="S24" i="12" s="1"/>
  <c r="T24" i="12" s="1"/>
  <c r="N21" i="12"/>
  <c r="S21" i="12" s="1"/>
  <c r="T21" i="12" s="1"/>
  <c r="N9" i="12"/>
  <c r="S9" i="12" s="1"/>
  <c r="T9" i="12" s="1"/>
  <c r="N29" i="13"/>
  <c r="X29" i="13"/>
  <c r="N37" i="13"/>
  <c r="X37" i="13"/>
  <c r="N18" i="13"/>
  <c r="S18" i="13" s="1"/>
  <c r="T18" i="13" s="1"/>
  <c r="N23" i="13"/>
  <c r="X23" i="13"/>
  <c r="N28" i="13"/>
  <c r="X28" i="13"/>
  <c r="N34" i="13"/>
  <c r="X34" i="13"/>
  <c r="N11" i="13"/>
  <c r="S11" i="13" s="1"/>
  <c r="T11" i="13" s="1"/>
  <c r="N25" i="13"/>
  <c r="N40" i="13"/>
  <c r="X40" i="13"/>
  <c r="N54" i="13"/>
  <c r="N6" i="13"/>
  <c r="S6" i="13" s="1"/>
  <c r="T6" i="13" s="1"/>
  <c r="X20" i="13"/>
  <c r="X26" i="13"/>
  <c r="N42" i="13"/>
  <c r="N48" i="13"/>
  <c r="N53" i="13"/>
  <c r="X53" i="13"/>
  <c r="N9" i="13"/>
  <c r="S9" i="13" s="1"/>
  <c r="T9" i="13" s="1"/>
  <c r="N21" i="13"/>
  <c r="N4" i="13"/>
  <c r="N31" i="13"/>
  <c r="X31" i="13"/>
  <c r="X25" i="13"/>
  <c r="N17" i="13"/>
  <c r="S17" i="13" s="1"/>
  <c r="T17" i="13" s="1"/>
  <c r="X17" i="13"/>
  <c r="X50" i="13"/>
  <c r="N51" i="13"/>
  <c r="N3" i="13"/>
  <c r="N10" i="13"/>
  <c r="N33" i="13"/>
  <c r="X41" i="13"/>
  <c r="N52" i="13"/>
  <c r="N5" i="13"/>
  <c r="N19" i="13"/>
  <c r="X44" i="13"/>
  <c r="X32" i="13"/>
  <c r="N43" i="13"/>
  <c r="N8" i="13"/>
  <c r="N27" i="13"/>
  <c r="X35" i="13"/>
  <c r="N46" i="13"/>
  <c r="N16" i="13"/>
  <c r="X16" i="13"/>
  <c r="N30" i="13"/>
  <c r="X38" i="13"/>
  <c r="N49" i="13"/>
  <c r="N14" i="13"/>
  <c r="N12" i="13"/>
  <c r="N22" i="13"/>
  <c r="N39" i="13"/>
  <c r="X47" i="13"/>
  <c r="N15" i="13"/>
  <c r="S15" i="13" s="1"/>
  <c r="T15" i="13" s="1"/>
  <c r="N13" i="13"/>
  <c r="N36" i="13"/>
  <c r="N45" i="13"/>
  <c r="S68" i="12"/>
  <c r="T68" i="12" s="1"/>
  <c r="S4" i="12"/>
  <c r="T4" i="12" s="1"/>
  <c r="N59" i="12"/>
  <c r="S59" i="12" s="1"/>
  <c r="T59" i="12" s="1"/>
  <c r="X7" i="12"/>
  <c r="N7" i="12"/>
  <c r="S7" i="12" s="1"/>
  <c r="T7" i="12" s="1"/>
  <c r="N20" i="12"/>
  <c r="N31" i="12"/>
  <c r="S31" i="12" s="1"/>
  <c r="T31" i="12" s="1"/>
  <c r="N44" i="12"/>
  <c r="S44" i="12" s="1"/>
  <c r="T44" i="12" s="1"/>
  <c r="N23" i="12"/>
  <c r="S23" i="12" s="1"/>
  <c r="T23" i="12" s="1"/>
  <c r="X23" i="12"/>
  <c r="S30" i="12"/>
  <c r="T30" i="12" s="1"/>
  <c r="X44" i="12"/>
  <c r="X50" i="12"/>
  <c r="N50" i="12"/>
  <c r="N66" i="12"/>
  <c r="N72" i="12"/>
  <c r="N73" i="12"/>
  <c r="S73" i="12" s="1"/>
  <c r="T73" i="12" s="1"/>
  <c r="N10" i="12"/>
  <c r="S10" i="12" s="1"/>
  <c r="T10" i="12" s="1"/>
  <c r="N41" i="12"/>
  <c r="X47" i="12"/>
  <c r="N47" i="12"/>
  <c r="S47" i="12" s="1"/>
  <c r="T47" i="12" s="1"/>
  <c r="X72" i="12"/>
  <c r="N17" i="12"/>
  <c r="X17" i="12"/>
  <c r="X13" i="12"/>
  <c r="N13" i="12"/>
  <c r="S13" i="12" s="1"/>
  <c r="T13" i="12" s="1"/>
  <c r="S37" i="12"/>
  <c r="T37" i="12" s="1"/>
  <c r="S15" i="12"/>
  <c r="T15" i="12" s="1"/>
  <c r="X34" i="12"/>
  <c r="N34" i="12"/>
  <c r="N16" i="12"/>
  <c r="S18" i="12"/>
  <c r="T18" i="12" s="1"/>
  <c r="X38" i="12"/>
  <c r="N38" i="12"/>
  <c r="S38" i="12" s="1"/>
  <c r="T38" i="12" s="1"/>
  <c r="N55" i="12"/>
  <c r="N11" i="12"/>
  <c r="S11" i="12" s="1"/>
  <c r="T11" i="12" s="1"/>
  <c r="X11" i="12"/>
  <c r="N39" i="12"/>
  <c r="S39" i="12" s="1"/>
  <c r="T39" i="12" s="1"/>
  <c r="N70" i="12"/>
  <c r="S75" i="12"/>
  <c r="T75" i="12" s="1"/>
  <c r="X25" i="12"/>
  <c r="N25" i="12"/>
  <c r="X2" i="12"/>
  <c r="N8" i="12"/>
  <c r="N45" i="12"/>
  <c r="X6" i="12"/>
  <c r="N6" i="12"/>
  <c r="X19" i="12"/>
  <c r="N19" i="12"/>
  <c r="N69" i="12"/>
  <c r="N22" i="12"/>
  <c r="S22" i="12" s="1"/>
  <c r="T22" i="12" s="1"/>
  <c r="N33" i="12"/>
  <c r="S33" i="12" s="1"/>
  <c r="T33" i="12" s="1"/>
  <c r="N36" i="12"/>
  <c r="X39" i="12"/>
  <c r="X46" i="12"/>
  <c r="N46" i="12"/>
  <c r="S46" i="12" s="1"/>
  <c r="T46" i="12" s="1"/>
  <c r="N62" i="12"/>
  <c r="S62" i="12" s="1"/>
  <c r="T62" i="12" s="1"/>
  <c r="N81" i="12"/>
  <c r="S81" i="12" s="1"/>
  <c r="T81" i="12" s="1"/>
  <c r="N14" i="12"/>
  <c r="X36" i="12"/>
  <c r="N58" i="12"/>
  <c r="N29" i="12"/>
  <c r="N56" i="12"/>
  <c r="X29" i="12"/>
  <c r="N49" i="12"/>
  <c r="S49" i="12" s="1"/>
  <c r="T49" i="12" s="1"/>
  <c r="X66" i="12"/>
  <c r="N53" i="12"/>
  <c r="N28" i="12"/>
  <c r="N40" i="12"/>
  <c r="N42" i="12"/>
  <c r="N51" i="12"/>
  <c r="N61" i="12"/>
  <c r="N63" i="12"/>
  <c r="X74" i="12"/>
  <c r="X64" i="12"/>
  <c r="N64" i="12"/>
  <c r="S64" i="12" s="1"/>
  <c r="T64" i="12" s="1"/>
  <c r="X32" i="12"/>
  <c r="N32" i="12"/>
  <c r="X77" i="12"/>
  <c r="N77" i="12"/>
  <c r="S77" i="12" s="1"/>
  <c r="T77" i="12" s="1"/>
  <c r="N71" i="12"/>
  <c r="N74" i="12"/>
  <c r="S74" i="12" s="1"/>
  <c r="T74" i="12" s="1"/>
  <c r="X31" i="12"/>
  <c r="X35" i="12"/>
  <c r="X56" i="12"/>
  <c r="N57" i="12"/>
  <c r="N65" i="12"/>
  <c r="X37" i="12"/>
  <c r="S60" i="12"/>
  <c r="T60" i="12" s="1"/>
  <c r="N67" i="12"/>
  <c r="X43" i="12"/>
  <c r="X30" i="12"/>
  <c r="X42" i="12"/>
  <c r="X80" i="12"/>
  <c r="S76" i="12"/>
  <c r="T76" i="12" s="1"/>
  <c r="R54" i="11"/>
  <c r="M54" i="11"/>
  <c r="L54" i="11"/>
  <c r="R53" i="11"/>
  <c r="M53" i="11"/>
  <c r="L53" i="11"/>
  <c r="R52" i="11"/>
  <c r="M52" i="11"/>
  <c r="L52" i="11"/>
  <c r="R51" i="11"/>
  <c r="M51" i="11"/>
  <c r="L51" i="11"/>
  <c r="R50" i="11"/>
  <c r="M50" i="11"/>
  <c r="L50" i="11"/>
  <c r="R49" i="11"/>
  <c r="M49" i="11"/>
  <c r="L49" i="11"/>
  <c r="R48" i="11"/>
  <c r="M48" i="11"/>
  <c r="L48" i="11"/>
  <c r="R47" i="11"/>
  <c r="M47" i="11"/>
  <c r="L47" i="11"/>
  <c r="R46" i="11"/>
  <c r="M46" i="11"/>
  <c r="L46" i="11"/>
  <c r="R45" i="11"/>
  <c r="M45" i="11"/>
  <c r="L45" i="11"/>
  <c r="R44" i="11"/>
  <c r="M44" i="11"/>
  <c r="L44" i="11"/>
  <c r="N44" i="11" s="1"/>
  <c r="R43" i="11"/>
  <c r="M43" i="11"/>
  <c r="L43" i="11"/>
  <c r="R42" i="11"/>
  <c r="M42" i="11"/>
  <c r="L42" i="11"/>
  <c r="R41" i="11"/>
  <c r="M41" i="11"/>
  <c r="L41" i="11"/>
  <c r="R40" i="11"/>
  <c r="M40" i="11"/>
  <c r="L40" i="11"/>
  <c r="R39" i="11"/>
  <c r="M39" i="11"/>
  <c r="L39" i="11"/>
  <c r="X39" i="11" s="1"/>
  <c r="R38" i="11"/>
  <c r="M38" i="11"/>
  <c r="L38" i="11"/>
  <c r="R37" i="11"/>
  <c r="M37" i="11"/>
  <c r="L37" i="11"/>
  <c r="R36" i="11"/>
  <c r="M36" i="11"/>
  <c r="L36" i="11"/>
  <c r="R35" i="11"/>
  <c r="M35" i="11"/>
  <c r="L35" i="11"/>
  <c r="R34" i="11"/>
  <c r="M34" i="11"/>
  <c r="L34" i="11"/>
  <c r="R33" i="11"/>
  <c r="M33" i="11"/>
  <c r="L33" i="11"/>
  <c r="R32" i="11"/>
  <c r="M32" i="11"/>
  <c r="L32" i="11"/>
  <c r="R31" i="11"/>
  <c r="M31" i="11"/>
  <c r="L31" i="11"/>
  <c r="R30" i="11"/>
  <c r="M30" i="11"/>
  <c r="L30" i="11"/>
  <c r="R29" i="11"/>
  <c r="M29" i="11"/>
  <c r="L29" i="11"/>
  <c r="R28" i="11"/>
  <c r="M28" i="11"/>
  <c r="L28" i="11"/>
  <c r="R27" i="11"/>
  <c r="M27" i="11"/>
  <c r="L27" i="11"/>
  <c r="R26" i="11"/>
  <c r="M26" i="11"/>
  <c r="L26" i="11"/>
  <c r="R25" i="11"/>
  <c r="M25" i="11"/>
  <c r="L25" i="11"/>
  <c r="R24" i="11"/>
  <c r="M24" i="11"/>
  <c r="L24" i="11"/>
  <c r="R23" i="11"/>
  <c r="M23" i="11"/>
  <c r="L23" i="11"/>
  <c r="R22" i="11"/>
  <c r="M22" i="11"/>
  <c r="L22" i="11"/>
  <c r="R21" i="11"/>
  <c r="M21" i="11"/>
  <c r="L21" i="11"/>
  <c r="R20" i="11"/>
  <c r="M20" i="11"/>
  <c r="L20" i="11"/>
  <c r="R19" i="11"/>
  <c r="M19" i="11"/>
  <c r="L19" i="11"/>
  <c r="R18" i="11"/>
  <c r="M18" i="11"/>
  <c r="L18" i="11"/>
  <c r="R17" i="11"/>
  <c r="M17" i="11"/>
  <c r="L17" i="11"/>
  <c r="R16" i="11"/>
  <c r="M16" i="11"/>
  <c r="L16" i="11"/>
  <c r="R15" i="11"/>
  <c r="M15" i="11"/>
  <c r="L15" i="11"/>
  <c r="R14" i="11"/>
  <c r="M14" i="11"/>
  <c r="L14" i="11"/>
  <c r="R13" i="11"/>
  <c r="M13" i="11"/>
  <c r="L13" i="11"/>
  <c r="R12" i="11"/>
  <c r="M12" i="11"/>
  <c r="L12" i="11"/>
  <c r="R11" i="11"/>
  <c r="M11" i="11"/>
  <c r="L11" i="11"/>
  <c r="R10" i="11"/>
  <c r="M10" i="11"/>
  <c r="L10" i="11"/>
  <c r="R9" i="11"/>
  <c r="M9" i="11"/>
  <c r="L9" i="11"/>
  <c r="R8" i="11"/>
  <c r="M8" i="11"/>
  <c r="L8" i="11"/>
  <c r="R7" i="11"/>
  <c r="M7" i="11"/>
  <c r="L7" i="11"/>
  <c r="R6" i="11"/>
  <c r="M6" i="11"/>
  <c r="L6" i="11"/>
  <c r="R5" i="11"/>
  <c r="M5" i="11"/>
  <c r="L5" i="11"/>
  <c r="R4" i="11"/>
  <c r="M4" i="11"/>
  <c r="L4" i="11"/>
  <c r="R3" i="11"/>
  <c r="M3" i="11"/>
  <c r="L3" i="11"/>
  <c r="X3" i="11" s="1"/>
  <c r="W2" i="11"/>
  <c r="R2" i="11"/>
  <c r="M2" i="11"/>
  <c r="L2" i="11"/>
  <c r="I2" i="11"/>
  <c r="G2" i="11"/>
  <c r="D2" i="11"/>
  <c r="E2" i="11" s="1"/>
  <c r="B2" i="1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2" i="4"/>
  <c r="J2" i="11" l="1"/>
  <c r="X4" i="11"/>
  <c r="X16" i="11"/>
  <c r="X28" i="11"/>
  <c r="X21" i="11"/>
  <c r="X38" i="11"/>
  <c r="X45" i="11"/>
  <c r="X23" i="11"/>
  <c r="X22" i="11"/>
  <c r="N2" i="11"/>
  <c r="S2" i="11" s="1"/>
  <c r="T2" i="11" s="1"/>
  <c r="N46" i="11"/>
  <c r="N33" i="11"/>
  <c r="S33" i="11" s="1"/>
  <c r="T33" i="11" s="1"/>
  <c r="N37" i="11"/>
  <c r="N54" i="11"/>
  <c r="S54" i="11" s="1"/>
  <c r="T54" i="11" s="1"/>
  <c r="N45" i="11"/>
  <c r="S45" i="11" s="1"/>
  <c r="T45" i="11" s="1"/>
  <c r="N15" i="11"/>
  <c r="S15" i="11" s="1"/>
  <c r="T15" i="11" s="1"/>
  <c r="N49" i="11"/>
  <c r="N36" i="11"/>
  <c r="S36" i="11" s="1"/>
  <c r="T36" i="11" s="1"/>
  <c r="N20" i="11"/>
  <c r="N48" i="11"/>
  <c r="N4" i="11"/>
  <c r="N35" i="11"/>
  <c r="N39" i="11"/>
  <c r="S39" i="11" s="1"/>
  <c r="T39" i="11" s="1"/>
  <c r="N30" i="11"/>
  <c r="S30" i="11" s="1"/>
  <c r="T30" i="11" s="1"/>
  <c r="N53" i="11"/>
  <c r="N43" i="11"/>
  <c r="S43" i="11" s="1"/>
  <c r="T43" i="11" s="1"/>
  <c r="Y68" i="12"/>
  <c r="Z68" i="12" s="1"/>
  <c r="X48" i="11"/>
  <c r="X14" i="11"/>
  <c r="X15" i="11"/>
  <c r="X27" i="11"/>
  <c r="X54" i="11"/>
  <c r="X12" i="11"/>
  <c r="X24" i="11"/>
  <c r="X20" i="11"/>
  <c r="X44" i="11"/>
  <c r="X19" i="11"/>
  <c r="X30" i="11"/>
  <c r="X18" i="11"/>
  <c r="X17" i="11"/>
  <c r="X36" i="11"/>
  <c r="X2" i="11"/>
  <c r="Y78" i="12"/>
  <c r="Z78" i="12" s="1"/>
  <c r="N51" i="11"/>
  <c r="S51" i="11" s="1"/>
  <c r="T51" i="11" s="1"/>
  <c r="Y43" i="12"/>
  <c r="Z43" i="12" s="1"/>
  <c r="Y3" i="12"/>
  <c r="Z3" i="12" s="1"/>
  <c r="Y7" i="13"/>
  <c r="Z7" i="13" s="1"/>
  <c r="Y2" i="13"/>
  <c r="Z2" i="13" s="1"/>
  <c r="X13" i="11"/>
  <c r="X25" i="11"/>
  <c r="X32" i="11"/>
  <c r="Y80" i="12"/>
  <c r="Z80" i="12" s="1"/>
  <c r="Y54" i="12"/>
  <c r="Z54" i="12" s="1"/>
  <c r="Y30" i="12"/>
  <c r="Z30" i="12" s="1"/>
  <c r="Y18" i="12"/>
  <c r="Z18" i="12" s="1"/>
  <c r="S48" i="13"/>
  <c r="T48" i="13" s="1"/>
  <c r="S27" i="13"/>
  <c r="T27" i="13" s="1"/>
  <c r="S21" i="13"/>
  <c r="T21" i="13" s="1"/>
  <c r="S39" i="13"/>
  <c r="T39" i="13" s="1"/>
  <c r="S37" i="13"/>
  <c r="T37" i="13" s="1"/>
  <c r="S42" i="13"/>
  <c r="T42" i="13" s="1"/>
  <c r="S47" i="13"/>
  <c r="T47" i="13" s="1"/>
  <c r="S35" i="13"/>
  <c r="T35" i="13" s="1"/>
  <c r="S36" i="13"/>
  <c r="T36" i="13" s="1"/>
  <c r="S22" i="13"/>
  <c r="T22" i="13" s="1"/>
  <c r="S26" i="13"/>
  <c r="T26" i="13" s="1"/>
  <c r="S33" i="13"/>
  <c r="T33" i="13" s="1"/>
  <c r="S8" i="13"/>
  <c r="T8" i="13" s="1"/>
  <c r="S31" i="13"/>
  <c r="T31" i="13" s="1"/>
  <c r="Y31" i="13"/>
  <c r="Z31" i="13" s="1"/>
  <c r="S30" i="13"/>
  <c r="T30" i="13" s="1"/>
  <c r="S14" i="13"/>
  <c r="T14" i="13" s="1"/>
  <c r="S43" i="13"/>
  <c r="T43" i="13" s="1"/>
  <c r="S20" i="13"/>
  <c r="T20" i="13" s="1"/>
  <c r="S29" i="13"/>
  <c r="T29" i="13" s="1"/>
  <c r="S49" i="13"/>
  <c r="T49" i="13" s="1"/>
  <c r="Y6" i="13"/>
  <c r="Z6" i="13" s="1"/>
  <c r="S28" i="13"/>
  <c r="T28" i="13" s="1"/>
  <c r="S12" i="13"/>
  <c r="T12" i="13" s="1"/>
  <c r="S24" i="13"/>
  <c r="T24" i="13" s="1"/>
  <c r="S32" i="13"/>
  <c r="T32" i="13" s="1"/>
  <c r="S3" i="13"/>
  <c r="T3" i="13" s="1"/>
  <c r="S38" i="13"/>
  <c r="T38" i="13" s="1"/>
  <c r="S23" i="13"/>
  <c r="T23" i="13" s="1"/>
  <c r="S10" i="13"/>
  <c r="T10" i="13" s="1"/>
  <c r="S34" i="13"/>
  <c r="T34" i="13" s="1"/>
  <c r="Y9" i="13"/>
  <c r="Z9" i="13" s="1"/>
  <c r="S52" i="13"/>
  <c r="T52" i="13" s="1"/>
  <c r="S41" i="13"/>
  <c r="T41" i="13" s="1"/>
  <c r="S44" i="13"/>
  <c r="T44" i="13" s="1"/>
  <c r="S45" i="13"/>
  <c r="T45" i="13" s="1"/>
  <c r="S46" i="13"/>
  <c r="T46" i="13" s="1"/>
  <c r="Y11" i="13"/>
  <c r="Z11" i="13" s="1"/>
  <c r="S54" i="13"/>
  <c r="T54" i="13" s="1"/>
  <c r="Y18" i="13"/>
  <c r="Z18" i="13" s="1"/>
  <c r="S50" i="13"/>
  <c r="T50" i="13" s="1"/>
  <c r="S51" i="13"/>
  <c r="T51" i="13" s="1"/>
  <c r="S13" i="13"/>
  <c r="T13" i="13" s="1"/>
  <c r="Y13" i="13" s="1"/>
  <c r="Z13" i="13" s="1"/>
  <c r="S40" i="13"/>
  <c r="T40" i="13" s="1"/>
  <c r="S4" i="13"/>
  <c r="T4" i="13" s="1"/>
  <c r="Y15" i="13"/>
  <c r="Z15" i="13" s="1"/>
  <c r="S16" i="13"/>
  <c r="T16" i="13" s="1"/>
  <c r="S19" i="13"/>
  <c r="T19" i="13" s="1"/>
  <c r="Y17" i="13"/>
  <c r="Z17" i="13" s="1"/>
  <c r="S53" i="13"/>
  <c r="T53" i="13" s="1"/>
  <c r="S25" i="13"/>
  <c r="T25" i="13" s="1"/>
  <c r="S5" i="13"/>
  <c r="T5" i="13" s="1"/>
  <c r="S72" i="12"/>
  <c r="T72" i="12" s="1"/>
  <c r="S69" i="12"/>
  <c r="T69" i="12" s="1"/>
  <c r="S56" i="12"/>
  <c r="T56" i="12" s="1"/>
  <c r="S28" i="12"/>
  <c r="T28" i="12" s="1"/>
  <c r="S42" i="12"/>
  <c r="T42" i="12" s="1"/>
  <c r="Y13" i="12"/>
  <c r="Z13" i="12" s="1"/>
  <c r="Y9" i="12"/>
  <c r="Z9" i="12" s="1"/>
  <c r="Y46" i="12"/>
  <c r="Z46" i="12" s="1"/>
  <c r="Y31" i="12"/>
  <c r="Z31" i="12" s="1"/>
  <c r="Y76" i="12"/>
  <c r="Z76" i="12" s="1"/>
  <c r="S45" i="12"/>
  <c r="T45" i="12" s="1"/>
  <c r="S70" i="12"/>
  <c r="T70" i="12" s="1"/>
  <c r="Y7" i="12"/>
  <c r="Z7" i="12" s="1"/>
  <c r="S57" i="12"/>
  <c r="T57" i="12" s="1"/>
  <c r="S66" i="12"/>
  <c r="T66" i="12" s="1"/>
  <c r="Y22" i="12"/>
  <c r="Z22" i="12" s="1"/>
  <c r="S55" i="12"/>
  <c r="T55" i="12" s="1"/>
  <c r="S41" i="12"/>
  <c r="T41" i="12" s="1"/>
  <c r="Y4" i="12"/>
  <c r="Z4" i="12" s="1"/>
  <c r="S40" i="12"/>
  <c r="T40" i="12" s="1"/>
  <c r="Y44" i="12"/>
  <c r="Z44" i="12" s="1"/>
  <c r="Y52" i="12"/>
  <c r="Z52" i="12" s="1"/>
  <c r="Y35" i="12"/>
  <c r="Z35" i="12" s="1"/>
  <c r="S71" i="12"/>
  <c r="T71" i="12" s="1"/>
  <c r="S29" i="12"/>
  <c r="T29" i="12" s="1"/>
  <c r="Y75" i="12"/>
  <c r="Z75" i="12" s="1"/>
  <c r="S34" i="12"/>
  <c r="T34" i="12" s="1"/>
  <c r="S20" i="12"/>
  <c r="T20" i="12" s="1"/>
  <c r="Y21" i="12"/>
  <c r="Z21" i="12" s="1"/>
  <c r="Y5" i="12"/>
  <c r="Z5" i="12" s="1"/>
  <c r="Y37" i="12"/>
  <c r="Z37" i="12" s="1"/>
  <c r="Y12" i="12"/>
  <c r="Z12" i="12" s="1"/>
  <c r="Y39" i="12"/>
  <c r="Z39" i="12" s="1"/>
  <c r="Y77" i="12"/>
  <c r="Z77" i="12" s="1"/>
  <c r="S63" i="12"/>
  <c r="T63" i="12" s="1"/>
  <c r="S58" i="12"/>
  <c r="T58" i="12" s="1"/>
  <c r="S8" i="12"/>
  <c r="T8" i="12" s="1"/>
  <c r="Y26" i="12"/>
  <c r="Z26" i="12" s="1"/>
  <c r="S25" i="12"/>
  <c r="T25" i="12" s="1"/>
  <c r="S14" i="12"/>
  <c r="T14" i="12" s="1"/>
  <c r="Y2" i="12"/>
  <c r="Z2" i="12" s="1"/>
  <c r="S50" i="12"/>
  <c r="T50" i="12" s="1"/>
  <c r="Y10" i="12"/>
  <c r="Z10" i="12" s="1"/>
  <c r="Y74" i="12"/>
  <c r="Z74" i="12" s="1"/>
  <c r="S53" i="12"/>
  <c r="T53" i="12" s="1"/>
  <c r="Y62" i="12"/>
  <c r="Z62" i="12" s="1"/>
  <c r="S19" i="12"/>
  <c r="T19" i="12" s="1"/>
  <c r="Y79" i="12"/>
  <c r="Z79" i="12" s="1"/>
  <c r="S67" i="12"/>
  <c r="T67" i="12" s="1"/>
  <c r="S65" i="12"/>
  <c r="T65" i="12" s="1"/>
  <c r="S61" i="12"/>
  <c r="T61" i="12" s="1"/>
  <c r="Y49" i="12"/>
  <c r="Z49" i="12" s="1"/>
  <c r="Y73" i="12"/>
  <c r="Z73" i="12" s="1"/>
  <c r="Y23" i="12"/>
  <c r="Z23" i="12" s="1"/>
  <c r="Y24" i="12"/>
  <c r="Z24" i="12" s="1"/>
  <c r="S16" i="12"/>
  <c r="T16" i="12" s="1"/>
  <c r="Y48" i="12"/>
  <c r="Z48" i="12" s="1"/>
  <c r="Y11" i="12"/>
  <c r="Z11" i="12" s="1"/>
  <c r="Y64" i="12"/>
  <c r="Z64" i="12" s="1"/>
  <c r="Y81" i="12"/>
  <c r="Z81" i="12" s="1"/>
  <c r="Y38" i="12"/>
  <c r="Z38" i="12" s="1"/>
  <c r="Y15" i="12"/>
  <c r="Z15" i="12" s="1"/>
  <c r="S32" i="12"/>
  <c r="T32" i="12" s="1"/>
  <c r="S51" i="12"/>
  <c r="T51" i="12" s="1"/>
  <c r="S36" i="12"/>
  <c r="T36" i="12" s="1"/>
  <c r="Y33" i="12"/>
  <c r="Z33" i="12" s="1"/>
  <c r="Y47" i="12"/>
  <c r="Z47" i="12" s="1"/>
  <c r="S17" i="12"/>
  <c r="T17" i="12" s="1"/>
  <c r="Y59" i="12"/>
  <c r="Z59" i="12" s="1"/>
  <c r="Y27" i="12"/>
  <c r="Z27" i="12" s="1"/>
  <c r="Y60" i="12"/>
  <c r="S6" i="12"/>
  <c r="T6" i="12" s="1"/>
  <c r="X43" i="11"/>
  <c r="X35" i="11"/>
  <c r="X42" i="11"/>
  <c r="X50" i="11"/>
  <c r="X51" i="11"/>
  <c r="X33" i="11"/>
  <c r="N50" i="11"/>
  <c r="S50" i="11" s="1"/>
  <c r="T50" i="11" s="1"/>
  <c r="N42" i="11"/>
  <c r="S42" i="11" s="1"/>
  <c r="T42" i="11" s="1"/>
  <c r="X29" i="11"/>
  <c r="X46" i="11"/>
  <c r="X52" i="11"/>
  <c r="N52" i="11"/>
  <c r="N21" i="11"/>
  <c r="N41" i="11"/>
  <c r="S44" i="11"/>
  <c r="T44" i="11" s="1"/>
  <c r="N27" i="11"/>
  <c r="S27" i="11" s="1"/>
  <c r="T27" i="11" s="1"/>
  <c r="N5" i="11"/>
  <c r="N8" i="11"/>
  <c r="N11" i="11"/>
  <c r="N7" i="11"/>
  <c r="S7" i="11" s="1"/>
  <c r="T7" i="11" s="1"/>
  <c r="N10" i="11"/>
  <c r="X37" i="11"/>
  <c r="N14" i="11"/>
  <c r="X26" i="11"/>
  <c r="X47" i="11"/>
  <c r="N47" i="11"/>
  <c r="X34" i="11"/>
  <c r="N34" i="11"/>
  <c r="S34" i="11" s="1"/>
  <c r="T34" i="11" s="1"/>
  <c r="N38" i="11"/>
  <c r="N6" i="11"/>
  <c r="S6" i="11" s="1"/>
  <c r="T6" i="11" s="1"/>
  <c r="N9" i="11"/>
  <c r="S9" i="11" s="1"/>
  <c r="T9" i="11" s="1"/>
  <c r="N3" i="11"/>
  <c r="N26" i="11"/>
  <c r="X31" i="11"/>
  <c r="N31" i="11"/>
  <c r="N13" i="11"/>
  <c r="S13" i="11" s="1"/>
  <c r="T13" i="11" s="1"/>
  <c r="N19" i="11"/>
  <c r="S19" i="11" s="1"/>
  <c r="T19" i="11" s="1"/>
  <c r="N25" i="11"/>
  <c r="S25" i="11" s="1"/>
  <c r="T25" i="11" s="1"/>
  <c r="X49" i="11"/>
  <c r="X53" i="11"/>
  <c r="X5" i="11"/>
  <c r="X6" i="11"/>
  <c r="X7" i="11"/>
  <c r="X8" i="11"/>
  <c r="X9" i="11"/>
  <c r="X10" i="11"/>
  <c r="X11" i="11"/>
  <c r="N12" i="11"/>
  <c r="N18" i="11"/>
  <c r="N24" i="11"/>
  <c r="X41" i="11"/>
  <c r="N17" i="11"/>
  <c r="N23" i="11"/>
  <c r="N29" i="11"/>
  <c r="N16" i="11"/>
  <c r="S16" i="11" s="1"/>
  <c r="T16" i="11" s="1"/>
  <c r="N22" i="11"/>
  <c r="N28" i="11"/>
  <c r="X40" i="11"/>
  <c r="N40" i="11"/>
  <c r="S40" i="11" s="1"/>
  <c r="T40" i="11" s="1"/>
  <c r="N32" i="11"/>
  <c r="S32" i="11" s="1"/>
  <c r="T32" i="11" s="1"/>
  <c r="R2" i="4"/>
  <c r="Y43" i="13" l="1"/>
  <c r="Z43" i="13" s="1"/>
  <c r="Z60" i="12"/>
  <c r="Y2" i="11"/>
  <c r="Z2" i="11" s="1"/>
  <c r="Y34" i="13"/>
  <c r="Z34" i="13" s="1"/>
  <c r="Y28" i="13"/>
  <c r="Z28" i="13" s="1"/>
  <c r="Y22" i="13"/>
  <c r="Z22" i="13" s="1"/>
  <c r="Y10" i="13"/>
  <c r="Z10" i="13" s="1"/>
  <c r="Y72" i="12"/>
  <c r="Z72" i="12" s="1"/>
  <c r="Y29" i="12"/>
  <c r="Z29" i="12" s="1"/>
  <c r="Y66" i="12"/>
  <c r="Z66" i="12" s="1"/>
  <c r="Y67" i="12"/>
  <c r="Z67" i="12" s="1"/>
  <c r="Y58" i="12"/>
  <c r="Z58" i="12" s="1"/>
  <c r="Y5" i="13"/>
  <c r="Z5" i="13" s="1"/>
  <c r="Y49" i="13"/>
  <c r="Z49" i="13" s="1"/>
  <c r="Y51" i="13"/>
  <c r="Z51" i="13" s="1"/>
  <c r="Y40" i="13"/>
  <c r="Z40" i="13" s="1"/>
  <c r="Y12" i="13"/>
  <c r="Z12" i="13" s="1"/>
  <c r="Y48" i="13"/>
  <c r="Z48" i="13" s="1"/>
  <c r="Y14" i="12"/>
  <c r="Z14" i="12" s="1"/>
  <c r="Y6" i="12"/>
  <c r="Z6" i="12" s="1"/>
  <c r="Y41" i="12"/>
  <c r="Z41" i="12" s="1"/>
  <c r="Y38" i="13"/>
  <c r="Z38" i="13" s="1"/>
  <c r="Y36" i="13"/>
  <c r="Z36" i="13" s="1"/>
  <c r="Y16" i="13"/>
  <c r="Z16" i="13" s="1"/>
  <c r="Y33" i="13"/>
  <c r="Z33" i="13" s="1"/>
  <c r="Y19" i="13"/>
  <c r="Z19" i="13" s="1"/>
  <c r="Y23" i="13"/>
  <c r="Z23" i="13" s="1"/>
  <c r="Y14" i="13"/>
  <c r="Z14" i="13" s="1"/>
  <c r="Y50" i="13"/>
  <c r="Z50" i="13" s="1"/>
  <c r="Y30" i="11"/>
  <c r="Z30" i="11" s="1"/>
  <c r="Y16" i="12"/>
  <c r="Z16" i="12" s="1"/>
  <c r="Y32" i="12"/>
  <c r="Z32" i="12" s="1"/>
  <c r="Y63" i="12"/>
  <c r="Z63" i="12" s="1"/>
  <c r="Y53" i="13"/>
  <c r="Z53" i="13" s="1"/>
  <c r="Y45" i="13"/>
  <c r="Y35" i="13"/>
  <c r="Z35" i="13" s="1"/>
  <c r="Y44" i="13"/>
  <c r="Z44" i="13" s="1"/>
  <c r="Y32" i="13"/>
  <c r="Z32" i="13" s="1"/>
  <c r="Y47" i="13"/>
  <c r="Z47" i="13" s="1"/>
  <c r="Y54" i="13"/>
  <c r="Z54" i="13" s="1"/>
  <c r="Y41" i="13"/>
  <c r="Z41" i="13" s="1"/>
  <c r="Y24" i="13"/>
  <c r="Z24" i="13" s="1"/>
  <c r="Y42" i="13"/>
  <c r="Z42" i="13" s="1"/>
  <c r="Y27" i="13"/>
  <c r="Z27" i="13" s="1"/>
  <c r="Y39" i="13"/>
  <c r="Z39" i="13" s="1"/>
  <c r="Y20" i="13"/>
  <c r="Z20" i="13" s="1"/>
  <c r="Y4" i="13"/>
  <c r="Z4" i="13" s="1"/>
  <c r="Y21" i="13"/>
  <c r="Z21" i="13" s="1"/>
  <c r="Y8" i="13"/>
  <c r="Z8" i="13" s="1"/>
  <c r="Y3" i="13"/>
  <c r="Z3" i="13" s="1"/>
  <c r="Y25" i="13"/>
  <c r="Z25" i="13" s="1"/>
  <c r="Y46" i="13"/>
  <c r="Z46" i="13" s="1"/>
  <c r="Y52" i="13"/>
  <c r="Z52" i="13" s="1"/>
  <c r="Y37" i="13"/>
  <c r="Z37" i="13" s="1"/>
  <c r="Y30" i="13"/>
  <c r="Z30" i="13" s="1"/>
  <c r="Y26" i="13"/>
  <c r="Z26" i="13" s="1"/>
  <c r="Y29" i="13"/>
  <c r="Z29" i="13" s="1"/>
  <c r="Y56" i="12"/>
  <c r="Z56" i="12" s="1"/>
  <c r="Y45" i="12"/>
  <c r="Z45" i="12" s="1"/>
  <c r="Y51" i="12"/>
  <c r="Z51" i="12" s="1"/>
  <c r="Y53" i="12"/>
  <c r="Z53" i="12" s="1"/>
  <c r="Y34" i="12"/>
  <c r="Z34" i="12" s="1"/>
  <c r="Y57" i="12"/>
  <c r="Z57" i="12" s="1"/>
  <c r="Y28" i="12"/>
  <c r="Z28" i="12" s="1"/>
  <c r="Y17" i="12"/>
  <c r="Z17" i="12" s="1"/>
  <c r="Y69" i="12"/>
  <c r="Z69" i="12" s="1"/>
  <c r="Y50" i="12"/>
  <c r="Z50" i="12" s="1"/>
  <c r="Y8" i="12"/>
  <c r="Z8" i="12" s="1"/>
  <c r="Y55" i="12"/>
  <c r="Z55" i="12" s="1"/>
  <c r="Y71" i="12"/>
  <c r="Z71" i="12" s="1"/>
  <c r="Y40" i="12"/>
  <c r="Z40" i="12" s="1"/>
  <c r="Y42" i="12"/>
  <c r="Z42" i="12" s="1"/>
  <c r="Y61" i="12"/>
  <c r="Z61" i="12" s="1"/>
  <c r="Y25" i="12"/>
  <c r="Z25" i="12" s="1"/>
  <c r="Y36" i="12"/>
  <c r="Z36" i="12" s="1"/>
  <c r="Y65" i="12"/>
  <c r="Z65" i="12" s="1"/>
  <c r="Y20" i="12"/>
  <c r="Z20" i="12" s="1"/>
  <c r="Y70" i="12"/>
  <c r="Z70" i="12" s="1"/>
  <c r="Y19" i="12"/>
  <c r="Z19" i="12" s="1"/>
  <c r="Y45" i="11"/>
  <c r="Z45" i="11" s="1"/>
  <c r="Y33" i="11"/>
  <c r="Z33" i="11" s="1"/>
  <c r="S48" i="11"/>
  <c r="T48" i="11" s="1"/>
  <c r="Y51" i="11"/>
  <c r="Z51" i="11" s="1"/>
  <c r="Y54" i="11"/>
  <c r="Z54" i="11" s="1"/>
  <c r="S4" i="11"/>
  <c r="T4" i="11" s="1"/>
  <c r="Y39" i="11"/>
  <c r="Z39" i="11" s="1"/>
  <c r="S28" i="11"/>
  <c r="T28" i="11" s="1"/>
  <c r="S26" i="11"/>
  <c r="T26" i="11" s="1"/>
  <c r="S24" i="11"/>
  <c r="T24" i="11" s="1"/>
  <c r="S17" i="11"/>
  <c r="T17" i="11" s="1"/>
  <c r="S41" i="11"/>
  <c r="T41" i="11" s="1"/>
  <c r="S12" i="11"/>
  <c r="T12" i="11" s="1"/>
  <c r="S38" i="11"/>
  <c r="T38" i="11" s="1"/>
  <c r="Y38" i="11"/>
  <c r="Z38" i="11" s="1"/>
  <c r="S47" i="11"/>
  <c r="T47" i="11" s="1"/>
  <c r="S5" i="11"/>
  <c r="T5" i="11" s="1"/>
  <c r="S35" i="11"/>
  <c r="T35" i="11" s="1"/>
  <c r="S18" i="11"/>
  <c r="T18" i="11" s="1"/>
  <c r="S14" i="11"/>
  <c r="T14" i="11" s="1"/>
  <c r="S31" i="11"/>
  <c r="T31" i="11" s="1"/>
  <c r="S53" i="11"/>
  <c r="T53" i="11" s="1"/>
  <c r="S21" i="11"/>
  <c r="T21" i="11" s="1"/>
  <c r="Y7" i="11"/>
  <c r="Z7" i="11" s="1"/>
  <c r="Y27" i="11"/>
  <c r="Z27" i="11" s="1"/>
  <c r="S49" i="11"/>
  <c r="T49" i="11" s="1"/>
  <c r="Y32" i="11"/>
  <c r="Z32" i="11" s="1"/>
  <c r="Y40" i="11"/>
  <c r="Z40" i="11" s="1"/>
  <c r="Y25" i="11"/>
  <c r="Z25" i="11" s="1"/>
  <c r="Y9" i="11"/>
  <c r="Z9" i="11" s="1"/>
  <c r="S3" i="11"/>
  <c r="T3" i="11" s="1"/>
  <c r="Y16" i="11"/>
  <c r="Z16" i="11" s="1"/>
  <c r="Y19" i="11"/>
  <c r="Z19" i="11" s="1"/>
  <c r="Y6" i="11"/>
  <c r="Z6" i="11" s="1"/>
  <c r="Y42" i="11"/>
  <c r="Z42" i="11" s="1"/>
  <c r="S22" i="11"/>
  <c r="T22" i="11" s="1"/>
  <c r="S52" i="11"/>
  <c r="T52" i="11" s="1"/>
  <c r="Y43" i="11"/>
  <c r="Z43" i="11" s="1"/>
  <c r="Y13" i="11"/>
  <c r="Z13" i="11" s="1"/>
  <c r="S46" i="11"/>
  <c r="T46" i="11" s="1"/>
  <c r="Y50" i="11"/>
  <c r="Z50" i="11" s="1"/>
  <c r="S20" i="11"/>
  <c r="T20" i="11" s="1"/>
  <c r="Y34" i="11"/>
  <c r="Z34" i="11" s="1"/>
  <c r="S37" i="11"/>
  <c r="T37" i="11" s="1"/>
  <c r="S11" i="11"/>
  <c r="T11" i="11" s="1"/>
  <c r="Y15" i="11"/>
  <c r="Z15" i="11" s="1"/>
  <c r="S10" i="11"/>
  <c r="T10" i="11" s="1"/>
  <c r="Y36" i="11"/>
  <c r="Z36" i="11" s="1"/>
  <c r="S23" i="11"/>
  <c r="T23" i="11" s="1"/>
  <c r="S8" i="11"/>
  <c r="T8" i="11" s="1"/>
  <c r="S29" i="11"/>
  <c r="T29" i="11" s="1"/>
  <c r="Y44" i="11"/>
  <c r="Z44" i="11" s="1"/>
  <c r="L5" i="10"/>
  <c r="L4" i="10"/>
  <c r="F4" i="10"/>
  <c r="Z45" i="13" l="1"/>
  <c r="Y85" i="13"/>
  <c r="Y84" i="12"/>
  <c r="Z84" i="12"/>
  <c r="Y21" i="11"/>
  <c r="Z21" i="11" s="1"/>
  <c r="Y29" i="11"/>
  <c r="Z29" i="11" s="1"/>
  <c r="Y48" i="11"/>
  <c r="Y35" i="11"/>
  <c r="Z35" i="11" s="1"/>
  <c r="Y10" i="11"/>
  <c r="Z10" i="11" s="1"/>
  <c r="Y46" i="11"/>
  <c r="Z46" i="11" s="1"/>
  <c r="Y31" i="11"/>
  <c r="Z31" i="11" s="1"/>
  <c r="Y23" i="11"/>
  <c r="Z23" i="11" s="1"/>
  <c r="Y22" i="11"/>
  <c r="Z22" i="11" s="1"/>
  <c r="Y20" i="11"/>
  <c r="Z20" i="11" s="1"/>
  <c r="Y4" i="11"/>
  <c r="Z4" i="11" s="1"/>
  <c r="Y3" i="11"/>
  <c r="Z3" i="11" s="1"/>
  <c r="Y41" i="11"/>
  <c r="Z41" i="11" s="1"/>
  <c r="Y18" i="11"/>
  <c r="Z18" i="11" s="1"/>
  <c r="Y5" i="11"/>
  <c r="Z5" i="11" s="1"/>
  <c r="Y24" i="11"/>
  <c r="Z24" i="11" s="1"/>
  <c r="Y53" i="11"/>
  <c r="Z53" i="11" s="1"/>
  <c r="Y28" i="11"/>
  <c r="Z28" i="11" s="1"/>
  <c r="Y11" i="11"/>
  <c r="Z11" i="11" s="1"/>
  <c r="Y52" i="11"/>
  <c r="Z52" i="11" s="1"/>
  <c r="Y17" i="11"/>
  <c r="Z17" i="11" s="1"/>
  <c r="Y49" i="11"/>
  <c r="Z49" i="11" s="1"/>
  <c r="Y14" i="11"/>
  <c r="Z14" i="11" s="1"/>
  <c r="Y8" i="11"/>
  <c r="Z8" i="11" s="1"/>
  <c r="Y37" i="11"/>
  <c r="Z37" i="11" s="1"/>
  <c r="Y47" i="11"/>
  <c r="Z47" i="11" s="1"/>
  <c r="Y12" i="11"/>
  <c r="Z12" i="11" s="1"/>
  <c r="Y26" i="11"/>
  <c r="Z26" i="11" s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2" i="4"/>
  <c r="Z85" i="13" l="1"/>
  <c r="Z48" i="11"/>
  <c r="Y87" i="11"/>
  <c r="M114" i="4"/>
  <c r="L114" i="4"/>
  <c r="X114" i="4" s="1"/>
  <c r="B114" i="4"/>
  <c r="M113" i="4"/>
  <c r="L113" i="4"/>
  <c r="X113" i="4" s="1"/>
  <c r="B113" i="4"/>
  <c r="M112" i="4"/>
  <c r="L112" i="4"/>
  <c r="X112" i="4" s="1"/>
  <c r="B112" i="4"/>
  <c r="M111" i="4"/>
  <c r="L111" i="4"/>
  <c r="X111" i="4" s="1"/>
  <c r="B111" i="4"/>
  <c r="M110" i="4"/>
  <c r="L110" i="4"/>
  <c r="X110" i="4" s="1"/>
  <c r="B110" i="4"/>
  <c r="M109" i="4"/>
  <c r="L109" i="4"/>
  <c r="X109" i="4" s="1"/>
  <c r="B109" i="4"/>
  <c r="M108" i="4"/>
  <c r="L108" i="4"/>
  <c r="X108" i="4" s="1"/>
  <c r="B108" i="4"/>
  <c r="M107" i="4"/>
  <c r="L107" i="4"/>
  <c r="X107" i="4" s="1"/>
  <c r="B107" i="4"/>
  <c r="M106" i="4"/>
  <c r="L106" i="4"/>
  <c r="X106" i="4" s="1"/>
  <c r="B106" i="4"/>
  <c r="M105" i="4"/>
  <c r="L105" i="4"/>
  <c r="X105" i="4" s="1"/>
  <c r="B105" i="4"/>
  <c r="M104" i="4"/>
  <c r="L104" i="4"/>
  <c r="X104" i="4" s="1"/>
  <c r="B104" i="4"/>
  <c r="M103" i="4"/>
  <c r="L103" i="4"/>
  <c r="X103" i="4" s="1"/>
  <c r="B103" i="4"/>
  <c r="M102" i="4"/>
  <c r="L102" i="4"/>
  <c r="X102" i="4" s="1"/>
  <c r="B102" i="4"/>
  <c r="M101" i="4"/>
  <c r="L101" i="4"/>
  <c r="X101" i="4" s="1"/>
  <c r="B101" i="4"/>
  <c r="M100" i="4"/>
  <c r="L100" i="4"/>
  <c r="X100" i="4" s="1"/>
  <c r="B100" i="4"/>
  <c r="M99" i="4"/>
  <c r="L99" i="4"/>
  <c r="X99" i="4" s="1"/>
  <c r="B99" i="4"/>
  <c r="M98" i="4"/>
  <c r="L98" i="4"/>
  <c r="X98" i="4" s="1"/>
  <c r="B98" i="4"/>
  <c r="M97" i="4"/>
  <c r="L97" i="4"/>
  <c r="X97" i="4" s="1"/>
  <c r="B97" i="4"/>
  <c r="M96" i="4"/>
  <c r="L96" i="4"/>
  <c r="X96" i="4" s="1"/>
  <c r="B96" i="4"/>
  <c r="M95" i="4"/>
  <c r="L95" i="4"/>
  <c r="X95" i="4" s="1"/>
  <c r="B95" i="4"/>
  <c r="M94" i="4"/>
  <c r="L94" i="4"/>
  <c r="X94" i="4" s="1"/>
  <c r="B94" i="4"/>
  <c r="M93" i="4"/>
  <c r="L93" i="4"/>
  <c r="X93" i="4" s="1"/>
  <c r="B93" i="4"/>
  <c r="M92" i="4"/>
  <c r="L92" i="4"/>
  <c r="X92" i="4" s="1"/>
  <c r="B92" i="4"/>
  <c r="M91" i="4"/>
  <c r="L91" i="4"/>
  <c r="X91" i="4" s="1"/>
  <c r="B91" i="4"/>
  <c r="M90" i="4"/>
  <c r="L90" i="4"/>
  <c r="X90" i="4" s="1"/>
  <c r="B90" i="4"/>
  <c r="M89" i="4"/>
  <c r="L89" i="4"/>
  <c r="X89" i="4" s="1"/>
  <c r="B89" i="4"/>
  <c r="M88" i="4"/>
  <c r="L88" i="4"/>
  <c r="X88" i="4" s="1"/>
  <c r="B88" i="4"/>
  <c r="M87" i="4"/>
  <c r="L87" i="4"/>
  <c r="X87" i="4" s="1"/>
  <c r="B87" i="4"/>
  <c r="M86" i="4"/>
  <c r="L86" i="4"/>
  <c r="X86" i="4" s="1"/>
  <c r="B86" i="4"/>
  <c r="M85" i="4"/>
  <c r="L85" i="4"/>
  <c r="X85" i="4" s="1"/>
  <c r="B85" i="4"/>
  <c r="M84" i="4"/>
  <c r="L84" i="4"/>
  <c r="X84" i="4" s="1"/>
  <c r="B84" i="4"/>
  <c r="M83" i="4"/>
  <c r="L83" i="4"/>
  <c r="X83" i="4" s="1"/>
  <c r="B83" i="4"/>
  <c r="M82" i="4"/>
  <c r="L82" i="4"/>
  <c r="X82" i="4" s="1"/>
  <c r="B82" i="4"/>
  <c r="M81" i="4"/>
  <c r="L81" i="4"/>
  <c r="X81" i="4" s="1"/>
  <c r="B81" i="4"/>
  <c r="M80" i="4"/>
  <c r="L80" i="4"/>
  <c r="X80" i="4" s="1"/>
  <c r="B80" i="4"/>
  <c r="M79" i="4"/>
  <c r="L79" i="4"/>
  <c r="X79" i="4" s="1"/>
  <c r="B79" i="4"/>
  <c r="M78" i="4"/>
  <c r="L78" i="4"/>
  <c r="X78" i="4" s="1"/>
  <c r="B78" i="4"/>
  <c r="M77" i="4"/>
  <c r="L77" i="4"/>
  <c r="X77" i="4" s="1"/>
  <c r="B77" i="4"/>
  <c r="M76" i="4"/>
  <c r="L76" i="4"/>
  <c r="X76" i="4" s="1"/>
  <c r="B76" i="4"/>
  <c r="M75" i="4"/>
  <c r="L75" i="4"/>
  <c r="X75" i="4" s="1"/>
  <c r="B75" i="4"/>
  <c r="M74" i="4"/>
  <c r="L74" i="4"/>
  <c r="X74" i="4" s="1"/>
  <c r="B74" i="4"/>
  <c r="M73" i="4"/>
  <c r="L73" i="4"/>
  <c r="X73" i="4" s="1"/>
  <c r="B73" i="4"/>
  <c r="M72" i="4"/>
  <c r="L72" i="4"/>
  <c r="X72" i="4" s="1"/>
  <c r="B72" i="4"/>
  <c r="M71" i="4"/>
  <c r="L71" i="4"/>
  <c r="X71" i="4" s="1"/>
  <c r="B71" i="4"/>
  <c r="M70" i="4"/>
  <c r="L70" i="4"/>
  <c r="X70" i="4" s="1"/>
  <c r="B70" i="4"/>
  <c r="M69" i="4"/>
  <c r="L69" i="4"/>
  <c r="X69" i="4" s="1"/>
  <c r="B69" i="4"/>
  <c r="M68" i="4"/>
  <c r="L68" i="4"/>
  <c r="X68" i="4" s="1"/>
  <c r="B68" i="4"/>
  <c r="M67" i="4"/>
  <c r="L67" i="4"/>
  <c r="X67" i="4" s="1"/>
  <c r="B67" i="4"/>
  <c r="M66" i="4"/>
  <c r="L66" i="4"/>
  <c r="X66" i="4" s="1"/>
  <c r="B66" i="4"/>
  <c r="M65" i="4"/>
  <c r="L65" i="4"/>
  <c r="X65" i="4" s="1"/>
  <c r="B65" i="4"/>
  <c r="M64" i="4"/>
  <c r="L64" i="4"/>
  <c r="X64" i="4" s="1"/>
  <c r="B64" i="4"/>
  <c r="M63" i="4"/>
  <c r="L63" i="4"/>
  <c r="X63" i="4" s="1"/>
  <c r="B63" i="4"/>
  <c r="M62" i="4"/>
  <c r="L62" i="4"/>
  <c r="X62" i="4" s="1"/>
  <c r="B62" i="4"/>
  <c r="M61" i="4"/>
  <c r="L61" i="4"/>
  <c r="X61" i="4" s="1"/>
  <c r="B61" i="4"/>
  <c r="M60" i="4"/>
  <c r="L60" i="4"/>
  <c r="X60" i="4" s="1"/>
  <c r="B60" i="4"/>
  <c r="M59" i="4"/>
  <c r="L59" i="4"/>
  <c r="X59" i="4" s="1"/>
  <c r="B59" i="4"/>
  <c r="M58" i="4"/>
  <c r="L58" i="4"/>
  <c r="X58" i="4" s="1"/>
  <c r="B58" i="4"/>
  <c r="M57" i="4"/>
  <c r="L57" i="4"/>
  <c r="X57" i="4" s="1"/>
  <c r="B57" i="4"/>
  <c r="M56" i="4"/>
  <c r="L56" i="4"/>
  <c r="X56" i="4" s="1"/>
  <c r="B56" i="4"/>
  <c r="M55" i="4"/>
  <c r="L55" i="4"/>
  <c r="X55" i="4" s="1"/>
  <c r="B55" i="4"/>
  <c r="M54" i="4"/>
  <c r="L54" i="4"/>
  <c r="X54" i="4" s="1"/>
  <c r="B54" i="4"/>
  <c r="M53" i="4"/>
  <c r="L53" i="4"/>
  <c r="X53" i="4" s="1"/>
  <c r="B53" i="4"/>
  <c r="M52" i="4"/>
  <c r="L52" i="4"/>
  <c r="X52" i="4" s="1"/>
  <c r="B52" i="4"/>
  <c r="M51" i="4"/>
  <c r="L51" i="4"/>
  <c r="X51" i="4" s="1"/>
  <c r="B51" i="4"/>
  <c r="M50" i="4"/>
  <c r="L50" i="4"/>
  <c r="X50" i="4" s="1"/>
  <c r="B50" i="4"/>
  <c r="M49" i="4"/>
  <c r="L49" i="4"/>
  <c r="X49" i="4" s="1"/>
  <c r="B49" i="4"/>
  <c r="M48" i="4"/>
  <c r="L48" i="4"/>
  <c r="X48" i="4" s="1"/>
  <c r="B48" i="4"/>
  <c r="M47" i="4"/>
  <c r="L47" i="4"/>
  <c r="X47" i="4" s="1"/>
  <c r="B47" i="4"/>
  <c r="M46" i="4"/>
  <c r="L46" i="4"/>
  <c r="X46" i="4" s="1"/>
  <c r="B46" i="4"/>
  <c r="M45" i="4"/>
  <c r="L45" i="4"/>
  <c r="X45" i="4" s="1"/>
  <c r="B45" i="4"/>
  <c r="M44" i="4"/>
  <c r="L44" i="4"/>
  <c r="X44" i="4" s="1"/>
  <c r="B44" i="4"/>
  <c r="M43" i="4"/>
  <c r="L43" i="4"/>
  <c r="X43" i="4" s="1"/>
  <c r="B43" i="4"/>
  <c r="M42" i="4"/>
  <c r="L42" i="4"/>
  <c r="X42" i="4" s="1"/>
  <c r="B42" i="4"/>
  <c r="M41" i="4"/>
  <c r="L41" i="4"/>
  <c r="X41" i="4" s="1"/>
  <c r="B41" i="4"/>
  <c r="M40" i="4"/>
  <c r="L40" i="4"/>
  <c r="X40" i="4" s="1"/>
  <c r="B40" i="4"/>
  <c r="M39" i="4"/>
  <c r="L39" i="4"/>
  <c r="X39" i="4" s="1"/>
  <c r="B39" i="4"/>
  <c r="M38" i="4"/>
  <c r="L38" i="4"/>
  <c r="X38" i="4" s="1"/>
  <c r="B38" i="4"/>
  <c r="M37" i="4"/>
  <c r="L37" i="4"/>
  <c r="X37" i="4" s="1"/>
  <c r="B37" i="4"/>
  <c r="M36" i="4"/>
  <c r="L36" i="4"/>
  <c r="X36" i="4" s="1"/>
  <c r="B36" i="4"/>
  <c r="M35" i="4"/>
  <c r="L35" i="4"/>
  <c r="X35" i="4" s="1"/>
  <c r="B35" i="4"/>
  <c r="M34" i="4"/>
  <c r="L34" i="4"/>
  <c r="X34" i="4" s="1"/>
  <c r="B34" i="4"/>
  <c r="M33" i="4"/>
  <c r="L33" i="4"/>
  <c r="X33" i="4" s="1"/>
  <c r="B33" i="4"/>
  <c r="M32" i="4"/>
  <c r="L32" i="4"/>
  <c r="X32" i="4" s="1"/>
  <c r="B32" i="4"/>
  <c r="M31" i="4"/>
  <c r="L31" i="4"/>
  <c r="X31" i="4" s="1"/>
  <c r="B31" i="4"/>
  <c r="M30" i="4"/>
  <c r="L30" i="4"/>
  <c r="X30" i="4" s="1"/>
  <c r="B30" i="4"/>
  <c r="M29" i="4"/>
  <c r="L29" i="4"/>
  <c r="X29" i="4" s="1"/>
  <c r="B29" i="4"/>
  <c r="M28" i="4"/>
  <c r="L28" i="4"/>
  <c r="X28" i="4" s="1"/>
  <c r="B28" i="4"/>
  <c r="M27" i="4"/>
  <c r="L27" i="4"/>
  <c r="X27" i="4" s="1"/>
  <c r="B27" i="4"/>
  <c r="M26" i="4"/>
  <c r="L26" i="4"/>
  <c r="X26" i="4" s="1"/>
  <c r="B26" i="4"/>
  <c r="M25" i="4"/>
  <c r="L25" i="4"/>
  <c r="X25" i="4" s="1"/>
  <c r="B25" i="4"/>
  <c r="M24" i="4"/>
  <c r="L24" i="4"/>
  <c r="X24" i="4" s="1"/>
  <c r="B24" i="4"/>
  <c r="M23" i="4"/>
  <c r="L23" i="4"/>
  <c r="X23" i="4" s="1"/>
  <c r="B23" i="4"/>
  <c r="M22" i="4"/>
  <c r="L22" i="4"/>
  <c r="X22" i="4" s="1"/>
  <c r="B22" i="4"/>
  <c r="M21" i="4"/>
  <c r="L21" i="4"/>
  <c r="X21" i="4" s="1"/>
  <c r="B21" i="4"/>
  <c r="M20" i="4"/>
  <c r="L20" i="4"/>
  <c r="X20" i="4" s="1"/>
  <c r="B20" i="4"/>
  <c r="M19" i="4"/>
  <c r="L19" i="4"/>
  <c r="X19" i="4" s="1"/>
  <c r="B19" i="4"/>
  <c r="M18" i="4"/>
  <c r="L18" i="4"/>
  <c r="X18" i="4" s="1"/>
  <c r="B18" i="4"/>
  <c r="M17" i="4"/>
  <c r="L17" i="4"/>
  <c r="X17" i="4" s="1"/>
  <c r="B17" i="4"/>
  <c r="M16" i="4"/>
  <c r="L16" i="4"/>
  <c r="X16" i="4" s="1"/>
  <c r="B16" i="4"/>
  <c r="M15" i="4"/>
  <c r="L15" i="4"/>
  <c r="X15" i="4" s="1"/>
  <c r="B15" i="4"/>
  <c r="M14" i="4"/>
  <c r="L14" i="4"/>
  <c r="X14" i="4" s="1"/>
  <c r="B14" i="4"/>
  <c r="M13" i="4"/>
  <c r="L13" i="4"/>
  <c r="X13" i="4" s="1"/>
  <c r="B13" i="4"/>
  <c r="M12" i="4"/>
  <c r="L12" i="4"/>
  <c r="X12" i="4" s="1"/>
  <c r="B12" i="4"/>
  <c r="M11" i="4"/>
  <c r="L11" i="4"/>
  <c r="X11" i="4" s="1"/>
  <c r="B11" i="4"/>
  <c r="M10" i="4"/>
  <c r="L10" i="4"/>
  <c r="X10" i="4" s="1"/>
  <c r="B10" i="4"/>
  <c r="M9" i="4"/>
  <c r="L9" i="4"/>
  <c r="X9" i="4" s="1"/>
  <c r="B9" i="4"/>
  <c r="M8" i="4"/>
  <c r="L8" i="4"/>
  <c r="X8" i="4" s="1"/>
  <c r="B8" i="4"/>
  <c r="M7" i="4"/>
  <c r="L7" i="4"/>
  <c r="X7" i="4" s="1"/>
  <c r="B7" i="4"/>
  <c r="M6" i="4"/>
  <c r="L6" i="4"/>
  <c r="X6" i="4" s="1"/>
  <c r="B6" i="4"/>
  <c r="M5" i="4"/>
  <c r="L5" i="4"/>
  <c r="X5" i="4" s="1"/>
  <c r="B5" i="4"/>
  <c r="M4" i="4"/>
  <c r="L4" i="4"/>
  <c r="X4" i="4" s="1"/>
  <c r="B4" i="4"/>
  <c r="M3" i="4"/>
  <c r="L3" i="4"/>
  <c r="X3" i="4" s="1"/>
  <c r="B3" i="4"/>
  <c r="M2" i="4"/>
  <c r="L2" i="4"/>
  <c r="X2" i="4" s="1"/>
  <c r="I2" i="4"/>
  <c r="G2" i="4"/>
  <c r="D2" i="4"/>
  <c r="E2" i="4" s="1"/>
  <c r="B2" i="4"/>
  <c r="Z87" i="11" l="1"/>
  <c r="N62" i="4"/>
  <c r="S62" i="4" s="1"/>
  <c r="N78" i="4"/>
  <c r="S78" i="4" s="1"/>
  <c r="N56" i="4"/>
  <c r="S56" i="4" s="1"/>
  <c r="N53" i="4"/>
  <c r="S53" i="4" s="1"/>
  <c r="N77" i="4"/>
  <c r="S77" i="4" s="1"/>
  <c r="N111" i="4"/>
  <c r="S111" i="4" s="1"/>
  <c r="N26" i="4"/>
  <c r="S26" i="4" s="1"/>
  <c r="N34" i="4"/>
  <c r="S34" i="4" s="1"/>
  <c r="N46" i="4"/>
  <c r="S46" i="4" s="1"/>
  <c r="N50" i="4"/>
  <c r="S50" i="4" s="1"/>
  <c r="N57" i="4"/>
  <c r="S57" i="4" s="1"/>
  <c r="N85" i="4"/>
  <c r="S85" i="4" s="1"/>
  <c r="N102" i="4"/>
  <c r="S102" i="4" s="1"/>
  <c r="N105" i="4"/>
  <c r="S105" i="4" s="1"/>
  <c r="N33" i="4"/>
  <c r="S33" i="4" s="1"/>
  <c r="N5" i="4"/>
  <c r="S5" i="4" s="1"/>
  <c r="N21" i="4"/>
  <c r="S21" i="4" s="1"/>
  <c r="J2" i="4"/>
  <c r="N2" i="4" s="1"/>
  <c r="S2" i="4" s="1"/>
  <c r="N10" i="4"/>
  <c r="S10" i="4" s="1"/>
  <c r="N22" i="4"/>
  <c r="S22" i="4" s="1"/>
  <c r="N94" i="4"/>
  <c r="S94" i="4" s="1"/>
  <c r="N98" i="4"/>
  <c r="S98" i="4" s="1"/>
  <c r="N14" i="4"/>
  <c r="S14" i="4" s="1"/>
  <c r="N61" i="4"/>
  <c r="S61" i="4" s="1"/>
  <c r="N30" i="4"/>
  <c r="S30" i="4" s="1"/>
  <c r="N44" i="4"/>
  <c r="S44" i="4" s="1"/>
  <c r="N54" i="4"/>
  <c r="S54" i="4" s="1"/>
  <c r="N58" i="4"/>
  <c r="S58" i="4" s="1"/>
  <c r="N37" i="4"/>
  <c r="S37" i="4" s="1"/>
  <c r="N109" i="4"/>
  <c r="S109" i="4" s="1"/>
  <c r="N49" i="4"/>
  <c r="S49" i="4" s="1"/>
  <c r="N81" i="4"/>
  <c r="S81" i="4" s="1"/>
  <c r="N65" i="4"/>
  <c r="S65" i="4" s="1"/>
  <c r="N67" i="4"/>
  <c r="S67" i="4" s="1"/>
  <c r="N82" i="4"/>
  <c r="S82" i="4" s="1"/>
  <c r="N41" i="4"/>
  <c r="S41" i="4" s="1"/>
  <c r="N6" i="4"/>
  <c r="S6" i="4" s="1"/>
  <c r="N8" i="4"/>
  <c r="S8" i="4" s="1"/>
  <c r="N17" i="4"/>
  <c r="S17" i="4" s="1"/>
  <c r="N36" i="4"/>
  <c r="S36" i="4" s="1"/>
  <c r="N38" i="4"/>
  <c r="S38" i="4" s="1"/>
  <c r="N80" i="4"/>
  <c r="S80" i="4" s="1"/>
  <c r="N89" i="4"/>
  <c r="S89" i="4" s="1"/>
  <c r="N104" i="4"/>
  <c r="S104" i="4" s="1"/>
  <c r="N106" i="4"/>
  <c r="S106" i="4" s="1"/>
  <c r="N113" i="4"/>
  <c r="S113" i="4" s="1"/>
  <c r="N52" i="4"/>
  <c r="S52" i="4" s="1"/>
  <c r="N9" i="4"/>
  <c r="S9" i="4" s="1"/>
  <c r="N63" i="4"/>
  <c r="S63" i="4" s="1"/>
  <c r="N42" i="4"/>
  <c r="S42" i="4" s="1"/>
  <c r="N66" i="4"/>
  <c r="S66" i="4" s="1"/>
  <c r="N73" i="4"/>
  <c r="S73" i="4" s="1"/>
  <c r="N84" i="4"/>
  <c r="S84" i="4" s="1"/>
  <c r="N24" i="4"/>
  <c r="S24" i="4" s="1"/>
  <c r="N25" i="4"/>
  <c r="S25" i="4" s="1"/>
  <c r="N27" i="4"/>
  <c r="S27" i="4" s="1"/>
  <c r="N40" i="4"/>
  <c r="S40" i="4" s="1"/>
  <c r="N64" i="4"/>
  <c r="S64" i="4" s="1"/>
  <c r="N75" i="4"/>
  <c r="S75" i="4" s="1"/>
  <c r="N86" i="4"/>
  <c r="S86" i="4" s="1"/>
  <c r="N95" i="4"/>
  <c r="S95" i="4" s="1"/>
  <c r="N108" i="4"/>
  <c r="S108" i="4" s="1"/>
  <c r="N110" i="4"/>
  <c r="S110" i="4" s="1"/>
  <c r="N18" i="4"/>
  <c r="S18" i="4" s="1"/>
  <c r="N20" i="4"/>
  <c r="S20" i="4" s="1"/>
  <c r="N70" i="4"/>
  <c r="S70" i="4" s="1"/>
  <c r="N90" i="4"/>
  <c r="S90" i="4" s="1"/>
  <c r="N97" i="4"/>
  <c r="S97" i="4" s="1"/>
  <c r="N114" i="4"/>
  <c r="S114" i="4" s="1"/>
  <c r="N4" i="4"/>
  <c r="S4" i="4" s="1"/>
  <c r="N12" i="4"/>
  <c r="S12" i="4" s="1"/>
  <c r="N39" i="4"/>
  <c r="S39" i="4" s="1"/>
  <c r="N74" i="4"/>
  <c r="S74" i="4" s="1"/>
  <c r="N11" i="4"/>
  <c r="S11" i="4" s="1"/>
  <c r="N55" i="4"/>
  <c r="S55" i="4" s="1"/>
  <c r="N71" i="4"/>
  <c r="S71" i="4" s="1"/>
  <c r="N99" i="4"/>
  <c r="S99" i="4" s="1"/>
  <c r="N7" i="4"/>
  <c r="S7" i="4" s="1"/>
  <c r="N16" i="4"/>
  <c r="S16" i="4" s="1"/>
  <c r="N13" i="4"/>
  <c r="S13" i="4" s="1"/>
  <c r="N23" i="4"/>
  <c r="S23" i="4" s="1"/>
  <c r="N101" i="4"/>
  <c r="S101" i="4" s="1"/>
  <c r="N72" i="4"/>
  <c r="S72" i="4" s="1"/>
  <c r="N87" i="4"/>
  <c r="S87" i="4" s="1"/>
  <c r="N91" i="4"/>
  <c r="S91" i="4" s="1"/>
  <c r="N29" i="4"/>
  <c r="S29" i="4" s="1"/>
  <c r="N48" i="4"/>
  <c r="S48" i="4" s="1"/>
  <c r="N60" i="4"/>
  <c r="S60" i="4" s="1"/>
  <c r="N88" i="4"/>
  <c r="S88" i="4" s="1"/>
  <c r="N107" i="4"/>
  <c r="S107" i="4" s="1"/>
  <c r="N112" i="4"/>
  <c r="S112" i="4" s="1"/>
  <c r="N43" i="4"/>
  <c r="S43" i="4" s="1"/>
  <c r="N83" i="4"/>
  <c r="S83" i="4" s="1"/>
  <c r="N28" i="4"/>
  <c r="S28" i="4" s="1"/>
  <c r="N45" i="4"/>
  <c r="S45" i="4" s="1"/>
  <c r="N32" i="4"/>
  <c r="S32" i="4" s="1"/>
  <c r="N96" i="4"/>
  <c r="S96" i="4" s="1"/>
  <c r="N69" i="4"/>
  <c r="S69" i="4" s="1"/>
  <c r="N35" i="4"/>
  <c r="S35" i="4" s="1"/>
  <c r="N51" i="4"/>
  <c r="S51" i="4" s="1"/>
  <c r="N68" i="4"/>
  <c r="S68" i="4" s="1"/>
  <c r="N79" i="4"/>
  <c r="S79" i="4" s="1"/>
  <c r="N3" i="4"/>
  <c r="S3" i="4" s="1"/>
  <c r="N19" i="4"/>
  <c r="S19" i="4" s="1"/>
  <c r="N93" i="4"/>
  <c r="S93" i="4" s="1"/>
  <c r="N76" i="4"/>
  <c r="S76" i="4" s="1"/>
  <c r="N103" i="4"/>
  <c r="S103" i="4" s="1"/>
  <c r="N15" i="4"/>
  <c r="S15" i="4" s="1"/>
  <c r="N31" i="4"/>
  <c r="S31" i="4" s="1"/>
  <c r="N47" i="4"/>
  <c r="S47" i="4" s="1"/>
  <c r="N100" i="4"/>
  <c r="S100" i="4" s="1"/>
  <c r="N59" i="4"/>
  <c r="S59" i="4" s="1"/>
  <c r="N92" i="4"/>
  <c r="S92" i="4" s="1"/>
  <c r="T48" i="4" l="1"/>
  <c r="T66" i="4"/>
  <c r="T32" i="4"/>
  <c r="T58" i="4"/>
  <c r="T96" i="4"/>
  <c r="T13" i="4"/>
  <c r="T18" i="4"/>
  <c r="T104" i="4"/>
  <c r="T77" i="4"/>
  <c r="T29" i="4"/>
  <c r="T74" i="4"/>
  <c r="T42" i="4"/>
  <c r="T67" i="4"/>
  <c r="T91" i="4"/>
  <c r="T80" i="4"/>
  <c r="T56" i="4"/>
  <c r="T9" i="4"/>
  <c r="T81" i="4"/>
  <c r="T54" i="4"/>
  <c r="T83" i="4"/>
  <c r="T49" i="4"/>
  <c r="T5" i="4"/>
  <c r="T31" i="4"/>
  <c r="T43" i="4"/>
  <c r="T7" i="4"/>
  <c r="T110" i="4"/>
  <c r="T24" i="4"/>
  <c r="T109" i="4"/>
  <c r="T30" i="4"/>
  <c r="T8" i="4"/>
  <c r="T114" i="4"/>
  <c r="T6" i="4"/>
  <c r="T50" i="4"/>
  <c r="T76" i="4"/>
  <c r="T112" i="4"/>
  <c r="T99" i="4"/>
  <c r="T41" i="4"/>
  <c r="T14" i="4"/>
  <c r="T46" i="4"/>
  <c r="T93" i="4"/>
  <c r="T107" i="4"/>
  <c r="T71" i="4"/>
  <c r="T75" i="4"/>
  <c r="T78" i="4"/>
  <c r="T92" i="4"/>
  <c r="T19" i="4"/>
  <c r="T35" i="4"/>
  <c r="T88" i="4"/>
  <c r="T101" i="4"/>
  <c r="T62" i="4"/>
  <c r="T70" i="4"/>
  <c r="T64" i="4"/>
  <c r="T84" i="4"/>
  <c r="T113" i="4"/>
  <c r="T98" i="4"/>
  <c r="T105" i="4"/>
  <c r="T26" i="4"/>
  <c r="T11" i="4"/>
  <c r="T27" i="4"/>
  <c r="T82" i="4"/>
  <c r="T22" i="4"/>
  <c r="T79" i="4"/>
  <c r="T25" i="4"/>
  <c r="T89" i="4"/>
  <c r="T10" i="4"/>
  <c r="T53" i="4"/>
  <c r="T45" i="4"/>
  <c r="T63" i="4"/>
  <c r="T65" i="4"/>
  <c r="T2" i="4"/>
  <c r="T102" i="4"/>
  <c r="T100" i="4"/>
  <c r="T28" i="4"/>
  <c r="T16" i="4"/>
  <c r="T38" i="4"/>
  <c r="T21" i="4"/>
  <c r="T85" i="4"/>
  <c r="T47" i="4"/>
  <c r="T87" i="4"/>
  <c r="T39" i="4"/>
  <c r="T36" i="4"/>
  <c r="T44" i="4"/>
  <c r="T12" i="4"/>
  <c r="T52" i="4"/>
  <c r="T17" i="4"/>
  <c r="T57" i="4"/>
  <c r="T15" i="4"/>
  <c r="T4" i="4"/>
  <c r="T108" i="4"/>
  <c r="T103" i="4"/>
  <c r="T95" i="4"/>
  <c r="T37" i="4"/>
  <c r="T61" i="4"/>
  <c r="T68" i="4"/>
  <c r="T72" i="4"/>
  <c r="T97" i="4"/>
  <c r="T86" i="4"/>
  <c r="T51" i="4"/>
  <c r="T90" i="4"/>
  <c r="T33" i="4"/>
  <c r="T34" i="4"/>
  <c r="T59" i="4"/>
  <c r="T3" i="4"/>
  <c r="T69" i="4"/>
  <c r="T60" i="4"/>
  <c r="T23" i="4"/>
  <c r="T55" i="4"/>
  <c r="T20" i="4"/>
  <c r="T40" i="4"/>
  <c r="T73" i="4"/>
  <c r="T106" i="4"/>
  <c r="T94" i="4"/>
  <c r="T111" i="4"/>
  <c r="Y18" i="4" l="1"/>
  <c r="Z18" i="4" s="1"/>
  <c r="Y94" i="4"/>
  <c r="Z94" i="4" s="1"/>
  <c r="Y5" i="4"/>
  <c r="Z5" i="4" s="1"/>
  <c r="Y4" i="4"/>
  <c r="Z4" i="4" s="1"/>
  <c r="Y29" i="4"/>
  <c r="Z29" i="4" s="1"/>
  <c r="Y32" i="4"/>
  <c r="Z32" i="4" s="1"/>
  <c r="Y79" i="4"/>
  <c r="Z79" i="4" s="1"/>
  <c r="Y83" i="4"/>
  <c r="Z83" i="4" s="1"/>
  <c r="Y96" i="4"/>
  <c r="Z96" i="4" s="1"/>
  <c r="Y40" i="4"/>
  <c r="Z40" i="4" s="1"/>
  <c r="Y14" i="4"/>
  <c r="Z14" i="4" s="1"/>
  <c r="Y108" i="4"/>
  <c r="Z108" i="4" s="1"/>
  <c r="Y86" i="4"/>
  <c r="Z86" i="4" s="1"/>
  <c r="Y15" i="4"/>
  <c r="Z15" i="4" s="1"/>
  <c r="Y88" i="4"/>
  <c r="Z88" i="4" s="1"/>
  <c r="Y61" i="4"/>
  <c r="Z61" i="4" s="1"/>
  <c r="Y24" i="4"/>
  <c r="Z24" i="4" s="1"/>
  <c r="Y12" i="4"/>
  <c r="Z12" i="4" s="1"/>
  <c r="Y30" i="4"/>
  <c r="Z30" i="4" s="1"/>
  <c r="Y42" i="4"/>
  <c r="Z42" i="4" s="1"/>
  <c r="Y64" i="4"/>
  <c r="Z64" i="4" s="1"/>
  <c r="Y71" i="4"/>
  <c r="Z71" i="4" s="1"/>
  <c r="Y50" i="4"/>
  <c r="Z50" i="4" s="1"/>
  <c r="Y93" i="4"/>
  <c r="Z93" i="4" s="1"/>
  <c r="Y16" i="4"/>
  <c r="Z16" i="4" s="1"/>
  <c r="Y43" i="4"/>
  <c r="Z43" i="4" s="1"/>
  <c r="Y8" i="4"/>
  <c r="Z8" i="4" s="1"/>
  <c r="Y81" i="4"/>
  <c r="Z81" i="4" s="1"/>
  <c r="Y92" i="4"/>
  <c r="Z92" i="4" s="1"/>
  <c r="Y103" i="4"/>
  <c r="Z103" i="4" s="1"/>
  <c r="Y34" i="4"/>
  <c r="Z34" i="4" s="1"/>
  <c r="Y25" i="4"/>
  <c r="Z25" i="4" s="1"/>
  <c r="Y105" i="4"/>
  <c r="Z105" i="4" s="1"/>
  <c r="Y62" i="4"/>
  <c r="Z62" i="4" s="1"/>
  <c r="Y75" i="4"/>
  <c r="Z75" i="4" s="1"/>
  <c r="Y99" i="4"/>
  <c r="Z99" i="4" s="1"/>
  <c r="Y95" i="4"/>
  <c r="Z95" i="4" s="1"/>
  <c r="Y57" i="4"/>
  <c r="Z57" i="4" s="1"/>
  <c r="Y47" i="4"/>
  <c r="Z47" i="4" s="1"/>
  <c r="Y2" i="4"/>
  <c r="Z2" i="4" s="1"/>
  <c r="Y23" i="4"/>
  <c r="Z23" i="4" s="1"/>
  <c r="Y39" i="4"/>
  <c r="Z39" i="4" s="1"/>
  <c r="Y6" i="4"/>
  <c r="Z6" i="4" s="1"/>
  <c r="Y66" i="4"/>
  <c r="Z66" i="4" s="1"/>
  <c r="Y101" i="4"/>
  <c r="Z101" i="4" s="1"/>
  <c r="Y67" i="4"/>
  <c r="Z67" i="4" s="1"/>
  <c r="Y53" i="4"/>
  <c r="Z53" i="4" s="1"/>
  <c r="Y82" i="4"/>
  <c r="Z82" i="4" s="1"/>
  <c r="Y13" i="4"/>
  <c r="Z13" i="4" s="1"/>
  <c r="Y100" i="4"/>
  <c r="Z100" i="4" s="1"/>
  <c r="Y113" i="4"/>
  <c r="Z113" i="4" s="1"/>
  <c r="Y73" i="4"/>
  <c r="Z73" i="4" s="1"/>
  <c r="Y97" i="4"/>
  <c r="Z97" i="4" s="1"/>
  <c r="Y85" i="4"/>
  <c r="Z85" i="4" s="1"/>
  <c r="Y46" i="4"/>
  <c r="Y109" i="4"/>
  <c r="Z109" i="4" s="1"/>
  <c r="Y60" i="4"/>
  <c r="Z60" i="4" s="1"/>
  <c r="Y27" i="4"/>
  <c r="Z27" i="4" s="1"/>
  <c r="Y98" i="4"/>
  <c r="Z98" i="4" s="1"/>
  <c r="Y19" i="4"/>
  <c r="Z19" i="4" s="1"/>
  <c r="Y112" i="4"/>
  <c r="Z112" i="4" s="1"/>
  <c r="Y31" i="4"/>
  <c r="Z31" i="4" s="1"/>
  <c r="Y54" i="4"/>
  <c r="Z54" i="4" s="1"/>
  <c r="Y80" i="4"/>
  <c r="Z80" i="4" s="1"/>
  <c r="Y68" i="4"/>
  <c r="Z68" i="4" s="1"/>
  <c r="Y52" i="4"/>
  <c r="Z52" i="4" s="1"/>
  <c r="Y21" i="4"/>
  <c r="Z21" i="4" s="1"/>
  <c r="Y63" i="4"/>
  <c r="Z63" i="4" s="1"/>
  <c r="Y11" i="4"/>
  <c r="Z11" i="4" s="1"/>
  <c r="Y114" i="4"/>
  <c r="Z114" i="4" s="1"/>
  <c r="Y106" i="4"/>
  <c r="Z106" i="4" s="1"/>
  <c r="Y59" i="4"/>
  <c r="Z59" i="4" s="1"/>
  <c r="Y90" i="4"/>
  <c r="Z90" i="4" s="1"/>
  <c r="Y10" i="4"/>
  <c r="Z10" i="4" s="1"/>
  <c r="Y26" i="4"/>
  <c r="Z26" i="4" s="1"/>
  <c r="Y7" i="4"/>
  <c r="Z7" i="4" s="1"/>
  <c r="Y9" i="4"/>
  <c r="Z9" i="4" s="1"/>
  <c r="Y77" i="4"/>
  <c r="Z77" i="4" s="1"/>
  <c r="Y44" i="4"/>
  <c r="Z44" i="4" s="1"/>
  <c r="Y102" i="4"/>
  <c r="Z102" i="4" s="1"/>
  <c r="Y84" i="4"/>
  <c r="Z84" i="4" s="1"/>
  <c r="Y78" i="4"/>
  <c r="Z78" i="4" s="1"/>
  <c r="Y49" i="4"/>
  <c r="Z49" i="4" s="1"/>
  <c r="Y20" i="4"/>
  <c r="Z20" i="4" s="1"/>
  <c r="Y33" i="4"/>
  <c r="Z33" i="4" s="1"/>
  <c r="Y37" i="4"/>
  <c r="Z37" i="4" s="1"/>
  <c r="Y17" i="4"/>
  <c r="Z17" i="4" s="1"/>
  <c r="Y36" i="4"/>
  <c r="Z36" i="4" s="1"/>
  <c r="Y38" i="4"/>
  <c r="Z38" i="4" s="1"/>
  <c r="Y65" i="4"/>
  <c r="Z65" i="4" s="1"/>
  <c r="Y45" i="4"/>
  <c r="Z45" i="4" s="1"/>
  <c r="Y89" i="4"/>
  <c r="Z89" i="4" s="1"/>
  <c r="Y70" i="4"/>
  <c r="Z70" i="4" s="1"/>
  <c r="Y35" i="4"/>
  <c r="Z35" i="4" s="1"/>
  <c r="Y107" i="4"/>
  <c r="Z107" i="4" s="1"/>
  <c r="Y110" i="4"/>
  <c r="Z110" i="4" s="1"/>
  <c r="Y74" i="4"/>
  <c r="Z74" i="4" s="1"/>
  <c r="Y104" i="4"/>
  <c r="Z104" i="4" s="1"/>
  <c r="Y48" i="4"/>
  <c r="Z48" i="4" s="1"/>
  <c r="Y111" i="4"/>
  <c r="Z111" i="4" s="1"/>
  <c r="Y69" i="4"/>
  <c r="Z69" i="4" s="1"/>
  <c r="Y72" i="4"/>
  <c r="Z72" i="4" s="1"/>
  <c r="Y87" i="4"/>
  <c r="Z87" i="4" s="1"/>
  <c r="Y28" i="4"/>
  <c r="Z28" i="4" s="1"/>
  <c r="Y22" i="4"/>
  <c r="Z22" i="4" s="1"/>
  <c r="Y41" i="4"/>
  <c r="Z41" i="4" s="1"/>
  <c r="Y76" i="4"/>
  <c r="Z76" i="4" s="1"/>
  <c r="Y56" i="4"/>
  <c r="Z56" i="4" s="1"/>
  <c r="Y58" i="4"/>
  <c r="Z58" i="4" s="1"/>
  <c r="Y91" i="4"/>
  <c r="Z91" i="4" s="1"/>
  <c r="Y55" i="4"/>
  <c r="Z55" i="4" s="1"/>
  <c r="Y3" i="4"/>
  <c r="Z3" i="4" s="1"/>
  <c r="Y51" i="4"/>
  <c r="Z51" i="4" s="1"/>
  <c r="Y119" i="4" l="1"/>
  <c r="Z46" i="4"/>
  <c r="Z119" i="4" s="1"/>
</calcChain>
</file>

<file path=xl/sharedStrings.xml><?xml version="1.0" encoding="utf-8"?>
<sst xmlns="http://schemas.openxmlformats.org/spreadsheetml/2006/main" count="280" uniqueCount="50">
  <si>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</si>
  <si>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</si>
  <si>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</si>
  <si>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</si>
  <si>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</si>
  <si>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</si>
  <si>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</si>
  <si>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</si>
  <si>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</si>
  <si>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>Permeation flux J (mol/m2-s)</t>
  </si>
  <si>
    <t xml:space="preserve">Mole fraction of H2 in Ar (C) </t>
  </si>
  <si>
    <t>Temp of sweep gas for standard condition, T (K)</t>
  </si>
  <si>
    <t>Pressure of sweep gas for standard condition, P (Pa)</t>
  </si>
  <si>
    <t>H2 pressure at the Ni-FLiBe interface (Pa)</t>
  </si>
  <si>
    <t>Upstream volume total pressure (bar-g)</t>
  </si>
  <si>
    <t>Downstream total pressure (bar-g)</t>
  </si>
  <si>
    <t>Downstream total pressure (Pa)</t>
  </si>
  <si>
    <t>Temperature (DegC)</t>
  </si>
  <si>
    <t>Ø1</t>
  </si>
  <si>
    <t>Ø2</t>
  </si>
  <si>
    <t>Øavg</t>
  </si>
  <si>
    <t>500C</t>
  </si>
  <si>
    <t>600C</t>
  </si>
  <si>
    <r>
      <t>Upstream volume H2 pressure due to partial Ar displacement through dilution purging 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>(Pa)</t>
    </r>
  </si>
  <si>
    <r>
      <t>Effective upstream H2 pressure for FLiBe layer P</t>
    </r>
    <r>
      <rPr>
        <b/>
        <vertAlign val="subscript"/>
        <sz val="11"/>
        <color theme="1"/>
        <rFont val="Times New Roman"/>
        <family val="1"/>
      </rPr>
      <t>up, FLiBe</t>
    </r>
    <r>
      <rPr>
        <b/>
        <sz val="11"/>
        <color theme="1"/>
        <rFont val="Times New Roman"/>
        <family val="1"/>
      </rPr>
      <t>(Pa)</t>
    </r>
  </si>
  <si>
    <r>
      <t>Downstream H2 pressure P</t>
    </r>
    <r>
      <rPr>
        <b/>
        <vertAlign val="subscript"/>
        <sz val="11"/>
        <color theme="1"/>
        <rFont val="Times New Roman"/>
        <family val="1"/>
      </rPr>
      <t>down, FLiBe</t>
    </r>
    <r>
      <rPr>
        <b/>
        <sz val="11"/>
        <color theme="1"/>
        <rFont val="Times New Roman"/>
        <family val="1"/>
      </rPr>
      <t xml:space="preserve"> (Pa)</t>
    </r>
  </si>
  <si>
    <r>
      <t>Upstream volume H2 pressure due to partial Ar displacement through dilution purging 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>(Pa)</t>
    </r>
  </si>
  <si>
    <r>
      <t>Effective upstream H2 pressure for FLiBe layer P</t>
    </r>
    <r>
      <rPr>
        <b/>
        <vertAlign val="subscript"/>
        <sz val="11"/>
        <rFont val="Times New Roman"/>
        <family val="1"/>
      </rPr>
      <t>up, FLiBe</t>
    </r>
    <r>
      <rPr>
        <b/>
        <sz val="11"/>
        <rFont val="Times New Roman"/>
        <family val="1"/>
      </rPr>
      <t>(Pa)</t>
    </r>
  </si>
  <si>
    <r>
      <t>Thickness of salt layer at 550C,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</si>
  <si>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Downstream H2 pressure P</t>
    </r>
    <r>
      <rPr>
        <b/>
        <vertAlign val="subscript"/>
        <sz val="11"/>
        <rFont val="Times New Roman"/>
        <family val="1"/>
      </rPr>
      <t>down, FLiBe</t>
    </r>
    <r>
      <rPr>
        <b/>
        <sz val="11"/>
        <rFont val="Times New Roman"/>
        <family val="1"/>
      </rPr>
      <t xml:space="preserve"> (Pa)</t>
    </r>
  </si>
  <si>
    <r>
      <t>Thickness of salt layer at 600C,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</si>
  <si>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550C</t>
  </si>
  <si>
    <t>650C</t>
  </si>
  <si>
    <r>
      <t>Thickness of salt layer at 500C,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</si>
  <si>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Thickness of Ni membrane, L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(m)</t>
    </r>
  </si>
  <si>
    <r>
      <t>Avg. 1D Permeability of Ni membrane at 500C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</si>
  <si>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Avg. 1D Permeability of Ni membrane at 550C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</si>
  <si>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600C,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</si>
  <si>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Avg. 1D Permeability of Ni membrane at 600C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</si>
  <si>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Avg. 1D Permeability of Ni membrane at 650C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</si>
  <si>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650C,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</si>
  <si>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t>Area of layer, A (m2)</t>
  </si>
  <si>
    <r>
      <t>Thickness of salt layer at 650C,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</si>
  <si>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700C</t>
  </si>
  <si>
    <r>
      <t>Avg. 1D Permeability of Ni membrane at 700C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</si>
  <si>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</si>
  <si>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1D Permeability, Ø</t>
    </r>
    <r>
      <rPr>
        <b/>
        <vertAlign val="subscript"/>
        <sz val="11"/>
        <rFont val="Times New Roman"/>
        <family val="1"/>
      </rPr>
      <t>FLiBe 1D</t>
    </r>
    <r>
      <rPr>
        <b/>
        <sz val="11"/>
        <rFont val="Times New Roman"/>
        <family val="1"/>
      </rPr>
      <t xml:space="preserve"> (= J.L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9"/>
        <rFont val="Times New Roman"/>
        <family val="1"/>
      </rPr>
      <t>up, FLiBe</t>
    </r>
    <r>
      <rPr>
        <b/>
        <sz val="9"/>
        <rFont val="Times New Roman"/>
        <family val="1"/>
      </rPr>
      <t xml:space="preserve"> </t>
    </r>
    <r>
      <rPr>
        <b/>
        <sz val="10"/>
        <rFont val="Times New Roman"/>
        <family val="1"/>
      </rPr>
      <t>- P</t>
    </r>
    <r>
      <rPr>
        <b/>
        <vertAlign val="subscript"/>
        <sz val="10"/>
        <rFont val="Times New Roman"/>
        <family val="1"/>
      </rPr>
      <t>down, FLiBe</t>
    </r>
    <r>
      <rPr>
        <b/>
        <sz val="12"/>
        <rFont val="Times New Roman"/>
        <family val="1"/>
      </rPr>
      <t xml:space="preserve">)) </t>
    </r>
    <r>
      <rPr>
        <b/>
        <sz val="11"/>
        <rFont val="Times New Roman"/>
        <family val="1"/>
      </rPr>
      <t>(mol/m.s.Pa)</t>
    </r>
  </si>
  <si>
    <r>
      <t>1D Permeability, Ø</t>
    </r>
    <r>
      <rPr>
        <b/>
        <vertAlign val="subscript"/>
        <sz val="11"/>
        <rFont val="Times New Roman"/>
        <family val="1"/>
      </rPr>
      <t>FLiBe 1D</t>
    </r>
    <r>
      <rPr>
        <b/>
        <sz val="11"/>
        <rFont val="Times New Roman"/>
        <family val="1"/>
      </rPr>
      <t xml:space="preserve"> (= J.L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9"/>
        <rFont val="Times New Roman"/>
        <family val="1"/>
      </rPr>
      <t>up, FLiBe</t>
    </r>
    <r>
      <rPr>
        <b/>
        <sz val="9"/>
        <rFont val="Times New Roman"/>
        <family val="1"/>
      </rPr>
      <t xml:space="preserve"> </t>
    </r>
    <r>
      <rPr>
        <b/>
        <sz val="10"/>
        <rFont val="Times New Roman"/>
        <family val="1"/>
      </rPr>
      <t>- P</t>
    </r>
    <r>
      <rPr>
        <b/>
        <vertAlign val="subscript"/>
        <sz val="10"/>
        <rFont val="Times New Roman"/>
        <family val="1"/>
      </rPr>
      <t>down, FLiBe</t>
    </r>
    <r>
      <rPr>
        <b/>
        <sz val="12"/>
        <rFont val="Times New Roman"/>
        <family val="1"/>
      </rPr>
      <t xml:space="preserve">)) </t>
    </r>
    <r>
      <rPr>
        <b/>
        <sz val="11"/>
        <rFont val="Times New Roman"/>
        <family val="1"/>
      </rPr>
      <t>(H2/m.s.Pa)</t>
    </r>
  </si>
  <si>
    <t>1D Permeability_infinite PRF coat (H2/m.s.Pa)</t>
  </si>
  <si>
    <t>1D Permeability_infinite PRF coat (mol H2/m.s.Pa)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</si>
</sst>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name val="Times New Roman"/>
      <family val="1"/>
    </font>
    <font>
      <b/>
      <vertAlign val="subscript"/>
      <sz val="9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  <font>
      <b/>
      <sz val="12"/>
      <name val="Times New Roman"/>
      <family val="1"/>
    </font>
    <font>
      <b/>
      <vertAlign val="subscript"/>
      <sz val="11"/>
      <color rgb="FF00B050"/>
      <name val="Times New Roman"/>
      <family val="1"/>
    </font>
    <font>
      <b/>
      <sz val="8"/>
      <color rgb="FF00B050"/>
      <name val="Times New Roman"/>
      <family val="1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5" fillId="2" borderId="1" xfId="0" applyNumberFormat="1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11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11" fontId="7" fillId="2" borderId="1" xfId="0" applyNumberFormat="1" applyFont="1" applyFill="1" applyBorder="1" applyAlignment="1">
      <alignment horizontal="center" vertical="center" wrapText="1"/>
    </xf>
    <xf numFmtId="11" fontId="8" fillId="0" borderId="2" xfId="0" applyNumberFormat="1" applyFont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1" fontId="8" fillId="0" borderId="3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vertical="center" wrapText="1"/>
    </xf>
    <xf numFmtId="11" fontId="3" fillId="0" borderId="4" xfId="0" applyNumberFormat="1" applyFont="1" applyBorder="1" applyAlignment="1">
      <alignment horizontal="center"/>
    </xf>
    <xf numFmtId="11" fontId="1" fillId="0" borderId="4" xfId="0" applyNumberFormat="1" applyFont="1" applyBorder="1" applyAlignment="1">
      <alignment horizontal="center"/>
    </xf>
    <xf numFmtId="11" fontId="2" fillId="4" borderId="1" xfId="0" applyNumberFormat="1" applyFont="1" applyFill="1" applyBorder="1" applyAlignment="1">
      <alignment horizontal="center"/>
    </xf>
    <xf numFmtId="11" fontId="5" fillId="4" borderId="1" xfId="0" applyNumberFormat="1" applyFont="1" applyFill="1" applyBorder="1" applyAlignment="1">
      <alignment horizontal="center"/>
    </xf>
    <xf numFmtId="11" fontId="7" fillId="0" borderId="1" xfId="0" applyNumberFormat="1" applyFont="1" applyBorder="1" applyAlignment="1">
      <alignment horizontal="center"/>
    </xf>
    <xf numFmtId="0" fontId="17" fillId="0" borderId="0" xfId="0" applyFont="1"/>
    <xf numFmtId="0" fontId="7" fillId="2" borderId="1" xfId="0" applyFont="1" applyFill="1" applyBorder="1" applyAlignment="1">
      <alignment horizontal="center"/>
    </xf>
    <xf numFmtId="11" fontId="7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1" fontId="8" fillId="2" borderId="1" xfId="0" applyNumberFormat="1" applyFont="1" applyFill="1" applyBorder="1" applyAlignment="1">
      <alignment horizontal="center"/>
    </xf>
    <xf numFmtId="11" fontId="8" fillId="2" borderId="0" xfId="0" applyNumberFormat="1" applyFont="1" applyFill="1" applyAlignment="1">
      <alignment horizontal="center"/>
    </xf>
    <xf numFmtId="11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3B87-BC22-4219-B694-4BEAFA32E407}">
  <dimension ref="A1:BV268"/>
  <sheetViews>
    <sheetView topLeftCell="L106" zoomScale="120" zoomScaleNormal="120" workbookViewId="0">
      <selection activeCell="N1" sqref="N1:N1048576"/>
    </sheetView>
  </sheetViews>
  <sheetFormatPr defaultRowHeight="13.8" x14ac:dyDescent="0.25"/>
  <cols>
    <col min="1" max="4" width="22.109375" style="27" customWidth="1"/>
    <col min="5" max="5" width="18.77734375" style="27" customWidth="1"/>
    <col min="6" max="6" width="17.33203125" style="27" customWidth="1"/>
    <col min="7" max="7" width="16.6640625" style="27" customWidth="1"/>
    <col min="8" max="8" width="20.88671875" style="27" customWidth="1"/>
    <col min="9" max="9" width="19.21875" style="27" customWidth="1"/>
    <col min="10" max="10" width="23.109375" style="27" customWidth="1"/>
    <col min="11" max="11" width="13.6640625" style="38" customWidth="1"/>
    <col min="12" max="12" width="20.88671875" style="27" customWidth="1"/>
    <col min="13" max="13" width="31.5546875" style="27" customWidth="1"/>
    <col min="14" max="15" width="20.6640625" style="39" customWidth="1"/>
    <col min="16" max="16" width="36.33203125" style="39" customWidth="1"/>
    <col min="17" max="17" width="23.21875" style="31" customWidth="1"/>
    <col min="18" max="18" width="30.88671875" style="10" customWidth="1"/>
    <col min="19" max="19" width="33.109375" style="31" customWidth="1"/>
    <col min="20" max="24" width="20.6640625" style="31" customWidth="1"/>
    <col min="25" max="25" width="53.77734375" style="31" customWidth="1"/>
    <col min="26" max="26" width="51" style="31" customWidth="1"/>
    <col min="27" max="16384" width="8.88671875" style="7"/>
  </cols>
  <sheetData>
    <row r="1" spans="1:26" s="28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13" t="s">
        <v>10</v>
      </c>
      <c r="M1" s="13" t="s">
        <v>41</v>
      </c>
      <c r="N1" s="29" t="s">
        <v>9</v>
      </c>
      <c r="O1" s="29" t="s">
        <v>34</v>
      </c>
      <c r="P1" s="29" t="s">
        <v>35</v>
      </c>
      <c r="Q1" s="24" t="s">
        <v>14</v>
      </c>
      <c r="R1" s="15" t="s">
        <v>23</v>
      </c>
      <c r="S1" s="23" t="s">
        <v>13</v>
      </c>
      <c r="T1" s="23" t="s">
        <v>27</v>
      </c>
      <c r="U1" s="23" t="s">
        <v>33</v>
      </c>
      <c r="V1" s="23" t="s">
        <v>15</v>
      </c>
      <c r="W1" s="23" t="s">
        <v>16</v>
      </c>
      <c r="X1" s="23" t="s">
        <v>29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21.504950495049506</v>
      </c>
      <c r="L2" s="1">
        <f>(K2/1000000)</f>
        <v>2.1504950495049505E-5</v>
      </c>
      <c r="M2" s="1">
        <f>(3.142*3.07*3.07*25.4*25.4)/(4*1000000)</f>
        <v>4.7762865441819992E-3</v>
      </c>
      <c r="N2" s="26">
        <f>(L2*J2)/M2</f>
        <v>9.0610845824357356E-8</v>
      </c>
      <c r="O2" s="26">
        <f>(2.032/1000)</f>
        <v>2.032E-3</v>
      </c>
      <c r="P2" s="26">
        <v>4.5724343480153871E-11</v>
      </c>
      <c r="Q2" s="2">
        <v>0.11</v>
      </c>
      <c r="R2" s="2">
        <f>(1+Q2)*100000*1</f>
        <v>111000.00000000001</v>
      </c>
      <c r="S2" s="2">
        <f t="shared" ref="S2:S66" si="1">(SQRT(R2)-(N2*O2/P2))^2</f>
        <v>108333.04666779708</v>
      </c>
      <c r="T2" s="2">
        <f>(S2)</f>
        <v>108333.04666779708</v>
      </c>
      <c r="U2" s="2">
        <f>(5.13985794328043/1000)</f>
        <v>5.1398579432804297E-3</v>
      </c>
      <c r="V2" s="2">
        <v>0.06</v>
      </c>
      <c r="W2" s="2">
        <f>(1+V2)*100000</f>
        <v>106000</v>
      </c>
      <c r="X2" s="2">
        <f>(L2*W2)</f>
        <v>2.2795247524752478</v>
      </c>
      <c r="Y2" s="2">
        <f>(N2*U2)/(T2-X2)</f>
        <v>4.2991191509122771E-15</v>
      </c>
      <c r="Z2" s="2">
        <f>(Y2*6.022E+23)</f>
        <v>2588929552.6793733</v>
      </c>
    </row>
    <row r="3" spans="1:26" x14ac:dyDescent="0.25">
      <c r="A3" s="1">
        <v>3</v>
      </c>
      <c r="B3" s="1">
        <f t="shared" ref="B3:B66" si="2">(A3/60)</f>
        <v>0.05</v>
      </c>
      <c r="C3" s="1">
        <v>20</v>
      </c>
      <c r="D3" s="1">
        <f t="shared" si="0"/>
        <v>29.146000000000001</v>
      </c>
      <c r="E3" s="1">
        <f t="shared" ref="E3:E66" si="3">(D3/(1000000*60))</f>
        <v>4.8576666666666667E-7</v>
      </c>
      <c r="F3" s="1">
        <v>21.1</v>
      </c>
      <c r="G3" s="1">
        <f t="shared" ref="G3:G66" si="4">(273+F3)</f>
        <v>294.10000000000002</v>
      </c>
      <c r="H3" s="1">
        <v>101.3</v>
      </c>
      <c r="I3" s="1">
        <f t="shared" ref="I3:I66" si="5">(H3*1000)</f>
        <v>101300</v>
      </c>
      <c r="J3" s="1">
        <f t="shared" ref="J3:J66" si="6">((I3*E3)/(8.314*G3))</f>
        <v>2.0124824921938581E-5</v>
      </c>
      <c r="K3" s="20">
        <v>23.60891089108911</v>
      </c>
      <c r="L3" s="1">
        <f t="shared" ref="L3:L66" si="7">(K3/1000000)</f>
        <v>2.360891089108911E-5</v>
      </c>
      <c r="M3" s="1">
        <f t="shared" ref="M3:M66" si="8">(3.142*3.07*3.07*25.4*25.4)/(4*1000000)</f>
        <v>4.7762865441819992E-3</v>
      </c>
      <c r="N3" s="26">
        <f t="shared" ref="N3:N66" si="9">(L3*J3)/M3</f>
        <v>9.947585721371092E-8</v>
      </c>
      <c r="O3" s="26">
        <f t="shared" ref="O3:O66" si="10">(2.032/1000)</f>
        <v>2.032E-3</v>
      </c>
      <c r="P3" s="26">
        <v>4.5724343480153871E-11</v>
      </c>
      <c r="Q3" s="2">
        <v>0.11</v>
      </c>
      <c r="R3" s="2">
        <f t="shared" ref="R3:R66" si="11">(1+Q3)*100000*1</f>
        <v>111000.00000000001</v>
      </c>
      <c r="S3" s="2">
        <f t="shared" si="1"/>
        <v>108073.86397028874</v>
      </c>
      <c r="T3" s="2">
        <f t="shared" ref="T3:T66" si="12">(S3)</f>
        <v>108073.86397028874</v>
      </c>
      <c r="U3" s="2">
        <f t="shared" ref="U3:U66" si="13">(5.13985794328043/1000)</f>
        <v>5.1398579432804297E-3</v>
      </c>
      <c r="V3" s="2">
        <v>0.06</v>
      </c>
      <c r="W3" s="2">
        <f t="shared" ref="W3:W66" si="14">(1+V3)*100000</f>
        <v>106000</v>
      </c>
      <c r="X3" s="2">
        <f t="shared" ref="X3:X66" si="15">(L3*W3)</f>
        <v>2.5025445544554459</v>
      </c>
      <c r="Y3" s="2">
        <f t="shared" ref="Y3:Y66" si="16">(N3*U3)/(T3-X3)</f>
        <v>4.7310570360111293E-15</v>
      </c>
      <c r="Z3" s="2">
        <f t="shared" ref="Z3:Z66" si="17">(Y3*6.022E+23)</f>
        <v>2849042547.0859022</v>
      </c>
    </row>
    <row r="4" spans="1:26" x14ac:dyDescent="0.25">
      <c r="A4" s="1">
        <v>6</v>
      </c>
      <c r="B4" s="1">
        <f t="shared" si="2"/>
        <v>0.1</v>
      </c>
      <c r="C4" s="1">
        <v>20</v>
      </c>
      <c r="D4" s="1">
        <f t="shared" si="0"/>
        <v>29.146000000000001</v>
      </c>
      <c r="E4" s="1">
        <f t="shared" si="3"/>
        <v>4.8576666666666667E-7</v>
      </c>
      <c r="F4" s="1">
        <v>21.1</v>
      </c>
      <c r="G4" s="1">
        <f t="shared" si="4"/>
        <v>294.10000000000002</v>
      </c>
      <c r="H4" s="1">
        <v>101.3</v>
      </c>
      <c r="I4" s="1">
        <f t="shared" si="5"/>
        <v>101300</v>
      </c>
      <c r="J4" s="1">
        <f t="shared" si="6"/>
        <v>2.0124824921938581E-5</v>
      </c>
      <c r="K4" s="20">
        <v>29.549504950495049</v>
      </c>
      <c r="L4" s="1">
        <f t="shared" si="7"/>
        <v>2.954950495049505E-5</v>
      </c>
      <c r="M4" s="1">
        <f t="shared" si="8"/>
        <v>4.7762865441819992E-3</v>
      </c>
      <c r="N4" s="26">
        <f t="shared" si="9"/>
        <v>1.2450647760717979E-7</v>
      </c>
      <c r="O4" s="26">
        <f t="shared" si="10"/>
        <v>2.032E-3</v>
      </c>
      <c r="P4" s="26">
        <v>4.5724343480153871E-11</v>
      </c>
      <c r="Q4" s="2">
        <v>0.11</v>
      </c>
      <c r="R4" s="2">
        <f t="shared" si="11"/>
        <v>111000.00000000001</v>
      </c>
      <c r="S4" s="2">
        <f t="shared" si="1"/>
        <v>107343.72959099799</v>
      </c>
      <c r="T4" s="2">
        <f t="shared" si="12"/>
        <v>107343.72959099799</v>
      </c>
      <c r="U4" s="2">
        <f t="shared" si="13"/>
        <v>5.1398579432804297E-3</v>
      </c>
      <c r="V4" s="2">
        <v>0.06</v>
      </c>
      <c r="W4" s="2">
        <f t="shared" si="14"/>
        <v>106000</v>
      </c>
      <c r="X4" s="2">
        <f t="shared" si="15"/>
        <v>3.1322475247524753</v>
      </c>
      <c r="Y4" s="2">
        <f t="shared" si="16"/>
        <v>5.961822681789291E-15</v>
      </c>
      <c r="Z4" s="2">
        <f t="shared" si="17"/>
        <v>3590209618.9735112</v>
      </c>
    </row>
    <row r="5" spans="1:26" x14ac:dyDescent="0.25">
      <c r="A5" s="1">
        <v>9</v>
      </c>
      <c r="B5" s="1">
        <f t="shared" si="2"/>
        <v>0.15</v>
      </c>
      <c r="C5" s="1">
        <v>20</v>
      </c>
      <c r="D5" s="1">
        <f t="shared" si="0"/>
        <v>29.146000000000001</v>
      </c>
      <c r="E5" s="1">
        <f t="shared" si="3"/>
        <v>4.8576666666666667E-7</v>
      </c>
      <c r="F5" s="1">
        <v>21.1</v>
      </c>
      <c r="G5" s="1">
        <f t="shared" si="4"/>
        <v>294.10000000000002</v>
      </c>
      <c r="H5" s="1">
        <v>101.3</v>
      </c>
      <c r="I5" s="1">
        <f t="shared" si="5"/>
        <v>101300</v>
      </c>
      <c r="J5" s="1">
        <f t="shared" si="6"/>
        <v>2.0124824921938581E-5</v>
      </c>
      <c r="K5" s="20">
        <v>15.712871287128714</v>
      </c>
      <c r="L5" s="1">
        <f t="shared" si="7"/>
        <v>1.5712871287128713E-5</v>
      </c>
      <c r="M5" s="1">
        <f t="shared" si="8"/>
        <v>4.7762865441819992E-3</v>
      </c>
      <c r="N5" s="26">
        <f t="shared" si="9"/>
        <v>6.6205990940725188E-8</v>
      </c>
      <c r="O5" s="26">
        <f t="shared" si="10"/>
        <v>2.032E-3</v>
      </c>
      <c r="P5" s="26">
        <v>4.5724343480153871E-11</v>
      </c>
      <c r="Q5" s="2">
        <v>0.11</v>
      </c>
      <c r="R5" s="2">
        <f t="shared" si="11"/>
        <v>111000.00000000001</v>
      </c>
      <c r="S5" s="2">
        <f t="shared" si="1"/>
        <v>109048.16492776496</v>
      </c>
      <c r="T5" s="2">
        <f t="shared" si="12"/>
        <v>109048.16492776496</v>
      </c>
      <c r="U5" s="2">
        <f t="shared" si="13"/>
        <v>5.1398579432804297E-3</v>
      </c>
      <c r="V5" s="2">
        <v>0.06</v>
      </c>
      <c r="W5" s="2">
        <f t="shared" si="14"/>
        <v>106000</v>
      </c>
      <c r="X5" s="2">
        <f t="shared" si="15"/>
        <v>1.6655643564356435</v>
      </c>
      <c r="Y5" s="2">
        <f t="shared" si="16"/>
        <v>3.1205897522247788E-15</v>
      </c>
      <c r="Z5" s="2">
        <f t="shared" si="17"/>
        <v>1879219148.7897618</v>
      </c>
    </row>
    <row r="6" spans="1:26" x14ac:dyDescent="0.25">
      <c r="A6" s="1">
        <v>12</v>
      </c>
      <c r="B6" s="1">
        <f t="shared" si="2"/>
        <v>0.2</v>
      </c>
      <c r="C6" s="1">
        <v>20</v>
      </c>
      <c r="D6" s="1">
        <f t="shared" si="0"/>
        <v>29.146000000000001</v>
      </c>
      <c r="E6" s="1">
        <f t="shared" si="3"/>
        <v>4.8576666666666667E-7</v>
      </c>
      <c r="F6" s="1">
        <v>21.1</v>
      </c>
      <c r="G6" s="1">
        <f t="shared" si="4"/>
        <v>294.10000000000002</v>
      </c>
      <c r="H6" s="1">
        <v>101.3</v>
      </c>
      <c r="I6" s="1">
        <f t="shared" si="5"/>
        <v>101300</v>
      </c>
      <c r="J6" s="1">
        <f t="shared" si="6"/>
        <v>2.0124824921938581E-5</v>
      </c>
      <c r="K6" s="20">
        <v>23.93069306930693</v>
      </c>
      <c r="L6" s="1">
        <f t="shared" si="7"/>
        <v>2.3930693069306931E-5</v>
      </c>
      <c r="M6" s="1">
        <f t="shared" si="8"/>
        <v>4.7762865441819992E-3</v>
      </c>
      <c r="N6" s="26">
        <f t="shared" si="9"/>
        <v>1.0083168248502381E-7</v>
      </c>
      <c r="O6" s="26">
        <f t="shared" si="10"/>
        <v>2.032E-3</v>
      </c>
      <c r="P6" s="26">
        <v>4.5724343480153871E-11</v>
      </c>
      <c r="Q6" s="2">
        <v>0.11</v>
      </c>
      <c r="R6" s="2">
        <f t="shared" si="11"/>
        <v>111000.00000000001</v>
      </c>
      <c r="S6" s="2">
        <f t="shared" si="1"/>
        <v>108034.25163158338</v>
      </c>
      <c r="T6" s="2">
        <f t="shared" si="12"/>
        <v>108034.25163158338</v>
      </c>
      <c r="U6" s="2">
        <f t="shared" si="13"/>
        <v>5.1398579432804297E-3</v>
      </c>
      <c r="V6" s="2">
        <v>0.06</v>
      </c>
      <c r="W6" s="2">
        <f t="shared" si="14"/>
        <v>106000</v>
      </c>
      <c r="X6" s="2">
        <f t="shared" si="15"/>
        <v>2.5366534653465349</v>
      </c>
      <c r="Y6" s="2">
        <f t="shared" si="16"/>
        <v>4.7972997953420818E-15</v>
      </c>
      <c r="Z6" s="2">
        <f t="shared" si="17"/>
        <v>2888933936.7550015</v>
      </c>
    </row>
    <row r="7" spans="1:26" x14ac:dyDescent="0.25">
      <c r="A7" s="1">
        <v>15</v>
      </c>
      <c r="B7" s="1">
        <f t="shared" si="2"/>
        <v>0.25</v>
      </c>
      <c r="C7" s="1">
        <v>20</v>
      </c>
      <c r="D7" s="1">
        <f t="shared" si="0"/>
        <v>29.146000000000001</v>
      </c>
      <c r="E7" s="1">
        <f t="shared" si="3"/>
        <v>4.8576666666666667E-7</v>
      </c>
      <c r="F7" s="1">
        <v>21.1</v>
      </c>
      <c r="G7" s="1">
        <f t="shared" si="4"/>
        <v>294.10000000000002</v>
      </c>
      <c r="H7" s="1">
        <v>101.3</v>
      </c>
      <c r="I7" s="1">
        <f t="shared" si="5"/>
        <v>101300</v>
      </c>
      <c r="J7" s="1">
        <f t="shared" si="6"/>
        <v>2.0124824921938581E-5</v>
      </c>
      <c r="K7" s="20">
        <v>26.232673267326735</v>
      </c>
      <c r="L7" s="1">
        <f t="shared" si="7"/>
        <v>2.6232673267326735E-5</v>
      </c>
      <c r="M7" s="1">
        <f t="shared" si="8"/>
        <v>4.7762865441819992E-3</v>
      </c>
      <c r="N7" s="26">
        <f t="shared" si="9"/>
        <v>1.1053104788749301E-7</v>
      </c>
      <c r="O7" s="26">
        <f t="shared" si="10"/>
        <v>2.032E-3</v>
      </c>
      <c r="P7" s="26">
        <v>4.5724343480153871E-11</v>
      </c>
      <c r="Q7" s="2">
        <v>0.11</v>
      </c>
      <c r="R7" s="2">
        <f t="shared" si="11"/>
        <v>111000.00000000001</v>
      </c>
      <c r="S7" s="2">
        <f t="shared" si="1"/>
        <v>107751.08282350695</v>
      </c>
      <c r="T7" s="2">
        <f t="shared" si="12"/>
        <v>107751.08282350695</v>
      </c>
      <c r="U7" s="2">
        <f t="shared" si="13"/>
        <v>5.1398579432804297E-3</v>
      </c>
      <c r="V7" s="2">
        <v>0.06</v>
      </c>
      <c r="W7" s="2">
        <f t="shared" si="14"/>
        <v>106000</v>
      </c>
      <c r="X7" s="2">
        <f t="shared" si="15"/>
        <v>2.780663366336634</v>
      </c>
      <c r="Y7" s="2">
        <f t="shared" si="16"/>
        <v>5.2726017308308293E-15</v>
      </c>
      <c r="Z7" s="2">
        <f t="shared" si="17"/>
        <v>3175160762.3063254</v>
      </c>
    </row>
    <row r="8" spans="1:26" x14ac:dyDescent="0.25">
      <c r="A8" s="1">
        <v>18</v>
      </c>
      <c r="B8" s="1">
        <f t="shared" si="2"/>
        <v>0.3</v>
      </c>
      <c r="C8" s="1">
        <v>20</v>
      </c>
      <c r="D8" s="1">
        <f t="shared" si="0"/>
        <v>29.146000000000001</v>
      </c>
      <c r="E8" s="1">
        <f t="shared" si="3"/>
        <v>4.8576666666666667E-7</v>
      </c>
      <c r="F8" s="1">
        <v>21.1</v>
      </c>
      <c r="G8" s="1">
        <f t="shared" si="4"/>
        <v>294.10000000000002</v>
      </c>
      <c r="H8" s="1">
        <v>101.3</v>
      </c>
      <c r="I8" s="1">
        <f t="shared" si="5"/>
        <v>101300</v>
      </c>
      <c r="J8" s="1">
        <f t="shared" si="6"/>
        <v>2.0124824921938581E-5</v>
      </c>
      <c r="K8" s="20">
        <v>18.089108910891088</v>
      </c>
      <c r="L8" s="1">
        <f t="shared" si="7"/>
        <v>1.8089108910891088E-5</v>
      </c>
      <c r="M8" s="1">
        <f t="shared" si="8"/>
        <v>4.7762865441819992E-3</v>
      </c>
      <c r="N8" s="26">
        <f t="shared" si="9"/>
        <v>7.6218239098112734E-8</v>
      </c>
      <c r="O8" s="26">
        <f t="shared" si="10"/>
        <v>2.032E-3</v>
      </c>
      <c r="P8" s="26">
        <v>4.5724343480153871E-11</v>
      </c>
      <c r="Q8" s="2">
        <v>0.11</v>
      </c>
      <c r="R8" s="2">
        <f t="shared" si="11"/>
        <v>111000.00000000001</v>
      </c>
      <c r="S8" s="2">
        <f t="shared" si="1"/>
        <v>108754.49848498024</v>
      </c>
      <c r="T8" s="2">
        <f t="shared" si="12"/>
        <v>108754.49848498024</v>
      </c>
      <c r="U8" s="2">
        <f t="shared" si="13"/>
        <v>5.1398579432804297E-3</v>
      </c>
      <c r="V8" s="2">
        <v>0.06</v>
      </c>
      <c r="W8" s="2">
        <f t="shared" si="14"/>
        <v>106000</v>
      </c>
      <c r="X8" s="2">
        <f t="shared" si="15"/>
        <v>1.9174455445544554</v>
      </c>
      <c r="Y8" s="2">
        <f t="shared" si="16"/>
        <v>3.6022218314912974E-15</v>
      </c>
      <c r="Z8" s="2">
        <f t="shared" si="17"/>
        <v>2169257986.9240594</v>
      </c>
    </row>
    <row r="9" spans="1:26" x14ac:dyDescent="0.25">
      <c r="A9" s="1">
        <v>21</v>
      </c>
      <c r="B9" s="1">
        <f t="shared" si="2"/>
        <v>0.35</v>
      </c>
      <c r="C9" s="1">
        <v>20</v>
      </c>
      <c r="D9" s="1">
        <f t="shared" si="0"/>
        <v>29.146000000000001</v>
      </c>
      <c r="E9" s="1">
        <f t="shared" si="3"/>
        <v>4.8576666666666667E-7</v>
      </c>
      <c r="F9" s="1">
        <v>21.1</v>
      </c>
      <c r="G9" s="1">
        <f t="shared" si="4"/>
        <v>294.10000000000002</v>
      </c>
      <c r="H9" s="1">
        <v>101.3</v>
      </c>
      <c r="I9" s="1">
        <f t="shared" si="5"/>
        <v>101300</v>
      </c>
      <c r="J9" s="1">
        <f t="shared" si="6"/>
        <v>2.0124824921938581E-5</v>
      </c>
      <c r="K9" s="20">
        <v>16.876237623762375</v>
      </c>
      <c r="L9" s="1">
        <f t="shared" si="7"/>
        <v>1.6876237623762375E-5</v>
      </c>
      <c r="M9" s="1">
        <f t="shared" si="8"/>
        <v>4.7762865441819992E-3</v>
      </c>
      <c r="N9" s="26">
        <f t="shared" si="9"/>
        <v>7.1107820767779502E-8</v>
      </c>
      <c r="O9" s="26">
        <f t="shared" si="10"/>
        <v>2.032E-3</v>
      </c>
      <c r="P9" s="26">
        <v>4.5724343480153871E-11</v>
      </c>
      <c r="Q9" s="2">
        <v>0.11</v>
      </c>
      <c r="R9" s="2">
        <f t="shared" si="11"/>
        <v>111000.00000000001</v>
      </c>
      <c r="S9" s="2">
        <f t="shared" si="1"/>
        <v>108904.34125894515</v>
      </c>
      <c r="T9" s="2">
        <f t="shared" si="12"/>
        <v>108904.34125894515</v>
      </c>
      <c r="U9" s="2">
        <f t="shared" si="13"/>
        <v>5.1398579432804297E-3</v>
      </c>
      <c r="V9" s="2">
        <v>0.06</v>
      </c>
      <c r="W9" s="2">
        <f t="shared" si="14"/>
        <v>106000</v>
      </c>
      <c r="X9" s="2">
        <f t="shared" si="15"/>
        <v>1.7888811881188118</v>
      </c>
      <c r="Y9" s="2">
        <f t="shared" si="16"/>
        <v>3.3560654862785516E-15</v>
      </c>
      <c r="Z9" s="2">
        <f t="shared" si="17"/>
        <v>2021022635.8369439</v>
      </c>
    </row>
    <row r="10" spans="1:26" x14ac:dyDescent="0.25">
      <c r="A10" s="1">
        <v>24</v>
      </c>
      <c r="B10" s="1">
        <f t="shared" si="2"/>
        <v>0.4</v>
      </c>
      <c r="C10" s="1">
        <v>20</v>
      </c>
      <c r="D10" s="1">
        <f t="shared" si="0"/>
        <v>29.146000000000001</v>
      </c>
      <c r="E10" s="1">
        <f t="shared" si="3"/>
        <v>4.8576666666666667E-7</v>
      </c>
      <c r="F10" s="1">
        <v>21.1</v>
      </c>
      <c r="G10" s="1">
        <f t="shared" si="4"/>
        <v>294.10000000000002</v>
      </c>
      <c r="H10" s="1">
        <v>101.3</v>
      </c>
      <c r="I10" s="1">
        <f t="shared" si="5"/>
        <v>101300</v>
      </c>
      <c r="J10" s="1">
        <f t="shared" si="6"/>
        <v>2.0124824921938581E-5</v>
      </c>
      <c r="K10" s="20">
        <v>18.732673267326735</v>
      </c>
      <c r="L10" s="1">
        <f t="shared" si="7"/>
        <v>1.8732673267326736E-5</v>
      </c>
      <c r="M10" s="1">
        <f t="shared" si="8"/>
        <v>4.7762865441819992E-3</v>
      </c>
      <c r="N10" s="26">
        <f t="shared" si="9"/>
        <v>7.8929889640738563E-8</v>
      </c>
      <c r="O10" s="26">
        <f t="shared" si="10"/>
        <v>2.032E-3</v>
      </c>
      <c r="P10" s="26">
        <v>4.5724343480153871E-11</v>
      </c>
      <c r="Q10" s="2">
        <v>0.11</v>
      </c>
      <c r="R10" s="2">
        <f t="shared" si="11"/>
        <v>111000.00000000001</v>
      </c>
      <c r="S10" s="2">
        <f t="shared" si="1"/>
        <v>108675.03196405859</v>
      </c>
      <c r="T10" s="2">
        <f t="shared" si="12"/>
        <v>108675.03196405859</v>
      </c>
      <c r="U10" s="2">
        <f t="shared" si="13"/>
        <v>5.1398579432804297E-3</v>
      </c>
      <c r="V10" s="2">
        <v>0.06</v>
      </c>
      <c r="W10" s="2">
        <f t="shared" si="14"/>
        <v>106000</v>
      </c>
      <c r="X10" s="2">
        <f t="shared" si="15"/>
        <v>1.9856633663366341</v>
      </c>
      <c r="Y10" s="2">
        <f t="shared" si="16"/>
        <v>3.7331098560509714E-15</v>
      </c>
      <c r="Z10" s="2">
        <f t="shared" si="17"/>
        <v>2248078755.3138952</v>
      </c>
    </row>
    <row r="11" spans="1:26" x14ac:dyDescent="0.25">
      <c r="A11" s="1">
        <v>27</v>
      </c>
      <c r="B11" s="1">
        <f t="shared" si="2"/>
        <v>0.45</v>
      </c>
      <c r="C11" s="1">
        <v>20</v>
      </c>
      <c r="D11" s="1">
        <f t="shared" si="0"/>
        <v>29.146000000000001</v>
      </c>
      <c r="E11" s="1">
        <f t="shared" si="3"/>
        <v>4.8576666666666667E-7</v>
      </c>
      <c r="F11" s="1">
        <v>21.1</v>
      </c>
      <c r="G11" s="1">
        <f t="shared" si="4"/>
        <v>294.10000000000002</v>
      </c>
      <c r="H11" s="1">
        <v>101.3</v>
      </c>
      <c r="I11" s="1">
        <f t="shared" si="5"/>
        <v>101300</v>
      </c>
      <c r="J11" s="1">
        <f t="shared" si="6"/>
        <v>2.0124824921938581E-5</v>
      </c>
      <c r="K11" s="20">
        <v>17.495049504950494</v>
      </c>
      <c r="L11" s="1">
        <f t="shared" si="7"/>
        <v>1.7495049504950494E-5</v>
      </c>
      <c r="M11" s="1">
        <f t="shared" si="8"/>
        <v>4.7762865441819992E-3</v>
      </c>
      <c r="N11" s="26">
        <f t="shared" si="9"/>
        <v>7.3715177058765851E-8</v>
      </c>
      <c r="O11" s="26">
        <f t="shared" si="10"/>
        <v>2.032E-3</v>
      </c>
      <c r="P11" s="26">
        <v>4.5724343480153871E-11</v>
      </c>
      <c r="Q11" s="2">
        <v>0.11</v>
      </c>
      <c r="R11" s="2">
        <f t="shared" si="11"/>
        <v>111000.00000000001</v>
      </c>
      <c r="S11" s="2">
        <f t="shared" si="1"/>
        <v>108827.87797491014</v>
      </c>
      <c r="T11" s="2">
        <f t="shared" si="12"/>
        <v>108827.87797491014</v>
      </c>
      <c r="U11" s="2">
        <f t="shared" si="13"/>
        <v>5.1398579432804297E-3</v>
      </c>
      <c r="V11" s="2">
        <v>0.06</v>
      </c>
      <c r="W11" s="2">
        <f t="shared" si="14"/>
        <v>106000</v>
      </c>
      <c r="X11" s="2">
        <f t="shared" si="15"/>
        <v>1.8544752475247523</v>
      </c>
      <c r="Y11" s="2">
        <f t="shared" si="16"/>
        <v>3.4815711000135515E-15</v>
      </c>
      <c r="Z11" s="2">
        <f t="shared" si="17"/>
        <v>2096602116.4281609</v>
      </c>
    </row>
    <row r="12" spans="1:26" x14ac:dyDescent="0.25">
      <c r="A12" s="1">
        <v>30</v>
      </c>
      <c r="B12" s="1">
        <f t="shared" si="2"/>
        <v>0.5</v>
      </c>
      <c r="C12" s="1">
        <v>20</v>
      </c>
      <c r="D12" s="1">
        <f t="shared" si="0"/>
        <v>29.146000000000001</v>
      </c>
      <c r="E12" s="1">
        <f t="shared" si="3"/>
        <v>4.8576666666666667E-7</v>
      </c>
      <c r="F12" s="1">
        <v>21.1</v>
      </c>
      <c r="G12" s="1">
        <f t="shared" si="4"/>
        <v>294.10000000000002</v>
      </c>
      <c r="H12" s="1">
        <v>101.3</v>
      </c>
      <c r="I12" s="1">
        <f t="shared" si="5"/>
        <v>101300</v>
      </c>
      <c r="J12" s="1">
        <f t="shared" si="6"/>
        <v>2.0124824921938581E-5</v>
      </c>
      <c r="K12" s="20">
        <v>22.24752475247525</v>
      </c>
      <c r="L12" s="1">
        <f t="shared" si="7"/>
        <v>2.224752475247525E-5</v>
      </c>
      <c r="M12" s="1">
        <f t="shared" si="8"/>
        <v>4.7762865441819992E-3</v>
      </c>
      <c r="N12" s="26">
        <f t="shared" si="9"/>
        <v>9.373967337354097E-8</v>
      </c>
      <c r="O12" s="26">
        <f t="shared" si="10"/>
        <v>2.032E-3</v>
      </c>
      <c r="P12" s="26">
        <v>4.5724343480153871E-11</v>
      </c>
      <c r="Q12" s="2">
        <v>0.11</v>
      </c>
      <c r="R12" s="2">
        <f t="shared" si="11"/>
        <v>111000.00000000001</v>
      </c>
      <c r="S12" s="2">
        <f t="shared" si="1"/>
        <v>108241.53497644156</v>
      </c>
      <c r="T12" s="2">
        <f t="shared" si="12"/>
        <v>108241.53497644156</v>
      </c>
      <c r="U12" s="2">
        <f t="shared" si="13"/>
        <v>5.1398579432804297E-3</v>
      </c>
      <c r="V12" s="2">
        <v>0.06</v>
      </c>
      <c r="W12" s="2">
        <f t="shared" si="14"/>
        <v>106000</v>
      </c>
      <c r="X12" s="2">
        <f t="shared" si="15"/>
        <v>2.3582376237623763</v>
      </c>
      <c r="Y12" s="2">
        <f t="shared" si="16"/>
        <v>4.4513328658450207E-15</v>
      </c>
      <c r="Z12" s="2">
        <f t="shared" si="17"/>
        <v>2680592651.8118715</v>
      </c>
    </row>
    <row r="13" spans="1:26" x14ac:dyDescent="0.25">
      <c r="A13" s="1">
        <v>33</v>
      </c>
      <c r="B13" s="1">
        <f t="shared" si="2"/>
        <v>0.55000000000000004</v>
      </c>
      <c r="C13" s="1">
        <v>20</v>
      </c>
      <c r="D13" s="1">
        <f t="shared" si="0"/>
        <v>29.146000000000001</v>
      </c>
      <c r="E13" s="1">
        <f t="shared" si="3"/>
        <v>4.8576666666666667E-7</v>
      </c>
      <c r="F13" s="1">
        <v>21.1</v>
      </c>
      <c r="G13" s="1">
        <f t="shared" si="4"/>
        <v>294.10000000000002</v>
      </c>
      <c r="H13" s="1">
        <v>101.3</v>
      </c>
      <c r="I13" s="1">
        <f t="shared" si="5"/>
        <v>101300</v>
      </c>
      <c r="J13" s="1">
        <f t="shared" si="6"/>
        <v>2.0124824921938581E-5</v>
      </c>
      <c r="K13" s="20">
        <v>26.133663366336638</v>
      </c>
      <c r="L13" s="1">
        <f t="shared" si="7"/>
        <v>2.6133663366336639E-5</v>
      </c>
      <c r="M13" s="1">
        <f t="shared" si="8"/>
        <v>4.7762865441819992E-3</v>
      </c>
      <c r="N13" s="26">
        <f t="shared" si="9"/>
        <v>1.1011387088093521E-7</v>
      </c>
      <c r="O13" s="26">
        <f t="shared" si="10"/>
        <v>2.032E-3</v>
      </c>
      <c r="P13" s="26">
        <v>4.5724343480153871E-11</v>
      </c>
      <c r="Q13" s="2">
        <v>0.11</v>
      </c>
      <c r="R13" s="2">
        <f t="shared" si="11"/>
        <v>111000.00000000001</v>
      </c>
      <c r="S13" s="2">
        <f t="shared" si="1"/>
        <v>107763.25447951486</v>
      </c>
      <c r="T13" s="2">
        <f t="shared" si="12"/>
        <v>107763.25447951486</v>
      </c>
      <c r="U13" s="2">
        <f t="shared" si="13"/>
        <v>5.1398579432804297E-3</v>
      </c>
      <c r="V13" s="2">
        <v>0.06</v>
      </c>
      <c r="W13" s="2">
        <f t="shared" si="14"/>
        <v>106000</v>
      </c>
      <c r="X13" s="2">
        <f t="shared" si="15"/>
        <v>2.770168316831684</v>
      </c>
      <c r="Y13" s="2">
        <f t="shared" si="16"/>
        <v>5.2521075562196331E-15</v>
      </c>
      <c r="Z13" s="2">
        <f t="shared" si="17"/>
        <v>3162819170.355463</v>
      </c>
    </row>
    <row r="14" spans="1:26" x14ac:dyDescent="0.25">
      <c r="A14" s="1">
        <v>36</v>
      </c>
      <c r="B14" s="1">
        <f t="shared" si="2"/>
        <v>0.6</v>
      </c>
      <c r="C14" s="1">
        <v>20</v>
      </c>
      <c r="D14" s="1">
        <f t="shared" si="0"/>
        <v>29.146000000000001</v>
      </c>
      <c r="E14" s="1">
        <f t="shared" si="3"/>
        <v>4.8576666666666667E-7</v>
      </c>
      <c r="F14" s="1">
        <v>21.1</v>
      </c>
      <c r="G14" s="1">
        <f t="shared" si="4"/>
        <v>294.10000000000002</v>
      </c>
      <c r="H14" s="1">
        <v>101.3</v>
      </c>
      <c r="I14" s="1">
        <f t="shared" si="5"/>
        <v>101300</v>
      </c>
      <c r="J14" s="1">
        <f t="shared" si="6"/>
        <v>2.0124824921938581E-5</v>
      </c>
      <c r="K14" s="20">
        <v>21.925742574257427</v>
      </c>
      <c r="L14" s="1">
        <f t="shared" si="7"/>
        <v>2.1925742574257426E-5</v>
      </c>
      <c r="M14" s="1">
        <f t="shared" si="8"/>
        <v>4.7762865441819992E-3</v>
      </c>
      <c r="N14" s="26">
        <f t="shared" si="9"/>
        <v>9.2383848102228055E-8</v>
      </c>
      <c r="O14" s="26">
        <f t="shared" si="10"/>
        <v>2.032E-3</v>
      </c>
      <c r="P14" s="26">
        <v>4.5724343480153871E-11</v>
      </c>
      <c r="Q14" s="2">
        <v>0.11</v>
      </c>
      <c r="R14" s="2">
        <f t="shared" si="11"/>
        <v>111000.00000000001</v>
      </c>
      <c r="S14" s="2">
        <f t="shared" si="1"/>
        <v>108281.1852951902</v>
      </c>
      <c r="T14" s="2">
        <f t="shared" si="12"/>
        <v>108281.1852951902</v>
      </c>
      <c r="U14" s="2">
        <f t="shared" si="13"/>
        <v>5.1398579432804297E-3</v>
      </c>
      <c r="V14" s="2">
        <v>0.06</v>
      </c>
      <c r="W14" s="2">
        <f t="shared" si="14"/>
        <v>106000</v>
      </c>
      <c r="X14" s="2">
        <f t="shared" si="15"/>
        <v>2.3241287128712873</v>
      </c>
      <c r="Y14" s="2">
        <f t="shared" si="16"/>
        <v>4.3853421654388244E-15</v>
      </c>
      <c r="Z14" s="2">
        <f t="shared" si="17"/>
        <v>2640853052.0272603</v>
      </c>
    </row>
    <row r="15" spans="1:26" x14ac:dyDescent="0.25">
      <c r="A15" s="1">
        <v>39</v>
      </c>
      <c r="B15" s="1">
        <f t="shared" si="2"/>
        <v>0.65</v>
      </c>
      <c r="C15" s="1">
        <v>20</v>
      </c>
      <c r="D15" s="1">
        <f t="shared" si="0"/>
        <v>29.146000000000001</v>
      </c>
      <c r="E15" s="1">
        <f t="shared" si="3"/>
        <v>4.8576666666666667E-7</v>
      </c>
      <c r="F15" s="1">
        <v>21.1</v>
      </c>
      <c r="G15" s="1">
        <f t="shared" si="4"/>
        <v>294.10000000000002</v>
      </c>
      <c r="H15" s="1">
        <v>101.3</v>
      </c>
      <c r="I15" s="1">
        <f t="shared" si="5"/>
        <v>101300</v>
      </c>
      <c r="J15" s="1">
        <f t="shared" si="6"/>
        <v>2.0124824921938581E-5</v>
      </c>
      <c r="K15" s="20">
        <v>24.599009900990101</v>
      </c>
      <c r="L15" s="1">
        <f t="shared" si="7"/>
        <v>2.4599009900990102E-5</v>
      </c>
      <c r="M15" s="1">
        <f t="shared" si="8"/>
        <v>4.7762865441819992E-3</v>
      </c>
      <c r="N15" s="26">
        <f t="shared" si="9"/>
        <v>1.0364762727928908E-7</v>
      </c>
      <c r="O15" s="26">
        <f t="shared" si="10"/>
        <v>2.032E-3</v>
      </c>
      <c r="P15" s="26">
        <v>4.5724343480153871E-11</v>
      </c>
      <c r="Q15" s="2">
        <v>0.11</v>
      </c>
      <c r="R15" s="2">
        <f t="shared" si="11"/>
        <v>111000.00000000001</v>
      </c>
      <c r="S15" s="2">
        <f t="shared" si="1"/>
        <v>107952.00305167417</v>
      </c>
      <c r="T15" s="2">
        <f t="shared" si="12"/>
        <v>107952.00305167417</v>
      </c>
      <c r="U15" s="2">
        <f t="shared" si="13"/>
        <v>5.1398579432804297E-3</v>
      </c>
      <c r="V15" s="2">
        <v>0.06</v>
      </c>
      <c r="W15" s="2">
        <f t="shared" si="14"/>
        <v>106000</v>
      </c>
      <c r="X15" s="2">
        <f t="shared" si="15"/>
        <v>2.6074950495049509</v>
      </c>
      <c r="Y15" s="2">
        <f t="shared" si="16"/>
        <v>4.9350353249007178E-15</v>
      </c>
      <c r="Z15" s="2">
        <f t="shared" si="17"/>
        <v>2971878272.6552124</v>
      </c>
    </row>
    <row r="16" spans="1:26" x14ac:dyDescent="0.25">
      <c r="A16" s="1">
        <v>42</v>
      </c>
      <c r="B16" s="1">
        <f t="shared" si="2"/>
        <v>0.7</v>
      </c>
      <c r="C16" s="1">
        <v>20</v>
      </c>
      <c r="D16" s="1">
        <f t="shared" si="0"/>
        <v>29.146000000000001</v>
      </c>
      <c r="E16" s="1">
        <f t="shared" si="3"/>
        <v>4.8576666666666667E-7</v>
      </c>
      <c r="F16" s="1">
        <v>21.1</v>
      </c>
      <c r="G16" s="1">
        <f t="shared" si="4"/>
        <v>294.10000000000002</v>
      </c>
      <c r="H16" s="1">
        <v>101.3</v>
      </c>
      <c r="I16" s="1">
        <f t="shared" si="5"/>
        <v>101300</v>
      </c>
      <c r="J16" s="1">
        <f t="shared" si="6"/>
        <v>2.0124824921938581E-5</v>
      </c>
      <c r="K16" s="20">
        <v>27.841584158415845</v>
      </c>
      <c r="L16" s="1">
        <f t="shared" si="7"/>
        <v>2.7841584158415846E-5</v>
      </c>
      <c r="M16" s="1">
        <f t="shared" si="8"/>
        <v>4.7762865441819992E-3</v>
      </c>
      <c r="N16" s="26">
        <f t="shared" si="9"/>
        <v>1.1731017424405751E-7</v>
      </c>
      <c r="O16" s="26">
        <f t="shared" si="10"/>
        <v>2.032E-3</v>
      </c>
      <c r="P16" s="26">
        <v>4.5724343480153871E-11</v>
      </c>
      <c r="Q16" s="2">
        <v>0.11</v>
      </c>
      <c r="R16" s="2">
        <f t="shared" si="11"/>
        <v>111000.00000000001</v>
      </c>
      <c r="S16" s="2">
        <f t="shared" si="1"/>
        <v>107553.38975981183</v>
      </c>
      <c r="T16" s="2">
        <f t="shared" si="12"/>
        <v>107553.38975981183</v>
      </c>
      <c r="U16" s="2">
        <f t="shared" si="13"/>
        <v>5.1398579432804297E-3</v>
      </c>
      <c r="V16" s="2">
        <v>0.06</v>
      </c>
      <c r="W16" s="2">
        <f t="shared" si="14"/>
        <v>106000</v>
      </c>
      <c r="X16" s="2">
        <f t="shared" si="15"/>
        <v>2.9512079207920796</v>
      </c>
      <c r="Y16" s="2">
        <f t="shared" si="16"/>
        <v>5.6062777524148796E-15</v>
      </c>
      <c r="Z16" s="2">
        <f t="shared" si="17"/>
        <v>3376100462.5042405</v>
      </c>
    </row>
    <row r="17" spans="1:74" s="4" customFormat="1" x14ac:dyDescent="0.25">
      <c r="A17" s="1">
        <v>45</v>
      </c>
      <c r="B17" s="1">
        <f t="shared" si="2"/>
        <v>0.75</v>
      </c>
      <c r="C17" s="1">
        <v>20</v>
      </c>
      <c r="D17" s="1">
        <f t="shared" si="0"/>
        <v>29.146000000000001</v>
      </c>
      <c r="E17" s="1">
        <f t="shared" si="3"/>
        <v>4.8576666666666667E-7</v>
      </c>
      <c r="F17" s="1">
        <v>21.1</v>
      </c>
      <c r="G17" s="1">
        <f t="shared" si="4"/>
        <v>294.10000000000002</v>
      </c>
      <c r="H17" s="1">
        <v>101.3</v>
      </c>
      <c r="I17" s="1">
        <f t="shared" si="5"/>
        <v>101300</v>
      </c>
      <c r="J17" s="1">
        <f t="shared" si="6"/>
        <v>2.0124824921938581E-5</v>
      </c>
      <c r="K17" s="20">
        <v>22.89108910891089</v>
      </c>
      <c r="L17" s="1">
        <f t="shared" si="7"/>
        <v>2.2891089108910892E-5</v>
      </c>
      <c r="M17" s="1">
        <f t="shared" si="8"/>
        <v>4.7762865441819992E-3</v>
      </c>
      <c r="N17" s="26">
        <f t="shared" si="9"/>
        <v>9.6451323916166759E-8</v>
      </c>
      <c r="O17" s="26">
        <f t="shared" si="10"/>
        <v>2.032E-3</v>
      </c>
      <c r="P17" s="26">
        <v>4.5724343480153871E-11</v>
      </c>
      <c r="Q17" s="2">
        <v>0.11</v>
      </c>
      <c r="R17" s="2">
        <f t="shared" si="11"/>
        <v>111000.00000000001</v>
      </c>
      <c r="S17" s="2">
        <f t="shared" si="1"/>
        <v>108162.2561216161</v>
      </c>
      <c r="T17" s="2">
        <f t="shared" si="12"/>
        <v>108162.2561216161</v>
      </c>
      <c r="U17" s="2">
        <f t="shared" si="13"/>
        <v>5.1398579432804297E-3</v>
      </c>
      <c r="V17" s="2">
        <v>0.06</v>
      </c>
      <c r="W17" s="2">
        <f t="shared" si="14"/>
        <v>106000</v>
      </c>
      <c r="X17" s="2">
        <f t="shared" si="15"/>
        <v>2.4264554455445544</v>
      </c>
      <c r="Y17" s="2">
        <f t="shared" si="16"/>
        <v>4.5834586176819693E-15</v>
      </c>
      <c r="Z17" s="2">
        <f t="shared" si="17"/>
        <v>2760158779.5680819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2"/>
        <v>0.8</v>
      </c>
      <c r="C18" s="1">
        <v>20</v>
      </c>
      <c r="D18" s="1">
        <f t="shared" si="0"/>
        <v>29.146000000000001</v>
      </c>
      <c r="E18" s="1">
        <f t="shared" si="3"/>
        <v>4.8576666666666667E-7</v>
      </c>
      <c r="F18" s="1">
        <v>21.1</v>
      </c>
      <c r="G18" s="1">
        <f t="shared" si="4"/>
        <v>294.10000000000002</v>
      </c>
      <c r="H18" s="1">
        <v>101.3</v>
      </c>
      <c r="I18" s="1">
        <f t="shared" si="5"/>
        <v>101300</v>
      </c>
      <c r="J18" s="1">
        <f t="shared" si="6"/>
        <v>2.0124824921938581E-5</v>
      </c>
      <c r="K18" s="20">
        <v>30.316831683168314</v>
      </c>
      <c r="L18" s="1">
        <f t="shared" si="7"/>
        <v>3.0316831683168314E-5</v>
      </c>
      <c r="M18" s="1">
        <f t="shared" si="8"/>
        <v>4.7762865441819992E-3</v>
      </c>
      <c r="N18" s="26">
        <f t="shared" si="9"/>
        <v>1.2773959940800286E-7</v>
      </c>
      <c r="O18" s="26">
        <f t="shared" si="10"/>
        <v>2.032E-3</v>
      </c>
      <c r="P18" s="26">
        <v>4.5724343480153871E-11</v>
      </c>
      <c r="Q18" s="2">
        <v>0.11</v>
      </c>
      <c r="R18" s="2">
        <f t="shared" si="11"/>
        <v>111000.00000000001</v>
      </c>
      <c r="S18" s="2">
        <f t="shared" si="1"/>
        <v>107249.60103665761</v>
      </c>
      <c r="T18" s="2">
        <f t="shared" si="12"/>
        <v>107249.60103665761</v>
      </c>
      <c r="U18" s="2">
        <f t="shared" si="13"/>
        <v>5.1398579432804297E-3</v>
      </c>
      <c r="V18" s="2">
        <v>0.06</v>
      </c>
      <c r="W18" s="2">
        <f t="shared" si="14"/>
        <v>106000</v>
      </c>
      <c r="X18" s="2">
        <f t="shared" si="15"/>
        <v>3.2135841584158413</v>
      </c>
      <c r="Y18" s="2">
        <f t="shared" si="16"/>
        <v>6.1220094241354648E-15</v>
      </c>
      <c r="Z18" s="2">
        <f t="shared" si="17"/>
        <v>3686674075.2143769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2"/>
        <v>0.85</v>
      </c>
      <c r="C19" s="1">
        <v>20</v>
      </c>
      <c r="D19" s="1">
        <f t="shared" si="0"/>
        <v>29.146000000000001</v>
      </c>
      <c r="E19" s="1">
        <f t="shared" si="3"/>
        <v>4.8576666666666667E-7</v>
      </c>
      <c r="F19" s="1">
        <v>21.1</v>
      </c>
      <c r="G19" s="1">
        <f t="shared" si="4"/>
        <v>294.10000000000002</v>
      </c>
      <c r="H19" s="1">
        <v>101.3</v>
      </c>
      <c r="I19" s="1">
        <f t="shared" si="5"/>
        <v>101300</v>
      </c>
      <c r="J19" s="1">
        <f t="shared" si="6"/>
        <v>2.0124824921938581E-5</v>
      </c>
      <c r="K19" s="20">
        <v>27.940594059405942</v>
      </c>
      <c r="L19" s="1">
        <f t="shared" si="7"/>
        <v>2.7940594059405943E-5</v>
      </c>
      <c r="M19" s="1">
        <f t="shared" si="8"/>
        <v>4.7762865441819992E-3</v>
      </c>
      <c r="N19" s="26">
        <f t="shared" si="9"/>
        <v>1.1772735125061533E-7</v>
      </c>
      <c r="O19" s="26">
        <f t="shared" si="10"/>
        <v>2.032E-3</v>
      </c>
      <c r="P19" s="26">
        <v>4.5724343480153871E-11</v>
      </c>
      <c r="Q19" s="2">
        <v>0.11</v>
      </c>
      <c r="R19" s="2">
        <f t="shared" si="11"/>
        <v>111000.00000000001</v>
      </c>
      <c r="S19" s="2">
        <f t="shared" si="1"/>
        <v>107541.22996182647</v>
      </c>
      <c r="T19" s="2">
        <f t="shared" si="12"/>
        <v>107541.22996182647</v>
      </c>
      <c r="U19" s="2">
        <f t="shared" si="13"/>
        <v>5.1398579432804297E-3</v>
      </c>
      <c r="V19" s="2">
        <v>0.06</v>
      </c>
      <c r="W19" s="2">
        <f t="shared" si="14"/>
        <v>106000</v>
      </c>
      <c r="X19" s="2">
        <f t="shared" si="15"/>
        <v>2.9617029702970301</v>
      </c>
      <c r="Y19" s="2">
        <f t="shared" si="16"/>
        <v>5.6268514572904892E-15</v>
      </c>
      <c r="Z19" s="2">
        <f t="shared" si="17"/>
        <v>3388489947.5803328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2"/>
        <v>0.9</v>
      </c>
      <c r="C20" s="1">
        <v>20</v>
      </c>
      <c r="D20" s="1">
        <f t="shared" si="0"/>
        <v>29.146000000000001</v>
      </c>
      <c r="E20" s="1">
        <f t="shared" si="3"/>
        <v>4.8576666666666667E-7</v>
      </c>
      <c r="F20" s="1">
        <v>21.1</v>
      </c>
      <c r="G20" s="1">
        <f t="shared" si="4"/>
        <v>294.10000000000002</v>
      </c>
      <c r="H20" s="1">
        <v>101.3</v>
      </c>
      <c r="I20" s="1">
        <f t="shared" si="5"/>
        <v>101300</v>
      </c>
      <c r="J20" s="1">
        <f t="shared" si="6"/>
        <v>2.0124824921938581E-5</v>
      </c>
      <c r="K20" s="20">
        <v>26.653465346534652</v>
      </c>
      <c r="L20" s="1">
        <f t="shared" si="7"/>
        <v>2.6653465346534652E-5</v>
      </c>
      <c r="M20" s="1">
        <f t="shared" si="8"/>
        <v>4.7762865441819992E-3</v>
      </c>
      <c r="N20" s="26">
        <f t="shared" si="9"/>
        <v>1.1230405016536371E-7</v>
      </c>
      <c r="O20" s="26">
        <f t="shared" si="10"/>
        <v>2.032E-3</v>
      </c>
      <c r="P20" s="26">
        <v>4.5724343480153871E-11</v>
      </c>
      <c r="Q20" s="2">
        <v>0.11</v>
      </c>
      <c r="R20" s="2">
        <f t="shared" si="11"/>
        <v>111000.00000000001</v>
      </c>
      <c r="S20" s="2">
        <f t="shared" si="1"/>
        <v>107699.36095452055</v>
      </c>
      <c r="T20" s="2">
        <f t="shared" si="12"/>
        <v>107699.36095452055</v>
      </c>
      <c r="U20" s="2">
        <f t="shared" si="13"/>
        <v>5.1398579432804297E-3</v>
      </c>
      <c r="V20" s="2">
        <v>0.06</v>
      </c>
      <c r="W20" s="2">
        <f t="shared" si="14"/>
        <v>106000</v>
      </c>
      <c r="X20" s="2">
        <f t="shared" si="15"/>
        <v>2.8252673267326731</v>
      </c>
      <c r="Y20" s="2">
        <f t="shared" si="16"/>
        <v>5.3597533163143935E-15</v>
      </c>
      <c r="Z20" s="2">
        <f t="shared" si="17"/>
        <v>3227643447.084528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2"/>
        <v>0.95</v>
      </c>
      <c r="C21" s="1">
        <v>20</v>
      </c>
      <c r="D21" s="1">
        <f t="shared" si="0"/>
        <v>29.146000000000001</v>
      </c>
      <c r="E21" s="1">
        <f t="shared" si="3"/>
        <v>4.8576666666666667E-7</v>
      </c>
      <c r="F21" s="1">
        <v>21.1</v>
      </c>
      <c r="G21" s="1">
        <f t="shared" si="4"/>
        <v>294.10000000000002</v>
      </c>
      <c r="H21" s="1">
        <v>101.3</v>
      </c>
      <c r="I21" s="1">
        <f t="shared" si="5"/>
        <v>101300</v>
      </c>
      <c r="J21" s="1">
        <f t="shared" si="6"/>
        <v>2.0124824921938581E-5</v>
      </c>
      <c r="K21" s="20">
        <v>32.89108910891089</v>
      </c>
      <c r="L21" s="1">
        <f t="shared" si="7"/>
        <v>3.2891089108910891E-5</v>
      </c>
      <c r="M21" s="1">
        <f t="shared" si="8"/>
        <v>4.7762865441819992E-3</v>
      </c>
      <c r="N21" s="26">
        <f t="shared" si="9"/>
        <v>1.3858620157850604E-7</v>
      </c>
      <c r="O21" s="26">
        <f t="shared" si="10"/>
        <v>2.032E-3</v>
      </c>
      <c r="P21" s="26">
        <v>4.5724343480153871E-11</v>
      </c>
      <c r="Q21" s="2">
        <v>0.11</v>
      </c>
      <c r="R21" s="2">
        <f t="shared" si="11"/>
        <v>111000.00000000001</v>
      </c>
      <c r="S21" s="2">
        <f t="shared" si="1"/>
        <v>106934.11652509653</v>
      </c>
      <c r="T21" s="2">
        <f t="shared" si="12"/>
        <v>106934.11652509653</v>
      </c>
      <c r="U21" s="2">
        <f t="shared" si="13"/>
        <v>5.1398579432804297E-3</v>
      </c>
      <c r="V21" s="2">
        <v>0.06</v>
      </c>
      <c r="W21" s="2">
        <f t="shared" si="14"/>
        <v>106000</v>
      </c>
      <c r="X21" s="2">
        <f t="shared" si="15"/>
        <v>3.4864554455445544</v>
      </c>
      <c r="Y21" s="2">
        <f t="shared" si="16"/>
        <v>6.6614532108187363E-15</v>
      </c>
      <c r="Z21" s="2">
        <f t="shared" si="17"/>
        <v>4011527123.5550432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2"/>
        <v>1</v>
      </c>
      <c r="C22" s="1">
        <v>20</v>
      </c>
      <c r="D22" s="1">
        <f t="shared" si="0"/>
        <v>29.146000000000001</v>
      </c>
      <c r="E22" s="1">
        <f t="shared" si="3"/>
        <v>4.8576666666666667E-7</v>
      </c>
      <c r="F22" s="1">
        <v>21.1</v>
      </c>
      <c r="G22" s="1">
        <f t="shared" si="4"/>
        <v>294.10000000000002</v>
      </c>
      <c r="H22" s="1">
        <v>101.3</v>
      </c>
      <c r="I22" s="1">
        <f t="shared" si="5"/>
        <v>101300</v>
      </c>
      <c r="J22" s="1">
        <f t="shared" si="6"/>
        <v>2.0124824921938581E-5</v>
      </c>
      <c r="K22" s="20">
        <v>37.24752475247525</v>
      </c>
      <c r="L22" s="1">
        <f t="shared" si="7"/>
        <v>3.7247524752475249E-5</v>
      </c>
      <c r="M22" s="1">
        <f t="shared" si="8"/>
        <v>4.7762865441819992E-3</v>
      </c>
      <c r="N22" s="26">
        <f t="shared" si="9"/>
        <v>1.5694198986704989E-7</v>
      </c>
      <c r="O22" s="26">
        <f t="shared" si="10"/>
        <v>2.032E-3</v>
      </c>
      <c r="P22" s="26">
        <v>4.5724343480153871E-11</v>
      </c>
      <c r="Q22" s="2">
        <v>0.11</v>
      </c>
      <c r="R22" s="2">
        <f t="shared" si="11"/>
        <v>111000.00000000001</v>
      </c>
      <c r="S22" s="2">
        <f t="shared" si="1"/>
        <v>106401.27828863836</v>
      </c>
      <c r="T22" s="2">
        <f t="shared" si="12"/>
        <v>106401.27828863836</v>
      </c>
      <c r="U22" s="2">
        <f t="shared" si="13"/>
        <v>5.1398579432804297E-3</v>
      </c>
      <c r="V22" s="2">
        <v>0.06</v>
      </c>
      <c r="W22" s="2">
        <f t="shared" si="14"/>
        <v>106000</v>
      </c>
      <c r="X22" s="2">
        <f t="shared" si="15"/>
        <v>3.9482376237623762</v>
      </c>
      <c r="Y22" s="2">
        <f t="shared" si="16"/>
        <v>7.5815768390581026E-15</v>
      </c>
      <c r="Z22" s="2">
        <f t="shared" si="17"/>
        <v>4565625572.4807892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2"/>
        <v>1.05</v>
      </c>
      <c r="C23" s="1">
        <v>20</v>
      </c>
      <c r="D23" s="1">
        <f t="shared" si="0"/>
        <v>29.146000000000001</v>
      </c>
      <c r="E23" s="1">
        <f t="shared" si="3"/>
        <v>4.8576666666666667E-7</v>
      </c>
      <c r="F23" s="1">
        <v>21.1</v>
      </c>
      <c r="G23" s="1">
        <f t="shared" si="4"/>
        <v>294.10000000000002</v>
      </c>
      <c r="H23" s="1">
        <v>101.3</v>
      </c>
      <c r="I23" s="1">
        <f t="shared" si="5"/>
        <v>101300</v>
      </c>
      <c r="J23" s="1">
        <f t="shared" si="6"/>
        <v>2.0124824921938581E-5</v>
      </c>
      <c r="K23" s="20">
        <v>27.198019801980198</v>
      </c>
      <c r="L23" s="1">
        <f t="shared" si="7"/>
        <v>2.7198019801980198E-5</v>
      </c>
      <c r="M23" s="1">
        <f t="shared" si="8"/>
        <v>4.7762865441819992E-3</v>
      </c>
      <c r="N23" s="26">
        <f t="shared" si="9"/>
        <v>1.1459852370143169E-7</v>
      </c>
      <c r="O23" s="26">
        <f t="shared" si="10"/>
        <v>2.032E-3</v>
      </c>
      <c r="P23" s="26">
        <v>4.5724343480153871E-11</v>
      </c>
      <c r="Q23" s="2">
        <v>0.11</v>
      </c>
      <c r="R23" s="2">
        <f t="shared" si="11"/>
        <v>111000.00000000001</v>
      </c>
      <c r="S23" s="2">
        <f t="shared" si="1"/>
        <v>107632.44520261801</v>
      </c>
      <c r="T23" s="2">
        <f t="shared" si="12"/>
        <v>107632.44520261801</v>
      </c>
      <c r="U23" s="2">
        <f t="shared" si="13"/>
        <v>5.1398579432804297E-3</v>
      </c>
      <c r="V23" s="2">
        <v>0.06</v>
      </c>
      <c r="W23" s="2">
        <f t="shared" si="14"/>
        <v>106000</v>
      </c>
      <c r="X23" s="2">
        <f t="shared" si="15"/>
        <v>2.8829900990099011</v>
      </c>
      <c r="Y23" s="2">
        <f t="shared" si="16"/>
        <v>5.4726612301178904E-15</v>
      </c>
      <c r="Z23" s="2">
        <f t="shared" si="17"/>
        <v>3295636592.7769938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2"/>
        <v>1.1000000000000001</v>
      </c>
      <c r="C24" s="1">
        <v>20</v>
      </c>
      <c r="D24" s="1">
        <f t="shared" si="0"/>
        <v>29.146000000000001</v>
      </c>
      <c r="E24" s="1">
        <f t="shared" si="3"/>
        <v>4.8576666666666667E-7</v>
      </c>
      <c r="F24" s="1">
        <v>21.1</v>
      </c>
      <c r="G24" s="1">
        <f t="shared" si="4"/>
        <v>294.10000000000002</v>
      </c>
      <c r="H24" s="1">
        <v>101.3</v>
      </c>
      <c r="I24" s="1">
        <f t="shared" si="5"/>
        <v>101300</v>
      </c>
      <c r="J24" s="1">
        <f t="shared" si="6"/>
        <v>2.0124824921938581E-5</v>
      </c>
      <c r="K24" s="20">
        <v>31.158415841584159</v>
      </c>
      <c r="L24" s="1">
        <f t="shared" si="7"/>
        <v>3.1158415841584158E-5</v>
      </c>
      <c r="M24" s="1">
        <f t="shared" si="8"/>
        <v>4.7762865441819992E-3</v>
      </c>
      <c r="N24" s="26">
        <f t="shared" si="9"/>
        <v>1.3128560396374428E-7</v>
      </c>
      <c r="O24" s="26">
        <f t="shared" si="10"/>
        <v>2.032E-3</v>
      </c>
      <c r="P24" s="26">
        <v>4.5724343480153871E-11</v>
      </c>
      <c r="Q24" s="2">
        <v>0.11</v>
      </c>
      <c r="R24" s="2">
        <f t="shared" si="11"/>
        <v>111000.00000000001</v>
      </c>
      <c r="S24" s="2">
        <f t="shared" si="1"/>
        <v>107146.41074243512</v>
      </c>
      <c r="T24" s="2">
        <f t="shared" si="12"/>
        <v>107146.41074243512</v>
      </c>
      <c r="U24" s="2">
        <f t="shared" si="13"/>
        <v>5.1398579432804297E-3</v>
      </c>
      <c r="V24" s="2">
        <v>0.06</v>
      </c>
      <c r="W24" s="2">
        <f t="shared" si="14"/>
        <v>106000</v>
      </c>
      <c r="X24" s="2">
        <f t="shared" si="15"/>
        <v>3.3027920792079208</v>
      </c>
      <c r="Y24" s="2">
        <f t="shared" si="16"/>
        <v>6.2980192312890443E-15</v>
      </c>
      <c r="Z24" s="2">
        <f t="shared" si="17"/>
        <v>3792667181.0822625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2"/>
        <v>1.1499999999999999</v>
      </c>
      <c r="C25" s="1">
        <v>20</v>
      </c>
      <c r="D25" s="1">
        <f t="shared" si="0"/>
        <v>29.146000000000001</v>
      </c>
      <c r="E25" s="1">
        <f t="shared" si="3"/>
        <v>4.8576666666666667E-7</v>
      </c>
      <c r="F25" s="1">
        <v>21.1</v>
      </c>
      <c r="G25" s="1">
        <f t="shared" si="4"/>
        <v>294.10000000000002</v>
      </c>
      <c r="H25" s="1">
        <v>101.3</v>
      </c>
      <c r="I25" s="1">
        <f t="shared" si="5"/>
        <v>101300</v>
      </c>
      <c r="J25" s="1">
        <f t="shared" si="6"/>
        <v>2.0124824921938581E-5</v>
      </c>
      <c r="K25" s="20">
        <v>33.163366336633665</v>
      </c>
      <c r="L25" s="1">
        <f t="shared" si="7"/>
        <v>3.3163366336633663E-5</v>
      </c>
      <c r="M25" s="1">
        <f t="shared" si="8"/>
        <v>4.7762865441819992E-3</v>
      </c>
      <c r="N25" s="26">
        <f t="shared" si="9"/>
        <v>1.3973343834654005E-7</v>
      </c>
      <c r="O25" s="26">
        <f t="shared" si="10"/>
        <v>2.032E-3</v>
      </c>
      <c r="P25" s="26">
        <v>4.5724343480153871E-11</v>
      </c>
      <c r="Q25" s="2">
        <v>0.11</v>
      </c>
      <c r="R25" s="2">
        <f t="shared" si="11"/>
        <v>111000.00000000001</v>
      </c>
      <c r="S25" s="2">
        <f t="shared" si="1"/>
        <v>106900.77514562415</v>
      </c>
      <c r="T25" s="2">
        <f t="shared" si="12"/>
        <v>106900.77514562415</v>
      </c>
      <c r="U25" s="2">
        <f t="shared" si="13"/>
        <v>5.1398579432804297E-3</v>
      </c>
      <c r="V25" s="2">
        <v>0.06</v>
      </c>
      <c r="W25" s="2">
        <f t="shared" si="14"/>
        <v>106000</v>
      </c>
      <c r="X25" s="2">
        <f t="shared" si="15"/>
        <v>3.5153168316831684</v>
      </c>
      <c r="Y25" s="2">
        <f t="shared" si="16"/>
        <v>6.7186944190865246E-15</v>
      </c>
      <c r="Z25" s="2">
        <f t="shared" si="17"/>
        <v>4045997779.1739054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2"/>
        <v>1.2</v>
      </c>
      <c r="C26" s="1">
        <v>20</v>
      </c>
      <c r="D26" s="1">
        <f t="shared" si="0"/>
        <v>29.146000000000001</v>
      </c>
      <c r="E26" s="1">
        <f t="shared" si="3"/>
        <v>4.8576666666666667E-7</v>
      </c>
      <c r="F26" s="1">
        <v>21.1</v>
      </c>
      <c r="G26" s="1">
        <f t="shared" si="4"/>
        <v>294.10000000000002</v>
      </c>
      <c r="H26" s="1">
        <v>101.3</v>
      </c>
      <c r="I26" s="1">
        <f t="shared" si="5"/>
        <v>101300</v>
      </c>
      <c r="J26" s="1">
        <f t="shared" si="6"/>
        <v>2.0124824921938581E-5</v>
      </c>
      <c r="K26" s="20">
        <v>40.960396039603964</v>
      </c>
      <c r="L26" s="1">
        <f t="shared" si="7"/>
        <v>4.0960396039603965E-5</v>
      </c>
      <c r="M26" s="1">
        <f t="shared" si="8"/>
        <v>4.7762865441819992E-3</v>
      </c>
      <c r="N26" s="26">
        <f t="shared" si="9"/>
        <v>1.7258612761296796E-7</v>
      </c>
      <c r="O26" s="26">
        <f t="shared" si="10"/>
        <v>2.032E-3</v>
      </c>
      <c r="P26" s="26">
        <v>4.5724343480153871E-11</v>
      </c>
      <c r="Q26" s="2">
        <v>0.11</v>
      </c>
      <c r="R26" s="2">
        <f t="shared" si="11"/>
        <v>111000.00000000001</v>
      </c>
      <c r="S26" s="2">
        <f t="shared" si="1"/>
        <v>105948.20525778612</v>
      </c>
      <c r="T26" s="2">
        <f t="shared" si="12"/>
        <v>105948.20525778612</v>
      </c>
      <c r="U26" s="2">
        <f t="shared" si="13"/>
        <v>5.1398579432804297E-3</v>
      </c>
      <c r="V26" s="2">
        <v>0.06</v>
      </c>
      <c r="W26" s="2">
        <f t="shared" si="14"/>
        <v>106000</v>
      </c>
      <c r="X26" s="2">
        <f t="shared" si="15"/>
        <v>4.3418019801980199</v>
      </c>
      <c r="Y26" s="2">
        <f t="shared" si="16"/>
        <v>8.3730019840324256E-15</v>
      </c>
      <c r="Z26" s="2">
        <f t="shared" si="17"/>
        <v>5042221794.7843266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2"/>
        <v>1.25</v>
      </c>
      <c r="C27" s="1">
        <v>20</v>
      </c>
      <c r="D27" s="1">
        <f t="shared" si="0"/>
        <v>29.146000000000001</v>
      </c>
      <c r="E27" s="1">
        <f t="shared" si="3"/>
        <v>4.8576666666666667E-7</v>
      </c>
      <c r="F27" s="1">
        <v>21.1</v>
      </c>
      <c r="G27" s="1">
        <f t="shared" si="4"/>
        <v>294.10000000000002</v>
      </c>
      <c r="H27" s="1">
        <v>101.3</v>
      </c>
      <c r="I27" s="1">
        <f t="shared" si="5"/>
        <v>101300</v>
      </c>
      <c r="J27" s="1">
        <f t="shared" si="6"/>
        <v>2.0124824921938581E-5</v>
      </c>
      <c r="K27" s="20">
        <v>35.118811881188122</v>
      </c>
      <c r="L27" s="1">
        <f t="shared" si="7"/>
        <v>3.5118811881188124E-5</v>
      </c>
      <c r="M27" s="1">
        <f t="shared" si="8"/>
        <v>4.7762865441819992E-3</v>
      </c>
      <c r="N27" s="26">
        <f t="shared" si="9"/>
        <v>1.4797268422605688E-7</v>
      </c>
      <c r="O27" s="26">
        <f t="shared" si="10"/>
        <v>2.032E-3</v>
      </c>
      <c r="P27" s="26">
        <v>4.5724343480153871E-11</v>
      </c>
      <c r="Q27" s="2">
        <v>0.11</v>
      </c>
      <c r="R27" s="2">
        <f t="shared" si="11"/>
        <v>111000.00000000001</v>
      </c>
      <c r="S27" s="2">
        <f t="shared" si="1"/>
        <v>106661.47615680873</v>
      </c>
      <c r="T27" s="2">
        <f t="shared" si="12"/>
        <v>106661.47615680873</v>
      </c>
      <c r="U27" s="2">
        <f t="shared" si="13"/>
        <v>5.1398579432804297E-3</v>
      </c>
      <c r="V27" s="2">
        <v>0.06</v>
      </c>
      <c r="W27" s="2">
        <f t="shared" si="14"/>
        <v>106000</v>
      </c>
      <c r="X27" s="2">
        <f t="shared" si="15"/>
        <v>3.722594059405941</v>
      </c>
      <c r="Y27" s="2">
        <f t="shared" si="16"/>
        <v>7.1308325086780524E-15</v>
      </c>
      <c r="Z27" s="2">
        <f t="shared" si="17"/>
        <v>4294187336.7259235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2"/>
        <v>1.3</v>
      </c>
      <c r="C28" s="1">
        <v>20</v>
      </c>
      <c r="D28" s="1">
        <f t="shared" si="0"/>
        <v>29.146000000000001</v>
      </c>
      <c r="E28" s="1">
        <f t="shared" si="3"/>
        <v>4.8576666666666667E-7</v>
      </c>
      <c r="F28" s="1">
        <v>21.1</v>
      </c>
      <c r="G28" s="1">
        <f t="shared" si="4"/>
        <v>294.10000000000002</v>
      </c>
      <c r="H28" s="1">
        <v>101.3</v>
      </c>
      <c r="I28" s="1">
        <f t="shared" si="5"/>
        <v>101300</v>
      </c>
      <c r="J28" s="1">
        <f t="shared" si="6"/>
        <v>2.0124824921938581E-5</v>
      </c>
      <c r="K28" s="20">
        <v>39.029702970297031</v>
      </c>
      <c r="L28" s="1">
        <f t="shared" si="7"/>
        <v>3.9029702970297033E-5</v>
      </c>
      <c r="M28" s="1">
        <f t="shared" si="8"/>
        <v>4.7762865441819992E-3</v>
      </c>
      <c r="N28" s="26">
        <f t="shared" si="9"/>
        <v>1.6445117598509055E-7</v>
      </c>
      <c r="O28" s="26">
        <f t="shared" si="10"/>
        <v>2.032E-3</v>
      </c>
      <c r="P28" s="26">
        <v>4.5724343480153871E-11</v>
      </c>
      <c r="Q28" s="2">
        <v>0.11</v>
      </c>
      <c r="R28" s="2">
        <f t="shared" si="11"/>
        <v>111000.00000000001</v>
      </c>
      <c r="S28" s="2">
        <f t="shared" si="1"/>
        <v>106183.68259133886</v>
      </c>
      <c r="T28" s="2">
        <f t="shared" si="12"/>
        <v>106183.68259133886</v>
      </c>
      <c r="U28" s="2">
        <f t="shared" si="13"/>
        <v>5.1398579432804297E-3</v>
      </c>
      <c r="V28" s="2">
        <v>0.06</v>
      </c>
      <c r="W28" s="2">
        <f t="shared" si="14"/>
        <v>106000</v>
      </c>
      <c r="X28" s="2">
        <f t="shared" si="15"/>
        <v>4.1371485148514857</v>
      </c>
      <c r="Y28" s="2">
        <f t="shared" si="16"/>
        <v>7.9606263112506183E-15</v>
      </c>
      <c r="Z28" s="2">
        <f t="shared" si="17"/>
        <v>4793889164.6351223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2"/>
        <v>1.35</v>
      </c>
      <c r="C29" s="1">
        <v>20</v>
      </c>
      <c r="D29" s="1">
        <f t="shared" si="0"/>
        <v>29.146000000000001</v>
      </c>
      <c r="E29" s="1">
        <f t="shared" si="3"/>
        <v>4.8576666666666667E-7</v>
      </c>
      <c r="F29" s="1">
        <v>21.1</v>
      </c>
      <c r="G29" s="1">
        <f t="shared" si="4"/>
        <v>294.10000000000002</v>
      </c>
      <c r="H29" s="1">
        <v>101.3</v>
      </c>
      <c r="I29" s="1">
        <f t="shared" si="5"/>
        <v>101300</v>
      </c>
      <c r="J29" s="1">
        <f t="shared" si="6"/>
        <v>2.0124824921938581E-5</v>
      </c>
      <c r="K29" s="20">
        <v>41.480198019801982</v>
      </c>
      <c r="L29" s="1">
        <f t="shared" si="7"/>
        <v>4.1480198019801981E-5</v>
      </c>
      <c r="M29" s="1">
        <f t="shared" si="8"/>
        <v>4.7762865441819992E-3</v>
      </c>
      <c r="N29" s="26">
        <f t="shared" si="9"/>
        <v>1.7477630689739647E-7</v>
      </c>
      <c r="O29" s="26">
        <f t="shared" si="10"/>
        <v>2.032E-3</v>
      </c>
      <c r="P29" s="26">
        <v>4.5724343480153871E-11</v>
      </c>
      <c r="Q29" s="2">
        <v>0.11</v>
      </c>
      <c r="R29" s="2">
        <f t="shared" si="11"/>
        <v>111000.00000000001</v>
      </c>
      <c r="S29" s="2">
        <f t="shared" si="1"/>
        <v>105884.85217505922</v>
      </c>
      <c r="T29" s="2">
        <f t="shared" si="12"/>
        <v>105884.85217505922</v>
      </c>
      <c r="U29" s="2">
        <f t="shared" si="13"/>
        <v>5.1398579432804297E-3</v>
      </c>
      <c r="V29" s="2">
        <v>0.06</v>
      </c>
      <c r="W29" s="2">
        <f t="shared" si="14"/>
        <v>106000</v>
      </c>
      <c r="X29" s="2">
        <f t="shared" si="15"/>
        <v>4.3969009900990104</v>
      </c>
      <c r="Y29" s="2">
        <f t="shared" si="16"/>
        <v>8.4843362920806009E-15</v>
      </c>
      <c r="Z29" s="2">
        <f t="shared" si="17"/>
        <v>5109267315.0909386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2"/>
        <v>1.4</v>
      </c>
      <c r="C30" s="1">
        <v>20</v>
      </c>
      <c r="D30" s="1">
        <f t="shared" si="0"/>
        <v>29.146000000000001</v>
      </c>
      <c r="E30" s="1">
        <f t="shared" si="3"/>
        <v>4.8576666666666667E-7</v>
      </c>
      <c r="F30" s="1">
        <v>21.1</v>
      </c>
      <c r="G30" s="1">
        <f t="shared" si="4"/>
        <v>294.10000000000002</v>
      </c>
      <c r="H30" s="1">
        <v>101.3</v>
      </c>
      <c r="I30" s="1">
        <f t="shared" si="5"/>
        <v>101300</v>
      </c>
      <c r="J30" s="1">
        <f t="shared" si="6"/>
        <v>2.0124824921938581E-5</v>
      </c>
      <c r="K30" s="20">
        <v>35.292079207920793</v>
      </c>
      <c r="L30" s="1">
        <f t="shared" si="7"/>
        <v>3.5292079207920794E-5</v>
      </c>
      <c r="M30" s="1">
        <f t="shared" si="8"/>
        <v>4.7762865441819992E-3</v>
      </c>
      <c r="N30" s="26">
        <f t="shared" si="9"/>
        <v>1.4870274398753305E-7</v>
      </c>
      <c r="O30" s="26">
        <f t="shared" si="10"/>
        <v>2.032E-3</v>
      </c>
      <c r="P30" s="26">
        <v>4.5724343480153871E-11</v>
      </c>
      <c r="Q30" s="2">
        <v>0.11</v>
      </c>
      <c r="R30" s="2">
        <f t="shared" si="11"/>
        <v>111000.00000000001</v>
      </c>
      <c r="S30" s="2">
        <f t="shared" si="1"/>
        <v>106640.28538105784</v>
      </c>
      <c r="T30" s="2">
        <f t="shared" si="12"/>
        <v>106640.28538105784</v>
      </c>
      <c r="U30" s="2">
        <f t="shared" si="13"/>
        <v>5.1398579432804297E-3</v>
      </c>
      <c r="V30" s="2">
        <v>0.06</v>
      </c>
      <c r="W30" s="2">
        <f t="shared" si="14"/>
        <v>106000</v>
      </c>
      <c r="X30" s="2">
        <f t="shared" si="15"/>
        <v>3.7409603960396041</v>
      </c>
      <c r="Y30" s="2">
        <f t="shared" si="16"/>
        <v>7.1674394929457767E-15</v>
      </c>
      <c r="Z30" s="2">
        <f t="shared" si="17"/>
        <v>4316232062.651947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2"/>
        <v>1.45</v>
      </c>
      <c r="C31" s="1">
        <v>20</v>
      </c>
      <c r="D31" s="1">
        <f t="shared" si="0"/>
        <v>29.146000000000001</v>
      </c>
      <c r="E31" s="1">
        <f t="shared" si="3"/>
        <v>4.8576666666666667E-7</v>
      </c>
      <c r="F31" s="1">
        <v>21.1</v>
      </c>
      <c r="G31" s="1">
        <f t="shared" si="4"/>
        <v>294.10000000000002</v>
      </c>
      <c r="H31" s="1">
        <v>101.3</v>
      </c>
      <c r="I31" s="1">
        <f t="shared" si="5"/>
        <v>101300</v>
      </c>
      <c r="J31" s="1">
        <f t="shared" si="6"/>
        <v>2.0124824921938581E-5</v>
      </c>
      <c r="K31" s="20">
        <v>30.861386138613859</v>
      </c>
      <c r="L31" s="1">
        <f t="shared" si="7"/>
        <v>3.0861386138613863E-5</v>
      </c>
      <c r="M31" s="1">
        <f t="shared" si="8"/>
        <v>4.7762865441819992E-3</v>
      </c>
      <c r="N31" s="26">
        <f t="shared" si="9"/>
        <v>1.3003407294407085E-7</v>
      </c>
      <c r="O31" s="26">
        <f t="shared" si="10"/>
        <v>2.032E-3</v>
      </c>
      <c r="P31" s="26">
        <v>4.5724343480153871E-11</v>
      </c>
      <c r="Q31" s="2">
        <v>0.11</v>
      </c>
      <c r="R31" s="2">
        <f t="shared" si="11"/>
        <v>111000.00000000001</v>
      </c>
      <c r="S31" s="2">
        <f t="shared" si="1"/>
        <v>107182.82517505017</v>
      </c>
      <c r="T31" s="2">
        <f t="shared" si="12"/>
        <v>107182.82517505017</v>
      </c>
      <c r="U31" s="2">
        <f t="shared" si="13"/>
        <v>5.1398579432804297E-3</v>
      </c>
      <c r="V31" s="2">
        <v>0.06</v>
      </c>
      <c r="W31" s="2">
        <f t="shared" si="14"/>
        <v>106000</v>
      </c>
      <c r="X31" s="2">
        <f t="shared" si="15"/>
        <v>3.2713069306930693</v>
      </c>
      <c r="Y31" s="2">
        <f t="shared" si="16"/>
        <v>6.2358597194860307E-15</v>
      </c>
      <c r="Z31" s="2">
        <f t="shared" si="17"/>
        <v>3755234723.0744877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2"/>
        <v>1.5</v>
      </c>
      <c r="C32" s="1">
        <v>20</v>
      </c>
      <c r="D32" s="1">
        <f t="shared" si="0"/>
        <v>29.146000000000001</v>
      </c>
      <c r="E32" s="1">
        <f t="shared" si="3"/>
        <v>4.8576666666666667E-7</v>
      </c>
      <c r="F32" s="1">
        <v>21.1</v>
      </c>
      <c r="G32" s="1">
        <f t="shared" si="4"/>
        <v>294.10000000000002</v>
      </c>
      <c r="H32" s="1">
        <v>101.3</v>
      </c>
      <c r="I32" s="1">
        <f t="shared" si="5"/>
        <v>101300</v>
      </c>
      <c r="J32" s="1">
        <f t="shared" si="6"/>
        <v>2.0124824921938581E-5</v>
      </c>
      <c r="K32" s="20">
        <v>43.831683168316829</v>
      </c>
      <c r="L32" s="1">
        <f t="shared" si="7"/>
        <v>4.3831683168316827E-5</v>
      </c>
      <c r="M32" s="1">
        <f t="shared" si="8"/>
        <v>4.7762865441819992E-3</v>
      </c>
      <c r="N32" s="26">
        <f t="shared" si="9"/>
        <v>1.8468426080314455E-7</v>
      </c>
      <c r="O32" s="26">
        <f t="shared" si="10"/>
        <v>2.032E-3</v>
      </c>
      <c r="P32" s="26">
        <v>4.5724343480153871E-11</v>
      </c>
      <c r="Q32" s="2">
        <v>0.11</v>
      </c>
      <c r="R32" s="2">
        <f t="shared" si="11"/>
        <v>111000.00000000001</v>
      </c>
      <c r="S32" s="2">
        <f t="shared" si="1"/>
        <v>105598.49162686933</v>
      </c>
      <c r="T32" s="2">
        <f t="shared" si="12"/>
        <v>105598.49162686933</v>
      </c>
      <c r="U32" s="2">
        <f t="shared" si="13"/>
        <v>5.1398579432804297E-3</v>
      </c>
      <c r="V32" s="2">
        <v>0.06</v>
      </c>
      <c r="W32" s="2">
        <f t="shared" si="14"/>
        <v>106000</v>
      </c>
      <c r="X32" s="2">
        <f t="shared" si="15"/>
        <v>4.6461584158415841</v>
      </c>
      <c r="Y32" s="2">
        <f t="shared" si="16"/>
        <v>8.9896419689678681E-15</v>
      </c>
      <c r="Z32" s="2">
        <f t="shared" si="17"/>
        <v>5413562393.71245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2"/>
        <v>1.55</v>
      </c>
      <c r="C33" s="1">
        <v>20</v>
      </c>
      <c r="D33" s="1">
        <f t="shared" si="0"/>
        <v>29.146000000000001</v>
      </c>
      <c r="E33" s="1">
        <f t="shared" si="3"/>
        <v>4.8576666666666667E-7</v>
      </c>
      <c r="F33" s="1">
        <v>21.1</v>
      </c>
      <c r="G33" s="1">
        <f t="shared" si="4"/>
        <v>294.10000000000002</v>
      </c>
      <c r="H33" s="1">
        <v>101.3</v>
      </c>
      <c r="I33" s="1">
        <f t="shared" si="5"/>
        <v>101300</v>
      </c>
      <c r="J33" s="1">
        <f t="shared" si="6"/>
        <v>2.0124824921938581E-5</v>
      </c>
      <c r="K33" s="20">
        <v>44.5</v>
      </c>
      <c r="L33" s="1">
        <f t="shared" si="7"/>
        <v>4.4499999999999997E-5</v>
      </c>
      <c r="M33" s="1">
        <f t="shared" si="8"/>
        <v>4.7762865441819992E-3</v>
      </c>
      <c r="N33" s="26">
        <f t="shared" si="9"/>
        <v>1.875002055974098E-7</v>
      </c>
      <c r="O33" s="26">
        <f t="shared" si="10"/>
        <v>2.032E-3</v>
      </c>
      <c r="P33" s="26">
        <v>4.5724343480153871E-11</v>
      </c>
      <c r="Q33" s="2">
        <v>0.11</v>
      </c>
      <c r="R33" s="2">
        <f t="shared" si="11"/>
        <v>111000.00000000001</v>
      </c>
      <c r="S33" s="2">
        <f t="shared" si="1"/>
        <v>105517.17570621292</v>
      </c>
      <c r="T33" s="2">
        <f t="shared" si="12"/>
        <v>105517.17570621292</v>
      </c>
      <c r="U33" s="2">
        <f t="shared" si="13"/>
        <v>5.1398579432804297E-3</v>
      </c>
      <c r="V33" s="2">
        <v>0.06</v>
      </c>
      <c r="W33" s="2">
        <f t="shared" si="14"/>
        <v>106000</v>
      </c>
      <c r="X33" s="2">
        <f t="shared" si="15"/>
        <v>4.7169999999999996</v>
      </c>
      <c r="Y33" s="2">
        <f t="shared" si="16"/>
        <v>9.1337500132561446E-15</v>
      </c>
      <c r="Z33" s="2">
        <f t="shared" si="17"/>
        <v>5500344257.9828501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2"/>
        <v>1.6</v>
      </c>
      <c r="C34" s="1">
        <v>20</v>
      </c>
      <c r="D34" s="1">
        <f t="shared" si="0"/>
        <v>29.146000000000001</v>
      </c>
      <c r="E34" s="1">
        <f t="shared" si="3"/>
        <v>4.8576666666666667E-7</v>
      </c>
      <c r="F34" s="1">
        <v>21.1</v>
      </c>
      <c r="G34" s="1">
        <f t="shared" si="4"/>
        <v>294.10000000000002</v>
      </c>
      <c r="H34" s="1">
        <v>101.3</v>
      </c>
      <c r="I34" s="1">
        <f t="shared" si="5"/>
        <v>101300</v>
      </c>
      <c r="J34" s="1">
        <f t="shared" si="6"/>
        <v>2.0124824921938581E-5</v>
      </c>
      <c r="K34" s="20">
        <v>41.331683168316829</v>
      </c>
      <c r="L34" s="1">
        <f t="shared" si="7"/>
        <v>4.1331683168316827E-5</v>
      </c>
      <c r="M34" s="1">
        <f t="shared" si="8"/>
        <v>4.7762865441819992E-3</v>
      </c>
      <c r="N34" s="26">
        <f t="shared" si="9"/>
        <v>1.7415054138755972E-7</v>
      </c>
      <c r="O34" s="26">
        <f t="shared" si="10"/>
        <v>2.032E-3</v>
      </c>
      <c r="P34" s="26">
        <v>4.5724343480153871E-11</v>
      </c>
      <c r="Q34" s="2">
        <v>0.11</v>
      </c>
      <c r="R34" s="2">
        <f t="shared" si="11"/>
        <v>111000.00000000001</v>
      </c>
      <c r="S34" s="2">
        <f t="shared" si="1"/>
        <v>105902.95112246509</v>
      </c>
      <c r="T34" s="2">
        <f t="shared" si="12"/>
        <v>105902.95112246509</v>
      </c>
      <c r="U34" s="2">
        <f t="shared" si="13"/>
        <v>5.1398579432804297E-3</v>
      </c>
      <c r="V34" s="2">
        <v>0.06</v>
      </c>
      <c r="W34" s="2">
        <f t="shared" si="14"/>
        <v>106000</v>
      </c>
      <c r="X34" s="2">
        <f t="shared" si="15"/>
        <v>4.3811584158415835</v>
      </c>
      <c r="Y34" s="2">
        <f t="shared" si="16"/>
        <v>8.4525130394235746E-15</v>
      </c>
      <c r="Z34" s="2">
        <f t="shared" si="17"/>
        <v>5090103352.3408766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2"/>
        <v>1.65</v>
      </c>
      <c r="C35" s="1">
        <v>20</v>
      </c>
      <c r="D35" s="1">
        <f t="shared" si="0"/>
        <v>29.146000000000001</v>
      </c>
      <c r="E35" s="1">
        <f t="shared" si="3"/>
        <v>4.8576666666666667E-7</v>
      </c>
      <c r="F35" s="1">
        <v>21.1</v>
      </c>
      <c r="G35" s="1">
        <f t="shared" si="4"/>
        <v>294.10000000000002</v>
      </c>
      <c r="H35" s="1">
        <v>101.3</v>
      </c>
      <c r="I35" s="1">
        <f t="shared" si="5"/>
        <v>101300</v>
      </c>
      <c r="J35" s="1">
        <f t="shared" si="6"/>
        <v>2.0124824921938581E-5</v>
      </c>
      <c r="K35" s="20">
        <v>38.43564356435644</v>
      </c>
      <c r="L35" s="1">
        <f t="shared" si="7"/>
        <v>3.8435643564356443E-5</v>
      </c>
      <c r="M35" s="1">
        <f t="shared" si="8"/>
        <v>4.7762865441819992E-3</v>
      </c>
      <c r="N35" s="26">
        <f t="shared" si="9"/>
        <v>1.6194811394574371E-7</v>
      </c>
      <c r="O35" s="26">
        <f t="shared" si="10"/>
        <v>2.032E-3</v>
      </c>
      <c r="P35" s="26">
        <v>4.5724343480153871E-11</v>
      </c>
      <c r="Q35" s="2">
        <v>0.11</v>
      </c>
      <c r="R35" s="2">
        <f t="shared" si="11"/>
        <v>111000.00000000001</v>
      </c>
      <c r="S35" s="2">
        <f t="shared" si="1"/>
        <v>106256.18974326119</v>
      </c>
      <c r="T35" s="2">
        <f t="shared" si="12"/>
        <v>106256.18974326119</v>
      </c>
      <c r="U35" s="2">
        <f t="shared" si="13"/>
        <v>5.1398579432804297E-3</v>
      </c>
      <c r="V35" s="2">
        <v>0.06</v>
      </c>
      <c r="W35" s="2">
        <f t="shared" si="14"/>
        <v>106000</v>
      </c>
      <c r="X35" s="2">
        <f t="shared" si="15"/>
        <v>4.0741782178217827</v>
      </c>
      <c r="Y35" s="2">
        <f t="shared" si="16"/>
        <v>7.8341056593245747E-15</v>
      </c>
      <c r="Z35" s="2">
        <f t="shared" si="17"/>
        <v>4717698428.0452595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2"/>
        <v>1.7</v>
      </c>
      <c r="C36" s="1">
        <v>20</v>
      </c>
      <c r="D36" s="1">
        <f t="shared" si="0"/>
        <v>29.146000000000001</v>
      </c>
      <c r="E36" s="1">
        <f t="shared" si="3"/>
        <v>4.8576666666666667E-7</v>
      </c>
      <c r="F36" s="1">
        <v>21.1</v>
      </c>
      <c r="G36" s="1">
        <f t="shared" si="4"/>
        <v>294.10000000000002</v>
      </c>
      <c r="H36" s="1">
        <v>101.3</v>
      </c>
      <c r="I36" s="1">
        <f t="shared" si="5"/>
        <v>101300</v>
      </c>
      <c r="J36" s="1">
        <f t="shared" si="6"/>
        <v>2.0124824921938581E-5</v>
      </c>
      <c r="K36" s="20">
        <v>41.876237623762378</v>
      </c>
      <c r="L36" s="1">
        <f t="shared" si="7"/>
        <v>4.1876237623762379E-5</v>
      </c>
      <c r="M36" s="1">
        <f t="shared" si="8"/>
        <v>4.7762865441819992E-3</v>
      </c>
      <c r="N36" s="26">
        <f t="shared" si="9"/>
        <v>1.7644501492362774E-7</v>
      </c>
      <c r="O36" s="26">
        <f t="shared" si="10"/>
        <v>2.032E-3</v>
      </c>
      <c r="P36" s="26">
        <v>4.5724343480153871E-11</v>
      </c>
      <c r="Q36" s="2">
        <v>0.11</v>
      </c>
      <c r="R36" s="2">
        <f t="shared" si="11"/>
        <v>111000.00000000001</v>
      </c>
      <c r="S36" s="2">
        <f t="shared" si="1"/>
        <v>105836.59587694779</v>
      </c>
      <c r="T36" s="2">
        <f t="shared" si="12"/>
        <v>105836.59587694779</v>
      </c>
      <c r="U36" s="2">
        <f t="shared" si="13"/>
        <v>5.1398579432804297E-3</v>
      </c>
      <c r="V36" s="2">
        <v>0.06</v>
      </c>
      <c r="W36" s="2">
        <f t="shared" si="14"/>
        <v>106000</v>
      </c>
      <c r="X36" s="2">
        <f t="shared" si="15"/>
        <v>4.4388811881188124</v>
      </c>
      <c r="Y36" s="2">
        <f t="shared" si="16"/>
        <v>8.569250946513152E-15</v>
      </c>
      <c r="Z36" s="2">
        <f t="shared" si="17"/>
        <v>5160402919.9902201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2"/>
        <v>1.75</v>
      </c>
      <c r="C37" s="1">
        <v>20</v>
      </c>
      <c r="D37" s="1">
        <f t="shared" si="0"/>
        <v>29.146000000000001</v>
      </c>
      <c r="E37" s="1">
        <f t="shared" si="3"/>
        <v>4.8576666666666667E-7</v>
      </c>
      <c r="F37" s="1">
        <v>21.1</v>
      </c>
      <c r="G37" s="1">
        <f t="shared" si="4"/>
        <v>294.10000000000002</v>
      </c>
      <c r="H37" s="1">
        <v>101.3</v>
      </c>
      <c r="I37" s="1">
        <f t="shared" si="5"/>
        <v>101300</v>
      </c>
      <c r="J37" s="1">
        <f t="shared" si="6"/>
        <v>2.0124824921938581E-5</v>
      </c>
      <c r="K37" s="20">
        <v>39.970297029702969</v>
      </c>
      <c r="L37" s="1">
        <f t="shared" si="7"/>
        <v>3.997029702970297E-5</v>
      </c>
      <c r="M37" s="1">
        <f t="shared" si="8"/>
        <v>4.7762865441819992E-3</v>
      </c>
      <c r="N37" s="26">
        <f t="shared" si="9"/>
        <v>1.6841435754738979E-7</v>
      </c>
      <c r="O37" s="26">
        <f t="shared" si="10"/>
        <v>2.032E-3</v>
      </c>
      <c r="P37" s="26">
        <v>4.5724343480153871E-11</v>
      </c>
      <c r="Q37" s="2">
        <v>0.11</v>
      </c>
      <c r="R37" s="2">
        <f t="shared" si="11"/>
        <v>111000.00000000001</v>
      </c>
      <c r="S37" s="2">
        <f t="shared" si="1"/>
        <v>106068.93021221037</v>
      </c>
      <c r="T37" s="2">
        <f t="shared" si="12"/>
        <v>106068.93021221037</v>
      </c>
      <c r="U37" s="2">
        <f t="shared" si="13"/>
        <v>5.1398579432804297E-3</v>
      </c>
      <c r="V37" s="2">
        <v>0.06</v>
      </c>
      <c r="W37" s="2">
        <f t="shared" si="14"/>
        <v>106000</v>
      </c>
      <c r="X37" s="2">
        <f t="shared" si="15"/>
        <v>4.2368514851485148</v>
      </c>
      <c r="Y37" s="2">
        <f t="shared" si="16"/>
        <v>8.1613008624692365E-15</v>
      </c>
      <c r="Z37" s="2">
        <f t="shared" si="17"/>
        <v>4914735379.3789749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2"/>
        <v>1.8</v>
      </c>
      <c r="C38" s="1">
        <v>20</v>
      </c>
      <c r="D38" s="1">
        <f t="shared" si="0"/>
        <v>29.146000000000001</v>
      </c>
      <c r="E38" s="1">
        <f t="shared" si="3"/>
        <v>4.8576666666666667E-7</v>
      </c>
      <c r="F38" s="1">
        <v>21.1</v>
      </c>
      <c r="G38" s="1">
        <f t="shared" si="4"/>
        <v>294.10000000000002</v>
      </c>
      <c r="H38" s="1">
        <v>101.3</v>
      </c>
      <c r="I38" s="1">
        <f t="shared" si="5"/>
        <v>101300</v>
      </c>
      <c r="J38" s="1">
        <f t="shared" si="6"/>
        <v>2.0124824921938581E-5</v>
      </c>
      <c r="K38" s="20">
        <v>38.311881188118818</v>
      </c>
      <c r="L38" s="1">
        <f t="shared" si="7"/>
        <v>3.8311881188118817E-5</v>
      </c>
      <c r="M38" s="1">
        <f t="shared" si="8"/>
        <v>4.7762865441819992E-3</v>
      </c>
      <c r="N38" s="26">
        <f t="shared" si="9"/>
        <v>1.6142664268754642E-7</v>
      </c>
      <c r="O38" s="26">
        <f t="shared" si="10"/>
        <v>2.032E-3</v>
      </c>
      <c r="P38" s="26">
        <v>4.5724343480153871E-11</v>
      </c>
      <c r="Q38" s="2">
        <v>0.11</v>
      </c>
      <c r="R38" s="2">
        <f t="shared" si="11"/>
        <v>111000.00000000001</v>
      </c>
      <c r="S38" s="2">
        <f t="shared" si="1"/>
        <v>106271.29851479077</v>
      </c>
      <c r="T38" s="2">
        <f t="shared" si="12"/>
        <v>106271.29851479077</v>
      </c>
      <c r="U38" s="2">
        <f t="shared" si="13"/>
        <v>5.1398579432804297E-3</v>
      </c>
      <c r="V38" s="2">
        <v>0.06</v>
      </c>
      <c r="W38" s="2">
        <f t="shared" si="14"/>
        <v>106000</v>
      </c>
      <c r="X38" s="2">
        <f t="shared" si="15"/>
        <v>4.0610594059405942</v>
      </c>
      <c r="Y38" s="2">
        <f t="shared" si="16"/>
        <v>7.8077687116221691E-15</v>
      </c>
      <c r="Z38" s="2">
        <f t="shared" si="17"/>
        <v>4701838318.1388702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2"/>
        <v>1.85</v>
      </c>
      <c r="C39" s="1">
        <v>20</v>
      </c>
      <c r="D39" s="1">
        <f t="shared" si="0"/>
        <v>29.146000000000001</v>
      </c>
      <c r="E39" s="1">
        <f t="shared" si="3"/>
        <v>4.8576666666666667E-7</v>
      </c>
      <c r="F39" s="1">
        <v>21.1</v>
      </c>
      <c r="G39" s="1">
        <f t="shared" si="4"/>
        <v>294.10000000000002</v>
      </c>
      <c r="H39" s="1">
        <v>101.3</v>
      </c>
      <c r="I39" s="1">
        <f t="shared" si="5"/>
        <v>101300</v>
      </c>
      <c r="J39" s="1">
        <f t="shared" si="6"/>
        <v>2.0124824921938581E-5</v>
      </c>
      <c r="K39" s="20">
        <v>40.985148514851488</v>
      </c>
      <c r="L39" s="1">
        <f t="shared" si="7"/>
        <v>4.0985148514851487E-5</v>
      </c>
      <c r="M39" s="1">
        <f t="shared" si="8"/>
        <v>4.7762865441819992E-3</v>
      </c>
      <c r="N39" s="26">
        <f t="shared" si="9"/>
        <v>1.7269042186460738E-7</v>
      </c>
      <c r="O39" s="26">
        <f t="shared" si="10"/>
        <v>2.032E-3</v>
      </c>
      <c r="P39" s="26">
        <v>4.5724343480153871E-11</v>
      </c>
      <c r="Q39" s="2">
        <v>0.11</v>
      </c>
      <c r="R39" s="2">
        <f t="shared" si="11"/>
        <v>111000.00000000001</v>
      </c>
      <c r="S39" s="2">
        <f t="shared" si="1"/>
        <v>105945.18801468442</v>
      </c>
      <c r="T39" s="2">
        <f t="shared" si="12"/>
        <v>105945.18801468442</v>
      </c>
      <c r="U39" s="2">
        <f t="shared" si="13"/>
        <v>5.1398579432804297E-3</v>
      </c>
      <c r="V39" s="2">
        <v>0.06</v>
      </c>
      <c r="W39" s="2">
        <f t="shared" si="14"/>
        <v>106000</v>
      </c>
      <c r="X39" s="2">
        <f t="shared" si="15"/>
        <v>4.3444257425742574</v>
      </c>
      <c r="Y39" s="2">
        <f t="shared" si="16"/>
        <v>8.378300629672343E-15</v>
      </c>
      <c r="Z39" s="2">
        <f t="shared" si="17"/>
        <v>5045412639.1886854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2"/>
        <v>1.9</v>
      </c>
      <c r="C40" s="1">
        <v>20</v>
      </c>
      <c r="D40" s="1">
        <f t="shared" si="0"/>
        <v>29.146000000000001</v>
      </c>
      <c r="E40" s="1">
        <f t="shared" si="3"/>
        <v>4.8576666666666667E-7</v>
      </c>
      <c r="F40" s="1">
        <v>21.1</v>
      </c>
      <c r="G40" s="1">
        <f t="shared" si="4"/>
        <v>294.10000000000002</v>
      </c>
      <c r="H40" s="1">
        <v>101.3</v>
      </c>
      <c r="I40" s="1">
        <f t="shared" si="5"/>
        <v>101300</v>
      </c>
      <c r="J40" s="1">
        <f t="shared" si="6"/>
        <v>2.0124824921938581E-5</v>
      </c>
      <c r="K40" s="20">
        <v>42.618811881188122</v>
      </c>
      <c r="L40" s="1">
        <f t="shared" si="7"/>
        <v>4.2618811881188124E-5</v>
      </c>
      <c r="M40" s="1">
        <f t="shared" si="8"/>
        <v>4.7762865441819992E-3</v>
      </c>
      <c r="N40" s="26">
        <f t="shared" si="9"/>
        <v>1.7957384247281136E-7</v>
      </c>
      <c r="O40" s="26">
        <f t="shared" si="10"/>
        <v>2.032E-3</v>
      </c>
      <c r="P40" s="26">
        <v>4.5724343480153871E-11</v>
      </c>
      <c r="Q40" s="2">
        <v>0.11</v>
      </c>
      <c r="R40" s="2">
        <f t="shared" si="11"/>
        <v>111000.00000000001</v>
      </c>
      <c r="S40" s="2">
        <f t="shared" si="1"/>
        <v>105746.14496304533</v>
      </c>
      <c r="T40" s="2">
        <f t="shared" si="12"/>
        <v>105746.14496304533</v>
      </c>
      <c r="U40" s="2">
        <f t="shared" si="13"/>
        <v>5.1398579432804297E-3</v>
      </c>
      <c r="V40" s="2">
        <v>0.06</v>
      </c>
      <c r="W40" s="2">
        <f t="shared" si="14"/>
        <v>106000</v>
      </c>
      <c r="X40" s="2">
        <f t="shared" si="15"/>
        <v>4.5175940594059414</v>
      </c>
      <c r="Y40" s="2">
        <f t="shared" si="16"/>
        <v>8.7286725540785452E-15</v>
      </c>
      <c r="Z40" s="2">
        <f t="shared" si="17"/>
        <v>5256406612.0661001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2"/>
        <v>1.95</v>
      </c>
      <c r="C41" s="1">
        <v>20</v>
      </c>
      <c r="D41" s="1">
        <f t="shared" si="0"/>
        <v>29.146000000000001</v>
      </c>
      <c r="E41" s="1">
        <f t="shared" si="3"/>
        <v>4.8576666666666667E-7</v>
      </c>
      <c r="F41" s="1">
        <v>21.1</v>
      </c>
      <c r="G41" s="1">
        <f t="shared" si="4"/>
        <v>294.10000000000002</v>
      </c>
      <c r="H41" s="1">
        <v>101.3</v>
      </c>
      <c r="I41" s="1">
        <f t="shared" si="5"/>
        <v>101300</v>
      </c>
      <c r="J41" s="1">
        <f t="shared" si="6"/>
        <v>2.0124824921938581E-5</v>
      </c>
      <c r="K41" s="20">
        <v>41.777227722772281</v>
      </c>
      <c r="L41" s="1">
        <f t="shared" si="7"/>
        <v>4.1777227722772283E-5</v>
      </c>
      <c r="M41" s="1">
        <f t="shared" si="8"/>
        <v>4.7762865441819992E-3</v>
      </c>
      <c r="N41" s="26">
        <f t="shared" si="9"/>
        <v>1.7602783791706993E-7</v>
      </c>
      <c r="O41" s="26">
        <f t="shared" si="10"/>
        <v>2.032E-3</v>
      </c>
      <c r="P41" s="26">
        <v>4.5724343480153871E-11</v>
      </c>
      <c r="Q41" s="2">
        <v>0.11</v>
      </c>
      <c r="R41" s="2">
        <f t="shared" si="11"/>
        <v>111000.00000000001</v>
      </c>
      <c r="S41" s="2">
        <f t="shared" si="1"/>
        <v>105848.65892034325</v>
      </c>
      <c r="T41" s="2">
        <f t="shared" si="12"/>
        <v>105848.65892034325</v>
      </c>
      <c r="U41" s="2">
        <f t="shared" si="13"/>
        <v>5.1398579432804297E-3</v>
      </c>
      <c r="V41" s="2">
        <v>0.06</v>
      </c>
      <c r="W41" s="2">
        <f t="shared" si="14"/>
        <v>106000</v>
      </c>
      <c r="X41" s="2">
        <f t="shared" si="15"/>
        <v>4.4283861386138623</v>
      </c>
      <c r="Y41" s="2">
        <f t="shared" si="16"/>
        <v>8.5480151009662281E-15</v>
      </c>
      <c r="Z41" s="2">
        <f t="shared" si="17"/>
        <v>5147614693.8018627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2"/>
        <v>2</v>
      </c>
      <c r="C42" s="1">
        <v>20</v>
      </c>
      <c r="D42" s="1">
        <f t="shared" si="0"/>
        <v>29.146000000000001</v>
      </c>
      <c r="E42" s="1">
        <f t="shared" si="3"/>
        <v>4.8576666666666667E-7</v>
      </c>
      <c r="F42" s="1">
        <v>21.1</v>
      </c>
      <c r="G42" s="1">
        <f t="shared" si="4"/>
        <v>294.10000000000002</v>
      </c>
      <c r="H42" s="1">
        <v>101.3</v>
      </c>
      <c r="I42" s="1">
        <f t="shared" si="5"/>
        <v>101300</v>
      </c>
      <c r="J42" s="1">
        <f t="shared" si="6"/>
        <v>2.0124824921938581E-5</v>
      </c>
      <c r="K42" s="20">
        <v>44.871287128712872</v>
      </c>
      <c r="L42" s="1">
        <f t="shared" si="7"/>
        <v>4.4871287128712873E-5</v>
      </c>
      <c r="M42" s="1">
        <f t="shared" si="8"/>
        <v>4.7762865441819992E-3</v>
      </c>
      <c r="N42" s="26">
        <f t="shared" si="9"/>
        <v>1.8906461937200162E-7</v>
      </c>
      <c r="O42" s="26">
        <f t="shared" si="10"/>
        <v>2.032E-3</v>
      </c>
      <c r="P42" s="26">
        <v>4.5724343480153871E-11</v>
      </c>
      <c r="Q42" s="2">
        <v>0.11</v>
      </c>
      <c r="R42" s="2">
        <f t="shared" si="11"/>
        <v>111000.00000000001</v>
      </c>
      <c r="S42" s="2">
        <f t="shared" si="1"/>
        <v>105472.01372834988</v>
      </c>
      <c r="T42" s="2">
        <f t="shared" si="12"/>
        <v>105472.01372834988</v>
      </c>
      <c r="U42" s="2">
        <f t="shared" si="13"/>
        <v>5.1398579432804297E-3</v>
      </c>
      <c r="V42" s="2">
        <v>0.06</v>
      </c>
      <c r="W42" s="2">
        <f t="shared" si="14"/>
        <v>106000</v>
      </c>
      <c r="X42" s="2">
        <f t="shared" si="15"/>
        <v>4.7563564356435641</v>
      </c>
      <c r="Y42" s="2">
        <f t="shared" si="16"/>
        <v>9.2139049586327163E-15</v>
      </c>
      <c r="Z42" s="2">
        <f t="shared" si="17"/>
        <v>5548613566.0886221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2"/>
        <v>2.0499999999999998</v>
      </c>
      <c r="C43" s="1">
        <v>20</v>
      </c>
      <c r="D43" s="1">
        <f t="shared" si="0"/>
        <v>29.146000000000001</v>
      </c>
      <c r="E43" s="1">
        <f t="shared" si="3"/>
        <v>4.8576666666666667E-7</v>
      </c>
      <c r="F43" s="1">
        <v>21.1</v>
      </c>
      <c r="G43" s="1">
        <f t="shared" si="4"/>
        <v>294.10000000000002</v>
      </c>
      <c r="H43" s="1">
        <v>101.3</v>
      </c>
      <c r="I43" s="1">
        <f t="shared" si="5"/>
        <v>101300</v>
      </c>
      <c r="J43" s="1">
        <f t="shared" si="6"/>
        <v>2.0124824921938581E-5</v>
      </c>
      <c r="K43" s="20">
        <v>41.950495049504951</v>
      </c>
      <c r="L43" s="1">
        <f t="shared" si="7"/>
        <v>4.1950495049504953E-5</v>
      </c>
      <c r="M43" s="1">
        <f t="shared" si="8"/>
        <v>4.7762865441819992E-3</v>
      </c>
      <c r="N43" s="26">
        <f t="shared" si="9"/>
        <v>1.767578976785461E-7</v>
      </c>
      <c r="O43" s="26">
        <f t="shared" si="10"/>
        <v>2.032E-3</v>
      </c>
      <c r="P43" s="26">
        <v>4.5724343480153871E-11</v>
      </c>
      <c r="Q43" s="2">
        <v>0.11</v>
      </c>
      <c r="R43" s="2">
        <f t="shared" si="11"/>
        <v>111000.00000000001</v>
      </c>
      <c r="S43" s="2">
        <f t="shared" si="1"/>
        <v>105827.54904552165</v>
      </c>
      <c r="T43" s="2">
        <f t="shared" si="12"/>
        <v>105827.54904552165</v>
      </c>
      <c r="U43" s="2">
        <f t="shared" si="13"/>
        <v>5.1398579432804297E-3</v>
      </c>
      <c r="V43" s="2">
        <v>0.06</v>
      </c>
      <c r="W43" s="2">
        <f t="shared" si="14"/>
        <v>106000</v>
      </c>
      <c r="X43" s="2">
        <f t="shared" si="15"/>
        <v>4.4467524752475249</v>
      </c>
      <c r="Y43" s="2">
        <f t="shared" si="16"/>
        <v>8.5851809740444783E-15</v>
      </c>
      <c r="Z43" s="2">
        <f t="shared" si="17"/>
        <v>5169995982.5695848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2"/>
        <v>2.1</v>
      </c>
      <c r="C44" s="1">
        <v>20</v>
      </c>
      <c r="D44" s="1">
        <f t="shared" si="0"/>
        <v>29.146000000000001</v>
      </c>
      <c r="E44" s="1">
        <f t="shared" si="3"/>
        <v>4.8576666666666667E-7</v>
      </c>
      <c r="F44" s="1">
        <v>21.1</v>
      </c>
      <c r="G44" s="1">
        <f t="shared" si="4"/>
        <v>294.10000000000002</v>
      </c>
      <c r="H44" s="1">
        <v>101.3</v>
      </c>
      <c r="I44" s="1">
        <f t="shared" si="5"/>
        <v>101300</v>
      </c>
      <c r="J44" s="1">
        <f t="shared" si="6"/>
        <v>2.0124824921938581E-5</v>
      </c>
      <c r="K44" s="20">
        <v>47.643564356435647</v>
      </c>
      <c r="L44" s="1">
        <f t="shared" si="7"/>
        <v>4.7643564356435646E-5</v>
      </c>
      <c r="M44" s="1">
        <f t="shared" si="8"/>
        <v>4.7762865441819992E-3</v>
      </c>
      <c r="N44" s="26">
        <f t="shared" si="9"/>
        <v>2.0074557555562043E-7</v>
      </c>
      <c r="O44" s="26">
        <f t="shared" si="10"/>
        <v>2.032E-3</v>
      </c>
      <c r="P44" s="26">
        <v>4.5724343480153871E-11</v>
      </c>
      <c r="Q44" s="2">
        <v>0.11</v>
      </c>
      <c r="R44" s="2">
        <f t="shared" si="11"/>
        <v>111000.00000000001</v>
      </c>
      <c r="S44" s="2">
        <f t="shared" si="1"/>
        <v>105135.10985253914</v>
      </c>
      <c r="T44" s="2">
        <f t="shared" si="12"/>
        <v>105135.10985253914</v>
      </c>
      <c r="U44" s="2">
        <f t="shared" si="13"/>
        <v>5.1398579432804297E-3</v>
      </c>
      <c r="V44" s="2">
        <v>0.06</v>
      </c>
      <c r="W44" s="2">
        <f t="shared" si="14"/>
        <v>106000</v>
      </c>
      <c r="X44" s="2">
        <f t="shared" si="15"/>
        <v>5.0502178217821783</v>
      </c>
      <c r="Y44" s="2">
        <f t="shared" si="16"/>
        <v>9.8145453801038489E-15</v>
      </c>
      <c r="Z44" s="2">
        <f t="shared" si="17"/>
        <v>5910319227.8985376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2"/>
        <v>2.15</v>
      </c>
      <c r="C45" s="1">
        <v>20</v>
      </c>
      <c r="D45" s="1">
        <f t="shared" si="0"/>
        <v>29.146000000000001</v>
      </c>
      <c r="E45" s="1">
        <f t="shared" si="3"/>
        <v>4.8576666666666667E-7</v>
      </c>
      <c r="F45" s="1">
        <v>21.1</v>
      </c>
      <c r="G45" s="1">
        <f t="shared" si="4"/>
        <v>294.10000000000002</v>
      </c>
      <c r="H45" s="1">
        <v>101.3</v>
      </c>
      <c r="I45" s="1">
        <f t="shared" si="5"/>
        <v>101300</v>
      </c>
      <c r="J45" s="1">
        <f t="shared" si="6"/>
        <v>2.0124824921938581E-5</v>
      </c>
      <c r="K45" s="20">
        <v>49.698019801980202</v>
      </c>
      <c r="L45" s="1">
        <f t="shared" si="7"/>
        <v>4.9698019801980203E-5</v>
      </c>
      <c r="M45" s="1">
        <f t="shared" si="8"/>
        <v>4.7762865441819992E-3</v>
      </c>
      <c r="N45" s="26">
        <f t="shared" si="9"/>
        <v>2.094019984416951E-7</v>
      </c>
      <c r="O45" s="26">
        <f t="shared" si="10"/>
        <v>2.032E-3</v>
      </c>
      <c r="P45" s="26">
        <v>4.5724343480153871E-11</v>
      </c>
      <c r="Q45" s="2">
        <v>0.11</v>
      </c>
      <c r="R45" s="2">
        <f t="shared" si="11"/>
        <v>111000.00000000001</v>
      </c>
      <c r="S45" s="2">
        <f t="shared" si="1"/>
        <v>104885.78770095584</v>
      </c>
      <c r="T45" s="2">
        <f t="shared" si="12"/>
        <v>104885.78770095584</v>
      </c>
      <c r="U45" s="2">
        <f t="shared" si="13"/>
        <v>5.1398579432804297E-3</v>
      </c>
      <c r="V45" s="2">
        <v>0.06</v>
      </c>
      <c r="W45" s="2">
        <f t="shared" si="14"/>
        <v>106000</v>
      </c>
      <c r="X45" s="2">
        <f t="shared" si="15"/>
        <v>5.2679900990099018</v>
      </c>
      <c r="Y45" s="2">
        <f t="shared" si="16"/>
        <v>1.0262120439492146E-14</v>
      </c>
      <c r="Z45" s="2">
        <f t="shared" si="17"/>
        <v>6179848928.6621704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2"/>
        <v>2.2000000000000002</v>
      </c>
      <c r="C46" s="1">
        <v>20</v>
      </c>
      <c r="D46" s="1">
        <f t="shared" si="0"/>
        <v>29.146000000000001</v>
      </c>
      <c r="E46" s="1">
        <f t="shared" si="3"/>
        <v>4.8576666666666667E-7</v>
      </c>
      <c r="F46" s="1">
        <v>21.1</v>
      </c>
      <c r="G46" s="1">
        <f t="shared" si="4"/>
        <v>294.10000000000002</v>
      </c>
      <c r="H46" s="1">
        <v>101.3</v>
      </c>
      <c r="I46" s="1">
        <f t="shared" si="5"/>
        <v>101300</v>
      </c>
      <c r="J46" s="1">
        <f t="shared" si="6"/>
        <v>2.0124824921938581E-5</v>
      </c>
      <c r="K46" s="25">
        <v>43.584158415841586</v>
      </c>
      <c r="L46" s="1">
        <f t="shared" si="7"/>
        <v>4.3584158415841583E-5</v>
      </c>
      <c r="M46" s="1">
        <f t="shared" si="8"/>
        <v>4.7762865441819992E-3</v>
      </c>
      <c r="N46" s="52">
        <f t="shared" si="9"/>
        <v>1.8364131828675005E-7</v>
      </c>
      <c r="O46" s="26">
        <f t="shared" si="10"/>
        <v>2.032E-3</v>
      </c>
      <c r="P46" s="26">
        <v>4.5724343480153871E-11</v>
      </c>
      <c r="Q46" s="2">
        <v>0.11</v>
      </c>
      <c r="R46" s="2">
        <f t="shared" si="11"/>
        <v>111000.00000000001</v>
      </c>
      <c r="S46" s="2">
        <f t="shared" si="1"/>
        <v>105628.6165828321</v>
      </c>
      <c r="T46" s="2">
        <f t="shared" si="12"/>
        <v>105628.6165828321</v>
      </c>
      <c r="U46" s="2">
        <f t="shared" si="13"/>
        <v>5.1398579432804297E-3</v>
      </c>
      <c r="V46" s="2">
        <v>0.06</v>
      </c>
      <c r="W46" s="2">
        <f t="shared" si="14"/>
        <v>106000</v>
      </c>
      <c r="X46" s="2">
        <f t="shared" si="15"/>
        <v>4.619920792079208</v>
      </c>
      <c r="Y46" s="11">
        <f t="shared" si="16"/>
        <v>8.9363243045116139E-15</v>
      </c>
      <c r="Z46" s="11">
        <f t="shared" si="17"/>
        <v>5381454496.1768942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2"/>
        <v>2.25</v>
      </c>
      <c r="C47" s="1">
        <v>20</v>
      </c>
      <c r="D47" s="1">
        <f t="shared" si="0"/>
        <v>29.146000000000001</v>
      </c>
      <c r="E47" s="1">
        <f t="shared" si="3"/>
        <v>4.8576666666666667E-7</v>
      </c>
      <c r="F47" s="1">
        <v>21.1</v>
      </c>
      <c r="G47" s="1">
        <f t="shared" si="4"/>
        <v>294.10000000000002</v>
      </c>
      <c r="H47" s="1">
        <v>101.3</v>
      </c>
      <c r="I47" s="1">
        <f t="shared" si="5"/>
        <v>101300</v>
      </c>
      <c r="J47" s="1">
        <f t="shared" si="6"/>
        <v>2.0124824921938581E-5</v>
      </c>
      <c r="K47" s="25">
        <v>43.905940594059409</v>
      </c>
      <c r="L47" s="1">
        <f t="shared" si="7"/>
        <v>4.3905940594059407E-5</v>
      </c>
      <c r="M47" s="1">
        <f t="shared" si="8"/>
        <v>4.7762865441819992E-3</v>
      </c>
      <c r="N47" s="52">
        <f t="shared" si="9"/>
        <v>1.8499714355806293E-7</v>
      </c>
      <c r="O47" s="26">
        <f t="shared" si="10"/>
        <v>2.032E-3</v>
      </c>
      <c r="P47" s="26">
        <v>4.5724343480153871E-11</v>
      </c>
      <c r="Q47" s="2">
        <v>0.11</v>
      </c>
      <c r="R47" s="2">
        <f t="shared" si="11"/>
        <v>111000.00000000001</v>
      </c>
      <c r="S47" s="2">
        <f t="shared" si="1"/>
        <v>105589.45497787559</v>
      </c>
      <c r="T47" s="2">
        <f t="shared" si="12"/>
        <v>105589.45497787559</v>
      </c>
      <c r="U47" s="2">
        <f t="shared" si="13"/>
        <v>5.1398579432804297E-3</v>
      </c>
      <c r="V47" s="2">
        <v>0.06</v>
      </c>
      <c r="W47" s="2">
        <f t="shared" si="14"/>
        <v>106000</v>
      </c>
      <c r="X47" s="2">
        <f t="shared" si="15"/>
        <v>4.6540297029702975</v>
      </c>
      <c r="Y47" s="11">
        <f t="shared" si="16"/>
        <v>9.0056431348280776E-15</v>
      </c>
      <c r="Z47" s="11">
        <f t="shared" si="17"/>
        <v>5423198295.7934685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2"/>
        <v>2.2999999999999998</v>
      </c>
      <c r="C48" s="1">
        <v>20</v>
      </c>
      <c r="D48" s="1">
        <f t="shared" si="0"/>
        <v>29.146000000000001</v>
      </c>
      <c r="E48" s="1">
        <f t="shared" si="3"/>
        <v>4.8576666666666667E-7</v>
      </c>
      <c r="F48" s="1">
        <v>21.1</v>
      </c>
      <c r="G48" s="1">
        <f t="shared" si="4"/>
        <v>294.10000000000002</v>
      </c>
      <c r="H48" s="1">
        <v>101.3</v>
      </c>
      <c r="I48" s="1">
        <f t="shared" si="5"/>
        <v>101300</v>
      </c>
      <c r="J48" s="1">
        <f t="shared" si="6"/>
        <v>2.0124824921938581E-5</v>
      </c>
      <c r="K48" s="25">
        <v>45.514851485148519</v>
      </c>
      <c r="L48" s="1">
        <f t="shared" si="7"/>
        <v>4.5514851485148522E-5</v>
      </c>
      <c r="M48" s="1">
        <f t="shared" si="8"/>
        <v>4.7762865441819992E-3</v>
      </c>
      <c r="N48" s="52">
        <f t="shared" si="9"/>
        <v>1.9177626991462745E-7</v>
      </c>
      <c r="O48" s="26">
        <f t="shared" si="10"/>
        <v>2.032E-3</v>
      </c>
      <c r="P48" s="26">
        <v>4.5724343480153871E-11</v>
      </c>
      <c r="Q48" s="2">
        <v>0.11</v>
      </c>
      <c r="R48" s="2">
        <f t="shared" si="11"/>
        <v>111000.00000000001</v>
      </c>
      <c r="S48" s="2">
        <f t="shared" si="1"/>
        <v>105393.75586645253</v>
      </c>
      <c r="T48" s="2">
        <f t="shared" si="12"/>
        <v>105393.75586645253</v>
      </c>
      <c r="U48" s="2">
        <f t="shared" si="13"/>
        <v>5.1398579432804297E-3</v>
      </c>
      <c r="V48" s="2">
        <v>0.06</v>
      </c>
      <c r="W48" s="2">
        <f t="shared" si="14"/>
        <v>106000</v>
      </c>
      <c r="X48" s="2">
        <f t="shared" si="15"/>
        <v>4.8245742574257431</v>
      </c>
      <c r="Y48" s="11">
        <f t="shared" si="16"/>
        <v>9.3530010425904064E-15</v>
      </c>
      <c r="Z48" s="11">
        <f t="shared" si="17"/>
        <v>5632377227.8479433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2"/>
        <v>2.35</v>
      </c>
      <c r="C49" s="1">
        <v>20</v>
      </c>
      <c r="D49" s="1">
        <f t="shared" si="0"/>
        <v>29.146000000000001</v>
      </c>
      <c r="E49" s="1">
        <f t="shared" si="3"/>
        <v>4.8576666666666667E-7</v>
      </c>
      <c r="F49" s="1">
        <v>21.1</v>
      </c>
      <c r="G49" s="1">
        <f t="shared" si="4"/>
        <v>294.10000000000002</v>
      </c>
      <c r="H49" s="1">
        <v>101.3</v>
      </c>
      <c r="I49" s="1">
        <f t="shared" si="5"/>
        <v>101300</v>
      </c>
      <c r="J49" s="1">
        <f t="shared" si="6"/>
        <v>2.0124824921938581E-5</v>
      </c>
      <c r="K49" s="25">
        <v>45.688118811881189</v>
      </c>
      <c r="L49" s="1">
        <f t="shared" si="7"/>
        <v>4.5688118811881192E-5</v>
      </c>
      <c r="M49" s="1">
        <f t="shared" si="8"/>
        <v>4.7762865441819992E-3</v>
      </c>
      <c r="N49" s="52">
        <f t="shared" si="9"/>
        <v>1.9250632967610362E-7</v>
      </c>
      <c r="O49" s="26">
        <f t="shared" si="10"/>
        <v>2.032E-3</v>
      </c>
      <c r="P49" s="26">
        <v>4.5724343480153871E-11</v>
      </c>
      <c r="Q49" s="2">
        <v>0.11</v>
      </c>
      <c r="R49" s="2">
        <f t="shared" si="11"/>
        <v>111000.00000000001</v>
      </c>
      <c r="S49" s="2">
        <f t="shared" si="1"/>
        <v>105372.69140442018</v>
      </c>
      <c r="T49" s="2">
        <f t="shared" si="12"/>
        <v>105372.69140442018</v>
      </c>
      <c r="U49" s="2">
        <f t="shared" si="13"/>
        <v>5.1398579432804297E-3</v>
      </c>
      <c r="V49" s="2">
        <v>0.06</v>
      </c>
      <c r="W49" s="2">
        <f t="shared" si="14"/>
        <v>106000</v>
      </c>
      <c r="X49" s="2">
        <f t="shared" si="15"/>
        <v>4.8429405940594066</v>
      </c>
      <c r="Y49" s="11">
        <f t="shared" si="16"/>
        <v>9.3904848788591567E-15</v>
      </c>
      <c r="Z49" s="11">
        <f t="shared" si="17"/>
        <v>5654949994.0489845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2"/>
        <v>2.4</v>
      </c>
      <c r="C50" s="1">
        <v>20</v>
      </c>
      <c r="D50" s="1">
        <f t="shared" si="0"/>
        <v>29.146000000000001</v>
      </c>
      <c r="E50" s="1">
        <f t="shared" si="3"/>
        <v>4.8576666666666667E-7</v>
      </c>
      <c r="F50" s="1">
        <v>21.1</v>
      </c>
      <c r="G50" s="1">
        <f t="shared" si="4"/>
        <v>294.10000000000002</v>
      </c>
      <c r="H50" s="1">
        <v>101.3</v>
      </c>
      <c r="I50" s="1">
        <f t="shared" si="5"/>
        <v>101300</v>
      </c>
      <c r="J50" s="1">
        <f t="shared" si="6"/>
        <v>2.0124824921938581E-5</v>
      </c>
      <c r="K50" s="25">
        <v>43.089108910891092</v>
      </c>
      <c r="L50" s="1">
        <f t="shared" si="7"/>
        <v>4.3089108910891089E-5</v>
      </c>
      <c r="M50" s="1">
        <f t="shared" si="8"/>
        <v>4.7762865441819992E-3</v>
      </c>
      <c r="N50" s="52">
        <f t="shared" si="9"/>
        <v>1.8155543325396096E-7</v>
      </c>
      <c r="O50" s="26">
        <f t="shared" si="10"/>
        <v>2.032E-3</v>
      </c>
      <c r="P50" s="26">
        <v>4.5724343480153871E-11</v>
      </c>
      <c r="Q50" s="2">
        <v>0.11</v>
      </c>
      <c r="R50" s="2">
        <f t="shared" si="11"/>
        <v>111000.00000000001</v>
      </c>
      <c r="S50" s="2">
        <f t="shared" si="1"/>
        <v>105688.87938391254</v>
      </c>
      <c r="T50" s="2">
        <f t="shared" si="12"/>
        <v>105688.87938391254</v>
      </c>
      <c r="U50" s="2">
        <f t="shared" si="13"/>
        <v>5.1398579432804297E-3</v>
      </c>
      <c r="V50" s="2">
        <v>0.06</v>
      </c>
      <c r="W50" s="2">
        <f t="shared" si="14"/>
        <v>106000</v>
      </c>
      <c r="X50" s="2">
        <f t="shared" si="15"/>
        <v>4.5674455445544551</v>
      </c>
      <c r="Y50" s="11">
        <f t="shared" si="16"/>
        <v>8.8297791662804978E-15</v>
      </c>
      <c r="Z50" s="11">
        <f t="shared" si="17"/>
        <v>5317293013.9341164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2"/>
        <v>2.4500000000000002</v>
      </c>
      <c r="C51" s="1">
        <v>20</v>
      </c>
      <c r="D51" s="1">
        <f t="shared" si="0"/>
        <v>29.146000000000001</v>
      </c>
      <c r="E51" s="1">
        <f t="shared" si="3"/>
        <v>4.8576666666666667E-7</v>
      </c>
      <c r="F51" s="1">
        <v>21.1</v>
      </c>
      <c r="G51" s="1">
        <f t="shared" si="4"/>
        <v>294.10000000000002</v>
      </c>
      <c r="H51" s="1">
        <v>101.3</v>
      </c>
      <c r="I51" s="1">
        <f t="shared" si="5"/>
        <v>101300</v>
      </c>
      <c r="J51" s="1">
        <f t="shared" si="6"/>
        <v>2.0124824921938581E-5</v>
      </c>
      <c r="K51" s="25">
        <v>42.321782178217823</v>
      </c>
      <c r="L51" s="1">
        <f t="shared" si="7"/>
        <v>4.2321782178217822E-5</v>
      </c>
      <c r="M51" s="1">
        <f t="shared" si="8"/>
        <v>4.7762865441819992E-3</v>
      </c>
      <c r="N51" s="52">
        <f t="shared" si="9"/>
        <v>1.7832231145313789E-7</v>
      </c>
      <c r="O51" s="26">
        <f t="shared" si="10"/>
        <v>2.032E-3</v>
      </c>
      <c r="P51" s="26">
        <v>4.5724343480153871E-11</v>
      </c>
      <c r="Q51" s="2">
        <v>0.11</v>
      </c>
      <c r="R51" s="2">
        <f t="shared" si="11"/>
        <v>111000.00000000001</v>
      </c>
      <c r="S51" s="2">
        <f t="shared" si="1"/>
        <v>105782.32068851053</v>
      </c>
      <c r="T51" s="2">
        <f t="shared" si="12"/>
        <v>105782.32068851053</v>
      </c>
      <c r="U51" s="2">
        <f t="shared" si="13"/>
        <v>5.1398579432804297E-3</v>
      </c>
      <c r="V51" s="2">
        <v>0.06</v>
      </c>
      <c r="W51" s="2">
        <f t="shared" si="14"/>
        <v>106000</v>
      </c>
      <c r="X51" s="2">
        <f t="shared" si="15"/>
        <v>4.4861089108910894</v>
      </c>
      <c r="Y51" s="11">
        <f t="shared" si="16"/>
        <v>8.6648715454353223E-15</v>
      </c>
      <c r="Z51" s="11">
        <f t="shared" si="17"/>
        <v>5217985644.6611509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2"/>
        <v>2.5</v>
      </c>
      <c r="C52" s="1">
        <v>20</v>
      </c>
      <c r="D52" s="1">
        <f t="shared" si="0"/>
        <v>29.146000000000001</v>
      </c>
      <c r="E52" s="1">
        <f t="shared" si="3"/>
        <v>4.8576666666666667E-7</v>
      </c>
      <c r="F52" s="1">
        <v>21.1</v>
      </c>
      <c r="G52" s="1">
        <f t="shared" si="4"/>
        <v>294.10000000000002</v>
      </c>
      <c r="H52" s="1">
        <v>101.3</v>
      </c>
      <c r="I52" s="1">
        <f t="shared" si="5"/>
        <v>101300</v>
      </c>
      <c r="J52" s="1">
        <f t="shared" si="6"/>
        <v>2.0124824921938581E-5</v>
      </c>
      <c r="K52" s="25">
        <v>43.039603960396036</v>
      </c>
      <c r="L52" s="1">
        <f t="shared" si="7"/>
        <v>4.3039603960396037E-5</v>
      </c>
      <c r="M52" s="1">
        <f t="shared" si="8"/>
        <v>4.7762865441819992E-3</v>
      </c>
      <c r="N52" s="52">
        <f t="shared" si="9"/>
        <v>1.8134684475068203E-7</v>
      </c>
      <c r="O52" s="26">
        <f t="shared" si="10"/>
        <v>2.032E-3</v>
      </c>
      <c r="P52" s="26">
        <v>4.5724343480153871E-11</v>
      </c>
      <c r="Q52" s="2">
        <v>0.11</v>
      </c>
      <c r="R52" s="2">
        <f t="shared" si="11"/>
        <v>111000.00000000001</v>
      </c>
      <c r="S52" s="2">
        <f t="shared" si="1"/>
        <v>105694.90660922528</v>
      </c>
      <c r="T52" s="2">
        <f t="shared" si="12"/>
        <v>105694.90660922528</v>
      </c>
      <c r="U52" s="2">
        <f t="shared" si="13"/>
        <v>5.1398579432804297E-3</v>
      </c>
      <c r="V52" s="2">
        <v>0.06</v>
      </c>
      <c r="W52" s="2">
        <f t="shared" si="14"/>
        <v>106000</v>
      </c>
      <c r="X52" s="2">
        <f t="shared" si="15"/>
        <v>4.56219801980198</v>
      </c>
      <c r="Y52" s="11">
        <f t="shared" si="16"/>
        <v>8.8191312619264527E-15</v>
      </c>
      <c r="Z52" s="11">
        <f t="shared" si="17"/>
        <v>5310880845.9321098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2"/>
        <v>2.5499999999999998</v>
      </c>
      <c r="C53" s="1">
        <v>20</v>
      </c>
      <c r="D53" s="1">
        <f t="shared" si="0"/>
        <v>29.146000000000001</v>
      </c>
      <c r="E53" s="1">
        <f t="shared" si="3"/>
        <v>4.8576666666666667E-7</v>
      </c>
      <c r="F53" s="1">
        <v>21.1</v>
      </c>
      <c r="G53" s="1">
        <f t="shared" si="4"/>
        <v>294.10000000000002</v>
      </c>
      <c r="H53" s="1">
        <v>101.3</v>
      </c>
      <c r="I53" s="1">
        <f t="shared" si="5"/>
        <v>101300</v>
      </c>
      <c r="J53" s="1">
        <f t="shared" si="6"/>
        <v>2.0124824921938581E-5</v>
      </c>
      <c r="K53" s="25">
        <v>36.257425742574263</v>
      </c>
      <c r="L53" s="1">
        <f t="shared" si="7"/>
        <v>3.625742574257426E-5</v>
      </c>
      <c r="M53" s="1">
        <f t="shared" si="8"/>
        <v>4.7762865441819992E-3</v>
      </c>
      <c r="N53" s="52">
        <f t="shared" si="9"/>
        <v>1.5277021980147174E-7</v>
      </c>
      <c r="O53" s="26">
        <f t="shared" si="10"/>
        <v>2.032E-3</v>
      </c>
      <c r="P53" s="26">
        <v>4.5724343480153871E-11</v>
      </c>
      <c r="Q53" s="2">
        <v>0.11</v>
      </c>
      <c r="R53" s="2">
        <f t="shared" si="11"/>
        <v>111000.00000000001</v>
      </c>
      <c r="S53" s="2">
        <f t="shared" si="1"/>
        <v>106522.26102616178</v>
      </c>
      <c r="T53" s="2">
        <f t="shared" si="12"/>
        <v>106522.26102616178</v>
      </c>
      <c r="U53" s="2">
        <f t="shared" si="13"/>
        <v>5.1398579432804297E-3</v>
      </c>
      <c r="V53" s="2">
        <v>0.06</v>
      </c>
      <c r="W53" s="2">
        <f t="shared" si="14"/>
        <v>106000</v>
      </c>
      <c r="X53" s="2">
        <f t="shared" si="15"/>
        <v>3.8432871287128716</v>
      </c>
      <c r="Y53" s="11">
        <f t="shared" si="16"/>
        <v>7.3716568872347531E-15</v>
      </c>
      <c r="Z53" s="11">
        <f t="shared" si="17"/>
        <v>4439211777.4927683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2"/>
        <v>2.6</v>
      </c>
      <c r="C54" s="1">
        <v>20</v>
      </c>
      <c r="D54" s="1">
        <f t="shared" si="0"/>
        <v>29.146000000000001</v>
      </c>
      <c r="E54" s="1">
        <f t="shared" si="3"/>
        <v>4.8576666666666667E-7</v>
      </c>
      <c r="F54" s="1">
        <v>21.1</v>
      </c>
      <c r="G54" s="1">
        <f t="shared" si="4"/>
        <v>294.10000000000002</v>
      </c>
      <c r="H54" s="1">
        <v>101.3</v>
      </c>
      <c r="I54" s="1">
        <f t="shared" si="5"/>
        <v>101300</v>
      </c>
      <c r="J54" s="1">
        <f t="shared" si="6"/>
        <v>2.0124824921938581E-5</v>
      </c>
      <c r="K54" s="25">
        <v>44.004950495049506</v>
      </c>
      <c r="L54" s="1">
        <f t="shared" si="7"/>
        <v>4.4004950495049503E-5</v>
      </c>
      <c r="M54" s="1">
        <f t="shared" si="8"/>
        <v>4.7762865441819992E-3</v>
      </c>
      <c r="N54" s="52">
        <f t="shared" si="9"/>
        <v>1.8541432056462072E-7</v>
      </c>
      <c r="O54" s="26">
        <f t="shared" si="10"/>
        <v>2.032E-3</v>
      </c>
      <c r="P54" s="26">
        <v>4.5724343480153871E-11</v>
      </c>
      <c r="Q54" s="2">
        <v>0.11</v>
      </c>
      <c r="R54" s="2">
        <f t="shared" si="11"/>
        <v>111000.00000000001</v>
      </c>
      <c r="S54" s="2">
        <f t="shared" si="1"/>
        <v>105577.4067140445</v>
      </c>
      <c r="T54" s="2">
        <f t="shared" si="12"/>
        <v>105577.4067140445</v>
      </c>
      <c r="U54" s="2">
        <f t="shared" si="13"/>
        <v>5.1398579432804297E-3</v>
      </c>
      <c r="V54" s="2">
        <v>0.06</v>
      </c>
      <c r="W54" s="2">
        <f t="shared" si="14"/>
        <v>106000</v>
      </c>
      <c r="X54" s="2">
        <f t="shared" si="15"/>
        <v>4.6645247524752476</v>
      </c>
      <c r="Y54" s="11">
        <f t="shared" si="16"/>
        <v>9.0269822360328006E-15</v>
      </c>
      <c r="Z54" s="11">
        <f t="shared" si="17"/>
        <v>5436048702.5389528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2"/>
        <v>2.65</v>
      </c>
      <c r="C55" s="1">
        <v>20</v>
      </c>
      <c r="D55" s="1">
        <f t="shared" si="0"/>
        <v>29.146000000000001</v>
      </c>
      <c r="E55" s="1">
        <f t="shared" si="3"/>
        <v>4.8576666666666667E-7</v>
      </c>
      <c r="F55" s="1">
        <v>21.1</v>
      </c>
      <c r="G55" s="1">
        <f t="shared" si="4"/>
        <v>294.10000000000002</v>
      </c>
      <c r="H55" s="1">
        <v>101.3</v>
      </c>
      <c r="I55" s="1">
        <f t="shared" si="5"/>
        <v>101300</v>
      </c>
      <c r="J55" s="1">
        <f t="shared" si="6"/>
        <v>2.0124824921938581E-5</v>
      </c>
      <c r="K55" s="25">
        <v>43.534653465346537</v>
      </c>
      <c r="L55" s="1">
        <f t="shared" si="7"/>
        <v>4.3534653465346538E-5</v>
      </c>
      <c r="M55" s="1">
        <f t="shared" si="8"/>
        <v>4.7762865441819992E-3</v>
      </c>
      <c r="N55" s="52">
        <f t="shared" si="9"/>
        <v>1.8343272978347114E-7</v>
      </c>
      <c r="O55" s="26">
        <f t="shared" si="10"/>
        <v>2.032E-3</v>
      </c>
      <c r="P55" s="26">
        <v>4.5724343480153871E-11</v>
      </c>
      <c r="Q55" s="2">
        <v>0.11</v>
      </c>
      <c r="R55" s="2">
        <f t="shared" si="11"/>
        <v>111000.00000000001</v>
      </c>
      <c r="S55" s="2">
        <f t="shared" si="1"/>
        <v>105634.64208959084</v>
      </c>
      <c r="T55" s="2">
        <f t="shared" si="12"/>
        <v>105634.64208959084</v>
      </c>
      <c r="U55" s="2">
        <f t="shared" si="13"/>
        <v>5.1398579432804297E-3</v>
      </c>
      <c r="V55" s="2">
        <v>0.06</v>
      </c>
      <c r="W55" s="2">
        <f t="shared" si="14"/>
        <v>106000</v>
      </c>
      <c r="X55" s="2">
        <f t="shared" si="15"/>
        <v>4.614673267326733</v>
      </c>
      <c r="Y55" s="11">
        <f t="shared" si="16"/>
        <v>8.9256643806331973E-15</v>
      </c>
      <c r="Z55" s="11">
        <f t="shared" si="17"/>
        <v>5375035090.017312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2"/>
        <v>2.7</v>
      </c>
      <c r="C56" s="1">
        <v>20</v>
      </c>
      <c r="D56" s="1">
        <f t="shared" si="0"/>
        <v>29.146000000000001</v>
      </c>
      <c r="E56" s="1">
        <f t="shared" si="3"/>
        <v>4.8576666666666667E-7</v>
      </c>
      <c r="F56" s="1">
        <v>21.1</v>
      </c>
      <c r="G56" s="1">
        <f t="shared" si="4"/>
        <v>294.10000000000002</v>
      </c>
      <c r="H56" s="1">
        <v>101.3</v>
      </c>
      <c r="I56" s="1">
        <f t="shared" si="5"/>
        <v>101300</v>
      </c>
      <c r="J56" s="1">
        <f t="shared" si="6"/>
        <v>2.0124824921938581E-5</v>
      </c>
      <c r="K56" s="25">
        <v>44.450495049504951</v>
      </c>
      <c r="L56" s="1">
        <f t="shared" si="7"/>
        <v>4.4450495049504953E-5</v>
      </c>
      <c r="M56" s="1">
        <f t="shared" si="8"/>
        <v>4.7762865441819992E-3</v>
      </c>
      <c r="N56" s="52">
        <f t="shared" si="9"/>
        <v>1.872916170941309E-7</v>
      </c>
      <c r="O56" s="26">
        <f t="shared" si="10"/>
        <v>2.032E-3</v>
      </c>
      <c r="P56" s="26">
        <v>4.5724343480153871E-11</v>
      </c>
      <c r="Q56" s="2">
        <v>0.11</v>
      </c>
      <c r="R56" s="2">
        <f t="shared" si="11"/>
        <v>111000.00000000001</v>
      </c>
      <c r="S56" s="2">
        <f t="shared" si="1"/>
        <v>105523.1980336468</v>
      </c>
      <c r="T56" s="2">
        <f t="shared" si="12"/>
        <v>105523.1980336468</v>
      </c>
      <c r="U56" s="2">
        <f t="shared" si="13"/>
        <v>5.1398579432804297E-3</v>
      </c>
      <c r="V56" s="2">
        <v>0.06</v>
      </c>
      <c r="W56" s="2">
        <f t="shared" si="14"/>
        <v>106000</v>
      </c>
      <c r="X56" s="2">
        <f t="shared" si="15"/>
        <v>4.7117524752475246</v>
      </c>
      <c r="Y56" s="11">
        <f t="shared" si="16"/>
        <v>9.1230678126480922E-15</v>
      </c>
      <c r="Z56" s="11">
        <f t="shared" si="17"/>
        <v>5493911436.7766809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2"/>
        <v>2.75</v>
      </c>
      <c r="C57" s="1">
        <v>20</v>
      </c>
      <c r="D57" s="1">
        <f t="shared" si="0"/>
        <v>29.146000000000001</v>
      </c>
      <c r="E57" s="1">
        <f t="shared" si="3"/>
        <v>4.8576666666666667E-7</v>
      </c>
      <c r="F57" s="1">
        <v>21.1</v>
      </c>
      <c r="G57" s="1">
        <f t="shared" si="4"/>
        <v>294.10000000000002</v>
      </c>
      <c r="H57" s="1">
        <v>101.3</v>
      </c>
      <c r="I57" s="1">
        <f t="shared" si="5"/>
        <v>101300</v>
      </c>
      <c r="J57" s="1">
        <f t="shared" si="6"/>
        <v>2.0124824921938581E-5</v>
      </c>
      <c r="K57" s="25">
        <v>36.430693069306933</v>
      </c>
      <c r="L57" s="1">
        <f t="shared" si="7"/>
        <v>3.643069306930693E-5</v>
      </c>
      <c r="M57" s="1">
        <f t="shared" si="8"/>
        <v>4.7762865441819992E-3</v>
      </c>
      <c r="N57" s="52">
        <f t="shared" si="9"/>
        <v>1.5350027956294791E-7</v>
      </c>
      <c r="O57" s="26">
        <f t="shared" si="10"/>
        <v>2.032E-3</v>
      </c>
      <c r="P57" s="26">
        <v>4.5724343480153871E-11</v>
      </c>
      <c r="Q57" s="2">
        <v>0.11</v>
      </c>
      <c r="R57" s="2">
        <f t="shared" si="11"/>
        <v>111000.00000000001</v>
      </c>
      <c r="S57" s="2">
        <f t="shared" si="1"/>
        <v>106501.08408477054</v>
      </c>
      <c r="T57" s="2">
        <f t="shared" si="12"/>
        <v>106501.08408477054</v>
      </c>
      <c r="U57" s="2">
        <f t="shared" si="13"/>
        <v>5.1398579432804297E-3</v>
      </c>
      <c r="V57" s="2">
        <v>0.06</v>
      </c>
      <c r="W57" s="2">
        <f t="shared" si="14"/>
        <v>106000</v>
      </c>
      <c r="X57" s="2">
        <f t="shared" si="15"/>
        <v>3.8616534653465346</v>
      </c>
      <c r="Y57" s="11">
        <f t="shared" si="16"/>
        <v>7.408358764626938E-15</v>
      </c>
      <c r="Z57" s="11">
        <f t="shared" si="17"/>
        <v>4461313648.058342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2"/>
        <v>2.8</v>
      </c>
      <c r="C58" s="1">
        <v>20</v>
      </c>
      <c r="D58" s="1">
        <f t="shared" si="0"/>
        <v>29.146000000000001</v>
      </c>
      <c r="E58" s="1">
        <f t="shared" si="3"/>
        <v>4.8576666666666667E-7</v>
      </c>
      <c r="F58" s="1">
        <v>21.1</v>
      </c>
      <c r="G58" s="1">
        <f t="shared" si="4"/>
        <v>294.10000000000002</v>
      </c>
      <c r="H58" s="1">
        <v>101.3</v>
      </c>
      <c r="I58" s="1">
        <f t="shared" si="5"/>
        <v>101300</v>
      </c>
      <c r="J58" s="1">
        <f t="shared" si="6"/>
        <v>2.0124824921938581E-5</v>
      </c>
      <c r="K58" s="25">
        <v>43.633663366336634</v>
      </c>
      <c r="L58" s="1">
        <f t="shared" si="7"/>
        <v>4.3633663366336634E-5</v>
      </c>
      <c r="M58" s="1">
        <f t="shared" si="8"/>
        <v>4.7762865441819992E-3</v>
      </c>
      <c r="N58" s="52">
        <f t="shared" si="9"/>
        <v>1.8384990679002893E-7</v>
      </c>
      <c r="O58" s="26">
        <f t="shared" si="10"/>
        <v>2.032E-3</v>
      </c>
      <c r="P58" s="26">
        <v>4.5724343480153871E-11</v>
      </c>
      <c r="Q58" s="2">
        <v>0.11</v>
      </c>
      <c r="R58" s="2">
        <f t="shared" si="11"/>
        <v>111000.00000000001</v>
      </c>
      <c r="S58" s="2">
        <f t="shared" si="1"/>
        <v>105622.59124792872</v>
      </c>
      <c r="T58" s="2">
        <f t="shared" si="12"/>
        <v>105622.59124792872</v>
      </c>
      <c r="U58" s="2">
        <f t="shared" si="13"/>
        <v>5.1398579432804297E-3</v>
      </c>
      <c r="V58" s="2">
        <v>0.06</v>
      </c>
      <c r="W58" s="2">
        <f t="shared" si="14"/>
        <v>106000</v>
      </c>
      <c r="X58" s="2">
        <f t="shared" si="15"/>
        <v>4.6251683168316831</v>
      </c>
      <c r="Y58" s="11">
        <f t="shared" si="16"/>
        <v>8.9469854311889561E-15</v>
      </c>
      <c r="Z58" s="11">
        <f t="shared" si="17"/>
        <v>5387874626.6619892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2"/>
        <v>2.85</v>
      </c>
      <c r="C59" s="1">
        <v>20</v>
      </c>
      <c r="D59" s="1">
        <f t="shared" si="0"/>
        <v>29.146000000000001</v>
      </c>
      <c r="E59" s="1">
        <f t="shared" si="3"/>
        <v>4.8576666666666667E-7</v>
      </c>
      <c r="F59" s="1">
        <v>21.1</v>
      </c>
      <c r="G59" s="1">
        <f t="shared" si="4"/>
        <v>294.10000000000002</v>
      </c>
      <c r="H59" s="1">
        <v>101.3</v>
      </c>
      <c r="I59" s="1">
        <f t="shared" si="5"/>
        <v>101300</v>
      </c>
      <c r="J59" s="1">
        <f t="shared" si="6"/>
        <v>2.0124824921938581E-5</v>
      </c>
      <c r="K59" s="25">
        <v>39.400990099009903</v>
      </c>
      <c r="L59" s="1">
        <f t="shared" si="7"/>
        <v>3.9400990099009902E-5</v>
      </c>
      <c r="M59" s="1">
        <f t="shared" si="8"/>
        <v>4.7762865441819992E-3</v>
      </c>
      <c r="N59" s="52">
        <f t="shared" si="9"/>
        <v>1.6601558975968234E-7</v>
      </c>
      <c r="O59" s="26">
        <f t="shared" si="10"/>
        <v>2.032E-3</v>
      </c>
      <c r="P59" s="26">
        <v>4.5724343480153871E-11</v>
      </c>
      <c r="Q59" s="2">
        <v>0.11</v>
      </c>
      <c r="R59" s="2">
        <f t="shared" si="11"/>
        <v>111000.00000000001</v>
      </c>
      <c r="S59" s="2">
        <f t="shared" si="1"/>
        <v>106138.37818831352</v>
      </c>
      <c r="T59" s="2">
        <f t="shared" si="12"/>
        <v>106138.37818831352</v>
      </c>
      <c r="U59" s="2">
        <f t="shared" si="13"/>
        <v>5.1398579432804297E-3</v>
      </c>
      <c r="V59" s="2">
        <v>0.06</v>
      </c>
      <c r="W59" s="2">
        <f t="shared" si="14"/>
        <v>106000</v>
      </c>
      <c r="X59" s="2">
        <f t="shared" si="15"/>
        <v>4.1765049504950493</v>
      </c>
      <c r="Y59" s="11">
        <f t="shared" si="16"/>
        <v>8.0397886279898987E-15</v>
      </c>
      <c r="Z59" s="11">
        <f t="shared" si="17"/>
        <v>4841560711.7755175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si="2"/>
        <v>2.9</v>
      </c>
      <c r="C60" s="1">
        <v>20</v>
      </c>
      <c r="D60" s="1">
        <f t="shared" si="0"/>
        <v>29.146000000000001</v>
      </c>
      <c r="E60" s="1">
        <f t="shared" si="3"/>
        <v>4.8576666666666667E-7</v>
      </c>
      <c r="F60" s="1">
        <v>21.1</v>
      </c>
      <c r="G60" s="1">
        <f t="shared" si="4"/>
        <v>294.10000000000002</v>
      </c>
      <c r="H60" s="1">
        <v>101.3</v>
      </c>
      <c r="I60" s="1">
        <f t="shared" si="5"/>
        <v>101300</v>
      </c>
      <c r="J60" s="1">
        <f t="shared" si="6"/>
        <v>2.0124824921938581E-5</v>
      </c>
      <c r="K60" s="25">
        <v>40.440594059405939</v>
      </c>
      <c r="L60" s="1">
        <f t="shared" si="7"/>
        <v>4.0440594059405941E-5</v>
      </c>
      <c r="M60" s="1">
        <f t="shared" si="8"/>
        <v>4.7762865441819992E-3</v>
      </c>
      <c r="N60" s="52">
        <f t="shared" si="9"/>
        <v>1.7039594832853942E-7</v>
      </c>
      <c r="O60" s="26">
        <f t="shared" si="10"/>
        <v>2.032E-3</v>
      </c>
      <c r="P60" s="26">
        <v>4.5724343480153871E-11</v>
      </c>
      <c r="Q60" s="2">
        <v>0.11</v>
      </c>
      <c r="R60" s="2">
        <f t="shared" si="11"/>
        <v>111000.00000000001</v>
      </c>
      <c r="S60" s="2">
        <f t="shared" si="1"/>
        <v>106011.57728757078</v>
      </c>
      <c r="T60" s="2">
        <f t="shared" si="12"/>
        <v>106011.57728757078</v>
      </c>
      <c r="U60" s="2">
        <f t="shared" si="13"/>
        <v>5.1398579432804297E-3</v>
      </c>
      <c r="V60" s="2">
        <v>0.06</v>
      </c>
      <c r="W60" s="2">
        <f t="shared" si="14"/>
        <v>106000</v>
      </c>
      <c r="X60" s="2">
        <f t="shared" si="15"/>
        <v>4.2867029702970294</v>
      </c>
      <c r="Y60" s="11">
        <f t="shared" si="16"/>
        <v>8.2617993884136942E-15</v>
      </c>
      <c r="Z60" s="11">
        <f t="shared" si="17"/>
        <v>4975255591.7027273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2"/>
        <v>2.95</v>
      </c>
      <c r="C61" s="1">
        <v>20</v>
      </c>
      <c r="D61" s="1">
        <f t="shared" si="0"/>
        <v>29.146000000000001</v>
      </c>
      <c r="E61" s="1">
        <f t="shared" si="3"/>
        <v>4.8576666666666667E-7</v>
      </c>
      <c r="F61" s="1">
        <v>21.1</v>
      </c>
      <c r="G61" s="1">
        <f t="shared" si="4"/>
        <v>294.10000000000002</v>
      </c>
      <c r="H61" s="1">
        <v>101.3</v>
      </c>
      <c r="I61" s="1">
        <f t="shared" si="5"/>
        <v>101300</v>
      </c>
      <c r="J61" s="1">
        <f t="shared" si="6"/>
        <v>2.0124824921938581E-5</v>
      </c>
      <c r="K61" s="25">
        <v>42.866336633663366</v>
      </c>
      <c r="L61" s="1">
        <f t="shared" si="7"/>
        <v>4.2866336633663367E-5</v>
      </c>
      <c r="M61" s="1">
        <f t="shared" si="8"/>
        <v>4.7762865441819992E-3</v>
      </c>
      <c r="N61" s="52">
        <f t="shared" si="9"/>
        <v>1.8061678498920588E-7</v>
      </c>
      <c r="O61" s="26">
        <f t="shared" si="10"/>
        <v>2.032E-3</v>
      </c>
      <c r="P61" s="26">
        <v>4.5724343480153871E-11</v>
      </c>
      <c r="Q61" s="2">
        <v>0.11</v>
      </c>
      <c r="R61" s="2">
        <f t="shared" si="11"/>
        <v>111000.00000000001</v>
      </c>
      <c r="S61" s="2">
        <f t="shared" si="1"/>
        <v>105716.00325118112</v>
      </c>
      <c r="T61" s="2">
        <f t="shared" si="12"/>
        <v>105716.00325118112</v>
      </c>
      <c r="U61" s="2">
        <f t="shared" si="13"/>
        <v>5.1398579432804297E-3</v>
      </c>
      <c r="V61" s="2">
        <v>0.06</v>
      </c>
      <c r="W61" s="2">
        <f t="shared" si="14"/>
        <v>106000</v>
      </c>
      <c r="X61" s="2">
        <f t="shared" si="15"/>
        <v>4.5438316831683165</v>
      </c>
      <c r="Y61" s="11">
        <f t="shared" si="16"/>
        <v>8.7818730543920102E-15</v>
      </c>
      <c r="Z61" s="11">
        <f t="shared" si="17"/>
        <v>5288443953.3548689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2"/>
        <v>3</v>
      </c>
      <c r="C62" s="1">
        <v>20</v>
      </c>
      <c r="D62" s="1">
        <f t="shared" si="0"/>
        <v>29.146000000000001</v>
      </c>
      <c r="E62" s="1">
        <f t="shared" si="3"/>
        <v>4.8576666666666667E-7</v>
      </c>
      <c r="F62" s="1">
        <v>21.1</v>
      </c>
      <c r="G62" s="1">
        <f t="shared" si="4"/>
        <v>294.10000000000002</v>
      </c>
      <c r="H62" s="1">
        <v>101.3</v>
      </c>
      <c r="I62" s="1">
        <f t="shared" si="5"/>
        <v>101300</v>
      </c>
      <c r="J62" s="1">
        <f t="shared" si="6"/>
        <v>2.0124824921938581E-5</v>
      </c>
      <c r="K62" s="25">
        <v>45.094059405940598</v>
      </c>
      <c r="L62" s="1">
        <f t="shared" si="7"/>
        <v>4.5094059405940601E-5</v>
      </c>
      <c r="M62" s="1">
        <f t="shared" si="8"/>
        <v>4.7762865441819992E-3</v>
      </c>
      <c r="N62" s="52">
        <f t="shared" si="9"/>
        <v>1.9000326763675673E-7</v>
      </c>
      <c r="O62" s="26">
        <f t="shared" si="10"/>
        <v>2.032E-3</v>
      </c>
      <c r="P62" s="26">
        <v>4.5724343480153871E-11</v>
      </c>
      <c r="Q62" s="2">
        <v>0.11</v>
      </c>
      <c r="R62" s="2">
        <f t="shared" si="11"/>
        <v>111000.00000000001</v>
      </c>
      <c r="S62" s="2">
        <f t="shared" si="1"/>
        <v>105444.92118172781</v>
      </c>
      <c r="T62" s="2">
        <f t="shared" si="12"/>
        <v>105444.92118172781</v>
      </c>
      <c r="U62" s="2">
        <f t="shared" si="13"/>
        <v>5.1398579432804297E-3</v>
      </c>
      <c r="V62" s="2">
        <v>0.06</v>
      </c>
      <c r="W62" s="2">
        <f t="shared" si="14"/>
        <v>106000</v>
      </c>
      <c r="X62" s="2">
        <f t="shared" si="15"/>
        <v>4.7799702970297036</v>
      </c>
      <c r="Y62" s="11">
        <f t="shared" si="16"/>
        <v>9.2620305055713383E-15</v>
      </c>
      <c r="Z62" s="11">
        <f t="shared" si="17"/>
        <v>5577594770.45506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>
        <v>183</v>
      </c>
      <c r="B63" s="1">
        <f t="shared" si="2"/>
        <v>3.05</v>
      </c>
      <c r="C63" s="1">
        <v>20</v>
      </c>
      <c r="D63" s="1">
        <f t="shared" si="0"/>
        <v>29.146000000000001</v>
      </c>
      <c r="E63" s="1">
        <f t="shared" si="3"/>
        <v>4.8576666666666667E-7</v>
      </c>
      <c r="F63" s="1">
        <v>21.1</v>
      </c>
      <c r="G63" s="1">
        <f t="shared" si="4"/>
        <v>294.10000000000002</v>
      </c>
      <c r="H63" s="1">
        <v>101.3</v>
      </c>
      <c r="I63" s="1">
        <f t="shared" si="5"/>
        <v>101300</v>
      </c>
      <c r="J63" s="1">
        <f t="shared" si="6"/>
        <v>2.0124824921938581E-5</v>
      </c>
      <c r="K63" s="25">
        <v>45.440594059405946</v>
      </c>
      <c r="L63" s="1">
        <f t="shared" si="7"/>
        <v>4.5440594059405948E-5</v>
      </c>
      <c r="M63" s="1">
        <f t="shared" si="8"/>
        <v>4.7762865441819992E-3</v>
      </c>
      <c r="N63" s="52">
        <f t="shared" si="9"/>
        <v>1.9146338715970909E-7</v>
      </c>
      <c r="O63" s="26">
        <f t="shared" si="10"/>
        <v>2.032E-3</v>
      </c>
      <c r="P63" s="26">
        <v>4.5724343480153871E-11</v>
      </c>
      <c r="Q63" s="2">
        <v>0.11</v>
      </c>
      <c r="R63" s="2">
        <f t="shared" si="11"/>
        <v>111000.00000000001</v>
      </c>
      <c r="S63" s="2">
        <f t="shared" si="1"/>
        <v>105402.78413749556</v>
      </c>
      <c r="T63" s="2">
        <f t="shared" si="12"/>
        <v>105402.78413749556</v>
      </c>
      <c r="U63" s="2">
        <f t="shared" si="13"/>
        <v>5.1398579432804297E-3</v>
      </c>
      <c r="V63" s="2">
        <v>0.06</v>
      </c>
      <c r="W63" s="2">
        <f t="shared" si="14"/>
        <v>106000</v>
      </c>
      <c r="X63" s="2">
        <f t="shared" si="15"/>
        <v>4.8167029702970305</v>
      </c>
      <c r="Y63" s="11">
        <f t="shared" si="16"/>
        <v>9.3369410748033721E-15</v>
      </c>
      <c r="Z63" s="11">
        <f t="shared" si="17"/>
        <v>5622705915.2465906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>
        <v>186</v>
      </c>
      <c r="B64" s="1">
        <f t="shared" si="2"/>
        <v>3.1</v>
      </c>
      <c r="C64" s="1">
        <v>20</v>
      </c>
      <c r="D64" s="1">
        <f t="shared" si="0"/>
        <v>29.146000000000001</v>
      </c>
      <c r="E64" s="1">
        <f t="shared" si="3"/>
        <v>4.8576666666666667E-7</v>
      </c>
      <c r="F64" s="1">
        <v>21.1</v>
      </c>
      <c r="G64" s="1">
        <f t="shared" si="4"/>
        <v>294.10000000000002</v>
      </c>
      <c r="H64" s="1">
        <v>101.3</v>
      </c>
      <c r="I64" s="1">
        <f t="shared" si="5"/>
        <v>101300</v>
      </c>
      <c r="J64" s="1">
        <f t="shared" si="6"/>
        <v>2.0124824921938581E-5</v>
      </c>
      <c r="K64" s="25">
        <v>47.17326732673267</v>
      </c>
      <c r="L64" s="1">
        <f t="shared" si="7"/>
        <v>4.7173267326732667E-5</v>
      </c>
      <c r="M64" s="1">
        <f t="shared" si="8"/>
        <v>4.7762865441819992E-3</v>
      </c>
      <c r="N64" s="52">
        <f t="shared" si="9"/>
        <v>1.9876398477447077E-7</v>
      </c>
      <c r="O64" s="26">
        <f t="shared" si="10"/>
        <v>2.032E-3</v>
      </c>
      <c r="P64" s="26">
        <v>4.5724343480153871E-11</v>
      </c>
      <c r="Q64" s="2">
        <v>0.11</v>
      </c>
      <c r="R64" s="2">
        <f t="shared" si="11"/>
        <v>111000.00000000001</v>
      </c>
      <c r="S64" s="2">
        <f t="shared" si="1"/>
        <v>105192.22523005282</v>
      </c>
      <c r="T64" s="2">
        <f t="shared" si="12"/>
        <v>105192.22523005282</v>
      </c>
      <c r="U64" s="2">
        <f t="shared" si="13"/>
        <v>5.1398579432804297E-3</v>
      </c>
      <c r="V64" s="2">
        <v>0.06</v>
      </c>
      <c r="W64" s="2">
        <f t="shared" si="14"/>
        <v>106000</v>
      </c>
      <c r="X64" s="2">
        <f t="shared" si="15"/>
        <v>5.0003663366336628</v>
      </c>
      <c r="Y64" s="11">
        <f t="shared" si="16"/>
        <v>9.7123832984925172E-15</v>
      </c>
      <c r="Z64" s="11">
        <f t="shared" si="17"/>
        <v>5848797222.3521938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>
        <v>189</v>
      </c>
      <c r="B65" s="1">
        <f t="shared" si="2"/>
        <v>3.15</v>
      </c>
      <c r="C65" s="1">
        <v>20</v>
      </c>
      <c r="D65" s="1">
        <f t="shared" si="0"/>
        <v>29.146000000000001</v>
      </c>
      <c r="E65" s="1">
        <f t="shared" si="3"/>
        <v>4.8576666666666667E-7</v>
      </c>
      <c r="F65" s="1">
        <v>21.1</v>
      </c>
      <c r="G65" s="1">
        <f t="shared" si="4"/>
        <v>294.10000000000002</v>
      </c>
      <c r="H65" s="1">
        <v>101.3</v>
      </c>
      <c r="I65" s="1">
        <f t="shared" si="5"/>
        <v>101300</v>
      </c>
      <c r="J65" s="1">
        <f t="shared" si="6"/>
        <v>2.0124824921938581E-5</v>
      </c>
      <c r="K65" s="25">
        <v>45.168316831683171</v>
      </c>
      <c r="L65" s="1">
        <f t="shared" si="7"/>
        <v>4.5168316831683168E-5</v>
      </c>
      <c r="M65" s="1">
        <f t="shared" si="8"/>
        <v>4.7762865441819992E-3</v>
      </c>
      <c r="N65" s="52">
        <f t="shared" si="9"/>
        <v>1.9031615039167506E-7</v>
      </c>
      <c r="O65" s="26">
        <f t="shared" si="10"/>
        <v>2.032E-3</v>
      </c>
      <c r="P65" s="26">
        <v>4.5724343480153871E-11</v>
      </c>
      <c r="Q65" s="2">
        <v>0.11</v>
      </c>
      <c r="R65" s="2">
        <f t="shared" si="11"/>
        <v>111000.00000000001</v>
      </c>
      <c r="S65" s="2">
        <f t="shared" si="1"/>
        <v>105435.89110620308</v>
      </c>
      <c r="T65" s="2">
        <f t="shared" si="12"/>
        <v>105435.89110620308</v>
      </c>
      <c r="U65" s="2">
        <f t="shared" si="13"/>
        <v>5.1398579432804297E-3</v>
      </c>
      <c r="V65" s="2">
        <v>0.06</v>
      </c>
      <c r="W65" s="2">
        <f t="shared" si="14"/>
        <v>106000</v>
      </c>
      <c r="X65" s="2">
        <f t="shared" si="15"/>
        <v>4.7878415841584161</v>
      </c>
      <c r="Y65" s="11">
        <f t="shared" si="16"/>
        <v>9.2780777876339662E-15</v>
      </c>
      <c r="Z65" s="11">
        <f t="shared" si="17"/>
        <v>5587258443.7131748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>
        <v>192</v>
      </c>
      <c r="B66" s="1">
        <f t="shared" si="2"/>
        <v>3.2</v>
      </c>
      <c r="C66" s="1">
        <v>20</v>
      </c>
      <c r="D66" s="1">
        <f t="shared" ref="D66:D114" si="18">(C66*1.4573)</f>
        <v>29.146000000000001</v>
      </c>
      <c r="E66" s="1">
        <f t="shared" si="3"/>
        <v>4.8576666666666667E-7</v>
      </c>
      <c r="F66" s="1">
        <v>21.1</v>
      </c>
      <c r="G66" s="1">
        <f t="shared" si="4"/>
        <v>294.10000000000002</v>
      </c>
      <c r="H66" s="1">
        <v>101.3</v>
      </c>
      <c r="I66" s="1">
        <f t="shared" si="5"/>
        <v>101300</v>
      </c>
      <c r="J66" s="1">
        <f t="shared" si="6"/>
        <v>2.0124824921938581E-5</v>
      </c>
      <c r="K66" s="25">
        <v>43.287128712871286</v>
      </c>
      <c r="L66" s="1">
        <f t="shared" si="7"/>
        <v>4.3287128712871288E-5</v>
      </c>
      <c r="M66" s="1">
        <f t="shared" si="8"/>
        <v>4.7762865441819992E-3</v>
      </c>
      <c r="N66" s="52">
        <f t="shared" si="9"/>
        <v>1.8238978726707658E-7</v>
      </c>
      <c r="O66" s="26">
        <f t="shared" si="10"/>
        <v>2.032E-3</v>
      </c>
      <c r="P66" s="26">
        <v>4.5724343480153871E-11</v>
      </c>
      <c r="Q66" s="2">
        <v>0.11</v>
      </c>
      <c r="R66" s="2">
        <f t="shared" si="11"/>
        <v>111000.00000000001</v>
      </c>
      <c r="S66" s="2">
        <f t="shared" si="1"/>
        <v>105664.77220121554</v>
      </c>
      <c r="T66" s="2">
        <f t="shared" si="12"/>
        <v>105664.77220121554</v>
      </c>
      <c r="U66" s="2">
        <f t="shared" si="13"/>
        <v>5.1398579432804297E-3</v>
      </c>
      <c r="V66" s="2">
        <v>0.06</v>
      </c>
      <c r="W66" s="2">
        <f t="shared" si="14"/>
        <v>106000</v>
      </c>
      <c r="X66" s="2">
        <f t="shared" si="15"/>
        <v>4.5884356435643561</v>
      </c>
      <c r="Y66" s="11">
        <f t="shared" si="16"/>
        <v>8.8723827978365674E-15</v>
      </c>
      <c r="Z66" s="11">
        <f t="shared" si="17"/>
        <v>5342948920.8571815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>
        <v>195</v>
      </c>
      <c r="B67" s="1">
        <f t="shared" ref="B67:B114" si="19">(A67/60)</f>
        <v>3.25</v>
      </c>
      <c r="C67" s="1">
        <v>20</v>
      </c>
      <c r="D67" s="1">
        <f t="shared" si="18"/>
        <v>29.146000000000001</v>
      </c>
      <c r="E67" s="1">
        <f t="shared" ref="E67:E114" si="20">(D67/(1000000*60))</f>
        <v>4.8576666666666667E-7</v>
      </c>
      <c r="F67" s="1">
        <v>21.1</v>
      </c>
      <c r="G67" s="1">
        <f t="shared" ref="G67:G114" si="21">(273+F67)</f>
        <v>294.10000000000002</v>
      </c>
      <c r="H67" s="1">
        <v>101.3</v>
      </c>
      <c r="I67" s="1">
        <f t="shared" ref="I67:I114" si="22">(H67*1000)</f>
        <v>101300</v>
      </c>
      <c r="J67" s="1">
        <f t="shared" ref="J67:J114" si="23">((I67*E67)/(8.314*G67))</f>
        <v>2.0124824921938581E-5</v>
      </c>
      <c r="K67" s="25">
        <v>41.10891089108911</v>
      </c>
      <c r="L67" s="1">
        <f t="shared" ref="L67:L114" si="24">(K67/1000000)</f>
        <v>4.1108910891089112E-5</v>
      </c>
      <c r="M67" s="1">
        <f t="shared" ref="M67:M114" si="25">(3.142*3.07*3.07*25.4*25.4)/(4*1000000)</f>
        <v>4.7762865441819992E-3</v>
      </c>
      <c r="N67" s="52">
        <f t="shared" ref="N67:N114" si="26">(L67*J67)/M67</f>
        <v>1.7321189312280467E-7</v>
      </c>
      <c r="O67" s="26">
        <f t="shared" ref="O67:O114" si="27">(2.032/1000)</f>
        <v>2.032E-3</v>
      </c>
      <c r="P67" s="26">
        <v>4.5724343480153871E-11</v>
      </c>
      <c r="Q67" s="2">
        <v>0.11</v>
      </c>
      <c r="R67" s="2">
        <f t="shared" ref="R67:R114" si="28">(1+Q67)*100000*1</f>
        <v>111000.00000000001</v>
      </c>
      <c r="S67" s="2">
        <f t="shared" ref="S67:S114" si="29">(SQRT(R67)-(N67*O67/P67))^2</f>
        <v>105930.10244363376</v>
      </c>
      <c r="T67" s="2">
        <f t="shared" ref="T67:T114" si="30">(S67)</f>
        <v>105930.10244363376</v>
      </c>
      <c r="U67" s="2">
        <f t="shared" ref="U67:U114" si="31">(5.13985794328043/1000)</f>
        <v>5.1398579432804297E-3</v>
      </c>
      <c r="V67" s="2">
        <v>0.06</v>
      </c>
      <c r="W67" s="2">
        <f t="shared" ref="W67:W114" si="32">(1+V67)*100000</f>
        <v>106000</v>
      </c>
      <c r="X67" s="2">
        <f t="shared" ref="X67:X114" si="33">(L67*W67)</f>
        <v>4.3575445544554459</v>
      </c>
      <c r="Y67" s="11">
        <f t="shared" ref="Y67:Y114" si="34">(N67*U67)/(T67-X67)</f>
        <v>8.4047983385541125E-15</v>
      </c>
      <c r="Z67" s="11">
        <f t="shared" ref="Z67:Z114" si="35">(Y67*6.022E+23)</f>
        <v>5061369559.4772863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>
        <v>198</v>
      </c>
      <c r="B68" s="1">
        <f t="shared" si="19"/>
        <v>3.3</v>
      </c>
      <c r="C68" s="1">
        <v>20</v>
      </c>
      <c r="D68" s="1">
        <f t="shared" si="18"/>
        <v>29.146000000000001</v>
      </c>
      <c r="E68" s="1">
        <f t="shared" si="20"/>
        <v>4.8576666666666667E-7</v>
      </c>
      <c r="F68" s="1">
        <v>21.1</v>
      </c>
      <c r="G68" s="1">
        <f t="shared" si="21"/>
        <v>294.10000000000002</v>
      </c>
      <c r="H68" s="1">
        <v>101.3</v>
      </c>
      <c r="I68" s="1">
        <f t="shared" si="22"/>
        <v>101300</v>
      </c>
      <c r="J68" s="1">
        <f t="shared" si="23"/>
        <v>2.0124824921938581E-5</v>
      </c>
      <c r="K68" s="25">
        <v>39.821782178217823</v>
      </c>
      <c r="L68" s="1">
        <f t="shared" si="24"/>
        <v>3.9821782178217822E-5</v>
      </c>
      <c r="M68" s="1">
        <f t="shared" si="25"/>
        <v>4.7762865441819992E-3</v>
      </c>
      <c r="N68" s="52">
        <f t="shared" si="26"/>
        <v>1.6778859203755307E-7</v>
      </c>
      <c r="O68" s="26">
        <f t="shared" si="27"/>
        <v>2.032E-3</v>
      </c>
      <c r="P68" s="26">
        <v>4.5724343480153871E-11</v>
      </c>
      <c r="Q68" s="2">
        <v>0.11</v>
      </c>
      <c r="R68" s="2">
        <f t="shared" si="28"/>
        <v>111000.00000000001</v>
      </c>
      <c r="S68" s="2">
        <f t="shared" si="29"/>
        <v>106087.04488438528</v>
      </c>
      <c r="T68" s="2">
        <f t="shared" si="30"/>
        <v>106087.04488438528</v>
      </c>
      <c r="U68" s="2">
        <f t="shared" si="31"/>
        <v>5.1398579432804297E-3</v>
      </c>
      <c r="V68" s="2">
        <v>0.06</v>
      </c>
      <c r="W68" s="2">
        <f t="shared" si="32"/>
        <v>106000</v>
      </c>
      <c r="X68" s="2">
        <f t="shared" si="33"/>
        <v>4.2211089108910889</v>
      </c>
      <c r="Y68" s="11">
        <f t="shared" si="34"/>
        <v>8.1295868349183184E-15</v>
      </c>
      <c r="Z68" s="11">
        <f t="shared" si="35"/>
        <v>4895637191.9878111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>
        <v>201</v>
      </c>
      <c r="B69" s="1">
        <f t="shared" si="19"/>
        <v>3.35</v>
      </c>
      <c r="C69" s="1">
        <v>20</v>
      </c>
      <c r="D69" s="1">
        <f t="shared" si="18"/>
        <v>29.146000000000001</v>
      </c>
      <c r="E69" s="1">
        <f t="shared" si="20"/>
        <v>4.8576666666666667E-7</v>
      </c>
      <c r="F69" s="1">
        <v>21.1</v>
      </c>
      <c r="G69" s="1">
        <f t="shared" si="21"/>
        <v>294.10000000000002</v>
      </c>
      <c r="H69" s="1">
        <v>101.3</v>
      </c>
      <c r="I69" s="1">
        <f t="shared" si="22"/>
        <v>101300</v>
      </c>
      <c r="J69" s="1">
        <f t="shared" si="23"/>
        <v>2.0124824921938581E-5</v>
      </c>
      <c r="K69" s="25">
        <v>37.495049504950494</v>
      </c>
      <c r="L69" s="1">
        <f t="shared" si="24"/>
        <v>3.7495049504950492E-5</v>
      </c>
      <c r="M69" s="1">
        <f t="shared" si="25"/>
        <v>4.7762865441819992E-3</v>
      </c>
      <c r="N69" s="52">
        <f t="shared" si="26"/>
        <v>1.5798493238344442E-7</v>
      </c>
      <c r="O69" s="26">
        <f t="shared" si="27"/>
        <v>2.032E-3</v>
      </c>
      <c r="P69" s="26">
        <v>4.5724343480153871E-11</v>
      </c>
      <c r="Q69" s="2">
        <v>0.11</v>
      </c>
      <c r="R69" s="2">
        <f t="shared" si="28"/>
        <v>111000.00000000001</v>
      </c>
      <c r="S69" s="2">
        <f t="shared" si="29"/>
        <v>106371.04334521999</v>
      </c>
      <c r="T69" s="2">
        <f t="shared" si="30"/>
        <v>106371.04334521999</v>
      </c>
      <c r="U69" s="2">
        <f t="shared" si="31"/>
        <v>5.1398579432804297E-3</v>
      </c>
      <c r="V69" s="2">
        <v>0.06</v>
      </c>
      <c r="W69" s="2">
        <f t="shared" si="32"/>
        <v>106000</v>
      </c>
      <c r="X69" s="2">
        <f t="shared" si="33"/>
        <v>3.9744752475247522</v>
      </c>
      <c r="Y69" s="11">
        <f t="shared" si="34"/>
        <v>7.634130734788937E-15</v>
      </c>
      <c r="Z69" s="11">
        <f t="shared" si="35"/>
        <v>4597273528.4898977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>
        <v>204</v>
      </c>
      <c r="B70" s="1">
        <f t="shared" si="19"/>
        <v>3.4</v>
      </c>
      <c r="C70" s="1">
        <v>20</v>
      </c>
      <c r="D70" s="1">
        <f t="shared" si="18"/>
        <v>29.146000000000001</v>
      </c>
      <c r="E70" s="1">
        <f t="shared" si="20"/>
        <v>4.8576666666666667E-7</v>
      </c>
      <c r="F70" s="1">
        <v>21.1</v>
      </c>
      <c r="G70" s="1">
        <f t="shared" si="21"/>
        <v>294.10000000000002</v>
      </c>
      <c r="H70" s="1">
        <v>101.3</v>
      </c>
      <c r="I70" s="1">
        <f t="shared" si="22"/>
        <v>101300</v>
      </c>
      <c r="J70" s="1">
        <f t="shared" si="23"/>
        <v>2.0124824921938581E-5</v>
      </c>
      <c r="K70" s="25">
        <v>43.881188118811885</v>
      </c>
      <c r="L70" s="1">
        <f t="shared" si="24"/>
        <v>4.3881188118811885E-5</v>
      </c>
      <c r="M70" s="1">
        <f t="shared" si="25"/>
        <v>4.7762865441819992E-3</v>
      </c>
      <c r="N70" s="52">
        <f t="shared" si="26"/>
        <v>1.8489284930642348E-7</v>
      </c>
      <c r="O70" s="26">
        <f t="shared" si="27"/>
        <v>2.032E-3</v>
      </c>
      <c r="P70" s="26">
        <v>4.5724343480153871E-11</v>
      </c>
      <c r="Q70" s="2">
        <v>0.11</v>
      </c>
      <c r="R70" s="2">
        <f t="shared" si="28"/>
        <v>111000.00000000001</v>
      </c>
      <c r="S70" s="2">
        <f t="shared" si="29"/>
        <v>105592.46715124299</v>
      </c>
      <c r="T70" s="2">
        <f t="shared" si="30"/>
        <v>105592.46715124299</v>
      </c>
      <c r="U70" s="2">
        <f t="shared" si="31"/>
        <v>5.1398579432804297E-3</v>
      </c>
      <c r="V70" s="2">
        <v>0.06</v>
      </c>
      <c r="W70" s="2">
        <f t="shared" si="32"/>
        <v>106000</v>
      </c>
      <c r="X70" s="2">
        <f t="shared" si="33"/>
        <v>4.65140594059406</v>
      </c>
      <c r="Y70" s="11">
        <f t="shared" si="34"/>
        <v>9.0003091119502778E-15</v>
      </c>
      <c r="Z70" s="11">
        <f t="shared" si="35"/>
        <v>5419986147.2164574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>
        <v>207</v>
      </c>
      <c r="B71" s="1">
        <f t="shared" si="19"/>
        <v>3.45</v>
      </c>
      <c r="C71" s="1">
        <v>20</v>
      </c>
      <c r="D71" s="1">
        <f t="shared" si="18"/>
        <v>29.146000000000001</v>
      </c>
      <c r="E71" s="1">
        <f t="shared" si="20"/>
        <v>4.8576666666666667E-7</v>
      </c>
      <c r="F71" s="1">
        <v>21.1</v>
      </c>
      <c r="G71" s="1">
        <f t="shared" si="21"/>
        <v>294.10000000000002</v>
      </c>
      <c r="H71" s="1">
        <v>101.3</v>
      </c>
      <c r="I71" s="1">
        <f t="shared" si="22"/>
        <v>101300</v>
      </c>
      <c r="J71" s="1">
        <f t="shared" si="23"/>
        <v>2.0124824921938581E-5</v>
      </c>
      <c r="K71" s="25">
        <v>45.589108910891092</v>
      </c>
      <c r="L71" s="1">
        <f t="shared" si="24"/>
        <v>4.5589108910891089E-5</v>
      </c>
      <c r="M71" s="1">
        <f t="shared" si="25"/>
        <v>4.7762865441819992E-3</v>
      </c>
      <c r="N71" s="52">
        <f t="shared" si="26"/>
        <v>1.9208915266954576E-7</v>
      </c>
      <c r="O71" s="26">
        <f t="shared" si="27"/>
        <v>2.032E-3</v>
      </c>
      <c r="P71" s="26">
        <v>4.5724343480153871E-11</v>
      </c>
      <c r="Q71" s="2">
        <v>0.11</v>
      </c>
      <c r="R71" s="2">
        <f t="shared" si="28"/>
        <v>111000.00000000001</v>
      </c>
      <c r="S71" s="2">
        <f t="shared" si="29"/>
        <v>105384.72798208415</v>
      </c>
      <c r="T71" s="2">
        <f t="shared" si="30"/>
        <v>105384.72798208415</v>
      </c>
      <c r="U71" s="2">
        <f t="shared" si="31"/>
        <v>5.1398579432804297E-3</v>
      </c>
      <c r="V71" s="2">
        <v>0.06</v>
      </c>
      <c r="W71" s="2">
        <f t="shared" si="32"/>
        <v>106000</v>
      </c>
      <c r="X71" s="2">
        <f t="shared" si="33"/>
        <v>4.8324455445544556</v>
      </c>
      <c r="Y71" s="11">
        <f t="shared" si="34"/>
        <v>9.3690637302276512E-15</v>
      </c>
      <c r="Z71" s="11">
        <f t="shared" si="35"/>
        <v>5642050178.343092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>
        <v>210</v>
      </c>
      <c r="B72" s="1">
        <f t="shared" si="19"/>
        <v>3.5</v>
      </c>
      <c r="C72" s="1">
        <v>20</v>
      </c>
      <c r="D72" s="1">
        <f t="shared" si="18"/>
        <v>29.146000000000001</v>
      </c>
      <c r="E72" s="1">
        <f t="shared" si="20"/>
        <v>4.8576666666666667E-7</v>
      </c>
      <c r="F72" s="1">
        <v>21.1</v>
      </c>
      <c r="G72" s="1">
        <f t="shared" si="21"/>
        <v>294.10000000000002</v>
      </c>
      <c r="H72" s="1">
        <v>101.3</v>
      </c>
      <c r="I72" s="1">
        <f t="shared" si="22"/>
        <v>101300</v>
      </c>
      <c r="J72" s="1">
        <f t="shared" si="23"/>
        <v>2.0124824921938581E-5</v>
      </c>
      <c r="K72" s="25">
        <v>36.554455445544555</v>
      </c>
      <c r="L72" s="1">
        <f t="shared" si="24"/>
        <v>3.6554455445544555E-5</v>
      </c>
      <c r="M72" s="1">
        <f t="shared" si="25"/>
        <v>4.7762865441819992E-3</v>
      </c>
      <c r="N72" s="52">
        <f t="shared" si="26"/>
        <v>1.5402175082114518E-7</v>
      </c>
      <c r="O72" s="26">
        <f t="shared" si="27"/>
        <v>2.032E-3</v>
      </c>
      <c r="P72" s="26">
        <v>4.5724343480153871E-11</v>
      </c>
      <c r="Q72" s="2">
        <v>0.11</v>
      </c>
      <c r="R72" s="2">
        <f t="shared" si="28"/>
        <v>111000.00000000001</v>
      </c>
      <c r="S72" s="2">
        <f t="shared" si="29"/>
        <v>106485.95898697797</v>
      </c>
      <c r="T72" s="2">
        <f t="shared" si="30"/>
        <v>106485.95898697797</v>
      </c>
      <c r="U72" s="2">
        <f t="shared" si="31"/>
        <v>5.1398579432804297E-3</v>
      </c>
      <c r="V72" s="2">
        <v>0.06</v>
      </c>
      <c r="W72" s="2">
        <f t="shared" si="32"/>
        <v>106000</v>
      </c>
      <c r="X72" s="2">
        <f t="shared" si="33"/>
        <v>3.8747722772277227</v>
      </c>
      <c r="Y72" s="11">
        <f t="shared" si="34"/>
        <v>7.4345832468850956E-15</v>
      </c>
      <c r="Z72" s="11">
        <f t="shared" si="35"/>
        <v>4477106031.2742052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>
        <v>213</v>
      </c>
      <c r="B73" s="1">
        <f t="shared" si="19"/>
        <v>3.55</v>
      </c>
      <c r="C73" s="1">
        <v>20</v>
      </c>
      <c r="D73" s="1">
        <f t="shared" si="18"/>
        <v>29.146000000000001</v>
      </c>
      <c r="E73" s="1">
        <f t="shared" si="20"/>
        <v>4.8576666666666667E-7</v>
      </c>
      <c r="F73" s="1">
        <v>21.1</v>
      </c>
      <c r="G73" s="1">
        <f t="shared" si="21"/>
        <v>294.10000000000002</v>
      </c>
      <c r="H73" s="1">
        <v>101.3</v>
      </c>
      <c r="I73" s="1">
        <f t="shared" si="22"/>
        <v>101300</v>
      </c>
      <c r="J73" s="1">
        <f t="shared" si="23"/>
        <v>2.0124824921938581E-5</v>
      </c>
      <c r="K73" s="25">
        <v>42.198019801980202</v>
      </c>
      <c r="L73" s="1">
        <f t="shared" si="24"/>
        <v>4.2198019801980203E-5</v>
      </c>
      <c r="M73" s="1">
        <f t="shared" si="25"/>
        <v>4.7762865441819992E-3</v>
      </c>
      <c r="N73" s="52">
        <f t="shared" si="26"/>
        <v>1.7780084019494063E-7</v>
      </c>
      <c r="O73" s="26">
        <f t="shared" si="27"/>
        <v>2.032E-3</v>
      </c>
      <c r="P73" s="26">
        <v>4.5724343480153871E-11</v>
      </c>
      <c r="Q73" s="2">
        <v>0.11</v>
      </c>
      <c r="R73" s="2">
        <f t="shared" si="28"/>
        <v>111000.00000000001</v>
      </c>
      <c r="S73" s="2">
        <f t="shared" si="29"/>
        <v>105797.39573341799</v>
      </c>
      <c r="T73" s="2">
        <f t="shared" si="30"/>
        <v>105797.39573341799</v>
      </c>
      <c r="U73" s="2">
        <f t="shared" si="31"/>
        <v>5.1398579432804297E-3</v>
      </c>
      <c r="V73" s="2">
        <v>0.06</v>
      </c>
      <c r="W73" s="2">
        <f t="shared" si="32"/>
        <v>106000</v>
      </c>
      <c r="X73" s="2">
        <f t="shared" si="33"/>
        <v>4.4729900990099019</v>
      </c>
      <c r="Y73" s="11">
        <f t="shared" si="34"/>
        <v>8.6383005318341346E-15</v>
      </c>
      <c r="Z73" s="11">
        <f t="shared" si="35"/>
        <v>5201984580.2705164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>
        <v>216</v>
      </c>
      <c r="B74" s="1">
        <f t="shared" si="19"/>
        <v>3.6</v>
      </c>
      <c r="C74" s="1">
        <v>20</v>
      </c>
      <c r="D74" s="1">
        <f t="shared" si="18"/>
        <v>29.146000000000001</v>
      </c>
      <c r="E74" s="1">
        <f t="shared" si="20"/>
        <v>4.8576666666666667E-7</v>
      </c>
      <c r="F74" s="1">
        <v>21.1</v>
      </c>
      <c r="G74" s="1">
        <f t="shared" si="21"/>
        <v>294.10000000000002</v>
      </c>
      <c r="H74" s="1">
        <v>101.3</v>
      </c>
      <c r="I74" s="1">
        <f t="shared" si="22"/>
        <v>101300</v>
      </c>
      <c r="J74" s="1">
        <f t="shared" si="23"/>
        <v>2.0124824921938581E-5</v>
      </c>
      <c r="K74" s="25">
        <v>47.519801980198018</v>
      </c>
      <c r="L74" s="1">
        <f t="shared" si="24"/>
        <v>4.751980198019802E-5</v>
      </c>
      <c r="M74" s="1">
        <f t="shared" si="25"/>
        <v>4.7762865441819992E-3</v>
      </c>
      <c r="N74" s="52">
        <f t="shared" si="26"/>
        <v>2.0022410429742319E-7</v>
      </c>
      <c r="O74" s="26">
        <f t="shared" si="27"/>
        <v>2.032E-3</v>
      </c>
      <c r="P74" s="26">
        <v>4.5724343480153871E-11</v>
      </c>
      <c r="Q74" s="2">
        <v>0.11</v>
      </c>
      <c r="R74" s="2">
        <f t="shared" si="28"/>
        <v>111000.00000000001</v>
      </c>
      <c r="S74" s="2">
        <f t="shared" si="29"/>
        <v>105150.138711308</v>
      </c>
      <c r="T74" s="2">
        <f t="shared" si="30"/>
        <v>105150.138711308</v>
      </c>
      <c r="U74" s="2">
        <f t="shared" si="31"/>
        <v>5.1398579432804297E-3</v>
      </c>
      <c r="V74" s="2">
        <v>0.06</v>
      </c>
      <c r="W74" s="2">
        <f t="shared" si="32"/>
        <v>106000</v>
      </c>
      <c r="X74" s="2">
        <f t="shared" si="33"/>
        <v>5.0370990099009898</v>
      </c>
      <c r="Y74" s="11">
        <f t="shared" si="34"/>
        <v>9.787649991570796E-15</v>
      </c>
      <c r="Z74" s="11">
        <f t="shared" si="35"/>
        <v>5894122824.923934</v>
      </c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>
        <v>219</v>
      </c>
      <c r="B75" s="1">
        <f t="shared" si="19"/>
        <v>3.65</v>
      </c>
      <c r="C75" s="1">
        <v>20</v>
      </c>
      <c r="D75" s="1">
        <f t="shared" si="18"/>
        <v>29.146000000000001</v>
      </c>
      <c r="E75" s="1">
        <f t="shared" si="20"/>
        <v>4.8576666666666667E-7</v>
      </c>
      <c r="F75" s="1">
        <v>21.1</v>
      </c>
      <c r="G75" s="1">
        <f t="shared" si="21"/>
        <v>294.10000000000002</v>
      </c>
      <c r="H75" s="1">
        <v>101.3</v>
      </c>
      <c r="I75" s="1">
        <f t="shared" si="22"/>
        <v>101300</v>
      </c>
      <c r="J75" s="1">
        <f t="shared" si="23"/>
        <v>2.0124824921938581E-5</v>
      </c>
      <c r="K75" s="25">
        <v>46.009900990099013</v>
      </c>
      <c r="L75" s="1">
        <f t="shared" si="24"/>
        <v>4.6009900990099016E-5</v>
      </c>
      <c r="M75" s="1">
        <f t="shared" si="25"/>
        <v>4.7762865441819992E-3</v>
      </c>
      <c r="N75" s="52">
        <f t="shared" si="26"/>
        <v>1.9386215494741651E-7</v>
      </c>
      <c r="O75" s="26">
        <f t="shared" si="27"/>
        <v>2.032E-3</v>
      </c>
      <c r="P75" s="26">
        <v>4.5724343480153871E-11</v>
      </c>
      <c r="Q75" s="2">
        <v>0.11</v>
      </c>
      <c r="R75" s="2">
        <f t="shared" si="28"/>
        <v>111000.00000000001</v>
      </c>
      <c r="S75" s="2">
        <f t="shared" si="29"/>
        <v>105333.57727451781</v>
      </c>
      <c r="T75" s="2">
        <f t="shared" si="30"/>
        <v>105333.57727451781</v>
      </c>
      <c r="U75" s="2">
        <f t="shared" si="31"/>
        <v>5.1398579432804297E-3</v>
      </c>
      <c r="V75" s="2">
        <v>0.06</v>
      </c>
      <c r="W75" s="2">
        <f t="shared" si="32"/>
        <v>106000</v>
      </c>
      <c r="X75" s="2">
        <f t="shared" si="33"/>
        <v>4.8770495049504961</v>
      </c>
      <c r="Y75" s="11">
        <f t="shared" si="34"/>
        <v>9.4601370270333518E-15</v>
      </c>
      <c r="Z75" s="11">
        <f t="shared" si="35"/>
        <v>5696894517.6794844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>
        <v>222</v>
      </c>
      <c r="B76" s="1">
        <f t="shared" si="19"/>
        <v>3.7</v>
      </c>
      <c r="C76" s="1">
        <v>20</v>
      </c>
      <c r="D76" s="1">
        <f t="shared" si="18"/>
        <v>29.146000000000001</v>
      </c>
      <c r="E76" s="1">
        <f t="shared" si="20"/>
        <v>4.8576666666666667E-7</v>
      </c>
      <c r="F76" s="1">
        <v>21.1</v>
      </c>
      <c r="G76" s="1">
        <f t="shared" si="21"/>
        <v>294.10000000000002</v>
      </c>
      <c r="H76" s="1">
        <v>101.3</v>
      </c>
      <c r="I76" s="1">
        <f t="shared" si="22"/>
        <v>101300</v>
      </c>
      <c r="J76" s="1">
        <f t="shared" si="23"/>
        <v>2.0124824921938581E-5</v>
      </c>
      <c r="K76" s="25">
        <v>42.420792079207921</v>
      </c>
      <c r="L76" s="1">
        <f t="shared" si="24"/>
        <v>4.2420792079207918E-5</v>
      </c>
      <c r="M76" s="1">
        <f t="shared" si="25"/>
        <v>4.7762865441819992E-3</v>
      </c>
      <c r="N76" s="52">
        <f t="shared" si="26"/>
        <v>1.7873948845969568E-7</v>
      </c>
      <c r="O76" s="26">
        <f t="shared" si="27"/>
        <v>2.032E-3</v>
      </c>
      <c r="P76" s="26">
        <v>4.5724343480153871E-11</v>
      </c>
      <c r="Q76" s="2">
        <v>0.11</v>
      </c>
      <c r="R76" s="2">
        <f t="shared" si="28"/>
        <v>111000.00000000001</v>
      </c>
      <c r="S76" s="2">
        <f t="shared" si="29"/>
        <v>105770.26142593386</v>
      </c>
      <c r="T76" s="2">
        <f t="shared" si="30"/>
        <v>105770.26142593386</v>
      </c>
      <c r="U76" s="2">
        <f t="shared" si="31"/>
        <v>5.1398579432804297E-3</v>
      </c>
      <c r="V76" s="2">
        <v>0.06</v>
      </c>
      <c r="W76" s="2">
        <f t="shared" si="32"/>
        <v>106000</v>
      </c>
      <c r="X76" s="2">
        <f t="shared" si="33"/>
        <v>4.4966039603960395</v>
      </c>
      <c r="Y76" s="11">
        <f t="shared" si="34"/>
        <v>8.6861337511604987E-15</v>
      </c>
      <c r="Z76" s="11">
        <f t="shared" si="35"/>
        <v>5230789744.9488525</v>
      </c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1">
        <v>225</v>
      </c>
      <c r="B77" s="1">
        <f t="shared" si="19"/>
        <v>3.75</v>
      </c>
      <c r="C77" s="1">
        <v>20</v>
      </c>
      <c r="D77" s="1">
        <f t="shared" si="18"/>
        <v>29.146000000000001</v>
      </c>
      <c r="E77" s="1">
        <f t="shared" si="20"/>
        <v>4.8576666666666667E-7</v>
      </c>
      <c r="F77" s="1">
        <v>21.1</v>
      </c>
      <c r="G77" s="1">
        <f t="shared" si="21"/>
        <v>294.10000000000002</v>
      </c>
      <c r="H77" s="1">
        <v>101.3</v>
      </c>
      <c r="I77" s="1">
        <f t="shared" si="22"/>
        <v>101300</v>
      </c>
      <c r="J77" s="1">
        <f t="shared" si="23"/>
        <v>2.0124824921938581E-5</v>
      </c>
      <c r="K77" s="25">
        <v>49.128712871287128</v>
      </c>
      <c r="L77" s="1">
        <f t="shared" si="24"/>
        <v>4.9128712871287128E-5</v>
      </c>
      <c r="M77" s="1">
        <f t="shared" si="25"/>
        <v>4.7762865441819992E-3</v>
      </c>
      <c r="N77" s="52">
        <f t="shared" si="26"/>
        <v>2.0700323065398763E-7</v>
      </c>
      <c r="O77" s="26">
        <f t="shared" si="27"/>
        <v>2.032E-3</v>
      </c>
      <c r="P77" s="26">
        <v>4.5724343480153871E-11</v>
      </c>
      <c r="Q77" s="2">
        <v>0.11</v>
      </c>
      <c r="R77" s="2">
        <f t="shared" si="28"/>
        <v>111000.00000000001</v>
      </c>
      <c r="S77" s="2">
        <f t="shared" si="29"/>
        <v>104954.84732682012</v>
      </c>
      <c r="T77" s="2">
        <f t="shared" si="30"/>
        <v>104954.84732682012</v>
      </c>
      <c r="U77" s="2">
        <f t="shared" si="31"/>
        <v>5.1398579432804297E-3</v>
      </c>
      <c r="V77" s="2">
        <v>0.06</v>
      </c>
      <c r="W77" s="2">
        <f t="shared" si="32"/>
        <v>106000</v>
      </c>
      <c r="X77" s="2">
        <f t="shared" si="33"/>
        <v>5.2076435643564354</v>
      </c>
      <c r="Y77" s="11">
        <f t="shared" si="34"/>
        <v>1.0137883298815749E-14</v>
      </c>
      <c r="Z77" s="11">
        <f t="shared" si="35"/>
        <v>6105033322.5468445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>
        <v>228</v>
      </c>
      <c r="B78" s="1">
        <f t="shared" si="19"/>
        <v>3.8</v>
      </c>
      <c r="C78" s="1">
        <v>20</v>
      </c>
      <c r="D78" s="1">
        <f t="shared" si="18"/>
        <v>29.146000000000001</v>
      </c>
      <c r="E78" s="1">
        <f t="shared" si="20"/>
        <v>4.8576666666666667E-7</v>
      </c>
      <c r="F78" s="1">
        <v>21.1</v>
      </c>
      <c r="G78" s="1">
        <f t="shared" si="21"/>
        <v>294.10000000000002</v>
      </c>
      <c r="H78" s="1">
        <v>101.3</v>
      </c>
      <c r="I78" s="1">
        <f t="shared" si="22"/>
        <v>101300</v>
      </c>
      <c r="J78" s="1">
        <f t="shared" si="23"/>
        <v>2.0124824921938581E-5</v>
      </c>
      <c r="K78" s="25">
        <v>41.603960396039611</v>
      </c>
      <c r="L78" s="1">
        <f t="shared" si="24"/>
        <v>4.1603960396039613E-5</v>
      </c>
      <c r="M78" s="1">
        <f t="shared" si="25"/>
        <v>4.7762865441819992E-3</v>
      </c>
      <c r="N78" s="52">
        <f t="shared" si="26"/>
        <v>1.7529777815559379E-7</v>
      </c>
      <c r="O78" s="26">
        <f t="shared" si="27"/>
        <v>2.032E-3</v>
      </c>
      <c r="P78" s="26">
        <v>4.5724343480153871E-11</v>
      </c>
      <c r="Q78" s="2">
        <v>0.11</v>
      </c>
      <c r="R78" s="2">
        <f t="shared" si="28"/>
        <v>111000.00000000001</v>
      </c>
      <c r="S78" s="2">
        <f t="shared" si="29"/>
        <v>105869.77090039355</v>
      </c>
      <c r="T78" s="2">
        <f t="shared" si="30"/>
        <v>105869.77090039355</v>
      </c>
      <c r="U78" s="2">
        <f t="shared" si="31"/>
        <v>5.1398579432804297E-3</v>
      </c>
      <c r="V78" s="2">
        <v>0.06</v>
      </c>
      <c r="W78" s="2">
        <f t="shared" si="32"/>
        <v>106000</v>
      </c>
      <c r="X78" s="2">
        <f t="shared" si="33"/>
        <v>4.4100198019801988</v>
      </c>
      <c r="Y78" s="11">
        <f t="shared" si="34"/>
        <v>8.5108638935138394E-15</v>
      </c>
      <c r="Z78" s="11">
        <f t="shared" si="35"/>
        <v>5125242236.6740341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>
        <v>231</v>
      </c>
      <c r="B79" s="1">
        <f t="shared" si="19"/>
        <v>3.85</v>
      </c>
      <c r="C79" s="1">
        <v>20</v>
      </c>
      <c r="D79" s="1">
        <f t="shared" si="18"/>
        <v>29.146000000000001</v>
      </c>
      <c r="E79" s="1">
        <f t="shared" si="20"/>
        <v>4.8576666666666667E-7</v>
      </c>
      <c r="F79" s="1">
        <v>21.1</v>
      </c>
      <c r="G79" s="1">
        <f t="shared" si="21"/>
        <v>294.10000000000002</v>
      </c>
      <c r="H79" s="1">
        <v>101.3</v>
      </c>
      <c r="I79" s="1">
        <f t="shared" si="22"/>
        <v>101300</v>
      </c>
      <c r="J79" s="1">
        <f t="shared" si="23"/>
        <v>2.0124824921938581E-5</v>
      </c>
      <c r="K79" s="25">
        <v>46.381188118811878</v>
      </c>
      <c r="L79" s="1">
        <f t="shared" si="24"/>
        <v>4.6381188118811878E-5</v>
      </c>
      <c r="M79" s="1">
        <f t="shared" si="25"/>
        <v>4.7762865441819992E-3</v>
      </c>
      <c r="N79" s="52">
        <f t="shared" si="26"/>
        <v>1.954265687220083E-7</v>
      </c>
      <c r="O79" s="26">
        <f t="shared" si="27"/>
        <v>2.032E-3</v>
      </c>
      <c r="P79" s="26">
        <v>4.5724343480153871E-11</v>
      </c>
      <c r="Q79" s="2">
        <v>0.11</v>
      </c>
      <c r="R79" s="2">
        <f t="shared" si="28"/>
        <v>111000.00000000001</v>
      </c>
      <c r="S79" s="2">
        <f t="shared" si="29"/>
        <v>105288.45460857735</v>
      </c>
      <c r="T79" s="2">
        <f t="shared" si="30"/>
        <v>105288.45460857735</v>
      </c>
      <c r="U79" s="2">
        <f t="shared" si="31"/>
        <v>5.1398579432804297E-3</v>
      </c>
      <c r="V79" s="2">
        <v>0.06</v>
      </c>
      <c r="W79" s="2">
        <f t="shared" si="32"/>
        <v>106000</v>
      </c>
      <c r="X79" s="2">
        <f t="shared" si="33"/>
        <v>4.9164059405940588</v>
      </c>
      <c r="Y79" s="11">
        <f t="shared" si="34"/>
        <v>9.540568437589771E-15</v>
      </c>
      <c r="Z79" s="11">
        <f t="shared" si="35"/>
        <v>5745330313.11656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>
        <v>234</v>
      </c>
      <c r="B80" s="1">
        <f t="shared" si="19"/>
        <v>3.9</v>
      </c>
      <c r="C80" s="1">
        <v>20</v>
      </c>
      <c r="D80" s="1">
        <f t="shared" si="18"/>
        <v>29.146000000000001</v>
      </c>
      <c r="E80" s="1">
        <f t="shared" si="20"/>
        <v>4.8576666666666667E-7</v>
      </c>
      <c r="F80" s="1">
        <v>21.1</v>
      </c>
      <c r="G80" s="1">
        <f t="shared" si="21"/>
        <v>294.10000000000002</v>
      </c>
      <c r="H80" s="1">
        <v>101.3</v>
      </c>
      <c r="I80" s="1">
        <f t="shared" si="22"/>
        <v>101300</v>
      </c>
      <c r="J80" s="1">
        <f t="shared" si="23"/>
        <v>2.0124824921938581E-5</v>
      </c>
      <c r="K80" s="25">
        <v>38.707920792079214</v>
      </c>
      <c r="L80" s="1">
        <f t="shared" si="24"/>
        <v>3.8707920792079215E-5</v>
      </c>
      <c r="M80" s="1">
        <f t="shared" si="25"/>
        <v>4.7762865441819992E-3</v>
      </c>
      <c r="N80" s="52">
        <f t="shared" si="26"/>
        <v>1.6309535071377769E-7</v>
      </c>
      <c r="O80" s="26">
        <f t="shared" si="27"/>
        <v>2.032E-3</v>
      </c>
      <c r="P80" s="26">
        <v>4.5724343480153871E-11</v>
      </c>
      <c r="Q80" s="2">
        <v>0.11</v>
      </c>
      <c r="R80" s="2">
        <f t="shared" si="28"/>
        <v>111000.00000000001</v>
      </c>
      <c r="S80" s="2">
        <f t="shared" si="29"/>
        <v>106222.95422671486</v>
      </c>
      <c r="T80" s="2">
        <f t="shared" si="30"/>
        <v>106222.95422671486</v>
      </c>
      <c r="U80" s="2">
        <f t="shared" si="31"/>
        <v>5.1398579432804297E-3</v>
      </c>
      <c r="V80" s="2">
        <v>0.06</v>
      </c>
      <c r="W80" s="2">
        <f t="shared" si="32"/>
        <v>106000</v>
      </c>
      <c r="X80" s="2">
        <f t="shared" si="33"/>
        <v>4.1030396039603971</v>
      </c>
      <c r="Y80" s="11">
        <f t="shared" si="34"/>
        <v>7.8920730596269089E-15</v>
      </c>
      <c r="Z80" s="11">
        <f t="shared" si="35"/>
        <v>4752606396.5073252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>
        <v>237</v>
      </c>
      <c r="B81" s="1">
        <f t="shared" si="19"/>
        <v>3.95</v>
      </c>
      <c r="C81" s="1">
        <v>20</v>
      </c>
      <c r="D81" s="1">
        <f t="shared" si="18"/>
        <v>29.146000000000001</v>
      </c>
      <c r="E81" s="1">
        <f t="shared" si="20"/>
        <v>4.8576666666666667E-7</v>
      </c>
      <c r="F81" s="1">
        <v>21.1</v>
      </c>
      <c r="G81" s="1">
        <f t="shared" si="21"/>
        <v>294.10000000000002</v>
      </c>
      <c r="H81" s="1">
        <v>101.3</v>
      </c>
      <c r="I81" s="1">
        <f t="shared" si="22"/>
        <v>101300</v>
      </c>
      <c r="J81" s="1">
        <f t="shared" si="23"/>
        <v>2.0124824921938581E-5</v>
      </c>
      <c r="K81" s="25">
        <v>41.628712871287128</v>
      </c>
      <c r="L81" s="1">
        <f t="shared" si="24"/>
        <v>4.1628712871287129E-5</v>
      </c>
      <c r="M81" s="1">
        <f t="shared" si="25"/>
        <v>4.7762865441819992E-3</v>
      </c>
      <c r="N81" s="52">
        <f t="shared" si="26"/>
        <v>1.7540207240723319E-7</v>
      </c>
      <c r="O81" s="26">
        <f t="shared" si="27"/>
        <v>2.032E-3</v>
      </c>
      <c r="P81" s="26">
        <v>4.5724343480153871E-11</v>
      </c>
      <c r="Q81" s="2">
        <v>0.11</v>
      </c>
      <c r="R81" s="2">
        <f t="shared" si="28"/>
        <v>111000.00000000001</v>
      </c>
      <c r="S81" s="2">
        <f t="shared" si="29"/>
        <v>105866.75477435194</v>
      </c>
      <c r="T81" s="2">
        <f t="shared" si="30"/>
        <v>105866.75477435194</v>
      </c>
      <c r="U81" s="2">
        <f t="shared" si="31"/>
        <v>5.1398579432804297E-3</v>
      </c>
      <c r="V81" s="2">
        <v>0.06</v>
      </c>
      <c r="W81" s="2">
        <f t="shared" si="32"/>
        <v>106000</v>
      </c>
      <c r="X81" s="2">
        <f t="shared" si="33"/>
        <v>4.4126435643564355</v>
      </c>
      <c r="Y81" s="11">
        <f t="shared" si="34"/>
        <v>8.5161703112175355E-15</v>
      </c>
      <c r="Z81" s="11">
        <f t="shared" si="35"/>
        <v>5128437761.4152002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>
        <v>240</v>
      </c>
      <c r="B82" s="1">
        <f t="shared" si="19"/>
        <v>4</v>
      </c>
      <c r="C82" s="1">
        <v>20</v>
      </c>
      <c r="D82" s="1">
        <f t="shared" si="18"/>
        <v>29.146000000000001</v>
      </c>
      <c r="E82" s="1">
        <f t="shared" si="20"/>
        <v>4.8576666666666667E-7</v>
      </c>
      <c r="F82" s="1">
        <v>21.1</v>
      </c>
      <c r="G82" s="1">
        <f t="shared" si="21"/>
        <v>294.10000000000002</v>
      </c>
      <c r="H82" s="1">
        <v>101.3</v>
      </c>
      <c r="I82" s="1">
        <f t="shared" si="22"/>
        <v>101300</v>
      </c>
      <c r="J82" s="1">
        <f t="shared" si="23"/>
        <v>2.0124824921938581E-5</v>
      </c>
      <c r="K82" s="25">
        <v>43.534653465346537</v>
      </c>
      <c r="L82" s="1">
        <f t="shared" si="24"/>
        <v>4.3534653465346538E-5</v>
      </c>
      <c r="M82" s="1">
        <f t="shared" si="25"/>
        <v>4.7762865441819992E-3</v>
      </c>
      <c r="N82" s="52">
        <f t="shared" si="26"/>
        <v>1.8343272978347114E-7</v>
      </c>
      <c r="O82" s="26">
        <f t="shared" si="27"/>
        <v>2.032E-3</v>
      </c>
      <c r="P82" s="26">
        <v>4.5724343480153871E-11</v>
      </c>
      <c r="Q82" s="2">
        <v>0.11</v>
      </c>
      <c r="R82" s="2">
        <f t="shared" si="28"/>
        <v>111000.00000000001</v>
      </c>
      <c r="S82" s="2">
        <f t="shared" si="29"/>
        <v>105634.64208959084</v>
      </c>
      <c r="T82" s="2">
        <f t="shared" si="30"/>
        <v>105634.64208959084</v>
      </c>
      <c r="U82" s="2">
        <f t="shared" si="31"/>
        <v>5.1398579432804297E-3</v>
      </c>
      <c r="V82" s="2">
        <v>0.06</v>
      </c>
      <c r="W82" s="2">
        <f t="shared" si="32"/>
        <v>106000</v>
      </c>
      <c r="X82" s="2">
        <f t="shared" si="33"/>
        <v>4.614673267326733</v>
      </c>
      <c r="Y82" s="11">
        <f t="shared" si="34"/>
        <v>8.9256643806331973E-15</v>
      </c>
      <c r="Z82" s="11">
        <f t="shared" si="35"/>
        <v>5375035090.017312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>
        <v>243</v>
      </c>
      <c r="B83" s="1">
        <f t="shared" si="19"/>
        <v>4.05</v>
      </c>
      <c r="C83" s="1">
        <v>20</v>
      </c>
      <c r="D83" s="1">
        <f t="shared" si="18"/>
        <v>29.146000000000001</v>
      </c>
      <c r="E83" s="1">
        <f t="shared" si="20"/>
        <v>4.8576666666666667E-7</v>
      </c>
      <c r="F83" s="1">
        <v>21.1</v>
      </c>
      <c r="G83" s="1">
        <f t="shared" si="21"/>
        <v>294.10000000000002</v>
      </c>
      <c r="H83" s="1">
        <v>101.3</v>
      </c>
      <c r="I83" s="1">
        <f t="shared" si="22"/>
        <v>101300</v>
      </c>
      <c r="J83" s="1">
        <f t="shared" si="23"/>
        <v>2.0124824921938581E-5</v>
      </c>
      <c r="K83" s="25">
        <v>40.341584158415841</v>
      </c>
      <c r="L83" s="1">
        <f t="shared" si="24"/>
        <v>4.0341584158415839E-5</v>
      </c>
      <c r="M83" s="1">
        <f t="shared" si="25"/>
        <v>4.7762865441819992E-3</v>
      </c>
      <c r="N83" s="52">
        <f t="shared" si="26"/>
        <v>1.6997877132198158E-7</v>
      </c>
      <c r="O83" s="26">
        <f t="shared" si="27"/>
        <v>2.032E-3</v>
      </c>
      <c r="P83" s="26">
        <v>4.5724343480153871E-11</v>
      </c>
      <c r="Q83" s="2">
        <v>0.11</v>
      </c>
      <c r="R83" s="2">
        <f t="shared" si="28"/>
        <v>111000.00000000001</v>
      </c>
      <c r="S83" s="2">
        <f t="shared" si="29"/>
        <v>106023.65029857942</v>
      </c>
      <c r="T83" s="2">
        <f t="shared" si="30"/>
        <v>106023.65029857942</v>
      </c>
      <c r="U83" s="2">
        <f t="shared" si="31"/>
        <v>5.1398579432804297E-3</v>
      </c>
      <c r="V83" s="2">
        <v>0.06</v>
      </c>
      <c r="W83" s="2">
        <f t="shared" si="32"/>
        <v>106000</v>
      </c>
      <c r="X83" s="2">
        <f t="shared" si="33"/>
        <v>4.2762079207920785</v>
      </c>
      <c r="Y83" s="11">
        <f t="shared" si="34"/>
        <v>8.2406328603793705E-15</v>
      </c>
      <c r="Z83" s="11">
        <f t="shared" si="35"/>
        <v>4962509108.5204573</v>
      </c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1">
        <v>246</v>
      </c>
      <c r="B84" s="1">
        <f t="shared" si="19"/>
        <v>4.0999999999999996</v>
      </c>
      <c r="C84" s="1">
        <v>20</v>
      </c>
      <c r="D84" s="1">
        <f t="shared" si="18"/>
        <v>29.146000000000001</v>
      </c>
      <c r="E84" s="1">
        <f t="shared" si="20"/>
        <v>4.8576666666666667E-7</v>
      </c>
      <c r="F84" s="1">
        <v>21.1</v>
      </c>
      <c r="G84" s="1">
        <f t="shared" si="21"/>
        <v>294.10000000000002</v>
      </c>
      <c r="H84" s="1">
        <v>101.3</v>
      </c>
      <c r="I84" s="1">
        <f t="shared" si="22"/>
        <v>101300</v>
      </c>
      <c r="J84" s="1">
        <f t="shared" si="23"/>
        <v>2.0124824921938581E-5</v>
      </c>
      <c r="K84" s="25">
        <v>38.955445544554458</v>
      </c>
      <c r="L84" s="1">
        <f t="shared" si="24"/>
        <v>3.8955445544554459E-5</v>
      </c>
      <c r="M84" s="1">
        <f t="shared" si="25"/>
        <v>4.7762865441819992E-3</v>
      </c>
      <c r="N84" s="52">
        <f t="shared" si="26"/>
        <v>1.6413829323017219E-7</v>
      </c>
      <c r="O84" s="26">
        <f t="shared" si="27"/>
        <v>2.032E-3</v>
      </c>
      <c r="P84" s="26">
        <v>4.5724343480153871E-11</v>
      </c>
      <c r="Q84" s="2">
        <v>0.11</v>
      </c>
      <c r="R84" s="2">
        <f t="shared" si="28"/>
        <v>111000.00000000001</v>
      </c>
      <c r="S84" s="2">
        <f t="shared" si="29"/>
        <v>106192.74463196789</v>
      </c>
      <c r="T84" s="2">
        <f t="shared" si="30"/>
        <v>106192.74463196789</v>
      </c>
      <c r="U84" s="2">
        <f t="shared" si="31"/>
        <v>5.1398579432804297E-3</v>
      </c>
      <c r="V84" s="2">
        <v>0.06</v>
      </c>
      <c r="W84" s="2">
        <f t="shared" si="32"/>
        <v>106000</v>
      </c>
      <c r="X84" s="2">
        <f t="shared" si="33"/>
        <v>4.1292772277227723</v>
      </c>
      <c r="Y84" s="11">
        <f t="shared" si="34"/>
        <v>7.9448018738849985E-15</v>
      </c>
      <c r="Z84" s="11">
        <f t="shared" si="35"/>
        <v>4784359688.4535465</v>
      </c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1">
        <v>249</v>
      </c>
      <c r="B85" s="1">
        <f t="shared" si="19"/>
        <v>4.1500000000000004</v>
      </c>
      <c r="C85" s="1">
        <v>20</v>
      </c>
      <c r="D85" s="1">
        <f t="shared" si="18"/>
        <v>29.146000000000001</v>
      </c>
      <c r="E85" s="1">
        <f t="shared" si="20"/>
        <v>4.8576666666666667E-7</v>
      </c>
      <c r="F85" s="1">
        <v>21.1</v>
      </c>
      <c r="G85" s="1">
        <f t="shared" si="21"/>
        <v>294.10000000000002</v>
      </c>
      <c r="H85" s="1">
        <v>101.3</v>
      </c>
      <c r="I85" s="1">
        <f t="shared" si="22"/>
        <v>101300</v>
      </c>
      <c r="J85" s="1">
        <f t="shared" si="23"/>
        <v>2.0124824921938581E-5</v>
      </c>
      <c r="K85" s="25">
        <v>39.351485148514854</v>
      </c>
      <c r="L85" s="1">
        <f t="shared" si="24"/>
        <v>3.9351485148514857E-5</v>
      </c>
      <c r="M85" s="1">
        <f t="shared" si="25"/>
        <v>4.7762865441819992E-3</v>
      </c>
      <c r="N85" s="52">
        <f t="shared" si="26"/>
        <v>1.6580700125640346E-7</v>
      </c>
      <c r="O85" s="26">
        <f t="shared" si="27"/>
        <v>2.032E-3</v>
      </c>
      <c r="P85" s="26">
        <v>4.5724343480153871E-11</v>
      </c>
      <c r="Q85" s="2">
        <v>0.11</v>
      </c>
      <c r="R85" s="2">
        <f t="shared" si="28"/>
        <v>111000.00000000001</v>
      </c>
      <c r="S85" s="2">
        <f t="shared" si="29"/>
        <v>106144.41821685352</v>
      </c>
      <c r="T85" s="2">
        <f t="shared" si="30"/>
        <v>106144.41821685352</v>
      </c>
      <c r="U85" s="2">
        <f t="shared" si="31"/>
        <v>5.1398579432804297E-3</v>
      </c>
      <c r="V85" s="2">
        <v>0.06</v>
      </c>
      <c r="W85" s="2">
        <f t="shared" si="32"/>
        <v>106000</v>
      </c>
      <c r="X85" s="2">
        <f t="shared" si="33"/>
        <v>4.1712574257425752</v>
      </c>
      <c r="Y85" s="11">
        <f t="shared" si="34"/>
        <v>8.0292297867461836E-15</v>
      </c>
      <c r="Z85" s="11">
        <f t="shared" si="35"/>
        <v>4835202177.5785522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1">
        <v>252</v>
      </c>
      <c r="B86" s="1">
        <f t="shared" si="19"/>
        <v>4.2</v>
      </c>
      <c r="C86" s="1">
        <v>20</v>
      </c>
      <c r="D86" s="1">
        <f t="shared" si="18"/>
        <v>29.146000000000001</v>
      </c>
      <c r="E86" s="1">
        <f t="shared" si="20"/>
        <v>4.8576666666666667E-7</v>
      </c>
      <c r="F86" s="1">
        <v>21.1</v>
      </c>
      <c r="G86" s="1">
        <f t="shared" si="21"/>
        <v>294.10000000000002</v>
      </c>
      <c r="H86" s="1">
        <v>101.3</v>
      </c>
      <c r="I86" s="1">
        <f t="shared" si="22"/>
        <v>101300</v>
      </c>
      <c r="J86" s="1">
        <f t="shared" si="23"/>
        <v>2.0124824921938581E-5</v>
      </c>
      <c r="K86" s="25">
        <v>38.014851485148519</v>
      </c>
      <c r="L86" s="1">
        <f t="shared" si="24"/>
        <v>3.8014851485148515E-5</v>
      </c>
      <c r="M86" s="1">
        <f t="shared" si="25"/>
        <v>4.7762865441819992E-3</v>
      </c>
      <c r="N86" s="52">
        <f t="shared" si="26"/>
        <v>1.6017511166787295E-7</v>
      </c>
      <c r="O86" s="26">
        <f t="shared" si="27"/>
        <v>2.032E-3</v>
      </c>
      <c r="P86" s="26">
        <v>4.5724343480153871E-11</v>
      </c>
      <c r="Q86" s="2">
        <v>0.11</v>
      </c>
      <c r="R86" s="2">
        <f t="shared" si="28"/>
        <v>111000.00000000001</v>
      </c>
      <c r="S86" s="2">
        <f t="shared" si="29"/>
        <v>106307.56394877451</v>
      </c>
      <c r="T86" s="2">
        <f t="shared" si="30"/>
        <v>106307.56394877451</v>
      </c>
      <c r="U86" s="2">
        <f t="shared" si="31"/>
        <v>5.1398579432804297E-3</v>
      </c>
      <c r="V86" s="2">
        <v>0.06</v>
      </c>
      <c r="W86" s="2">
        <f t="shared" si="32"/>
        <v>106000</v>
      </c>
      <c r="X86" s="2">
        <f t="shared" si="33"/>
        <v>4.0295742574257423</v>
      </c>
      <c r="Y86" s="11">
        <f t="shared" si="34"/>
        <v>7.7445902891757609E-15</v>
      </c>
      <c r="Z86" s="11">
        <f t="shared" si="35"/>
        <v>4663792272.1416435</v>
      </c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1">
        <v>255</v>
      </c>
      <c r="B87" s="1">
        <f t="shared" si="19"/>
        <v>4.25</v>
      </c>
      <c r="C87" s="1">
        <v>20</v>
      </c>
      <c r="D87" s="1">
        <f t="shared" si="18"/>
        <v>29.146000000000001</v>
      </c>
      <c r="E87" s="1">
        <f t="shared" si="20"/>
        <v>4.8576666666666667E-7</v>
      </c>
      <c r="F87" s="1">
        <v>21.1</v>
      </c>
      <c r="G87" s="1">
        <f t="shared" si="21"/>
        <v>294.10000000000002</v>
      </c>
      <c r="H87" s="1">
        <v>101.3</v>
      </c>
      <c r="I87" s="1">
        <f t="shared" si="22"/>
        <v>101300</v>
      </c>
      <c r="J87" s="1">
        <f t="shared" si="23"/>
        <v>2.0124824921938581E-5</v>
      </c>
      <c r="K87" s="25">
        <v>46.059405940594061</v>
      </c>
      <c r="L87" s="1">
        <f t="shared" si="24"/>
        <v>4.605940594059406E-5</v>
      </c>
      <c r="M87" s="1">
        <f t="shared" si="25"/>
        <v>4.7762865441819992E-3</v>
      </c>
      <c r="N87" s="52">
        <f t="shared" si="26"/>
        <v>1.9407074345069542E-7</v>
      </c>
      <c r="O87" s="26">
        <f t="shared" si="27"/>
        <v>2.032E-3</v>
      </c>
      <c r="P87" s="26">
        <v>4.5724343480153871E-11</v>
      </c>
      <c r="Q87" s="2">
        <v>0.11</v>
      </c>
      <c r="R87" s="2">
        <f t="shared" si="28"/>
        <v>111000.00000000001</v>
      </c>
      <c r="S87" s="2">
        <f t="shared" si="29"/>
        <v>105327.56036052901</v>
      </c>
      <c r="T87" s="2">
        <f t="shared" si="30"/>
        <v>105327.56036052901</v>
      </c>
      <c r="U87" s="2">
        <f t="shared" si="31"/>
        <v>5.1398579432804297E-3</v>
      </c>
      <c r="V87" s="2">
        <v>0.06</v>
      </c>
      <c r="W87" s="2">
        <f t="shared" si="32"/>
        <v>106000</v>
      </c>
      <c r="X87" s="2">
        <f t="shared" si="33"/>
        <v>4.8822970297029702</v>
      </c>
      <c r="Y87" s="11">
        <f t="shared" si="34"/>
        <v>9.4708572799677813E-15</v>
      </c>
      <c r="Z87" s="11">
        <f t="shared" si="35"/>
        <v>5703350253.9965982</v>
      </c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1">
        <v>258</v>
      </c>
      <c r="B88" s="1">
        <f t="shared" si="19"/>
        <v>4.3</v>
      </c>
      <c r="C88" s="1">
        <v>20</v>
      </c>
      <c r="D88" s="1">
        <f t="shared" si="18"/>
        <v>29.146000000000001</v>
      </c>
      <c r="E88" s="1">
        <f t="shared" si="20"/>
        <v>4.8576666666666667E-7</v>
      </c>
      <c r="F88" s="1">
        <v>21.1</v>
      </c>
      <c r="G88" s="1">
        <f t="shared" si="21"/>
        <v>294.10000000000002</v>
      </c>
      <c r="H88" s="1">
        <v>101.3</v>
      </c>
      <c r="I88" s="1">
        <f t="shared" si="22"/>
        <v>101300</v>
      </c>
      <c r="J88" s="1">
        <f t="shared" si="23"/>
        <v>2.0124824921938581E-5</v>
      </c>
      <c r="K88" s="25">
        <v>45.267326732673268</v>
      </c>
      <c r="L88" s="1">
        <f t="shared" si="24"/>
        <v>4.5267326732673271E-5</v>
      </c>
      <c r="M88" s="1">
        <f t="shared" si="25"/>
        <v>4.7762865441819992E-3</v>
      </c>
      <c r="N88" s="52">
        <f t="shared" si="26"/>
        <v>1.907333273982329E-7</v>
      </c>
      <c r="O88" s="26">
        <f t="shared" si="27"/>
        <v>2.032E-3</v>
      </c>
      <c r="P88" s="26">
        <v>4.5724343480153871E-11</v>
      </c>
      <c r="Q88" s="2">
        <v>0.11</v>
      </c>
      <c r="R88" s="2">
        <f t="shared" si="28"/>
        <v>111000.00000000001</v>
      </c>
      <c r="S88" s="2">
        <f t="shared" si="29"/>
        <v>105423.85160699734</v>
      </c>
      <c r="T88" s="2">
        <f t="shared" si="30"/>
        <v>105423.85160699734</v>
      </c>
      <c r="U88" s="2">
        <f t="shared" si="31"/>
        <v>5.1398579432804297E-3</v>
      </c>
      <c r="V88" s="2">
        <v>0.06</v>
      </c>
      <c r="W88" s="2">
        <f t="shared" si="32"/>
        <v>106000</v>
      </c>
      <c r="X88" s="2">
        <f t="shared" si="33"/>
        <v>4.798336633663367</v>
      </c>
      <c r="Y88" s="11">
        <f t="shared" si="34"/>
        <v>9.2994783908927078E-15</v>
      </c>
      <c r="Z88" s="11">
        <f t="shared" si="35"/>
        <v>5600145886.9955893</v>
      </c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1">
        <v>261</v>
      </c>
      <c r="B89" s="1">
        <f t="shared" si="19"/>
        <v>4.3499999999999996</v>
      </c>
      <c r="C89" s="1">
        <v>20</v>
      </c>
      <c r="D89" s="1">
        <f t="shared" si="18"/>
        <v>29.146000000000001</v>
      </c>
      <c r="E89" s="1">
        <f t="shared" si="20"/>
        <v>4.8576666666666667E-7</v>
      </c>
      <c r="F89" s="1">
        <v>21.1</v>
      </c>
      <c r="G89" s="1">
        <f t="shared" si="21"/>
        <v>294.10000000000002</v>
      </c>
      <c r="H89" s="1">
        <v>101.3</v>
      </c>
      <c r="I89" s="1">
        <f t="shared" si="22"/>
        <v>101300</v>
      </c>
      <c r="J89" s="1">
        <f t="shared" si="23"/>
        <v>2.0124824921938581E-5</v>
      </c>
      <c r="K89" s="25">
        <v>46.232673267326732</v>
      </c>
      <c r="L89" s="1">
        <f t="shared" si="24"/>
        <v>4.623267326732673E-5</v>
      </c>
      <c r="M89" s="1">
        <f t="shared" si="25"/>
        <v>4.7762865441819992E-3</v>
      </c>
      <c r="N89" s="52">
        <f t="shared" si="26"/>
        <v>1.9480080321217156E-7</v>
      </c>
      <c r="O89" s="26">
        <f t="shared" si="27"/>
        <v>2.032E-3</v>
      </c>
      <c r="P89" s="26">
        <v>4.5724343480153871E-11</v>
      </c>
      <c r="Q89" s="2">
        <v>0.11</v>
      </c>
      <c r="R89" s="2">
        <f t="shared" si="28"/>
        <v>111000.00000000001</v>
      </c>
      <c r="S89" s="2">
        <f t="shared" si="29"/>
        <v>105306.50251492958</v>
      </c>
      <c r="T89" s="2">
        <f t="shared" si="30"/>
        <v>105306.50251492958</v>
      </c>
      <c r="U89" s="2">
        <f t="shared" si="31"/>
        <v>5.1398579432804297E-3</v>
      </c>
      <c r="V89" s="2">
        <v>0.06</v>
      </c>
      <c r="W89" s="2">
        <f t="shared" si="32"/>
        <v>106000</v>
      </c>
      <c r="X89" s="2">
        <f t="shared" si="33"/>
        <v>4.9006633663366337</v>
      </c>
      <c r="Y89" s="11">
        <f t="shared" si="34"/>
        <v>9.5083876991622789E-15</v>
      </c>
      <c r="Z89" s="11">
        <f t="shared" si="35"/>
        <v>5725951072.4355249</v>
      </c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1">
        <v>264</v>
      </c>
      <c r="B90" s="1">
        <f t="shared" si="19"/>
        <v>4.4000000000000004</v>
      </c>
      <c r="C90" s="1">
        <v>20</v>
      </c>
      <c r="D90" s="1">
        <f t="shared" si="18"/>
        <v>29.146000000000001</v>
      </c>
      <c r="E90" s="1">
        <f t="shared" si="20"/>
        <v>4.8576666666666667E-7</v>
      </c>
      <c r="F90" s="1">
        <v>21.1</v>
      </c>
      <c r="G90" s="1">
        <f t="shared" si="21"/>
        <v>294.10000000000002</v>
      </c>
      <c r="H90" s="1">
        <v>101.3</v>
      </c>
      <c r="I90" s="1">
        <f t="shared" si="22"/>
        <v>101300</v>
      </c>
      <c r="J90" s="1">
        <f t="shared" si="23"/>
        <v>2.0124824921938581E-5</v>
      </c>
      <c r="K90" s="25">
        <v>37.693069306930695</v>
      </c>
      <c r="L90" s="1">
        <f t="shared" si="24"/>
        <v>3.7693069306930698E-5</v>
      </c>
      <c r="M90" s="1">
        <f t="shared" si="25"/>
        <v>4.7762865441819992E-3</v>
      </c>
      <c r="N90" s="52">
        <f t="shared" si="26"/>
        <v>1.5881928639656007E-7</v>
      </c>
      <c r="O90" s="26">
        <f t="shared" si="27"/>
        <v>2.032E-3</v>
      </c>
      <c r="P90" s="26">
        <v>4.5724343480153871E-11</v>
      </c>
      <c r="Q90" s="2">
        <v>0.11</v>
      </c>
      <c r="R90" s="2">
        <f t="shared" si="28"/>
        <v>111000.00000000001</v>
      </c>
      <c r="S90" s="2">
        <f t="shared" si="29"/>
        <v>106346.85848388245</v>
      </c>
      <c r="T90" s="2">
        <f t="shared" si="30"/>
        <v>106346.85848388245</v>
      </c>
      <c r="U90" s="2">
        <f t="shared" si="31"/>
        <v>5.1398579432804297E-3</v>
      </c>
      <c r="V90" s="2">
        <v>0.06</v>
      </c>
      <c r="W90" s="2">
        <f t="shared" si="32"/>
        <v>106000</v>
      </c>
      <c r="X90" s="2">
        <f t="shared" si="33"/>
        <v>3.9954653465346541</v>
      </c>
      <c r="Y90" s="11">
        <f t="shared" si="34"/>
        <v>7.676195163084931E-15</v>
      </c>
      <c r="Z90" s="11">
        <f t="shared" si="35"/>
        <v>4622604727.2097454</v>
      </c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1">
        <v>267</v>
      </c>
      <c r="B91" s="1">
        <f t="shared" si="19"/>
        <v>4.45</v>
      </c>
      <c r="C91" s="1">
        <v>20</v>
      </c>
      <c r="D91" s="1">
        <f t="shared" si="18"/>
        <v>29.146000000000001</v>
      </c>
      <c r="E91" s="1">
        <f t="shared" si="20"/>
        <v>4.8576666666666667E-7</v>
      </c>
      <c r="F91" s="1">
        <v>21.1</v>
      </c>
      <c r="G91" s="1">
        <f t="shared" si="21"/>
        <v>294.10000000000002</v>
      </c>
      <c r="H91" s="1">
        <v>101.3</v>
      </c>
      <c r="I91" s="1">
        <f t="shared" si="22"/>
        <v>101300</v>
      </c>
      <c r="J91" s="1">
        <f t="shared" si="23"/>
        <v>2.0124824921938581E-5</v>
      </c>
      <c r="K91" s="25">
        <v>46.851485148514854</v>
      </c>
      <c r="L91" s="1">
        <f t="shared" si="24"/>
        <v>4.6851485148514856E-5</v>
      </c>
      <c r="M91" s="1">
        <f t="shared" si="25"/>
        <v>4.7762865441819992E-3</v>
      </c>
      <c r="N91" s="52">
        <f t="shared" si="26"/>
        <v>1.9740815950315791E-7</v>
      </c>
      <c r="O91" s="26">
        <f t="shared" si="27"/>
        <v>2.032E-3</v>
      </c>
      <c r="P91" s="26">
        <v>4.5724343480153871E-11</v>
      </c>
      <c r="Q91" s="2">
        <v>0.11</v>
      </c>
      <c r="R91" s="2">
        <f t="shared" si="28"/>
        <v>111000.00000000001</v>
      </c>
      <c r="S91" s="2">
        <f t="shared" si="29"/>
        <v>105231.31310904297</v>
      </c>
      <c r="T91" s="2">
        <f t="shared" si="30"/>
        <v>105231.31310904297</v>
      </c>
      <c r="U91" s="2">
        <f t="shared" si="31"/>
        <v>5.1398579432804297E-3</v>
      </c>
      <c r="V91" s="2">
        <v>0.06</v>
      </c>
      <c r="W91" s="2">
        <f t="shared" si="32"/>
        <v>106000</v>
      </c>
      <c r="X91" s="2">
        <f t="shared" si="33"/>
        <v>4.9662574257425751</v>
      </c>
      <c r="Y91" s="11">
        <f t="shared" si="34"/>
        <v>9.6425460642614909E-15</v>
      </c>
      <c r="Z91" s="11">
        <f t="shared" si="35"/>
        <v>5806741239.8982697</v>
      </c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1">
        <v>270</v>
      </c>
      <c r="B92" s="1">
        <f t="shared" si="19"/>
        <v>4.5</v>
      </c>
      <c r="C92" s="1">
        <v>20</v>
      </c>
      <c r="D92" s="1">
        <f t="shared" si="18"/>
        <v>29.146000000000001</v>
      </c>
      <c r="E92" s="1">
        <f t="shared" si="20"/>
        <v>4.8576666666666667E-7</v>
      </c>
      <c r="F92" s="1">
        <v>21.1</v>
      </c>
      <c r="G92" s="1">
        <f t="shared" si="21"/>
        <v>294.10000000000002</v>
      </c>
      <c r="H92" s="1">
        <v>101.3</v>
      </c>
      <c r="I92" s="1">
        <f t="shared" si="22"/>
        <v>101300</v>
      </c>
      <c r="J92" s="1">
        <f t="shared" si="23"/>
        <v>2.0124824921938581E-5</v>
      </c>
      <c r="K92" s="25">
        <v>43.435643564356432</v>
      </c>
      <c r="L92" s="1">
        <f t="shared" si="24"/>
        <v>4.3435643564356435E-5</v>
      </c>
      <c r="M92" s="1">
        <f t="shared" si="25"/>
        <v>4.7762865441819992E-3</v>
      </c>
      <c r="N92" s="52">
        <f t="shared" si="26"/>
        <v>1.830155527769133E-7</v>
      </c>
      <c r="O92" s="26">
        <f t="shared" si="27"/>
        <v>2.032E-3</v>
      </c>
      <c r="P92" s="26">
        <v>4.5724343480153871E-11</v>
      </c>
      <c r="Q92" s="2">
        <v>0.11</v>
      </c>
      <c r="R92" s="2">
        <f t="shared" si="28"/>
        <v>111000.00000000001</v>
      </c>
      <c r="S92" s="2">
        <f t="shared" si="29"/>
        <v>105646.6936186745</v>
      </c>
      <c r="T92" s="2">
        <f t="shared" si="30"/>
        <v>105646.6936186745</v>
      </c>
      <c r="U92" s="2">
        <f t="shared" si="31"/>
        <v>5.1398579432804297E-3</v>
      </c>
      <c r="V92" s="2">
        <v>0.06</v>
      </c>
      <c r="W92" s="2">
        <f t="shared" si="32"/>
        <v>106000</v>
      </c>
      <c r="X92" s="2">
        <f t="shared" si="33"/>
        <v>4.604178217821782</v>
      </c>
      <c r="Y92" s="11">
        <f t="shared" si="34"/>
        <v>8.9043481406572426E-15</v>
      </c>
      <c r="Z92" s="11">
        <f t="shared" si="35"/>
        <v>5362198450.303792</v>
      </c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1">
        <v>273</v>
      </c>
      <c r="B93" s="1">
        <f t="shared" si="19"/>
        <v>4.55</v>
      </c>
      <c r="C93" s="1">
        <v>20</v>
      </c>
      <c r="D93" s="1">
        <f t="shared" si="18"/>
        <v>29.146000000000001</v>
      </c>
      <c r="E93" s="1">
        <f t="shared" si="20"/>
        <v>4.8576666666666667E-7</v>
      </c>
      <c r="F93" s="1">
        <v>21.1</v>
      </c>
      <c r="G93" s="1">
        <f t="shared" si="21"/>
        <v>294.10000000000002</v>
      </c>
      <c r="H93" s="1">
        <v>101.3</v>
      </c>
      <c r="I93" s="1">
        <f t="shared" si="22"/>
        <v>101300</v>
      </c>
      <c r="J93" s="1">
        <f t="shared" si="23"/>
        <v>2.0124824921938581E-5</v>
      </c>
      <c r="K93" s="25">
        <v>47.569306930693067</v>
      </c>
      <c r="L93" s="1">
        <f t="shared" si="24"/>
        <v>4.7569306930693065E-5</v>
      </c>
      <c r="M93" s="1">
        <f t="shared" si="25"/>
        <v>4.7762865441819992E-3</v>
      </c>
      <c r="N93" s="52">
        <f t="shared" si="26"/>
        <v>2.0043269280070207E-7</v>
      </c>
      <c r="O93" s="26">
        <f t="shared" si="27"/>
        <v>2.032E-3</v>
      </c>
      <c r="P93" s="26">
        <v>4.5724343480153871E-11</v>
      </c>
      <c r="Q93" s="2">
        <v>0.11</v>
      </c>
      <c r="R93" s="2">
        <f t="shared" si="28"/>
        <v>111000.00000000001</v>
      </c>
      <c r="S93" s="2">
        <f t="shared" si="29"/>
        <v>105144.12703890892</v>
      </c>
      <c r="T93" s="2">
        <f t="shared" si="30"/>
        <v>105144.12703890892</v>
      </c>
      <c r="U93" s="2">
        <f t="shared" si="31"/>
        <v>5.1398579432804297E-3</v>
      </c>
      <c r="V93" s="2">
        <v>0.06</v>
      </c>
      <c r="W93" s="2">
        <f t="shared" si="32"/>
        <v>106000</v>
      </c>
      <c r="X93" s="2">
        <f t="shared" si="33"/>
        <v>5.0423465346534648</v>
      </c>
      <c r="Y93" s="11">
        <f t="shared" si="34"/>
        <v>9.7984072355111049E-15</v>
      </c>
      <c r="Z93" s="11">
        <f t="shared" si="35"/>
        <v>5900600837.2247877</v>
      </c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1">
        <v>276</v>
      </c>
      <c r="B94" s="1">
        <f t="shared" si="19"/>
        <v>4.5999999999999996</v>
      </c>
      <c r="C94" s="1">
        <v>20</v>
      </c>
      <c r="D94" s="1">
        <f t="shared" si="18"/>
        <v>29.146000000000001</v>
      </c>
      <c r="E94" s="1">
        <f t="shared" si="20"/>
        <v>4.8576666666666667E-7</v>
      </c>
      <c r="F94" s="1">
        <v>21.1</v>
      </c>
      <c r="G94" s="1">
        <f t="shared" si="21"/>
        <v>294.10000000000002</v>
      </c>
      <c r="H94" s="1">
        <v>101.3</v>
      </c>
      <c r="I94" s="1">
        <f t="shared" si="22"/>
        <v>101300</v>
      </c>
      <c r="J94" s="1">
        <f t="shared" si="23"/>
        <v>2.0124824921938581E-5</v>
      </c>
      <c r="K94" s="25">
        <v>36.975247524752476</v>
      </c>
      <c r="L94" s="1">
        <f t="shared" si="24"/>
        <v>3.6975247524752476E-5</v>
      </c>
      <c r="M94" s="1">
        <f t="shared" si="25"/>
        <v>4.7762865441819992E-3</v>
      </c>
      <c r="N94" s="52">
        <f t="shared" si="26"/>
        <v>1.5579475309901591E-7</v>
      </c>
      <c r="O94" s="26">
        <f t="shared" si="27"/>
        <v>2.032E-3</v>
      </c>
      <c r="P94" s="26">
        <v>4.5724343480153871E-11</v>
      </c>
      <c r="Q94" s="2">
        <v>0.11</v>
      </c>
      <c r="R94" s="2">
        <f t="shared" si="28"/>
        <v>111000.00000000001</v>
      </c>
      <c r="S94" s="2">
        <f t="shared" si="29"/>
        <v>106434.54168872324</v>
      </c>
      <c r="T94" s="2">
        <f t="shared" si="30"/>
        <v>106434.54168872324</v>
      </c>
      <c r="U94" s="2">
        <f t="shared" si="31"/>
        <v>5.1398579432804297E-3</v>
      </c>
      <c r="V94" s="2">
        <v>0.06</v>
      </c>
      <c r="W94" s="2">
        <f t="shared" si="32"/>
        <v>106000</v>
      </c>
      <c r="X94" s="2">
        <f t="shared" si="33"/>
        <v>3.9193762376237626</v>
      </c>
      <c r="Y94" s="11">
        <f t="shared" si="34"/>
        <v>7.5238017202070896E-15</v>
      </c>
      <c r="Z94" s="11">
        <f t="shared" si="35"/>
        <v>4530833395.9087095</v>
      </c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1">
        <v>279</v>
      </c>
      <c r="B95" s="1">
        <f t="shared" si="19"/>
        <v>4.6500000000000004</v>
      </c>
      <c r="C95" s="1">
        <v>20</v>
      </c>
      <c r="D95" s="1">
        <f t="shared" si="18"/>
        <v>29.146000000000001</v>
      </c>
      <c r="E95" s="1">
        <f t="shared" si="20"/>
        <v>4.8576666666666667E-7</v>
      </c>
      <c r="F95" s="1">
        <v>21.1</v>
      </c>
      <c r="G95" s="1">
        <f t="shared" si="21"/>
        <v>294.10000000000002</v>
      </c>
      <c r="H95" s="1">
        <v>101.3</v>
      </c>
      <c r="I95" s="1">
        <f t="shared" si="22"/>
        <v>101300</v>
      </c>
      <c r="J95" s="1">
        <f t="shared" si="23"/>
        <v>2.0124824921938581E-5</v>
      </c>
      <c r="K95" s="25">
        <v>44.252475247524757</v>
      </c>
      <c r="L95" s="1">
        <f t="shared" si="24"/>
        <v>4.4252475247524754E-5</v>
      </c>
      <c r="M95" s="1">
        <f t="shared" si="25"/>
        <v>4.7762865441819992E-3</v>
      </c>
      <c r="N95" s="52">
        <f t="shared" si="26"/>
        <v>1.8645726308101527E-7</v>
      </c>
      <c r="O95" s="26">
        <f t="shared" si="27"/>
        <v>2.032E-3</v>
      </c>
      <c r="P95" s="26">
        <v>4.5724343480153871E-11</v>
      </c>
      <c r="Q95" s="2">
        <v>0.11</v>
      </c>
      <c r="R95" s="2">
        <f t="shared" si="28"/>
        <v>111000.00000000001</v>
      </c>
      <c r="S95" s="2">
        <f t="shared" si="29"/>
        <v>105547.28906193622</v>
      </c>
      <c r="T95" s="2">
        <f t="shared" si="30"/>
        <v>105547.28906193622</v>
      </c>
      <c r="U95" s="2">
        <f t="shared" si="31"/>
        <v>5.1398579432804297E-3</v>
      </c>
      <c r="V95" s="2">
        <v>0.06</v>
      </c>
      <c r="W95" s="2">
        <f t="shared" si="32"/>
        <v>106000</v>
      </c>
      <c r="X95" s="2">
        <f t="shared" si="33"/>
        <v>4.6907623762376236</v>
      </c>
      <c r="Y95" s="11">
        <f t="shared" si="34"/>
        <v>9.0803510636451771E-15</v>
      </c>
      <c r="Z95" s="11">
        <f t="shared" si="35"/>
        <v>5468187410.5271263</v>
      </c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1">
        <v>282</v>
      </c>
      <c r="B96" s="1">
        <f t="shared" si="19"/>
        <v>4.7</v>
      </c>
      <c r="C96" s="1">
        <v>20</v>
      </c>
      <c r="D96" s="1">
        <f t="shared" si="18"/>
        <v>29.146000000000001</v>
      </c>
      <c r="E96" s="1">
        <f t="shared" si="20"/>
        <v>4.8576666666666667E-7</v>
      </c>
      <c r="F96" s="1">
        <v>21.1</v>
      </c>
      <c r="G96" s="1">
        <f t="shared" si="21"/>
        <v>294.10000000000002</v>
      </c>
      <c r="H96" s="1">
        <v>101.3</v>
      </c>
      <c r="I96" s="1">
        <f t="shared" si="22"/>
        <v>101300</v>
      </c>
      <c r="J96" s="1">
        <f t="shared" si="23"/>
        <v>2.0124824921938581E-5</v>
      </c>
      <c r="K96" s="25">
        <v>42.866336633663366</v>
      </c>
      <c r="L96" s="1">
        <f t="shared" si="24"/>
        <v>4.2866336633663367E-5</v>
      </c>
      <c r="M96" s="1">
        <f t="shared" si="25"/>
        <v>4.7762865441819992E-3</v>
      </c>
      <c r="N96" s="52">
        <f t="shared" si="26"/>
        <v>1.8061678498920588E-7</v>
      </c>
      <c r="O96" s="26">
        <f t="shared" si="27"/>
        <v>2.032E-3</v>
      </c>
      <c r="P96" s="26">
        <v>4.5724343480153871E-11</v>
      </c>
      <c r="Q96" s="2">
        <v>0.11</v>
      </c>
      <c r="R96" s="2">
        <f t="shared" si="28"/>
        <v>111000.00000000001</v>
      </c>
      <c r="S96" s="2">
        <f t="shared" si="29"/>
        <v>105716.00325118112</v>
      </c>
      <c r="T96" s="2">
        <f t="shared" si="30"/>
        <v>105716.00325118112</v>
      </c>
      <c r="U96" s="2">
        <f t="shared" si="31"/>
        <v>5.1398579432804297E-3</v>
      </c>
      <c r="V96" s="2">
        <v>0.06</v>
      </c>
      <c r="W96" s="2">
        <f t="shared" si="32"/>
        <v>106000</v>
      </c>
      <c r="X96" s="2">
        <f t="shared" si="33"/>
        <v>4.5438316831683165</v>
      </c>
      <c r="Y96" s="11">
        <f t="shared" si="34"/>
        <v>8.7818730543920102E-15</v>
      </c>
      <c r="Z96" s="11">
        <f t="shared" si="35"/>
        <v>5288443953.3548689</v>
      </c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1">
        <v>285</v>
      </c>
      <c r="B97" s="1">
        <f t="shared" si="19"/>
        <v>4.75</v>
      </c>
      <c r="C97" s="1">
        <v>20</v>
      </c>
      <c r="D97" s="1">
        <f t="shared" si="18"/>
        <v>29.146000000000001</v>
      </c>
      <c r="E97" s="1">
        <f t="shared" si="20"/>
        <v>4.8576666666666667E-7</v>
      </c>
      <c r="F97" s="1">
        <v>21.1</v>
      </c>
      <c r="G97" s="1">
        <f t="shared" si="21"/>
        <v>294.10000000000002</v>
      </c>
      <c r="H97" s="1">
        <v>101.3</v>
      </c>
      <c r="I97" s="1">
        <f t="shared" si="22"/>
        <v>101300</v>
      </c>
      <c r="J97" s="1">
        <f t="shared" si="23"/>
        <v>2.0124824921938581E-5</v>
      </c>
      <c r="K97" s="25">
        <v>45.118811881188122</v>
      </c>
      <c r="L97" s="1">
        <f t="shared" si="24"/>
        <v>4.5118811881188124E-5</v>
      </c>
      <c r="M97" s="1">
        <f t="shared" si="25"/>
        <v>4.7762865441819992E-3</v>
      </c>
      <c r="N97" s="52">
        <f t="shared" si="26"/>
        <v>1.9010756188839618E-7</v>
      </c>
      <c r="O97" s="26">
        <f t="shared" si="27"/>
        <v>2.032E-3</v>
      </c>
      <c r="P97" s="26">
        <v>4.5724343480153871E-11</v>
      </c>
      <c r="Q97" s="2">
        <v>0.11</v>
      </c>
      <c r="R97" s="2">
        <f t="shared" si="28"/>
        <v>111000.00000000001</v>
      </c>
      <c r="S97" s="2">
        <f t="shared" si="29"/>
        <v>105441.91111358904</v>
      </c>
      <c r="T97" s="2">
        <f t="shared" si="30"/>
        <v>105441.91111358904</v>
      </c>
      <c r="U97" s="2">
        <f t="shared" si="31"/>
        <v>5.1398579432804297E-3</v>
      </c>
      <c r="V97" s="2">
        <v>0.06</v>
      </c>
      <c r="W97" s="2">
        <f t="shared" si="32"/>
        <v>106000</v>
      </c>
      <c r="X97" s="2">
        <f t="shared" si="33"/>
        <v>4.7825940594059411</v>
      </c>
      <c r="Y97" s="11">
        <f t="shared" si="34"/>
        <v>9.2673792976898126E-15</v>
      </c>
      <c r="Z97" s="11">
        <f t="shared" si="35"/>
        <v>5580815813.0688057</v>
      </c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1">
        <v>288</v>
      </c>
      <c r="B98" s="1">
        <f t="shared" si="19"/>
        <v>4.8</v>
      </c>
      <c r="C98" s="1">
        <v>20</v>
      </c>
      <c r="D98" s="1">
        <f t="shared" si="18"/>
        <v>29.146000000000001</v>
      </c>
      <c r="E98" s="1">
        <f t="shared" si="20"/>
        <v>4.8576666666666667E-7</v>
      </c>
      <c r="F98" s="1">
        <v>21.1</v>
      </c>
      <c r="G98" s="1">
        <f t="shared" si="21"/>
        <v>294.10000000000002</v>
      </c>
      <c r="H98" s="1">
        <v>101.3</v>
      </c>
      <c r="I98" s="1">
        <f t="shared" si="22"/>
        <v>101300</v>
      </c>
      <c r="J98" s="1">
        <f t="shared" si="23"/>
        <v>2.0124824921938581E-5</v>
      </c>
      <c r="K98" s="25">
        <v>39.351485148514854</v>
      </c>
      <c r="L98" s="1">
        <f t="shared" si="24"/>
        <v>3.9351485148514857E-5</v>
      </c>
      <c r="M98" s="1">
        <f t="shared" si="25"/>
        <v>4.7762865441819992E-3</v>
      </c>
      <c r="N98" s="52">
        <f t="shared" si="26"/>
        <v>1.6580700125640346E-7</v>
      </c>
      <c r="O98" s="26">
        <f t="shared" si="27"/>
        <v>2.032E-3</v>
      </c>
      <c r="P98" s="26">
        <v>4.5724343480153871E-11</v>
      </c>
      <c r="Q98" s="2">
        <v>0.11</v>
      </c>
      <c r="R98" s="2">
        <f t="shared" si="28"/>
        <v>111000.00000000001</v>
      </c>
      <c r="S98" s="2">
        <f t="shared" si="29"/>
        <v>106144.41821685352</v>
      </c>
      <c r="T98" s="2">
        <f t="shared" si="30"/>
        <v>106144.41821685352</v>
      </c>
      <c r="U98" s="2">
        <f t="shared" si="31"/>
        <v>5.1398579432804297E-3</v>
      </c>
      <c r="V98" s="2">
        <v>0.06</v>
      </c>
      <c r="W98" s="2">
        <f t="shared" si="32"/>
        <v>106000</v>
      </c>
      <c r="X98" s="2">
        <f t="shared" si="33"/>
        <v>4.1712574257425752</v>
      </c>
      <c r="Y98" s="11">
        <f t="shared" si="34"/>
        <v>8.0292297867461836E-15</v>
      </c>
      <c r="Z98" s="11">
        <f t="shared" si="35"/>
        <v>4835202177.5785522</v>
      </c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1">
        <v>291</v>
      </c>
      <c r="B99" s="1">
        <f t="shared" si="19"/>
        <v>4.8499999999999996</v>
      </c>
      <c r="C99" s="1">
        <v>20</v>
      </c>
      <c r="D99" s="1">
        <f t="shared" si="18"/>
        <v>29.146000000000001</v>
      </c>
      <c r="E99" s="1">
        <f t="shared" si="20"/>
        <v>4.8576666666666667E-7</v>
      </c>
      <c r="F99" s="1">
        <v>21.1</v>
      </c>
      <c r="G99" s="1">
        <f t="shared" si="21"/>
        <v>294.10000000000002</v>
      </c>
      <c r="H99" s="1">
        <v>101.3</v>
      </c>
      <c r="I99" s="1">
        <f t="shared" si="22"/>
        <v>101300</v>
      </c>
      <c r="J99" s="1">
        <f t="shared" si="23"/>
        <v>2.0124824921938581E-5</v>
      </c>
      <c r="K99" s="25">
        <v>44.376237623762378</v>
      </c>
      <c r="L99" s="1">
        <f t="shared" si="24"/>
        <v>4.4376237623762379E-5</v>
      </c>
      <c r="M99" s="1">
        <f t="shared" si="25"/>
        <v>4.7762865441819992E-3</v>
      </c>
      <c r="N99" s="52">
        <f t="shared" si="26"/>
        <v>1.8697873433921257E-7</v>
      </c>
      <c r="O99" s="26">
        <f t="shared" si="27"/>
        <v>2.032E-3</v>
      </c>
      <c r="P99" s="26">
        <v>4.5724343480153871E-11</v>
      </c>
      <c r="Q99" s="2">
        <v>0.11</v>
      </c>
      <c r="R99" s="2">
        <f t="shared" si="28"/>
        <v>111000.00000000001</v>
      </c>
      <c r="S99" s="2">
        <f t="shared" si="29"/>
        <v>105532.23184702646</v>
      </c>
      <c r="T99" s="2">
        <f t="shared" si="30"/>
        <v>105532.23184702646</v>
      </c>
      <c r="U99" s="2">
        <f t="shared" si="31"/>
        <v>5.1398579432804297E-3</v>
      </c>
      <c r="V99" s="2">
        <v>0.06</v>
      </c>
      <c r="W99" s="2">
        <f t="shared" si="32"/>
        <v>106000</v>
      </c>
      <c r="X99" s="2">
        <f t="shared" si="33"/>
        <v>4.7038811881188121</v>
      </c>
      <c r="Y99" s="11">
        <f t="shared" si="34"/>
        <v>9.1070467719952171E-15</v>
      </c>
      <c r="Z99" s="11">
        <f t="shared" si="35"/>
        <v>5484263566.09552</v>
      </c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1">
        <v>294</v>
      </c>
      <c r="B100" s="1">
        <f t="shared" si="19"/>
        <v>4.9000000000000004</v>
      </c>
      <c r="C100" s="1">
        <v>20</v>
      </c>
      <c r="D100" s="1">
        <f t="shared" si="18"/>
        <v>29.146000000000001</v>
      </c>
      <c r="E100" s="1">
        <f t="shared" si="20"/>
        <v>4.8576666666666667E-7</v>
      </c>
      <c r="F100" s="1">
        <v>21.1</v>
      </c>
      <c r="G100" s="1">
        <f t="shared" si="21"/>
        <v>294.10000000000002</v>
      </c>
      <c r="H100" s="1">
        <v>101.3</v>
      </c>
      <c r="I100" s="1">
        <f t="shared" si="22"/>
        <v>101300</v>
      </c>
      <c r="J100" s="1">
        <f t="shared" si="23"/>
        <v>2.0124824921938581E-5</v>
      </c>
      <c r="K100" s="25">
        <v>43.534653465346537</v>
      </c>
      <c r="L100" s="1">
        <f t="shared" si="24"/>
        <v>4.3534653465346538E-5</v>
      </c>
      <c r="M100" s="1">
        <f t="shared" si="25"/>
        <v>4.7762865441819992E-3</v>
      </c>
      <c r="N100" s="52">
        <f t="shared" si="26"/>
        <v>1.8343272978347114E-7</v>
      </c>
      <c r="O100" s="26">
        <f t="shared" si="27"/>
        <v>2.032E-3</v>
      </c>
      <c r="P100" s="26">
        <v>4.5724343480153871E-11</v>
      </c>
      <c r="Q100" s="2">
        <v>0.11</v>
      </c>
      <c r="R100" s="2">
        <f t="shared" si="28"/>
        <v>111000.00000000001</v>
      </c>
      <c r="S100" s="2">
        <f t="shared" si="29"/>
        <v>105634.64208959084</v>
      </c>
      <c r="T100" s="2">
        <f t="shared" si="30"/>
        <v>105634.64208959084</v>
      </c>
      <c r="U100" s="2">
        <f t="shared" si="31"/>
        <v>5.1398579432804297E-3</v>
      </c>
      <c r="V100" s="2">
        <v>0.06</v>
      </c>
      <c r="W100" s="2">
        <f t="shared" si="32"/>
        <v>106000</v>
      </c>
      <c r="X100" s="2">
        <f t="shared" si="33"/>
        <v>4.614673267326733</v>
      </c>
      <c r="Y100" s="11">
        <f t="shared" si="34"/>
        <v>8.9256643806331973E-15</v>
      </c>
      <c r="Z100" s="11">
        <f t="shared" si="35"/>
        <v>5375035090.017312</v>
      </c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1">
        <v>297</v>
      </c>
      <c r="B101" s="1">
        <f t="shared" si="19"/>
        <v>4.95</v>
      </c>
      <c r="C101" s="1">
        <v>20</v>
      </c>
      <c r="D101" s="1">
        <f t="shared" si="18"/>
        <v>29.146000000000001</v>
      </c>
      <c r="E101" s="1">
        <f t="shared" si="20"/>
        <v>4.8576666666666667E-7</v>
      </c>
      <c r="F101" s="1">
        <v>21.1</v>
      </c>
      <c r="G101" s="1">
        <f t="shared" si="21"/>
        <v>294.10000000000002</v>
      </c>
      <c r="H101" s="1">
        <v>101.3</v>
      </c>
      <c r="I101" s="1">
        <f t="shared" si="22"/>
        <v>101300</v>
      </c>
      <c r="J101" s="1">
        <f t="shared" si="23"/>
        <v>2.0124824921938581E-5</v>
      </c>
      <c r="K101" s="25">
        <v>42.767326732673268</v>
      </c>
      <c r="L101" s="1">
        <f t="shared" si="24"/>
        <v>4.2767326732673271E-5</v>
      </c>
      <c r="M101" s="1">
        <f t="shared" si="25"/>
        <v>4.7762865441819992E-3</v>
      </c>
      <c r="N101" s="52">
        <f t="shared" si="26"/>
        <v>1.8019960798264807E-7</v>
      </c>
      <c r="O101" s="26">
        <f t="shared" si="27"/>
        <v>2.032E-3</v>
      </c>
      <c r="P101" s="26">
        <v>4.5724343480153871E-11</v>
      </c>
      <c r="Q101" s="2">
        <v>0.11</v>
      </c>
      <c r="R101" s="2">
        <f t="shared" si="28"/>
        <v>111000.00000000001</v>
      </c>
      <c r="S101" s="2">
        <f t="shared" si="29"/>
        <v>105728.0594203606</v>
      </c>
      <c r="T101" s="2">
        <f t="shared" si="30"/>
        <v>105728.0594203606</v>
      </c>
      <c r="U101" s="2">
        <f t="shared" si="31"/>
        <v>5.1398579432804297E-3</v>
      </c>
      <c r="V101" s="2">
        <v>0.06</v>
      </c>
      <c r="W101" s="2">
        <f t="shared" si="32"/>
        <v>106000</v>
      </c>
      <c r="X101" s="2">
        <f t="shared" si="33"/>
        <v>4.5333366336633665</v>
      </c>
      <c r="Y101" s="11">
        <f t="shared" si="34"/>
        <v>8.7605892536362811E-15</v>
      </c>
      <c r="Z101" s="11">
        <f t="shared" si="35"/>
        <v>5275626848.5397692</v>
      </c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1">
        <v>300</v>
      </c>
      <c r="B102" s="1">
        <f t="shared" si="19"/>
        <v>5</v>
      </c>
      <c r="C102" s="1">
        <v>20</v>
      </c>
      <c r="D102" s="1">
        <f t="shared" si="18"/>
        <v>29.146000000000001</v>
      </c>
      <c r="E102" s="1">
        <f t="shared" si="20"/>
        <v>4.8576666666666667E-7</v>
      </c>
      <c r="F102" s="1">
        <v>21.1</v>
      </c>
      <c r="G102" s="1">
        <f t="shared" si="21"/>
        <v>294.10000000000002</v>
      </c>
      <c r="H102" s="1">
        <v>101.3</v>
      </c>
      <c r="I102" s="1">
        <f t="shared" si="22"/>
        <v>101300</v>
      </c>
      <c r="J102" s="1">
        <f t="shared" si="23"/>
        <v>2.0124824921938581E-5</v>
      </c>
      <c r="K102" s="25">
        <v>44.896039603960396</v>
      </c>
      <c r="L102" s="1">
        <f t="shared" si="24"/>
        <v>4.4896039603960395E-5</v>
      </c>
      <c r="M102" s="1">
        <f t="shared" si="25"/>
        <v>4.7762865441819992E-3</v>
      </c>
      <c r="N102" s="52">
        <f t="shared" si="26"/>
        <v>1.8916891362364105E-7</v>
      </c>
      <c r="O102" s="26">
        <f t="shared" si="27"/>
        <v>2.032E-3</v>
      </c>
      <c r="P102" s="26">
        <v>4.5724343480153871E-11</v>
      </c>
      <c r="Q102" s="2">
        <v>0.11</v>
      </c>
      <c r="R102" s="2">
        <f t="shared" si="28"/>
        <v>111000.00000000001</v>
      </c>
      <c r="S102" s="2">
        <f t="shared" si="29"/>
        <v>105469.00327353645</v>
      </c>
      <c r="T102" s="2">
        <f t="shared" si="30"/>
        <v>105469.00327353645</v>
      </c>
      <c r="U102" s="2">
        <f t="shared" si="31"/>
        <v>5.1398579432804297E-3</v>
      </c>
      <c r="V102" s="2">
        <v>0.06</v>
      </c>
      <c r="W102" s="2">
        <f t="shared" si="32"/>
        <v>106000</v>
      </c>
      <c r="X102" s="2">
        <f t="shared" si="33"/>
        <v>4.7589801980198017</v>
      </c>
      <c r="Y102" s="11">
        <f t="shared" si="34"/>
        <v>9.2192510345576501E-15</v>
      </c>
      <c r="Z102" s="11">
        <f t="shared" si="35"/>
        <v>5551832973.0106173</v>
      </c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1">
        <v>303</v>
      </c>
      <c r="B103" s="1">
        <f t="shared" si="19"/>
        <v>5.05</v>
      </c>
      <c r="C103" s="1">
        <v>20</v>
      </c>
      <c r="D103" s="1">
        <f t="shared" si="18"/>
        <v>29.146000000000001</v>
      </c>
      <c r="E103" s="1">
        <f t="shared" si="20"/>
        <v>4.8576666666666667E-7</v>
      </c>
      <c r="F103" s="1">
        <v>21.1</v>
      </c>
      <c r="G103" s="1">
        <f t="shared" si="21"/>
        <v>294.10000000000002</v>
      </c>
      <c r="H103" s="1">
        <v>101.3</v>
      </c>
      <c r="I103" s="1">
        <f t="shared" si="22"/>
        <v>101300</v>
      </c>
      <c r="J103" s="1">
        <f t="shared" si="23"/>
        <v>2.0124824921938581E-5</v>
      </c>
      <c r="K103" s="25">
        <v>45.267326732673268</v>
      </c>
      <c r="L103" s="1">
        <f t="shared" si="24"/>
        <v>4.5267326732673271E-5</v>
      </c>
      <c r="M103" s="1">
        <f t="shared" si="25"/>
        <v>4.7762865441819992E-3</v>
      </c>
      <c r="N103" s="52">
        <f t="shared" si="26"/>
        <v>1.907333273982329E-7</v>
      </c>
      <c r="O103" s="26">
        <f t="shared" si="27"/>
        <v>2.032E-3</v>
      </c>
      <c r="P103" s="26">
        <v>4.5724343480153871E-11</v>
      </c>
      <c r="Q103" s="2">
        <v>0.11</v>
      </c>
      <c r="R103" s="2">
        <f t="shared" si="28"/>
        <v>111000.00000000001</v>
      </c>
      <c r="S103" s="2">
        <f t="shared" si="29"/>
        <v>105423.85160699734</v>
      </c>
      <c r="T103" s="2">
        <f t="shared" si="30"/>
        <v>105423.85160699734</v>
      </c>
      <c r="U103" s="2">
        <f t="shared" si="31"/>
        <v>5.1398579432804297E-3</v>
      </c>
      <c r="V103" s="2">
        <v>0.06</v>
      </c>
      <c r="W103" s="2">
        <f t="shared" si="32"/>
        <v>106000</v>
      </c>
      <c r="X103" s="2">
        <f t="shared" si="33"/>
        <v>4.798336633663367</v>
      </c>
      <c r="Y103" s="11">
        <f t="shared" si="34"/>
        <v>9.2994783908927078E-15</v>
      </c>
      <c r="Z103" s="11">
        <f t="shared" si="35"/>
        <v>5600145886.9955893</v>
      </c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1">
        <v>306</v>
      </c>
      <c r="B104" s="1">
        <f t="shared" si="19"/>
        <v>5.0999999999999996</v>
      </c>
      <c r="C104" s="1">
        <v>20</v>
      </c>
      <c r="D104" s="1">
        <f t="shared" si="18"/>
        <v>29.146000000000001</v>
      </c>
      <c r="E104" s="1">
        <f t="shared" si="20"/>
        <v>4.8576666666666667E-7</v>
      </c>
      <c r="F104" s="1">
        <v>21.1</v>
      </c>
      <c r="G104" s="1">
        <f t="shared" si="21"/>
        <v>294.10000000000002</v>
      </c>
      <c r="H104" s="1">
        <v>101.3</v>
      </c>
      <c r="I104" s="1">
        <f t="shared" si="22"/>
        <v>101300</v>
      </c>
      <c r="J104" s="1">
        <f t="shared" si="23"/>
        <v>2.0124824921938581E-5</v>
      </c>
      <c r="K104" s="25">
        <v>42.173267326732677</v>
      </c>
      <c r="L104" s="1">
        <f t="shared" si="24"/>
        <v>4.2173267326732674E-5</v>
      </c>
      <c r="M104" s="1">
        <f t="shared" si="25"/>
        <v>4.7762865441819992E-3</v>
      </c>
      <c r="N104" s="52">
        <f t="shared" si="26"/>
        <v>1.7769654594330118E-7</v>
      </c>
      <c r="O104" s="26">
        <f t="shared" si="27"/>
        <v>2.032E-3</v>
      </c>
      <c r="P104" s="26">
        <v>4.5724343480153871E-11</v>
      </c>
      <c r="Q104" s="2">
        <v>0.11</v>
      </c>
      <c r="R104" s="2">
        <f t="shared" si="28"/>
        <v>111000.00000000001</v>
      </c>
      <c r="S104" s="2">
        <f t="shared" si="29"/>
        <v>105800.41087129104</v>
      </c>
      <c r="T104" s="2">
        <f t="shared" si="30"/>
        <v>105800.41087129104</v>
      </c>
      <c r="U104" s="2">
        <f t="shared" si="31"/>
        <v>5.1398579432804297E-3</v>
      </c>
      <c r="V104" s="2">
        <v>0.06</v>
      </c>
      <c r="W104" s="2">
        <f t="shared" si="32"/>
        <v>106000</v>
      </c>
      <c r="X104" s="2">
        <f t="shared" si="33"/>
        <v>4.4703663366336635</v>
      </c>
      <c r="Y104" s="11">
        <f t="shared" si="34"/>
        <v>8.6329872280628877E-15</v>
      </c>
      <c r="Z104" s="11">
        <f t="shared" si="35"/>
        <v>5198784908.7394714</v>
      </c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1">
        <v>309</v>
      </c>
      <c r="B105" s="1">
        <f t="shared" si="19"/>
        <v>5.15</v>
      </c>
      <c r="C105" s="1">
        <v>20</v>
      </c>
      <c r="D105" s="1">
        <f t="shared" si="18"/>
        <v>29.146000000000001</v>
      </c>
      <c r="E105" s="1">
        <f t="shared" si="20"/>
        <v>4.8576666666666667E-7</v>
      </c>
      <c r="F105" s="1">
        <v>21.1</v>
      </c>
      <c r="G105" s="1">
        <f t="shared" si="21"/>
        <v>294.10000000000002</v>
      </c>
      <c r="H105" s="1">
        <v>101.3</v>
      </c>
      <c r="I105" s="1">
        <f t="shared" si="22"/>
        <v>101300</v>
      </c>
      <c r="J105" s="1">
        <f t="shared" si="23"/>
        <v>2.0124824921938581E-5</v>
      </c>
      <c r="K105" s="25">
        <v>39.846534653465348</v>
      </c>
      <c r="L105" s="1">
        <f t="shared" si="24"/>
        <v>3.9846534653465344E-5</v>
      </c>
      <c r="M105" s="1">
        <f t="shared" si="25"/>
        <v>4.7762865441819992E-3</v>
      </c>
      <c r="N105" s="52">
        <f t="shared" si="26"/>
        <v>1.6789288628919252E-7</v>
      </c>
      <c r="O105" s="26">
        <f t="shared" si="27"/>
        <v>2.032E-3</v>
      </c>
      <c r="P105" s="26">
        <v>4.5724343480153871E-11</v>
      </c>
      <c r="Q105" s="2">
        <v>0.11</v>
      </c>
      <c r="R105" s="2">
        <f t="shared" si="28"/>
        <v>111000.00000000001</v>
      </c>
      <c r="S105" s="2">
        <f t="shared" si="29"/>
        <v>106084.0256649465</v>
      </c>
      <c r="T105" s="2">
        <f t="shared" si="30"/>
        <v>106084.0256649465</v>
      </c>
      <c r="U105" s="2">
        <f t="shared" si="31"/>
        <v>5.1398579432804297E-3</v>
      </c>
      <c r="V105" s="2">
        <v>0.06</v>
      </c>
      <c r="W105" s="2">
        <f t="shared" si="32"/>
        <v>106000</v>
      </c>
      <c r="X105" s="2">
        <f t="shared" si="33"/>
        <v>4.2237326732673264</v>
      </c>
      <c r="Y105" s="11">
        <f t="shared" si="34"/>
        <v>8.1348717615888156E-15</v>
      </c>
      <c r="Z105" s="11">
        <f t="shared" si="35"/>
        <v>4898819774.8287849</v>
      </c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1">
        <v>312</v>
      </c>
      <c r="B106" s="1">
        <f t="shared" si="19"/>
        <v>5.2</v>
      </c>
      <c r="C106" s="1">
        <v>20</v>
      </c>
      <c r="D106" s="1">
        <f t="shared" si="18"/>
        <v>29.146000000000001</v>
      </c>
      <c r="E106" s="1">
        <f t="shared" si="20"/>
        <v>4.8576666666666667E-7</v>
      </c>
      <c r="F106" s="1">
        <v>21.1</v>
      </c>
      <c r="G106" s="1">
        <f t="shared" si="21"/>
        <v>294.10000000000002</v>
      </c>
      <c r="H106" s="1">
        <v>101.3</v>
      </c>
      <c r="I106" s="1">
        <f t="shared" si="22"/>
        <v>101300</v>
      </c>
      <c r="J106" s="1">
        <f t="shared" si="23"/>
        <v>2.0124824921938581E-5</v>
      </c>
      <c r="K106" s="25">
        <v>41.133663366336634</v>
      </c>
      <c r="L106" s="1">
        <f t="shared" si="24"/>
        <v>4.1133663366336635E-5</v>
      </c>
      <c r="M106" s="1">
        <f t="shared" si="25"/>
        <v>4.7762865441819992E-3</v>
      </c>
      <c r="N106" s="52">
        <f t="shared" si="26"/>
        <v>1.7331618737444413E-7</v>
      </c>
      <c r="O106" s="26">
        <f t="shared" si="27"/>
        <v>2.032E-3</v>
      </c>
      <c r="P106" s="26">
        <v>4.5724343480153871E-11</v>
      </c>
      <c r="Q106" s="2">
        <v>0.11</v>
      </c>
      <c r="R106" s="2">
        <f t="shared" si="28"/>
        <v>111000.00000000001</v>
      </c>
      <c r="S106" s="2">
        <f t="shared" si="29"/>
        <v>105927.08545831517</v>
      </c>
      <c r="T106" s="2">
        <f t="shared" si="30"/>
        <v>105927.08545831517</v>
      </c>
      <c r="U106" s="2">
        <f t="shared" si="31"/>
        <v>5.1398579432804297E-3</v>
      </c>
      <c r="V106" s="2">
        <v>0.06</v>
      </c>
      <c r="W106" s="2">
        <f t="shared" si="32"/>
        <v>106000</v>
      </c>
      <c r="X106" s="2">
        <f t="shared" si="33"/>
        <v>4.3601683168316834</v>
      </c>
      <c r="Y106" s="11">
        <f t="shared" si="34"/>
        <v>8.4100987766005966E-15</v>
      </c>
      <c r="Z106" s="11">
        <f t="shared" si="35"/>
        <v>5064561483.2688799</v>
      </c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1">
        <v>315</v>
      </c>
      <c r="B107" s="1">
        <f t="shared" si="19"/>
        <v>5.25</v>
      </c>
      <c r="C107" s="1">
        <v>20</v>
      </c>
      <c r="D107" s="1">
        <f t="shared" si="18"/>
        <v>29.146000000000001</v>
      </c>
      <c r="E107" s="1">
        <f t="shared" si="20"/>
        <v>4.8576666666666667E-7</v>
      </c>
      <c r="F107" s="1">
        <v>21.1</v>
      </c>
      <c r="G107" s="1">
        <f t="shared" si="21"/>
        <v>294.10000000000002</v>
      </c>
      <c r="H107" s="1">
        <v>101.3</v>
      </c>
      <c r="I107" s="1">
        <f t="shared" si="22"/>
        <v>101300</v>
      </c>
      <c r="J107" s="1">
        <f t="shared" si="23"/>
        <v>2.0124824921938581E-5</v>
      </c>
      <c r="K107" s="25">
        <v>45.069306930693074</v>
      </c>
      <c r="L107" s="1">
        <f t="shared" si="24"/>
        <v>4.5069306930693072E-5</v>
      </c>
      <c r="M107" s="1">
        <f t="shared" si="25"/>
        <v>4.7762865441819992E-3</v>
      </c>
      <c r="N107" s="52">
        <f t="shared" si="26"/>
        <v>1.8989897338511725E-7</v>
      </c>
      <c r="O107" s="26">
        <f t="shared" si="27"/>
        <v>2.032E-3</v>
      </c>
      <c r="P107" s="26">
        <v>4.5724343480153871E-11</v>
      </c>
      <c r="Q107" s="2">
        <v>0.11</v>
      </c>
      <c r="R107" s="2">
        <f t="shared" si="28"/>
        <v>111000.00000000001</v>
      </c>
      <c r="S107" s="2">
        <f t="shared" si="29"/>
        <v>105447.9312928304</v>
      </c>
      <c r="T107" s="2">
        <f t="shared" si="30"/>
        <v>105447.9312928304</v>
      </c>
      <c r="U107" s="2">
        <f t="shared" si="31"/>
        <v>5.1398579432804297E-3</v>
      </c>
      <c r="V107" s="2">
        <v>0.06</v>
      </c>
      <c r="W107" s="2">
        <f t="shared" si="32"/>
        <v>106000</v>
      </c>
      <c r="X107" s="2">
        <f t="shared" si="33"/>
        <v>4.777346534653466</v>
      </c>
      <c r="Y107" s="11">
        <f t="shared" si="34"/>
        <v>9.256682015329482E-15</v>
      </c>
      <c r="Z107" s="11">
        <f t="shared" si="35"/>
        <v>5574373909.6314144</v>
      </c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1">
        <v>318</v>
      </c>
      <c r="B108" s="1">
        <f t="shared" si="19"/>
        <v>5.3</v>
      </c>
      <c r="C108" s="1">
        <v>20</v>
      </c>
      <c r="D108" s="1">
        <f t="shared" si="18"/>
        <v>29.146000000000001</v>
      </c>
      <c r="E108" s="1">
        <f t="shared" si="20"/>
        <v>4.8576666666666667E-7</v>
      </c>
      <c r="F108" s="1">
        <v>21.1</v>
      </c>
      <c r="G108" s="1">
        <f t="shared" si="21"/>
        <v>294.10000000000002</v>
      </c>
      <c r="H108" s="1">
        <v>101.3</v>
      </c>
      <c r="I108" s="1">
        <f t="shared" si="22"/>
        <v>101300</v>
      </c>
      <c r="J108" s="1">
        <f t="shared" si="23"/>
        <v>2.0124824921938581E-5</v>
      </c>
      <c r="K108" s="25">
        <v>42.618811881188122</v>
      </c>
      <c r="L108" s="1">
        <f t="shared" si="24"/>
        <v>4.2618811881188124E-5</v>
      </c>
      <c r="M108" s="1">
        <f t="shared" si="25"/>
        <v>4.7762865441819992E-3</v>
      </c>
      <c r="N108" s="52">
        <f t="shared" si="26"/>
        <v>1.7957384247281136E-7</v>
      </c>
      <c r="O108" s="26">
        <f t="shared" si="27"/>
        <v>2.032E-3</v>
      </c>
      <c r="P108" s="26">
        <v>4.5724343480153871E-11</v>
      </c>
      <c r="Q108" s="2">
        <v>0.11</v>
      </c>
      <c r="R108" s="2">
        <f t="shared" si="28"/>
        <v>111000.00000000001</v>
      </c>
      <c r="S108" s="2">
        <f t="shared" si="29"/>
        <v>105746.14496304533</v>
      </c>
      <c r="T108" s="2">
        <f t="shared" si="30"/>
        <v>105746.14496304533</v>
      </c>
      <c r="U108" s="2">
        <f t="shared" si="31"/>
        <v>5.1398579432804297E-3</v>
      </c>
      <c r="V108" s="2">
        <v>0.06</v>
      </c>
      <c r="W108" s="2">
        <f t="shared" si="32"/>
        <v>106000</v>
      </c>
      <c r="X108" s="2">
        <f t="shared" si="33"/>
        <v>4.5175940594059414</v>
      </c>
      <c r="Y108" s="11">
        <f t="shared" si="34"/>
        <v>8.7286725540785452E-15</v>
      </c>
      <c r="Z108" s="11">
        <f t="shared" si="35"/>
        <v>5256406612.0661001</v>
      </c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1">
        <v>321</v>
      </c>
      <c r="B109" s="1">
        <f t="shared" si="19"/>
        <v>5.35</v>
      </c>
      <c r="C109" s="1">
        <v>20</v>
      </c>
      <c r="D109" s="1">
        <f t="shared" si="18"/>
        <v>29.146000000000001</v>
      </c>
      <c r="E109" s="1">
        <f t="shared" si="20"/>
        <v>4.8576666666666667E-7</v>
      </c>
      <c r="F109" s="1">
        <v>21.1</v>
      </c>
      <c r="G109" s="1">
        <f t="shared" si="21"/>
        <v>294.10000000000002</v>
      </c>
      <c r="H109" s="1">
        <v>101.3</v>
      </c>
      <c r="I109" s="1">
        <f t="shared" si="22"/>
        <v>101300</v>
      </c>
      <c r="J109" s="1">
        <f t="shared" si="23"/>
        <v>2.0124824921938581E-5</v>
      </c>
      <c r="K109" s="25">
        <v>46.702970297029708</v>
      </c>
      <c r="L109" s="1">
        <f t="shared" si="24"/>
        <v>4.6702970297029709E-5</v>
      </c>
      <c r="M109" s="1">
        <f t="shared" si="25"/>
        <v>4.7762865441819992E-3</v>
      </c>
      <c r="N109" s="52">
        <f t="shared" si="26"/>
        <v>1.9678239399332125E-7</v>
      </c>
      <c r="O109" s="26">
        <f t="shared" si="27"/>
        <v>2.032E-3</v>
      </c>
      <c r="P109" s="26">
        <v>4.5724343480153871E-11</v>
      </c>
      <c r="Q109" s="2">
        <v>0.11</v>
      </c>
      <c r="R109" s="2">
        <f t="shared" si="28"/>
        <v>111000.00000000001</v>
      </c>
      <c r="S109" s="2">
        <f t="shared" si="29"/>
        <v>105249.35611751628</v>
      </c>
      <c r="T109" s="2">
        <f t="shared" si="30"/>
        <v>105249.35611751628</v>
      </c>
      <c r="U109" s="2">
        <f t="shared" si="31"/>
        <v>5.1398579432804297E-3</v>
      </c>
      <c r="V109" s="2">
        <v>0.06</v>
      </c>
      <c r="W109" s="2">
        <f t="shared" si="32"/>
        <v>106000</v>
      </c>
      <c r="X109" s="2">
        <f t="shared" si="33"/>
        <v>4.9505148514851491</v>
      </c>
      <c r="Y109" s="11">
        <f t="shared" si="34"/>
        <v>9.610330782643536E-15</v>
      </c>
      <c r="Z109" s="11">
        <f t="shared" si="35"/>
        <v>5787341197.3079376</v>
      </c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1">
        <v>324</v>
      </c>
      <c r="B110" s="1">
        <f t="shared" si="19"/>
        <v>5.4</v>
      </c>
      <c r="C110" s="1">
        <v>20</v>
      </c>
      <c r="D110" s="1">
        <f t="shared" si="18"/>
        <v>29.146000000000001</v>
      </c>
      <c r="E110" s="1">
        <f t="shared" si="20"/>
        <v>4.8576666666666667E-7</v>
      </c>
      <c r="F110" s="1">
        <v>21.1</v>
      </c>
      <c r="G110" s="1">
        <f t="shared" si="21"/>
        <v>294.10000000000002</v>
      </c>
      <c r="H110" s="1">
        <v>101.3</v>
      </c>
      <c r="I110" s="1">
        <f t="shared" si="22"/>
        <v>101300</v>
      </c>
      <c r="J110" s="1">
        <f t="shared" si="23"/>
        <v>2.0124824921938581E-5</v>
      </c>
      <c r="K110" s="25">
        <v>41.504950495049506</v>
      </c>
      <c r="L110" s="1">
        <f t="shared" si="24"/>
        <v>4.1504950495049504E-5</v>
      </c>
      <c r="M110" s="1">
        <f t="shared" si="25"/>
        <v>4.7762865441819992E-3</v>
      </c>
      <c r="N110" s="52">
        <f t="shared" si="26"/>
        <v>1.7488060114903592E-7</v>
      </c>
      <c r="O110" s="26">
        <f t="shared" si="27"/>
        <v>2.032E-3</v>
      </c>
      <c r="P110" s="26">
        <v>4.5724343480153871E-11</v>
      </c>
      <c r="Q110" s="2">
        <v>0.11</v>
      </c>
      <c r="R110" s="2">
        <f t="shared" si="28"/>
        <v>111000.00000000001</v>
      </c>
      <c r="S110" s="2">
        <f t="shared" si="29"/>
        <v>105881.83583419837</v>
      </c>
      <c r="T110" s="2">
        <f t="shared" si="30"/>
        <v>105881.83583419837</v>
      </c>
      <c r="U110" s="2">
        <f t="shared" si="31"/>
        <v>5.1398579432804297E-3</v>
      </c>
      <c r="V110" s="2">
        <v>0.06</v>
      </c>
      <c r="W110" s="2">
        <f t="shared" si="32"/>
        <v>106000</v>
      </c>
      <c r="X110" s="2">
        <f t="shared" si="33"/>
        <v>4.399524752475247</v>
      </c>
      <c r="Y110" s="11">
        <f t="shared" si="34"/>
        <v>8.489641214152979E-15</v>
      </c>
      <c r="Z110" s="11">
        <f t="shared" si="35"/>
        <v>5112461939.1629238</v>
      </c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1">
        <v>327</v>
      </c>
      <c r="B111" s="1">
        <f t="shared" si="19"/>
        <v>5.45</v>
      </c>
      <c r="C111" s="1">
        <v>20</v>
      </c>
      <c r="D111" s="1">
        <f t="shared" si="18"/>
        <v>29.146000000000001</v>
      </c>
      <c r="E111" s="1">
        <f t="shared" si="20"/>
        <v>4.8576666666666667E-7</v>
      </c>
      <c r="F111" s="1">
        <v>21.1</v>
      </c>
      <c r="G111" s="1">
        <f t="shared" si="21"/>
        <v>294.10000000000002</v>
      </c>
      <c r="H111" s="1">
        <v>101.3</v>
      </c>
      <c r="I111" s="1">
        <f t="shared" si="22"/>
        <v>101300</v>
      </c>
      <c r="J111" s="1">
        <f t="shared" si="23"/>
        <v>2.0124824921938581E-5</v>
      </c>
      <c r="K111" s="25">
        <v>45.589108910891092</v>
      </c>
      <c r="L111" s="1">
        <f t="shared" si="24"/>
        <v>4.5589108910891089E-5</v>
      </c>
      <c r="M111" s="1">
        <f t="shared" si="25"/>
        <v>4.7762865441819992E-3</v>
      </c>
      <c r="N111" s="52">
        <f t="shared" si="26"/>
        <v>1.9208915266954576E-7</v>
      </c>
      <c r="O111" s="26">
        <f t="shared" si="27"/>
        <v>2.032E-3</v>
      </c>
      <c r="P111" s="26">
        <v>4.5724343480153871E-11</v>
      </c>
      <c r="Q111" s="2">
        <v>0.11</v>
      </c>
      <c r="R111" s="2">
        <f t="shared" si="28"/>
        <v>111000.00000000001</v>
      </c>
      <c r="S111" s="2">
        <f t="shared" si="29"/>
        <v>105384.72798208415</v>
      </c>
      <c r="T111" s="2">
        <f t="shared" si="30"/>
        <v>105384.72798208415</v>
      </c>
      <c r="U111" s="2">
        <f t="shared" si="31"/>
        <v>5.1398579432804297E-3</v>
      </c>
      <c r="V111" s="2">
        <v>0.06</v>
      </c>
      <c r="W111" s="2">
        <f t="shared" si="32"/>
        <v>106000</v>
      </c>
      <c r="X111" s="2">
        <f t="shared" si="33"/>
        <v>4.8324455445544556</v>
      </c>
      <c r="Y111" s="11">
        <f t="shared" si="34"/>
        <v>9.3690637302276512E-15</v>
      </c>
      <c r="Z111" s="11">
        <f t="shared" si="35"/>
        <v>5642050178.343092</v>
      </c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1">
        <v>330</v>
      </c>
      <c r="B112" s="1">
        <f t="shared" si="19"/>
        <v>5.5</v>
      </c>
      <c r="C112" s="1">
        <v>20</v>
      </c>
      <c r="D112" s="1">
        <f t="shared" si="18"/>
        <v>29.146000000000001</v>
      </c>
      <c r="E112" s="1">
        <f t="shared" si="20"/>
        <v>4.8576666666666667E-7</v>
      </c>
      <c r="F112" s="1">
        <v>21.1</v>
      </c>
      <c r="G112" s="1">
        <f t="shared" si="21"/>
        <v>294.10000000000002</v>
      </c>
      <c r="H112" s="1">
        <v>101.3</v>
      </c>
      <c r="I112" s="1">
        <f t="shared" si="22"/>
        <v>101300</v>
      </c>
      <c r="J112" s="1">
        <f t="shared" si="23"/>
        <v>2.0124824921938581E-5</v>
      </c>
      <c r="K112" s="25">
        <v>42.445544554455452</v>
      </c>
      <c r="L112" s="1">
        <f t="shared" si="24"/>
        <v>4.2445544554455454E-5</v>
      </c>
      <c r="M112" s="1">
        <f t="shared" si="25"/>
        <v>4.7762865441819992E-3</v>
      </c>
      <c r="N112" s="52">
        <f t="shared" si="26"/>
        <v>1.7884378271133519E-7</v>
      </c>
      <c r="O112" s="26">
        <f t="shared" si="27"/>
        <v>2.032E-3</v>
      </c>
      <c r="P112" s="26">
        <v>4.5724343480153871E-11</v>
      </c>
      <c r="Q112" s="2">
        <v>0.11</v>
      </c>
      <c r="R112" s="2">
        <f t="shared" si="28"/>
        <v>111000.00000000001</v>
      </c>
      <c r="S112" s="2">
        <f t="shared" si="29"/>
        <v>105767.24671769931</v>
      </c>
      <c r="T112" s="2">
        <f t="shared" si="30"/>
        <v>105767.24671769931</v>
      </c>
      <c r="U112" s="2">
        <f t="shared" si="31"/>
        <v>5.1398579432804297E-3</v>
      </c>
      <c r="V112" s="2">
        <v>0.06</v>
      </c>
      <c r="W112" s="2">
        <f t="shared" si="32"/>
        <v>106000</v>
      </c>
      <c r="X112" s="2">
        <f t="shared" si="33"/>
        <v>4.4992277227722779</v>
      </c>
      <c r="Y112" s="11">
        <f t="shared" si="34"/>
        <v>8.6914500520355116E-15</v>
      </c>
      <c r="Z112" s="11">
        <f t="shared" si="35"/>
        <v>5233991221.3357849</v>
      </c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1">
        <v>333</v>
      </c>
      <c r="B113" s="1">
        <f t="shared" si="19"/>
        <v>5.55</v>
      </c>
      <c r="C113" s="1">
        <v>20</v>
      </c>
      <c r="D113" s="1">
        <f t="shared" si="18"/>
        <v>29.146000000000001</v>
      </c>
      <c r="E113" s="1">
        <f t="shared" si="20"/>
        <v>4.8576666666666667E-7</v>
      </c>
      <c r="F113" s="1">
        <v>21.1</v>
      </c>
      <c r="G113" s="1">
        <f t="shared" si="21"/>
        <v>294.10000000000002</v>
      </c>
      <c r="H113" s="1">
        <v>101.3</v>
      </c>
      <c r="I113" s="1">
        <f t="shared" si="22"/>
        <v>101300</v>
      </c>
      <c r="J113" s="1">
        <f t="shared" si="23"/>
        <v>2.0124824921938581E-5</v>
      </c>
      <c r="K113" s="25">
        <v>43.435643564356432</v>
      </c>
      <c r="L113" s="1">
        <f t="shared" si="24"/>
        <v>4.3435643564356435E-5</v>
      </c>
      <c r="M113" s="1">
        <f t="shared" si="25"/>
        <v>4.7762865441819992E-3</v>
      </c>
      <c r="N113" s="52">
        <f t="shared" si="26"/>
        <v>1.830155527769133E-7</v>
      </c>
      <c r="O113" s="26">
        <f t="shared" si="27"/>
        <v>2.032E-3</v>
      </c>
      <c r="P113" s="26">
        <v>4.5724343480153871E-11</v>
      </c>
      <c r="Q113" s="2">
        <v>0.11</v>
      </c>
      <c r="R113" s="2">
        <f t="shared" si="28"/>
        <v>111000.00000000001</v>
      </c>
      <c r="S113" s="2">
        <f t="shared" si="29"/>
        <v>105646.6936186745</v>
      </c>
      <c r="T113" s="2">
        <f t="shared" si="30"/>
        <v>105646.6936186745</v>
      </c>
      <c r="U113" s="2">
        <f t="shared" si="31"/>
        <v>5.1398579432804297E-3</v>
      </c>
      <c r="V113" s="2">
        <v>0.06</v>
      </c>
      <c r="W113" s="2">
        <f t="shared" si="32"/>
        <v>106000</v>
      </c>
      <c r="X113" s="2">
        <f t="shared" si="33"/>
        <v>4.604178217821782</v>
      </c>
      <c r="Y113" s="11">
        <f t="shared" si="34"/>
        <v>8.9043481406572426E-15</v>
      </c>
      <c r="Z113" s="11">
        <f t="shared" si="35"/>
        <v>5362198450.303792</v>
      </c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1">
        <v>336</v>
      </c>
      <c r="B114" s="1">
        <f t="shared" si="19"/>
        <v>5.6</v>
      </c>
      <c r="C114" s="1">
        <v>20</v>
      </c>
      <c r="D114" s="1">
        <f t="shared" si="18"/>
        <v>29.146000000000001</v>
      </c>
      <c r="E114" s="1">
        <f t="shared" si="20"/>
        <v>4.8576666666666667E-7</v>
      </c>
      <c r="F114" s="1">
        <v>21.1</v>
      </c>
      <c r="G114" s="1">
        <f t="shared" si="21"/>
        <v>294.10000000000002</v>
      </c>
      <c r="H114" s="1">
        <v>101.3</v>
      </c>
      <c r="I114" s="1">
        <f t="shared" si="22"/>
        <v>101300</v>
      </c>
      <c r="J114" s="1">
        <f t="shared" si="23"/>
        <v>2.0124824921938581E-5</v>
      </c>
      <c r="K114" s="25">
        <v>41.009900990099013</v>
      </c>
      <c r="L114" s="1">
        <f t="shared" si="24"/>
        <v>4.1009900990099009E-5</v>
      </c>
      <c r="M114" s="1">
        <f t="shared" si="25"/>
        <v>4.7762865441819992E-3</v>
      </c>
      <c r="N114" s="52">
        <f t="shared" si="26"/>
        <v>1.7279471611624684E-7</v>
      </c>
      <c r="O114" s="26">
        <f t="shared" si="27"/>
        <v>2.032E-3</v>
      </c>
      <c r="P114" s="26">
        <v>4.5724343480153871E-11</v>
      </c>
      <c r="Q114" s="2">
        <v>0.11</v>
      </c>
      <c r="R114" s="2">
        <f t="shared" si="28"/>
        <v>111000.00000000001</v>
      </c>
      <c r="S114" s="2">
        <f t="shared" si="29"/>
        <v>105942.17081454658</v>
      </c>
      <c r="T114" s="2">
        <f t="shared" si="30"/>
        <v>105942.17081454658</v>
      </c>
      <c r="U114" s="2">
        <f t="shared" si="31"/>
        <v>5.1398579432804297E-3</v>
      </c>
      <c r="V114" s="2">
        <v>0.06</v>
      </c>
      <c r="W114" s="2">
        <f t="shared" si="32"/>
        <v>106000</v>
      </c>
      <c r="X114" s="2">
        <f t="shared" si="33"/>
        <v>4.3470495049504949</v>
      </c>
      <c r="Y114" s="11">
        <f t="shared" si="34"/>
        <v>8.3835995739989443E-15</v>
      </c>
      <c r="Z114" s="11">
        <f t="shared" si="35"/>
        <v>5048603663.4621649</v>
      </c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1"/>
      <c r="M115" s="1"/>
      <c r="N115" s="26"/>
      <c r="O115" s="26"/>
      <c r="P115" s="26"/>
      <c r="Q115" s="2"/>
      <c r="R115" s="5"/>
      <c r="S115" s="2"/>
      <c r="T115" s="2"/>
      <c r="U115" s="2"/>
      <c r="V115" s="2"/>
      <c r="W115" s="2"/>
      <c r="X115" s="2"/>
      <c r="Y115" s="2"/>
      <c r="Z115" s="2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1"/>
      <c r="M116" s="1"/>
      <c r="N116" s="26"/>
      <c r="O116" s="26"/>
      <c r="P116" s="26"/>
      <c r="Q116" s="2"/>
      <c r="R116" s="5"/>
      <c r="S116" s="2"/>
      <c r="T116" s="2"/>
      <c r="U116" s="2"/>
      <c r="V116" s="2"/>
      <c r="W116" s="2"/>
      <c r="X116" s="2"/>
      <c r="Y116" s="2"/>
      <c r="Z116" s="2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1"/>
      <c r="M117" s="1"/>
      <c r="N117" s="26"/>
      <c r="O117" s="26"/>
      <c r="P117" s="26"/>
      <c r="Q117" s="2"/>
      <c r="R117" s="5"/>
      <c r="S117" s="2"/>
      <c r="T117" s="2"/>
      <c r="U117" s="2"/>
      <c r="V117" s="2"/>
      <c r="W117" s="2"/>
      <c r="X117" s="2"/>
      <c r="Y117" s="2"/>
      <c r="Z117" s="2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1"/>
      <c r="M118" s="1"/>
      <c r="N118" s="26"/>
      <c r="O118" s="26"/>
      <c r="P118" s="26"/>
      <c r="Q118" s="2"/>
      <c r="R118" s="5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1"/>
      <c r="M119" s="1"/>
      <c r="N119" s="26"/>
      <c r="O119" s="26"/>
      <c r="P119" s="26"/>
      <c r="Q119" s="2"/>
      <c r="R119" s="5"/>
      <c r="S119" s="2"/>
      <c r="T119" s="2"/>
      <c r="U119" s="2"/>
      <c r="V119" s="2"/>
      <c r="W119" s="2"/>
      <c r="X119" s="2"/>
      <c r="Y119" s="44">
        <f>AVERAGE(Y46:Y114)</f>
        <v>8.7866815859383358E-15</v>
      </c>
      <c r="Z119" s="44">
        <f>AVERAGE(Z46:Z114)</f>
        <v>5291339651.0520649</v>
      </c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1"/>
      <c r="M120" s="1"/>
      <c r="N120" s="26"/>
      <c r="O120" s="26"/>
      <c r="P120" s="26"/>
      <c r="Q120" s="2"/>
      <c r="R120" s="5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1"/>
      <c r="M121" s="1"/>
      <c r="N121" s="26"/>
      <c r="O121" s="26"/>
      <c r="P121" s="26"/>
      <c r="Q121" s="2"/>
      <c r="R121" s="5"/>
      <c r="S121" s="2"/>
      <c r="T121" s="2"/>
      <c r="U121" s="2"/>
      <c r="V121" s="2"/>
      <c r="W121" s="2"/>
      <c r="X121" s="2"/>
      <c r="Y121" s="2"/>
      <c r="Z121" s="2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1"/>
      <c r="M122" s="1"/>
      <c r="N122" s="26"/>
      <c r="O122" s="26"/>
      <c r="P122" s="26"/>
      <c r="Q122" s="2"/>
      <c r="R122" s="5"/>
      <c r="S122" s="2"/>
      <c r="T122" s="2"/>
      <c r="U122" s="2"/>
      <c r="V122" s="2"/>
      <c r="W122" s="2"/>
      <c r="X122" s="2"/>
      <c r="Y122" s="2"/>
      <c r="Z122" s="2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1"/>
      <c r="M123" s="1"/>
      <c r="N123" s="26"/>
      <c r="O123" s="26"/>
      <c r="P123" s="26"/>
      <c r="Q123" s="2"/>
      <c r="R123" s="5"/>
      <c r="S123" s="2"/>
      <c r="T123" s="2"/>
      <c r="U123" s="2"/>
      <c r="V123" s="2"/>
      <c r="W123" s="2"/>
      <c r="X123" s="2"/>
      <c r="Y123" s="2"/>
      <c r="Z123" s="2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37" customFormat="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3"/>
      <c r="L124" s="32"/>
      <c r="M124" s="32"/>
      <c r="N124" s="34"/>
      <c r="O124" s="34"/>
      <c r="P124" s="34"/>
      <c r="Q124" s="35"/>
      <c r="R124" s="36"/>
      <c r="S124" s="35"/>
      <c r="T124" s="35"/>
      <c r="U124" s="35"/>
      <c r="V124" s="35"/>
      <c r="W124" s="35"/>
      <c r="X124" s="35"/>
      <c r="Y124" s="35"/>
      <c r="Z124" s="35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8" customForma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38"/>
      <c r="L125" s="27"/>
      <c r="M125" s="27"/>
      <c r="N125" s="39"/>
      <c r="O125" s="39"/>
      <c r="P125" s="39"/>
      <c r="Q125" s="31"/>
      <c r="R125" s="10"/>
      <c r="S125" s="31"/>
      <c r="T125" s="31"/>
      <c r="U125" s="31"/>
      <c r="V125" s="31"/>
      <c r="W125" s="31"/>
      <c r="X125" s="31"/>
      <c r="Y125" s="31"/>
      <c r="Z125" s="31"/>
    </row>
    <row r="126" spans="1:74" s="8" customForma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38"/>
      <c r="L126" s="27"/>
      <c r="M126" s="27"/>
      <c r="N126" s="39"/>
      <c r="O126" s="39"/>
      <c r="P126" s="39"/>
      <c r="Q126" s="31"/>
      <c r="R126" s="10"/>
      <c r="S126" s="31"/>
      <c r="T126" s="31"/>
      <c r="U126" s="31"/>
      <c r="V126" s="31"/>
      <c r="W126" s="31"/>
      <c r="X126" s="31"/>
      <c r="Y126" s="31"/>
      <c r="Z126" s="31"/>
    </row>
    <row r="127" spans="1:74" s="8" customForma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38"/>
      <c r="L127" s="27"/>
      <c r="M127" s="27"/>
      <c r="N127" s="39"/>
      <c r="O127" s="39"/>
      <c r="P127" s="39"/>
      <c r="Q127" s="31"/>
      <c r="R127" s="10"/>
      <c r="S127" s="31"/>
      <c r="T127" s="31"/>
      <c r="U127" s="31"/>
      <c r="V127" s="31"/>
      <c r="W127" s="31"/>
      <c r="X127" s="31"/>
      <c r="Y127" s="31"/>
      <c r="Z127" s="31"/>
    </row>
    <row r="128" spans="1:74" s="8" customForma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38"/>
      <c r="L128" s="27"/>
      <c r="M128" s="27"/>
      <c r="N128" s="39"/>
      <c r="O128" s="39"/>
      <c r="P128" s="39"/>
      <c r="Q128" s="31"/>
      <c r="R128" s="10"/>
      <c r="S128" s="31"/>
      <c r="T128" s="31"/>
      <c r="U128" s="31"/>
      <c r="V128" s="31"/>
      <c r="W128" s="31"/>
      <c r="X128" s="31"/>
      <c r="Y128" s="31"/>
      <c r="Z128" s="31"/>
    </row>
    <row r="129" spans="1:26" s="8" customForma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38"/>
      <c r="L129" s="27"/>
      <c r="M129" s="27"/>
      <c r="N129" s="39"/>
      <c r="O129" s="39"/>
      <c r="P129" s="39"/>
      <c r="Q129" s="31"/>
      <c r="R129" s="10"/>
      <c r="S129" s="31"/>
      <c r="T129" s="31"/>
      <c r="U129" s="31"/>
      <c r="V129" s="31"/>
      <c r="W129" s="31"/>
      <c r="X129" s="31"/>
      <c r="Y129" s="31"/>
      <c r="Z129" s="31"/>
    </row>
    <row r="130" spans="1:26" s="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38"/>
      <c r="L130" s="27"/>
      <c r="M130" s="27"/>
      <c r="N130" s="39"/>
      <c r="O130" s="39"/>
      <c r="P130" s="39"/>
      <c r="Q130" s="31"/>
      <c r="R130" s="10"/>
      <c r="S130" s="31"/>
      <c r="T130" s="31"/>
      <c r="U130" s="31"/>
      <c r="V130" s="31"/>
      <c r="W130" s="31"/>
      <c r="X130" s="31"/>
      <c r="Y130" s="31"/>
      <c r="Z130" s="31"/>
    </row>
    <row r="131" spans="1:26" s="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38"/>
      <c r="L131" s="27"/>
      <c r="M131" s="27"/>
      <c r="N131" s="39"/>
      <c r="O131" s="39"/>
      <c r="P131" s="39"/>
      <c r="Q131" s="31"/>
      <c r="R131" s="10"/>
      <c r="S131" s="31"/>
      <c r="T131" s="31"/>
      <c r="U131" s="31"/>
      <c r="V131" s="31"/>
      <c r="W131" s="31"/>
      <c r="X131" s="31"/>
      <c r="Y131" s="31"/>
      <c r="Z131" s="31"/>
    </row>
    <row r="132" spans="1:26" s="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38"/>
      <c r="L132" s="27"/>
      <c r="M132" s="27"/>
      <c r="N132" s="39"/>
      <c r="O132" s="39"/>
      <c r="P132" s="39"/>
      <c r="Q132" s="31"/>
      <c r="R132" s="10"/>
      <c r="S132" s="31"/>
      <c r="T132" s="31"/>
      <c r="U132" s="31"/>
      <c r="V132" s="31"/>
      <c r="W132" s="31"/>
      <c r="X132" s="31"/>
      <c r="Y132" s="31"/>
      <c r="Z132" s="31"/>
    </row>
    <row r="133" spans="1:26" s="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38"/>
      <c r="L133" s="27"/>
      <c r="M133" s="27"/>
      <c r="N133" s="39"/>
      <c r="O133" s="39"/>
      <c r="P133" s="39"/>
      <c r="Q133" s="31"/>
      <c r="R133" s="10"/>
      <c r="S133" s="31"/>
      <c r="T133" s="31"/>
      <c r="U133" s="31"/>
      <c r="V133" s="31"/>
      <c r="W133" s="31"/>
      <c r="X133" s="31"/>
      <c r="Y133" s="31"/>
      <c r="Z133" s="31"/>
    </row>
    <row r="134" spans="1:26" s="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38"/>
      <c r="L134" s="27"/>
      <c r="M134" s="27"/>
      <c r="N134" s="39"/>
      <c r="O134" s="39"/>
      <c r="P134" s="39"/>
      <c r="Q134" s="31"/>
      <c r="R134" s="10"/>
      <c r="S134" s="31"/>
      <c r="T134" s="31"/>
      <c r="U134" s="31"/>
      <c r="V134" s="31"/>
      <c r="W134" s="31"/>
      <c r="X134" s="31"/>
      <c r="Y134" s="31"/>
      <c r="Z134" s="31"/>
    </row>
    <row r="135" spans="1:26" s="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38"/>
      <c r="L135" s="27"/>
      <c r="M135" s="27"/>
      <c r="N135" s="39"/>
      <c r="O135" s="39"/>
      <c r="P135" s="39"/>
      <c r="Q135" s="31"/>
      <c r="R135" s="10"/>
      <c r="S135" s="31"/>
      <c r="T135" s="31"/>
      <c r="U135" s="31"/>
      <c r="V135" s="31"/>
      <c r="W135" s="31"/>
      <c r="X135" s="31"/>
      <c r="Y135" s="31"/>
      <c r="Z135" s="31"/>
    </row>
    <row r="136" spans="1:26" s="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38"/>
      <c r="L136" s="27"/>
      <c r="M136" s="27"/>
      <c r="N136" s="39"/>
      <c r="O136" s="39"/>
      <c r="P136" s="39"/>
      <c r="Q136" s="31"/>
      <c r="R136" s="10"/>
      <c r="S136" s="31"/>
      <c r="T136" s="31"/>
      <c r="U136" s="31"/>
      <c r="V136" s="31"/>
      <c r="W136" s="31"/>
      <c r="X136" s="31"/>
      <c r="Y136" s="31"/>
      <c r="Z136" s="31"/>
    </row>
    <row r="137" spans="1:26" s="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38"/>
      <c r="L137" s="27"/>
      <c r="M137" s="27"/>
      <c r="N137" s="39"/>
      <c r="O137" s="39"/>
      <c r="P137" s="39"/>
      <c r="Q137" s="31"/>
      <c r="R137" s="10"/>
      <c r="S137" s="31"/>
      <c r="T137" s="31"/>
      <c r="U137" s="31"/>
      <c r="V137" s="31"/>
      <c r="W137" s="31"/>
      <c r="X137" s="31"/>
      <c r="Y137" s="31"/>
      <c r="Z137" s="31"/>
    </row>
    <row r="138" spans="1:26" s="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38"/>
      <c r="L138" s="27"/>
      <c r="M138" s="27"/>
      <c r="N138" s="39"/>
      <c r="O138" s="39"/>
      <c r="P138" s="39"/>
      <c r="Q138" s="31"/>
      <c r="R138" s="10"/>
      <c r="S138" s="31"/>
      <c r="T138" s="31"/>
      <c r="U138" s="31"/>
      <c r="V138" s="31"/>
      <c r="W138" s="31"/>
      <c r="X138" s="31"/>
      <c r="Y138" s="31"/>
      <c r="Z138" s="31"/>
    </row>
    <row r="139" spans="1:26" s="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38"/>
      <c r="L139" s="27"/>
      <c r="M139" s="27"/>
      <c r="N139" s="39"/>
      <c r="O139" s="39"/>
      <c r="P139" s="39"/>
      <c r="Q139" s="31"/>
      <c r="R139" s="10"/>
      <c r="S139" s="31"/>
      <c r="T139" s="31"/>
      <c r="U139" s="31"/>
      <c r="V139" s="31"/>
      <c r="W139" s="31"/>
      <c r="X139" s="31"/>
      <c r="Y139" s="31"/>
      <c r="Z139" s="31"/>
    </row>
    <row r="140" spans="1:26" s="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38"/>
      <c r="L140" s="27"/>
      <c r="M140" s="27"/>
      <c r="N140" s="39"/>
      <c r="O140" s="39"/>
      <c r="P140" s="39"/>
      <c r="Q140" s="31"/>
      <c r="R140" s="10"/>
      <c r="S140" s="31"/>
      <c r="T140" s="31"/>
      <c r="U140" s="31"/>
      <c r="V140" s="31"/>
      <c r="W140" s="31"/>
      <c r="X140" s="31"/>
      <c r="Y140" s="31"/>
      <c r="Z140" s="31"/>
    </row>
    <row r="141" spans="1:26" s="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38"/>
      <c r="L141" s="27"/>
      <c r="M141" s="27"/>
      <c r="N141" s="39"/>
      <c r="O141" s="39"/>
      <c r="P141" s="39"/>
      <c r="Q141" s="31"/>
      <c r="R141" s="10"/>
      <c r="S141" s="31"/>
      <c r="T141" s="31"/>
      <c r="U141" s="31"/>
      <c r="V141" s="31"/>
      <c r="W141" s="31"/>
      <c r="X141" s="31"/>
      <c r="Y141" s="31"/>
      <c r="Z141" s="31"/>
    </row>
    <row r="142" spans="1:26" s="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38"/>
      <c r="L142" s="27"/>
      <c r="M142" s="27"/>
      <c r="N142" s="39"/>
      <c r="O142" s="39"/>
      <c r="P142" s="39"/>
      <c r="Q142" s="31"/>
      <c r="R142" s="10"/>
      <c r="S142" s="31"/>
      <c r="T142" s="31"/>
      <c r="U142" s="31"/>
      <c r="V142" s="31"/>
      <c r="W142" s="31"/>
      <c r="X142" s="31"/>
      <c r="Y142" s="31"/>
      <c r="Z142" s="31"/>
    </row>
    <row r="143" spans="1:26" s="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38"/>
      <c r="L143" s="27"/>
      <c r="M143" s="27"/>
      <c r="N143" s="39"/>
      <c r="O143" s="39"/>
      <c r="P143" s="39"/>
      <c r="Q143" s="31"/>
      <c r="R143" s="10"/>
      <c r="S143" s="31"/>
      <c r="T143" s="31"/>
      <c r="U143" s="31"/>
      <c r="V143" s="31"/>
      <c r="W143" s="31"/>
      <c r="X143" s="31"/>
      <c r="Y143" s="31"/>
      <c r="Z143" s="31"/>
    </row>
    <row r="144" spans="1:26" s="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38"/>
      <c r="L144" s="27"/>
      <c r="M144" s="27"/>
      <c r="N144" s="39"/>
      <c r="O144" s="39"/>
      <c r="P144" s="39"/>
      <c r="Q144" s="31"/>
      <c r="R144" s="10"/>
      <c r="S144" s="31"/>
      <c r="T144" s="31"/>
      <c r="U144" s="31"/>
      <c r="V144" s="31"/>
      <c r="W144" s="31"/>
      <c r="X144" s="31"/>
      <c r="Y144" s="31"/>
      <c r="Z144" s="31"/>
    </row>
    <row r="145" spans="1:26" s="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38"/>
      <c r="L145" s="27"/>
      <c r="M145" s="27"/>
      <c r="N145" s="39"/>
      <c r="O145" s="39"/>
      <c r="P145" s="39"/>
      <c r="Q145" s="31"/>
      <c r="R145" s="10"/>
      <c r="S145" s="31"/>
      <c r="T145" s="31"/>
      <c r="U145" s="31"/>
      <c r="V145" s="31"/>
      <c r="W145" s="31"/>
      <c r="X145" s="31"/>
      <c r="Y145" s="31"/>
      <c r="Z145" s="31"/>
    </row>
    <row r="146" spans="1:26" s="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38"/>
      <c r="L146" s="27"/>
      <c r="M146" s="27"/>
      <c r="N146" s="39"/>
      <c r="O146" s="39"/>
      <c r="P146" s="39"/>
      <c r="Q146" s="31"/>
      <c r="R146" s="10"/>
      <c r="S146" s="31"/>
      <c r="T146" s="31"/>
      <c r="U146" s="31"/>
      <c r="V146" s="31"/>
      <c r="W146" s="31"/>
      <c r="X146" s="31"/>
      <c r="Y146" s="31"/>
      <c r="Z146" s="31"/>
    </row>
    <row r="147" spans="1:26" s="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38"/>
      <c r="L147" s="27"/>
      <c r="M147" s="27"/>
      <c r="N147" s="39"/>
      <c r="O147" s="39"/>
      <c r="P147" s="39"/>
      <c r="Q147" s="31"/>
      <c r="R147" s="10"/>
      <c r="S147" s="31"/>
      <c r="T147" s="31"/>
      <c r="U147" s="31"/>
      <c r="V147" s="31"/>
      <c r="W147" s="31"/>
      <c r="X147" s="31"/>
      <c r="Y147" s="31"/>
      <c r="Z147" s="31"/>
    </row>
    <row r="148" spans="1:26" s="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38"/>
      <c r="L148" s="27"/>
      <c r="M148" s="27"/>
      <c r="N148" s="39"/>
      <c r="O148" s="39"/>
      <c r="P148" s="39"/>
      <c r="Q148" s="31"/>
      <c r="R148" s="10"/>
      <c r="S148" s="31"/>
      <c r="T148" s="31"/>
      <c r="U148" s="31"/>
      <c r="V148" s="31"/>
      <c r="W148" s="31"/>
      <c r="X148" s="31"/>
      <c r="Y148" s="31"/>
      <c r="Z148" s="31"/>
    </row>
    <row r="149" spans="1:26" s="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38"/>
      <c r="L149" s="27"/>
      <c r="M149" s="27"/>
      <c r="N149" s="39"/>
      <c r="O149" s="39"/>
      <c r="P149" s="39"/>
      <c r="Q149" s="31"/>
      <c r="R149" s="10"/>
      <c r="S149" s="31"/>
      <c r="T149" s="31"/>
      <c r="U149" s="31"/>
      <c r="V149" s="31"/>
      <c r="W149" s="31"/>
      <c r="X149" s="31"/>
      <c r="Y149" s="31"/>
      <c r="Z149" s="31"/>
    </row>
    <row r="150" spans="1:26" s="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38"/>
      <c r="L150" s="27"/>
      <c r="M150" s="27"/>
      <c r="N150" s="39"/>
      <c r="O150" s="39"/>
      <c r="P150" s="39"/>
      <c r="Q150" s="31"/>
      <c r="R150" s="10"/>
      <c r="S150" s="31"/>
      <c r="T150" s="31"/>
      <c r="U150" s="31"/>
      <c r="V150" s="31"/>
      <c r="W150" s="31"/>
      <c r="X150" s="31"/>
      <c r="Y150" s="31"/>
      <c r="Z150" s="31"/>
    </row>
    <row r="151" spans="1:26" s="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38"/>
      <c r="L151" s="27"/>
      <c r="M151" s="27"/>
      <c r="N151" s="39"/>
      <c r="O151" s="39"/>
      <c r="P151" s="39"/>
      <c r="Q151" s="31"/>
      <c r="R151" s="10"/>
      <c r="S151" s="31"/>
      <c r="T151" s="31"/>
      <c r="U151" s="31"/>
      <c r="V151" s="31"/>
      <c r="W151" s="31"/>
      <c r="X151" s="31"/>
      <c r="Y151" s="31"/>
      <c r="Z151" s="31"/>
    </row>
    <row r="152" spans="1:26" s="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38"/>
      <c r="L152" s="27"/>
      <c r="M152" s="27"/>
      <c r="N152" s="39"/>
      <c r="O152" s="39"/>
      <c r="P152" s="39"/>
      <c r="Q152" s="31"/>
      <c r="R152" s="10"/>
      <c r="S152" s="31"/>
      <c r="T152" s="31"/>
      <c r="U152" s="31"/>
      <c r="V152" s="31"/>
      <c r="W152" s="31"/>
      <c r="X152" s="31"/>
      <c r="Y152" s="31"/>
      <c r="Z152" s="31"/>
    </row>
    <row r="153" spans="1:26" s="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38"/>
      <c r="L153" s="27"/>
      <c r="M153" s="27"/>
      <c r="N153" s="39"/>
      <c r="O153" s="39"/>
      <c r="P153" s="39"/>
      <c r="Q153" s="31"/>
      <c r="R153" s="10"/>
      <c r="S153" s="31"/>
      <c r="T153" s="31"/>
      <c r="U153" s="31"/>
      <c r="V153" s="31"/>
      <c r="W153" s="31"/>
      <c r="X153" s="31"/>
      <c r="Y153" s="31"/>
      <c r="Z153" s="31"/>
    </row>
    <row r="154" spans="1:26" s="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38"/>
      <c r="L154" s="27"/>
      <c r="M154" s="27"/>
      <c r="N154" s="39"/>
      <c r="O154" s="39"/>
      <c r="P154" s="39"/>
      <c r="Q154" s="31"/>
      <c r="R154" s="10"/>
      <c r="S154" s="31"/>
      <c r="T154" s="31"/>
      <c r="U154" s="31"/>
      <c r="V154" s="31"/>
      <c r="W154" s="31"/>
      <c r="X154" s="31"/>
      <c r="Y154" s="31"/>
      <c r="Z154" s="31"/>
    </row>
    <row r="155" spans="1:26" s="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38"/>
      <c r="L155" s="27"/>
      <c r="M155" s="27"/>
      <c r="N155" s="39"/>
      <c r="O155" s="39"/>
      <c r="P155" s="39"/>
      <c r="Q155" s="31"/>
      <c r="R155" s="10"/>
      <c r="S155" s="31"/>
      <c r="T155" s="31"/>
      <c r="U155" s="31"/>
      <c r="V155" s="31"/>
      <c r="W155" s="31"/>
      <c r="X155" s="31"/>
      <c r="Y155" s="31"/>
      <c r="Z155" s="31"/>
    </row>
    <row r="156" spans="1:26" s="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38"/>
      <c r="L156" s="27"/>
      <c r="M156" s="27"/>
      <c r="N156" s="39"/>
      <c r="O156" s="39"/>
      <c r="P156" s="39"/>
      <c r="Q156" s="31"/>
      <c r="R156" s="10"/>
      <c r="S156" s="31"/>
      <c r="T156" s="31"/>
      <c r="U156" s="31"/>
      <c r="V156" s="31"/>
      <c r="W156" s="31"/>
      <c r="X156" s="31"/>
      <c r="Y156" s="31"/>
      <c r="Z156" s="31"/>
    </row>
    <row r="157" spans="1:26" s="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38"/>
      <c r="L157" s="27"/>
      <c r="M157" s="27"/>
      <c r="N157" s="39"/>
      <c r="O157" s="39"/>
      <c r="P157" s="39"/>
      <c r="Q157" s="31"/>
      <c r="R157" s="10"/>
      <c r="S157" s="31"/>
      <c r="T157" s="31"/>
      <c r="U157" s="31"/>
      <c r="V157" s="31"/>
      <c r="W157" s="31"/>
      <c r="X157" s="31"/>
      <c r="Y157" s="31"/>
      <c r="Z157" s="31"/>
    </row>
    <row r="158" spans="1:26" s="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38"/>
      <c r="L158" s="27"/>
      <c r="M158" s="27"/>
      <c r="N158" s="39"/>
      <c r="O158" s="39"/>
      <c r="P158" s="39"/>
      <c r="Q158" s="31"/>
      <c r="R158" s="10"/>
      <c r="S158" s="31"/>
      <c r="T158" s="31"/>
      <c r="U158" s="31"/>
      <c r="V158" s="31"/>
      <c r="W158" s="31"/>
      <c r="X158" s="31"/>
      <c r="Y158" s="31"/>
      <c r="Z158" s="31"/>
    </row>
    <row r="159" spans="1:26" s="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38"/>
      <c r="L159" s="27"/>
      <c r="M159" s="27"/>
      <c r="N159" s="39"/>
      <c r="O159" s="39"/>
      <c r="P159" s="39"/>
      <c r="Q159" s="31"/>
      <c r="R159" s="10"/>
      <c r="S159" s="31"/>
      <c r="T159" s="31"/>
      <c r="U159" s="31"/>
      <c r="V159" s="31"/>
      <c r="W159" s="31"/>
      <c r="X159" s="31"/>
      <c r="Y159" s="31"/>
      <c r="Z159" s="31"/>
    </row>
    <row r="160" spans="1:26" s="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38"/>
      <c r="L160" s="27"/>
      <c r="M160" s="27"/>
      <c r="N160" s="39"/>
      <c r="O160" s="39"/>
      <c r="P160" s="39"/>
      <c r="Q160" s="31"/>
      <c r="R160" s="10"/>
      <c r="S160" s="31"/>
      <c r="T160" s="31"/>
      <c r="U160" s="31"/>
      <c r="V160" s="31"/>
      <c r="W160" s="31"/>
      <c r="X160" s="31"/>
      <c r="Y160" s="31"/>
      <c r="Z160" s="31"/>
    </row>
    <row r="161" spans="1:26" s="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38"/>
      <c r="L161" s="27"/>
      <c r="M161" s="27"/>
      <c r="N161" s="39"/>
      <c r="O161" s="39"/>
      <c r="P161" s="39"/>
      <c r="Q161" s="31"/>
      <c r="R161" s="10"/>
      <c r="S161" s="31"/>
      <c r="T161" s="31"/>
      <c r="U161" s="31"/>
      <c r="V161" s="31"/>
      <c r="W161" s="31"/>
      <c r="X161" s="31"/>
      <c r="Y161" s="31"/>
      <c r="Z161" s="31"/>
    </row>
    <row r="162" spans="1:26" s="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38"/>
      <c r="L162" s="27"/>
      <c r="M162" s="27"/>
      <c r="N162" s="39"/>
      <c r="O162" s="39"/>
      <c r="P162" s="39"/>
      <c r="Q162" s="31"/>
      <c r="R162" s="10"/>
      <c r="S162" s="31"/>
      <c r="T162" s="31"/>
      <c r="U162" s="31"/>
      <c r="V162" s="31"/>
      <c r="W162" s="31"/>
      <c r="X162" s="31"/>
      <c r="Y162" s="31"/>
      <c r="Z162" s="31"/>
    </row>
    <row r="163" spans="1:26" s="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38"/>
      <c r="L163" s="27"/>
      <c r="M163" s="27"/>
      <c r="N163" s="39"/>
      <c r="O163" s="39"/>
      <c r="P163" s="39"/>
      <c r="Q163" s="31"/>
      <c r="R163" s="10"/>
      <c r="S163" s="31"/>
      <c r="T163" s="31"/>
      <c r="U163" s="31"/>
      <c r="V163" s="31"/>
      <c r="W163" s="31"/>
      <c r="X163" s="31"/>
      <c r="Y163" s="31"/>
      <c r="Z163" s="31"/>
    </row>
    <row r="164" spans="1:26" s="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38"/>
      <c r="L164" s="27"/>
      <c r="M164" s="27"/>
      <c r="N164" s="39"/>
      <c r="O164" s="39"/>
      <c r="P164" s="39"/>
      <c r="Q164" s="31"/>
      <c r="R164" s="10"/>
      <c r="S164" s="31"/>
      <c r="T164" s="31"/>
      <c r="U164" s="31"/>
      <c r="V164" s="31"/>
      <c r="W164" s="31"/>
      <c r="X164" s="31"/>
      <c r="Y164" s="31"/>
      <c r="Z164" s="31"/>
    </row>
    <row r="165" spans="1:26" s="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38"/>
      <c r="L165" s="27"/>
      <c r="M165" s="27"/>
      <c r="N165" s="39"/>
      <c r="O165" s="39"/>
      <c r="P165" s="39"/>
      <c r="Q165" s="31"/>
      <c r="R165" s="10"/>
      <c r="S165" s="31"/>
      <c r="T165" s="31"/>
      <c r="U165" s="31"/>
      <c r="V165" s="31"/>
      <c r="W165" s="31"/>
      <c r="X165" s="31"/>
      <c r="Y165" s="31"/>
      <c r="Z165" s="31"/>
    </row>
    <row r="166" spans="1:26" s="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38"/>
      <c r="L166" s="27"/>
      <c r="M166" s="27"/>
      <c r="N166" s="39"/>
      <c r="O166" s="39"/>
      <c r="P166" s="39"/>
      <c r="Q166" s="31"/>
      <c r="R166" s="10"/>
      <c r="S166" s="31"/>
      <c r="T166" s="31"/>
      <c r="U166" s="31"/>
      <c r="V166" s="31"/>
      <c r="W166" s="31"/>
      <c r="X166" s="31"/>
      <c r="Y166" s="31"/>
      <c r="Z166" s="31"/>
    </row>
    <row r="167" spans="1:26" s="8" customForma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38"/>
      <c r="L167" s="27"/>
      <c r="M167" s="27"/>
      <c r="N167" s="39"/>
      <c r="O167" s="39"/>
      <c r="P167" s="39"/>
      <c r="Q167" s="31"/>
      <c r="R167" s="10"/>
      <c r="S167" s="31"/>
      <c r="T167" s="31"/>
      <c r="U167" s="31"/>
      <c r="V167" s="31"/>
      <c r="W167" s="31"/>
      <c r="X167" s="31"/>
      <c r="Y167" s="31"/>
      <c r="Z167" s="31"/>
    </row>
    <row r="168" spans="1:26" s="8" customForma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38"/>
      <c r="L168" s="27"/>
      <c r="M168" s="27"/>
      <c r="N168" s="39"/>
      <c r="O168" s="39"/>
      <c r="P168" s="39"/>
      <c r="Q168" s="31"/>
      <c r="R168" s="10"/>
      <c r="S168" s="31"/>
      <c r="T168" s="31"/>
      <c r="U168" s="31"/>
      <c r="V168" s="31"/>
      <c r="W168" s="31"/>
      <c r="X168" s="31"/>
      <c r="Y168" s="31"/>
      <c r="Z168" s="31"/>
    </row>
    <row r="169" spans="1:26" s="8" customForma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38"/>
      <c r="L169" s="27"/>
      <c r="M169" s="27"/>
      <c r="N169" s="39"/>
      <c r="O169" s="39"/>
      <c r="P169" s="39"/>
      <c r="Q169" s="31"/>
      <c r="R169" s="10"/>
      <c r="S169" s="31"/>
      <c r="T169" s="31"/>
      <c r="U169" s="31"/>
      <c r="V169" s="31"/>
      <c r="W169" s="31"/>
      <c r="X169" s="31"/>
      <c r="Y169" s="31"/>
      <c r="Z169" s="31"/>
    </row>
    <row r="170" spans="1:26" s="8" customForma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38"/>
      <c r="L170" s="27"/>
      <c r="M170" s="27"/>
      <c r="N170" s="39"/>
      <c r="O170" s="39"/>
      <c r="P170" s="39"/>
      <c r="Q170" s="31"/>
      <c r="R170" s="10"/>
      <c r="S170" s="31"/>
      <c r="T170" s="31"/>
      <c r="U170" s="31"/>
      <c r="V170" s="31"/>
      <c r="W170" s="31"/>
      <c r="X170" s="31"/>
      <c r="Y170" s="31"/>
      <c r="Z170" s="31"/>
    </row>
    <row r="171" spans="1:26" s="8" customForma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38"/>
      <c r="L171" s="27"/>
      <c r="M171" s="27"/>
      <c r="N171" s="39"/>
      <c r="O171" s="39"/>
      <c r="P171" s="39"/>
      <c r="Q171" s="31"/>
      <c r="R171" s="10"/>
      <c r="S171" s="31"/>
      <c r="T171" s="31"/>
      <c r="U171" s="31"/>
      <c r="V171" s="31"/>
      <c r="W171" s="31"/>
      <c r="X171" s="31"/>
      <c r="Y171" s="31"/>
      <c r="Z171" s="31"/>
    </row>
    <row r="172" spans="1:26" s="8" customForma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38"/>
      <c r="L172" s="27"/>
      <c r="M172" s="27"/>
      <c r="N172" s="39"/>
      <c r="O172" s="39"/>
      <c r="P172" s="39"/>
      <c r="Q172" s="31"/>
      <c r="R172" s="10"/>
      <c r="S172" s="31"/>
      <c r="T172" s="31"/>
      <c r="U172" s="31"/>
      <c r="V172" s="31"/>
      <c r="W172" s="31"/>
      <c r="X172" s="31"/>
      <c r="Y172" s="31"/>
      <c r="Z172" s="31"/>
    </row>
    <row r="173" spans="1:26" s="8" customForma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38"/>
      <c r="L173" s="27"/>
      <c r="M173" s="27"/>
      <c r="N173" s="39"/>
      <c r="O173" s="39"/>
      <c r="P173" s="39"/>
      <c r="Q173" s="31"/>
      <c r="R173" s="10"/>
      <c r="S173" s="31"/>
      <c r="T173" s="31"/>
      <c r="U173" s="31"/>
      <c r="V173" s="31"/>
      <c r="W173" s="31"/>
      <c r="X173" s="31"/>
      <c r="Y173" s="31"/>
      <c r="Z173" s="31"/>
    </row>
    <row r="174" spans="1:26" s="8" customForma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38"/>
      <c r="L174" s="27"/>
      <c r="M174" s="27"/>
      <c r="N174" s="39"/>
      <c r="O174" s="39"/>
      <c r="P174" s="39"/>
      <c r="Q174" s="31"/>
      <c r="R174" s="10"/>
      <c r="S174" s="31"/>
      <c r="T174" s="31"/>
      <c r="U174" s="31"/>
      <c r="V174" s="31"/>
      <c r="W174" s="31"/>
      <c r="X174" s="31"/>
      <c r="Y174" s="31"/>
      <c r="Z174" s="31"/>
    </row>
    <row r="175" spans="1:26" s="8" customForma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38"/>
      <c r="L175" s="27"/>
      <c r="M175" s="27"/>
      <c r="N175" s="39"/>
      <c r="O175" s="39"/>
      <c r="P175" s="39"/>
      <c r="Q175" s="31"/>
      <c r="R175" s="10"/>
      <c r="S175" s="31"/>
      <c r="T175" s="31"/>
      <c r="U175" s="31"/>
      <c r="V175" s="31"/>
      <c r="W175" s="31"/>
      <c r="X175" s="31"/>
      <c r="Y175" s="31"/>
      <c r="Z175" s="31"/>
    </row>
    <row r="176" spans="1:26" s="8" customForma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38"/>
      <c r="L176" s="27"/>
      <c r="M176" s="27"/>
      <c r="N176" s="39"/>
      <c r="O176" s="39"/>
      <c r="P176" s="39"/>
      <c r="Q176" s="31"/>
      <c r="R176" s="10"/>
      <c r="S176" s="31"/>
      <c r="T176" s="31"/>
      <c r="U176" s="31"/>
      <c r="V176" s="31"/>
      <c r="W176" s="31"/>
      <c r="X176" s="31"/>
      <c r="Y176" s="31"/>
      <c r="Z176" s="31"/>
    </row>
    <row r="177" spans="1:26" s="8" customForma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38"/>
      <c r="L177" s="27"/>
      <c r="M177" s="27"/>
      <c r="N177" s="39"/>
      <c r="O177" s="39"/>
      <c r="P177" s="39"/>
      <c r="Q177" s="31"/>
      <c r="R177" s="10"/>
      <c r="S177" s="31"/>
      <c r="T177" s="31"/>
      <c r="U177" s="31"/>
      <c r="V177" s="31"/>
      <c r="W177" s="31"/>
      <c r="X177" s="31"/>
      <c r="Y177" s="31"/>
      <c r="Z177" s="31"/>
    </row>
    <row r="178" spans="1:26" s="8" customForma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38"/>
      <c r="L178" s="27"/>
      <c r="M178" s="27"/>
      <c r="N178" s="39"/>
      <c r="O178" s="39"/>
      <c r="P178" s="39"/>
      <c r="Q178" s="31"/>
      <c r="R178" s="10"/>
      <c r="S178" s="31"/>
      <c r="T178" s="31"/>
      <c r="U178" s="31"/>
      <c r="V178" s="31"/>
      <c r="W178" s="31"/>
      <c r="X178" s="31"/>
      <c r="Y178" s="31"/>
      <c r="Z178" s="31"/>
    </row>
    <row r="179" spans="1:26" s="8" customForma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38"/>
      <c r="L179" s="27"/>
      <c r="M179" s="27"/>
      <c r="N179" s="39"/>
      <c r="O179" s="39"/>
      <c r="P179" s="39"/>
      <c r="Q179" s="31"/>
      <c r="R179" s="10"/>
      <c r="S179" s="31"/>
      <c r="T179" s="31"/>
      <c r="U179" s="31"/>
      <c r="V179" s="31"/>
      <c r="W179" s="31"/>
      <c r="X179" s="31"/>
      <c r="Y179" s="31"/>
      <c r="Z179" s="31"/>
    </row>
    <row r="180" spans="1:26" s="8" customForma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38"/>
      <c r="L180" s="27"/>
      <c r="M180" s="27"/>
      <c r="N180" s="39"/>
      <c r="O180" s="39"/>
      <c r="P180" s="39"/>
      <c r="Q180" s="31"/>
      <c r="R180" s="10"/>
      <c r="S180" s="31"/>
      <c r="T180" s="31"/>
      <c r="U180" s="31"/>
      <c r="V180" s="31"/>
      <c r="W180" s="31"/>
      <c r="X180" s="31"/>
      <c r="Y180" s="31"/>
      <c r="Z180" s="31"/>
    </row>
    <row r="181" spans="1:26" s="8" customForma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38"/>
      <c r="L181" s="27"/>
      <c r="M181" s="27"/>
      <c r="N181" s="39"/>
      <c r="O181" s="39"/>
      <c r="P181" s="39"/>
      <c r="Q181" s="31"/>
      <c r="R181" s="10"/>
      <c r="S181" s="31"/>
      <c r="T181" s="31"/>
      <c r="U181" s="31"/>
      <c r="V181" s="31"/>
      <c r="W181" s="31"/>
      <c r="X181" s="31"/>
      <c r="Y181" s="31"/>
      <c r="Z181" s="31"/>
    </row>
    <row r="182" spans="1:26" s="8" customForma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38"/>
      <c r="L182" s="27"/>
      <c r="M182" s="27"/>
      <c r="N182" s="39"/>
      <c r="O182" s="39"/>
      <c r="P182" s="39"/>
      <c r="Q182" s="31"/>
      <c r="R182" s="10"/>
      <c r="S182" s="31"/>
      <c r="T182" s="31"/>
      <c r="U182" s="31"/>
      <c r="V182" s="31"/>
      <c r="W182" s="31"/>
      <c r="X182" s="31"/>
      <c r="Y182" s="31"/>
      <c r="Z182" s="31"/>
    </row>
    <row r="183" spans="1:26" s="8" customForma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38"/>
      <c r="L183" s="27"/>
      <c r="M183" s="27"/>
      <c r="N183" s="53"/>
      <c r="O183" s="39"/>
      <c r="P183" s="39"/>
      <c r="Q183" s="31"/>
      <c r="R183" s="10"/>
      <c r="S183" s="31"/>
      <c r="T183" s="31"/>
      <c r="U183" s="31"/>
      <c r="V183" s="31"/>
      <c r="W183" s="31"/>
      <c r="X183" s="31"/>
      <c r="Y183" s="40"/>
      <c r="Z183" s="40"/>
    </row>
    <row r="184" spans="1:26" s="8" customForma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38"/>
      <c r="L184" s="27"/>
      <c r="M184" s="27"/>
      <c r="N184" s="39"/>
      <c r="O184" s="39"/>
      <c r="P184" s="39"/>
      <c r="Q184" s="31"/>
      <c r="R184" s="10"/>
      <c r="S184" s="31"/>
      <c r="T184" s="31"/>
      <c r="U184" s="31"/>
      <c r="V184" s="31"/>
      <c r="W184" s="31"/>
      <c r="X184" s="31"/>
      <c r="Y184" s="31"/>
      <c r="Z184" s="31"/>
    </row>
    <row r="185" spans="1:26" s="8" customForma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38"/>
      <c r="L185" s="27"/>
      <c r="M185" s="27"/>
      <c r="N185" s="39"/>
      <c r="O185" s="39"/>
      <c r="P185" s="39"/>
      <c r="Q185" s="31"/>
      <c r="R185" s="10"/>
      <c r="S185" s="31"/>
      <c r="T185" s="31"/>
      <c r="U185" s="31"/>
      <c r="V185" s="31"/>
      <c r="W185" s="31"/>
      <c r="X185" s="31"/>
      <c r="Y185" s="31"/>
      <c r="Z185" s="31"/>
    </row>
    <row r="186" spans="1:26" s="8" customForma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38"/>
      <c r="L186" s="27"/>
      <c r="M186" s="27"/>
      <c r="N186" s="39"/>
      <c r="O186" s="39"/>
      <c r="P186" s="39"/>
      <c r="Q186" s="31"/>
      <c r="R186" s="10"/>
      <c r="S186" s="31"/>
      <c r="T186" s="31"/>
      <c r="U186" s="31"/>
      <c r="V186" s="31"/>
      <c r="W186" s="31"/>
      <c r="X186" s="31"/>
      <c r="Y186" s="31"/>
      <c r="Z186" s="31"/>
    </row>
    <row r="187" spans="1:26" s="8" customForma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38"/>
      <c r="L187" s="27"/>
      <c r="M187" s="27"/>
      <c r="N187" s="39"/>
      <c r="O187" s="39"/>
      <c r="P187" s="39"/>
      <c r="Q187" s="31"/>
      <c r="R187" s="10"/>
      <c r="S187" s="31"/>
      <c r="T187" s="31"/>
      <c r="U187" s="31"/>
      <c r="V187" s="31"/>
      <c r="W187" s="31"/>
      <c r="X187" s="31"/>
      <c r="Y187" s="31"/>
      <c r="Z187" s="31"/>
    </row>
    <row r="188" spans="1:26" s="8" customForma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38"/>
      <c r="L188" s="27"/>
      <c r="M188" s="27"/>
      <c r="N188" s="39"/>
      <c r="O188" s="39"/>
      <c r="P188" s="39"/>
      <c r="Q188" s="31"/>
      <c r="R188" s="10"/>
      <c r="S188" s="31"/>
      <c r="T188" s="31"/>
      <c r="U188" s="31"/>
      <c r="V188" s="31"/>
      <c r="W188" s="31"/>
      <c r="X188" s="31"/>
      <c r="Y188" s="31"/>
      <c r="Z188" s="31"/>
    </row>
    <row r="189" spans="1:26" s="8" customForma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38"/>
      <c r="L189" s="27"/>
      <c r="M189" s="27"/>
      <c r="N189" s="39"/>
      <c r="O189" s="39"/>
      <c r="P189" s="39"/>
      <c r="Q189" s="31"/>
      <c r="R189" s="10"/>
      <c r="S189" s="31"/>
      <c r="T189" s="31"/>
      <c r="U189" s="31"/>
      <c r="V189" s="31"/>
      <c r="W189" s="31"/>
      <c r="X189" s="31"/>
      <c r="Y189" s="31"/>
      <c r="Z189" s="31"/>
    </row>
    <row r="190" spans="1:26" s="8" customForma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38"/>
      <c r="L190" s="27"/>
      <c r="M190" s="27"/>
      <c r="N190" s="39"/>
      <c r="O190" s="39"/>
      <c r="P190" s="39"/>
      <c r="Q190" s="31"/>
      <c r="R190" s="10"/>
      <c r="S190" s="31"/>
      <c r="T190" s="31"/>
      <c r="U190" s="31"/>
      <c r="V190" s="31"/>
      <c r="W190" s="31"/>
      <c r="X190" s="31"/>
      <c r="Y190" s="31"/>
      <c r="Z190" s="31"/>
    </row>
    <row r="191" spans="1:26" s="8" customForma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38"/>
      <c r="L191" s="27"/>
      <c r="M191" s="27"/>
      <c r="N191" s="39"/>
      <c r="O191" s="39"/>
      <c r="P191" s="39"/>
      <c r="Q191" s="31"/>
      <c r="R191" s="10"/>
      <c r="S191" s="31"/>
      <c r="T191" s="31"/>
      <c r="U191" s="31"/>
      <c r="V191" s="31"/>
      <c r="W191" s="31"/>
      <c r="X191" s="31"/>
      <c r="Y191" s="31"/>
      <c r="Z191" s="31"/>
    </row>
    <row r="192" spans="1:26" s="8" customForma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38"/>
      <c r="L192" s="27"/>
      <c r="M192" s="27"/>
      <c r="N192" s="39"/>
      <c r="O192" s="39"/>
      <c r="P192" s="39"/>
      <c r="Q192" s="31"/>
      <c r="R192" s="10"/>
      <c r="S192" s="31"/>
      <c r="T192" s="31"/>
      <c r="U192" s="31"/>
      <c r="V192" s="31"/>
      <c r="W192" s="31"/>
      <c r="X192" s="31"/>
      <c r="Y192" s="31"/>
      <c r="Z192" s="31"/>
    </row>
    <row r="193" spans="1:26" s="8" customForma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38"/>
      <c r="L193" s="27"/>
      <c r="M193" s="27"/>
      <c r="N193" s="39"/>
      <c r="O193" s="39"/>
      <c r="P193" s="39"/>
      <c r="Q193" s="31"/>
      <c r="R193" s="10"/>
      <c r="S193" s="31"/>
      <c r="T193" s="31"/>
      <c r="U193" s="31"/>
      <c r="V193" s="31"/>
      <c r="W193" s="31"/>
      <c r="X193" s="31"/>
      <c r="Y193" s="31"/>
      <c r="Z193" s="31"/>
    </row>
    <row r="194" spans="1:26" s="8" customForma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38"/>
      <c r="L194" s="27"/>
      <c r="M194" s="27"/>
      <c r="N194" s="39"/>
      <c r="O194" s="39"/>
      <c r="P194" s="39"/>
      <c r="Q194" s="31"/>
      <c r="R194" s="10"/>
      <c r="S194" s="31"/>
      <c r="T194" s="31"/>
      <c r="U194" s="31"/>
      <c r="V194" s="31"/>
      <c r="W194" s="31"/>
      <c r="X194" s="31"/>
      <c r="Y194" s="31"/>
      <c r="Z194" s="31"/>
    </row>
    <row r="195" spans="1:26" s="8" customForma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38"/>
      <c r="L195" s="27"/>
      <c r="M195" s="27"/>
      <c r="N195" s="39"/>
      <c r="O195" s="39"/>
      <c r="P195" s="39"/>
      <c r="Q195" s="31"/>
      <c r="R195" s="10"/>
      <c r="S195" s="31"/>
      <c r="T195" s="31"/>
      <c r="U195" s="31"/>
      <c r="V195" s="31"/>
      <c r="W195" s="31"/>
      <c r="X195" s="31"/>
      <c r="Y195" s="31"/>
      <c r="Z195" s="31"/>
    </row>
    <row r="196" spans="1:26" s="8" customForma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38"/>
      <c r="L196" s="27"/>
      <c r="M196" s="27"/>
      <c r="N196" s="39"/>
      <c r="O196" s="39"/>
      <c r="P196" s="39"/>
      <c r="Q196" s="31"/>
      <c r="R196" s="10"/>
      <c r="S196" s="31"/>
      <c r="T196" s="31"/>
      <c r="U196" s="31"/>
      <c r="V196" s="31"/>
      <c r="W196" s="31"/>
      <c r="X196" s="31"/>
      <c r="Y196" s="31"/>
      <c r="Z196" s="31"/>
    </row>
    <row r="197" spans="1:26" s="8" customForma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38"/>
      <c r="L197" s="27"/>
      <c r="M197" s="27"/>
      <c r="N197" s="39"/>
      <c r="O197" s="39"/>
      <c r="P197" s="39"/>
      <c r="Q197" s="31"/>
      <c r="R197" s="10"/>
      <c r="S197" s="31"/>
      <c r="T197" s="31"/>
      <c r="U197" s="31"/>
      <c r="V197" s="31"/>
      <c r="W197" s="31"/>
      <c r="X197" s="31"/>
      <c r="Y197" s="31"/>
      <c r="Z197" s="31"/>
    </row>
    <row r="198" spans="1:26" s="8" customForma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38"/>
      <c r="L198" s="27"/>
      <c r="M198" s="27"/>
      <c r="N198" s="39"/>
      <c r="O198" s="39"/>
      <c r="P198" s="39"/>
      <c r="Q198" s="31"/>
      <c r="R198" s="10"/>
      <c r="S198" s="31"/>
      <c r="T198" s="31"/>
      <c r="U198" s="31"/>
      <c r="V198" s="31"/>
      <c r="W198" s="31"/>
      <c r="X198" s="31"/>
      <c r="Y198" s="31"/>
      <c r="Z198" s="31"/>
    </row>
    <row r="199" spans="1:26" s="8" customForma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38"/>
      <c r="L199" s="27"/>
      <c r="M199" s="27"/>
      <c r="N199" s="39"/>
      <c r="O199" s="39"/>
      <c r="P199" s="39"/>
      <c r="Q199" s="31"/>
      <c r="R199" s="10"/>
      <c r="S199" s="31"/>
      <c r="T199" s="31"/>
      <c r="U199" s="31"/>
      <c r="V199" s="31"/>
      <c r="W199" s="31"/>
      <c r="X199" s="31"/>
      <c r="Y199" s="31"/>
      <c r="Z199" s="31"/>
    </row>
    <row r="200" spans="1:26" s="8" customForma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38"/>
      <c r="L200" s="27"/>
      <c r="M200" s="27"/>
      <c r="N200" s="39"/>
      <c r="O200" s="39"/>
      <c r="P200" s="39"/>
      <c r="Q200" s="31"/>
      <c r="R200" s="10"/>
      <c r="S200" s="31"/>
      <c r="T200" s="31"/>
      <c r="U200" s="31"/>
      <c r="V200" s="31"/>
      <c r="W200" s="31"/>
      <c r="X200" s="31"/>
      <c r="Y200" s="31"/>
      <c r="Z200" s="31"/>
    </row>
    <row r="201" spans="1:26" s="8" customForma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38"/>
      <c r="L201" s="27"/>
      <c r="M201" s="27"/>
      <c r="N201" s="39"/>
      <c r="O201" s="39"/>
      <c r="P201" s="39"/>
      <c r="Q201" s="31"/>
      <c r="R201" s="10"/>
      <c r="S201" s="31"/>
      <c r="T201" s="31"/>
      <c r="U201" s="31"/>
      <c r="V201" s="31"/>
      <c r="W201" s="31"/>
      <c r="X201" s="31"/>
      <c r="Y201" s="31"/>
      <c r="Z201" s="31"/>
    </row>
    <row r="202" spans="1:26" s="8" customForma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38"/>
      <c r="L202" s="27"/>
      <c r="M202" s="27"/>
      <c r="N202" s="39"/>
      <c r="O202" s="39"/>
      <c r="P202" s="39"/>
      <c r="Q202" s="31"/>
      <c r="R202" s="10"/>
      <c r="S202" s="31"/>
      <c r="T202" s="31"/>
      <c r="U202" s="31"/>
      <c r="V202" s="31"/>
      <c r="W202" s="31"/>
      <c r="X202" s="31"/>
      <c r="Y202" s="31"/>
      <c r="Z202" s="31"/>
    </row>
    <row r="203" spans="1:26" s="8" customForma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38"/>
      <c r="L203" s="27"/>
      <c r="M203" s="27"/>
      <c r="N203" s="39"/>
      <c r="O203" s="39"/>
      <c r="P203" s="39"/>
      <c r="Q203" s="31"/>
      <c r="R203" s="10"/>
      <c r="S203" s="31"/>
      <c r="T203" s="31"/>
      <c r="U203" s="31"/>
      <c r="V203" s="31"/>
      <c r="W203" s="31"/>
      <c r="X203" s="31"/>
      <c r="Y203" s="31"/>
      <c r="Z203" s="31"/>
    </row>
    <row r="204" spans="1:26" s="8" customForma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38"/>
      <c r="L204" s="27"/>
      <c r="M204" s="27"/>
      <c r="N204" s="39"/>
      <c r="O204" s="39"/>
      <c r="P204" s="39"/>
      <c r="Q204" s="31"/>
      <c r="R204" s="10"/>
      <c r="S204" s="31"/>
      <c r="T204" s="31"/>
      <c r="U204" s="31"/>
      <c r="V204" s="31"/>
      <c r="W204" s="31"/>
      <c r="X204" s="31"/>
      <c r="Y204" s="31"/>
      <c r="Z204" s="31"/>
    </row>
    <row r="205" spans="1:26" s="8" customForma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38"/>
      <c r="L205" s="27"/>
      <c r="M205" s="27"/>
      <c r="N205" s="39"/>
      <c r="O205" s="39"/>
      <c r="P205" s="39"/>
      <c r="Q205" s="31"/>
      <c r="R205" s="10"/>
      <c r="S205" s="31"/>
      <c r="T205" s="31"/>
      <c r="U205" s="31"/>
      <c r="V205" s="31"/>
      <c r="W205" s="31"/>
      <c r="X205" s="31"/>
      <c r="Y205" s="31"/>
      <c r="Z205" s="31"/>
    </row>
    <row r="206" spans="1:26" s="8" customForma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38"/>
      <c r="L206" s="27"/>
      <c r="M206" s="27"/>
      <c r="N206" s="39"/>
      <c r="O206" s="39"/>
      <c r="P206" s="39"/>
      <c r="Q206" s="31"/>
      <c r="R206" s="10"/>
      <c r="S206" s="31"/>
      <c r="T206" s="31"/>
      <c r="U206" s="31"/>
      <c r="V206" s="31"/>
      <c r="W206" s="31"/>
      <c r="X206" s="31"/>
      <c r="Y206" s="31"/>
      <c r="Z206" s="31"/>
    </row>
    <row r="207" spans="1:26" s="8" customForma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38"/>
      <c r="L207" s="27"/>
      <c r="M207" s="27"/>
      <c r="N207" s="39"/>
      <c r="O207" s="39"/>
      <c r="P207" s="39"/>
      <c r="Q207" s="31"/>
      <c r="R207" s="10"/>
      <c r="S207" s="31"/>
      <c r="T207" s="31"/>
      <c r="U207" s="31"/>
      <c r="V207" s="31"/>
      <c r="W207" s="31"/>
      <c r="X207" s="31"/>
      <c r="Y207" s="31"/>
      <c r="Z207" s="31"/>
    </row>
    <row r="208" spans="1:26" s="8" customForma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38"/>
      <c r="L208" s="27"/>
      <c r="M208" s="27"/>
      <c r="N208" s="39"/>
      <c r="O208" s="39"/>
      <c r="P208" s="39"/>
      <c r="Q208" s="31"/>
      <c r="R208" s="10"/>
      <c r="S208" s="31"/>
      <c r="T208" s="31"/>
      <c r="U208" s="31"/>
      <c r="V208" s="31"/>
      <c r="W208" s="31"/>
      <c r="X208" s="31"/>
      <c r="Y208" s="31"/>
      <c r="Z208" s="31"/>
    </row>
    <row r="209" spans="1:26" s="8" customForma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38"/>
      <c r="L209" s="27"/>
      <c r="M209" s="27"/>
      <c r="N209" s="39"/>
      <c r="O209" s="39"/>
      <c r="P209" s="39"/>
      <c r="Q209" s="31"/>
      <c r="R209" s="10"/>
      <c r="S209" s="31"/>
      <c r="T209" s="31"/>
      <c r="U209" s="31"/>
      <c r="V209" s="31"/>
      <c r="W209" s="31"/>
      <c r="X209" s="31"/>
      <c r="Y209" s="31"/>
      <c r="Z209" s="31"/>
    </row>
    <row r="210" spans="1:26" s="8" customForma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38"/>
      <c r="L210" s="27"/>
      <c r="M210" s="27"/>
      <c r="N210" s="39"/>
      <c r="O210" s="39"/>
      <c r="P210" s="39"/>
      <c r="Q210" s="31"/>
      <c r="R210" s="10"/>
      <c r="S210" s="31"/>
      <c r="T210" s="31"/>
      <c r="U210" s="31"/>
      <c r="V210" s="31"/>
      <c r="W210" s="31"/>
      <c r="X210" s="31"/>
      <c r="Y210" s="31"/>
      <c r="Z210" s="31"/>
    </row>
    <row r="211" spans="1:26" s="8" customForma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38"/>
      <c r="L211" s="27"/>
      <c r="M211" s="27"/>
      <c r="N211" s="39"/>
      <c r="O211" s="39"/>
      <c r="P211" s="39"/>
      <c r="Q211" s="31"/>
      <c r="R211" s="10"/>
      <c r="S211" s="31"/>
      <c r="T211" s="31"/>
      <c r="U211" s="31"/>
      <c r="V211" s="31"/>
      <c r="W211" s="31"/>
      <c r="X211" s="31"/>
      <c r="Y211" s="31"/>
      <c r="Z211" s="31"/>
    </row>
    <row r="212" spans="1:26" s="8" customForma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38"/>
      <c r="L212" s="27"/>
      <c r="M212" s="27"/>
      <c r="N212" s="39"/>
      <c r="O212" s="39"/>
      <c r="P212" s="39"/>
      <c r="Q212" s="31"/>
      <c r="R212" s="10"/>
      <c r="S212" s="31"/>
      <c r="T212" s="31"/>
      <c r="U212" s="31"/>
      <c r="V212" s="31"/>
      <c r="W212" s="31"/>
      <c r="X212" s="31"/>
      <c r="Y212" s="31"/>
      <c r="Z212" s="31"/>
    </row>
    <row r="213" spans="1:26" s="8" customForma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38"/>
      <c r="L213" s="27"/>
      <c r="M213" s="27"/>
      <c r="N213" s="39"/>
      <c r="O213" s="39"/>
      <c r="P213" s="39"/>
      <c r="Q213" s="31"/>
      <c r="R213" s="10"/>
      <c r="S213" s="31"/>
      <c r="T213" s="31"/>
      <c r="U213" s="31"/>
      <c r="V213" s="31"/>
      <c r="W213" s="31"/>
      <c r="X213" s="31"/>
      <c r="Y213" s="31"/>
      <c r="Z213" s="31"/>
    </row>
    <row r="214" spans="1:26" s="8" customForma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38"/>
      <c r="L214" s="27"/>
      <c r="M214" s="27"/>
      <c r="N214" s="39"/>
      <c r="O214" s="39"/>
      <c r="P214" s="39"/>
      <c r="Q214" s="31"/>
      <c r="R214" s="10"/>
      <c r="S214" s="31"/>
      <c r="T214" s="31"/>
      <c r="U214" s="31"/>
      <c r="V214" s="31"/>
      <c r="W214" s="31"/>
      <c r="X214" s="31"/>
      <c r="Y214" s="31"/>
      <c r="Z214" s="31"/>
    </row>
    <row r="215" spans="1:26" s="8" customForma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38"/>
      <c r="L215" s="27"/>
      <c r="M215" s="27"/>
      <c r="N215" s="39"/>
      <c r="O215" s="39"/>
      <c r="P215" s="39"/>
      <c r="Q215" s="31"/>
      <c r="R215" s="10"/>
      <c r="S215" s="31"/>
      <c r="T215" s="31"/>
      <c r="U215" s="31"/>
      <c r="V215" s="31"/>
      <c r="W215" s="31"/>
      <c r="X215" s="31"/>
      <c r="Y215" s="31"/>
      <c r="Z215" s="31"/>
    </row>
    <row r="216" spans="1:26" s="8" customForma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38"/>
      <c r="L216" s="27"/>
      <c r="M216" s="27"/>
      <c r="N216" s="39"/>
      <c r="O216" s="39"/>
      <c r="P216" s="39"/>
      <c r="Q216" s="31"/>
      <c r="R216" s="10"/>
      <c r="S216" s="31"/>
      <c r="T216" s="31"/>
      <c r="U216" s="31"/>
      <c r="V216" s="31"/>
      <c r="W216" s="31"/>
      <c r="X216" s="31"/>
      <c r="Y216" s="31"/>
      <c r="Z216" s="31"/>
    </row>
    <row r="217" spans="1:26" s="8" customForma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38"/>
      <c r="L217" s="27"/>
      <c r="M217" s="27"/>
      <c r="N217" s="39"/>
      <c r="O217" s="39"/>
      <c r="P217" s="39"/>
      <c r="Q217" s="31"/>
      <c r="R217" s="10"/>
      <c r="S217" s="31"/>
      <c r="T217" s="31"/>
      <c r="U217" s="31"/>
      <c r="V217" s="31"/>
      <c r="W217" s="31"/>
      <c r="X217" s="31"/>
      <c r="Y217" s="31"/>
      <c r="Z217" s="31"/>
    </row>
    <row r="218" spans="1:26" s="8" customForma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38"/>
      <c r="L218" s="27"/>
      <c r="M218" s="27"/>
      <c r="N218" s="39"/>
      <c r="O218" s="39"/>
      <c r="P218" s="39"/>
      <c r="Q218" s="31"/>
      <c r="R218" s="10"/>
      <c r="S218" s="31"/>
      <c r="T218" s="31"/>
      <c r="U218" s="31"/>
      <c r="V218" s="31"/>
      <c r="W218" s="31"/>
      <c r="X218" s="31"/>
      <c r="Y218" s="31"/>
      <c r="Z218" s="31"/>
    </row>
    <row r="219" spans="1:26" s="8" customForma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38"/>
      <c r="L219" s="27"/>
      <c r="M219" s="27"/>
      <c r="N219" s="39"/>
      <c r="O219" s="39"/>
      <c r="P219" s="39"/>
      <c r="Q219" s="31"/>
      <c r="R219" s="10"/>
      <c r="S219" s="31"/>
      <c r="T219" s="31"/>
      <c r="U219" s="31"/>
      <c r="V219" s="31"/>
      <c r="W219" s="31"/>
      <c r="X219" s="31"/>
      <c r="Y219" s="31"/>
      <c r="Z219" s="31"/>
    </row>
    <row r="220" spans="1:26" s="8" customForma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38"/>
      <c r="L220" s="27"/>
      <c r="M220" s="27"/>
      <c r="N220" s="39"/>
      <c r="O220" s="39"/>
      <c r="P220" s="39"/>
      <c r="Q220" s="31"/>
      <c r="R220" s="10"/>
      <c r="S220" s="31"/>
      <c r="T220" s="31"/>
      <c r="U220" s="31"/>
      <c r="V220" s="31"/>
      <c r="W220" s="31"/>
      <c r="X220" s="31"/>
      <c r="Y220" s="31"/>
      <c r="Z220" s="31"/>
    </row>
    <row r="221" spans="1:26" s="8" customForma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38"/>
      <c r="L221" s="27"/>
      <c r="M221" s="27"/>
      <c r="N221" s="39"/>
      <c r="O221" s="39"/>
      <c r="P221" s="39"/>
      <c r="Q221" s="31"/>
      <c r="R221" s="10"/>
      <c r="S221" s="31"/>
      <c r="T221" s="31"/>
      <c r="U221" s="31"/>
      <c r="V221" s="31"/>
      <c r="W221" s="31"/>
      <c r="X221" s="31"/>
      <c r="Y221" s="31"/>
      <c r="Z221" s="31"/>
    </row>
    <row r="222" spans="1:26" s="8" customForma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38"/>
      <c r="L222" s="27"/>
      <c r="M222" s="27"/>
      <c r="N222" s="39"/>
      <c r="O222" s="39"/>
      <c r="P222" s="39"/>
      <c r="Q222" s="31"/>
      <c r="R222" s="10"/>
      <c r="S222" s="31"/>
      <c r="T222" s="31"/>
      <c r="U222" s="31"/>
      <c r="V222" s="31"/>
      <c r="W222" s="31"/>
      <c r="X222" s="31"/>
      <c r="Y222" s="31"/>
      <c r="Z222" s="31"/>
    </row>
    <row r="223" spans="1:26" s="8" customForma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38"/>
      <c r="L223" s="27"/>
      <c r="M223" s="27"/>
      <c r="N223" s="39"/>
      <c r="O223" s="39"/>
      <c r="P223" s="39"/>
      <c r="Q223" s="31"/>
      <c r="R223" s="10"/>
      <c r="S223" s="31"/>
      <c r="T223" s="31"/>
      <c r="U223" s="31"/>
      <c r="V223" s="31"/>
      <c r="W223" s="31"/>
      <c r="X223" s="31"/>
      <c r="Y223" s="31"/>
      <c r="Z223" s="31"/>
    </row>
    <row r="224" spans="1:26" s="8" customForma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38"/>
      <c r="L224" s="27"/>
      <c r="M224" s="27"/>
      <c r="N224" s="39"/>
      <c r="O224" s="39"/>
      <c r="P224" s="39"/>
      <c r="Q224" s="31"/>
      <c r="R224" s="10"/>
      <c r="S224" s="31"/>
      <c r="T224" s="31"/>
      <c r="U224" s="31"/>
      <c r="V224" s="31"/>
      <c r="W224" s="31"/>
      <c r="X224" s="31"/>
      <c r="Y224" s="31"/>
      <c r="Z224" s="31"/>
    </row>
    <row r="225" spans="1:26" s="8" customForma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38"/>
      <c r="L225" s="27"/>
      <c r="M225" s="27"/>
      <c r="N225" s="39"/>
      <c r="O225" s="39"/>
      <c r="P225" s="39"/>
      <c r="Q225" s="31"/>
      <c r="R225" s="10"/>
      <c r="S225" s="31"/>
      <c r="T225" s="31"/>
      <c r="U225" s="31"/>
      <c r="V225" s="31"/>
      <c r="W225" s="31"/>
      <c r="X225" s="31"/>
      <c r="Y225" s="31"/>
      <c r="Z225" s="31"/>
    </row>
    <row r="226" spans="1:26" s="8" customForma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38"/>
      <c r="L226" s="27"/>
      <c r="M226" s="27"/>
      <c r="N226" s="39"/>
      <c r="O226" s="39"/>
      <c r="P226" s="39"/>
      <c r="Q226" s="31"/>
      <c r="R226" s="10"/>
      <c r="S226" s="31"/>
      <c r="T226" s="31"/>
      <c r="U226" s="31"/>
      <c r="V226" s="31"/>
      <c r="W226" s="31"/>
      <c r="X226" s="31"/>
      <c r="Y226" s="31"/>
      <c r="Z226" s="31"/>
    </row>
    <row r="227" spans="1:26" s="8" customForma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38"/>
      <c r="L227" s="27"/>
      <c r="M227" s="27"/>
      <c r="N227" s="39"/>
      <c r="O227" s="39"/>
      <c r="P227" s="39"/>
      <c r="Q227" s="31"/>
      <c r="R227" s="10"/>
      <c r="S227" s="31"/>
      <c r="T227" s="31"/>
      <c r="U227" s="31"/>
      <c r="V227" s="31"/>
      <c r="W227" s="31"/>
      <c r="X227" s="31"/>
      <c r="Y227" s="31"/>
      <c r="Z227" s="31"/>
    </row>
    <row r="228" spans="1:26" s="8" customForma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38"/>
      <c r="L228" s="27"/>
      <c r="M228" s="27"/>
      <c r="N228" s="39"/>
      <c r="O228" s="39"/>
      <c r="P228" s="39"/>
      <c r="Q228" s="31"/>
      <c r="R228" s="10"/>
      <c r="S228" s="31"/>
      <c r="T228" s="31"/>
      <c r="U228" s="31"/>
      <c r="V228" s="31"/>
      <c r="W228" s="31"/>
      <c r="X228" s="31"/>
      <c r="Y228" s="31"/>
      <c r="Z228" s="31"/>
    </row>
    <row r="229" spans="1:26" s="8" customForma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38"/>
      <c r="L229" s="27"/>
      <c r="M229" s="27"/>
      <c r="N229" s="39"/>
      <c r="O229" s="39"/>
      <c r="P229" s="39"/>
      <c r="Q229" s="31"/>
      <c r="R229" s="10"/>
      <c r="S229" s="31"/>
      <c r="T229" s="31"/>
      <c r="U229" s="31"/>
      <c r="V229" s="31"/>
      <c r="W229" s="31"/>
      <c r="X229" s="31"/>
      <c r="Y229" s="31"/>
      <c r="Z229" s="31"/>
    </row>
    <row r="230" spans="1:26" s="8" customForma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38"/>
      <c r="L230" s="27"/>
      <c r="M230" s="27"/>
      <c r="N230" s="39"/>
      <c r="O230" s="39"/>
      <c r="P230" s="39"/>
      <c r="Q230" s="31"/>
      <c r="R230" s="10"/>
      <c r="S230" s="31"/>
      <c r="T230" s="31"/>
      <c r="U230" s="31"/>
      <c r="V230" s="31"/>
      <c r="W230" s="31"/>
      <c r="X230" s="31"/>
      <c r="Y230" s="31"/>
      <c r="Z230" s="31"/>
    </row>
    <row r="231" spans="1:26" s="8" customForma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38"/>
      <c r="L231" s="27"/>
      <c r="M231" s="27"/>
      <c r="N231" s="39"/>
      <c r="O231" s="39"/>
      <c r="P231" s="39"/>
      <c r="Q231" s="31"/>
      <c r="R231" s="10"/>
      <c r="S231" s="31"/>
      <c r="T231" s="31"/>
      <c r="U231" s="31"/>
      <c r="V231" s="31"/>
      <c r="W231" s="31"/>
      <c r="X231" s="31"/>
      <c r="Y231" s="31"/>
      <c r="Z231" s="31"/>
    </row>
    <row r="232" spans="1:26" s="8" customForma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38"/>
      <c r="L232" s="27"/>
      <c r="M232" s="27"/>
      <c r="N232" s="39"/>
      <c r="O232" s="39"/>
      <c r="P232" s="39"/>
      <c r="Q232" s="31"/>
      <c r="R232" s="10"/>
      <c r="S232" s="31"/>
      <c r="T232" s="31"/>
      <c r="U232" s="31"/>
      <c r="V232" s="31"/>
      <c r="W232" s="31"/>
      <c r="X232" s="31"/>
      <c r="Y232" s="31"/>
      <c r="Z232" s="31"/>
    </row>
    <row r="233" spans="1:26" s="8" customForma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38"/>
      <c r="L233" s="27"/>
      <c r="M233" s="27"/>
      <c r="N233" s="39"/>
      <c r="O233" s="39"/>
      <c r="P233" s="39"/>
      <c r="Q233" s="31"/>
      <c r="R233" s="10"/>
      <c r="S233" s="31"/>
      <c r="T233" s="31"/>
      <c r="U233" s="31"/>
      <c r="V233" s="31"/>
      <c r="W233" s="31"/>
      <c r="X233" s="31"/>
      <c r="Y233" s="31"/>
      <c r="Z233" s="31"/>
    </row>
    <row r="234" spans="1:26" s="8" customForma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38"/>
      <c r="L234" s="27"/>
      <c r="M234" s="27"/>
      <c r="N234" s="39"/>
      <c r="O234" s="39"/>
      <c r="P234" s="39"/>
      <c r="Q234" s="31"/>
      <c r="R234" s="10"/>
      <c r="S234" s="31"/>
      <c r="T234" s="31"/>
      <c r="U234" s="31"/>
      <c r="V234" s="31"/>
      <c r="W234" s="31"/>
      <c r="X234" s="31"/>
      <c r="Y234" s="31"/>
      <c r="Z234" s="31"/>
    </row>
    <row r="235" spans="1:26" s="8" customForma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38"/>
      <c r="L235" s="27"/>
      <c r="M235" s="27"/>
      <c r="N235" s="39"/>
      <c r="O235" s="39"/>
      <c r="P235" s="39"/>
      <c r="Q235" s="31"/>
      <c r="R235" s="10"/>
      <c r="S235" s="31"/>
      <c r="T235" s="31"/>
      <c r="U235" s="31"/>
      <c r="V235" s="31"/>
      <c r="W235" s="31"/>
      <c r="X235" s="31"/>
      <c r="Y235" s="31"/>
      <c r="Z235" s="31"/>
    </row>
    <row r="236" spans="1:26" s="8" customForma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38"/>
      <c r="L236" s="27"/>
      <c r="M236" s="27"/>
      <c r="N236" s="39"/>
      <c r="O236" s="39"/>
      <c r="P236" s="39"/>
      <c r="Q236" s="31"/>
      <c r="R236" s="10"/>
      <c r="S236" s="31"/>
      <c r="T236" s="31"/>
      <c r="U236" s="31"/>
      <c r="V236" s="31"/>
      <c r="W236" s="31"/>
      <c r="X236" s="31"/>
      <c r="Y236" s="31"/>
      <c r="Z236" s="31"/>
    </row>
    <row r="237" spans="1:26" s="8" customForma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38"/>
      <c r="L237" s="27"/>
      <c r="M237" s="27"/>
      <c r="N237" s="39"/>
      <c r="O237" s="39"/>
      <c r="P237" s="39"/>
      <c r="Q237" s="31"/>
      <c r="R237" s="10"/>
      <c r="S237" s="31"/>
      <c r="T237" s="31"/>
      <c r="U237" s="31"/>
      <c r="V237" s="31"/>
      <c r="W237" s="31"/>
      <c r="X237" s="31"/>
      <c r="Y237" s="31"/>
      <c r="Z237" s="31"/>
    </row>
    <row r="238" spans="1:26" s="8" customForma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38"/>
      <c r="L238" s="27"/>
      <c r="M238" s="27"/>
      <c r="N238" s="39"/>
      <c r="O238" s="39"/>
      <c r="P238" s="39"/>
      <c r="Q238" s="31"/>
      <c r="R238" s="10"/>
      <c r="S238" s="31"/>
      <c r="T238" s="31"/>
      <c r="U238" s="31"/>
      <c r="V238" s="31"/>
      <c r="W238" s="31"/>
      <c r="X238" s="31"/>
      <c r="Y238" s="31"/>
      <c r="Z238" s="31"/>
    </row>
    <row r="239" spans="1:26" s="8" customForma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38"/>
      <c r="L239" s="27"/>
      <c r="M239" s="27"/>
      <c r="N239" s="39"/>
      <c r="O239" s="39"/>
      <c r="P239" s="39"/>
      <c r="Q239" s="31"/>
      <c r="R239" s="10"/>
      <c r="S239" s="31"/>
      <c r="T239" s="31"/>
      <c r="U239" s="31"/>
      <c r="V239" s="31"/>
      <c r="W239" s="31"/>
      <c r="X239" s="31"/>
      <c r="Y239" s="31"/>
      <c r="Z239" s="31"/>
    </row>
    <row r="240" spans="1:26" s="8" customForma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38"/>
      <c r="L240" s="27"/>
      <c r="M240" s="27"/>
      <c r="N240" s="39"/>
      <c r="O240" s="39"/>
      <c r="P240" s="39"/>
      <c r="Q240" s="31"/>
      <c r="R240" s="10"/>
      <c r="S240" s="31"/>
      <c r="T240" s="31"/>
      <c r="U240" s="31"/>
      <c r="V240" s="31"/>
      <c r="W240" s="31"/>
      <c r="X240" s="31"/>
      <c r="Y240" s="31"/>
      <c r="Z240" s="31"/>
    </row>
    <row r="241" spans="1:26" s="8" customForma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38"/>
      <c r="L241" s="27"/>
      <c r="M241" s="27"/>
      <c r="N241" s="39"/>
      <c r="O241" s="39"/>
      <c r="P241" s="39"/>
      <c r="Q241" s="31"/>
      <c r="R241" s="10"/>
      <c r="S241" s="31"/>
      <c r="T241" s="31"/>
      <c r="U241" s="31"/>
      <c r="V241" s="31"/>
      <c r="W241" s="31"/>
      <c r="X241" s="31"/>
      <c r="Y241" s="31"/>
      <c r="Z241" s="31"/>
    </row>
    <row r="242" spans="1:26" s="8" customForma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38"/>
      <c r="L242" s="27"/>
      <c r="M242" s="27"/>
      <c r="N242" s="39"/>
      <c r="O242" s="39"/>
      <c r="P242" s="39"/>
      <c r="Q242" s="31"/>
      <c r="R242" s="10"/>
      <c r="S242" s="31"/>
      <c r="T242" s="31"/>
      <c r="U242" s="31"/>
      <c r="V242" s="31"/>
      <c r="W242" s="31"/>
      <c r="X242" s="31"/>
      <c r="Y242" s="31"/>
      <c r="Z242" s="31"/>
    </row>
    <row r="243" spans="1:26" s="8" customForma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38"/>
      <c r="L243" s="27"/>
      <c r="M243" s="27"/>
      <c r="N243" s="39"/>
      <c r="O243" s="39"/>
      <c r="P243" s="39"/>
      <c r="Q243" s="31"/>
      <c r="R243" s="10"/>
      <c r="S243" s="31"/>
      <c r="T243" s="31"/>
      <c r="U243" s="31"/>
      <c r="V243" s="31"/>
      <c r="W243" s="31"/>
      <c r="X243" s="31"/>
      <c r="Y243" s="31"/>
      <c r="Z243" s="31"/>
    </row>
    <row r="244" spans="1:26" s="8" customForma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38"/>
      <c r="L244" s="27"/>
      <c r="M244" s="27"/>
      <c r="N244" s="39"/>
      <c r="O244" s="39"/>
      <c r="P244" s="39"/>
      <c r="Q244" s="31"/>
      <c r="R244" s="10"/>
      <c r="S244" s="31"/>
      <c r="T244" s="31"/>
      <c r="U244" s="31"/>
      <c r="V244" s="31"/>
      <c r="W244" s="31"/>
      <c r="X244" s="31"/>
      <c r="Y244" s="31"/>
      <c r="Z244" s="31"/>
    </row>
    <row r="245" spans="1:26" s="8" customForma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38"/>
      <c r="L245" s="27"/>
      <c r="M245" s="27"/>
      <c r="N245" s="39"/>
      <c r="O245" s="39"/>
      <c r="P245" s="39"/>
      <c r="Q245" s="31"/>
      <c r="R245" s="10"/>
      <c r="S245" s="31"/>
      <c r="T245" s="31"/>
      <c r="U245" s="31"/>
      <c r="V245" s="31"/>
      <c r="W245" s="31"/>
      <c r="X245" s="31"/>
      <c r="Y245" s="31"/>
      <c r="Z245" s="31"/>
    </row>
    <row r="246" spans="1:26" s="8" customForma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38"/>
      <c r="L246" s="27"/>
      <c r="M246" s="27"/>
      <c r="N246" s="39"/>
      <c r="O246" s="39"/>
      <c r="P246" s="39"/>
      <c r="Q246" s="31"/>
      <c r="R246" s="10"/>
      <c r="S246" s="31"/>
      <c r="T246" s="31"/>
      <c r="U246" s="31"/>
      <c r="V246" s="31"/>
      <c r="W246" s="31"/>
      <c r="X246" s="31"/>
      <c r="Y246" s="31"/>
      <c r="Z246" s="31"/>
    </row>
    <row r="247" spans="1:26" s="8" customForma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38"/>
      <c r="L247" s="27"/>
      <c r="M247" s="27"/>
      <c r="N247" s="39"/>
      <c r="O247" s="39"/>
      <c r="P247" s="39"/>
      <c r="Q247" s="31"/>
      <c r="R247" s="10"/>
      <c r="S247" s="31"/>
      <c r="T247" s="31"/>
      <c r="U247" s="31"/>
      <c r="V247" s="31"/>
      <c r="W247" s="31"/>
      <c r="X247" s="31"/>
      <c r="Y247" s="31"/>
      <c r="Z247" s="31"/>
    </row>
    <row r="248" spans="1:26" s="8" customForma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38"/>
      <c r="L248" s="27"/>
      <c r="M248" s="27"/>
      <c r="N248" s="39"/>
      <c r="O248" s="39"/>
      <c r="P248" s="39"/>
      <c r="Q248" s="31"/>
      <c r="R248" s="10"/>
      <c r="S248" s="31"/>
      <c r="T248" s="31"/>
      <c r="U248" s="31"/>
      <c r="V248" s="31"/>
      <c r="W248" s="31"/>
      <c r="X248" s="31"/>
      <c r="Y248" s="31"/>
      <c r="Z248" s="31"/>
    </row>
    <row r="249" spans="1:26" s="8" customForma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38"/>
      <c r="L249" s="27"/>
      <c r="M249" s="27"/>
      <c r="N249" s="39"/>
      <c r="O249" s="39"/>
      <c r="P249" s="39"/>
      <c r="Q249" s="31"/>
      <c r="R249" s="10"/>
      <c r="S249" s="31"/>
      <c r="T249" s="31"/>
      <c r="U249" s="31"/>
      <c r="V249" s="31"/>
      <c r="W249" s="31"/>
      <c r="X249" s="31"/>
      <c r="Y249" s="31"/>
      <c r="Z249" s="31"/>
    </row>
    <row r="250" spans="1:26" s="8" customForma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38"/>
      <c r="L250" s="27"/>
      <c r="M250" s="27"/>
      <c r="N250" s="39"/>
      <c r="O250" s="39"/>
      <c r="P250" s="39"/>
      <c r="Q250" s="31"/>
      <c r="R250" s="10"/>
      <c r="S250" s="31"/>
      <c r="T250" s="31"/>
      <c r="U250" s="31"/>
      <c r="V250" s="31"/>
      <c r="W250" s="31"/>
      <c r="X250" s="31"/>
      <c r="Y250" s="31"/>
      <c r="Z250" s="31"/>
    </row>
    <row r="251" spans="1:26" s="8" customForma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38"/>
      <c r="L251" s="27"/>
      <c r="M251" s="27"/>
      <c r="N251" s="39"/>
      <c r="O251" s="39"/>
      <c r="P251" s="39"/>
      <c r="Q251" s="31"/>
      <c r="R251" s="10"/>
      <c r="S251" s="31"/>
      <c r="T251" s="31"/>
      <c r="U251" s="31"/>
      <c r="V251" s="31"/>
      <c r="W251" s="31"/>
      <c r="X251" s="31"/>
      <c r="Y251" s="31"/>
      <c r="Z251" s="31"/>
    </row>
    <row r="252" spans="1:26" s="8" customForma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38"/>
      <c r="L252" s="27"/>
      <c r="M252" s="27"/>
      <c r="N252" s="39"/>
      <c r="O252" s="39"/>
      <c r="P252" s="39"/>
      <c r="Q252" s="31"/>
      <c r="R252" s="10"/>
      <c r="S252" s="31"/>
      <c r="T252" s="31"/>
      <c r="U252" s="31"/>
      <c r="V252" s="31"/>
      <c r="W252" s="31"/>
      <c r="X252" s="31"/>
      <c r="Y252" s="31"/>
      <c r="Z252" s="31"/>
    </row>
    <row r="253" spans="1:26" s="8" customForma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38"/>
      <c r="L253" s="27"/>
      <c r="M253" s="27"/>
      <c r="N253" s="39"/>
      <c r="O253" s="39"/>
      <c r="P253" s="39"/>
      <c r="Q253" s="31"/>
      <c r="R253" s="10"/>
      <c r="S253" s="31"/>
      <c r="T253" s="31"/>
      <c r="U253" s="31"/>
      <c r="V253" s="31"/>
      <c r="W253" s="31"/>
      <c r="X253" s="31"/>
      <c r="Y253" s="31"/>
      <c r="Z253" s="31"/>
    </row>
    <row r="254" spans="1:26" s="8" customForma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38"/>
      <c r="L254" s="27"/>
      <c r="M254" s="27"/>
      <c r="N254" s="39"/>
      <c r="O254" s="39"/>
      <c r="P254" s="39"/>
      <c r="Q254" s="31"/>
      <c r="R254" s="10"/>
      <c r="S254" s="31"/>
      <c r="T254" s="31"/>
      <c r="U254" s="31"/>
      <c r="V254" s="31"/>
      <c r="W254" s="31"/>
      <c r="X254" s="31"/>
      <c r="Y254" s="31"/>
      <c r="Z254" s="31"/>
    </row>
    <row r="255" spans="1:26" s="8" customForma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38"/>
      <c r="L255" s="27"/>
      <c r="M255" s="27"/>
      <c r="N255" s="39"/>
      <c r="O255" s="39"/>
      <c r="P255" s="39"/>
      <c r="Q255" s="31"/>
      <c r="R255" s="10"/>
      <c r="S255" s="31"/>
      <c r="T255" s="31"/>
      <c r="U255" s="31"/>
      <c r="V255" s="31"/>
      <c r="W255" s="31"/>
      <c r="X255" s="31"/>
      <c r="Y255" s="31"/>
      <c r="Z255" s="31"/>
    </row>
    <row r="256" spans="1:26" s="8" customForma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38"/>
      <c r="L256" s="27"/>
      <c r="M256" s="27"/>
      <c r="N256" s="39"/>
      <c r="O256" s="39"/>
      <c r="P256" s="39"/>
      <c r="Q256" s="31"/>
      <c r="R256" s="10"/>
      <c r="S256" s="31"/>
      <c r="T256" s="31"/>
      <c r="U256" s="31"/>
      <c r="V256" s="31"/>
      <c r="W256" s="31"/>
      <c r="X256" s="31"/>
      <c r="Y256" s="31"/>
      <c r="Z256" s="31"/>
    </row>
    <row r="257" spans="1:26" s="8" customForma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38"/>
      <c r="L257" s="27"/>
      <c r="M257" s="27"/>
      <c r="N257" s="39"/>
      <c r="O257" s="39"/>
      <c r="P257" s="39"/>
      <c r="Q257" s="31"/>
      <c r="R257" s="10"/>
      <c r="S257" s="31"/>
      <c r="T257" s="31"/>
      <c r="U257" s="31"/>
      <c r="V257" s="31"/>
      <c r="W257" s="31"/>
      <c r="X257" s="31"/>
      <c r="Y257" s="31"/>
      <c r="Z257" s="31"/>
    </row>
    <row r="258" spans="1:26" s="8" customForma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38"/>
      <c r="L258" s="27"/>
      <c r="M258" s="27"/>
      <c r="N258" s="39"/>
      <c r="O258" s="39"/>
      <c r="P258" s="39"/>
      <c r="Q258" s="31"/>
      <c r="R258" s="10"/>
      <c r="S258" s="31"/>
      <c r="T258" s="31"/>
      <c r="U258" s="31"/>
      <c r="V258" s="31"/>
      <c r="W258" s="31"/>
      <c r="X258" s="31"/>
      <c r="Y258" s="31"/>
      <c r="Z258" s="31"/>
    </row>
    <row r="259" spans="1:26" s="8" customForma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38"/>
      <c r="L259" s="27"/>
      <c r="M259" s="27"/>
      <c r="N259" s="39"/>
      <c r="O259" s="39"/>
      <c r="P259" s="39"/>
      <c r="Q259" s="31"/>
      <c r="R259" s="10"/>
      <c r="S259" s="31"/>
      <c r="T259" s="31"/>
      <c r="U259" s="31"/>
      <c r="V259" s="31"/>
      <c r="W259" s="31"/>
      <c r="X259" s="31"/>
      <c r="Y259" s="31"/>
      <c r="Z259" s="31"/>
    </row>
    <row r="260" spans="1:26" s="8" customForma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38"/>
      <c r="L260" s="27"/>
      <c r="M260" s="27"/>
      <c r="N260" s="39"/>
      <c r="O260" s="39"/>
      <c r="P260" s="39"/>
      <c r="Q260" s="31"/>
      <c r="R260" s="10"/>
      <c r="S260" s="31"/>
      <c r="T260" s="31"/>
      <c r="U260" s="31"/>
      <c r="V260" s="31"/>
      <c r="W260" s="31"/>
      <c r="X260" s="31"/>
      <c r="Y260" s="31"/>
      <c r="Z260" s="31"/>
    </row>
    <row r="261" spans="1:26" s="8" customForma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38"/>
      <c r="L261" s="27"/>
      <c r="M261" s="27"/>
      <c r="N261" s="39"/>
      <c r="O261" s="39"/>
      <c r="P261" s="39"/>
      <c r="Q261" s="31"/>
      <c r="R261" s="10"/>
      <c r="S261" s="31"/>
      <c r="T261" s="31"/>
      <c r="U261" s="31"/>
      <c r="V261" s="31"/>
      <c r="W261" s="31"/>
      <c r="X261" s="31"/>
      <c r="Y261" s="31"/>
      <c r="Z261" s="31"/>
    </row>
    <row r="262" spans="1:26" s="8" customForma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38"/>
      <c r="L262" s="27"/>
      <c r="M262" s="27"/>
      <c r="N262" s="39"/>
      <c r="O262" s="39"/>
      <c r="P262" s="39"/>
      <c r="Q262" s="31"/>
      <c r="R262" s="10"/>
      <c r="S262" s="31"/>
      <c r="T262" s="31"/>
      <c r="U262" s="31"/>
      <c r="V262" s="31"/>
      <c r="W262" s="31"/>
      <c r="X262" s="31"/>
      <c r="Y262" s="31"/>
      <c r="Z262" s="31"/>
    </row>
    <row r="263" spans="1:26" s="8" customForma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38"/>
      <c r="L263" s="27"/>
      <c r="M263" s="27"/>
      <c r="N263" s="39"/>
      <c r="O263" s="39"/>
      <c r="P263" s="39"/>
      <c r="Q263" s="31"/>
      <c r="R263" s="10"/>
      <c r="S263" s="31"/>
      <c r="T263" s="31"/>
      <c r="U263" s="31"/>
      <c r="V263" s="31"/>
      <c r="W263" s="31"/>
      <c r="X263" s="31"/>
      <c r="Y263" s="31"/>
      <c r="Z263" s="31"/>
    </row>
    <row r="264" spans="1:26" s="8" customForma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38"/>
      <c r="L264" s="27"/>
      <c r="M264" s="27"/>
      <c r="N264" s="39"/>
      <c r="O264" s="39"/>
      <c r="P264" s="39"/>
      <c r="Q264" s="31"/>
      <c r="R264" s="10"/>
      <c r="S264" s="31"/>
      <c r="T264" s="31"/>
      <c r="U264" s="31"/>
      <c r="V264" s="31"/>
      <c r="W264" s="31"/>
      <c r="X264" s="31"/>
      <c r="Y264" s="31"/>
      <c r="Z264" s="31"/>
    </row>
    <row r="265" spans="1:26" s="8" customForma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38"/>
      <c r="L265" s="27"/>
      <c r="M265" s="27"/>
      <c r="N265" s="39"/>
      <c r="O265" s="39"/>
      <c r="P265" s="39"/>
      <c r="Q265" s="31"/>
      <c r="R265" s="10"/>
      <c r="S265" s="31"/>
      <c r="T265" s="31"/>
      <c r="U265" s="31"/>
      <c r="V265" s="31"/>
      <c r="W265" s="31"/>
      <c r="X265" s="31"/>
      <c r="Y265" s="31"/>
      <c r="Z265" s="31"/>
    </row>
    <row r="266" spans="1:26" s="8" customForma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38"/>
      <c r="L266" s="27"/>
      <c r="M266" s="27"/>
      <c r="N266" s="39"/>
      <c r="O266" s="39"/>
      <c r="P266" s="39"/>
      <c r="Q266" s="31"/>
      <c r="R266" s="10"/>
      <c r="S266" s="31"/>
      <c r="T266" s="31"/>
      <c r="U266" s="31"/>
      <c r="V266" s="31"/>
      <c r="W266" s="31"/>
      <c r="X266" s="31"/>
      <c r="Y266" s="31"/>
      <c r="Z266" s="31"/>
    </row>
    <row r="267" spans="1:26" s="8" customForma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38"/>
      <c r="L267" s="27"/>
      <c r="M267" s="27"/>
      <c r="N267" s="39"/>
      <c r="O267" s="39"/>
      <c r="P267" s="39"/>
      <c r="Q267" s="31"/>
      <c r="R267" s="10"/>
      <c r="S267" s="31"/>
      <c r="T267" s="31"/>
      <c r="U267" s="31"/>
      <c r="V267" s="31"/>
      <c r="W267" s="31"/>
      <c r="X267" s="31"/>
      <c r="Y267" s="31"/>
      <c r="Z267" s="31"/>
    </row>
    <row r="268" spans="1:26" s="8" customForma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38"/>
      <c r="L268" s="27"/>
      <c r="M268" s="27"/>
      <c r="N268" s="39"/>
      <c r="O268" s="39"/>
      <c r="P268" s="39"/>
      <c r="Q268" s="31"/>
      <c r="R268" s="10"/>
      <c r="S268" s="31"/>
      <c r="T268" s="31"/>
      <c r="U268" s="31"/>
      <c r="V268" s="31"/>
      <c r="W268" s="31"/>
      <c r="X268" s="31"/>
      <c r="Y268" s="31"/>
      <c r="Z268" s="3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E65F-889A-4A33-A630-8804AE38B782}">
  <dimension ref="A1:BV216"/>
  <sheetViews>
    <sheetView topLeftCell="K1" zoomScale="120" zoomScaleNormal="120" workbookViewId="0">
      <selection activeCell="N1" sqref="N1:N1048576"/>
    </sheetView>
  </sheetViews>
  <sheetFormatPr defaultRowHeight="13.8" x14ac:dyDescent="0.25"/>
  <cols>
    <col min="1" max="4" width="22.109375" style="27" customWidth="1"/>
    <col min="5" max="5" width="18.77734375" style="27" customWidth="1"/>
    <col min="6" max="6" width="17.33203125" style="27" customWidth="1"/>
    <col min="7" max="7" width="16.6640625" style="27" customWidth="1"/>
    <col min="8" max="8" width="20.88671875" style="27" customWidth="1"/>
    <col min="9" max="9" width="19.21875" style="27" customWidth="1"/>
    <col min="10" max="10" width="23.109375" style="27" customWidth="1"/>
    <col min="11" max="11" width="13.6640625" style="38" customWidth="1"/>
    <col min="12" max="12" width="20.88671875" style="27" customWidth="1"/>
    <col min="13" max="13" width="31.5546875" style="27" customWidth="1"/>
    <col min="14" max="15" width="20.6640625" style="39" customWidth="1"/>
    <col min="16" max="16" width="36.33203125" style="39" customWidth="1"/>
    <col min="17" max="17" width="23.21875" style="31" customWidth="1"/>
    <col min="18" max="18" width="30.88671875" style="10" customWidth="1"/>
    <col min="19" max="19" width="33.109375" style="31" customWidth="1"/>
    <col min="20" max="24" width="20.6640625" style="31" customWidth="1"/>
    <col min="25" max="25" width="53.77734375" style="31" customWidth="1"/>
    <col min="26" max="26" width="51" style="31" customWidth="1"/>
    <col min="27" max="16384" width="8.88671875" style="7"/>
  </cols>
  <sheetData>
    <row r="1" spans="1:26" s="28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13" t="s">
        <v>10</v>
      </c>
      <c r="M1" s="13" t="s">
        <v>41</v>
      </c>
      <c r="N1" s="29" t="s">
        <v>9</v>
      </c>
      <c r="O1" s="29" t="s">
        <v>34</v>
      </c>
      <c r="P1" s="29" t="s">
        <v>35</v>
      </c>
      <c r="Q1" s="24" t="s">
        <v>14</v>
      </c>
      <c r="R1" s="15" t="s">
        <v>23</v>
      </c>
      <c r="S1" s="23" t="s">
        <v>13</v>
      </c>
      <c r="T1" s="23" t="s">
        <v>27</v>
      </c>
      <c r="U1" s="23" t="s">
        <v>33</v>
      </c>
      <c r="V1" s="23" t="s">
        <v>15</v>
      </c>
      <c r="W1" s="23" t="s">
        <v>16</v>
      </c>
      <c r="X1" s="23" t="s">
        <v>29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18.559405940594061</v>
      </c>
      <c r="L2" s="1">
        <f>(K2/1000000)</f>
        <v>1.8559405940594063E-5</v>
      </c>
      <c r="M2" s="1">
        <f>(3.142*3.07*3.07*25.4*25.4)/(4*1000000)</f>
        <v>4.7762865441819992E-3</v>
      </c>
      <c r="N2" s="26">
        <f>(L2*J2)/M2</f>
        <v>7.8199829879262379E-8</v>
      </c>
      <c r="O2" s="26">
        <f>(2.032/1000)</f>
        <v>2.032E-3</v>
      </c>
      <c r="P2" s="26">
        <v>4.5724343480153871E-11</v>
      </c>
      <c r="Q2" s="2">
        <v>0.05</v>
      </c>
      <c r="R2" s="2">
        <f>(1+Q2)*100000*1</f>
        <v>105000</v>
      </c>
      <c r="S2" s="2">
        <f t="shared" ref="S2:S62" si="1">(SQRT(R2)-(N2*O2/P2))^2</f>
        <v>102759.87856805856</v>
      </c>
      <c r="T2" s="2">
        <f>(S2)</f>
        <v>102759.87856805856</v>
      </c>
      <c r="U2" s="2">
        <f>(5.13985794328043/1000)</f>
        <v>5.1398579432804297E-3</v>
      </c>
      <c r="V2" s="2">
        <v>0.08</v>
      </c>
      <c r="W2" s="2">
        <f>(1+V2)*100000</f>
        <v>108000</v>
      </c>
      <c r="X2" s="2">
        <f>(L2*W2)</f>
        <v>2.0044158415841586</v>
      </c>
      <c r="Y2" s="2">
        <f>(N2*U2)/(T2-X2)</f>
        <v>3.9114862980982889E-15</v>
      </c>
      <c r="Z2" s="2">
        <f>(Y2*6.022E+23)</f>
        <v>2355497048.7147899</v>
      </c>
    </row>
    <row r="3" spans="1:26" x14ac:dyDescent="0.25">
      <c r="A3" s="1">
        <v>3</v>
      </c>
      <c r="B3" s="1">
        <f t="shared" ref="B3:B62" si="2">(A3/60)</f>
        <v>0.05</v>
      </c>
      <c r="C3" s="1">
        <v>20</v>
      </c>
      <c r="D3" s="1">
        <f t="shared" si="0"/>
        <v>29.146000000000001</v>
      </c>
      <c r="E3" s="1">
        <f t="shared" ref="E3:E62" si="3">(D3/(1000000*60))</f>
        <v>4.8576666666666667E-7</v>
      </c>
      <c r="F3" s="1">
        <v>21.1</v>
      </c>
      <c r="G3" s="1">
        <f t="shared" ref="G3:G62" si="4">(273+F3)</f>
        <v>294.10000000000002</v>
      </c>
      <c r="H3" s="1">
        <v>101.3</v>
      </c>
      <c r="I3" s="1">
        <f t="shared" ref="I3:I62" si="5">(H3*1000)</f>
        <v>101300</v>
      </c>
      <c r="J3" s="1">
        <f t="shared" ref="J3:J62" si="6">((I3*E3)/(8.314*G3))</f>
        <v>2.0124824921938581E-5</v>
      </c>
      <c r="K3" s="20">
        <v>20.316831683168317</v>
      </c>
      <c r="L3" s="1">
        <f t="shared" ref="L3:L62" si="7">(K3/1000000)</f>
        <v>2.0316831683168318E-5</v>
      </c>
      <c r="M3" s="1">
        <f t="shared" ref="M3:M62" si="8">(3.142*3.07*3.07*25.4*25.4)/(4*1000000)</f>
        <v>4.7762865441819992E-3</v>
      </c>
      <c r="N3" s="26">
        <f t="shared" ref="N3:N62" si="9">(L3*J3)/M3</f>
        <v>8.5604721745663576E-8</v>
      </c>
      <c r="O3" s="26">
        <f t="shared" ref="O3:O62" si="10">(2.032/1000)</f>
        <v>2.032E-3</v>
      </c>
      <c r="P3" s="26">
        <v>4.5724343480153871E-11</v>
      </c>
      <c r="Q3" s="2">
        <v>0.05</v>
      </c>
      <c r="R3" s="2">
        <f t="shared" ref="R3:R62" si="11">(1+Q3)*100000*1</f>
        <v>105000</v>
      </c>
      <c r="S3" s="2">
        <f t="shared" si="1"/>
        <v>102549.00907130569</v>
      </c>
      <c r="T3" s="2">
        <f t="shared" ref="T3:T62" si="12">(S3)</f>
        <v>102549.00907130569</v>
      </c>
      <c r="U3" s="2">
        <f t="shared" ref="U3:U62" si="13">(5.13985794328043/1000)</f>
        <v>5.1398579432804297E-3</v>
      </c>
      <c r="V3" s="2">
        <v>0.08</v>
      </c>
      <c r="W3" s="2">
        <f t="shared" ref="W3:W62" si="14">(1+V3)*100000</f>
        <v>108000</v>
      </c>
      <c r="X3" s="2">
        <f t="shared" ref="X3:X62" si="15">(L3*W3)</f>
        <v>2.1942178217821784</v>
      </c>
      <c r="Y3" s="2">
        <f t="shared" ref="Y3:Y62" si="16">(N3*U3)/(T3-X3)</f>
        <v>4.2906852804293758E-15</v>
      </c>
      <c r="Z3" s="2">
        <f t="shared" ref="Z3:Z62" si="17">(Y3*6.022E+23)</f>
        <v>2583850675.8745704</v>
      </c>
    </row>
    <row r="4" spans="1:26" x14ac:dyDescent="0.25">
      <c r="A4" s="1">
        <v>6</v>
      </c>
      <c r="B4" s="1">
        <f t="shared" si="2"/>
        <v>0.1</v>
      </c>
      <c r="C4" s="1">
        <v>20</v>
      </c>
      <c r="D4" s="1">
        <f t="shared" si="0"/>
        <v>29.146000000000001</v>
      </c>
      <c r="E4" s="1">
        <f t="shared" si="3"/>
        <v>4.8576666666666667E-7</v>
      </c>
      <c r="F4" s="1">
        <v>21.1</v>
      </c>
      <c r="G4" s="1">
        <f t="shared" si="4"/>
        <v>294.10000000000002</v>
      </c>
      <c r="H4" s="1">
        <v>101.3</v>
      </c>
      <c r="I4" s="1">
        <f t="shared" si="5"/>
        <v>101300</v>
      </c>
      <c r="J4" s="1">
        <f t="shared" si="6"/>
        <v>2.0124824921938581E-5</v>
      </c>
      <c r="K4" s="20">
        <v>22.173267326732674</v>
      </c>
      <c r="L4" s="1">
        <f t="shared" si="7"/>
        <v>2.2173267326732673E-5</v>
      </c>
      <c r="M4" s="1">
        <f t="shared" si="8"/>
        <v>4.7762865441819992E-3</v>
      </c>
      <c r="N4" s="26">
        <f t="shared" si="9"/>
        <v>9.3426790618622598E-8</v>
      </c>
      <c r="O4" s="26">
        <f t="shared" si="10"/>
        <v>2.032E-3</v>
      </c>
      <c r="P4" s="26">
        <v>4.5724343480153871E-11</v>
      </c>
      <c r="Q4" s="2">
        <v>0.05</v>
      </c>
      <c r="R4" s="2">
        <f t="shared" si="11"/>
        <v>105000</v>
      </c>
      <c r="S4" s="2">
        <f t="shared" si="1"/>
        <v>102326.49482998272</v>
      </c>
      <c r="T4" s="2">
        <f t="shared" si="12"/>
        <v>102326.49482998272</v>
      </c>
      <c r="U4" s="2">
        <f t="shared" si="13"/>
        <v>5.1398579432804297E-3</v>
      </c>
      <c r="V4" s="2">
        <v>0.08</v>
      </c>
      <c r="W4" s="2">
        <f t="shared" si="14"/>
        <v>108000</v>
      </c>
      <c r="X4" s="2">
        <f t="shared" si="15"/>
        <v>2.3947128712871288</v>
      </c>
      <c r="Y4" s="2">
        <f t="shared" si="16"/>
        <v>4.6929357925134789E-15</v>
      </c>
      <c r="Z4" s="2">
        <f t="shared" si="17"/>
        <v>2826085934.251617</v>
      </c>
    </row>
    <row r="5" spans="1:26" x14ac:dyDescent="0.25">
      <c r="A5" s="1">
        <v>9</v>
      </c>
      <c r="B5" s="1">
        <f t="shared" si="2"/>
        <v>0.15</v>
      </c>
      <c r="C5" s="1">
        <v>20</v>
      </c>
      <c r="D5" s="1">
        <f t="shared" si="0"/>
        <v>29.146000000000001</v>
      </c>
      <c r="E5" s="1">
        <f t="shared" si="3"/>
        <v>4.8576666666666667E-7</v>
      </c>
      <c r="F5" s="1">
        <v>21.1</v>
      </c>
      <c r="G5" s="1">
        <f t="shared" si="4"/>
        <v>294.10000000000002</v>
      </c>
      <c r="H5" s="1">
        <v>101.3</v>
      </c>
      <c r="I5" s="1">
        <f t="shared" si="5"/>
        <v>101300</v>
      </c>
      <c r="J5" s="1">
        <f t="shared" si="6"/>
        <v>2.0124824921938581E-5</v>
      </c>
      <c r="K5" s="20">
        <v>18.262376237623762</v>
      </c>
      <c r="L5" s="1">
        <f t="shared" si="7"/>
        <v>1.8262376237623761E-5</v>
      </c>
      <c r="M5" s="1">
        <f t="shared" si="8"/>
        <v>4.7762865441819992E-3</v>
      </c>
      <c r="N5" s="26">
        <f t="shared" si="9"/>
        <v>7.6948298859588905E-8</v>
      </c>
      <c r="O5" s="26">
        <f t="shared" si="10"/>
        <v>2.032E-3</v>
      </c>
      <c r="P5" s="26">
        <v>4.5724343480153871E-11</v>
      </c>
      <c r="Q5" s="2">
        <v>0.05</v>
      </c>
      <c r="R5" s="2">
        <f t="shared" si="11"/>
        <v>105000</v>
      </c>
      <c r="S5" s="2">
        <f t="shared" si="1"/>
        <v>102795.53987899995</v>
      </c>
      <c r="T5" s="2">
        <f t="shared" si="12"/>
        <v>102795.53987899995</v>
      </c>
      <c r="U5" s="2">
        <f t="shared" si="13"/>
        <v>5.1398579432804297E-3</v>
      </c>
      <c r="V5" s="2">
        <v>0.08</v>
      </c>
      <c r="W5" s="2">
        <f t="shared" si="14"/>
        <v>108000</v>
      </c>
      <c r="X5" s="2">
        <f t="shared" si="15"/>
        <v>1.9723366336633661</v>
      </c>
      <c r="Y5" s="2">
        <f t="shared" si="16"/>
        <v>3.8475493610275577E-15</v>
      </c>
      <c r="Z5" s="2">
        <f t="shared" si="17"/>
        <v>2316994225.2107954</v>
      </c>
    </row>
    <row r="6" spans="1:26" x14ac:dyDescent="0.25">
      <c r="A6" s="1">
        <v>12</v>
      </c>
      <c r="B6" s="1">
        <f t="shared" si="2"/>
        <v>0.2</v>
      </c>
      <c r="C6" s="1">
        <v>20</v>
      </c>
      <c r="D6" s="1">
        <f t="shared" si="0"/>
        <v>29.146000000000001</v>
      </c>
      <c r="E6" s="1">
        <f t="shared" si="3"/>
        <v>4.8576666666666667E-7</v>
      </c>
      <c r="F6" s="1">
        <v>21.1</v>
      </c>
      <c r="G6" s="1">
        <f t="shared" si="4"/>
        <v>294.10000000000002</v>
      </c>
      <c r="H6" s="1">
        <v>101.3</v>
      </c>
      <c r="I6" s="1">
        <f t="shared" si="5"/>
        <v>101300</v>
      </c>
      <c r="J6" s="1">
        <f t="shared" si="6"/>
        <v>2.0124824921938581E-5</v>
      </c>
      <c r="K6" s="20">
        <v>20.316831683168317</v>
      </c>
      <c r="L6" s="1">
        <f t="shared" si="7"/>
        <v>2.0316831683168318E-5</v>
      </c>
      <c r="M6" s="1">
        <f t="shared" si="8"/>
        <v>4.7762865441819992E-3</v>
      </c>
      <c r="N6" s="26">
        <f t="shared" si="9"/>
        <v>8.5604721745663576E-8</v>
      </c>
      <c r="O6" s="26">
        <f t="shared" si="10"/>
        <v>2.032E-3</v>
      </c>
      <c r="P6" s="26">
        <v>4.5724343480153871E-11</v>
      </c>
      <c r="Q6" s="2">
        <v>0.05</v>
      </c>
      <c r="R6" s="2">
        <f t="shared" si="11"/>
        <v>105000</v>
      </c>
      <c r="S6" s="2">
        <f t="shared" si="1"/>
        <v>102549.00907130569</v>
      </c>
      <c r="T6" s="2">
        <f t="shared" si="12"/>
        <v>102549.00907130569</v>
      </c>
      <c r="U6" s="2">
        <f t="shared" si="13"/>
        <v>5.1398579432804297E-3</v>
      </c>
      <c r="V6" s="2">
        <v>0.08</v>
      </c>
      <c r="W6" s="2">
        <f t="shared" si="14"/>
        <v>108000</v>
      </c>
      <c r="X6" s="2">
        <f t="shared" si="15"/>
        <v>2.1942178217821784</v>
      </c>
      <c r="Y6" s="2">
        <f t="shared" si="16"/>
        <v>4.2906852804293758E-15</v>
      </c>
      <c r="Z6" s="2">
        <f t="shared" si="17"/>
        <v>2583850675.8745704</v>
      </c>
    </row>
    <row r="7" spans="1:26" x14ac:dyDescent="0.25">
      <c r="A7" s="1">
        <v>15</v>
      </c>
      <c r="B7" s="1">
        <f t="shared" si="2"/>
        <v>0.25</v>
      </c>
      <c r="C7" s="1">
        <v>20</v>
      </c>
      <c r="D7" s="1">
        <f t="shared" si="0"/>
        <v>29.146000000000001</v>
      </c>
      <c r="E7" s="1">
        <f t="shared" si="3"/>
        <v>4.8576666666666667E-7</v>
      </c>
      <c r="F7" s="1">
        <v>21.1</v>
      </c>
      <c r="G7" s="1">
        <f t="shared" si="4"/>
        <v>294.10000000000002</v>
      </c>
      <c r="H7" s="1">
        <v>101.3</v>
      </c>
      <c r="I7" s="1">
        <f t="shared" si="5"/>
        <v>101300</v>
      </c>
      <c r="J7" s="1">
        <f t="shared" si="6"/>
        <v>2.0124824921938581E-5</v>
      </c>
      <c r="K7" s="20">
        <v>20.242574257425744</v>
      </c>
      <c r="L7" s="1">
        <f t="shared" si="7"/>
        <v>2.0242574257425744E-5</v>
      </c>
      <c r="M7" s="1">
        <f t="shared" si="8"/>
        <v>4.7762865441819992E-3</v>
      </c>
      <c r="N7" s="26">
        <f t="shared" si="9"/>
        <v>8.5291838990745217E-8</v>
      </c>
      <c r="O7" s="26">
        <f t="shared" si="10"/>
        <v>2.032E-3</v>
      </c>
      <c r="P7" s="26">
        <v>4.5724343480153871E-11</v>
      </c>
      <c r="Q7" s="2">
        <v>0.05</v>
      </c>
      <c r="R7" s="2">
        <f t="shared" si="11"/>
        <v>105000</v>
      </c>
      <c r="S7" s="2">
        <f t="shared" si="1"/>
        <v>102557.91466772903</v>
      </c>
      <c r="T7" s="2">
        <f t="shared" si="12"/>
        <v>102557.91466772903</v>
      </c>
      <c r="U7" s="2">
        <f t="shared" si="13"/>
        <v>5.1398579432804297E-3</v>
      </c>
      <c r="V7" s="2">
        <v>0.08</v>
      </c>
      <c r="W7" s="2">
        <f t="shared" si="14"/>
        <v>108000</v>
      </c>
      <c r="X7" s="2">
        <f t="shared" si="15"/>
        <v>2.1861980198019806</v>
      </c>
      <c r="Y7" s="2">
        <f t="shared" si="16"/>
        <v>4.2746313899282495E-15</v>
      </c>
      <c r="Z7" s="2">
        <f t="shared" si="17"/>
        <v>2574183023.014792</v>
      </c>
    </row>
    <row r="8" spans="1:26" x14ac:dyDescent="0.25">
      <c r="A8" s="1">
        <v>18</v>
      </c>
      <c r="B8" s="1">
        <f t="shared" si="2"/>
        <v>0.3</v>
      </c>
      <c r="C8" s="1">
        <v>20</v>
      </c>
      <c r="D8" s="1">
        <f t="shared" si="0"/>
        <v>29.146000000000001</v>
      </c>
      <c r="E8" s="1">
        <f t="shared" si="3"/>
        <v>4.8576666666666667E-7</v>
      </c>
      <c r="F8" s="1">
        <v>21.1</v>
      </c>
      <c r="G8" s="1">
        <f t="shared" si="4"/>
        <v>294.10000000000002</v>
      </c>
      <c r="H8" s="1">
        <v>101.3</v>
      </c>
      <c r="I8" s="1">
        <f t="shared" si="5"/>
        <v>101300</v>
      </c>
      <c r="J8" s="1">
        <f t="shared" si="6"/>
        <v>2.0124824921938581E-5</v>
      </c>
      <c r="K8" s="20">
        <v>18.782178217821784</v>
      </c>
      <c r="L8" s="1">
        <f t="shared" si="7"/>
        <v>1.8782178217821784E-5</v>
      </c>
      <c r="M8" s="1">
        <f t="shared" si="8"/>
        <v>4.7762865441819992E-3</v>
      </c>
      <c r="N8" s="26">
        <f t="shared" si="9"/>
        <v>7.9138478144017456E-8</v>
      </c>
      <c r="O8" s="26">
        <f t="shared" si="10"/>
        <v>2.032E-3</v>
      </c>
      <c r="P8" s="26">
        <v>4.5724343480153871E-11</v>
      </c>
      <c r="Q8" s="2">
        <v>0.05</v>
      </c>
      <c r="R8" s="2">
        <f t="shared" si="11"/>
        <v>105000</v>
      </c>
      <c r="S8" s="2">
        <f t="shared" si="1"/>
        <v>102733.13664493633</v>
      </c>
      <c r="T8" s="2">
        <f t="shared" si="12"/>
        <v>102733.13664493633</v>
      </c>
      <c r="U8" s="2">
        <f t="shared" si="13"/>
        <v>5.1398579432804297E-3</v>
      </c>
      <c r="V8" s="2">
        <v>0.08</v>
      </c>
      <c r="W8" s="2">
        <f t="shared" si="14"/>
        <v>108000</v>
      </c>
      <c r="X8" s="2">
        <f t="shared" si="15"/>
        <v>2.0284752475247525</v>
      </c>
      <c r="Y8" s="2">
        <f t="shared" si="16"/>
        <v>3.9594680010243382E-15</v>
      </c>
      <c r="Z8" s="2">
        <f t="shared" si="17"/>
        <v>2384391630.2168565</v>
      </c>
    </row>
    <row r="9" spans="1:26" x14ac:dyDescent="0.25">
      <c r="A9" s="1">
        <v>21</v>
      </c>
      <c r="B9" s="1">
        <f t="shared" si="2"/>
        <v>0.35</v>
      </c>
      <c r="C9" s="1">
        <v>20</v>
      </c>
      <c r="D9" s="1">
        <f t="shared" si="0"/>
        <v>29.146000000000001</v>
      </c>
      <c r="E9" s="1">
        <f t="shared" si="3"/>
        <v>4.8576666666666667E-7</v>
      </c>
      <c r="F9" s="1">
        <v>21.1</v>
      </c>
      <c r="G9" s="1">
        <f t="shared" si="4"/>
        <v>294.10000000000002</v>
      </c>
      <c r="H9" s="1">
        <v>101.3</v>
      </c>
      <c r="I9" s="1">
        <f t="shared" si="5"/>
        <v>101300</v>
      </c>
      <c r="J9" s="1">
        <f t="shared" si="6"/>
        <v>2.0124824921938581E-5</v>
      </c>
      <c r="K9" s="20">
        <v>22.965346534653467</v>
      </c>
      <c r="L9" s="1">
        <f t="shared" si="7"/>
        <v>2.2965346534653465E-5</v>
      </c>
      <c r="M9" s="1">
        <f t="shared" si="8"/>
        <v>4.7762865441819992E-3</v>
      </c>
      <c r="N9" s="26">
        <f t="shared" si="9"/>
        <v>9.6764206671085118E-8</v>
      </c>
      <c r="O9" s="26">
        <f t="shared" si="10"/>
        <v>2.032E-3</v>
      </c>
      <c r="P9" s="26">
        <v>4.5724343480153871E-11</v>
      </c>
      <c r="Q9" s="2">
        <v>0.05</v>
      </c>
      <c r="R9" s="2">
        <f t="shared" si="11"/>
        <v>105000</v>
      </c>
      <c r="S9" s="2">
        <f t="shared" si="1"/>
        <v>102231.62897446255</v>
      </c>
      <c r="T9" s="2">
        <f t="shared" si="12"/>
        <v>102231.62897446255</v>
      </c>
      <c r="U9" s="2">
        <f t="shared" si="13"/>
        <v>5.1398579432804297E-3</v>
      </c>
      <c r="V9" s="2">
        <v>0.08</v>
      </c>
      <c r="W9" s="2">
        <f t="shared" si="14"/>
        <v>108000</v>
      </c>
      <c r="X9" s="2">
        <f t="shared" si="15"/>
        <v>2.4802574257425745</v>
      </c>
      <c r="Y9" s="2">
        <f t="shared" si="16"/>
        <v>4.8650926132648151E-15</v>
      </c>
      <c r="Z9" s="2">
        <f t="shared" si="17"/>
        <v>2929758771.7080717</v>
      </c>
    </row>
    <row r="10" spans="1:26" x14ac:dyDescent="0.25">
      <c r="A10" s="1">
        <v>24</v>
      </c>
      <c r="B10" s="1">
        <f t="shared" si="2"/>
        <v>0.4</v>
      </c>
      <c r="C10" s="1">
        <v>20</v>
      </c>
      <c r="D10" s="1">
        <f t="shared" si="0"/>
        <v>29.146000000000001</v>
      </c>
      <c r="E10" s="1">
        <f t="shared" si="3"/>
        <v>4.8576666666666667E-7</v>
      </c>
      <c r="F10" s="1">
        <v>21.1</v>
      </c>
      <c r="G10" s="1">
        <f t="shared" si="4"/>
        <v>294.10000000000002</v>
      </c>
      <c r="H10" s="1">
        <v>101.3</v>
      </c>
      <c r="I10" s="1">
        <f t="shared" si="5"/>
        <v>101300</v>
      </c>
      <c r="J10" s="1">
        <f t="shared" si="6"/>
        <v>2.0124824921938581E-5</v>
      </c>
      <c r="K10" s="20">
        <v>20.019801980198018</v>
      </c>
      <c r="L10" s="1">
        <f t="shared" si="7"/>
        <v>2.001980198019802E-5</v>
      </c>
      <c r="M10" s="1">
        <f t="shared" si="8"/>
        <v>4.7762865441819992E-3</v>
      </c>
      <c r="N10" s="26">
        <f t="shared" si="9"/>
        <v>8.4353190725990128E-8</v>
      </c>
      <c r="O10" s="26">
        <f t="shared" si="10"/>
        <v>2.032E-3</v>
      </c>
      <c r="P10" s="26">
        <v>4.5724343480153871E-11</v>
      </c>
      <c r="Q10" s="2">
        <v>0.05</v>
      </c>
      <c r="R10" s="2">
        <f t="shared" si="11"/>
        <v>105000</v>
      </c>
      <c r="S10" s="2">
        <f t="shared" si="1"/>
        <v>102584.63377704695</v>
      </c>
      <c r="T10" s="2">
        <f t="shared" si="12"/>
        <v>102584.63377704695</v>
      </c>
      <c r="U10" s="2">
        <f t="shared" si="13"/>
        <v>5.1398579432804297E-3</v>
      </c>
      <c r="V10" s="2">
        <v>0.08</v>
      </c>
      <c r="W10" s="2">
        <f t="shared" si="14"/>
        <v>108000</v>
      </c>
      <c r="X10" s="2">
        <f t="shared" si="15"/>
        <v>2.1621386138613863</v>
      </c>
      <c r="Y10" s="2">
        <f t="shared" si="16"/>
        <v>4.2264863623308572E-15</v>
      </c>
      <c r="Z10" s="2">
        <f t="shared" si="17"/>
        <v>2545190087.3956423</v>
      </c>
    </row>
    <row r="11" spans="1:26" x14ac:dyDescent="0.25">
      <c r="A11" s="1">
        <v>27</v>
      </c>
      <c r="B11" s="1">
        <f t="shared" si="2"/>
        <v>0.45</v>
      </c>
      <c r="C11" s="1">
        <v>20</v>
      </c>
      <c r="D11" s="1">
        <f t="shared" si="0"/>
        <v>29.146000000000001</v>
      </c>
      <c r="E11" s="1">
        <f t="shared" si="3"/>
        <v>4.8576666666666667E-7</v>
      </c>
      <c r="F11" s="1">
        <v>21.1</v>
      </c>
      <c r="G11" s="1">
        <f t="shared" si="4"/>
        <v>294.10000000000002</v>
      </c>
      <c r="H11" s="1">
        <v>101.3</v>
      </c>
      <c r="I11" s="1">
        <f t="shared" si="5"/>
        <v>101300</v>
      </c>
      <c r="J11" s="1">
        <f t="shared" si="6"/>
        <v>2.0124824921938581E-5</v>
      </c>
      <c r="K11" s="20">
        <v>14.846534653465348</v>
      </c>
      <c r="L11" s="1">
        <f t="shared" si="7"/>
        <v>1.4846534653465348E-5</v>
      </c>
      <c r="M11" s="1">
        <f t="shared" si="8"/>
        <v>4.7762865441819992E-3</v>
      </c>
      <c r="N11" s="26">
        <f t="shared" si="9"/>
        <v>6.2555692133344323E-8</v>
      </c>
      <c r="O11" s="26">
        <f t="shared" si="10"/>
        <v>2.032E-3</v>
      </c>
      <c r="P11" s="26">
        <v>4.5724343480153871E-11</v>
      </c>
      <c r="Q11" s="2">
        <v>0.05</v>
      </c>
      <c r="R11" s="2">
        <f t="shared" si="11"/>
        <v>105000</v>
      </c>
      <c r="S11" s="2">
        <f t="shared" si="1"/>
        <v>103206.08963067186</v>
      </c>
      <c r="T11" s="2">
        <f t="shared" si="12"/>
        <v>103206.08963067186</v>
      </c>
      <c r="U11" s="2">
        <f t="shared" si="13"/>
        <v>5.1398579432804297E-3</v>
      </c>
      <c r="V11" s="2">
        <v>0.08</v>
      </c>
      <c r="W11" s="2">
        <f t="shared" si="14"/>
        <v>108000</v>
      </c>
      <c r="X11" s="2">
        <f t="shared" si="15"/>
        <v>1.6034257425742575</v>
      </c>
      <c r="Y11" s="2">
        <f t="shared" si="16"/>
        <v>3.1154398702255062E-15</v>
      </c>
      <c r="Z11" s="2">
        <f t="shared" si="17"/>
        <v>1876117889.8497999</v>
      </c>
    </row>
    <row r="12" spans="1:26" x14ac:dyDescent="0.25">
      <c r="A12" s="1">
        <v>30</v>
      </c>
      <c r="B12" s="1">
        <f t="shared" si="2"/>
        <v>0.5</v>
      </c>
      <c r="C12" s="1">
        <v>20</v>
      </c>
      <c r="D12" s="1">
        <f t="shared" si="0"/>
        <v>29.146000000000001</v>
      </c>
      <c r="E12" s="1">
        <f t="shared" si="3"/>
        <v>4.8576666666666667E-7</v>
      </c>
      <c r="F12" s="1">
        <v>21.1</v>
      </c>
      <c r="G12" s="1">
        <f t="shared" si="4"/>
        <v>294.10000000000002</v>
      </c>
      <c r="H12" s="1">
        <v>101.3</v>
      </c>
      <c r="I12" s="1">
        <f t="shared" si="5"/>
        <v>101300</v>
      </c>
      <c r="J12" s="1">
        <f t="shared" si="6"/>
        <v>2.0124824921938581E-5</v>
      </c>
      <c r="K12" s="20">
        <v>19.970297029702969</v>
      </c>
      <c r="L12" s="1">
        <f t="shared" si="7"/>
        <v>1.9970297029702968E-5</v>
      </c>
      <c r="M12" s="1">
        <f t="shared" si="8"/>
        <v>4.7762865441819992E-3</v>
      </c>
      <c r="N12" s="26">
        <f t="shared" si="9"/>
        <v>8.4144602222711209E-8</v>
      </c>
      <c r="O12" s="26">
        <f t="shared" si="10"/>
        <v>2.032E-3</v>
      </c>
      <c r="P12" s="26">
        <v>4.5724343480153871E-11</v>
      </c>
      <c r="Q12" s="2">
        <v>0.05</v>
      </c>
      <c r="R12" s="2">
        <f t="shared" si="11"/>
        <v>105000</v>
      </c>
      <c r="S12" s="2">
        <f t="shared" si="1"/>
        <v>102590.57182949776</v>
      </c>
      <c r="T12" s="2">
        <f t="shared" si="12"/>
        <v>102590.57182949776</v>
      </c>
      <c r="U12" s="2">
        <f t="shared" si="13"/>
        <v>5.1398579432804297E-3</v>
      </c>
      <c r="V12" s="2">
        <v>0.08</v>
      </c>
      <c r="W12" s="2">
        <f t="shared" si="14"/>
        <v>108000</v>
      </c>
      <c r="X12" s="2">
        <f t="shared" si="15"/>
        <v>2.1567920792079205</v>
      </c>
      <c r="Y12" s="2">
        <f t="shared" si="16"/>
        <v>4.2157908567046831E-15</v>
      </c>
      <c r="Z12" s="2">
        <f t="shared" si="17"/>
        <v>2538749253.9075603</v>
      </c>
    </row>
    <row r="13" spans="1:26" x14ac:dyDescent="0.25">
      <c r="A13" s="1">
        <v>33</v>
      </c>
      <c r="B13" s="1">
        <f t="shared" si="2"/>
        <v>0.55000000000000004</v>
      </c>
      <c r="C13" s="1">
        <v>20</v>
      </c>
      <c r="D13" s="1">
        <f t="shared" si="0"/>
        <v>29.146000000000001</v>
      </c>
      <c r="E13" s="1">
        <f t="shared" si="3"/>
        <v>4.8576666666666667E-7</v>
      </c>
      <c r="F13" s="1">
        <v>21.1</v>
      </c>
      <c r="G13" s="1">
        <f t="shared" si="4"/>
        <v>294.10000000000002</v>
      </c>
      <c r="H13" s="1">
        <v>101.3</v>
      </c>
      <c r="I13" s="1">
        <f t="shared" si="5"/>
        <v>101300</v>
      </c>
      <c r="J13" s="1">
        <f t="shared" si="6"/>
        <v>2.0124824921938581E-5</v>
      </c>
      <c r="K13" s="20">
        <v>26.207920792079207</v>
      </c>
      <c r="L13" s="1">
        <f t="shared" si="7"/>
        <v>2.6207920792079206E-5</v>
      </c>
      <c r="M13" s="1">
        <f t="shared" si="8"/>
        <v>4.7762865441819992E-3</v>
      </c>
      <c r="N13" s="26">
        <f t="shared" si="9"/>
        <v>1.1042675363585356E-7</v>
      </c>
      <c r="O13" s="26">
        <f t="shared" si="10"/>
        <v>2.032E-3</v>
      </c>
      <c r="P13" s="26">
        <v>4.5724343480153871E-11</v>
      </c>
      <c r="Q13" s="2">
        <v>0.05</v>
      </c>
      <c r="R13" s="2">
        <f t="shared" si="11"/>
        <v>105000</v>
      </c>
      <c r="S13" s="2">
        <f t="shared" si="1"/>
        <v>101843.73058196994</v>
      </c>
      <c r="T13" s="2">
        <f t="shared" si="12"/>
        <v>101843.73058196994</v>
      </c>
      <c r="U13" s="2">
        <f t="shared" si="13"/>
        <v>5.1398579432804297E-3</v>
      </c>
      <c r="V13" s="2">
        <v>0.08</v>
      </c>
      <c r="W13" s="2">
        <f t="shared" si="14"/>
        <v>108000</v>
      </c>
      <c r="X13" s="2">
        <f t="shared" si="15"/>
        <v>2.8304554455445543</v>
      </c>
      <c r="Y13" s="2">
        <f t="shared" si="16"/>
        <v>5.5731815618358585E-15</v>
      </c>
      <c r="Z13" s="2">
        <f t="shared" si="17"/>
        <v>3356169936.5375543</v>
      </c>
    </row>
    <row r="14" spans="1:26" x14ac:dyDescent="0.25">
      <c r="A14" s="1">
        <v>36</v>
      </c>
      <c r="B14" s="1">
        <f t="shared" si="2"/>
        <v>0.6</v>
      </c>
      <c r="C14" s="1">
        <v>20</v>
      </c>
      <c r="D14" s="1">
        <f t="shared" si="0"/>
        <v>29.146000000000001</v>
      </c>
      <c r="E14" s="1">
        <f t="shared" si="3"/>
        <v>4.8576666666666667E-7</v>
      </c>
      <c r="F14" s="1">
        <v>21.1</v>
      </c>
      <c r="G14" s="1">
        <f t="shared" si="4"/>
        <v>294.10000000000002</v>
      </c>
      <c r="H14" s="1">
        <v>101.3</v>
      </c>
      <c r="I14" s="1">
        <f t="shared" si="5"/>
        <v>101300</v>
      </c>
      <c r="J14" s="1">
        <f t="shared" si="6"/>
        <v>2.0124824921938581E-5</v>
      </c>
      <c r="K14" s="20">
        <v>25.242574257425744</v>
      </c>
      <c r="L14" s="1">
        <f t="shared" si="7"/>
        <v>2.5242574257425744E-5</v>
      </c>
      <c r="M14" s="1">
        <f t="shared" si="8"/>
        <v>4.7762865441819992E-3</v>
      </c>
      <c r="N14" s="26">
        <f t="shared" si="9"/>
        <v>1.0635927782191485E-7</v>
      </c>
      <c r="O14" s="26">
        <f t="shared" si="10"/>
        <v>2.032E-3</v>
      </c>
      <c r="P14" s="26">
        <v>4.5724343480153871E-11</v>
      </c>
      <c r="Q14" s="2">
        <v>0.05</v>
      </c>
      <c r="R14" s="2">
        <f t="shared" si="11"/>
        <v>105000</v>
      </c>
      <c r="S14" s="2">
        <f t="shared" si="1"/>
        <v>101959.13470564169</v>
      </c>
      <c r="T14" s="2">
        <f t="shared" si="12"/>
        <v>101959.13470564169</v>
      </c>
      <c r="U14" s="2">
        <f t="shared" si="13"/>
        <v>5.1398579432804297E-3</v>
      </c>
      <c r="V14" s="2">
        <v>0.08</v>
      </c>
      <c r="W14" s="2">
        <f t="shared" si="14"/>
        <v>108000</v>
      </c>
      <c r="X14" s="2">
        <f t="shared" si="15"/>
        <v>2.7261980198019802</v>
      </c>
      <c r="Y14" s="2">
        <f t="shared" si="16"/>
        <v>5.3618167504759835E-15</v>
      </c>
      <c r="Z14" s="2">
        <f t="shared" si="17"/>
        <v>3228886047.1366372</v>
      </c>
    </row>
    <row r="15" spans="1:26" x14ac:dyDescent="0.25">
      <c r="A15" s="1">
        <v>39</v>
      </c>
      <c r="B15" s="1">
        <f t="shared" si="2"/>
        <v>0.65</v>
      </c>
      <c r="C15" s="1">
        <v>20</v>
      </c>
      <c r="D15" s="1">
        <f t="shared" si="0"/>
        <v>29.146000000000001</v>
      </c>
      <c r="E15" s="1">
        <f t="shared" si="3"/>
        <v>4.8576666666666667E-7</v>
      </c>
      <c r="F15" s="1">
        <v>21.1</v>
      </c>
      <c r="G15" s="1">
        <f t="shared" si="4"/>
        <v>294.10000000000002</v>
      </c>
      <c r="H15" s="1">
        <v>101.3</v>
      </c>
      <c r="I15" s="1">
        <f t="shared" si="5"/>
        <v>101300</v>
      </c>
      <c r="J15" s="1">
        <f t="shared" si="6"/>
        <v>2.0124824921938581E-5</v>
      </c>
      <c r="K15" s="20">
        <v>25.96039603960396</v>
      </c>
      <c r="L15" s="1">
        <f t="shared" si="7"/>
        <v>2.5960396039603959E-5</v>
      </c>
      <c r="M15" s="1">
        <f t="shared" si="8"/>
        <v>4.7762865441819992E-3</v>
      </c>
      <c r="N15" s="26">
        <f t="shared" si="9"/>
        <v>1.09383811119459E-7</v>
      </c>
      <c r="O15" s="26">
        <f t="shared" si="10"/>
        <v>2.032E-3</v>
      </c>
      <c r="P15" s="26">
        <v>4.5724343480153871E-11</v>
      </c>
      <c r="Q15" s="2">
        <v>0.05</v>
      </c>
      <c r="R15" s="2">
        <f t="shared" si="11"/>
        <v>105000</v>
      </c>
      <c r="S15" s="2">
        <f t="shared" si="1"/>
        <v>101873.31515315318</v>
      </c>
      <c r="T15" s="2">
        <f t="shared" si="12"/>
        <v>101873.31515315318</v>
      </c>
      <c r="U15" s="2">
        <f t="shared" si="13"/>
        <v>5.1398579432804297E-3</v>
      </c>
      <c r="V15" s="2">
        <v>0.08</v>
      </c>
      <c r="W15" s="2">
        <f t="shared" si="14"/>
        <v>108000</v>
      </c>
      <c r="X15" s="2">
        <f t="shared" si="15"/>
        <v>2.8037227722772275</v>
      </c>
      <c r="Y15" s="2">
        <f t="shared" si="16"/>
        <v>5.5189400990968936E-15</v>
      </c>
      <c r="Z15" s="2">
        <f t="shared" si="17"/>
        <v>3323505727.6761494</v>
      </c>
    </row>
    <row r="16" spans="1:26" x14ac:dyDescent="0.25">
      <c r="A16" s="1">
        <v>42</v>
      </c>
      <c r="B16" s="1">
        <f t="shared" si="2"/>
        <v>0.7</v>
      </c>
      <c r="C16" s="1">
        <v>20</v>
      </c>
      <c r="D16" s="1">
        <f t="shared" si="0"/>
        <v>29.146000000000001</v>
      </c>
      <c r="E16" s="1">
        <f t="shared" si="3"/>
        <v>4.8576666666666667E-7</v>
      </c>
      <c r="F16" s="1">
        <v>21.1</v>
      </c>
      <c r="G16" s="1">
        <f t="shared" si="4"/>
        <v>294.10000000000002</v>
      </c>
      <c r="H16" s="1">
        <v>101.3</v>
      </c>
      <c r="I16" s="1">
        <f t="shared" si="5"/>
        <v>101300</v>
      </c>
      <c r="J16" s="1">
        <f t="shared" si="6"/>
        <v>2.0124824921938581E-5</v>
      </c>
      <c r="K16" s="20">
        <v>24.623762376237622</v>
      </c>
      <c r="L16" s="1">
        <f t="shared" si="7"/>
        <v>2.4623762376237621E-5</v>
      </c>
      <c r="M16" s="1">
        <f t="shared" si="8"/>
        <v>4.7762865441819992E-3</v>
      </c>
      <c r="N16" s="26">
        <f t="shared" si="9"/>
        <v>1.0375192153092852E-7</v>
      </c>
      <c r="O16" s="26">
        <f t="shared" si="10"/>
        <v>2.032E-3</v>
      </c>
      <c r="P16" s="26">
        <v>4.5724343480153871E-11</v>
      </c>
      <c r="Q16" s="2">
        <v>0.05</v>
      </c>
      <c r="R16" s="2">
        <f t="shared" si="11"/>
        <v>105000</v>
      </c>
      <c r="S16" s="2">
        <f t="shared" si="1"/>
        <v>102033.14607907526</v>
      </c>
      <c r="T16" s="2">
        <f t="shared" si="12"/>
        <v>102033.14607907526</v>
      </c>
      <c r="U16" s="2">
        <f t="shared" si="13"/>
        <v>5.1398579432804297E-3</v>
      </c>
      <c r="V16" s="2">
        <v>0.08</v>
      </c>
      <c r="W16" s="2">
        <f t="shared" si="14"/>
        <v>108000</v>
      </c>
      <c r="X16" s="2">
        <f t="shared" si="15"/>
        <v>2.6593663366336631</v>
      </c>
      <c r="Y16" s="2">
        <f t="shared" si="16"/>
        <v>5.2265764399688136E-15</v>
      </c>
      <c r="Z16" s="2">
        <f t="shared" si="17"/>
        <v>3147444332.1492195</v>
      </c>
    </row>
    <row r="17" spans="1:74" s="4" customFormat="1" x14ac:dyDescent="0.25">
      <c r="A17" s="1">
        <v>45</v>
      </c>
      <c r="B17" s="1">
        <f t="shared" si="2"/>
        <v>0.75</v>
      </c>
      <c r="C17" s="1">
        <v>20</v>
      </c>
      <c r="D17" s="1">
        <f t="shared" si="0"/>
        <v>29.146000000000001</v>
      </c>
      <c r="E17" s="1">
        <f t="shared" si="3"/>
        <v>4.8576666666666667E-7</v>
      </c>
      <c r="F17" s="1">
        <v>21.1</v>
      </c>
      <c r="G17" s="1">
        <f t="shared" si="4"/>
        <v>294.10000000000002</v>
      </c>
      <c r="H17" s="1">
        <v>101.3</v>
      </c>
      <c r="I17" s="1">
        <f t="shared" si="5"/>
        <v>101300</v>
      </c>
      <c r="J17" s="1">
        <f t="shared" si="6"/>
        <v>2.0124824921938581E-5</v>
      </c>
      <c r="K17" s="20">
        <v>21.306930693069308</v>
      </c>
      <c r="L17" s="1">
        <f t="shared" si="7"/>
        <v>2.130693069306931E-5</v>
      </c>
      <c r="M17" s="1">
        <f t="shared" si="8"/>
        <v>4.7762865441819992E-3</v>
      </c>
      <c r="N17" s="26">
        <f t="shared" si="9"/>
        <v>8.9776491811241733E-8</v>
      </c>
      <c r="O17" s="26">
        <f t="shared" si="10"/>
        <v>2.032E-3</v>
      </c>
      <c r="P17" s="26">
        <v>4.5724343480153871E-11</v>
      </c>
      <c r="Q17" s="2">
        <v>0.05</v>
      </c>
      <c r="R17" s="2">
        <f t="shared" si="11"/>
        <v>105000</v>
      </c>
      <c r="S17" s="2">
        <f t="shared" si="1"/>
        <v>102430.30473457187</v>
      </c>
      <c r="T17" s="2">
        <f t="shared" si="12"/>
        <v>102430.30473457187</v>
      </c>
      <c r="U17" s="2">
        <f t="shared" si="13"/>
        <v>5.1398579432804297E-3</v>
      </c>
      <c r="V17" s="2">
        <v>0.08</v>
      </c>
      <c r="W17" s="2">
        <f t="shared" si="14"/>
        <v>108000</v>
      </c>
      <c r="X17" s="2">
        <f t="shared" si="15"/>
        <v>2.3011485148514854</v>
      </c>
      <c r="Y17" s="2">
        <f t="shared" si="16"/>
        <v>4.5050025227541816E-15</v>
      </c>
      <c r="Z17" s="2">
        <f t="shared" si="17"/>
        <v>2712912519.2025681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2"/>
        <v>0.8</v>
      </c>
      <c r="C18" s="1">
        <v>20</v>
      </c>
      <c r="D18" s="1">
        <f t="shared" si="0"/>
        <v>29.146000000000001</v>
      </c>
      <c r="E18" s="1">
        <f t="shared" si="3"/>
        <v>4.8576666666666667E-7</v>
      </c>
      <c r="F18" s="1">
        <v>21.1</v>
      </c>
      <c r="G18" s="1">
        <f t="shared" si="4"/>
        <v>294.10000000000002</v>
      </c>
      <c r="H18" s="1">
        <v>101.3</v>
      </c>
      <c r="I18" s="1">
        <f t="shared" si="5"/>
        <v>101300</v>
      </c>
      <c r="J18" s="1">
        <f t="shared" si="6"/>
        <v>2.0124824921938581E-5</v>
      </c>
      <c r="K18" s="20">
        <v>31.504950495049503</v>
      </c>
      <c r="L18" s="1">
        <f t="shared" si="7"/>
        <v>3.1504950495049504E-5</v>
      </c>
      <c r="M18" s="1">
        <f t="shared" si="8"/>
        <v>4.7762865441819992E-3</v>
      </c>
      <c r="N18" s="26">
        <f t="shared" si="9"/>
        <v>1.3274572348669663E-7</v>
      </c>
      <c r="O18" s="26">
        <f t="shared" si="10"/>
        <v>2.032E-3</v>
      </c>
      <c r="P18" s="26">
        <v>4.5724343480153871E-11</v>
      </c>
      <c r="Q18" s="2">
        <v>0.05</v>
      </c>
      <c r="R18" s="2">
        <f t="shared" si="11"/>
        <v>105000</v>
      </c>
      <c r="S18" s="2">
        <f t="shared" si="1"/>
        <v>101211.65051620187</v>
      </c>
      <c r="T18" s="2">
        <f t="shared" si="12"/>
        <v>101211.65051620187</v>
      </c>
      <c r="U18" s="2">
        <f t="shared" si="13"/>
        <v>5.1398579432804297E-3</v>
      </c>
      <c r="V18" s="2">
        <v>0.08</v>
      </c>
      <c r="W18" s="2">
        <f t="shared" si="14"/>
        <v>108000</v>
      </c>
      <c r="X18" s="2">
        <f t="shared" si="15"/>
        <v>3.4025346534653464</v>
      </c>
      <c r="Y18" s="2">
        <f t="shared" si="16"/>
        <v>6.7414877236487312E-15</v>
      </c>
      <c r="Z18" s="2">
        <f t="shared" si="17"/>
        <v>4059723907.1812663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2"/>
        <v>0.85</v>
      </c>
      <c r="C19" s="1">
        <v>20</v>
      </c>
      <c r="D19" s="1">
        <f t="shared" si="0"/>
        <v>29.146000000000001</v>
      </c>
      <c r="E19" s="1">
        <f t="shared" si="3"/>
        <v>4.8576666666666667E-7</v>
      </c>
      <c r="F19" s="1">
        <v>21.1</v>
      </c>
      <c r="G19" s="1">
        <f t="shared" si="4"/>
        <v>294.10000000000002</v>
      </c>
      <c r="H19" s="1">
        <v>101.3</v>
      </c>
      <c r="I19" s="1">
        <f t="shared" si="5"/>
        <v>101300</v>
      </c>
      <c r="J19" s="1">
        <f t="shared" si="6"/>
        <v>2.0124824921938581E-5</v>
      </c>
      <c r="K19" s="20">
        <v>30.341584158415841</v>
      </c>
      <c r="L19" s="1">
        <f t="shared" si="7"/>
        <v>3.0341584158415843E-5</v>
      </c>
      <c r="M19" s="1">
        <f t="shared" si="8"/>
        <v>4.7762865441819992E-3</v>
      </c>
      <c r="N19" s="26">
        <f t="shared" si="9"/>
        <v>1.2784389365964231E-7</v>
      </c>
      <c r="O19" s="26">
        <f t="shared" si="10"/>
        <v>2.032E-3</v>
      </c>
      <c r="P19" s="26">
        <v>4.5724343480153871E-11</v>
      </c>
      <c r="Q19" s="2">
        <v>0.05</v>
      </c>
      <c r="R19" s="2">
        <f t="shared" si="11"/>
        <v>105000</v>
      </c>
      <c r="S19" s="2">
        <f t="shared" si="1"/>
        <v>101350.30322742871</v>
      </c>
      <c r="T19" s="2">
        <f t="shared" si="12"/>
        <v>101350.30322742871</v>
      </c>
      <c r="U19" s="2">
        <f t="shared" si="13"/>
        <v>5.1398579432804297E-3</v>
      </c>
      <c r="V19" s="2">
        <v>0.08</v>
      </c>
      <c r="W19" s="2">
        <f t="shared" si="14"/>
        <v>108000</v>
      </c>
      <c r="X19" s="2">
        <f t="shared" si="15"/>
        <v>3.2768910891089109</v>
      </c>
      <c r="Y19" s="2">
        <f t="shared" si="16"/>
        <v>6.4836579432108853E-15</v>
      </c>
      <c r="Z19" s="2">
        <f t="shared" si="17"/>
        <v>3904458813.4015951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2"/>
        <v>0.9</v>
      </c>
      <c r="C20" s="1">
        <v>20</v>
      </c>
      <c r="D20" s="1">
        <f t="shared" si="0"/>
        <v>29.146000000000001</v>
      </c>
      <c r="E20" s="1">
        <f t="shared" si="3"/>
        <v>4.8576666666666667E-7</v>
      </c>
      <c r="F20" s="1">
        <v>21.1</v>
      </c>
      <c r="G20" s="1">
        <f t="shared" si="4"/>
        <v>294.10000000000002</v>
      </c>
      <c r="H20" s="1">
        <v>101.3</v>
      </c>
      <c r="I20" s="1">
        <f t="shared" si="5"/>
        <v>101300</v>
      </c>
      <c r="J20" s="1">
        <f t="shared" si="6"/>
        <v>2.0124824921938581E-5</v>
      </c>
      <c r="K20" s="20">
        <v>34.400990099009903</v>
      </c>
      <c r="L20" s="1">
        <f t="shared" si="7"/>
        <v>3.4400990099009902E-5</v>
      </c>
      <c r="M20" s="1">
        <f t="shared" si="8"/>
        <v>4.7762865441819992E-3</v>
      </c>
      <c r="N20" s="26">
        <f t="shared" si="9"/>
        <v>1.4494815092851272E-7</v>
      </c>
      <c r="O20" s="26">
        <f t="shared" si="10"/>
        <v>2.032E-3</v>
      </c>
      <c r="P20" s="26">
        <v>4.5724343480153871E-11</v>
      </c>
      <c r="Q20" s="2">
        <v>0.05</v>
      </c>
      <c r="R20" s="2">
        <f t="shared" si="11"/>
        <v>105000</v>
      </c>
      <c r="S20" s="2">
        <f t="shared" si="1"/>
        <v>100866.90596215325</v>
      </c>
      <c r="T20" s="2">
        <f t="shared" si="12"/>
        <v>100866.90596215325</v>
      </c>
      <c r="U20" s="2">
        <f t="shared" si="13"/>
        <v>5.1398579432804297E-3</v>
      </c>
      <c r="V20" s="2">
        <v>0.08</v>
      </c>
      <c r="W20" s="2">
        <f t="shared" si="14"/>
        <v>108000</v>
      </c>
      <c r="X20" s="2">
        <f t="shared" si="15"/>
        <v>3.7153069306930693</v>
      </c>
      <c r="Y20" s="2">
        <f t="shared" si="16"/>
        <v>7.3863705884575948E-15</v>
      </c>
      <c r="Z20" s="2">
        <f t="shared" si="17"/>
        <v>4448072368.3691635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2"/>
        <v>0.95</v>
      </c>
      <c r="C21" s="1">
        <v>20</v>
      </c>
      <c r="D21" s="1">
        <f t="shared" si="0"/>
        <v>29.146000000000001</v>
      </c>
      <c r="E21" s="1">
        <f t="shared" si="3"/>
        <v>4.8576666666666667E-7</v>
      </c>
      <c r="F21" s="1">
        <v>21.1</v>
      </c>
      <c r="G21" s="1">
        <f t="shared" si="4"/>
        <v>294.10000000000002</v>
      </c>
      <c r="H21" s="1">
        <v>101.3</v>
      </c>
      <c r="I21" s="1">
        <f t="shared" si="5"/>
        <v>101300</v>
      </c>
      <c r="J21" s="1">
        <f t="shared" si="6"/>
        <v>2.0124824921938581E-5</v>
      </c>
      <c r="K21" s="20">
        <v>33.089108910891092</v>
      </c>
      <c r="L21" s="1">
        <f t="shared" si="7"/>
        <v>3.308910891089109E-5</v>
      </c>
      <c r="M21" s="1">
        <f t="shared" si="8"/>
        <v>4.7762865441819992E-3</v>
      </c>
      <c r="N21" s="26">
        <f t="shared" si="9"/>
        <v>1.3942055559162167E-7</v>
      </c>
      <c r="O21" s="26">
        <f t="shared" si="10"/>
        <v>2.032E-3</v>
      </c>
      <c r="P21" s="26">
        <v>4.5724343480153871E-11</v>
      </c>
      <c r="Q21" s="2">
        <v>0.05</v>
      </c>
      <c r="R21" s="2">
        <f t="shared" si="11"/>
        <v>105000</v>
      </c>
      <c r="S21" s="2">
        <f t="shared" si="1"/>
        <v>101022.99943191328</v>
      </c>
      <c r="T21" s="2">
        <f t="shared" si="12"/>
        <v>101022.99943191328</v>
      </c>
      <c r="U21" s="2">
        <f t="shared" si="13"/>
        <v>5.1398579432804297E-3</v>
      </c>
      <c r="V21" s="2">
        <v>0.08</v>
      </c>
      <c r="W21" s="2">
        <f t="shared" si="14"/>
        <v>108000</v>
      </c>
      <c r="X21" s="2">
        <f t="shared" si="15"/>
        <v>3.5736237623762377</v>
      </c>
      <c r="Y21" s="2">
        <f t="shared" si="16"/>
        <v>7.0937034573438172E-15</v>
      </c>
      <c r="Z21" s="2">
        <f t="shared" si="17"/>
        <v>4271828222.0124469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2"/>
        <v>1</v>
      </c>
      <c r="C22" s="1">
        <v>20</v>
      </c>
      <c r="D22" s="1">
        <f t="shared" si="0"/>
        <v>29.146000000000001</v>
      </c>
      <c r="E22" s="1">
        <f t="shared" si="3"/>
        <v>4.8576666666666667E-7</v>
      </c>
      <c r="F22" s="1">
        <v>21.1</v>
      </c>
      <c r="G22" s="1">
        <f t="shared" si="4"/>
        <v>294.10000000000002</v>
      </c>
      <c r="H22" s="1">
        <v>101.3</v>
      </c>
      <c r="I22" s="1">
        <f t="shared" si="5"/>
        <v>101300</v>
      </c>
      <c r="J22" s="1">
        <f t="shared" si="6"/>
        <v>2.0124824921938581E-5</v>
      </c>
      <c r="K22" s="20">
        <v>33.831683168316836</v>
      </c>
      <c r="L22" s="1">
        <f t="shared" si="7"/>
        <v>3.3831683168316834E-5</v>
      </c>
      <c r="M22" s="1">
        <f t="shared" si="8"/>
        <v>4.7762865441819992E-3</v>
      </c>
      <c r="N22" s="26">
        <f t="shared" si="9"/>
        <v>1.4254938314080528E-7</v>
      </c>
      <c r="O22" s="26">
        <f t="shared" si="10"/>
        <v>2.032E-3</v>
      </c>
      <c r="P22" s="26">
        <v>4.5724343480153871E-11</v>
      </c>
      <c r="Q22" s="2">
        <v>0.05</v>
      </c>
      <c r="R22" s="2">
        <f t="shared" si="11"/>
        <v>105000</v>
      </c>
      <c r="S22" s="2">
        <f t="shared" si="1"/>
        <v>100934.62981518128</v>
      </c>
      <c r="T22" s="2">
        <f t="shared" si="12"/>
        <v>100934.62981518128</v>
      </c>
      <c r="U22" s="2">
        <f t="shared" si="13"/>
        <v>5.1398579432804297E-3</v>
      </c>
      <c r="V22" s="2">
        <v>0.08</v>
      </c>
      <c r="W22" s="2">
        <f t="shared" si="14"/>
        <v>108000</v>
      </c>
      <c r="X22" s="2">
        <f t="shared" si="15"/>
        <v>3.653821782178218</v>
      </c>
      <c r="Y22" s="2">
        <f t="shared" si="16"/>
        <v>7.2592538815230607E-15</v>
      </c>
      <c r="Z22" s="2">
        <f t="shared" si="17"/>
        <v>4371522687.453187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2"/>
        <v>1.05</v>
      </c>
      <c r="C23" s="1">
        <v>20</v>
      </c>
      <c r="D23" s="1">
        <f t="shared" si="0"/>
        <v>29.146000000000001</v>
      </c>
      <c r="E23" s="1">
        <f t="shared" si="3"/>
        <v>4.8576666666666667E-7</v>
      </c>
      <c r="F23" s="1">
        <v>21.1</v>
      </c>
      <c r="G23" s="1">
        <f t="shared" si="4"/>
        <v>294.10000000000002</v>
      </c>
      <c r="H23" s="1">
        <v>101.3</v>
      </c>
      <c r="I23" s="1">
        <f t="shared" si="5"/>
        <v>101300</v>
      </c>
      <c r="J23" s="1">
        <f t="shared" si="6"/>
        <v>2.0124824921938581E-5</v>
      </c>
      <c r="K23" s="20">
        <v>40.118811881188122</v>
      </c>
      <c r="L23" s="1">
        <f t="shared" si="7"/>
        <v>4.0118811881188124E-5</v>
      </c>
      <c r="M23" s="1">
        <f t="shared" si="8"/>
        <v>4.7762865441819992E-3</v>
      </c>
      <c r="N23" s="26">
        <f t="shared" si="9"/>
        <v>1.6904012305722653E-7</v>
      </c>
      <c r="O23" s="26">
        <f t="shared" si="10"/>
        <v>2.032E-3</v>
      </c>
      <c r="P23" s="26">
        <v>4.5724343480153871E-11</v>
      </c>
      <c r="Q23" s="2">
        <v>0.05</v>
      </c>
      <c r="R23" s="2">
        <f t="shared" si="11"/>
        <v>105000</v>
      </c>
      <c r="S23" s="2">
        <f t="shared" si="1"/>
        <v>100187.98334698727</v>
      </c>
      <c r="T23" s="2">
        <f t="shared" si="12"/>
        <v>100187.98334698727</v>
      </c>
      <c r="U23" s="2">
        <f t="shared" si="13"/>
        <v>5.1398579432804297E-3</v>
      </c>
      <c r="V23" s="2">
        <v>0.08</v>
      </c>
      <c r="W23" s="2">
        <f t="shared" si="14"/>
        <v>108000</v>
      </c>
      <c r="X23" s="2">
        <f t="shared" si="15"/>
        <v>4.3328316831683171</v>
      </c>
      <c r="Y23" s="2">
        <f t="shared" si="16"/>
        <v>8.6724951103280302E-15</v>
      </c>
      <c r="Z23" s="2">
        <f t="shared" si="17"/>
        <v>5222576555.4395399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2"/>
        <v>1.1000000000000001</v>
      </c>
      <c r="C24" s="1">
        <v>20</v>
      </c>
      <c r="D24" s="1">
        <f t="shared" si="0"/>
        <v>29.146000000000001</v>
      </c>
      <c r="E24" s="1">
        <f t="shared" si="3"/>
        <v>4.8576666666666667E-7</v>
      </c>
      <c r="F24" s="1">
        <v>21.1</v>
      </c>
      <c r="G24" s="1">
        <f t="shared" si="4"/>
        <v>294.10000000000002</v>
      </c>
      <c r="H24" s="1">
        <v>101.3</v>
      </c>
      <c r="I24" s="1">
        <f t="shared" si="5"/>
        <v>101300</v>
      </c>
      <c r="J24" s="1">
        <f t="shared" si="6"/>
        <v>2.0124824921938581E-5</v>
      </c>
      <c r="K24" s="20">
        <v>37.420792079207921</v>
      </c>
      <c r="L24" s="1">
        <f t="shared" si="7"/>
        <v>3.7420792079207918E-5</v>
      </c>
      <c r="M24" s="1">
        <f t="shared" si="8"/>
        <v>4.7762865441819992E-3</v>
      </c>
      <c r="N24" s="26">
        <f t="shared" si="9"/>
        <v>1.5767204962852606E-7</v>
      </c>
      <c r="O24" s="26">
        <f t="shared" si="10"/>
        <v>2.032E-3</v>
      </c>
      <c r="P24" s="26">
        <v>4.5724343480153871E-11</v>
      </c>
      <c r="Q24" s="2">
        <v>0.05</v>
      </c>
      <c r="R24" s="2">
        <f t="shared" si="11"/>
        <v>105000</v>
      </c>
      <c r="S24" s="2">
        <f t="shared" si="1"/>
        <v>100508.0551048218</v>
      </c>
      <c r="T24" s="2">
        <f t="shared" si="12"/>
        <v>100508.0551048218</v>
      </c>
      <c r="U24" s="2">
        <f t="shared" si="13"/>
        <v>5.1398579432804297E-3</v>
      </c>
      <c r="V24" s="2">
        <v>0.08</v>
      </c>
      <c r="W24" s="2">
        <f t="shared" si="14"/>
        <v>108000</v>
      </c>
      <c r="X24" s="2">
        <f t="shared" si="15"/>
        <v>4.0414455445544553</v>
      </c>
      <c r="Y24" s="2">
        <f t="shared" si="16"/>
        <v>8.063478334943879E-15</v>
      </c>
      <c r="Z24" s="2">
        <f t="shared" si="17"/>
        <v>4855826653.3032045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2"/>
        <v>1.1499999999999999</v>
      </c>
      <c r="C25" s="1">
        <v>20</v>
      </c>
      <c r="D25" s="1">
        <f t="shared" si="0"/>
        <v>29.146000000000001</v>
      </c>
      <c r="E25" s="1">
        <f t="shared" si="3"/>
        <v>4.8576666666666667E-7</v>
      </c>
      <c r="F25" s="1">
        <v>21.1</v>
      </c>
      <c r="G25" s="1">
        <f t="shared" si="4"/>
        <v>294.10000000000002</v>
      </c>
      <c r="H25" s="1">
        <v>101.3</v>
      </c>
      <c r="I25" s="1">
        <f t="shared" si="5"/>
        <v>101300</v>
      </c>
      <c r="J25" s="1">
        <f t="shared" si="6"/>
        <v>2.0124824921938581E-5</v>
      </c>
      <c r="K25" s="20">
        <v>47.915841584158414</v>
      </c>
      <c r="L25" s="1">
        <f t="shared" si="7"/>
        <v>4.7915841584158412E-5</v>
      </c>
      <c r="M25" s="1">
        <f t="shared" si="8"/>
        <v>4.7762865441819992E-3</v>
      </c>
      <c r="N25" s="26">
        <f t="shared" si="9"/>
        <v>2.0189281232365439E-7</v>
      </c>
      <c r="O25" s="26">
        <f t="shared" si="10"/>
        <v>2.032E-3</v>
      </c>
      <c r="P25" s="26">
        <v>4.5724343480153871E-11</v>
      </c>
      <c r="Q25" s="2">
        <v>0.05</v>
      </c>
      <c r="R25" s="2">
        <f t="shared" si="11"/>
        <v>105000</v>
      </c>
      <c r="S25" s="2">
        <f t="shared" si="1"/>
        <v>99265.874457120633</v>
      </c>
      <c r="T25" s="2">
        <f t="shared" si="12"/>
        <v>99265.874457120633</v>
      </c>
      <c r="U25" s="2">
        <f t="shared" si="13"/>
        <v>5.1398579432804297E-3</v>
      </c>
      <c r="V25" s="2">
        <v>0.08</v>
      </c>
      <c r="W25" s="2">
        <f t="shared" si="14"/>
        <v>108000</v>
      </c>
      <c r="X25" s="2">
        <f t="shared" si="15"/>
        <v>5.1749108910891088</v>
      </c>
      <c r="Y25" s="2">
        <f t="shared" si="16"/>
        <v>1.045429238214932E-14</v>
      </c>
      <c r="Z25" s="2">
        <f t="shared" si="17"/>
        <v>6295574872.5303211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2"/>
        <v>1.2</v>
      </c>
      <c r="C26" s="1">
        <v>20</v>
      </c>
      <c r="D26" s="1">
        <f t="shared" si="0"/>
        <v>29.146000000000001</v>
      </c>
      <c r="E26" s="1">
        <f t="shared" si="3"/>
        <v>4.8576666666666667E-7</v>
      </c>
      <c r="F26" s="1">
        <v>21.1</v>
      </c>
      <c r="G26" s="1">
        <f t="shared" si="4"/>
        <v>294.10000000000002</v>
      </c>
      <c r="H26" s="1">
        <v>101.3</v>
      </c>
      <c r="I26" s="1">
        <f t="shared" si="5"/>
        <v>101300</v>
      </c>
      <c r="J26" s="1">
        <f t="shared" si="6"/>
        <v>2.0124824921938581E-5</v>
      </c>
      <c r="K26" s="20">
        <v>42.024752475247524</v>
      </c>
      <c r="L26" s="1">
        <f t="shared" si="7"/>
        <v>4.2024752475247527E-5</v>
      </c>
      <c r="M26" s="1">
        <f t="shared" si="8"/>
        <v>4.7762865441819992E-3</v>
      </c>
      <c r="N26" s="26">
        <f t="shared" si="9"/>
        <v>1.7707078043346446E-7</v>
      </c>
      <c r="O26" s="26">
        <f t="shared" si="10"/>
        <v>2.032E-3</v>
      </c>
      <c r="P26" s="26">
        <v>4.5724343480153871E-11</v>
      </c>
      <c r="Q26" s="2">
        <v>0.05</v>
      </c>
      <c r="R26" s="2">
        <f t="shared" si="11"/>
        <v>105000</v>
      </c>
      <c r="S26" s="2">
        <f t="shared" si="1"/>
        <v>99962.185273930256</v>
      </c>
      <c r="T26" s="2">
        <f t="shared" si="12"/>
        <v>99962.185273930256</v>
      </c>
      <c r="U26" s="2">
        <f t="shared" si="13"/>
        <v>5.1398579432804297E-3</v>
      </c>
      <c r="V26" s="2">
        <v>0.08</v>
      </c>
      <c r="W26" s="2">
        <f t="shared" si="14"/>
        <v>108000</v>
      </c>
      <c r="X26" s="2">
        <f t="shared" si="15"/>
        <v>4.5386732673267325</v>
      </c>
      <c r="Y26" s="2">
        <f t="shared" si="16"/>
        <v>9.1050428685039801E-15</v>
      </c>
      <c r="Z26" s="2">
        <f t="shared" si="17"/>
        <v>5483056815.4130974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2"/>
        <v>1.25</v>
      </c>
      <c r="C27" s="1">
        <v>20</v>
      </c>
      <c r="D27" s="1">
        <f t="shared" si="0"/>
        <v>29.146000000000001</v>
      </c>
      <c r="E27" s="1">
        <f t="shared" si="3"/>
        <v>4.8576666666666667E-7</v>
      </c>
      <c r="F27" s="1">
        <v>21.1</v>
      </c>
      <c r="G27" s="1">
        <f t="shared" si="4"/>
        <v>294.10000000000002</v>
      </c>
      <c r="H27" s="1">
        <v>101.3</v>
      </c>
      <c r="I27" s="1">
        <f t="shared" si="5"/>
        <v>101300</v>
      </c>
      <c r="J27" s="1">
        <f t="shared" si="6"/>
        <v>2.0124824921938581E-5</v>
      </c>
      <c r="K27" s="20">
        <v>37.693069306930695</v>
      </c>
      <c r="L27" s="1">
        <f t="shared" si="7"/>
        <v>3.7693069306930698E-5</v>
      </c>
      <c r="M27" s="1">
        <f t="shared" si="8"/>
        <v>4.7762865441819992E-3</v>
      </c>
      <c r="N27" s="26">
        <f t="shared" si="9"/>
        <v>1.5881928639656007E-7</v>
      </c>
      <c r="O27" s="26">
        <f t="shared" si="10"/>
        <v>2.032E-3</v>
      </c>
      <c r="P27" s="26">
        <v>4.5724343480153871E-11</v>
      </c>
      <c r="Q27" s="2">
        <v>0.05</v>
      </c>
      <c r="R27" s="2">
        <f t="shared" si="11"/>
        <v>105000</v>
      </c>
      <c r="S27" s="2">
        <f t="shared" si="1"/>
        <v>100475.73112770873</v>
      </c>
      <c r="T27" s="2">
        <f t="shared" si="12"/>
        <v>100475.73112770873</v>
      </c>
      <c r="U27" s="2">
        <f t="shared" si="13"/>
        <v>5.1398579432804297E-3</v>
      </c>
      <c r="V27" s="2">
        <v>0.08</v>
      </c>
      <c r="W27" s="2">
        <f t="shared" si="14"/>
        <v>108000</v>
      </c>
      <c r="X27" s="2">
        <f t="shared" si="15"/>
        <v>4.0708514851485154</v>
      </c>
      <c r="Y27" s="2">
        <f t="shared" si="16"/>
        <v>8.1247644210042624E-15</v>
      </c>
      <c r="Z27" s="2">
        <f t="shared" si="17"/>
        <v>4892733134.3287668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2"/>
        <v>1.3</v>
      </c>
      <c r="C28" s="1">
        <v>20</v>
      </c>
      <c r="D28" s="1">
        <f t="shared" si="0"/>
        <v>29.146000000000001</v>
      </c>
      <c r="E28" s="1">
        <f t="shared" si="3"/>
        <v>4.8576666666666667E-7</v>
      </c>
      <c r="F28" s="1">
        <v>21.1</v>
      </c>
      <c r="G28" s="1">
        <f t="shared" si="4"/>
        <v>294.10000000000002</v>
      </c>
      <c r="H28" s="1">
        <v>101.3</v>
      </c>
      <c r="I28" s="1">
        <f t="shared" si="5"/>
        <v>101300</v>
      </c>
      <c r="J28" s="1">
        <f t="shared" si="6"/>
        <v>2.0124824921938581E-5</v>
      </c>
      <c r="K28" s="20">
        <v>44.623762376237622</v>
      </c>
      <c r="L28" s="1">
        <f t="shared" si="7"/>
        <v>4.4623762376237623E-5</v>
      </c>
      <c r="M28" s="1">
        <f t="shared" si="8"/>
        <v>4.7762865441819992E-3</v>
      </c>
      <c r="N28" s="26">
        <f t="shared" si="9"/>
        <v>1.8802167685560707E-7</v>
      </c>
      <c r="O28" s="26">
        <f t="shared" si="10"/>
        <v>2.032E-3</v>
      </c>
      <c r="P28" s="26">
        <v>4.5724343480153871E-11</v>
      </c>
      <c r="Q28" s="2">
        <v>0.05</v>
      </c>
      <c r="R28" s="2">
        <f t="shared" si="11"/>
        <v>105000</v>
      </c>
      <c r="S28" s="2">
        <f t="shared" si="1"/>
        <v>99654.689330256107</v>
      </c>
      <c r="T28" s="2">
        <f t="shared" si="12"/>
        <v>99654.689330256107</v>
      </c>
      <c r="U28" s="2">
        <f t="shared" si="13"/>
        <v>5.1398579432804297E-3</v>
      </c>
      <c r="V28" s="2">
        <v>0.08</v>
      </c>
      <c r="W28" s="2">
        <f t="shared" si="14"/>
        <v>108000</v>
      </c>
      <c r="X28" s="2">
        <f t="shared" si="15"/>
        <v>4.8193663366336636</v>
      </c>
      <c r="Y28" s="2">
        <f t="shared" si="16"/>
        <v>9.6980027133513293E-15</v>
      </c>
      <c r="Z28" s="2">
        <f t="shared" si="17"/>
        <v>5840137233.9801712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2"/>
        <v>1.35</v>
      </c>
      <c r="C29" s="1">
        <v>20</v>
      </c>
      <c r="D29" s="1">
        <f t="shared" si="0"/>
        <v>29.146000000000001</v>
      </c>
      <c r="E29" s="1">
        <f t="shared" si="3"/>
        <v>4.8576666666666667E-7</v>
      </c>
      <c r="F29" s="1">
        <v>21.1</v>
      </c>
      <c r="G29" s="1">
        <f t="shared" si="4"/>
        <v>294.10000000000002</v>
      </c>
      <c r="H29" s="1">
        <v>101.3</v>
      </c>
      <c r="I29" s="1">
        <f t="shared" si="5"/>
        <v>101300</v>
      </c>
      <c r="J29" s="1">
        <f t="shared" si="6"/>
        <v>2.0124824921938581E-5</v>
      </c>
      <c r="K29" s="20">
        <v>45.910891089108915</v>
      </c>
      <c r="L29" s="1">
        <f t="shared" si="7"/>
        <v>4.5910891089108913E-5</v>
      </c>
      <c r="M29" s="1">
        <f t="shared" si="8"/>
        <v>4.7762865441819992E-3</v>
      </c>
      <c r="N29" s="26">
        <f t="shared" si="9"/>
        <v>1.9344497794085867E-7</v>
      </c>
      <c r="O29" s="26">
        <f t="shared" si="10"/>
        <v>2.032E-3</v>
      </c>
      <c r="P29" s="26">
        <v>4.5724343480153871E-11</v>
      </c>
      <c r="Q29" s="2">
        <v>0.05</v>
      </c>
      <c r="R29" s="2">
        <f t="shared" si="11"/>
        <v>105000</v>
      </c>
      <c r="S29" s="2">
        <f t="shared" si="1"/>
        <v>99502.581003252606</v>
      </c>
      <c r="T29" s="2">
        <f t="shared" si="12"/>
        <v>99502.581003252606</v>
      </c>
      <c r="U29" s="2">
        <f t="shared" si="13"/>
        <v>5.1398579432804297E-3</v>
      </c>
      <c r="V29" s="2">
        <v>0.08</v>
      </c>
      <c r="W29" s="2">
        <f t="shared" si="14"/>
        <v>108000</v>
      </c>
      <c r="X29" s="2">
        <f t="shared" si="15"/>
        <v>4.9583762376237628</v>
      </c>
      <c r="Y29" s="2">
        <f t="shared" si="16"/>
        <v>9.9929996336120424E-15</v>
      </c>
      <c r="Z29" s="2">
        <f t="shared" si="17"/>
        <v>6017784379.3611717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2"/>
        <v>1.4</v>
      </c>
      <c r="C30" s="1">
        <v>20</v>
      </c>
      <c r="D30" s="1">
        <f t="shared" si="0"/>
        <v>29.146000000000001</v>
      </c>
      <c r="E30" s="1">
        <f t="shared" si="3"/>
        <v>4.8576666666666667E-7</v>
      </c>
      <c r="F30" s="1">
        <v>21.1</v>
      </c>
      <c r="G30" s="1">
        <f t="shared" si="4"/>
        <v>294.10000000000002</v>
      </c>
      <c r="H30" s="1">
        <v>101.3</v>
      </c>
      <c r="I30" s="1">
        <f t="shared" si="5"/>
        <v>101300</v>
      </c>
      <c r="J30" s="1">
        <f t="shared" si="6"/>
        <v>2.0124824921938581E-5</v>
      </c>
      <c r="K30" s="20">
        <v>38.361386138613867</v>
      </c>
      <c r="L30" s="1">
        <f t="shared" si="7"/>
        <v>3.8361386138613869E-5</v>
      </c>
      <c r="M30" s="1">
        <f t="shared" si="8"/>
        <v>4.7762865441819992E-3</v>
      </c>
      <c r="N30" s="26">
        <f t="shared" si="9"/>
        <v>1.6163523119082535E-7</v>
      </c>
      <c r="O30" s="26">
        <f t="shared" si="10"/>
        <v>2.032E-3</v>
      </c>
      <c r="P30" s="26">
        <v>4.5724343480153871E-11</v>
      </c>
      <c r="Q30" s="2">
        <v>0.05</v>
      </c>
      <c r="R30" s="2">
        <f t="shared" si="11"/>
        <v>105000</v>
      </c>
      <c r="S30" s="2">
        <f t="shared" si="1"/>
        <v>100396.41249706804</v>
      </c>
      <c r="T30" s="2">
        <f t="shared" si="12"/>
        <v>100396.41249706804</v>
      </c>
      <c r="U30" s="2">
        <f t="shared" si="13"/>
        <v>5.1398579432804297E-3</v>
      </c>
      <c r="V30" s="2">
        <v>0.08</v>
      </c>
      <c r="W30" s="2">
        <f t="shared" si="14"/>
        <v>108000</v>
      </c>
      <c r="X30" s="2">
        <f t="shared" si="15"/>
        <v>4.1430297029702983</v>
      </c>
      <c r="Y30" s="2">
        <f t="shared" si="16"/>
        <v>8.2753595606302948E-15</v>
      </c>
      <c r="Z30" s="2">
        <f t="shared" si="17"/>
        <v>4983421527.4115639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2"/>
        <v>1.45</v>
      </c>
      <c r="C31" s="1">
        <v>20</v>
      </c>
      <c r="D31" s="1">
        <f t="shared" si="0"/>
        <v>29.146000000000001</v>
      </c>
      <c r="E31" s="1">
        <f t="shared" si="3"/>
        <v>4.8576666666666667E-7</v>
      </c>
      <c r="F31" s="1">
        <v>21.1</v>
      </c>
      <c r="G31" s="1">
        <f t="shared" si="4"/>
        <v>294.10000000000002</v>
      </c>
      <c r="H31" s="1">
        <v>101.3</v>
      </c>
      <c r="I31" s="1">
        <f t="shared" si="5"/>
        <v>101300</v>
      </c>
      <c r="J31" s="1">
        <f t="shared" si="6"/>
        <v>2.0124824921938581E-5</v>
      </c>
      <c r="K31" s="20">
        <v>45.46534653465347</v>
      </c>
      <c r="L31" s="1">
        <f t="shared" si="7"/>
        <v>4.546534653465347E-5</v>
      </c>
      <c r="M31" s="1">
        <f t="shared" si="8"/>
        <v>4.7762865441819992E-3</v>
      </c>
      <c r="N31" s="26">
        <f t="shared" si="9"/>
        <v>1.9156768141134852E-7</v>
      </c>
      <c r="O31" s="26">
        <f t="shared" si="10"/>
        <v>2.032E-3</v>
      </c>
      <c r="P31" s="26">
        <v>4.5724343480153871E-11</v>
      </c>
      <c r="Q31" s="2">
        <v>0.05</v>
      </c>
      <c r="R31" s="2">
        <f t="shared" si="11"/>
        <v>105000</v>
      </c>
      <c r="S31" s="2">
        <f t="shared" si="1"/>
        <v>99555.220738738848</v>
      </c>
      <c r="T31" s="2">
        <f t="shared" si="12"/>
        <v>99555.220738738848</v>
      </c>
      <c r="U31" s="2">
        <f t="shared" si="13"/>
        <v>5.1398579432804297E-3</v>
      </c>
      <c r="V31" s="2">
        <v>0.08</v>
      </c>
      <c r="W31" s="2">
        <f t="shared" si="14"/>
        <v>108000</v>
      </c>
      <c r="X31" s="2">
        <f t="shared" si="15"/>
        <v>4.9102574257425751</v>
      </c>
      <c r="Y31" s="2">
        <f t="shared" si="16"/>
        <v>9.8907845110414038E-15</v>
      </c>
      <c r="Z31" s="2">
        <f t="shared" si="17"/>
        <v>5956230432.5491333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2"/>
        <v>1.5</v>
      </c>
      <c r="C32" s="1">
        <v>20</v>
      </c>
      <c r="D32" s="1">
        <f t="shared" si="0"/>
        <v>29.146000000000001</v>
      </c>
      <c r="E32" s="1">
        <f t="shared" si="3"/>
        <v>4.8576666666666667E-7</v>
      </c>
      <c r="F32" s="1">
        <v>21.1</v>
      </c>
      <c r="G32" s="1">
        <f t="shared" si="4"/>
        <v>294.10000000000002</v>
      </c>
      <c r="H32" s="1">
        <v>101.3</v>
      </c>
      <c r="I32" s="1">
        <f t="shared" si="5"/>
        <v>101300</v>
      </c>
      <c r="J32" s="1">
        <f t="shared" si="6"/>
        <v>2.0124824921938581E-5</v>
      </c>
      <c r="K32" s="20">
        <v>39.5</v>
      </c>
      <c r="L32" s="1">
        <f t="shared" si="7"/>
        <v>3.9499999999999998E-5</v>
      </c>
      <c r="M32" s="1">
        <f t="shared" si="8"/>
        <v>4.7762865441819992E-3</v>
      </c>
      <c r="N32" s="26">
        <f t="shared" si="9"/>
        <v>1.6643276676624016E-7</v>
      </c>
      <c r="O32" s="26">
        <f t="shared" si="10"/>
        <v>2.032E-3</v>
      </c>
      <c r="P32" s="26">
        <v>4.5724343480153871E-11</v>
      </c>
      <c r="Q32" s="2">
        <v>0.05</v>
      </c>
      <c r="R32" s="2">
        <f t="shared" si="11"/>
        <v>105000</v>
      </c>
      <c r="S32" s="2">
        <f t="shared" si="1"/>
        <v>100261.34918857669</v>
      </c>
      <c r="T32" s="2">
        <f t="shared" si="12"/>
        <v>100261.34918857669</v>
      </c>
      <c r="U32" s="2">
        <f t="shared" si="13"/>
        <v>5.1398579432804297E-3</v>
      </c>
      <c r="V32" s="2">
        <v>0.08</v>
      </c>
      <c r="W32" s="2">
        <f t="shared" si="14"/>
        <v>108000</v>
      </c>
      <c r="X32" s="2">
        <f t="shared" si="15"/>
        <v>4.266</v>
      </c>
      <c r="Y32" s="2">
        <f t="shared" si="16"/>
        <v>8.5324722311796492E-15</v>
      </c>
      <c r="Z32" s="2">
        <f t="shared" si="17"/>
        <v>5138254777.6163845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2"/>
        <v>1.55</v>
      </c>
      <c r="C33" s="1">
        <v>20</v>
      </c>
      <c r="D33" s="1">
        <f t="shared" si="0"/>
        <v>29.146000000000001</v>
      </c>
      <c r="E33" s="1">
        <f t="shared" si="3"/>
        <v>4.8576666666666667E-7</v>
      </c>
      <c r="F33" s="1">
        <v>21.1</v>
      </c>
      <c r="G33" s="1">
        <f t="shared" si="4"/>
        <v>294.10000000000002</v>
      </c>
      <c r="H33" s="1">
        <v>101.3</v>
      </c>
      <c r="I33" s="1">
        <f t="shared" si="5"/>
        <v>101300</v>
      </c>
      <c r="J33" s="1">
        <f t="shared" si="6"/>
        <v>2.0124824921938581E-5</v>
      </c>
      <c r="K33" s="20">
        <v>44.871287128712872</v>
      </c>
      <c r="L33" s="1">
        <f t="shared" si="7"/>
        <v>4.4871287128712873E-5</v>
      </c>
      <c r="M33" s="1">
        <f t="shared" si="8"/>
        <v>4.7762865441819992E-3</v>
      </c>
      <c r="N33" s="26">
        <f t="shared" si="9"/>
        <v>1.8906461937200162E-7</v>
      </c>
      <c r="O33" s="26">
        <f t="shared" si="10"/>
        <v>2.032E-3</v>
      </c>
      <c r="P33" s="26">
        <v>4.5724343480153871E-11</v>
      </c>
      <c r="Q33" s="2">
        <v>0.05</v>
      </c>
      <c r="R33" s="2">
        <f t="shared" si="11"/>
        <v>105000</v>
      </c>
      <c r="S33" s="2">
        <f t="shared" si="1"/>
        <v>99625.428706500825</v>
      </c>
      <c r="T33" s="2">
        <f t="shared" si="12"/>
        <v>99625.428706500825</v>
      </c>
      <c r="U33" s="2">
        <f t="shared" si="13"/>
        <v>5.1398579432804297E-3</v>
      </c>
      <c r="V33" s="2">
        <v>0.08</v>
      </c>
      <c r="W33" s="2">
        <f t="shared" si="14"/>
        <v>108000</v>
      </c>
      <c r="X33" s="2">
        <f t="shared" si="15"/>
        <v>4.84609900990099</v>
      </c>
      <c r="Y33" s="2">
        <f t="shared" si="16"/>
        <v>9.7546637475637695E-15</v>
      </c>
      <c r="Z33" s="2">
        <f t="shared" si="17"/>
        <v>5874258508.7829027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2"/>
        <v>1.6</v>
      </c>
      <c r="C34" s="1">
        <v>20</v>
      </c>
      <c r="D34" s="1">
        <f t="shared" si="0"/>
        <v>29.146000000000001</v>
      </c>
      <c r="E34" s="1">
        <f t="shared" si="3"/>
        <v>4.8576666666666667E-7</v>
      </c>
      <c r="F34" s="1">
        <v>21.1</v>
      </c>
      <c r="G34" s="1">
        <f t="shared" si="4"/>
        <v>294.10000000000002</v>
      </c>
      <c r="H34" s="1">
        <v>101.3</v>
      </c>
      <c r="I34" s="1">
        <f t="shared" si="5"/>
        <v>101300</v>
      </c>
      <c r="J34" s="1">
        <f t="shared" si="6"/>
        <v>2.0124824921938581E-5</v>
      </c>
      <c r="K34" s="20">
        <v>48.163366336633665</v>
      </c>
      <c r="L34" s="1">
        <f t="shared" si="7"/>
        <v>4.8163366336633662E-5</v>
      </c>
      <c r="M34" s="1">
        <f t="shared" si="8"/>
        <v>4.7762865441819992E-3</v>
      </c>
      <c r="N34" s="26">
        <f t="shared" si="9"/>
        <v>2.0293575484004897E-7</v>
      </c>
      <c r="O34" s="26">
        <f t="shared" si="10"/>
        <v>2.032E-3</v>
      </c>
      <c r="P34" s="26">
        <v>4.5724343480153871E-11</v>
      </c>
      <c r="Q34" s="2">
        <v>0.05</v>
      </c>
      <c r="R34" s="2">
        <f t="shared" si="11"/>
        <v>105000</v>
      </c>
      <c r="S34" s="2">
        <f t="shared" si="1"/>
        <v>99236.67097528564</v>
      </c>
      <c r="T34" s="2">
        <f t="shared" si="12"/>
        <v>99236.67097528564</v>
      </c>
      <c r="U34" s="2">
        <f t="shared" si="13"/>
        <v>5.1398579432804297E-3</v>
      </c>
      <c r="V34" s="2">
        <v>0.08</v>
      </c>
      <c r="W34" s="2">
        <f t="shared" si="14"/>
        <v>108000</v>
      </c>
      <c r="X34" s="2">
        <f t="shared" si="15"/>
        <v>5.2016435643564352</v>
      </c>
      <c r="Y34" s="2">
        <f t="shared" si="16"/>
        <v>1.0511392792173447E-14</v>
      </c>
      <c r="Z34" s="2">
        <f t="shared" si="17"/>
        <v>6329960739.4468498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2"/>
        <v>1.65</v>
      </c>
      <c r="C35" s="1">
        <v>20</v>
      </c>
      <c r="D35" s="1">
        <f t="shared" si="0"/>
        <v>29.146000000000001</v>
      </c>
      <c r="E35" s="1">
        <f t="shared" si="3"/>
        <v>4.8576666666666667E-7</v>
      </c>
      <c r="F35" s="1">
        <v>21.1</v>
      </c>
      <c r="G35" s="1">
        <f t="shared" si="4"/>
        <v>294.10000000000002</v>
      </c>
      <c r="H35" s="1">
        <v>101.3</v>
      </c>
      <c r="I35" s="1">
        <f t="shared" si="5"/>
        <v>101300</v>
      </c>
      <c r="J35" s="1">
        <f t="shared" si="6"/>
        <v>2.0124824921938581E-5</v>
      </c>
      <c r="K35" s="20">
        <v>43.435643564356432</v>
      </c>
      <c r="L35" s="1">
        <f t="shared" si="7"/>
        <v>4.3435643564356435E-5</v>
      </c>
      <c r="M35" s="1">
        <f t="shared" si="8"/>
        <v>4.7762865441819992E-3</v>
      </c>
      <c r="N35" s="26">
        <f t="shared" si="9"/>
        <v>1.830155527769133E-7</v>
      </c>
      <c r="O35" s="26">
        <f t="shared" si="10"/>
        <v>2.032E-3</v>
      </c>
      <c r="P35" s="26">
        <v>4.5724343480153871E-11</v>
      </c>
      <c r="Q35" s="2">
        <v>0.05</v>
      </c>
      <c r="R35" s="2">
        <f t="shared" si="11"/>
        <v>105000</v>
      </c>
      <c r="S35" s="2">
        <f t="shared" si="1"/>
        <v>99795.200129960518</v>
      </c>
      <c r="T35" s="2">
        <f t="shared" si="12"/>
        <v>99795.200129960518</v>
      </c>
      <c r="U35" s="2">
        <f t="shared" si="13"/>
        <v>5.1398579432804297E-3</v>
      </c>
      <c r="V35" s="2">
        <v>0.08</v>
      </c>
      <c r="W35" s="2">
        <f t="shared" si="14"/>
        <v>108000</v>
      </c>
      <c r="X35" s="2">
        <f t="shared" si="15"/>
        <v>4.6910495049504952</v>
      </c>
      <c r="Y35" s="2">
        <f t="shared" si="16"/>
        <v>9.4264870612681527E-15</v>
      </c>
      <c r="Z35" s="2">
        <f t="shared" si="17"/>
        <v>5676630508.295682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2"/>
        <v>1.7</v>
      </c>
      <c r="C36" s="1">
        <v>20</v>
      </c>
      <c r="D36" s="1">
        <f t="shared" si="0"/>
        <v>29.146000000000001</v>
      </c>
      <c r="E36" s="1">
        <f t="shared" si="3"/>
        <v>4.8576666666666667E-7</v>
      </c>
      <c r="F36" s="1">
        <v>21.1</v>
      </c>
      <c r="G36" s="1">
        <f t="shared" si="4"/>
        <v>294.10000000000002</v>
      </c>
      <c r="H36" s="1">
        <v>101.3</v>
      </c>
      <c r="I36" s="1">
        <f t="shared" si="5"/>
        <v>101300</v>
      </c>
      <c r="J36" s="1">
        <f t="shared" si="6"/>
        <v>2.0124824921938581E-5</v>
      </c>
      <c r="K36" s="25">
        <v>48.336633663366342</v>
      </c>
      <c r="L36" s="1">
        <f t="shared" si="7"/>
        <v>4.8336633663366346E-5</v>
      </c>
      <c r="M36" s="1">
        <f t="shared" si="8"/>
        <v>4.7762865441819992E-3</v>
      </c>
      <c r="N36" s="52">
        <f t="shared" si="9"/>
        <v>2.0366581460152516E-7</v>
      </c>
      <c r="O36" s="26">
        <f t="shared" si="10"/>
        <v>2.032E-3</v>
      </c>
      <c r="P36" s="26">
        <v>4.5724343480153871E-11</v>
      </c>
      <c r="Q36" s="2">
        <v>0.05</v>
      </c>
      <c r="R36" s="2">
        <f t="shared" si="11"/>
        <v>105000</v>
      </c>
      <c r="S36" s="2">
        <f t="shared" si="1"/>
        <v>99216.231094350194</v>
      </c>
      <c r="T36" s="2">
        <f t="shared" si="12"/>
        <v>99216.231094350194</v>
      </c>
      <c r="U36" s="2">
        <f t="shared" si="13"/>
        <v>5.1398579432804297E-3</v>
      </c>
      <c r="V36" s="2">
        <v>0.08</v>
      </c>
      <c r="W36" s="2">
        <f t="shared" si="14"/>
        <v>108000</v>
      </c>
      <c r="X36" s="2">
        <f t="shared" si="15"/>
        <v>5.2203564356435654</v>
      </c>
      <c r="Y36" s="11">
        <f t="shared" si="16"/>
        <v>1.0551382827050239E-14</v>
      </c>
      <c r="Z36" s="11">
        <f t="shared" si="17"/>
        <v>6354042738.4496546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2"/>
        <v>1.75</v>
      </c>
      <c r="C37" s="1">
        <v>20</v>
      </c>
      <c r="D37" s="1">
        <f t="shared" si="0"/>
        <v>29.146000000000001</v>
      </c>
      <c r="E37" s="1">
        <f t="shared" si="3"/>
        <v>4.8576666666666667E-7</v>
      </c>
      <c r="F37" s="1">
        <v>21.1</v>
      </c>
      <c r="G37" s="1">
        <f t="shared" si="4"/>
        <v>294.10000000000002</v>
      </c>
      <c r="H37" s="1">
        <v>101.3</v>
      </c>
      <c r="I37" s="1">
        <f t="shared" si="5"/>
        <v>101300</v>
      </c>
      <c r="J37" s="1">
        <f t="shared" si="6"/>
        <v>2.0124824921938581E-5</v>
      </c>
      <c r="K37" s="25">
        <v>39.920792079207921</v>
      </c>
      <c r="L37" s="1">
        <f t="shared" si="7"/>
        <v>3.9920792079207918E-5</v>
      </c>
      <c r="M37" s="1">
        <f t="shared" si="8"/>
        <v>4.7762865441819992E-3</v>
      </c>
      <c r="N37" s="52">
        <f t="shared" si="9"/>
        <v>1.6820576904411088E-7</v>
      </c>
      <c r="O37" s="26">
        <f t="shared" si="10"/>
        <v>2.032E-3</v>
      </c>
      <c r="P37" s="26">
        <v>4.5724343480153871E-11</v>
      </c>
      <c r="Q37" s="2">
        <v>0.05</v>
      </c>
      <c r="R37" s="2">
        <f t="shared" si="11"/>
        <v>105000</v>
      </c>
      <c r="S37" s="2">
        <f t="shared" si="1"/>
        <v>100211.45749475408</v>
      </c>
      <c r="T37" s="2">
        <f t="shared" si="12"/>
        <v>100211.45749475408</v>
      </c>
      <c r="U37" s="2">
        <f t="shared" si="13"/>
        <v>5.1398579432804297E-3</v>
      </c>
      <c r="V37" s="2">
        <v>0.08</v>
      </c>
      <c r="W37" s="2">
        <f t="shared" si="14"/>
        <v>108000</v>
      </c>
      <c r="X37" s="2">
        <f t="shared" si="15"/>
        <v>4.3114455445544548</v>
      </c>
      <c r="Y37" s="11">
        <f t="shared" si="16"/>
        <v>8.6276657126069968E-15</v>
      </c>
      <c r="Z37" s="11">
        <f t="shared" si="17"/>
        <v>5195580292.1319342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2"/>
        <v>1.8</v>
      </c>
      <c r="C38" s="1">
        <v>20</v>
      </c>
      <c r="D38" s="1">
        <f t="shared" si="0"/>
        <v>29.146000000000001</v>
      </c>
      <c r="E38" s="1">
        <f t="shared" si="3"/>
        <v>4.8576666666666667E-7</v>
      </c>
      <c r="F38" s="1">
        <v>21.1</v>
      </c>
      <c r="G38" s="1">
        <f t="shared" si="4"/>
        <v>294.10000000000002</v>
      </c>
      <c r="H38" s="1">
        <v>101.3</v>
      </c>
      <c r="I38" s="1">
        <f t="shared" si="5"/>
        <v>101300</v>
      </c>
      <c r="J38" s="1">
        <f t="shared" si="6"/>
        <v>2.0124824921938581E-5</v>
      </c>
      <c r="K38" s="25">
        <v>44.599009900990104</v>
      </c>
      <c r="L38" s="1">
        <f t="shared" si="7"/>
        <v>4.4599009900990107E-5</v>
      </c>
      <c r="M38" s="1">
        <f t="shared" si="8"/>
        <v>4.7762865441819992E-3</v>
      </c>
      <c r="N38" s="52">
        <f t="shared" si="9"/>
        <v>1.8791738260396764E-7</v>
      </c>
      <c r="O38" s="26">
        <f t="shared" si="10"/>
        <v>2.032E-3</v>
      </c>
      <c r="P38" s="26">
        <v>4.5724343480153871E-11</v>
      </c>
      <c r="Q38" s="2">
        <v>0.05</v>
      </c>
      <c r="R38" s="2">
        <f t="shared" si="11"/>
        <v>105000</v>
      </c>
      <c r="S38" s="2">
        <f t="shared" si="1"/>
        <v>99657.615628932821</v>
      </c>
      <c r="T38" s="2">
        <f t="shared" si="12"/>
        <v>99657.615628932821</v>
      </c>
      <c r="U38" s="2">
        <f t="shared" si="13"/>
        <v>5.1398579432804297E-3</v>
      </c>
      <c r="V38" s="2">
        <v>0.08</v>
      </c>
      <c r="W38" s="2">
        <f t="shared" si="14"/>
        <v>108000</v>
      </c>
      <c r="X38" s="2">
        <f t="shared" si="15"/>
        <v>4.8166930693069316</v>
      </c>
      <c r="Y38" s="11">
        <f t="shared" si="16"/>
        <v>9.6923384187041582E-15</v>
      </c>
      <c r="Z38" s="11">
        <f t="shared" si="17"/>
        <v>5836726195.7436447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2"/>
        <v>1.85</v>
      </c>
      <c r="C39" s="1">
        <v>20</v>
      </c>
      <c r="D39" s="1">
        <f t="shared" si="0"/>
        <v>29.146000000000001</v>
      </c>
      <c r="E39" s="1">
        <f t="shared" si="3"/>
        <v>4.8576666666666667E-7</v>
      </c>
      <c r="F39" s="1">
        <v>21.1</v>
      </c>
      <c r="G39" s="1">
        <f t="shared" si="4"/>
        <v>294.10000000000002</v>
      </c>
      <c r="H39" s="1">
        <v>101.3</v>
      </c>
      <c r="I39" s="1">
        <f t="shared" si="5"/>
        <v>101300</v>
      </c>
      <c r="J39" s="1">
        <f t="shared" si="6"/>
        <v>2.0124824921938581E-5</v>
      </c>
      <c r="K39" s="25">
        <v>44.846534653465348</v>
      </c>
      <c r="L39" s="1">
        <f t="shared" si="7"/>
        <v>4.4846534653465351E-5</v>
      </c>
      <c r="M39" s="1">
        <f t="shared" si="8"/>
        <v>4.7762865441819992E-3</v>
      </c>
      <c r="N39" s="52">
        <f t="shared" si="9"/>
        <v>1.8896032512036217E-7</v>
      </c>
      <c r="O39" s="26">
        <f t="shared" si="10"/>
        <v>2.032E-3</v>
      </c>
      <c r="P39" s="26">
        <v>4.5724343480153871E-11</v>
      </c>
      <c r="Q39" s="2">
        <v>0.05</v>
      </c>
      <c r="R39" s="2">
        <f t="shared" si="11"/>
        <v>105000</v>
      </c>
      <c r="S39" s="2">
        <f t="shared" si="1"/>
        <v>99628.354575539008</v>
      </c>
      <c r="T39" s="2">
        <f t="shared" si="12"/>
        <v>99628.354575539008</v>
      </c>
      <c r="U39" s="2">
        <f t="shared" si="13"/>
        <v>5.1398579432804297E-3</v>
      </c>
      <c r="V39" s="2">
        <v>0.08</v>
      </c>
      <c r="W39" s="2">
        <f t="shared" si="14"/>
        <v>108000</v>
      </c>
      <c r="X39" s="2">
        <f t="shared" si="15"/>
        <v>4.843425742574258</v>
      </c>
      <c r="Y39" s="11">
        <f t="shared" si="16"/>
        <v>9.7489961639113605E-15</v>
      </c>
      <c r="Z39" s="11">
        <f t="shared" si="17"/>
        <v>5870845489.9074211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2"/>
        <v>1.9</v>
      </c>
      <c r="C40" s="1">
        <v>20</v>
      </c>
      <c r="D40" s="1">
        <f t="shared" si="0"/>
        <v>29.146000000000001</v>
      </c>
      <c r="E40" s="1">
        <f t="shared" si="3"/>
        <v>4.8576666666666667E-7</v>
      </c>
      <c r="F40" s="1">
        <v>21.1</v>
      </c>
      <c r="G40" s="1">
        <f t="shared" si="4"/>
        <v>294.10000000000002</v>
      </c>
      <c r="H40" s="1">
        <v>101.3</v>
      </c>
      <c r="I40" s="1">
        <f t="shared" si="5"/>
        <v>101300</v>
      </c>
      <c r="J40" s="1">
        <f t="shared" si="6"/>
        <v>2.0124824921938581E-5</v>
      </c>
      <c r="K40" s="25">
        <v>44.549504950495056</v>
      </c>
      <c r="L40" s="1">
        <f t="shared" si="7"/>
        <v>4.4549504950495056E-5</v>
      </c>
      <c r="M40" s="1">
        <f t="shared" si="8"/>
        <v>4.7762865441819992E-3</v>
      </c>
      <c r="N40" s="52">
        <f t="shared" si="9"/>
        <v>1.8770879410068876E-7</v>
      </c>
      <c r="O40" s="26">
        <f t="shared" si="10"/>
        <v>2.032E-3</v>
      </c>
      <c r="P40" s="26">
        <v>4.5724343480153871E-11</v>
      </c>
      <c r="Q40" s="2">
        <v>0.05</v>
      </c>
      <c r="R40" s="2">
        <f t="shared" si="11"/>
        <v>105000</v>
      </c>
      <c r="S40" s="2">
        <f t="shared" si="1"/>
        <v>99663.468355177771</v>
      </c>
      <c r="T40" s="2">
        <f t="shared" si="12"/>
        <v>99663.468355177771</v>
      </c>
      <c r="U40" s="2">
        <f t="shared" si="13"/>
        <v>5.1398579432804297E-3</v>
      </c>
      <c r="V40" s="2">
        <v>0.08</v>
      </c>
      <c r="W40" s="2">
        <f t="shared" si="14"/>
        <v>108000</v>
      </c>
      <c r="X40" s="2">
        <f t="shared" si="15"/>
        <v>4.8113465346534658</v>
      </c>
      <c r="Y40" s="11">
        <f t="shared" si="16"/>
        <v>9.6810108157321605E-15</v>
      </c>
      <c r="Z40" s="11">
        <f t="shared" si="17"/>
        <v>5829904713.2339077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2"/>
        <v>1.95</v>
      </c>
      <c r="C41" s="1">
        <v>20</v>
      </c>
      <c r="D41" s="1">
        <f t="shared" si="0"/>
        <v>29.146000000000001</v>
      </c>
      <c r="E41" s="1">
        <f t="shared" si="3"/>
        <v>4.8576666666666667E-7</v>
      </c>
      <c r="F41" s="1">
        <v>21.1</v>
      </c>
      <c r="G41" s="1">
        <f t="shared" si="4"/>
        <v>294.10000000000002</v>
      </c>
      <c r="H41" s="1">
        <v>101.3</v>
      </c>
      <c r="I41" s="1">
        <f t="shared" si="5"/>
        <v>101300</v>
      </c>
      <c r="J41" s="1">
        <f t="shared" si="6"/>
        <v>2.0124824921938581E-5</v>
      </c>
      <c r="K41" s="25">
        <v>47.594059405940598</v>
      </c>
      <c r="L41" s="1">
        <f t="shared" si="7"/>
        <v>4.7594059405940601E-5</v>
      </c>
      <c r="M41" s="1">
        <f t="shared" si="8"/>
        <v>4.7762865441819992E-3</v>
      </c>
      <c r="N41" s="52">
        <f t="shared" si="9"/>
        <v>2.0053698705234155E-7</v>
      </c>
      <c r="O41" s="26">
        <f t="shared" si="10"/>
        <v>2.032E-3</v>
      </c>
      <c r="P41" s="26">
        <v>4.5724343480153871E-11</v>
      </c>
      <c r="Q41" s="2">
        <v>0.05</v>
      </c>
      <c r="R41" s="2">
        <f t="shared" si="11"/>
        <v>105000</v>
      </c>
      <c r="S41" s="2">
        <f t="shared" si="1"/>
        <v>99303.845406601642</v>
      </c>
      <c r="T41" s="2">
        <f t="shared" si="12"/>
        <v>99303.845406601642</v>
      </c>
      <c r="U41" s="2">
        <f t="shared" si="13"/>
        <v>5.1398579432804297E-3</v>
      </c>
      <c r="V41" s="2">
        <v>0.08</v>
      </c>
      <c r="W41" s="2">
        <f t="shared" si="14"/>
        <v>108000</v>
      </c>
      <c r="X41" s="2">
        <f t="shared" si="15"/>
        <v>5.1401584158415847</v>
      </c>
      <c r="Y41" s="11">
        <f t="shared" si="16"/>
        <v>1.0380111434950801E-14</v>
      </c>
      <c r="Z41" s="11">
        <f t="shared" si="17"/>
        <v>6250903106.1273727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2"/>
        <v>2</v>
      </c>
      <c r="C42" s="1">
        <v>20</v>
      </c>
      <c r="D42" s="1">
        <f t="shared" si="0"/>
        <v>29.146000000000001</v>
      </c>
      <c r="E42" s="1">
        <f t="shared" si="3"/>
        <v>4.8576666666666667E-7</v>
      </c>
      <c r="F42" s="1">
        <v>21.1</v>
      </c>
      <c r="G42" s="1">
        <f t="shared" si="4"/>
        <v>294.10000000000002</v>
      </c>
      <c r="H42" s="1">
        <v>101.3</v>
      </c>
      <c r="I42" s="1">
        <f t="shared" si="5"/>
        <v>101300</v>
      </c>
      <c r="J42" s="1">
        <f t="shared" si="6"/>
        <v>2.0124824921938581E-5</v>
      </c>
      <c r="K42" s="25">
        <v>43.683168316831683</v>
      </c>
      <c r="L42" s="1">
        <f t="shared" si="7"/>
        <v>4.3683168316831686E-5</v>
      </c>
      <c r="M42" s="1">
        <f t="shared" si="8"/>
        <v>4.7762865441819992E-3</v>
      </c>
      <c r="N42" s="52">
        <f t="shared" si="9"/>
        <v>1.8405849529330786E-7</v>
      </c>
      <c r="O42" s="26">
        <f t="shared" si="10"/>
        <v>2.032E-3</v>
      </c>
      <c r="P42" s="26">
        <v>4.5724343480153871E-11</v>
      </c>
      <c r="Q42" s="2">
        <v>0.05</v>
      </c>
      <c r="R42" s="2">
        <f t="shared" si="11"/>
        <v>105000</v>
      </c>
      <c r="S42" s="2">
        <f t="shared" si="1"/>
        <v>99765.9188835573</v>
      </c>
      <c r="T42" s="2">
        <f t="shared" si="12"/>
        <v>99765.9188835573</v>
      </c>
      <c r="U42" s="2">
        <f t="shared" si="13"/>
        <v>5.1398579432804297E-3</v>
      </c>
      <c r="V42" s="2">
        <v>0.08</v>
      </c>
      <c r="W42" s="2">
        <f t="shared" si="14"/>
        <v>108000</v>
      </c>
      <c r="X42" s="2">
        <f t="shared" si="15"/>
        <v>4.7177821782178224</v>
      </c>
      <c r="Y42" s="11">
        <f t="shared" si="16"/>
        <v>9.4829904674080167E-15</v>
      </c>
      <c r="Z42" s="11">
        <f t="shared" si="17"/>
        <v>5710656859.4731083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2"/>
        <v>2.0499999999999998</v>
      </c>
      <c r="C43" s="1">
        <v>20</v>
      </c>
      <c r="D43" s="1">
        <f t="shared" si="0"/>
        <v>29.146000000000001</v>
      </c>
      <c r="E43" s="1">
        <f t="shared" si="3"/>
        <v>4.8576666666666667E-7</v>
      </c>
      <c r="F43" s="1">
        <v>21.1</v>
      </c>
      <c r="G43" s="1">
        <f t="shared" si="4"/>
        <v>294.10000000000002</v>
      </c>
      <c r="H43" s="1">
        <v>101.3</v>
      </c>
      <c r="I43" s="1">
        <f t="shared" si="5"/>
        <v>101300</v>
      </c>
      <c r="J43" s="1">
        <f t="shared" si="6"/>
        <v>2.0124824921938581E-5</v>
      </c>
      <c r="K43" s="25">
        <v>42.594059405940591</v>
      </c>
      <c r="L43" s="1">
        <f t="shared" si="7"/>
        <v>4.2594059405940588E-5</v>
      </c>
      <c r="M43" s="1">
        <f t="shared" si="8"/>
        <v>4.7762865441819992E-3</v>
      </c>
      <c r="N43" s="52">
        <f t="shared" si="9"/>
        <v>1.7946954822117185E-7</v>
      </c>
      <c r="O43" s="26">
        <f t="shared" si="10"/>
        <v>2.032E-3</v>
      </c>
      <c r="P43" s="26">
        <v>4.5724343480153871E-11</v>
      </c>
      <c r="Q43" s="2">
        <v>0.05</v>
      </c>
      <c r="R43" s="2">
        <f t="shared" si="11"/>
        <v>105000</v>
      </c>
      <c r="S43" s="2">
        <f t="shared" si="1"/>
        <v>99894.788504691227</v>
      </c>
      <c r="T43" s="2">
        <f t="shared" si="12"/>
        <v>99894.788504691227</v>
      </c>
      <c r="U43" s="2">
        <f t="shared" si="13"/>
        <v>5.1398579432804297E-3</v>
      </c>
      <c r="V43" s="2">
        <v>0.08</v>
      </c>
      <c r="W43" s="2">
        <f t="shared" si="14"/>
        <v>108000</v>
      </c>
      <c r="X43" s="2">
        <f t="shared" si="15"/>
        <v>4.6001584158415838</v>
      </c>
      <c r="Y43" s="11">
        <f t="shared" si="16"/>
        <v>9.2346205195230832E-15</v>
      </c>
      <c r="Z43" s="11">
        <f t="shared" si="17"/>
        <v>5561088476.856801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2"/>
        <v>2.1</v>
      </c>
      <c r="C44" s="1">
        <v>20</v>
      </c>
      <c r="D44" s="1">
        <f t="shared" si="0"/>
        <v>29.146000000000001</v>
      </c>
      <c r="E44" s="1">
        <f t="shared" si="3"/>
        <v>4.8576666666666667E-7</v>
      </c>
      <c r="F44" s="1">
        <v>21.1</v>
      </c>
      <c r="G44" s="1">
        <f t="shared" si="4"/>
        <v>294.10000000000002</v>
      </c>
      <c r="H44" s="1">
        <v>101.3</v>
      </c>
      <c r="I44" s="1">
        <f t="shared" si="5"/>
        <v>101300</v>
      </c>
      <c r="J44" s="1">
        <f t="shared" si="6"/>
        <v>2.0124824921938581E-5</v>
      </c>
      <c r="K44" s="25">
        <v>46.504950495049506</v>
      </c>
      <c r="L44" s="1">
        <f t="shared" si="7"/>
        <v>4.6504950495049503E-5</v>
      </c>
      <c r="M44" s="1">
        <f t="shared" si="8"/>
        <v>4.7762865441819992E-3</v>
      </c>
      <c r="N44" s="52">
        <f t="shared" si="9"/>
        <v>1.9594803998020554E-7</v>
      </c>
      <c r="O44" s="26">
        <f t="shared" si="10"/>
        <v>2.032E-3</v>
      </c>
      <c r="P44" s="26">
        <v>4.5724343480153871E-11</v>
      </c>
      <c r="Q44" s="2">
        <v>0.05</v>
      </c>
      <c r="R44" s="2">
        <f t="shared" si="11"/>
        <v>105000</v>
      </c>
      <c r="S44" s="2">
        <f t="shared" si="1"/>
        <v>99432.416343051329</v>
      </c>
      <c r="T44" s="2">
        <f t="shared" si="12"/>
        <v>99432.416343051329</v>
      </c>
      <c r="U44" s="2">
        <f t="shared" si="13"/>
        <v>5.1398579432804297E-3</v>
      </c>
      <c r="V44" s="2">
        <v>0.08</v>
      </c>
      <c r="W44" s="2">
        <f t="shared" si="14"/>
        <v>108000</v>
      </c>
      <c r="X44" s="2">
        <f t="shared" si="15"/>
        <v>5.0225346534653461</v>
      </c>
      <c r="Y44" s="11">
        <f t="shared" si="16"/>
        <v>1.0129452771369181E-14</v>
      </c>
      <c r="Z44" s="11">
        <f t="shared" si="17"/>
        <v>6099956458.9185209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2"/>
        <v>2.15</v>
      </c>
      <c r="C45" s="1">
        <v>20</v>
      </c>
      <c r="D45" s="1">
        <f t="shared" si="0"/>
        <v>29.146000000000001</v>
      </c>
      <c r="E45" s="1">
        <f t="shared" si="3"/>
        <v>4.8576666666666667E-7</v>
      </c>
      <c r="F45" s="1">
        <v>21.1</v>
      </c>
      <c r="G45" s="1">
        <f t="shared" si="4"/>
        <v>294.10000000000002</v>
      </c>
      <c r="H45" s="1">
        <v>101.3</v>
      </c>
      <c r="I45" s="1">
        <f t="shared" si="5"/>
        <v>101300</v>
      </c>
      <c r="J45" s="1">
        <f t="shared" si="6"/>
        <v>2.0124824921938581E-5</v>
      </c>
      <c r="K45" s="25">
        <v>40.638613861386141</v>
      </c>
      <c r="L45" s="1">
        <f t="shared" si="7"/>
        <v>4.0638613861386141E-5</v>
      </c>
      <c r="M45" s="1">
        <f t="shared" si="8"/>
        <v>4.7762865441819992E-3</v>
      </c>
      <c r="N45" s="52">
        <f t="shared" si="9"/>
        <v>1.7123030234165504E-7</v>
      </c>
      <c r="O45" s="26">
        <f t="shared" si="10"/>
        <v>2.032E-3</v>
      </c>
      <c r="P45" s="26">
        <v>4.5724343480153871E-11</v>
      </c>
      <c r="Q45" s="2">
        <v>0.05</v>
      </c>
      <c r="R45" s="2">
        <f t="shared" si="11"/>
        <v>105000</v>
      </c>
      <c r="S45" s="2">
        <f t="shared" si="1"/>
        <v>100126.37679159163</v>
      </c>
      <c r="T45" s="2">
        <f t="shared" si="12"/>
        <v>100126.37679159163</v>
      </c>
      <c r="U45" s="2">
        <f t="shared" si="13"/>
        <v>5.1398579432804297E-3</v>
      </c>
      <c r="V45" s="2">
        <v>0.08</v>
      </c>
      <c r="W45" s="2">
        <f t="shared" si="14"/>
        <v>108000</v>
      </c>
      <c r="X45" s="2">
        <f t="shared" si="15"/>
        <v>4.3889702970297035</v>
      </c>
      <c r="Y45" s="11">
        <f t="shared" si="16"/>
        <v>8.7902712358441622E-15</v>
      </c>
      <c r="Z45" s="11">
        <f t="shared" si="17"/>
        <v>5293501338.2253551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2"/>
        <v>2.2000000000000002</v>
      </c>
      <c r="C46" s="1">
        <v>20</v>
      </c>
      <c r="D46" s="1">
        <f t="shared" si="0"/>
        <v>29.146000000000001</v>
      </c>
      <c r="E46" s="1">
        <f t="shared" si="3"/>
        <v>4.8576666666666667E-7</v>
      </c>
      <c r="F46" s="1">
        <v>21.1</v>
      </c>
      <c r="G46" s="1">
        <f t="shared" si="4"/>
        <v>294.10000000000002</v>
      </c>
      <c r="H46" s="1">
        <v>101.3</v>
      </c>
      <c r="I46" s="1">
        <f t="shared" si="5"/>
        <v>101300</v>
      </c>
      <c r="J46" s="1">
        <f t="shared" si="6"/>
        <v>2.0124824921938581E-5</v>
      </c>
      <c r="K46" s="25">
        <v>41.10891089108911</v>
      </c>
      <c r="L46" s="1">
        <f t="shared" si="7"/>
        <v>4.1108910891089112E-5</v>
      </c>
      <c r="M46" s="1">
        <f t="shared" si="8"/>
        <v>4.7762865441819992E-3</v>
      </c>
      <c r="N46" s="52">
        <f t="shared" si="9"/>
        <v>1.7321189312280467E-7</v>
      </c>
      <c r="O46" s="26">
        <f t="shared" si="10"/>
        <v>2.032E-3</v>
      </c>
      <c r="P46" s="26">
        <v>4.5724343480153871E-11</v>
      </c>
      <c r="Q46" s="2">
        <v>0.05</v>
      </c>
      <c r="R46" s="2">
        <f t="shared" si="11"/>
        <v>105000</v>
      </c>
      <c r="S46" s="2">
        <f t="shared" si="1"/>
        <v>100070.65385344901</v>
      </c>
      <c r="T46" s="2">
        <f t="shared" si="12"/>
        <v>100070.65385344901</v>
      </c>
      <c r="U46" s="2">
        <f t="shared" si="13"/>
        <v>5.1398579432804297E-3</v>
      </c>
      <c r="V46" s="2">
        <v>0.08</v>
      </c>
      <c r="W46" s="2">
        <f t="shared" si="14"/>
        <v>108000</v>
      </c>
      <c r="X46" s="2">
        <f t="shared" si="15"/>
        <v>4.4397623762376242</v>
      </c>
      <c r="Y46" s="11">
        <f t="shared" si="16"/>
        <v>8.8969542100155622E-15</v>
      </c>
      <c r="Z46" s="11">
        <f t="shared" si="17"/>
        <v>5357745825.2713718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2"/>
        <v>2.25</v>
      </c>
      <c r="C47" s="1">
        <v>20</v>
      </c>
      <c r="D47" s="1">
        <f t="shared" si="0"/>
        <v>29.146000000000001</v>
      </c>
      <c r="E47" s="1">
        <f t="shared" si="3"/>
        <v>4.8576666666666667E-7</v>
      </c>
      <c r="F47" s="1">
        <v>21.1</v>
      </c>
      <c r="G47" s="1">
        <f t="shared" si="4"/>
        <v>294.10000000000002</v>
      </c>
      <c r="H47" s="1">
        <v>101.3</v>
      </c>
      <c r="I47" s="1">
        <f t="shared" si="5"/>
        <v>101300</v>
      </c>
      <c r="J47" s="1">
        <f t="shared" si="6"/>
        <v>2.0124824921938581E-5</v>
      </c>
      <c r="K47" s="25">
        <v>41.306930693069312</v>
      </c>
      <c r="L47" s="1">
        <f t="shared" si="7"/>
        <v>4.1306930693069311E-5</v>
      </c>
      <c r="M47" s="1">
        <f t="shared" si="8"/>
        <v>4.7762865441819992E-3</v>
      </c>
      <c r="N47" s="52">
        <f t="shared" si="9"/>
        <v>1.740462471359203E-7</v>
      </c>
      <c r="O47" s="26">
        <f t="shared" si="10"/>
        <v>2.032E-3</v>
      </c>
      <c r="P47" s="26">
        <v>4.5724343480153871E-11</v>
      </c>
      <c r="Q47" s="2">
        <v>0.05</v>
      </c>
      <c r="R47" s="2">
        <f t="shared" si="11"/>
        <v>105000</v>
      </c>
      <c r="S47" s="2">
        <f t="shared" si="1"/>
        <v>100047.19620380051</v>
      </c>
      <c r="T47" s="2">
        <f t="shared" si="12"/>
        <v>100047.19620380051</v>
      </c>
      <c r="U47" s="2">
        <f t="shared" si="13"/>
        <v>5.1398579432804297E-3</v>
      </c>
      <c r="V47" s="2">
        <v>0.08</v>
      </c>
      <c r="W47" s="2">
        <f t="shared" si="14"/>
        <v>108000</v>
      </c>
      <c r="X47" s="2">
        <f t="shared" si="15"/>
        <v>4.4611485148514856</v>
      </c>
      <c r="Y47" s="11">
        <f t="shared" si="16"/>
        <v>8.9419085288436921E-15</v>
      </c>
      <c r="Z47" s="11">
        <f t="shared" si="17"/>
        <v>5384817316.0696716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2"/>
        <v>2.2999999999999998</v>
      </c>
      <c r="C48" s="1">
        <v>20</v>
      </c>
      <c r="D48" s="1">
        <f t="shared" si="0"/>
        <v>29.146000000000001</v>
      </c>
      <c r="E48" s="1">
        <f t="shared" si="3"/>
        <v>4.8576666666666667E-7</v>
      </c>
      <c r="F48" s="1">
        <v>21.1</v>
      </c>
      <c r="G48" s="1">
        <f t="shared" si="4"/>
        <v>294.10000000000002</v>
      </c>
      <c r="H48" s="1">
        <v>101.3</v>
      </c>
      <c r="I48" s="1">
        <f t="shared" si="5"/>
        <v>101300</v>
      </c>
      <c r="J48" s="1">
        <f t="shared" si="6"/>
        <v>2.0124824921938581E-5</v>
      </c>
      <c r="K48" s="25">
        <v>36.876237623762378</v>
      </c>
      <c r="L48" s="1">
        <f t="shared" si="7"/>
        <v>3.687623762376238E-5</v>
      </c>
      <c r="M48" s="1">
        <f t="shared" si="8"/>
        <v>4.7762865441819992E-3</v>
      </c>
      <c r="N48" s="52">
        <f t="shared" si="9"/>
        <v>1.5537757609245809E-7</v>
      </c>
      <c r="O48" s="26">
        <f t="shared" si="10"/>
        <v>2.032E-3</v>
      </c>
      <c r="P48" s="26">
        <v>4.5724343480153871E-11</v>
      </c>
      <c r="Q48" s="2">
        <v>0.05</v>
      </c>
      <c r="R48" s="2">
        <f t="shared" si="11"/>
        <v>105000</v>
      </c>
      <c r="S48" s="2">
        <f t="shared" si="1"/>
        <v>100572.71865492541</v>
      </c>
      <c r="T48" s="2">
        <f t="shared" si="12"/>
        <v>100572.71865492541</v>
      </c>
      <c r="U48" s="2">
        <f t="shared" si="13"/>
        <v>5.1398579432804297E-3</v>
      </c>
      <c r="V48" s="2">
        <v>0.08</v>
      </c>
      <c r="W48" s="2">
        <f t="shared" si="14"/>
        <v>108000</v>
      </c>
      <c r="X48" s="2">
        <f t="shared" si="15"/>
        <v>3.9826336633663368</v>
      </c>
      <c r="Y48" s="11">
        <f t="shared" si="16"/>
        <v>7.9410232273142797E-15</v>
      </c>
      <c r="Z48" s="11">
        <f t="shared" si="17"/>
        <v>4782084187.4886599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2"/>
        <v>2.35</v>
      </c>
      <c r="C49" s="1">
        <v>20</v>
      </c>
      <c r="D49" s="1">
        <f t="shared" si="0"/>
        <v>29.146000000000001</v>
      </c>
      <c r="E49" s="1">
        <f t="shared" si="3"/>
        <v>4.8576666666666667E-7</v>
      </c>
      <c r="F49" s="1">
        <v>21.1</v>
      </c>
      <c r="G49" s="1">
        <f t="shared" si="4"/>
        <v>294.10000000000002</v>
      </c>
      <c r="H49" s="1">
        <v>101.3</v>
      </c>
      <c r="I49" s="1">
        <f t="shared" si="5"/>
        <v>101300</v>
      </c>
      <c r="J49" s="1">
        <f t="shared" si="6"/>
        <v>2.0124824921938581E-5</v>
      </c>
      <c r="K49" s="25">
        <v>46.579207920792079</v>
      </c>
      <c r="L49" s="1">
        <f t="shared" si="7"/>
        <v>4.6579207920792077E-5</v>
      </c>
      <c r="M49" s="1">
        <f t="shared" si="8"/>
        <v>4.7762865441819992E-3</v>
      </c>
      <c r="N49" s="52">
        <f t="shared" si="9"/>
        <v>1.962609227351239E-7</v>
      </c>
      <c r="O49" s="26">
        <f t="shared" si="10"/>
        <v>2.032E-3</v>
      </c>
      <c r="P49" s="26">
        <v>4.5724343480153871E-11</v>
      </c>
      <c r="Q49" s="2">
        <v>0.05</v>
      </c>
      <c r="R49" s="2">
        <f t="shared" si="11"/>
        <v>105000</v>
      </c>
      <c r="S49" s="2">
        <f t="shared" si="1"/>
        <v>99423.647500562074</v>
      </c>
      <c r="T49" s="2">
        <f t="shared" si="12"/>
        <v>99423.647500562074</v>
      </c>
      <c r="U49" s="2">
        <f t="shared" si="13"/>
        <v>5.1398579432804297E-3</v>
      </c>
      <c r="V49" s="2">
        <v>0.08</v>
      </c>
      <c r="W49" s="2">
        <f t="shared" si="14"/>
        <v>108000</v>
      </c>
      <c r="X49" s="2">
        <f t="shared" si="15"/>
        <v>5.0305544554455439</v>
      </c>
      <c r="Y49" s="11">
        <f t="shared" si="16"/>
        <v>1.0146522790822002E-14</v>
      </c>
      <c r="Z49" s="11">
        <f t="shared" si="17"/>
        <v>6110236024.6330099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2"/>
        <v>2.4</v>
      </c>
      <c r="C50" s="1">
        <v>20</v>
      </c>
      <c r="D50" s="1">
        <f t="shared" si="0"/>
        <v>29.146000000000001</v>
      </c>
      <c r="E50" s="1">
        <f t="shared" si="3"/>
        <v>4.8576666666666667E-7</v>
      </c>
      <c r="F50" s="1">
        <v>21.1</v>
      </c>
      <c r="G50" s="1">
        <f t="shared" si="4"/>
        <v>294.10000000000002</v>
      </c>
      <c r="H50" s="1">
        <v>101.3</v>
      </c>
      <c r="I50" s="1">
        <f t="shared" si="5"/>
        <v>101300</v>
      </c>
      <c r="J50" s="1">
        <f t="shared" si="6"/>
        <v>2.0124824921938581E-5</v>
      </c>
      <c r="K50" s="25">
        <v>42.569306930693074</v>
      </c>
      <c r="L50" s="1">
        <f t="shared" si="7"/>
        <v>4.2569306930693072E-5</v>
      </c>
      <c r="M50" s="1">
        <f t="shared" si="8"/>
        <v>4.7762865441819992E-3</v>
      </c>
      <c r="N50" s="52">
        <f t="shared" si="9"/>
        <v>1.7936525396953242E-7</v>
      </c>
      <c r="O50" s="26">
        <f t="shared" si="10"/>
        <v>2.032E-3</v>
      </c>
      <c r="P50" s="26">
        <v>4.5724343480153871E-11</v>
      </c>
      <c r="Q50" s="2">
        <v>0.05</v>
      </c>
      <c r="R50" s="2">
        <f t="shared" si="11"/>
        <v>105000</v>
      </c>
      <c r="S50" s="2">
        <f t="shared" si="1"/>
        <v>99897.718326403585</v>
      </c>
      <c r="T50" s="2">
        <f t="shared" si="12"/>
        <v>99897.718326403585</v>
      </c>
      <c r="U50" s="2">
        <f t="shared" si="13"/>
        <v>5.1398579432804297E-3</v>
      </c>
      <c r="V50" s="2">
        <v>0.08</v>
      </c>
      <c r="W50" s="2">
        <f t="shared" si="14"/>
        <v>108000</v>
      </c>
      <c r="X50" s="2">
        <f t="shared" si="15"/>
        <v>4.5974851485148518</v>
      </c>
      <c r="Y50" s="11">
        <f t="shared" si="16"/>
        <v>9.2289831131501746E-15</v>
      </c>
      <c r="Z50" s="11">
        <f t="shared" si="17"/>
        <v>5557693630.7390356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2"/>
        <v>2.4500000000000002</v>
      </c>
      <c r="C51" s="1">
        <v>20</v>
      </c>
      <c r="D51" s="1">
        <f t="shared" si="0"/>
        <v>29.146000000000001</v>
      </c>
      <c r="E51" s="1">
        <f t="shared" si="3"/>
        <v>4.8576666666666667E-7</v>
      </c>
      <c r="F51" s="1">
        <v>21.1</v>
      </c>
      <c r="G51" s="1">
        <f t="shared" si="4"/>
        <v>294.10000000000002</v>
      </c>
      <c r="H51" s="1">
        <v>101.3</v>
      </c>
      <c r="I51" s="1">
        <f t="shared" si="5"/>
        <v>101300</v>
      </c>
      <c r="J51" s="1">
        <f t="shared" si="6"/>
        <v>2.0124824921938581E-5</v>
      </c>
      <c r="K51" s="25">
        <v>46.975247524752476</v>
      </c>
      <c r="L51" s="1">
        <f t="shared" si="7"/>
        <v>4.6975247524752475E-5</v>
      </c>
      <c r="M51" s="1">
        <f t="shared" si="8"/>
        <v>4.7762865441819992E-3</v>
      </c>
      <c r="N51" s="52">
        <f t="shared" si="9"/>
        <v>1.9792963076135515E-7</v>
      </c>
      <c r="O51" s="26">
        <f t="shared" si="10"/>
        <v>2.032E-3</v>
      </c>
      <c r="P51" s="26">
        <v>4.5724343480153871E-11</v>
      </c>
      <c r="Q51" s="2">
        <v>0.05</v>
      </c>
      <c r="R51" s="2">
        <f t="shared" si="11"/>
        <v>105000</v>
      </c>
      <c r="S51" s="2">
        <f t="shared" si="1"/>
        <v>99376.886871124603</v>
      </c>
      <c r="T51" s="2">
        <f t="shared" si="12"/>
        <v>99376.886871124603</v>
      </c>
      <c r="U51" s="2">
        <f t="shared" si="13"/>
        <v>5.1398579432804297E-3</v>
      </c>
      <c r="V51" s="2">
        <v>0.08</v>
      </c>
      <c r="W51" s="2">
        <f t="shared" si="14"/>
        <v>108000</v>
      </c>
      <c r="X51" s="2">
        <f t="shared" si="15"/>
        <v>5.0733267326732676</v>
      </c>
      <c r="Y51" s="11">
        <f t="shared" si="16"/>
        <v>1.0237613147966211E-14</v>
      </c>
      <c r="Z51" s="11">
        <f t="shared" si="17"/>
        <v>6165090637.7052526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2"/>
        <v>2.5</v>
      </c>
      <c r="C52" s="1">
        <v>20</v>
      </c>
      <c r="D52" s="1">
        <f t="shared" si="0"/>
        <v>29.146000000000001</v>
      </c>
      <c r="E52" s="1">
        <f t="shared" si="3"/>
        <v>4.8576666666666667E-7</v>
      </c>
      <c r="F52" s="1">
        <v>21.1</v>
      </c>
      <c r="G52" s="1">
        <f t="shared" si="4"/>
        <v>294.10000000000002</v>
      </c>
      <c r="H52" s="1">
        <v>101.3</v>
      </c>
      <c r="I52" s="1">
        <f t="shared" si="5"/>
        <v>101300</v>
      </c>
      <c r="J52" s="1">
        <f t="shared" si="6"/>
        <v>2.0124824921938581E-5</v>
      </c>
      <c r="K52" s="25">
        <v>45.490099009900995</v>
      </c>
      <c r="L52" s="1">
        <f t="shared" si="7"/>
        <v>4.5490099009900993E-5</v>
      </c>
      <c r="M52" s="1">
        <f t="shared" si="8"/>
        <v>4.7762865441819992E-3</v>
      </c>
      <c r="N52" s="52">
        <f t="shared" si="9"/>
        <v>1.9167197566298797E-7</v>
      </c>
      <c r="O52" s="26">
        <f t="shared" si="10"/>
        <v>2.032E-3</v>
      </c>
      <c r="P52" s="26">
        <v>4.5724343480153871E-11</v>
      </c>
      <c r="Q52" s="2">
        <v>0.05</v>
      </c>
      <c r="R52" s="2">
        <f t="shared" si="11"/>
        <v>105000</v>
      </c>
      <c r="S52" s="2">
        <f t="shared" si="1"/>
        <v>99552.295943796868</v>
      </c>
      <c r="T52" s="2">
        <f t="shared" si="12"/>
        <v>99552.295943796868</v>
      </c>
      <c r="U52" s="2">
        <f t="shared" si="13"/>
        <v>5.1398579432804297E-3</v>
      </c>
      <c r="V52" s="2">
        <v>0.08</v>
      </c>
      <c r="W52" s="2">
        <f t="shared" si="14"/>
        <v>108000</v>
      </c>
      <c r="X52" s="2">
        <f t="shared" si="15"/>
        <v>4.9129306930693071</v>
      </c>
      <c r="Y52" s="11">
        <f t="shared" si="16"/>
        <v>9.8964603266966929E-15</v>
      </c>
      <c r="Z52" s="11">
        <f t="shared" si="17"/>
        <v>5959648408.7367487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2"/>
        <v>2.5499999999999998</v>
      </c>
      <c r="C53" s="1">
        <v>20</v>
      </c>
      <c r="D53" s="1">
        <f t="shared" si="0"/>
        <v>29.146000000000001</v>
      </c>
      <c r="E53" s="1">
        <f t="shared" si="3"/>
        <v>4.8576666666666667E-7</v>
      </c>
      <c r="F53" s="1">
        <v>21.1</v>
      </c>
      <c r="G53" s="1">
        <f t="shared" si="4"/>
        <v>294.10000000000002</v>
      </c>
      <c r="H53" s="1">
        <v>101.3</v>
      </c>
      <c r="I53" s="1">
        <f t="shared" si="5"/>
        <v>101300</v>
      </c>
      <c r="J53" s="1">
        <f t="shared" si="6"/>
        <v>2.0124824921938581E-5</v>
      </c>
      <c r="K53" s="25">
        <v>45.267326732673268</v>
      </c>
      <c r="L53" s="1">
        <f t="shared" si="7"/>
        <v>4.5267326732673271E-5</v>
      </c>
      <c r="M53" s="1">
        <f t="shared" si="8"/>
        <v>4.7762865441819992E-3</v>
      </c>
      <c r="N53" s="52">
        <f t="shared" si="9"/>
        <v>1.907333273982329E-7</v>
      </c>
      <c r="O53" s="26">
        <f t="shared" si="10"/>
        <v>2.032E-3</v>
      </c>
      <c r="P53" s="26">
        <v>4.5724343480153871E-11</v>
      </c>
      <c r="Q53" s="2">
        <v>0.05</v>
      </c>
      <c r="R53" s="2">
        <f t="shared" si="11"/>
        <v>105000</v>
      </c>
      <c r="S53" s="2">
        <f t="shared" si="1"/>
        <v>99578.620644973096</v>
      </c>
      <c r="T53" s="2">
        <f t="shared" si="12"/>
        <v>99578.620644973096</v>
      </c>
      <c r="U53" s="2">
        <f t="shared" si="13"/>
        <v>5.1398579432804297E-3</v>
      </c>
      <c r="V53" s="2">
        <v>0.08</v>
      </c>
      <c r="W53" s="2">
        <f t="shared" si="14"/>
        <v>108000</v>
      </c>
      <c r="X53" s="2">
        <f t="shared" si="15"/>
        <v>4.8888712871287137</v>
      </c>
      <c r="Y53" s="11">
        <f t="shared" si="16"/>
        <v>9.8453898474375152E-15</v>
      </c>
      <c r="Z53" s="11">
        <f t="shared" si="17"/>
        <v>5928893766.1268721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2"/>
        <v>2.6</v>
      </c>
      <c r="C54" s="1">
        <v>20</v>
      </c>
      <c r="D54" s="1">
        <f t="shared" si="0"/>
        <v>29.146000000000001</v>
      </c>
      <c r="E54" s="1">
        <f t="shared" si="3"/>
        <v>4.8576666666666667E-7</v>
      </c>
      <c r="F54" s="1">
        <v>21.1</v>
      </c>
      <c r="G54" s="1">
        <f t="shared" si="4"/>
        <v>294.10000000000002</v>
      </c>
      <c r="H54" s="1">
        <v>101.3</v>
      </c>
      <c r="I54" s="1">
        <f t="shared" si="5"/>
        <v>101300</v>
      </c>
      <c r="J54" s="1">
        <f t="shared" si="6"/>
        <v>2.0124824921938581E-5</v>
      </c>
      <c r="K54" s="25">
        <v>42.470297029702969</v>
      </c>
      <c r="L54" s="1">
        <f t="shared" si="7"/>
        <v>4.2470297029702969E-5</v>
      </c>
      <c r="M54" s="1">
        <f t="shared" si="8"/>
        <v>4.7762865441819992E-3</v>
      </c>
      <c r="N54" s="52">
        <f t="shared" si="9"/>
        <v>1.7894807696297461E-7</v>
      </c>
      <c r="O54" s="26">
        <f t="shared" si="10"/>
        <v>2.032E-3</v>
      </c>
      <c r="P54" s="26">
        <v>4.5724343480153871E-11</v>
      </c>
      <c r="Q54" s="2">
        <v>0.05</v>
      </c>
      <c r="R54" s="2">
        <f t="shared" si="11"/>
        <v>105000</v>
      </c>
      <c r="S54" s="2">
        <f t="shared" si="1"/>
        <v>99909.438042891677</v>
      </c>
      <c r="T54" s="2">
        <f t="shared" si="12"/>
        <v>99909.438042891677</v>
      </c>
      <c r="U54" s="2">
        <f t="shared" si="13"/>
        <v>5.1398579432804297E-3</v>
      </c>
      <c r="V54" s="2">
        <v>0.08</v>
      </c>
      <c r="W54" s="2">
        <f t="shared" si="14"/>
        <v>108000</v>
      </c>
      <c r="X54" s="2">
        <f t="shared" si="15"/>
        <v>4.5867920792079211</v>
      </c>
      <c r="Y54" s="11">
        <f t="shared" si="16"/>
        <v>9.2064367575485756E-15</v>
      </c>
      <c r="Z54" s="11">
        <f t="shared" si="17"/>
        <v>5544116215.3957529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2"/>
        <v>2.65</v>
      </c>
      <c r="C55" s="1">
        <v>20</v>
      </c>
      <c r="D55" s="1">
        <f t="shared" si="0"/>
        <v>29.146000000000001</v>
      </c>
      <c r="E55" s="1">
        <f t="shared" si="3"/>
        <v>4.8576666666666667E-7</v>
      </c>
      <c r="F55" s="1">
        <v>21.1</v>
      </c>
      <c r="G55" s="1">
        <f t="shared" si="4"/>
        <v>294.10000000000002</v>
      </c>
      <c r="H55" s="1">
        <v>101.3</v>
      </c>
      <c r="I55" s="1">
        <f t="shared" si="5"/>
        <v>101300</v>
      </c>
      <c r="J55" s="1">
        <f t="shared" si="6"/>
        <v>2.0124824921938581E-5</v>
      </c>
      <c r="K55" s="25">
        <v>49.178217821782184</v>
      </c>
      <c r="L55" s="1">
        <f t="shared" si="7"/>
        <v>4.9178217821782186E-5</v>
      </c>
      <c r="M55" s="1">
        <f t="shared" si="8"/>
        <v>4.7762865441819992E-3</v>
      </c>
      <c r="N55" s="52">
        <f t="shared" si="9"/>
        <v>2.0721181915726662E-7</v>
      </c>
      <c r="O55" s="26">
        <f t="shared" si="10"/>
        <v>2.032E-3</v>
      </c>
      <c r="P55" s="26">
        <v>4.5724343480153871E-11</v>
      </c>
      <c r="Q55" s="2">
        <v>0.05</v>
      </c>
      <c r="R55" s="2">
        <f t="shared" si="11"/>
        <v>105000</v>
      </c>
      <c r="S55" s="2">
        <f t="shared" si="1"/>
        <v>99116.981618467238</v>
      </c>
      <c r="T55" s="2">
        <f t="shared" si="12"/>
        <v>99116.981618467238</v>
      </c>
      <c r="U55" s="2">
        <f t="shared" si="13"/>
        <v>5.1398579432804297E-3</v>
      </c>
      <c r="V55" s="2">
        <v>0.08</v>
      </c>
      <c r="W55" s="2">
        <f t="shared" si="14"/>
        <v>108000</v>
      </c>
      <c r="X55" s="2">
        <f t="shared" si="15"/>
        <v>5.311247524752476</v>
      </c>
      <c r="Y55" s="11">
        <f t="shared" si="16"/>
        <v>1.0745851731193429E-14</v>
      </c>
      <c r="Z55" s="11">
        <f t="shared" si="17"/>
        <v>6471151912.524683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2"/>
        <v>2.7</v>
      </c>
      <c r="C56" s="1">
        <v>20</v>
      </c>
      <c r="D56" s="1">
        <f t="shared" si="0"/>
        <v>29.146000000000001</v>
      </c>
      <c r="E56" s="1">
        <f t="shared" si="3"/>
        <v>4.8576666666666667E-7</v>
      </c>
      <c r="F56" s="1">
        <v>21.1</v>
      </c>
      <c r="G56" s="1">
        <f t="shared" si="4"/>
        <v>294.10000000000002</v>
      </c>
      <c r="H56" s="1">
        <v>101.3</v>
      </c>
      <c r="I56" s="1">
        <f t="shared" si="5"/>
        <v>101300</v>
      </c>
      <c r="J56" s="1">
        <f t="shared" si="6"/>
        <v>2.0124824921938581E-5</v>
      </c>
      <c r="K56" s="25">
        <v>47.816831683168317</v>
      </c>
      <c r="L56" s="1">
        <f t="shared" si="7"/>
        <v>4.7816831683168316E-5</v>
      </c>
      <c r="M56" s="1">
        <f t="shared" si="8"/>
        <v>4.7762865441819992E-3</v>
      </c>
      <c r="N56" s="52">
        <f t="shared" si="9"/>
        <v>2.014756353170966E-7</v>
      </c>
      <c r="O56" s="26">
        <f t="shared" si="10"/>
        <v>2.032E-3</v>
      </c>
      <c r="P56" s="26">
        <v>4.5724343480153871E-11</v>
      </c>
      <c r="Q56" s="2">
        <v>0.05</v>
      </c>
      <c r="R56" s="2">
        <f t="shared" si="11"/>
        <v>105000</v>
      </c>
      <c r="S56" s="2">
        <f t="shared" si="1"/>
        <v>99277.5570528424</v>
      </c>
      <c r="T56" s="2">
        <f t="shared" si="12"/>
        <v>99277.5570528424</v>
      </c>
      <c r="U56" s="2">
        <f t="shared" si="13"/>
        <v>5.1398579432804297E-3</v>
      </c>
      <c r="V56" s="2">
        <v>0.08</v>
      </c>
      <c r="W56" s="2">
        <f t="shared" si="14"/>
        <v>108000</v>
      </c>
      <c r="X56" s="2">
        <f t="shared" si="15"/>
        <v>5.1642178217821781</v>
      </c>
      <c r="Y56" s="11">
        <f t="shared" si="16"/>
        <v>1.0431461506957188E-14</v>
      </c>
      <c r="Z56" s="11">
        <f t="shared" si="17"/>
        <v>6281826119.4896193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2"/>
        <v>2.75</v>
      </c>
      <c r="C57" s="1">
        <v>20</v>
      </c>
      <c r="D57" s="1">
        <f t="shared" si="0"/>
        <v>29.146000000000001</v>
      </c>
      <c r="E57" s="1">
        <f t="shared" si="3"/>
        <v>4.8576666666666667E-7</v>
      </c>
      <c r="F57" s="1">
        <v>21.1</v>
      </c>
      <c r="G57" s="1">
        <f t="shared" si="4"/>
        <v>294.10000000000002</v>
      </c>
      <c r="H57" s="1">
        <v>101.3</v>
      </c>
      <c r="I57" s="1">
        <f t="shared" si="5"/>
        <v>101300</v>
      </c>
      <c r="J57" s="1">
        <f t="shared" si="6"/>
        <v>2.0124824921938581E-5</v>
      </c>
      <c r="K57" s="25">
        <v>50.118811881188122</v>
      </c>
      <c r="L57" s="1">
        <f t="shared" si="7"/>
        <v>5.0118811881188123E-5</v>
      </c>
      <c r="M57" s="1">
        <f t="shared" si="8"/>
        <v>4.7762865441819992E-3</v>
      </c>
      <c r="N57" s="52">
        <f t="shared" si="9"/>
        <v>2.111750007195658E-7</v>
      </c>
      <c r="O57" s="26">
        <f t="shared" si="10"/>
        <v>2.032E-3</v>
      </c>
      <c r="P57" s="26">
        <v>4.5724343480153871E-11</v>
      </c>
      <c r="Q57" s="2">
        <v>0.05</v>
      </c>
      <c r="R57" s="2">
        <f t="shared" si="11"/>
        <v>105000</v>
      </c>
      <c r="S57" s="2">
        <f t="shared" si="1"/>
        <v>99006.114508203493</v>
      </c>
      <c r="T57" s="2">
        <f t="shared" si="12"/>
        <v>99006.114508203493</v>
      </c>
      <c r="U57" s="2">
        <f t="shared" si="13"/>
        <v>5.1398579432804297E-3</v>
      </c>
      <c r="V57" s="2">
        <v>0.08</v>
      </c>
      <c r="W57" s="2">
        <f t="shared" si="14"/>
        <v>108000</v>
      </c>
      <c r="X57" s="2">
        <f t="shared" si="15"/>
        <v>5.4128316831683172</v>
      </c>
      <c r="Y57" s="11">
        <f t="shared" si="16"/>
        <v>1.0963654665976309E-14</v>
      </c>
      <c r="Z57" s="11">
        <f t="shared" si="17"/>
        <v>6602312839.850934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2"/>
        <v>2.8</v>
      </c>
      <c r="C58" s="1">
        <v>20</v>
      </c>
      <c r="D58" s="1">
        <f t="shared" si="0"/>
        <v>29.146000000000001</v>
      </c>
      <c r="E58" s="1">
        <f t="shared" si="3"/>
        <v>4.8576666666666667E-7</v>
      </c>
      <c r="F58" s="1">
        <v>21.1</v>
      </c>
      <c r="G58" s="1">
        <f t="shared" si="4"/>
        <v>294.10000000000002</v>
      </c>
      <c r="H58" s="1">
        <v>101.3</v>
      </c>
      <c r="I58" s="1">
        <f t="shared" si="5"/>
        <v>101300</v>
      </c>
      <c r="J58" s="1">
        <f t="shared" si="6"/>
        <v>2.0124824921938581E-5</v>
      </c>
      <c r="K58" s="25">
        <v>38.460396039603964</v>
      </c>
      <c r="L58" s="1">
        <f t="shared" si="7"/>
        <v>3.8460396039603965E-5</v>
      </c>
      <c r="M58" s="1">
        <f t="shared" si="8"/>
        <v>4.7762865441819992E-3</v>
      </c>
      <c r="N58" s="52">
        <f t="shared" si="9"/>
        <v>1.6205240819738313E-7</v>
      </c>
      <c r="O58" s="26">
        <f t="shared" si="10"/>
        <v>2.032E-3</v>
      </c>
      <c r="P58" s="26">
        <v>4.5724343480153871E-11</v>
      </c>
      <c r="Q58" s="2">
        <v>0.05</v>
      </c>
      <c r="R58" s="2">
        <f t="shared" si="11"/>
        <v>105000</v>
      </c>
      <c r="S58" s="2">
        <f t="shared" si="1"/>
        <v>100384.66425258365</v>
      </c>
      <c r="T58" s="2">
        <f t="shared" si="12"/>
        <v>100384.66425258365</v>
      </c>
      <c r="U58" s="2">
        <f t="shared" si="13"/>
        <v>5.1398579432804297E-3</v>
      </c>
      <c r="V58" s="2">
        <v>0.08</v>
      </c>
      <c r="W58" s="2">
        <f t="shared" si="14"/>
        <v>108000</v>
      </c>
      <c r="X58" s="2">
        <f t="shared" si="15"/>
        <v>4.1537227722772281</v>
      </c>
      <c r="Y58" s="11">
        <f t="shared" si="16"/>
        <v>8.2976899908640813E-15</v>
      </c>
      <c r="Z58" s="11">
        <f t="shared" si="17"/>
        <v>4996868912.4983501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2"/>
        <v>2.85</v>
      </c>
      <c r="C59" s="1">
        <v>20</v>
      </c>
      <c r="D59" s="1">
        <f t="shared" si="0"/>
        <v>29.146000000000001</v>
      </c>
      <c r="E59" s="1">
        <f t="shared" si="3"/>
        <v>4.8576666666666667E-7</v>
      </c>
      <c r="F59" s="1">
        <v>21.1</v>
      </c>
      <c r="G59" s="1">
        <f t="shared" si="4"/>
        <v>294.10000000000002</v>
      </c>
      <c r="H59" s="1">
        <v>101.3</v>
      </c>
      <c r="I59" s="1">
        <f t="shared" si="5"/>
        <v>101300</v>
      </c>
      <c r="J59" s="1">
        <f t="shared" si="6"/>
        <v>2.0124824921938581E-5</v>
      </c>
      <c r="K59" s="25">
        <v>40.787128712871286</v>
      </c>
      <c r="L59" s="1">
        <f t="shared" si="7"/>
        <v>4.0787128712871288E-5</v>
      </c>
      <c r="M59" s="1">
        <f t="shared" si="8"/>
        <v>4.7762865441819992E-3</v>
      </c>
      <c r="N59" s="52">
        <f t="shared" si="9"/>
        <v>1.7185606785149176E-7</v>
      </c>
      <c r="O59" s="26">
        <f t="shared" si="10"/>
        <v>2.032E-3</v>
      </c>
      <c r="P59" s="26">
        <v>4.5724343480153871E-11</v>
      </c>
      <c r="Q59" s="2">
        <v>0.05</v>
      </c>
      <c r="R59" s="2">
        <f t="shared" si="11"/>
        <v>105000</v>
      </c>
      <c r="S59" s="2">
        <f t="shared" si="1"/>
        <v>100108.77839869328</v>
      </c>
      <c r="T59" s="2">
        <f t="shared" si="12"/>
        <v>100108.77839869328</v>
      </c>
      <c r="U59" s="2">
        <f t="shared" si="13"/>
        <v>5.1398579432804297E-3</v>
      </c>
      <c r="V59" s="2">
        <v>0.08</v>
      </c>
      <c r="W59" s="2">
        <f t="shared" si="14"/>
        <v>108000</v>
      </c>
      <c r="X59" s="2">
        <f t="shared" si="15"/>
        <v>4.4050099009900991</v>
      </c>
      <c r="Y59" s="11">
        <f t="shared" si="16"/>
        <v>8.8239479010247379E-15</v>
      </c>
      <c r="Z59" s="11">
        <f t="shared" si="17"/>
        <v>5313781425.997097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si="2"/>
        <v>2.9</v>
      </c>
      <c r="C60" s="1">
        <v>20</v>
      </c>
      <c r="D60" s="1">
        <f t="shared" si="0"/>
        <v>29.146000000000001</v>
      </c>
      <c r="E60" s="1">
        <f t="shared" si="3"/>
        <v>4.8576666666666667E-7</v>
      </c>
      <c r="F60" s="1">
        <v>21.1</v>
      </c>
      <c r="G60" s="1">
        <f t="shared" si="4"/>
        <v>294.10000000000002</v>
      </c>
      <c r="H60" s="1">
        <v>101.3</v>
      </c>
      <c r="I60" s="1">
        <f t="shared" si="5"/>
        <v>101300</v>
      </c>
      <c r="J60" s="1">
        <f t="shared" si="6"/>
        <v>2.0124824921938581E-5</v>
      </c>
      <c r="K60" s="25">
        <v>57.519801980198018</v>
      </c>
      <c r="L60" s="1">
        <f t="shared" si="7"/>
        <v>5.751980198019802E-5</v>
      </c>
      <c r="M60" s="1">
        <f t="shared" si="8"/>
        <v>4.7762865441819992E-3</v>
      </c>
      <c r="N60" s="52">
        <f t="shared" si="9"/>
        <v>2.4235898195976246E-7</v>
      </c>
      <c r="O60" s="26">
        <f t="shared" si="10"/>
        <v>2.032E-3</v>
      </c>
      <c r="P60" s="26">
        <v>4.5724343480153871E-11</v>
      </c>
      <c r="Q60" s="2">
        <v>0.05</v>
      </c>
      <c r="R60" s="2">
        <f t="shared" si="11"/>
        <v>105000</v>
      </c>
      <c r="S60" s="2">
        <f t="shared" si="1"/>
        <v>98135.929986961404</v>
      </c>
      <c r="T60" s="2">
        <f t="shared" si="12"/>
        <v>98135.929986961404</v>
      </c>
      <c r="U60" s="2">
        <f t="shared" si="13"/>
        <v>5.1398579432804297E-3</v>
      </c>
      <c r="V60" s="2">
        <v>0.08</v>
      </c>
      <c r="W60" s="2">
        <f t="shared" si="14"/>
        <v>108000</v>
      </c>
      <c r="X60" s="2">
        <f t="shared" si="15"/>
        <v>6.2121386138613861</v>
      </c>
      <c r="Y60" s="11">
        <f t="shared" si="16"/>
        <v>1.269432711990846E-14</v>
      </c>
      <c r="Z60" s="11">
        <f t="shared" si="17"/>
        <v>7644523791.6088753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2"/>
        <v>2.95</v>
      </c>
      <c r="C61" s="1">
        <v>20</v>
      </c>
      <c r="D61" s="1">
        <f t="shared" si="0"/>
        <v>29.146000000000001</v>
      </c>
      <c r="E61" s="1">
        <f t="shared" si="3"/>
        <v>4.8576666666666667E-7</v>
      </c>
      <c r="F61" s="1">
        <v>21.1</v>
      </c>
      <c r="G61" s="1">
        <f t="shared" si="4"/>
        <v>294.10000000000002</v>
      </c>
      <c r="H61" s="1">
        <v>101.3</v>
      </c>
      <c r="I61" s="1">
        <f t="shared" si="5"/>
        <v>101300</v>
      </c>
      <c r="J61" s="1">
        <f t="shared" si="6"/>
        <v>2.0124824921938581E-5</v>
      </c>
      <c r="K61" s="25">
        <v>47.618811881188122</v>
      </c>
      <c r="L61" s="1">
        <f t="shared" si="7"/>
        <v>4.7618811881188123E-5</v>
      </c>
      <c r="M61" s="1">
        <f t="shared" si="8"/>
        <v>4.7762865441819992E-3</v>
      </c>
      <c r="N61" s="52">
        <f t="shared" si="9"/>
        <v>2.0064128130398098E-7</v>
      </c>
      <c r="O61" s="26">
        <f t="shared" si="10"/>
        <v>2.032E-3</v>
      </c>
      <c r="P61" s="26">
        <v>4.5724343480153871E-11</v>
      </c>
      <c r="Q61" s="2">
        <v>0.05</v>
      </c>
      <c r="R61" s="2">
        <f t="shared" si="11"/>
        <v>105000</v>
      </c>
      <c r="S61" s="2">
        <f t="shared" si="1"/>
        <v>99300.924306550762</v>
      </c>
      <c r="T61" s="2">
        <f t="shared" si="12"/>
        <v>99300.924306550762</v>
      </c>
      <c r="U61" s="2">
        <f t="shared" si="13"/>
        <v>5.1398579432804297E-3</v>
      </c>
      <c r="V61" s="2">
        <v>0.08</v>
      </c>
      <c r="W61" s="2">
        <f t="shared" si="14"/>
        <v>108000</v>
      </c>
      <c r="X61" s="2">
        <f t="shared" si="15"/>
        <v>5.1428316831683176</v>
      </c>
      <c r="Y61" s="11">
        <f t="shared" si="16"/>
        <v>1.0385815672554532E-14</v>
      </c>
      <c r="Z61" s="11">
        <f t="shared" si="17"/>
        <v>6254338198.0123396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2"/>
        <v>3</v>
      </c>
      <c r="C62" s="1">
        <v>20</v>
      </c>
      <c r="D62" s="1">
        <f t="shared" si="0"/>
        <v>29.146000000000001</v>
      </c>
      <c r="E62" s="1">
        <f t="shared" si="3"/>
        <v>4.8576666666666667E-7</v>
      </c>
      <c r="F62" s="1">
        <v>21.1</v>
      </c>
      <c r="G62" s="1">
        <f t="shared" si="4"/>
        <v>294.10000000000002</v>
      </c>
      <c r="H62" s="1">
        <v>101.3</v>
      </c>
      <c r="I62" s="1">
        <f t="shared" si="5"/>
        <v>101300</v>
      </c>
      <c r="J62" s="1">
        <f t="shared" si="6"/>
        <v>2.0124824921938581E-5</v>
      </c>
      <c r="K62" s="25">
        <v>45.663366336633665</v>
      </c>
      <c r="L62" s="1">
        <f t="shared" si="7"/>
        <v>4.5663366336633662E-5</v>
      </c>
      <c r="M62" s="1">
        <f t="shared" si="8"/>
        <v>4.7762865441819992E-3</v>
      </c>
      <c r="N62" s="52">
        <f t="shared" si="9"/>
        <v>1.9240203542446414E-7</v>
      </c>
      <c r="O62" s="26">
        <f t="shared" si="10"/>
        <v>2.032E-3</v>
      </c>
      <c r="P62" s="26">
        <v>4.5724343480153871E-11</v>
      </c>
      <c r="Q62" s="2">
        <v>0.05</v>
      </c>
      <c r="R62" s="2">
        <f t="shared" si="11"/>
        <v>105000</v>
      </c>
      <c r="S62" s="2">
        <f t="shared" si="1"/>
        <v>99531.823582190977</v>
      </c>
      <c r="T62" s="2">
        <f t="shared" si="12"/>
        <v>99531.823582190977</v>
      </c>
      <c r="U62" s="2">
        <f t="shared" si="13"/>
        <v>5.1398579432804297E-3</v>
      </c>
      <c r="V62" s="2">
        <v>0.08</v>
      </c>
      <c r="W62" s="2">
        <f t="shared" si="14"/>
        <v>108000</v>
      </c>
      <c r="X62" s="2">
        <f t="shared" si="15"/>
        <v>4.9316435643564356</v>
      </c>
      <c r="Y62" s="11">
        <f t="shared" si="16"/>
        <v>9.936200265246631E-15</v>
      </c>
      <c r="Z62" s="11">
        <f t="shared" si="17"/>
        <v>5983579799.7315216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0"/>
      <c r="L63" s="1"/>
      <c r="M63" s="1"/>
      <c r="N63" s="26"/>
      <c r="O63" s="26"/>
      <c r="P63" s="26"/>
      <c r="Q63" s="2"/>
      <c r="R63" s="5"/>
      <c r="S63" s="2"/>
      <c r="T63" s="2"/>
      <c r="U63" s="2"/>
      <c r="V63" s="2"/>
      <c r="W63" s="2"/>
      <c r="X63" s="2"/>
      <c r="Y63" s="2"/>
      <c r="Z63" s="2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0"/>
      <c r="L64" s="1"/>
      <c r="M64" s="1"/>
      <c r="N64" s="26"/>
      <c r="O64" s="26"/>
      <c r="P64" s="26"/>
      <c r="Q64" s="2"/>
      <c r="R64" s="5"/>
      <c r="S64" s="2"/>
      <c r="T64" s="2"/>
      <c r="U64" s="2"/>
      <c r="V64" s="2"/>
      <c r="W64" s="2"/>
      <c r="X64" s="2"/>
      <c r="Y64" s="2"/>
      <c r="Z64" s="2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0"/>
      <c r="L65" s="1"/>
      <c r="M65" s="1"/>
      <c r="N65" s="26"/>
      <c r="O65" s="26"/>
      <c r="P65" s="26"/>
      <c r="Q65" s="2"/>
      <c r="R65" s="5"/>
      <c r="S65" s="2"/>
      <c r="T65" s="2"/>
      <c r="U65" s="2"/>
      <c r="V65" s="2"/>
      <c r="W65" s="2"/>
      <c r="X65" s="2"/>
      <c r="Y65" s="2"/>
      <c r="Z65" s="2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0"/>
      <c r="L66" s="1"/>
      <c r="M66" s="1"/>
      <c r="N66" s="26"/>
      <c r="O66" s="26"/>
      <c r="P66" s="26"/>
      <c r="Q66" s="2"/>
      <c r="R66" s="5"/>
      <c r="S66" s="2"/>
      <c r="T66" s="2"/>
      <c r="U66" s="2"/>
      <c r="V66" s="2"/>
      <c r="W66" s="2"/>
      <c r="X66" s="2"/>
      <c r="Y66" s="2"/>
      <c r="Z66" s="2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0"/>
      <c r="L67" s="1"/>
      <c r="M67" s="1"/>
      <c r="N67" s="26"/>
      <c r="O67" s="26"/>
      <c r="P67" s="26"/>
      <c r="Q67" s="2"/>
      <c r="R67" s="5"/>
      <c r="S67" s="2"/>
      <c r="T67" s="2"/>
      <c r="U67" s="2"/>
      <c r="V67" s="2"/>
      <c r="W67" s="2"/>
      <c r="X67" s="2"/>
      <c r="Y67" s="44">
        <f>AVERAGE(Y36:Y62)</f>
        <v>9.7384844878007501E-15</v>
      </c>
      <c r="Z67" s="44">
        <f>AVERAGE(Z36:Z62)</f>
        <v>5864515358.5536118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0"/>
      <c r="L68" s="1"/>
      <c r="M68" s="1"/>
      <c r="N68" s="26"/>
      <c r="O68" s="26"/>
      <c r="P68" s="26"/>
      <c r="Q68" s="2"/>
      <c r="R68" s="5"/>
      <c r="S68" s="2"/>
      <c r="T68" s="2"/>
      <c r="U68" s="2"/>
      <c r="V68" s="2"/>
      <c r="W68" s="2"/>
      <c r="X68" s="2"/>
      <c r="Y68" s="2"/>
      <c r="Z68" s="2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0"/>
      <c r="L69" s="1"/>
      <c r="M69" s="1"/>
      <c r="N69" s="26"/>
      <c r="O69" s="26"/>
      <c r="P69" s="26"/>
      <c r="Q69" s="2"/>
      <c r="R69" s="5"/>
      <c r="S69" s="2"/>
      <c r="T69" s="2"/>
      <c r="U69" s="2"/>
      <c r="V69" s="2"/>
      <c r="W69" s="2"/>
      <c r="X69" s="2"/>
      <c r="Y69" s="2"/>
      <c r="Z69" s="2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0"/>
      <c r="L70" s="1"/>
      <c r="M70" s="1"/>
      <c r="N70" s="26"/>
      <c r="O70" s="26"/>
      <c r="P70" s="26"/>
      <c r="Q70" s="2"/>
      <c r="R70" s="5"/>
      <c r="S70" s="2"/>
      <c r="T70" s="2"/>
      <c r="U70" s="2"/>
      <c r="V70" s="2"/>
      <c r="W70" s="2"/>
      <c r="X70" s="2"/>
      <c r="Y70" s="2"/>
      <c r="Z70" s="2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0"/>
      <c r="L71" s="1"/>
      <c r="M71" s="1"/>
      <c r="N71" s="26"/>
      <c r="O71" s="26"/>
      <c r="P71" s="26"/>
      <c r="Q71" s="2"/>
      <c r="R71" s="5"/>
      <c r="S71" s="2"/>
      <c r="T71" s="2"/>
      <c r="U71" s="2"/>
      <c r="V71" s="2"/>
      <c r="W71" s="2"/>
      <c r="X71" s="2"/>
      <c r="Y71" s="2"/>
      <c r="Z71" s="2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37" customFormat="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3"/>
      <c r="L72" s="32"/>
      <c r="M72" s="32"/>
      <c r="N72" s="34"/>
      <c r="O72" s="34"/>
      <c r="P72" s="34"/>
      <c r="Q72" s="35"/>
      <c r="R72" s="36"/>
      <c r="S72" s="35"/>
      <c r="T72" s="35"/>
      <c r="U72" s="35"/>
      <c r="V72" s="35"/>
      <c r="W72" s="35"/>
      <c r="X72" s="35"/>
      <c r="Y72" s="35"/>
      <c r="Z72" s="35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38"/>
      <c r="L73" s="27"/>
      <c r="M73" s="27"/>
      <c r="N73" s="39"/>
      <c r="O73" s="39"/>
      <c r="P73" s="39"/>
      <c r="Q73" s="31"/>
      <c r="R73" s="10"/>
      <c r="S73" s="31"/>
      <c r="T73" s="31"/>
      <c r="U73" s="31"/>
      <c r="V73" s="31"/>
      <c r="W73" s="31"/>
      <c r="X73" s="31"/>
      <c r="Y73" s="31"/>
      <c r="Z73" s="31"/>
    </row>
    <row r="74" spans="1:74" s="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38"/>
      <c r="L74" s="27"/>
      <c r="M74" s="27"/>
      <c r="N74" s="39"/>
      <c r="O74" s="39"/>
      <c r="P74" s="39"/>
      <c r="Q74" s="31"/>
      <c r="R74" s="10"/>
      <c r="S74" s="31"/>
      <c r="T74" s="31"/>
      <c r="U74" s="31"/>
      <c r="V74" s="31"/>
      <c r="W74" s="31"/>
      <c r="X74" s="31"/>
      <c r="Y74" s="31"/>
      <c r="Z74" s="31"/>
    </row>
    <row r="75" spans="1:74" s="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38"/>
      <c r="L75" s="27"/>
      <c r="M75" s="27"/>
      <c r="N75" s="39"/>
      <c r="O75" s="39"/>
      <c r="P75" s="39"/>
      <c r="Q75" s="31"/>
      <c r="R75" s="10"/>
      <c r="S75" s="31"/>
      <c r="T75" s="31"/>
      <c r="U75" s="31"/>
      <c r="V75" s="31"/>
      <c r="W75" s="31"/>
      <c r="X75" s="31"/>
      <c r="Y75" s="31"/>
      <c r="Z75" s="31"/>
    </row>
    <row r="76" spans="1:74" s="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38"/>
      <c r="L76" s="27"/>
      <c r="M76" s="27"/>
      <c r="N76" s="39"/>
      <c r="O76" s="39"/>
      <c r="P76" s="39"/>
      <c r="Q76" s="31"/>
      <c r="R76" s="10"/>
      <c r="S76" s="31"/>
      <c r="T76" s="31"/>
      <c r="U76" s="31"/>
      <c r="V76" s="31"/>
      <c r="W76" s="31"/>
      <c r="X76" s="31"/>
      <c r="Y76" s="31"/>
      <c r="Z76" s="31"/>
    </row>
    <row r="77" spans="1:74" s="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38"/>
      <c r="L77" s="27"/>
      <c r="M77" s="27"/>
      <c r="N77" s="39"/>
      <c r="O77" s="39"/>
      <c r="P77" s="39"/>
      <c r="Q77" s="31"/>
      <c r="R77" s="10"/>
      <c r="S77" s="31"/>
      <c r="T77" s="31"/>
      <c r="U77" s="31"/>
      <c r="V77" s="31"/>
      <c r="W77" s="31"/>
      <c r="X77" s="31"/>
      <c r="Y77" s="31"/>
      <c r="Z77" s="31"/>
    </row>
    <row r="78" spans="1:74" s="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38"/>
      <c r="L78" s="27"/>
      <c r="M78" s="27"/>
      <c r="N78" s="39"/>
      <c r="O78" s="39"/>
      <c r="P78" s="39"/>
      <c r="Q78" s="31"/>
      <c r="R78" s="10"/>
      <c r="S78" s="31"/>
      <c r="T78" s="31"/>
      <c r="U78" s="31"/>
      <c r="V78" s="31"/>
      <c r="W78" s="31"/>
      <c r="X78" s="31"/>
      <c r="Y78" s="31"/>
      <c r="Z78" s="31"/>
    </row>
    <row r="79" spans="1:74" s="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38"/>
      <c r="L79" s="27"/>
      <c r="M79" s="27"/>
      <c r="N79" s="39"/>
      <c r="O79" s="39"/>
      <c r="P79" s="39"/>
      <c r="Q79" s="31"/>
      <c r="R79" s="10"/>
      <c r="S79" s="31"/>
      <c r="T79" s="31"/>
      <c r="U79" s="31"/>
      <c r="V79" s="31"/>
      <c r="W79" s="31"/>
      <c r="X79" s="31"/>
      <c r="Y79" s="31"/>
      <c r="Z79" s="31"/>
    </row>
    <row r="80" spans="1:74" s="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38"/>
      <c r="L80" s="27"/>
      <c r="M80" s="27"/>
      <c r="N80" s="39"/>
      <c r="O80" s="39"/>
      <c r="P80" s="39"/>
      <c r="Q80" s="31"/>
      <c r="R80" s="10"/>
      <c r="S80" s="31"/>
      <c r="T80" s="31"/>
      <c r="U80" s="31"/>
      <c r="V80" s="31"/>
      <c r="W80" s="31"/>
      <c r="X80" s="31"/>
      <c r="Y80" s="31"/>
      <c r="Z80" s="31"/>
    </row>
    <row r="81" spans="1:26" s="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38"/>
      <c r="L81" s="27"/>
      <c r="M81" s="27"/>
      <c r="N81" s="39"/>
      <c r="O81" s="39"/>
      <c r="P81" s="39"/>
      <c r="Q81" s="31"/>
      <c r="R81" s="10"/>
      <c r="S81" s="31"/>
      <c r="T81" s="31"/>
      <c r="U81" s="31"/>
      <c r="V81" s="31"/>
      <c r="W81" s="31"/>
      <c r="X81" s="31"/>
      <c r="Y81" s="31"/>
      <c r="Z81" s="31"/>
    </row>
    <row r="82" spans="1:26" s="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38"/>
      <c r="L82" s="27"/>
      <c r="M82" s="27"/>
      <c r="N82" s="39"/>
      <c r="O82" s="39"/>
      <c r="P82" s="39"/>
      <c r="Q82" s="31"/>
      <c r="R82" s="10"/>
      <c r="S82" s="31"/>
      <c r="T82" s="31"/>
      <c r="U82" s="31"/>
      <c r="V82" s="31"/>
      <c r="W82" s="31"/>
      <c r="X82" s="31"/>
      <c r="Y82" s="31"/>
      <c r="Z82" s="31"/>
    </row>
    <row r="83" spans="1:26" s="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38"/>
      <c r="L83" s="27"/>
      <c r="M83" s="27"/>
      <c r="N83" s="39"/>
      <c r="O83" s="39"/>
      <c r="P83" s="39"/>
      <c r="Q83" s="31"/>
      <c r="R83" s="10"/>
      <c r="S83" s="31"/>
      <c r="T83" s="31"/>
      <c r="U83" s="31"/>
      <c r="V83" s="31"/>
      <c r="W83" s="31"/>
      <c r="X83" s="31"/>
      <c r="Y83" s="31"/>
      <c r="Z83" s="31"/>
    </row>
    <row r="84" spans="1:26" s="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38"/>
      <c r="L84" s="27"/>
      <c r="M84" s="27"/>
      <c r="N84" s="39"/>
      <c r="O84" s="39"/>
      <c r="P84" s="39"/>
      <c r="Q84" s="31"/>
      <c r="R84" s="10"/>
      <c r="S84" s="31"/>
      <c r="T84" s="31"/>
      <c r="U84" s="31"/>
      <c r="V84" s="31"/>
      <c r="W84" s="31"/>
      <c r="X84" s="31"/>
      <c r="Y84" s="31"/>
      <c r="Z84" s="31"/>
    </row>
    <row r="85" spans="1:26" s="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38"/>
      <c r="L85" s="27"/>
      <c r="M85" s="27"/>
      <c r="N85" s="39"/>
      <c r="O85" s="39"/>
      <c r="P85" s="39"/>
      <c r="Q85" s="31"/>
      <c r="R85" s="10"/>
      <c r="S85" s="31"/>
      <c r="T85" s="31"/>
      <c r="U85" s="31"/>
      <c r="V85" s="31"/>
      <c r="W85" s="31"/>
      <c r="X85" s="31"/>
      <c r="Y85" s="31"/>
      <c r="Z85" s="31"/>
    </row>
    <row r="86" spans="1:26" s="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38"/>
      <c r="L86" s="27"/>
      <c r="M86" s="27"/>
      <c r="N86" s="39"/>
      <c r="O86" s="39"/>
      <c r="P86" s="39"/>
      <c r="Q86" s="31"/>
      <c r="R86" s="10"/>
      <c r="S86" s="31"/>
      <c r="T86" s="31"/>
      <c r="U86" s="31"/>
      <c r="V86" s="31"/>
      <c r="W86" s="31"/>
      <c r="X86" s="31"/>
      <c r="Y86" s="31"/>
      <c r="Z86" s="31"/>
    </row>
    <row r="87" spans="1:26" s="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38"/>
      <c r="L87" s="27"/>
      <c r="M87" s="27"/>
      <c r="N87" s="39"/>
      <c r="O87" s="39"/>
      <c r="P87" s="39"/>
      <c r="Q87" s="31"/>
      <c r="R87" s="10"/>
      <c r="S87" s="31"/>
      <c r="T87" s="31"/>
      <c r="U87" s="31"/>
      <c r="V87" s="31"/>
      <c r="W87" s="31"/>
      <c r="X87" s="31"/>
      <c r="Y87" s="31"/>
      <c r="Z87" s="31"/>
    </row>
    <row r="88" spans="1:26" s="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38"/>
      <c r="L88" s="27"/>
      <c r="M88" s="27"/>
      <c r="N88" s="39"/>
      <c r="O88" s="39"/>
      <c r="P88" s="39"/>
      <c r="Q88" s="31"/>
      <c r="R88" s="10"/>
      <c r="S88" s="31"/>
      <c r="T88" s="31"/>
      <c r="U88" s="31"/>
      <c r="V88" s="31"/>
      <c r="W88" s="31"/>
      <c r="X88" s="31"/>
      <c r="Y88" s="31"/>
      <c r="Z88" s="31"/>
    </row>
    <row r="89" spans="1:26" s="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38"/>
      <c r="L89" s="27"/>
      <c r="M89" s="27"/>
      <c r="N89" s="39"/>
      <c r="O89" s="39"/>
      <c r="P89" s="39"/>
      <c r="Q89" s="31"/>
      <c r="R89" s="10"/>
      <c r="S89" s="31"/>
      <c r="T89" s="31"/>
      <c r="U89" s="31"/>
      <c r="V89" s="31"/>
      <c r="W89" s="31"/>
      <c r="X89" s="31"/>
      <c r="Y89" s="31"/>
      <c r="Z89" s="31"/>
    </row>
    <row r="90" spans="1:26" s="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38"/>
      <c r="L90" s="27"/>
      <c r="M90" s="27"/>
      <c r="N90" s="39"/>
      <c r="O90" s="39"/>
      <c r="P90" s="39"/>
      <c r="Q90" s="31"/>
      <c r="R90" s="10"/>
      <c r="S90" s="31"/>
      <c r="T90" s="31"/>
      <c r="U90" s="31"/>
      <c r="V90" s="31"/>
      <c r="W90" s="31"/>
      <c r="X90" s="31"/>
      <c r="Y90" s="31"/>
      <c r="Z90" s="31"/>
    </row>
    <row r="91" spans="1:26" s="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38"/>
      <c r="L91" s="27"/>
      <c r="M91" s="27"/>
      <c r="N91" s="39"/>
      <c r="O91" s="39"/>
      <c r="P91" s="39"/>
      <c r="Q91" s="31"/>
      <c r="R91" s="10"/>
      <c r="S91" s="31"/>
      <c r="T91" s="31"/>
      <c r="U91" s="31"/>
      <c r="V91" s="31"/>
      <c r="W91" s="31"/>
      <c r="X91" s="31"/>
      <c r="Y91" s="31"/>
      <c r="Z91" s="31"/>
    </row>
    <row r="92" spans="1:26" s="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38"/>
      <c r="L92" s="27"/>
      <c r="M92" s="27"/>
      <c r="N92" s="39"/>
      <c r="O92" s="39"/>
      <c r="P92" s="39"/>
      <c r="Q92" s="31"/>
      <c r="R92" s="10"/>
      <c r="S92" s="31"/>
      <c r="T92" s="31"/>
      <c r="U92" s="31"/>
      <c r="V92" s="31"/>
      <c r="W92" s="31"/>
      <c r="X92" s="31"/>
      <c r="Y92" s="31"/>
      <c r="Z92" s="31"/>
    </row>
    <row r="93" spans="1:26" s="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38"/>
      <c r="L93" s="27"/>
      <c r="M93" s="27"/>
      <c r="N93" s="39"/>
      <c r="O93" s="39"/>
      <c r="P93" s="39"/>
      <c r="Q93" s="31"/>
      <c r="R93" s="10"/>
      <c r="S93" s="31"/>
      <c r="T93" s="31"/>
      <c r="U93" s="31"/>
      <c r="V93" s="31"/>
      <c r="W93" s="31"/>
      <c r="X93" s="31"/>
      <c r="Y93" s="31"/>
      <c r="Z93" s="31"/>
    </row>
    <row r="94" spans="1:26" s="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38"/>
      <c r="L94" s="27"/>
      <c r="M94" s="27"/>
      <c r="N94" s="39"/>
      <c r="O94" s="39"/>
      <c r="P94" s="39"/>
      <c r="Q94" s="31"/>
      <c r="R94" s="10"/>
      <c r="S94" s="31"/>
      <c r="T94" s="31"/>
      <c r="U94" s="31"/>
      <c r="V94" s="31"/>
      <c r="W94" s="31"/>
      <c r="X94" s="31"/>
      <c r="Y94" s="31"/>
      <c r="Z94" s="31"/>
    </row>
    <row r="95" spans="1:26" s="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38"/>
      <c r="L95" s="27"/>
      <c r="M95" s="27"/>
      <c r="N95" s="39"/>
      <c r="O95" s="39"/>
      <c r="P95" s="39"/>
      <c r="Q95" s="31"/>
      <c r="R95" s="10"/>
      <c r="S95" s="31"/>
      <c r="T95" s="31"/>
      <c r="U95" s="31"/>
      <c r="V95" s="31"/>
      <c r="W95" s="31"/>
      <c r="X95" s="31"/>
      <c r="Y95" s="31"/>
      <c r="Z95" s="31"/>
    </row>
    <row r="96" spans="1:26" s="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38"/>
      <c r="L96" s="27"/>
      <c r="M96" s="27"/>
      <c r="N96" s="39"/>
      <c r="O96" s="39"/>
      <c r="P96" s="39"/>
      <c r="Q96" s="31"/>
      <c r="R96" s="10"/>
      <c r="S96" s="31"/>
      <c r="T96" s="31"/>
      <c r="U96" s="31"/>
      <c r="V96" s="31"/>
      <c r="W96" s="31"/>
      <c r="X96" s="31"/>
      <c r="Y96" s="31"/>
      <c r="Z96" s="31"/>
    </row>
    <row r="97" spans="1:26" s="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38"/>
      <c r="L97" s="27"/>
      <c r="M97" s="27"/>
      <c r="N97" s="39"/>
      <c r="O97" s="39"/>
      <c r="P97" s="39"/>
      <c r="Q97" s="31"/>
      <c r="R97" s="10"/>
      <c r="S97" s="31"/>
      <c r="T97" s="31"/>
      <c r="U97" s="31"/>
      <c r="V97" s="31"/>
      <c r="W97" s="31"/>
      <c r="X97" s="31"/>
      <c r="Y97" s="31"/>
      <c r="Z97" s="31"/>
    </row>
    <row r="98" spans="1:26" s="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38"/>
      <c r="L98" s="27"/>
      <c r="M98" s="27"/>
      <c r="N98" s="39"/>
      <c r="O98" s="39"/>
      <c r="P98" s="39"/>
      <c r="Q98" s="31"/>
      <c r="R98" s="10"/>
      <c r="S98" s="31"/>
      <c r="T98" s="31"/>
      <c r="U98" s="31"/>
      <c r="V98" s="31"/>
      <c r="W98" s="31"/>
      <c r="X98" s="31"/>
      <c r="Y98" s="31"/>
      <c r="Z98" s="31"/>
    </row>
    <row r="99" spans="1:26" s="8" customForma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38"/>
      <c r="L99" s="27"/>
      <c r="M99" s="27"/>
      <c r="N99" s="39"/>
      <c r="O99" s="39"/>
      <c r="P99" s="39"/>
      <c r="Q99" s="31"/>
      <c r="R99" s="10"/>
      <c r="S99" s="31"/>
      <c r="T99" s="31"/>
      <c r="U99" s="31"/>
      <c r="V99" s="31"/>
      <c r="W99" s="31"/>
      <c r="X99" s="31"/>
      <c r="Y99" s="31"/>
      <c r="Z99" s="31"/>
    </row>
    <row r="100" spans="1:26" s="8" customForma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38"/>
      <c r="L100" s="27"/>
      <c r="M100" s="27"/>
      <c r="N100" s="39"/>
      <c r="O100" s="39"/>
      <c r="P100" s="39"/>
      <c r="Q100" s="31"/>
      <c r="R100" s="10"/>
      <c r="S100" s="31"/>
      <c r="T100" s="31"/>
      <c r="U100" s="31"/>
      <c r="V100" s="31"/>
      <c r="W100" s="31"/>
      <c r="X100" s="31"/>
      <c r="Y100" s="31"/>
      <c r="Z100" s="31"/>
    </row>
    <row r="101" spans="1:26" s="8" customForma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38"/>
      <c r="L101" s="27"/>
      <c r="M101" s="27"/>
      <c r="N101" s="39"/>
      <c r="O101" s="39"/>
      <c r="P101" s="39"/>
      <c r="Q101" s="31"/>
      <c r="R101" s="10"/>
      <c r="S101" s="31"/>
      <c r="T101" s="31"/>
      <c r="U101" s="31"/>
      <c r="V101" s="31"/>
      <c r="W101" s="31"/>
      <c r="X101" s="31"/>
      <c r="Y101" s="31"/>
      <c r="Z101" s="31"/>
    </row>
    <row r="102" spans="1:26" s="8" customForma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38"/>
      <c r="L102" s="27"/>
      <c r="M102" s="27"/>
      <c r="N102" s="39"/>
      <c r="O102" s="39"/>
      <c r="P102" s="39"/>
      <c r="Q102" s="31"/>
      <c r="R102" s="10"/>
      <c r="S102" s="31"/>
      <c r="T102" s="31"/>
      <c r="U102" s="31"/>
      <c r="V102" s="31"/>
      <c r="W102" s="31"/>
      <c r="X102" s="31"/>
      <c r="Y102" s="31"/>
      <c r="Z102" s="31"/>
    </row>
    <row r="103" spans="1:26" s="8" customForma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38"/>
      <c r="L103" s="27"/>
      <c r="M103" s="27"/>
      <c r="N103" s="39"/>
      <c r="O103" s="39"/>
      <c r="P103" s="39"/>
      <c r="Q103" s="31"/>
      <c r="R103" s="10"/>
      <c r="S103" s="31"/>
      <c r="T103" s="31"/>
      <c r="U103" s="31"/>
      <c r="V103" s="31"/>
      <c r="W103" s="31"/>
      <c r="X103" s="31"/>
      <c r="Y103" s="31"/>
      <c r="Z103" s="31"/>
    </row>
    <row r="104" spans="1:26" s="8" customForma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38"/>
      <c r="L104" s="27"/>
      <c r="M104" s="27"/>
      <c r="N104" s="39"/>
      <c r="O104" s="39"/>
      <c r="P104" s="39"/>
      <c r="Q104" s="31"/>
      <c r="R104" s="10"/>
      <c r="S104" s="31"/>
      <c r="T104" s="31"/>
      <c r="U104" s="31"/>
      <c r="V104" s="31"/>
      <c r="W104" s="31"/>
      <c r="X104" s="31"/>
      <c r="Y104" s="31"/>
      <c r="Z104" s="31"/>
    </row>
    <row r="105" spans="1:26" s="8" customForma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38"/>
      <c r="L105" s="27"/>
      <c r="M105" s="27"/>
      <c r="N105" s="39"/>
      <c r="O105" s="39"/>
      <c r="P105" s="39"/>
      <c r="Q105" s="31"/>
      <c r="R105" s="10"/>
      <c r="S105" s="31"/>
      <c r="T105" s="31"/>
      <c r="U105" s="31"/>
      <c r="V105" s="31"/>
      <c r="W105" s="31"/>
      <c r="X105" s="31"/>
      <c r="Y105" s="31"/>
      <c r="Z105" s="31"/>
    </row>
    <row r="106" spans="1:26" s="8" customForma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38"/>
      <c r="L106" s="27"/>
      <c r="M106" s="27"/>
      <c r="N106" s="39"/>
      <c r="O106" s="39"/>
      <c r="P106" s="39"/>
      <c r="Q106" s="31"/>
      <c r="R106" s="10"/>
      <c r="S106" s="31"/>
      <c r="T106" s="31"/>
      <c r="U106" s="31"/>
      <c r="V106" s="31"/>
      <c r="W106" s="31"/>
      <c r="X106" s="31"/>
      <c r="Y106" s="31"/>
      <c r="Z106" s="31"/>
    </row>
    <row r="107" spans="1:26" s="8" customForma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38"/>
      <c r="L107" s="27"/>
      <c r="M107" s="27"/>
      <c r="N107" s="39"/>
      <c r="O107" s="39"/>
      <c r="P107" s="39"/>
      <c r="Q107" s="31"/>
      <c r="R107" s="10"/>
      <c r="S107" s="31"/>
      <c r="T107" s="31"/>
      <c r="U107" s="31"/>
      <c r="V107" s="31"/>
      <c r="W107" s="31"/>
      <c r="X107" s="31"/>
      <c r="Y107" s="31"/>
      <c r="Z107" s="31"/>
    </row>
    <row r="108" spans="1:26" s="8" customForma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38"/>
      <c r="L108" s="27"/>
      <c r="M108" s="27"/>
      <c r="N108" s="39"/>
      <c r="O108" s="39"/>
      <c r="P108" s="39"/>
      <c r="Q108" s="31"/>
      <c r="R108" s="10"/>
      <c r="S108" s="31"/>
      <c r="T108" s="31"/>
      <c r="U108" s="31"/>
      <c r="V108" s="31"/>
      <c r="W108" s="31"/>
      <c r="X108" s="31"/>
      <c r="Y108" s="31"/>
      <c r="Z108" s="31"/>
    </row>
    <row r="109" spans="1:26" s="8" customForma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38"/>
      <c r="L109" s="27"/>
      <c r="M109" s="27"/>
      <c r="N109" s="39"/>
      <c r="O109" s="39"/>
      <c r="P109" s="39"/>
      <c r="Q109" s="31"/>
      <c r="R109" s="10"/>
      <c r="S109" s="31"/>
      <c r="T109" s="31"/>
      <c r="U109" s="31"/>
      <c r="V109" s="31"/>
      <c r="W109" s="31"/>
      <c r="X109" s="31"/>
      <c r="Y109" s="31"/>
      <c r="Z109" s="31"/>
    </row>
    <row r="110" spans="1:26" s="8" customForma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38"/>
      <c r="L110" s="27"/>
      <c r="M110" s="27"/>
      <c r="N110" s="39"/>
      <c r="O110" s="39"/>
      <c r="P110" s="39"/>
      <c r="Q110" s="31"/>
      <c r="R110" s="10"/>
      <c r="S110" s="31"/>
      <c r="T110" s="31"/>
      <c r="U110" s="31"/>
      <c r="V110" s="31"/>
      <c r="W110" s="31"/>
      <c r="X110" s="31"/>
      <c r="Y110" s="31"/>
      <c r="Z110" s="31"/>
    </row>
    <row r="111" spans="1:26" s="8" customForma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38"/>
      <c r="L111" s="27"/>
      <c r="M111" s="27"/>
      <c r="N111" s="39"/>
      <c r="O111" s="39"/>
      <c r="P111" s="39"/>
      <c r="Q111" s="31"/>
      <c r="R111" s="10"/>
      <c r="S111" s="31"/>
      <c r="T111" s="31"/>
      <c r="U111" s="31"/>
      <c r="V111" s="31"/>
      <c r="W111" s="31"/>
      <c r="X111" s="31"/>
      <c r="Y111" s="31"/>
      <c r="Z111" s="31"/>
    </row>
    <row r="112" spans="1:26" s="8" customForma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38"/>
      <c r="L112" s="27"/>
      <c r="M112" s="27"/>
      <c r="N112" s="39"/>
      <c r="O112" s="39"/>
      <c r="P112" s="39"/>
      <c r="Q112" s="31"/>
      <c r="R112" s="10"/>
      <c r="S112" s="31"/>
      <c r="T112" s="31"/>
      <c r="U112" s="31"/>
      <c r="V112" s="31"/>
      <c r="W112" s="31"/>
      <c r="X112" s="31"/>
      <c r="Y112" s="31"/>
      <c r="Z112" s="31"/>
    </row>
    <row r="113" spans="1:26" s="8" customForma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38"/>
      <c r="L113" s="27"/>
      <c r="M113" s="27"/>
      <c r="N113" s="39"/>
      <c r="O113" s="39"/>
      <c r="P113" s="39"/>
      <c r="Q113" s="31"/>
      <c r="R113" s="10"/>
      <c r="S113" s="31"/>
      <c r="T113" s="31"/>
      <c r="U113" s="31"/>
      <c r="V113" s="31"/>
      <c r="W113" s="31"/>
      <c r="X113" s="31"/>
      <c r="Y113" s="31"/>
      <c r="Z113" s="31"/>
    </row>
    <row r="114" spans="1:26" s="8" customForma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38"/>
      <c r="L114" s="27"/>
      <c r="M114" s="27"/>
      <c r="N114" s="39"/>
      <c r="O114" s="39"/>
      <c r="P114" s="39"/>
      <c r="Q114" s="31"/>
      <c r="R114" s="10"/>
      <c r="S114" s="31"/>
      <c r="T114" s="31"/>
      <c r="U114" s="31"/>
      <c r="V114" s="31"/>
      <c r="W114" s="31"/>
      <c r="X114" s="31"/>
      <c r="Y114" s="31"/>
      <c r="Z114" s="31"/>
    </row>
    <row r="115" spans="1:26" s="8" customForma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38"/>
      <c r="L115" s="27"/>
      <c r="M115" s="27"/>
      <c r="N115" s="39"/>
      <c r="O115" s="39"/>
      <c r="P115" s="39"/>
      <c r="Q115" s="31"/>
      <c r="R115" s="10"/>
      <c r="S115" s="31"/>
      <c r="T115" s="31"/>
      <c r="U115" s="31"/>
      <c r="V115" s="31"/>
      <c r="W115" s="31"/>
      <c r="X115" s="31"/>
      <c r="Y115" s="31"/>
      <c r="Z115" s="31"/>
    </row>
    <row r="116" spans="1:26" s="8" customForma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38"/>
      <c r="L116" s="27"/>
      <c r="M116" s="27"/>
      <c r="N116" s="39"/>
      <c r="O116" s="39"/>
      <c r="P116" s="39"/>
      <c r="Q116" s="31"/>
      <c r="R116" s="10"/>
      <c r="S116" s="31"/>
      <c r="T116" s="31"/>
      <c r="U116" s="31"/>
      <c r="V116" s="31"/>
      <c r="W116" s="31"/>
      <c r="X116" s="31"/>
      <c r="Y116" s="31"/>
      <c r="Z116" s="31"/>
    </row>
    <row r="117" spans="1:26" s="8" customForma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38"/>
      <c r="L117" s="27"/>
      <c r="M117" s="27"/>
      <c r="N117" s="39"/>
      <c r="O117" s="39"/>
      <c r="P117" s="39"/>
      <c r="Q117" s="31"/>
      <c r="R117" s="10"/>
      <c r="S117" s="31"/>
      <c r="T117" s="31"/>
      <c r="U117" s="31"/>
      <c r="V117" s="31"/>
      <c r="W117" s="31"/>
      <c r="X117" s="31"/>
      <c r="Y117" s="31"/>
      <c r="Z117" s="31"/>
    </row>
    <row r="118" spans="1:26" s="8" customForma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38"/>
      <c r="L118" s="27"/>
      <c r="M118" s="27"/>
      <c r="N118" s="39"/>
      <c r="O118" s="39"/>
      <c r="P118" s="39"/>
      <c r="Q118" s="31"/>
      <c r="R118" s="10"/>
      <c r="S118" s="31"/>
      <c r="T118" s="31"/>
      <c r="U118" s="31"/>
      <c r="V118" s="31"/>
      <c r="W118" s="31"/>
      <c r="X118" s="31"/>
      <c r="Y118" s="31"/>
      <c r="Z118" s="31"/>
    </row>
    <row r="119" spans="1:26" s="8" customForma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38"/>
      <c r="L119" s="27"/>
      <c r="M119" s="27"/>
      <c r="N119" s="39"/>
      <c r="O119" s="39"/>
      <c r="P119" s="39"/>
      <c r="Q119" s="31"/>
      <c r="R119" s="10"/>
      <c r="S119" s="31"/>
      <c r="T119" s="31"/>
      <c r="U119" s="31"/>
      <c r="V119" s="31"/>
      <c r="W119" s="31"/>
      <c r="X119" s="31"/>
      <c r="Y119" s="31"/>
      <c r="Z119" s="31"/>
    </row>
    <row r="120" spans="1:26" s="8" customForma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38"/>
      <c r="L120" s="27"/>
      <c r="M120" s="27"/>
      <c r="N120" s="39"/>
      <c r="O120" s="39"/>
      <c r="P120" s="39"/>
      <c r="Q120" s="31"/>
      <c r="R120" s="10"/>
      <c r="S120" s="31"/>
      <c r="T120" s="31"/>
      <c r="U120" s="31"/>
      <c r="V120" s="31"/>
      <c r="W120" s="31"/>
      <c r="X120" s="31"/>
      <c r="Y120" s="31"/>
      <c r="Z120" s="31"/>
    </row>
    <row r="121" spans="1:26" s="8" customForma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38"/>
      <c r="L121" s="27"/>
      <c r="M121" s="27"/>
      <c r="N121" s="39"/>
      <c r="O121" s="39"/>
      <c r="P121" s="39"/>
      <c r="Q121" s="31"/>
      <c r="R121" s="10"/>
      <c r="S121" s="31"/>
      <c r="T121" s="31"/>
      <c r="U121" s="31"/>
      <c r="V121" s="31"/>
      <c r="W121" s="31"/>
      <c r="X121" s="31"/>
      <c r="Y121" s="31"/>
      <c r="Z121" s="31"/>
    </row>
    <row r="122" spans="1:26" s="8" customForma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38"/>
      <c r="L122" s="27"/>
      <c r="M122" s="27"/>
      <c r="N122" s="39"/>
      <c r="O122" s="39"/>
      <c r="P122" s="39"/>
      <c r="Q122" s="31"/>
      <c r="R122" s="10"/>
      <c r="S122" s="31"/>
      <c r="T122" s="31"/>
      <c r="U122" s="31"/>
      <c r="V122" s="31"/>
      <c r="W122" s="31"/>
      <c r="X122" s="31"/>
      <c r="Y122" s="31"/>
      <c r="Z122" s="31"/>
    </row>
    <row r="123" spans="1:26" s="8" customForma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38"/>
      <c r="L123" s="27"/>
      <c r="M123" s="27"/>
      <c r="N123" s="39"/>
      <c r="O123" s="39"/>
      <c r="P123" s="39"/>
      <c r="Q123" s="31"/>
      <c r="R123" s="10"/>
      <c r="S123" s="31"/>
      <c r="T123" s="31"/>
      <c r="U123" s="31"/>
      <c r="V123" s="31"/>
      <c r="W123" s="31"/>
      <c r="X123" s="31"/>
      <c r="Y123" s="31"/>
      <c r="Z123" s="31"/>
    </row>
    <row r="124" spans="1:26" s="8" customForma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38"/>
      <c r="L124" s="27"/>
      <c r="M124" s="27"/>
      <c r="N124" s="39"/>
      <c r="O124" s="39"/>
      <c r="P124" s="39"/>
      <c r="Q124" s="31"/>
      <c r="R124" s="10"/>
      <c r="S124" s="31"/>
      <c r="T124" s="31"/>
      <c r="U124" s="31"/>
      <c r="V124" s="31"/>
      <c r="W124" s="31"/>
      <c r="X124" s="31"/>
      <c r="Y124" s="31"/>
      <c r="Z124" s="31"/>
    </row>
    <row r="125" spans="1:26" s="8" customForma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38"/>
      <c r="L125" s="27"/>
      <c r="M125" s="27"/>
      <c r="N125" s="39"/>
      <c r="O125" s="39"/>
      <c r="P125" s="39"/>
      <c r="Q125" s="31"/>
      <c r="R125" s="10"/>
      <c r="S125" s="31"/>
      <c r="T125" s="31"/>
      <c r="U125" s="31"/>
      <c r="V125" s="31"/>
      <c r="W125" s="31"/>
      <c r="X125" s="31"/>
      <c r="Y125" s="31"/>
      <c r="Z125" s="31"/>
    </row>
    <row r="126" spans="1:26" s="8" customForma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38"/>
      <c r="L126" s="27"/>
      <c r="M126" s="27"/>
      <c r="N126" s="39"/>
      <c r="O126" s="39"/>
      <c r="P126" s="39"/>
      <c r="Q126" s="31"/>
      <c r="R126" s="10"/>
      <c r="S126" s="31"/>
      <c r="T126" s="31"/>
      <c r="U126" s="31"/>
      <c r="V126" s="31"/>
      <c r="W126" s="31"/>
      <c r="X126" s="31"/>
      <c r="Y126" s="31"/>
      <c r="Z126" s="31"/>
    </row>
    <row r="127" spans="1:26" s="8" customForma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38"/>
      <c r="L127" s="27"/>
      <c r="M127" s="27"/>
      <c r="N127" s="39"/>
      <c r="O127" s="39"/>
      <c r="P127" s="39"/>
      <c r="Q127" s="31"/>
      <c r="R127" s="10"/>
      <c r="S127" s="31"/>
      <c r="T127" s="31"/>
      <c r="U127" s="31"/>
      <c r="V127" s="31"/>
      <c r="W127" s="31"/>
      <c r="X127" s="31"/>
      <c r="Y127" s="31"/>
      <c r="Z127" s="31"/>
    </row>
    <row r="128" spans="1:26" s="8" customForma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38"/>
      <c r="L128" s="27"/>
      <c r="M128" s="27"/>
      <c r="N128" s="39"/>
      <c r="O128" s="39"/>
      <c r="P128" s="39"/>
      <c r="Q128" s="31"/>
      <c r="R128" s="10"/>
      <c r="S128" s="31"/>
      <c r="T128" s="31"/>
      <c r="U128" s="31"/>
      <c r="V128" s="31"/>
      <c r="W128" s="31"/>
      <c r="X128" s="31"/>
      <c r="Y128" s="31"/>
      <c r="Z128" s="31"/>
    </row>
    <row r="129" spans="1:26" s="8" customForma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38"/>
      <c r="L129" s="27"/>
      <c r="M129" s="27"/>
      <c r="N129" s="39"/>
      <c r="O129" s="39"/>
      <c r="P129" s="39"/>
      <c r="Q129" s="31"/>
      <c r="R129" s="10"/>
      <c r="S129" s="31"/>
      <c r="T129" s="31"/>
      <c r="U129" s="31"/>
      <c r="V129" s="31"/>
      <c r="W129" s="31"/>
      <c r="X129" s="31"/>
      <c r="Y129" s="31"/>
      <c r="Z129" s="31"/>
    </row>
    <row r="130" spans="1:26" s="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38"/>
      <c r="L130" s="27"/>
      <c r="M130" s="27"/>
      <c r="N130" s="39"/>
      <c r="O130" s="39"/>
      <c r="P130" s="39"/>
      <c r="Q130" s="31"/>
      <c r="R130" s="10"/>
      <c r="S130" s="31"/>
      <c r="T130" s="31"/>
      <c r="U130" s="31"/>
      <c r="V130" s="31"/>
      <c r="W130" s="31"/>
      <c r="X130" s="31"/>
      <c r="Y130" s="31"/>
      <c r="Z130" s="31"/>
    </row>
    <row r="131" spans="1:26" s="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38"/>
      <c r="L131" s="27"/>
      <c r="M131" s="27"/>
      <c r="N131" s="53"/>
      <c r="O131" s="39"/>
      <c r="P131" s="39"/>
      <c r="Q131" s="31"/>
      <c r="R131" s="10"/>
      <c r="S131" s="31"/>
      <c r="T131" s="31"/>
      <c r="U131" s="31"/>
      <c r="V131" s="31"/>
      <c r="W131" s="31"/>
      <c r="X131" s="31"/>
      <c r="Y131" s="40"/>
      <c r="Z131" s="40"/>
    </row>
    <row r="132" spans="1:26" s="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38"/>
      <c r="L132" s="27"/>
      <c r="M132" s="27"/>
      <c r="N132" s="39"/>
      <c r="O132" s="39"/>
      <c r="P132" s="39"/>
      <c r="Q132" s="31"/>
      <c r="R132" s="10"/>
      <c r="S132" s="31"/>
      <c r="T132" s="31"/>
      <c r="U132" s="31"/>
      <c r="V132" s="31"/>
      <c r="W132" s="31"/>
      <c r="X132" s="31"/>
      <c r="Y132" s="31"/>
      <c r="Z132" s="31"/>
    </row>
    <row r="133" spans="1:26" s="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38"/>
      <c r="L133" s="27"/>
      <c r="M133" s="27"/>
      <c r="N133" s="39"/>
      <c r="O133" s="39"/>
      <c r="P133" s="39"/>
      <c r="Q133" s="31"/>
      <c r="R133" s="10"/>
      <c r="S133" s="31"/>
      <c r="T133" s="31"/>
      <c r="U133" s="31"/>
      <c r="V133" s="31"/>
      <c r="W133" s="31"/>
      <c r="X133" s="31"/>
      <c r="Y133" s="31"/>
      <c r="Z133" s="31"/>
    </row>
    <row r="134" spans="1:26" s="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38"/>
      <c r="L134" s="27"/>
      <c r="M134" s="27"/>
      <c r="N134" s="39"/>
      <c r="O134" s="39"/>
      <c r="P134" s="39"/>
      <c r="Q134" s="31"/>
      <c r="R134" s="10"/>
      <c r="S134" s="31"/>
      <c r="T134" s="31"/>
      <c r="U134" s="31"/>
      <c r="V134" s="31"/>
      <c r="W134" s="31"/>
      <c r="X134" s="31"/>
      <c r="Y134" s="31"/>
      <c r="Z134" s="31"/>
    </row>
    <row r="135" spans="1:26" s="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38"/>
      <c r="L135" s="27"/>
      <c r="M135" s="27"/>
      <c r="N135" s="39"/>
      <c r="O135" s="39"/>
      <c r="P135" s="39"/>
      <c r="Q135" s="31"/>
      <c r="R135" s="10"/>
      <c r="S135" s="31"/>
      <c r="T135" s="31"/>
      <c r="U135" s="31"/>
      <c r="V135" s="31"/>
      <c r="W135" s="31"/>
      <c r="X135" s="31"/>
      <c r="Y135" s="31"/>
      <c r="Z135" s="31"/>
    </row>
    <row r="136" spans="1:26" s="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38"/>
      <c r="L136" s="27"/>
      <c r="M136" s="27"/>
      <c r="N136" s="39"/>
      <c r="O136" s="39"/>
      <c r="P136" s="39"/>
      <c r="Q136" s="31"/>
      <c r="R136" s="10"/>
      <c r="S136" s="31"/>
      <c r="T136" s="31"/>
      <c r="U136" s="31"/>
      <c r="V136" s="31"/>
      <c r="W136" s="31"/>
      <c r="X136" s="31"/>
      <c r="Y136" s="31"/>
      <c r="Z136" s="31"/>
    </row>
    <row r="137" spans="1:26" s="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38"/>
      <c r="L137" s="27"/>
      <c r="M137" s="27"/>
      <c r="N137" s="39"/>
      <c r="O137" s="39"/>
      <c r="P137" s="39"/>
      <c r="Q137" s="31"/>
      <c r="R137" s="10"/>
      <c r="S137" s="31"/>
      <c r="T137" s="31"/>
      <c r="U137" s="31"/>
      <c r="V137" s="31"/>
      <c r="W137" s="31"/>
      <c r="X137" s="31"/>
      <c r="Y137" s="31"/>
      <c r="Z137" s="31"/>
    </row>
    <row r="138" spans="1:26" s="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38"/>
      <c r="L138" s="27"/>
      <c r="M138" s="27"/>
      <c r="N138" s="39"/>
      <c r="O138" s="39"/>
      <c r="P138" s="39"/>
      <c r="Q138" s="31"/>
      <c r="R138" s="10"/>
      <c r="S138" s="31"/>
      <c r="T138" s="31"/>
      <c r="U138" s="31"/>
      <c r="V138" s="31"/>
      <c r="W138" s="31"/>
      <c r="X138" s="31"/>
      <c r="Y138" s="31"/>
      <c r="Z138" s="31"/>
    </row>
    <row r="139" spans="1:26" s="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38"/>
      <c r="L139" s="27"/>
      <c r="M139" s="27"/>
      <c r="N139" s="39"/>
      <c r="O139" s="39"/>
      <c r="P139" s="39"/>
      <c r="Q139" s="31"/>
      <c r="R139" s="10"/>
      <c r="S139" s="31"/>
      <c r="T139" s="31"/>
      <c r="U139" s="31"/>
      <c r="V139" s="31"/>
      <c r="W139" s="31"/>
      <c r="X139" s="31"/>
      <c r="Y139" s="31"/>
      <c r="Z139" s="31"/>
    </row>
    <row r="140" spans="1:26" s="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38"/>
      <c r="L140" s="27"/>
      <c r="M140" s="27"/>
      <c r="N140" s="39"/>
      <c r="O140" s="39"/>
      <c r="P140" s="39"/>
      <c r="Q140" s="31"/>
      <c r="R140" s="10"/>
      <c r="S140" s="31"/>
      <c r="T140" s="31"/>
      <c r="U140" s="31"/>
      <c r="V140" s="31"/>
      <c r="W140" s="31"/>
      <c r="X140" s="31"/>
      <c r="Y140" s="31"/>
      <c r="Z140" s="31"/>
    </row>
    <row r="141" spans="1:26" s="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38"/>
      <c r="L141" s="27"/>
      <c r="M141" s="27"/>
      <c r="N141" s="39"/>
      <c r="O141" s="39"/>
      <c r="P141" s="39"/>
      <c r="Q141" s="31"/>
      <c r="R141" s="10"/>
      <c r="S141" s="31"/>
      <c r="T141" s="31"/>
      <c r="U141" s="31"/>
      <c r="V141" s="31"/>
      <c r="W141" s="31"/>
      <c r="X141" s="31"/>
      <c r="Y141" s="31"/>
      <c r="Z141" s="31"/>
    </row>
    <row r="142" spans="1:26" s="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38"/>
      <c r="L142" s="27"/>
      <c r="M142" s="27"/>
      <c r="N142" s="39"/>
      <c r="O142" s="39"/>
      <c r="P142" s="39"/>
      <c r="Q142" s="31"/>
      <c r="R142" s="10"/>
      <c r="S142" s="31"/>
      <c r="T142" s="31"/>
      <c r="U142" s="31"/>
      <c r="V142" s="31"/>
      <c r="W142" s="31"/>
      <c r="X142" s="31"/>
      <c r="Y142" s="31"/>
      <c r="Z142" s="31"/>
    </row>
    <row r="143" spans="1:26" s="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38"/>
      <c r="L143" s="27"/>
      <c r="M143" s="27"/>
      <c r="N143" s="39"/>
      <c r="O143" s="39"/>
      <c r="P143" s="39"/>
      <c r="Q143" s="31"/>
      <c r="R143" s="10"/>
      <c r="S143" s="31"/>
      <c r="T143" s="31"/>
      <c r="U143" s="31"/>
      <c r="V143" s="31"/>
      <c r="W143" s="31"/>
      <c r="X143" s="31"/>
      <c r="Y143" s="31"/>
      <c r="Z143" s="31"/>
    </row>
    <row r="144" spans="1:26" s="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38"/>
      <c r="L144" s="27"/>
      <c r="M144" s="27"/>
      <c r="N144" s="39"/>
      <c r="O144" s="39"/>
      <c r="P144" s="39"/>
      <c r="Q144" s="31"/>
      <c r="R144" s="10"/>
      <c r="S144" s="31"/>
      <c r="T144" s="31"/>
      <c r="U144" s="31"/>
      <c r="V144" s="31"/>
      <c r="W144" s="31"/>
      <c r="X144" s="31"/>
      <c r="Y144" s="31"/>
      <c r="Z144" s="31"/>
    </row>
    <row r="145" spans="1:26" s="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38"/>
      <c r="L145" s="27"/>
      <c r="M145" s="27"/>
      <c r="N145" s="39"/>
      <c r="O145" s="39"/>
      <c r="P145" s="39"/>
      <c r="Q145" s="31"/>
      <c r="R145" s="10"/>
      <c r="S145" s="31"/>
      <c r="T145" s="31"/>
      <c r="U145" s="31"/>
      <c r="V145" s="31"/>
      <c r="W145" s="31"/>
      <c r="X145" s="31"/>
      <c r="Y145" s="31"/>
      <c r="Z145" s="31"/>
    </row>
    <row r="146" spans="1:26" s="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38"/>
      <c r="L146" s="27"/>
      <c r="M146" s="27"/>
      <c r="N146" s="39"/>
      <c r="O146" s="39"/>
      <c r="P146" s="39"/>
      <c r="Q146" s="31"/>
      <c r="R146" s="10"/>
      <c r="S146" s="31"/>
      <c r="T146" s="31"/>
      <c r="U146" s="31"/>
      <c r="V146" s="31"/>
      <c r="W146" s="31"/>
      <c r="X146" s="31"/>
      <c r="Y146" s="31"/>
      <c r="Z146" s="31"/>
    </row>
    <row r="147" spans="1:26" s="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38"/>
      <c r="L147" s="27"/>
      <c r="M147" s="27"/>
      <c r="N147" s="39"/>
      <c r="O147" s="39"/>
      <c r="P147" s="39"/>
      <c r="Q147" s="31"/>
      <c r="R147" s="10"/>
      <c r="S147" s="31"/>
      <c r="T147" s="31"/>
      <c r="U147" s="31"/>
      <c r="V147" s="31"/>
      <c r="W147" s="31"/>
      <c r="X147" s="31"/>
      <c r="Y147" s="31"/>
      <c r="Z147" s="31"/>
    </row>
    <row r="148" spans="1:26" s="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38"/>
      <c r="L148" s="27"/>
      <c r="M148" s="27"/>
      <c r="N148" s="39"/>
      <c r="O148" s="39"/>
      <c r="P148" s="39"/>
      <c r="Q148" s="31"/>
      <c r="R148" s="10"/>
      <c r="S148" s="31"/>
      <c r="T148" s="31"/>
      <c r="U148" s="31"/>
      <c r="V148" s="31"/>
      <c r="W148" s="31"/>
      <c r="X148" s="31"/>
      <c r="Y148" s="31"/>
      <c r="Z148" s="31"/>
    </row>
    <row r="149" spans="1:26" s="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38"/>
      <c r="L149" s="27"/>
      <c r="M149" s="27"/>
      <c r="N149" s="39"/>
      <c r="O149" s="39"/>
      <c r="P149" s="39"/>
      <c r="Q149" s="31"/>
      <c r="R149" s="10"/>
      <c r="S149" s="31"/>
      <c r="T149" s="31"/>
      <c r="U149" s="31"/>
      <c r="V149" s="31"/>
      <c r="W149" s="31"/>
      <c r="X149" s="31"/>
      <c r="Y149" s="31"/>
      <c r="Z149" s="31"/>
    </row>
    <row r="150" spans="1:26" s="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38"/>
      <c r="L150" s="27"/>
      <c r="M150" s="27"/>
      <c r="N150" s="39"/>
      <c r="O150" s="39"/>
      <c r="P150" s="39"/>
      <c r="Q150" s="31"/>
      <c r="R150" s="10"/>
      <c r="S150" s="31"/>
      <c r="T150" s="31"/>
      <c r="U150" s="31"/>
      <c r="V150" s="31"/>
      <c r="W150" s="31"/>
      <c r="X150" s="31"/>
      <c r="Y150" s="31"/>
      <c r="Z150" s="31"/>
    </row>
    <row r="151" spans="1:26" s="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38"/>
      <c r="L151" s="27"/>
      <c r="M151" s="27"/>
      <c r="N151" s="39"/>
      <c r="O151" s="39"/>
      <c r="P151" s="39"/>
      <c r="Q151" s="31"/>
      <c r="R151" s="10"/>
      <c r="S151" s="31"/>
      <c r="T151" s="31"/>
      <c r="U151" s="31"/>
      <c r="V151" s="31"/>
      <c r="W151" s="31"/>
      <c r="X151" s="31"/>
      <c r="Y151" s="31"/>
      <c r="Z151" s="31"/>
    </row>
    <row r="152" spans="1:26" s="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38"/>
      <c r="L152" s="27"/>
      <c r="M152" s="27"/>
      <c r="N152" s="39"/>
      <c r="O152" s="39"/>
      <c r="P152" s="39"/>
      <c r="Q152" s="31"/>
      <c r="R152" s="10"/>
      <c r="S152" s="31"/>
      <c r="T152" s="31"/>
      <c r="U152" s="31"/>
      <c r="V152" s="31"/>
      <c r="W152" s="31"/>
      <c r="X152" s="31"/>
      <c r="Y152" s="31"/>
      <c r="Z152" s="31"/>
    </row>
    <row r="153" spans="1:26" s="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38"/>
      <c r="L153" s="27"/>
      <c r="M153" s="27"/>
      <c r="N153" s="39"/>
      <c r="O153" s="39"/>
      <c r="P153" s="39"/>
      <c r="Q153" s="31"/>
      <c r="R153" s="10"/>
      <c r="S153" s="31"/>
      <c r="T153" s="31"/>
      <c r="U153" s="31"/>
      <c r="V153" s="31"/>
      <c r="W153" s="31"/>
      <c r="X153" s="31"/>
      <c r="Y153" s="31"/>
      <c r="Z153" s="31"/>
    </row>
    <row r="154" spans="1:26" s="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38"/>
      <c r="L154" s="27"/>
      <c r="M154" s="27"/>
      <c r="N154" s="39"/>
      <c r="O154" s="39"/>
      <c r="P154" s="39"/>
      <c r="Q154" s="31"/>
      <c r="R154" s="10"/>
      <c r="S154" s="31"/>
      <c r="T154" s="31"/>
      <c r="U154" s="31"/>
      <c r="V154" s="31"/>
      <c r="W154" s="31"/>
      <c r="X154" s="31"/>
      <c r="Y154" s="31"/>
      <c r="Z154" s="31"/>
    </row>
    <row r="155" spans="1:26" s="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38"/>
      <c r="L155" s="27"/>
      <c r="M155" s="27"/>
      <c r="N155" s="39"/>
      <c r="O155" s="39"/>
      <c r="P155" s="39"/>
      <c r="Q155" s="31"/>
      <c r="R155" s="10"/>
      <c r="S155" s="31"/>
      <c r="T155" s="31"/>
      <c r="U155" s="31"/>
      <c r="V155" s="31"/>
      <c r="W155" s="31"/>
      <c r="X155" s="31"/>
      <c r="Y155" s="31"/>
      <c r="Z155" s="31"/>
    </row>
    <row r="156" spans="1:26" s="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38"/>
      <c r="L156" s="27"/>
      <c r="M156" s="27"/>
      <c r="N156" s="39"/>
      <c r="O156" s="39"/>
      <c r="P156" s="39"/>
      <c r="Q156" s="31"/>
      <c r="R156" s="10"/>
      <c r="S156" s="31"/>
      <c r="T156" s="31"/>
      <c r="U156" s="31"/>
      <c r="V156" s="31"/>
      <c r="W156" s="31"/>
      <c r="X156" s="31"/>
      <c r="Y156" s="31"/>
      <c r="Z156" s="31"/>
    </row>
    <row r="157" spans="1:26" s="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38"/>
      <c r="L157" s="27"/>
      <c r="M157" s="27"/>
      <c r="N157" s="39"/>
      <c r="O157" s="39"/>
      <c r="P157" s="39"/>
      <c r="Q157" s="31"/>
      <c r="R157" s="10"/>
      <c r="S157" s="31"/>
      <c r="T157" s="31"/>
      <c r="U157" s="31"/>
      <c r="V157" s="31"/>
      <c r="W157" s="31"/>
      <c r="X157" s="31"/>
      <c r="Y157" s="31"/>
      <c r="Z157" s="31"/>
    </row>
    <row r="158" spans="1:26" s="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38"/>
      <c r="L158" s="27"/>
      <c r="M158" s="27"/>
      <c r="N158" s="39"/>
      <c r="O158" s="39"/>
      <c r="P158" s="39"/>
      <c r="Q158" s="31"/>
      <c r="R158" s="10"/>
      <c r="S158" s="31"/>
      <c r="T158" s="31"/>
      <c r="U158" s="31"/>
      <c r="V158" s="31"/>
      <c r="W158" s="31"/>
      <c r="X158" s="31"/>
      <c r="Y158" s="31"/>
      <c r="Z158" s="31"/>
    </row>
    <row r="159" spans="1:26" s="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38"/>
      <c r="L159" s="27"/>
      <c r="M159" s="27"/>
      <c r="N159" s="39"/>
      <c r="O159" s="39"/>
      <c r="P159" s="39"/>
      <c r="Q159" s="31"/>
      <c r="R159" s="10"/>
      <c r="S159" s="31"/>
      <c r="T159" s="31"/>
      <c r="U159" s="31"/>
      <c r="V159" s="31"/>
      <c r="W159" s="31"/>
      <c r="X159" s="31"/>
      <c r="Y159" s="31"/>
      <c r="Z159" s="31"/>
    </row>
    <row r="160" spans="1:26" s="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38"/>
      <c r="L160" s="27"/>
      <c r="M160" s="27"/>
      <c r="N160" s="39"/>
      <c r="O160" s="39"/>
      <c r="P160" s="39"/>
      <c r="Q160" s="31"/>
      <c r="R160" s="10"/>
      <c r="S160" s="31"/>
      <c r="T160" s="31"/>
      <c r="U160" s="31"/>
      <c r="V160" s="31"/>
      <c r="W160" s="31"/>
      <c r="X160" s="31"/>
      <c r="Y160" s="31"/>
      <c r="Z160" s="31"/>
    </row>
    <row r="161" spans="1:26" s="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38"/>
      <c r="L161" s="27"/>
      <c r="M161" s="27"/>
      <c r="N161" s="39"/>
      <c r="O161" s="39"/>
      <c r="P161" s="39"/>
      <c r="Q161" s="31"/>
      <c r="R161" s="10"/>
      <c r="S161" s="31"/>
      <c r="T161" s="31"/>
      <c r="U161" s="31"/>
      <c r="V161" s="31"/>
      <c r="W161" s="31"/>
      <c r="X161" s="31"/>
      <c r="Y161" s="31"/>
      <c r="Z161" s="31"/>
    </row>
    <row r="162" spans="1:26" s="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38"/>
      <c r="L162" s="27"/>
      <c r="M162" s="27"/>
      <c r="N162" s="39"/>
      <c r="O162" s="39"/>
      <c r="P162" s="39"/>
      <c r="Q162" s="31"/>
      <c r="R162" s="10"/>
      <c r="S162" s="31"/>
      <c r="T162" s="31"/>
      <c r="U162" s="31"/>
      <c r="V162" s="31"/>
      <c r="W162" s="31"/>
      <c r="X162" s="31"/>
      <c r="Y162" s="31"/>
      <c r="Z162" s="31"/>
    </row>
    <row r="163" spans="1:26" s="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38"/>
      <c r="L163" s="27"/>
      <c r="M163" s="27"/>
      <c r="N163" s="39"/>
      <c r="O163" s="39"/>
      <c r="P163" s="39"/>
      <c r="Q163" s="31"/>
      <c r="R163" s="10"/>
      <c r="S163" s="31"/>
      <c r="T163" s="31"/>
      <c r="U163" s="31"/>
      <c r="V163" s="31"/>
      <c r="W163" s="31"/>
      <c r="X163" s="31"/>
      <c r="Y163" s="31"/>
      <c r="Z163" s="31"/>
    </row>
    <row r="164" spans="1:26" s="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38"/>
      <c r="L164" s="27"/>
      <c r="M164" s="27"/>
      <c r="N164" s="39"/>
      <c r="O164" s="39"/>
      <c r="P164" s="39"/>
      <c r="Q164" s="31"/>
      <c r="R164" s="10"/>
      <c r="S164" s="31"/>
      <c r="T164" s="31"/>
      <c r="U164" s="31"/>
      <c r="V164" s="31"/>
      <c r="W164" s="31"/>
      <c r="X164" s="31"/>
      <c r="Y164" s="31"/>
      <c r="Z164" s="31"/>
    </row>
    <row r="165" spans="1:26" s="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38"/>
      <c r="L165" s="27"/>
      <c r="M165" s="27"/>
      <c r="N165" s="39"/>
      <c r="O165" s="39"/>
      <c r="P165" s="39"/>
      <c r="Q165" s="31"/>
      <c r="R165" s="10"/>
      <c r="S165" s="31"/>
      <c r="T165" s="31"/>
      <c r="U165" s="31"/>
      <c r="V165" s="31"/>
      <c r="W165" s="31"/>
      <c r="X165" s="31"/>
      <c r="Y165" s="31"/>
      <c r="Z165" s="31"/>
    </row>
    <row r="166" spans="1:26" s="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38"/>
      <c r="L166" s="27"/>
      <c r="M166" s="27"/>
      <c r="N166" s="39"/>
      <c r="O166" s="39"/>
      <c r="P166" s="39"/>
      <c r="Q166" s="31"/>
      <c r="R166" s="10"/>
      <c r="S166" s="31"/>
      <c r="T166" s="31"/>
      <c r="U166" s="31"/>
      <c r="V166" s="31"/>
      <c r="W166" s="31"/>
      <c r="X166" s="31"/>
      <c r="Y166" s="31"/>
      <c r="Z166" s="31"/>
    </row>
    <row r="167" spans="1:26" s="8" customForma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38"/>
      <c r="L167" s="27"/>
      <c r="M167" s="27"/>
      <c r="N167" s="39"/>
      <c r="O167" s="39"/>
      <c r="P167" s="39"/>
      <c r="Q167" s="31"/>
      <c r="R167" s="10"/>
      <c r="S167" s="31"/>
      <c r="T167" s="31"/>
      <c r="U167" s="31"/>
      <c r="V167" s="31"/>
      <c r="W167" s="31"/>
      <c r="X167" s="31"/>
      <c r="Y167" s="31"/>
      <c r="Z167" s="31"/>
    </row>
    <row r="168" spans="1:26" s="8" customForma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38"/>
      <c r="L168" s="27"/>
      <c r="M168" s="27"/>
      <c r="N168" s="39"/>
      <c r="O168" s="39"/>
      <c r="P168" s="39"/>
      <c r="Q168" s="31"/>
      <c r="R168" s="10"/>
      <c r="S168" s="31"/>
      <c r="T168" s="31"/>
      <c r="U168" s="31"/>
      <c r="V168" s="31"/>
      <c r="W168" s="31"/>
      <c r="X168" s="31"/>
      <c r="Y168" s="31"/>
      <c r="Z168" s="31"/>
    </row>
    <row r="169" spans="1:26" s="8" customForma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38"/>
      <c r="L169" s="27"/>
      <c r="M169" s="27"/>
      <c r="N169" s="39"/>
      <c r="O169" s="39"/>
      <c r="P169" s="39"/>
      <c r="Q169" s="31"/>
      <c r="R169" s="10"/>
      <c r="S169" s="31"/>
      <c r="T169" s="31"/>
      <c r="U169" s="31"/>
      <c r="V169" s="31"/>
      <c r="W169" s="31"/>
      <c r="X169" s="31"/>
      <c r="Y169" s="31"/>
      <c r="Z169" s="31"/>
    </row>
    <row r="170" spans="1:26" s="8" customForma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38"/>
      <c r="L170" s="27"/>
      <c r="M170" s="27"/>
      <c r="N170" s="39"/>
      <c r="O170" s="39"/>
      <c r="P170" s="39"/>
      <c r="Q170" s="31"/>
      <c r="R170" s="10"/>
      <c r="S170" s="31"/>
      <c r="T170" s="31"/>
      <c r="U170" s="31"/>
      <c r="V170" s="31"/>
      <c r="W170" s="31"/>
      <c r="X170" s="31"/>
      <c r="Y170" s="31"/>
      <c r="Z170" s="31"/>
    </row>
    <row r="171" spans="1:26" s="8" customForma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38"/>
      <c r="L171" s="27"/>
      <c r="M171" s="27"/>
      <c r="N171" s="39"/>
      <c r="O171" s="39"/>
      <c r="P171" s="39"/>
      <c r="Q171" s="31"/>
      <c r="R171" s="10"/>
      <c r="S171" s="31"/>
      <c r="T171" s="31"/>
      <c r="U171" s="31"/>
      <c r="V171" s="31"/>
      <c r="W171" s="31"/>
      <c r="X171" s="31"/>
      <c r="Y171" s="31"/>
      <c r="Z171" s="31"/>
    </row>
    <row r="172" spans="1:26" s="8" customForma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38"/>
      <c r="L172" s="27"/>
      <c r="M172" s="27"/>
      <c r="N172" s="39"/>
      <c r="O172" s="39"/>
      <c r="P172" s="39"/>
      <c r="Q172" s="31"/>
      <c r="R172" s="10"/>
      <c r="S172" s="31"/>
      <c r="T172" s="31"/>
      <c r="U172" s="31"/>
      <c r="V172" s="31"/>
      <c r="W172" s="31"/>
      <c r="X172" s="31"/>
      <c r="Y172" s="31"/>
      <c r="Z172" s="31"/>
    </row>
    <row r="173" spans="1:26" s="8" customForma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38"/>
      <c r="L173" s="27"/>
      <c r="M173" s="27"/>
      <c r="N173" s="39"/>
      <c r="O173" s="39"/>
      <c r="P173" s="39"/>
      <c r="Q173" s="31"/>
      <c r="R173" s="10"/>
      <c r="S173" s="31"/>
      <c r="T173" s="31"/>
      <c r="U173" s="31"/>
      <c r="V173" s="31"/>
      <c r="W173" s="31"/>
      <c r="X173" s="31"/>
      <c r="Y173" s="31"/>
      <c r="Z173" s="31"/>
    </row>
    <row r="174" spans="1:26" s="8" customForma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38"/>
      <c r="L174" s="27"/>
      <c r="M174" s="27"/>
      <c r="N174" s="39"/>
      <c r="O174" s="39"/>
      <c r="P174" s="39"/>
      <c r="Q174" s="31"/>
      <c r="R174" s="10"/>
      <c r="S174" s="31"/>
      <c r="T174" s="31"/>
      <c r="U174" s="31"/>
      <c r="V174" s="31"/>
      <c r="W174" s="31"/>
      <c r="X174" s="31"/>
      <c r="Y174" s="31"/>
      <c r="Z174" s="31"/>
    </row>
    <row r="175" spans="1:26" s="8" customForma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38"/>
      <c r="L175" s="27"/>
      <c r="M175" s="27"/>
      <c r="N175" s="39"/>
      <c r="O175" s="39"/>
      <c r="P175" s="39"/>
      <c r="Q175" s="31"/>
      <c r="R175" s="10"/>
      <c r="S175" s="31"/>
      <c r="T175" s="31"/>
      <c r="U175" s="31"/>
      <c r="V175" s="31"/>
      <c r="W175" s="31"/>
      <c r="X175" s="31"/>
      <c r="Y175" s="31"/>
      <c r="Z175" s="31"/>
    </row>
    <row r="176" spans="1:26" s="8" customForma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38"/>
      <c r="L176" s="27"/>
      <c r="M176" s="27"/>
      <c r="N176" s="39"/>
      <c r="O176" s="39"/>
      <c r="P176" s="39"/>
      <c r="Q176" s="31"/>
      <c r="R176" s="10"/>
      <c r="S176" s="31"/>
      <c r="T176" s="31"/>
      <c r="U176" s="31"/>
      <c r="V176" s="31"/>
      <c r="W176" s="31"/>
      <c r="X176" s="31"/>
      <c r="Y176" s="31"/>
      <c r="Z176" s="31"/>
    </row>
    <row r="177" spans="1:26" s="8" customForma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38"/>
      <c r="L177" s="27"/>
      <c r="M177" s="27"/>
      <c r="N177" s="39"/>
      <c r="O177" s="39"/>
      <c r="P177" s="39"/>
      <c r="Q177" s="31"/>
      <c r="R177" s="10"/>
      <c r="S177" s="31"/>
      <c r="T177" s="31"/>
      <c r="U177" s="31"/>
      <c r="V177" s="31"/>
      <c r="W177" s="31"/>
      <c r="X177" s="31"/>
      <c r="Y177" s="31"/>
      <c r="Z177" s="31"/>
    </row>
    <row r="178" spans="1:26" s="8" customForma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38"/>
      <c r="L178" s="27"/>
      <c r="M178" s="27"/>
      <c r="N178" s="39"/>
      <c r="O178" s="39"/>
      <c r="P178" s="39"/>
      <c r="Q178" s="31"/>
      <c r="R178" s="10"/>
      <c r="S178" s="31"/>
      <c r="T178" s="31"/>
      <c r="U178" s="31"/>
      <c r="V178" s="31"/>
      <c r="W178" s="31"/>
      <c r="X178" s="31"/>
      <c r="Y178" s="31"/>
      <c r="Z178" s="31"/>
    </row>
    <row r="179" spans="1:26" s="8" customForma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38"/>
      <c r="L179" s="27"/>
      <c r="M179" s="27"/>
      <c r="N179" s="39"/>
      <c r="O179" s="39"/>
      <c r="P179" s="39"/>
      <c r="Q179" s="31"/>
      <c r="R179" s="10"/>
      <c r="S179" s="31"/>
      <c r="T179" s="31"/>
      <c r="U179" s="31"/>
      <c r="V179" s="31"/>
      <c r="W179" s="31"/>
      <c r="X179" s="31"/>
      <c r="Y179" s="31"/>
      <c r="Z179" s="31"/>
    </row>
    <row r="180" spans="1:26" s="8" customForma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38"/>
      <c r="L180" s="27"/>
      <c r="M180" s="27"/>
      <c r="N180" s="39"/>
      <c r="O180" s="39"/>
      <c r="P180" s="39"/>
      <c r="Q180" s="31"/>
      <c r="R180" s="10"/>
      <c r="S180" s="31"/>
      <c r="T180" s="31"/>
      <c r="U180" s="31"/>
      <c r="V180" s="31"/>
      <c r="W180" s="31"/>
      <c r="X180" s="31"/>
      <c r="Y180" s="31"/>
      <c r="Z180" s="31"/>
    </row>
    <row r="181" spans="1:26" s="8" customForma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38"/>
      <c r="L181" s="27"/>
      <c r="M181" s="27"/>
      <c r="N181" s="39"/>
      <c r="O181" s="39"/>
      <c r="P181" s="39"/>
      <c r="Q181" s="31"/>
      <c r="R181" s="10"/>
      <c r="S181" s="31"/>
      <c r="T181" s="31"/>
      <c r="U181" s="31"/>
      <c r="V181" s="31"/>
      <c r="W181" s="31"/>
      <c r="X181" s="31"/>
      <c r="Y181" s="31"/>
      <c r="Z181" s="31"/>
    </row>
    <row r="182" spans="1:26" s="8" customForma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38"/>
      <c r="L182" s="27"/>
      <c r="M182" s="27"/>
      <c r="N182" s="39"/>
      <c r="O182" s="39"/>
      <c r="P182" s="39"/>
      <c r="Q182" s="31"/>
      <c r="R182" s="10"/>
      <c r="S182" s="31"/>
      <c r="T182" s="31"/>
      <c r="U182" s="31"/>
      <c r="V182" s="31"/>
      <c r="W182" s="31"/>
      <c r="X182" s="31"/>
      <c r="Y182" s="31"/>
      <c r="Z182" s="31"/>
    </row>
    <row r="183" spans="1:26" s="8" customForma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38"/>
      <c r="L183" s="27"/>
      <c r="M183" s="27"/>
      <c r="N183" s="39"/>
      <c r="O183" s="39"/>
      <c r="P183" s="39"/>
      <c r="Q183" s="31"/>
      <c r="R183" s="10"/>
      <c r="S183" s="31"/>
      <c r="T183" s="31"/>
      <c r="U183" s="31"/>
      <c r="V183" s="31"/>
      <c r="W183" s="31"/>
      <c r="X183" s="31"/>
      <c r="Y183" s="31"/>
      <c r="Z183" s="31"/>
    </row>
    <row r="184" spans="1:26" s="8" customForma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38"/>
      <c r="L184" s="27"/>
      <c r="M184" s="27"/>
      <c r="N184" s="39"/>
      <c r="O184" s="39"/>
      <c r="P184" s="39"/>
      <c r="Q184" s="31"/>
      <c r="R184" s="10"/>
      <c r="S184" s="31"/>
      <c r="T184" s="31"/>
      <c r="U184" s="31"/>
      <c r="V184" s="31"/>
      <c r="W184" s="31"/>
      <c r="X184" s="31"/>
      <c r="Y184" s="31"/>
      <c r="Z184" s="31"/>
    </row>
    <row r="185" spans="1:26" s="8" customForma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38"/>
      <c r="L185" s="27"/>
      <c r="M185" s="27"/>
      <c r="N185" s="39"/>
      <c r="O185" s="39"/>
      <c r="P185" s="39"/>
      <c r="Q185" s="31"/>
      <c r="R185" s="10"/>
      <c r="S185" s="31"/>
      <c r="T185" s="31"/>
      <c r="U185" s="31"/>
      <c r="V185" s="31"/>
      <c r="W185" s="31"/>
      <c r="X185" s="31"/>
      <c r="Y185" s="31"/>
      <c r="Z185" s="31"/>
    </row>
    <row r="186" spans="1:26" s="8" customForma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38"/>
      <c r="L186" s="27"/>
      <c r="M186" s="27"/>
      <c r="N186" s="39"/>
      <c r="O186" s="39"/>
      <c r="P186" s="39"/>
      <c r="Q186" s="31"/>
      <c r="R186" s="10"/>
      <c r="S186" s="31"/>
      <c r="T186" s="31"/>
      <c r="U186" s="31"/>
      <c r="V186" s="31"/>
      <c r="W186" s="31"/>
      <c r="X186" s="31"/>
      <c r="Y186" s="31"/>
      <c r="Z186" s="31"/>
    </row>
    <row r="187" spans="1:26" s="8" customForma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38"/>
      <c r="L187" s="27"/>
      <c r="M187" s="27"/>
      <c r="N187" s="39"/>
      <c r="O187" s="39"/>
      <c r="P187" s="39"/>
      <c r="Q187" s="31"/>
      <c r="R187" s="10"/>
      <c r="S187" s="31"/>
      <c r="T187" s="31"/>
      <c r="U187" s="31"/>
      <c r="V187" s="31"/>
      <c r="W187" s="31"/>
      <c r="X187" s="31"/>
      <c r="Y187" s="31"/>
      <c r="Z187" s="31"/>
    </row>
    <row r="188" spans="1:26" s="8" customForma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38"/>
      <c r="L188" s="27"/>
      <c r="M188" s="27"/>
      <c r="N188" s="39"/>
      <c r="O188" s="39"/>
      <c r="P188" s="39"/>
      <c r="Q188" s="31"/>
      <c r="R188" s="10"/>
      <c r="S188" s="31"/>
      <c r="T188" s="31"/>
      <c r="U188" s="31"/>
      <c r="V188" s="31"/>
      <c r="W188" s="31"/>
      <c r="X188" s="31"/>
      <c r="Y188" s="31"/>
      <c r="Z188" s="31"/>
    </row>
    <row r="189" spans="1:26" s="8" customForma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38"/>
      <c r="L189" s="27"/>
      <c r="M189" s="27"/>
      <c r="N189" s="39"/>
      <c r="O189" s="39"/>
      <c r="P189" s="39"/>
      <c r="Q189" s="31"/>
      <c r="R189" s="10"/>
      <c r="S189" s="31"/>
      <c r="T189" s="31"/>
      <c r="U189" s="31"/>
      <c r="V189" s="31"/>
      <c r="W189" s="31"/>
      <c r="X189" s="31"/>
      <c r="Y189" s="31"/>
      <c r="Z189" s="31"/>
    </row>
    <row r="190" spans="1:26" s="8" customForma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38"/>
      <c r="L190" s="27"/>
      <c r="M190" s="27"/>
      <c r="N190" s="39"/>
      <c r="O190" s="39"/>
      <c r="P190" s="39"/>
      <c r="Q190" s="31"/>
      <c r="R190" s="10"/>
      <c r="S190" s="31"/>
      <c r="T190" s="31"/>
      <c r="U190" s="31"/>
      <c r="V190" s="31"/>
      <c r="W190" s="31"/>
      <c r="X190" s="31"/>
      <c r="Y190" s="31"/>
      <c r="Z190" s="31"/>
    </row>
    <row r="191" spans="1:26" s="8" customForma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38"/>
      <c r="L191" s="27"/>
      <c r="M191" s="27"/>
      <c r="N191" s="39"/>
      <c r="O191" s="39"/>
      <c r="P191" s="39"/>
      <c r="Q191" s="31"/>
      <c r="R191" s="10"/>
      <c r="S191" s="31"/>
      <c r="T191" s="31"/>
      <c r="U191" s="31"/>
      <c r="V191" s="31"/>
      <c r="W191" s="31"/>
      <c r="X191" s="31"/>
      <c r="Y191" s="31"/>
      <c r="Z191" s="31"/>
    </row>
    <row r="192" spans="1:26" s="8" customForma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38"/>
      <c r="L192" s="27"/>
      <c r="M192" s="27"/>
      <c r="N192" s="39"/>
      <c r="O192" s="39"/>
      <c r="P192" s="39"/>
      <c r="Q192" s="31"/>
      <c r="R192" s="10"/>
      <c r="S192" s="31"/>
      <c r="T192" s="31"/>
      <c r="U192" s="31"/>
      <c r="V192" s="31"/>
      <c r="W192" s="31"/>
      <c r="X192" s="31"/>
      <c r="Y192" s="31"/>
      <c r="Z192" s="31"/>
    </row>
    <row r="193" spans="1:26" s="8" customForma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38"/>
      <c r="L193" s="27"/>
      <c r="M193" s="27"/>
      <c r="N193" s="39"/>
      <c r="O193" s="39"/>
      <c r="P193" s="39"/>
      <c r="Q193" s="31"/>
      <c r="R193" s="10"/>
      <c r="S193" s="31"/>
      <c r="T193" s="31"/>
      <c r="U193" s="31"/>
      <c r="V193" s="31"/>
      <c r="W193" s="31"/>
      <c r="X193" s="31"/>
      <c r="Y193" s="31"/>
      <c r="Z193" s="31"/>
    </row>
    <row r="194" spans="1:26" s="8" customForma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38"/>
      <c r="L194" s="27"/>
      <c r="M194" s="27"/>
      <c r="N194" s="39"/>
      <c r="O194" s="39"/>
      <c r="P194" s="39"/>
      <c r="Q194" s="31"/>
      <c r="R194" s="10"/>
      <c r="S194" s="31"/>
      <c r="T194" s="31"/>
      <c r="U194" s="31"/>
      <c r="V194" s="31"/>
      <c r="W194" s="31"/>
      <c r="X194" s="31"/>
      <c r="Y194" s="31"/>
      <c r="Z194" s="31"/>
    </row>
    <row r="195" spans="1:26" s="8" customForma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38"/>
      <c r="L195" s="27"/>
      <c r="M195" s="27"/>
      <c r="N195" s="39"/>
      <c r="O195" s="39"/>
      <c r="P195" s="39"/>
      <c r="Q195" s="31"/>
      <c r="R195" s="10"/>
      <c r="S195" s="31"/>
      <c r="T195" s="31"/>
      <c r="U195" s="31"/>
      <c r="V195" s="31"/>
      <c r="W195" s="31"/>
      <c r="X195" s="31"/>
      <c r="Y195" s="31"/>
      <c r="Z195" s="31"/>
    </row>
    <row r="196" spans="1:26" s="8" customForma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38"/>
      <c r="L196" s="27"/>
      <c r="M196" s="27"/>
      <c r="N196" s="39"/>
      <c r="O196" s="39"/>
      <c r="P196" s="39"/>
      <c r="Q196" s="31"/>
      <c r="R196" s="10"/>
      <c r="S196" s="31"/>
      <c r="T196" s="31"/>
      <c r="U196" s="31"/>
      <c r="V196" s="31"/>
      <c r="W196" s="31"/>
      <c r="X196" s="31"/>
      <c r="Y196" s="31"/>
      <c r="Z196" s="31"/>
    </row>
    <row r="197" spans="1:26" s="8" customForma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38"/>
      <c r="L197" s="27"/>
      <c r="M197" s="27"/>
      <c r="N197" s="39"/>
      <c r="O197" s="39"/>
      <c r="P197" s="39"/>
      <c r="Q197" s="31"/>
      <c r="R197" s="10"/>
      <c r="S197" s="31"/>
      <c r="T197" s="31"/>
      <c r="U197" s="31"/>
      <c r="V197" s="31"/>
      <c r="W197" s="31"/>
      <c r="X197" s="31"/>
      <c r="Y197" s="31"/>
      <c r="Z197" s="31"/>
    </row>
    <row r="198" spans="1:26" s="8" customForma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38"/>
      <c r="L198" s="27"/>
      <c r="M198" s="27"/>
      <c r="N198" s="39"/>
      <c r="O198" s="39"/>
      <c r="P198" s="39"/>
      <c r="Q198" s="31"/>
      <c r="R198" s="10"/>
      <c r="S198" s="31"/>
      <c r="T198" s="31"/>
      <c r="U198" s="31"/>
      <c r="V198" s="31"/>
      <c r="W198" s="31"/>
      <c r="X198" s="31"/>
      <c r="Y198" s="31"/>
      <c r="Z198" s="31"/>
    </row>
    <row r="199" spans="1:26" s="8" customForma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38"/>
      <c r="L199" s="27"/>
      <c r="M199" s="27"/>
      <c r="N199" s="39"/>
      <c r="O199" s="39"/>
      <c r="P199" s="39"/>
      <c r="Q199" s="31"/>
      <c r="R199" s="10"/>
      <c r="S199" s="31"/>
      <c r="T199" s="31"/>
      <c r="U199" s="31"/>
      <c r="V199" s="31"/>
      <c r="W199" s="31"/>
      <c r="X199" s="31"/>
      <c r="Y199" s="31"/>
      <c r="Z199" s="31"/>
    </row>
    <row r="200" spans="1:26" s="8" customForma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38"/>
      <c r="L200" s="27"/>
      <c r="M200" s="27"/>
      <c r="N200" s="39"/>
      <c r="O200" s="39"/>
      <c r="P200" s="39"/>
      <c r="Q200" s="31"/>
      <c r="R200" s="10"/>
      <c r="S200" s="31"/>
      <c r="T200" s="31"/>
      <c r="U200" s="31"/>
      <c r="V200" s="31"/>
      <c r="W200" s="31"/>
      <c r="X200" s="31"/>
      <c r="Y200" s="31"/>
      <c r="Z200" s="31"/>
    </row>
    <row r="201" spans="1:26" s="8" customForma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38"/>
      <c r="L201" s="27"/>
      <c r="M201" s="27"/>
      <c r="N201" s="39"/>
      <c r="O201" s="39"/>
      <c r="P201" s="39"/>
      <c r="Q201" s="31"/>
      <c r="R201" s="10"/>
      <c r="S201" s="31"/>
      <c r="T201" s="31"/>
      <c r="U201" s="31"/>
      <c r="V201" s="31"/>
      <c r="W201" s="31"/>
      <c r="X201" s="31"/>
      <c r="Y201" s="31"/>
      <c r="Z201" s="31"/>
    </row>
    <row r="202" spans="1:26" s="8" customForma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38"/>
      <c r="L202" s="27"/>
      <c r="M202" s="27"/>
      <c r="N202" s="39"/>
      <c r="O202" s="39"/>
      <c r="P202" s="39"/>
      <c r="Q202" s="31"/>
      <c r="R202" s="10"/>
      <c r="S202" s="31"/>
      <c r="T202" s="31"/>
      <c r="U202" s="31"/>
      <c r="V202" s="31"/>
      <c r="W202" s="31"/>
      <c r="X202" s="31"/>
      <c r="Y202" s="31"/>
      <c r="Z202" s="31"/>
    </row>
    <row r="203" spans="1:26" s="8" customForma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38"/>
      <c r="L203" s="27"/>
      <c r="M203" s="27"/>
      <c r="N203" s="39"/>
      <c r="O203" s="39"/>
      <c r="P203" s="39"/>
      <c r="Q203" s="31"/>
      <c r="R203" s="10"/>
      <c r="S203" s="31"/>
      <c r="T203" s="31"/>
      <c r="U203" s="31"/>
      <c r="V203" s="31"/>
      <c r="W203" s="31"/>
      <c r="X203" s="31"/>
      <c r="Y203" s="31"/>
      <c r="Z203" s="31"/>
    </row>
    <row r="204" spans="1:26" s="8" customForma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38"/>
      <c r="L204" s="27"/>
      <c r="M204" s="27"/>
      <c r="N204" s="39"/>
      <c r="O204" s="39"/>
      <c r="P204" s="39"/>
      <c r="Q204" s="31"/>
      <c r="R204" s="10"/>
      <c r="S204" s="31"/>
      <c r="T204" s="31"/>
      <c r="U204" s="31"/>
      <c r="V204" s="31"/>
      <c r="W204" s="31"/>
      <c r="X204" s="31"/>
      <c r="Y204" s="31"/>
      <c r="Z204" s="31"/>
    </row>
    <row r="205" spans="1:26" s="8" customForma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38"/>
      <c r="L205" s="27"/>
      <c r="M205" s="27"/>
      <c r="N205" s="39"/>
      <c r="O205" s="39"/>
      <c r="P205" s="39"/>
      <c r="Q205" s="31"/>
      <c r="R205" s="10"/>
      <c r="S205" s="31"/>
      <c r="T205" s="31"/>
      <c r="U205" s="31"/>
      <c r="V205" s="31"/>
      <c r="W205" s="31"/>
      <c r="X205" s="31"/>
      <c r="Y205" s="31"/>
      <c r="Z205" s="31"/>
    </row>
    <row r="206" spans="1:26" s="8" customForma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38"/>
      <c r="L206" s="27"/>
      <c r="M206" s="27"/>
      <c r="N206" s="39"/>
      <c r="O206" s="39"/>
      <c r="P206" s="39"/>
      <c r="Q206" s="31"/>
      <c r="R206" s="10"/>
      <c r="S206" s="31"/>
      <c r="T206" s="31"/>
      <c r="U206" s="31"/>
      <c r="V206" s="31"/>
      <c r="W206" s="31"/>
      <c r="X206" s="31"/>
      <c r="Y206" s="31"/>
      <c r="Z206" s="31"/>
    </row>
    <row r="207" spans="1:26" s="8" customForma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38"/>
      <c r="L207" s="27"/>
      <c r="M207" s="27"/>
      <c r="N207" s="39"/>
      <c r="O207" s="39"/>
      <c r="P207" s="39"/>
      <c r="Q207" s="31"/>
      <c r="R207" s="10"/>
      <c r="S207" s="31"/>
      <c r="T207" s="31"/>
      <c r="U207" s="31"/>
      <c r="V207" s="31"/>
      <c r="W207" s="31"/>
      <c r="X207" s="31"/>
      <c r="Y207" s="31"/>
      <c r="Z207" s="31"/>
    </row>
    <row r="208" spans="1:26" s="8" customForma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38"/>
      <c r="L208" s="27"/>
      <c r="M208" s="27"/>
      <c r="N208" s="39"/>
      <c r="O208" s="39"/>
      <c r="P208" s="39"/>
      <c r="Q208" s="31"/>
      <c r="R208" s="10"/>
      <c r="S208" s="31"/>
      <c r="T208" s="31"/>
      <c r="U208" s="31"/>
      <c r="V208" s="31"/>
      <c r="W208" s="31"/>
      <c r="X208" s="31"/>
      <c r="Y208" s="31"/>
      <c r="Z208" s="31"/>
    </row>
    <row r="209" spans="1:26" s="8" customForma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38"/>
      <c r="L209" s="27"/>
      <c r="M209" s="27"/>
      <c r="N209" s="39"/>
      <c r="O209" s="39"/>
      <c r="P209" s="39"/>
      <c r="Q209" s="31"/>
      <c r="R209" s="10"/>
      <c r="S209" s="31"/>
      <c r="T209" s="31"/>
      <c r="U209" s="31"/>
      <c r="V209" s="31"/>
      <c r="W209" s="31"/>
      <c r="X209" s="31"/>
      <c r="Y209" s="31"/>
      <c r="Z209" s="31"/>
    </row>
    <row r="210" spans="1:26" s="8" customForma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38"/>
      <c r="L210" s="27"/>
      <c r="M210" s="27"/>
      <c r="N210" s="39"/>
      <c r="O210" s="39"/>
      <c r="P210" s="39"/>
      <c r="Q210" s="31"/>
      <c r="R210" s="10"/>
      <c r="S210" s="31"/>
      <c r="T210" s="31"/>
      <c r="U210" s="31"/>
      <c r="V210" s="31"/>
      <c r="W210" s="31"/>
      <c r="X210" s="31"/>
      <c r="Y210" s="31"/>
      <c r="Z210" s="31"/>
    </row>
    <row r="211" spans="1:26" s="8" customForma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38"/>
      <c r="L211" s="27"/>
      <c r="M211" s="27"/>
      <c r="N211" s="39"/>
      <c r="O211" s="39"/>
      <c r="P211" s="39"/>
      <c r="Q211" s="31"/>
      <c r="R211" s="10"/>
      <c r="S211" s="31"/>
      <c r="T211" s="31"/>
      <c r="U211" s="31"/>
      <c r="V211" s="31"/>
      <c r="W211" s="31"/>
      <c r="X211" s="31"/>
      <c r="Y211" s="31"/>
      <c r="Z211" s="31"/>
    </row>
    <row r="212" spans="1:26" s="8" customForma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38"/>
      <c r="L212" s="27"/>
      <c r="M212" s="27"/>
      <c r="N212" s="39"/>
      <c r="O212" s="39"/>
      <c r="P212" s="39"/>
      <c r="Q212" s="31"/>
      <c r="R212" s="10"/>
      <c r="S212" s="31"/>
      <c r="T212" s="31"/>
      <c r="U212" s="31"/>
      <c r="V212" s="31"/>
      <c r="W212" s="31"/>
      <c r="X212" s="31"/>
      <c r="Y212" s="31"/>
      <c r="Z212" s="31"/>
    </row>
    <row r="213" spans="1:26" s="8" customForma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38"/>
      <c r="L213" s="27"/>
      <c r="M213" s="27"/>
      <c r="N213" s="39"/>
      <c r="O213" s="39"/>
      <c r="P213" s="39"/>
      <c r="Q213" s="31"/>
      <c r="R213" s="10"/>
      <c r="S213" s="31"/>
      <c r="T213" s="31"/>
      <c r="U213" s="31"/>
      <c r="V213" s="31"/>
      <c r="W213" s="31"/>
      <c r="X213" s="31"/>
      <c r="Y213" s="31"/>
      <c r="Z213" s="31"/>
    </row>
    <row r="214" spans="1:26" s="8" customForma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38"/>
      <c r="L214" s="27"/>
      <c r="M214" s="27"/>
      <c r="N214" s="39"/>
      <c r="O214" s="39"/>
      <c r="P214" s="39"/>
      <c r="Q214" s="31"/>
      <c r="R214" s="10"/>
      <c r="S214" s="31"/>
      <c r="T214" s="31"/>
      <c r="U214" s="31"/>
      <c r="V214" s="31"/>
      <c r="W214" s="31"/>
      <c r="X214" s="31"/>
      <c r="Y214" s="31"/>
      <c r="Z214" s="31"/>
    </row>
    <row r="215" spans="1:26" s="8" customForma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38"/>
      <c r="L215" s="27"/>
      <c r="M215" s="27"/>
      <c r="N215" s="39"/>
      <c r="O215" s="39"/>
      <c r="P215" s="39"/>
      <c r="Q215" s="31"/>
      <c r="R215" s="10"/>
      <c r="S215" s="31"/>
      <c r="T215" s="31"/>
      <c r="U215" s="31"/>
      <c r="V215" s="31"/>
      <c r="W215" s="31"/>
      <c r="X215" s="31"/>
      <c r="Y215" s="31"/>
      <c r="Z215" s="31"/>
    </row>
    <row r="216" spans="1:26" s="8" customForma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38"/>
      <c r="L216" s="27"/>
      <c r="M216" s="27"/>
      <c r="N216" s="39"/>
      <c r="O216" s="39"/>
      <c r="P216" s="39"/>
      <c r="Q216" s="31"/>
      <c r="R216" s="10"/>
      <c r="S216" s="31"/>
      <c r="T216" s="31"/>
      <c r="U216" s="31"/>
      <c r="V216" s="31"/>
      <c r="W216" s="31"/>
      <c r="X216" s="31"/>
      <c r="Y216" s="31"/>
      <c r="Z216" s="3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512A-AC67-4979-ABA6-CDC7CB309D8B}">
  <dimension ref="A1:BV268"/>
  <sheetViews>
    <sheetView topLeftCell="M1" zoomScale="140" zoomScaleNormal="140" workbookViewId="0">
      <selection activeCell="N1" sqref="N1:N1048576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20" customWidth="1"/>
    <col min="12" max="12" width="20.88671875" style="3" customWidth="1"/>
    <col min="13" max="13" width="28.109375" style="3" customWidth="1"/>
    <col min="14" max="15" width="20.6640625" style="30" customWidth="1"/>
    <col min="16" max="16" width="36.33203125" style="30" customWidth="1"/>
    <col min="17" max="17" width="23.21875" style="17" customWidth="1"/>
    <col min="18" max="18" width="30.88671875" style="9" customWidth="1"/>
    <col min="19" max="19" width="33.109375" style="9" customWidth="1"/>
    <col min="20" max="24" width="20.6640625" style="9" customWidth="1"/>
    <col min="25" max="25" width="49.77734375" style="9" customWidth="1"/>
    <col min="26" max="26" width="52.5546875" style="9" customWidth="1"/>
    <col min="27" max="16384" width="8.88671875" style="7"/>
  </cols>
  <sheetData>
    <row r="1" spans="1:26" s="6" customFormat="1" ht="53.4" customHeight="1" x14ac:dyDescent="0.3">
      <c r="A1" s="21" t="s">
        <v>7</v>
      </c>
      <c r="B1" s="22" t="s">
        <v>6</v>
      </c>
      <c r="C1" s="21" t="s">
        <v>2</v>
      </c>
      <c r="D1" s="21" t="s">
        <v>1</v>
      </c>
      <c r="E1" s="22" t="s">
        <v>0</v>
      </c>
      <c r="F1" s="21" t="s">
        <v>3</v>
      </c>
      <c r="G1" s="22" t="s">
        <v>11</v>
      </c>
      <c r="H1" s="21" t="s">
        <v>4</v>
      </c>
      <c r="I1" s="22" t="s">
        <v>12</v>
      </c>
      <c r="J1" s="22" t="s">
        <v>8</v>
      </c>
      <c r="K1" s="19" t="s">
        <v>5</v>
      </c>
      <c r="L1" s="22" t="s">
        <v>10</v>
      </c>
      <c r="M1" s="13" t="s">
        <v>41</v>
      </c>
      <c r="N1" s="29" t="s">
        <v>9</v>
      </c>
      <c r="O1" s="29" t="s">
        <v>34</v>
      </c>
      <c r="P1" s="29" t="s">
        <v>36</v>
      </c>
      <c r="Q1" s="18" t="s">
        <v>14</v>
      </c>
      <c r="R1" s="23" t="s">
        <v>26</v>
      </c>
      <c r="S1" s="23" t="s">
        <v>13</v>
      </c>
      <c r="T1" s="23" t="s">
        <v>27</v>
      </c>
      <c r="U1" s="23" t="s">
        <v>28</v>
      </c>
      <c r="V1" s="23" t="s">
        <v>15</v>
      </c>
      <c r="W1" s="23" t="s">
        <v>16</v>
      </c>
      <c r="X1" s="23" t="s">
        <v>29</v>
      </c>
      <c r="Y1" s="22" t="s">
        <v>46</v>
      </c>
      <c r="Z1" s="22" t="s">
        <v>47</v>
      </c>
    </row>
    <row r="2" spans="1:26" x14ac:dyDescent="0.25">
      <c r="A2" s="3">
        <v>0</v>
      </c>
      <c r="B2" s="3">
        <f>(A2/60)</f>
        <v>0</v>
      </c>
      <c r="C2" s="3">
        <v>20</v>
      </c>
      <c r="D2" s="3">
        <f t="shared" ref="D2:D65" si="0">(C2*1.4573)</f>
        <v>29.146000000000001</v>
      </c>
      <c r="E2" s="3">
        <f>(D2/(1000000*60))</f>
        <v>4.8576666666666667E-7</v>
      </c>
      <c r="F2" s="3">
        <v>21.1</v>
      </c>
      <c r="G2" s="3">
        <f>(273+F2)</f>
        <v>294.10000000000002</v>
      </c>
      <c r="H2" s="3">
        <v>101.3</v>
      </c>
      <c r="I2" s="3">
        <f>(H2*1000)</f>
        <v>101300</v>
      </c>
      <c r="J2" s="3">
        <f>((I2*E2)/(8.314*G2))</f>
        <v>2.0124824921938581E-5</v>
      </c>
      <c r="K2" s="20">
        <v>18.064356435643564</v>
      </c>
      <c r="L2" s="3">
        <f>(K2/1000000)</f>
        <v>1.8064356435643565E-5</v>
      </c>
      <c r="M2" s="3">
        <f>(3.142*3.07*3.07*25.4*25.4)/(4*1000000)</f>
        <v>4.7762865441819992E-3</v>
      </c>
      <c r="N2" s="26">
        <f>(L2*J2)/M2</f>
        <v>7.6113944846473295E-8</v>
      </c>
      <c r="O2" s="26">
        <f>(2.032/1000)</f>
        <v>2.032E-3</v>
      </c>
      <c r="P2" s="26">
        <v>7.0840480334740597E-11</v>
      </c>
      <c r="Q2" s="14"/>
      <c r="R2" s="2">
        <f>(1+Q2)*100000*1</f>
        <v>100000</v>
      </c>
      <c r="S2" s="2">
        <f>(SQRT(R2)-(N2*O2/P2))^2</f>
        <v>98623.948666526427</v>
      </c>
      <c r="T2" s="2">
        <f>(S2)</f>
        <v>98623.948666526427</v>
      </c>
      <c r="U2" s="2">
        <f>(5.19402087617513/1000)</f>
        <v>5.1940208761751296E-3</v>
      </c>
      <c r="V2" s="2">
        <v>0.13</v>
      </c>
      <c r="W2" s="2">
        <f>(1+V2)*100000</f>
        <v>112999.99999999999</v>
      </c>
      <c r="X2" s="2">
        <f>(L2*W2)</f>
        <v>2.0412722772277228</v>
      </c>
      <c r="Y2" s="2">
        <f>(N2*U2)/(T2-X2)</f>
        <v>4.0086166344383388E-15</v>
      </c>
      <c r="Z2" s="2">
        <f>(Y2*6.022E+23)</f>
        <v>2413988937.2587676</v>
      </c>
    </row>
    <row r="3" spans="1:26" x14ac:dyDescent="0.25">
      <c r="A3" s="3">
        <v>3</v>
      </c>
      <c r="B3" s="3">
        <f t="shared" ref="B3:B66" si="1">(A3/60)</f>
        <v>0.05</v>
      </c>
      <c r="C3" s="3">
        <v>20</v>
      </c>
      <c r="D3" s="3">
        <f t="shared" si="0"/>
        <v>29.146000000000001</v>
      </c>
      <c r="E3" s="3">
        <f t="shared" ref="E3:E66" si="2">(D3/(1000000*60))</f>
        <v>4.8576666666666667E-7</v>
      </c>
      <c r="F3" s="3">
        <v>21.1</v>
      </c>
      <c r="G3" s="3">
        <f t="shared" ref="G3:G66" si="3">(273+F3)</f>
        <v>294.10000000000002</v>
      </c>
      <c r="H3" s="3">
        <v>101.3</v>
      </c>
      <c r="I3" s="3">
        <f t="shared" ref="I3:I66" si="4">(H3*1000)</f>
        <v>101300</v>
      </c>
      <c r="J3" s="3">
        <f t="shared" ref="J3:J66" si="5">((I3*E3)/(8.314*G3))</f>
        <v>2.0124824921938581E-5</v>
      </c>
      <c r="K3" s="20">
        <v>11.158415841584159</v>
      </c>
      <c r="L3" s="3">
        <f t="shared" ref="L3:L66" si="6">(K3/1000000)</f>
        <v>1.1158415841584158E-5</v>
      </c>
      <c r="M3" s="3">
        <f t="shared" ref="M3:M66" si="7">(3.142*3.07*3.07*25.4*25.4)/(4*1000000)</f>
        <v>4.7762865441819992E-3</v>
      </c>
      <c r="N3" s="26">
        <f t="shared" ref="N3:N66" si="8">(L3*J3)/M3</f>
        <v>4.7015848639065712E-8</v>
      </c>
      <c r="O3" s="26">
        <f t="shared" ref="O3:O66" si="9">(2.032/1000)</f>
        <v>2.032E-3</v>
      </c>
      <c r="P3" s="26">
        <v>7.0840480334740597E-11</v>
      </c>
      <c r="Q3" s="14">
        <v>0.1</v>
      </c>
      <c r="R3" s="2">
        <f t="shared" ref="R3:R66" si="10">(1+Q3)*100000*1</f>
        <v>110000.00000000001</v>
      </c>
      <c r="S3" s="2">
        <f t="shared" ref="S3:S66" si="11">(SQRT(R3)-(N3*O3/P3))^2</f>
        <v>109107.25185107961</v>
      </c>
      <c r="T3" s="2">
        <f t="shared" ref="T3:T66" si="12">(S3)</f>
        <v>109107.25185107961</v>
      </c>
      <c r="U3" s="2">
        <f t="shared" ref="U3:U66" si="13">(5.19402087617513/1000)</f>
        <v>5.1940208761751296E-3</v>
      </c>
      <c r="V3" s="2">
        <v>0.13</v>
      </c>
      <c r="W3" s="2">
        <f t="shared" ref="W3:W66" si="14">(1+V3)*100000</f>
        <v>112999.99999999999</v>
      </c>
      <c r="X3" s="2">
        <f t="shared" ref="X3:X66" si="15">(L3*W3)</f>
        <v>1.2609009900990096</v>
      </c>
      <c r="Y3" s="2">
        <f t="shared" ref="Y3:Y66" si="16">(N3*U3)/(T3-X3)</f>
        <v>2.2382024783048546E-15</v>
      </c>
      <c r="Z3" s="2">
        <f t="shared" ref="Z3:Z66" si="17">(Y3*6.022E+23)</f>
        <v>1347845532.4351835</v>
      </c>
    </row>
    <row r="4" spans="1:26" x14ac:dyDescent="0.25">
      <c r="A4" s="3">
        <v>6</v>
      </c>
      <c r="B4" s="3">
        <f t="shared" si="1"/>
        <v>0.1</v>
      </c>
      <c r="C4" s="3">
        <v>20</v>
      </c>
      <c r="D4" s="3">
        <f t="shared" si="0"/>
        <v>29.146000000000001</v>
      </c>
      <c r="E4" s="3">
        <f t="shared" si="2"/>
        <v>4.8576666666666667E-7</v>
      </c>
      <c r="F4" s="3">
        <v>21.1</v>
      </c>
      <c r="G4" s="3">
        <f t="shared" si="3"/>
        <v>294.10000000000002</v>
      </c>
      <c r="H4" s="3">
        <v>101.3</v>
      </c>
      <c r="I4" s="3">
        <f t="shared" si="4"/>
        <v>101300</v>
      </c>
      <c r="J4" s="3">
        <f t="shared" si="5"/>
        <v>2.0124824921938581E-5</v>
      </c>
      <c r="K4" s="20">
        <v>12.173267326732674</v>
      </c>
      <c r="L4" s="3">
        <f t="shared" si="6"/>
        <v>1.2173267326732674E-5</v>
      </c>
      <c r="M4" s="3">
        <f t="shared" si="7"/>
        <v>4.7762865441819992E-3</v>
      </c>
      <c r="N4" s="26">
        <f t="shared" si="8"/>
        <v>5.1291912956283322E-8</v>
      </c>
      <c r="O4" s="26">
        <f t="shared" si="9"/>
        <v>2.032E-3</v>
      </c>
      <c r="P4" s="26">
        <v>7.0840480334740597E-11</v>
      </c>
      <c r="Q4" s="14">
        <v>0.1</v>
      </c>
      <c r="R4" s="2">
        <f t="shared" si="10"/>
        <v>110000.00000000001</v>
      </c>
      <c r="S4" s="2">
        <f t="shared" si="11"/>
        <v>109026.23738041102</v>
      </c>
      <c r="T4" s="2">
        <f t="shared" si="12"/>
        <v>109026.23738041102</v>
      </c>
      <c r="U4" s="2">
        <f t="shared" si="13"/>
        <v>5.1940208761751296E-3</v>
      </c>
      <c r="V4" s="2">
        <v>0.13</v>
      </c>
      <c r="W4" s="2">
        <f t="shared" si="14"/>
        <v>112999.99999999999</v>
      </c>
      <c r="X4" s="2">
        <f t="shared" si="15"/>
        <v>1.375579207920792</v>
      </c>
      <c r="Y4" s="2">
        <f t="shared" si="16"/>
        <v>2.4435827046464855E-15</v>
      </c>
      <c r="Z4" s="2">
        <f t="shared" si="17"/>
        <v>1471525504.7381136</v>
      </c>
    </row>
    <row r="5" spans="1:26" x14ac:dyDescent="0.25">
      <c r="A5" s="3">
        <v>9</v>
      </c>
      <c r="B5" s="3">
        <f t="shared" si="1"/>
        <v>0.15</v>
      </c>
      <c r="C5" s="3">
        <v>20</v>
      </c>
      <c r="D5" s="3">
        <f t="shared" si="0"/>
        <v>29.146000000000001</v>
      </c>
      <c r="E5" s="3">
        <f t="shared" si="2"/>
        <v>4.8576666666666667E-7</v>
      </c>
      <c r="F5" s="3">
        <v>21.1</v>
      </c>
      <c r="G5" s="3">
        <f t="shared" si="3"/>
        <v>294.10000000000002</v>
      </c>
      <c r="H5" s="3">
        <v>101.3</v>
      </c>
      <c r="I5" s="3">
        <f t="shared" si="4"/>
        <v>101300</v>
      </c>
      <c r="J5" s="3">
        <f t="shared" si="5"/>
        <v>2.0124824921938581E-5</v>
      </c>
      <c r="K5" s="20">
        <v>20.613861386138613</v>
      </c>
      <c r="L5" s="3">
        <f t="shared" si="6"/>
        <v>2.0613861386138613E-5</v>
      </c>
      <c r="M5" s="3">
        <f t="shared" si="7"/>
        <v>4.7762865441819992E-3</v>
      </c>
      <c r="N5" s="26">
        <f t="shared" si="8"/>
        <v>8.6856252765337024E-8</v>
      </c>
      <c r="O5" s="26">
        <f t="shared" si="9"/>
        <v>2.032E-3</v>
      </c>
      <c r="P5" s="26">
        <v>7.0840480334740597E-11</v>
      </c>
      <c r="Q5" s="14">
        <v>0.1</v>
      </c>
      <c r="R5" s="2">
        <f t="shared" si="10"/>
        <v>110000.00000000001</v>
      </c>
      <c r="S5" s="2">
        <f t="shared" si="11"/>
        <v>108353.59989687987</v>
      </c>
      <c r="T5" s="2">
        <f t="shared" si="12"/>
        <v>108353.59989687987</v>
      </c>
      <c r="U5" s="2">
        <f t="shared" si="13"/>
        <v>5.1940208761751296E-3</v>
      </c>
      <c r="V5" s="2">
        <v>0.13</v>
      </c>
      <c r="W5" s="2">
        <f t="shared" si="14"/>
        <v>112999.99999999999</v>
      </c>
      <c r="X5" s="2">
        <f t="shared" si="15"/>
        <v>2.329366336633663</v>
      </c>
      <c r="Y5" s="2">
        <f t="shared" si="16"/>
        <v>4.1636169828053284E-15</v>
      </c>
      <c r="Z5" s="2">
        <f t="shared" si="17"/>
        <v>2507330147.0453687</v>
      </c>
    </row>
    <row r="6" spans="1:26" x14ac:dyDescent="0.25">
      <c r="A6" s="3">
        <v>12</v>
      </c>
      <c r="B6" s="3">
        <f t="shared" si="1"/>
        <v>0.2</v>
      </c>
      <c r="C6" s="3">
        <v>20</v>
      </c>
      <c r="D6" s="3">
        <f t="shared" si="0"/>
        <v>29.146000000000001</v>
      </c>
      <c r="E6" s="3">
        <f t="shared" si="2"/>
        <v>4.8576666666666667E-7</v>
      </c>
      <c r="F6" s="3">
        <v>21.1</v>
      </c>
      <c r="G6" s="3">
        <f t="shared" si="3"/>
        <v>294.10000000000002</v>
      </c>
      <c r="H6" s="3">
        <v>101.3</v>
      </c>
      <c r="I6" s="3">
        <f t="shared" si="4"/>
        <v>101300</v>
      </c>
      <c r="J6" s="3">
        <f t="shared" si="5"/>
        <v>2.0124824921938581E-5</v>
      </c>
      <c r="K6" s="20">
        <v>10.737623762376238</v>
      </c>
      <c r="L6" s="3">
        <f t="shared" si="6"/>
        <v>1.0737623762376238E-5</v>
      </c>
      <c r="M6" s="3">
        <f t="shared" si="7"/>
        <v>4.7762865441819992E-3</v>
      </c>
      <c r="N6" s="26">
        <f t="shared" si="8"/>
        <v>4.5242846361195006E-8</v>
      </c>
      <c r="O6" s="26">
        <f t="shared" si="9"/>
        <v>2.032E-3</v>
      </c>
      <c r="P6" s="26">
        <v>7.0840480334740597E-11</v>
      </c>
      <c r="Q6" s="14">
        <v>0.1</v>
      </c>
      <c r="R6" s="2">
        <f t="shared" si="10"/>
        <v>110000.00000000001</v>
      </c>
      <c r="S6" s="2">
        <f t="shared" si="11"/>
        <v>109140.8520413033</v>
      </c>
      <c r="T6" s="2">
        <f t="shared" si="12"/>
        <v>109140.8520413033</v>
      </c>
      <c r="U6" s="2">
        <f t="shared" si="13"/>
        <v>5.1940208761751296E-3</v>
      </c>
      <c r="V6" s="2">
        <v>0.13</v>
      </c>
      <c r="W6" s="2">
        <f t="shared" si="14"/>
        <v>112999.99999999999</v>
      </c>
      <c r="X6" s="2">
        <f t="shared" si="15"/>
        <v>1.2133514851485148</v>
      </c>
      <c r="Y6" s="2">
        <f t="shared" si="16"/>
        <v>2.1531341987075291E-15</v>
      </c>
      <c r="Z6" s="2">
        <f t="shared" si="17"/>
        <v>1296617414.461674</v>
      </c>
    </row>
    <row r="7" spans="1:26" x14ac:dyDescent="0.25">
      <c r="A7" s="3">
        <v>15</v>
      </c>
      <c r="B7" s="3">
        <f t="shared" si="1"/>
        <v>0.25</v>
      </c>
      <c r="C7" s="3">
        <v>20</v>
      </c>
      <c r="D7" s="3">
        <f t="shared" si="0"/>
        <v>29.146000000000001</v>
      </c>
      <c r="E7" s="3">
        <f t="shared" si="2"/>
        <v>4.8576666666666667E-7</v>
      </c>
      <c r="F7" s="3">
        <v>21.1</v>
      </c>
      <c r="G7" s="3">
        <f t="shared" si="3"/>
        <v>294.10000000000002</v>
      </c>
      <c r="H7" s="3">
        <v>101.3</v>
      </c>
      <c r="I7" s="3">
        <f t="shared" si="4"/>
        <v>101300</v>
      </c>
      <c r="J7" s="3">
        <f t="shared" si="5"/>
        <v>2.0124824921938581E-5</v>
      </c>
      <c r="K7" s="20">
        <v>12.891089108910892</v>
      </c>
      <c r="L7" s="3">
        <f t="shared" si="6"/>
        <v>1.2891089108910892E-5</v>
      </c>
      <c r="M7" s="3">
        <f t="shared" si="7"/>
        <v>4.7762865441819992E-3</v>
      </c>
      <c r="N7" s="26">
        <f t="shared" si="8"/>
        <v>5.4316446253827476E-8</v>
      </c>
      <c r="O7" s="26">
        <f t="shared" si="9"/>
        <v>2.032E-3</v>
      </c>
      <c r="P7" s="26">
        <v>7.0840480334740597E-11</v>
      </c>
      <c r="Q7" s="14">
        <v>0.1</v>
      </c>
      <c r="R7" s="2">
        <f t="shared" si="10"/>
        <v>110000.00000000001</v>
      </c>
      <c r="S7" s="2">
        <f t="shared" si="11"/>
        <v>108968.95262988535</v>
      </c>
      <c r="T7" s="2">
        <f t="shared" si="12"/>
        <v>108968.95262988535</v>
      </c>
      <c r="U7" s="2">
        <f t="shared" si="13"/>
        <v>5.1940208761751296E-3</v>
      </c>
      <c r="V7" s="2">
        <v>0.13</v>
      </c>
      <c r="W7" s="2">
        <f t="shared" si="14"/>
        <v>112999.99999999999</v>
      </c>
      <c r="X7" s="2">
        <f t="shared" si="15"/>
        <v>1.4566930693069307</v>
      </c>
      <c r="Y7" s="2">
        <f t="shared" si="16"/>
        <v>2.5890358710785633E-15</v>
      </c>
      <c r="Z7" s="2">
        <f t="shared" si="17"/>
        <v>1559117401.5635109</v>
      </c>
    </row>
    <row r="8" spans="1:26" x14ac:dyDescent="0.25">
      <c r="A8" s="3">
        <v>18</v>
      </c>
      <c r="B8" s="3">
        <f t="shared" si="1"/>
        <v>0.3</v>
      </c>
      <c r="C8" s="3">
        <v>20</v>
      </c>
      <c r="D8" s="3">
        <f t="shared" si="0"/>
        <v>29.146000000000001</v>
      </c>
      <c r="E8" s="3">
        <f t="shared" si="2"/>
        <v>4.8576666666666667E-7</v>
      </c>
      <c r="F8" s="3">
        <v>21.1</v>
      </c>
      <c r="G8" s="3">
        <f t="shared" si="3"/>
        <v>294.10000000000002</v>
      </c>
      <c r="H8" s="3">
        <v>101.3</v>
      </c>
      <c r="I8" s="3">
        <f t="shared" si="4"/>
        <v>101300</v>
      </c>
      <c r="J8" s="3">
        <f t="shared" si="5"/>
        <v>2.0124824921938581E-5</v>
      </c>
      <c r="K8" s="20">
        <v>17.56930693069307</v>
      </c>
      <c r="L8" s="3">
        <f t="shared" si="6"/>
        <v>1.7569306930693071E-5</v>
      </c>
      <c r="M8" s="3">
        <f t="shared" si="7"/>
        <v>4.7762865441819992E-3</v>
      </c>
      <c r="N8" s="26">
        <f t="shared" si="8"/>
        <v>7.4028059813684223E-8</v>
      </c>
      <c r="O8" s="26">
        <f t="shared" si="9"/>
        <v>2.032E-3</v>
      </c>
      <c r="P8" s="26">
        <v>7.0840480334740597E-11</v>
      </c>
      <c r="Q8" s="14">
        <v>0.1</v>
      </c>
      <c r="R8" s="2">
        <f t="shared" si="10"/>
        <v>110000.00000000001</v>
      </c>
      <c r="S8" s="2">
        <f t="shared" si="11"/>
        <v>108595.98282607573</v>
      </c>
      <c r="T8" s="2">
        <f t="shared" si="12"/>
        <v>108595.98282607573</v>
      </c>
      <c r="U8" s="2">
        <f t="shared" si="13"/>
        <v>5.1940208761751296E-3</v>
      </c>
      <c r="V8" s="2">
        <v>0.13</v>
      </c>
      <c r="W8" s="2">
        <f t="shared" si="14"/>
        <v>112999.99999999999</v>
      </c>
      <c r="X8" s="2">
        <f t="shared" si="15"/>
        <v>1.9853316831683168</v>
      </c>
      <c r="Y8" s="2">
        <f t="shared" si="16"/>
        <v>3.5407416336696836E-15</v>
      </c>
      <c r="Z8" s="2">
        <f t="shared" si="17"/>
        <v>2132234611.7958837</v>
      </c>
    </row>
    <row r="9" spans="1:26" x14ac:dyDescent="0.25">
      <c r="A9" s="3">
        <v>21</v>
      </c>
      <c r="B9" s="3">
        <f t="shared" si="1"/>
        <v>0.35</v>
      </c>
      <c r="C9" s="3">
        <v>20</v>
      </c>
      <c r="D9" s="3">
        <f t="shared" si="0"/>
        <v>29.146000000000001</v>
      </c>
      <c r="E9" s="3">
        <f t="shared" si="2"/>
        <v>4.8576666666666667E-7</v>
      </c>
      <c r="F9" s="3">
        <v>21.1</v>
      </c>
      <c r="G9" s="3">
        <f t="shared" si="3"/>
        <v>294.10000000000002</v>
      </c>
      <c r="H9" s="3">
        <v>101.3</v>
      </c>
      <c r="I9" s="3">
        <f t="shared" si="4"/>
        <v>101300</v>
      </c>
      <c r="J9" s="3">
        <f t="shared" si="5"/>
        <v>2.0124824921938581E-5</v>
      </c>
      <c r="K9" s="20">
        <v>14.970297029702971</v>
      </c>
      <c r="L9" s="3">
        <f t="shared" si="6"/>
        <v>1.4970297029702972E-5</v>
      </c>
      <c r="M9" s="3">
        <f t="shared" si="7"/>
        <v>4.7762865441819992E-3</v>
      </c>
      <c r="N9" s="26">
        <f t="shared" si="8"/>
        <v>6.3077163391541587E-8</v>
      </c>
      <c r="O9" s="26">
        <f t="shared" si="9"/>
        <v>2.032E-3</v>
      </c>
      <c r="P9" s="26">
        <v>7.0840480334740597E-11</v>
      </c>
      <c r="Q9" s="14">
        <v>0.1</v>
      </c>
      <c r="R9" s="2">
        <f t="shared" si="10"/>
        <v>110000.00000000001</v>
      </c>
      <c r="S9" s="2">
        <f t="shared" si="11"/>
        <v>108803.10933688618</v>
      </c>
      <c r="T9" s="2">
        <f t="shared" si="12"/>
        <v>108803.10933688618</v>
      </c>
      <c r="U9" s="2">
        <f t="shared" si="13"/>
        <v>5.1940208761751296E-3</v>
      </c>
      <c r="V9" s="2">
        <v>0.13</v>
      </c>
      <c r="W9" s="2">
        <f t="shared" si="14"/>
        <v>112999.99999999999</v>
      </c>
      <c r="X9" s="2">
        <f t="shared" si="15"/>
        <v>1.6916435643564356</v>
      </c>
      <c r="Y9" s="2">
        <f t="shared" si="16"/>
        <v>3.0112117140702114E-15</v>
      </c>
      <c r="Z9" s="2">
        <f t="shared" si="17"/>
        <v>1813351694.2130814</v>
      </c>
    </row>
    <row r="10" spans="1:26" x14ac:dyDescent="0.25">
      <c r="A10" s="3">
        <v>24</v>
      </c>
      <c r="B10" s="3">
        <f t="shared" si="1"/>
        <v>0.4</v>
      </c>
      <c r="C10" s="3">
        <v>20</v>
      </c>
      <c r="D10" s="3">
        <f t="shared" si="0"/>
        <v>29.146000000000001</v>
      </c>
      <c r="E10" s="3">
        <f t="shared" si="2"/>
        <v>4.8576666666666667E-7</v>
      </c>
      <c r="F10" s="3">
        <v>21.1</v>
      </c>
      <c r="G10" s="3">
        <f t="shared" si="3"/>
        <v>294.10000000000002</v>
      </c>
      <c r="H10" s="3">
        <v>101.3</v>
      </c>
      <c r="I10" s="3">
        <f t="shared" si="4"/>
        <v>101300</v>
      </c>
      <c r="J10" s="3">
        <f t="shared" si="5"/>
        <v>2.0124824921938581E-5</v>
      </c>
      <c r="K10" s="20">
        <v>18.559405940594061</v>
      </c>
      <c r="L10" s="3">
        <f t="shared" si="6"/>
        <v>1.8559405940594063E-5</v>
      </c>
      <c r="M10" s="3">
        <f t="shared" si="7"/>
        <v>4.7762865441819992E-3</v>
      </c>
      <c r="N10" s="26">
        <f t="shared" si="8"/>
        <v>7.8199829879262379E-8</v>
      </c>
      <c r="O10" s="26">
        <f t="shared" si="9"/>
        <v>2.032E-3</v>
      </c>
      <c r="P10" s="26">
        <v>7.0840480334740597E-11</v>
      </c>
      <c r="Q10" s="14">
        <v>0.1</v>
      </c>
      <c r="R10" s="2">
        <f t="shared" si="10"/>
        <v>110000.00000000001</v>
      </c>
      <c r="S10" s="2">
        <f t="shared" si="11"/>
        <v>108517.12939648727</v>
      </c>
      <c r="T10" s="2">
        <f t="shared" si="12"/>
        <v>108517.12939648727</v>
      </c>
      <c r="U10" s="2">
        <f t="shared" si="13"/>
        <v>5.1940208761751296E-3</v>
      </c>
      <c r="V10" s="2">
        <v>0.13</v>
      </c>
      <c r="W10" s="2">
        <f t="shared" si="14"/>
        <v>112999.99999999999</v>
      </c>
      <c r="X10" s="2">
        <f t="shared" si="15"/>
        <v>2.097212871287129</v>
      </c>
      <c r="Y10" s="2">
        <f t="shared" si="16"/>
        <v>3.7429980043590472E-15</v>
      </c>
      <c r="Z10" s="2">
        <f t="shared" si="17"/>
        <v>2254033398.2250185</v>
      </c>
    </row>
    <row r="11" spans="1:26" x14ac:dyDescent="0.25">
      <c r="A11" s="3">
        <v>27</v>
      </c>
      <c r="B11" s="3">
        <f t="shared" si="1"/>
        <v>0.45</v>
      </c>
      <c r="C11" s="3">
        <v>20</v>
      </c>
      <c r="D11" s="3">
        <f t="shared" si="0"/>
        <v>29.146000000000001</v>
      </c>
      <c r="E11" s="3">
        <f t="shared" si="2"/>
        <v>4.8576666666666667E-7</v>
      </c>
      <c r="F11" s="3">
        <v>21.1</v>
      </c>
      <c r="G11" s="3">
        <f t="shared" si="3"/>
        <v>294.10000000000002</v>
      </c>
      <c r="H11" s="3">
        <v>101.3</v>
      </c>
      <c r="I11" s="3">
        <f t="shared" si="4"/>
        <v>101300</v>
      </c>
      <c r="J11" s="3">
        <f t="shared" si="5"/>
        <v>2.0124824921938581E-5</v>
      </c>
      <c r="K11" s="20">
        <v>14.574257425742575</v>
      </c>
      <c r="L11" s="3">
        <f t="shared" si="6"/>
        <v>1.4574257425742576E-5</v>
      </c>
      <c r="M11" s="3">
        <f t="shared" si="7"/>
        <v>4.7762865441819992E-3</v>
      </c>
      <c r="N11" s="26">
        <f t="shared" si="8"/>
        <v>6.1408455365310327E-8</v>
      </c>
      <c r="O11" s="26">
        <f t="shared" si="9"/>
        <v>2.032E-3</v>
      </c>
      <c r="P11" s="26">
        <v>7.0840480334740597E-11</v>
      </c>
      <c r="Q11" s="14">
        <v>0.1</v>
      </c>
      <c r="R11" s="2">
        <f t="shared" si="10"/>
        <v>110000.00000000001</v>
      </c>
      <c r="S11" s="2">
        <f t="shared" si="11"/>
        <v>108834.68879835353</v>
      </c>
      <c r="T11" s="2">
        <f t="shared" si="12"/>
        <v>108834.68879835353</v>
      </c>
      <c r="U11" s="2">
        <f t="shared" si="13"/>
        <v>5.1940208761751296E-3</v>
      </c>
      <c r="V11" s="2">
        <v>0.13</v>
      </c>
      <c r="W11" s="2">
        <f t="shared" si="14"/>
        <v>112999.99999999999</v>
      </c>
      <c r="X11" s="2">
        <f t="shared" si="15"/>
        <v>1.6468910891089108</v>
      </c>
      <c r="Y11" s="2">
        <f t="shared" si="16"/>
        <v>2.9306981919412901E-15</v>
      </c>
      <c r="Z11" s="2">
        <f t="shared" si="17"/>
        <v>1764866451.1870449</v>
      </c>
    </row>
    <row r="12" spans="1:26" x14ac:dyDescent="0.25">
      <c r="A12" s="3">
        <v>30</v>
      </c>
      <c r="B12" s="3">
        <f t="shared" si="1"/>
        <v>0.5</v>
      </c>
      <c r="C12" s="3">
        <v>20</v>
      </c>
      <c r="D12" s="3">
        <f t="shared" si="0"/>
        <v>29.146000000000001</v>
      </c>
      <c r="E12" s="3">
        <f t="shared" si="2"/>
        <v>4.8576666666666667E-7</v>
      </c>
      <c r="F12" s="3">
        <v>21.1</v>
      </c>
      <c r="G12" s="3">
        <f t="shared" si="3"/>
        <v>294.10000000000002</v>
      </c>
      <c r="H12" s="3">
        <v>101.3</v>
      </c>
      <c r="I12" s="3">
        <f t="shared" si="4"/>
        <v>101300</v>
      </c>
      <c r="J12" s="3">
        <f t="shared" si="5"/>
        <v>2.0124824921938581E-5</v>
      </c>
      <c r="K12" s="20">
        <v>21.801980198019802</v>
      </c>
      <c r="L12" s="3">
        <f t="shared" si="6"/>
        <v>2.18019801980198E-5</v>
      </c>
      <c r="M12" s="3">
        <f t="shared" si="7"/>
        <v>4.7762865441819992E-3</v>
      </c>
      <c r="N12" s="26">
        <f t="shared" si="8"/>
        <v>9.1862376844030791E-8</v>
      </c>
      <c r="O12" s="26">
        <f t="shared" si="9"/>
        <v>2.032E-3</v>
      </c>
      <c r="P12" s="26">
        <v>7.0840480334740597E-11</v>
      </c>
      <c r="Q12" s="14">
        <v>0.1</v>
      </c>
      <c r="R12" s="2">
        <f t="shared" si="10"/>
        <v>110000.00000000001</v>
      </c>
      <c r="S12" s="2">
        <f t="shared" si="11"/>
        <v>108259.08489528176</v>
      </c>
      <c r="T12" s="2">
        <f t="shared" si="12"/>
        <v>108259.08489528176</v>
      </c>
      <c r="U12" s="2">
        <f t="shared" si="13"/>
        <v>5.1940208761751296E-3</v>
      </c>
      <c r="V12" s="2">
        <v>0.13</v>
      </c>
      <c r="W12" s="2">
        <f t="shared" si="14"/>
        <v>112999.99999999999</v>
      </c>
      <c r="X12" s="2">
        <f t="shared" si="15"/>
        <v>2.4636237623762369</v>
      </c>
      <c r="Y12" s="2">
        <f t="shared" si="16"/>
        <v>4.407444990050594E-15</v>
      </c>
      <c r="Z12" s="2">
        <f t="shared" si="17"/>
        <v>2654163373.0084677</v>
      </c>
    </row>
    <row r="13" spans="1:26" x14ac:dyDescent="0.25">
      <c r="A13" s="3">
        <v>33</v>
      </c>
      <c r="B13" s="3">
        <f t="shared" si="1"/>
        <v>0.55000000000000004</v>
      </c>
      <c r="C13" s="3">
        <v>20</v>
      </c>
      <c r="D13" s="3">
        <f t="shared" si="0"/>
        <v>29.146000000000001</v>
      </c>
      <c r="E13" s="3">
        <f t="shared" si="2"/>
        <v>4.8576666666666667E-7</v>
      </c>
      <c r="F13" s="3">
        <v>21.1</v>
      </c>
      <c r="G13" s="3">
        <f t="shared" si="3"/>
        <v>294.10000000000002</v>
      </c>
      <c r="H13" s="3">
        <v>101.3</v>
      </c>
      <c r="I13" s="3">
        <f t="shared" si="4"/>
        <v>101300</v>
      </c>
      <c r="J13" s="3">
        <f t="shared" si="5"/>
        <v>2.0124824921938581E-5</v>
      </c>
      <c r="K13" s="20">
        <v>25.490099009900991</v>
      </c>
      <c r="L13" s="3">
        <f t="shared" si="6"/>
        <v>2.5490099009900991E-5</v>
      </c>
      <c r="M13" s="3">
        <f t="shared" si="7"/>
        <v>4.7762865441819992E-3</v>
      </c>
      <c r="N13" s="26">
        <f t="shared" si="8"/>
        <v>1.0740222033830941E-7</v>
      </c>
      <c r="O13" s="26">
        <f t="shared" si="9"/>
        <v>2.032E-3</v>
      </c>
      <c r="P13" s="26">
        <v>7.0840480334740597E-11</v>
      </c>
      <c r="Q13" s="14">
        <v>0.1</v>
      </c>
      <c r="R13" s="2">
        <f t="shared" si="10"/>
        <v>110000.00000000001</v>
      </c>
      <c r="S13" s="2">
        <f t="shared" si="11"/>
        <v>107965.95727635655</v>
      </c>
      <c r="T13" s="2">
        <f t="shared" si="12"/>
        <v>107965.95727635655</v>
      </c>
      <c r="U13" s="2">
        <f t="shared" si="13"/>
        <v>5.1940208761751296E-3</v>
      </c>
      <c r="V13" s="2">
        <v>0.13</v>
      </c>
      <c r="W13" s="2">
        <f t="shared" si="14"/>
        <v>112999.99999999999</v>
      </c>
      <c r="X13" s="2">
        <f t="shared" si="15"/>
        <v>2.8803811881188115</v>
      </c>
      <c r="Y13" s="2">
        <f t="shared" si="16"/>
        <v>5.1670384971188708E-15</v>
      </c>
      <c r="Z13" s="2">
        <f t="shared" si="17"/>
        <v>3111590582.9649839</v>
      </c>
    </row>
    <row r="14" spans="1:26" x14ac:dyDescent="0.25">
      <c r="A14" s="3">
        <v>36</v>
      </c>
      <c r="B14" s="3">
        <f t="shared" si="1"/>
        <v>0.6</v>
      </c>
      <c r="C14" s="3">
        <v>20</v>
      </c>
      <c r="D14" s="3">
        <f t="shared" si="0"/>
        <v>29.146000000000001</v>
      </c>
      <c r="E14" s="3">
        <f t="shared" si="2"/>
        <v>4.8576666666666667E-7</v>
      </c>
      <c r="F14" s="3">
        <v>21.1</v>
      </c>
      <c r="G14" s="3">
        <f t="shared" si="3"/>
        <v>294.10000000000002</v>
      </c>
      <c r="H14" s="3">
        <v>101.3</v>
      </c>
      <c r="I14" s="3">
        <f t="shared" si="4"/>
        <v>101300</v>
      </c>
      <c r="J14" s="3">
        <f t="shared" si="5"/>
        <v>2.0124824921938581E-5</v>
      </c>
      <c r="K14" s="20">
        <v>27.519801980198018</v>
      </c>
      <c r="L14" s="3">
        <f t="shared" si="6"/>
        <v>2.7519801980198019E-5</v>
      </c>
      <c r="M14" s="3">
        <f t="shared" si="7"/>
        <v>4.7762865441819992E-3</v>
      </c>
      <c r="N14" s="26">
        <f t="shared" si="8"/>
        <v>1.1595434897274459E-7</v>
      </c>
      <c r="O14" s="26">
        <f t="shared" si="9"/>
        <v>2.032E-3</v>
      </c>
      <c r="P14" s="26">
        <v>7.0840480334740597E-11</v>
      </c>
      <c r="Q14" s="14">
        <v>0.1</v>
      </c>
      <c r="R14" s="2">
        <f t="shared" si="10"/>
        <v>110000.00000000001</v>
      </c>
      <c r="S14" s="2">
        <f t="shared" si="11"/>
        <v>107804.80824489609</v>
      </c>
      <c r="T14" s="2">
        <f t="shared" si="12"/>
        <v>107804.80824489609</v>
      </c>
      <c r="U14" s="2">
        <f t="shared" si="13"/>
        <v>5.1940208761751296E-3</v>
      </c>
      <c r="V14" s="2">
        <v>0.13</v>
      </c>
      <c r="W14" s="2">
        <f t="shared" si="14"/>
        <v>112999.99999999999</v>
      </c>
      <c r="X14" s="2">
        <f t="shared" si="15"/>
        <v>3.1097376237623759</v>
      </c>
      <c r="Y14" s="2">
        <f t="shared" si="16"/>
        <v>5.5868257883441637E-15</v>
      </c>
      <c r="Z14" s="2">
        <f t="shared" si="17"/>
        <v>3364386489.7408557</v>
      </c>
    </row>
    <row r="15" spans="1:26" x14ac:dyDescent="0.25">
      <c r="A15" s="3">
        <v>39</v>
      </c>
      <c r="B15" s="3">
        <f t="shared" si="1"/>
        <v>0.65</v>
      </c>
      <c r="C15" s="3">
        <v>20</v>
      </c>
      <c r="D15" s="3">
        <f t="shared" si="0"/>
        <v>29.146000000000001</v>
      </c>
      <c r="E15" s="3">
        <f t="shared" si="2"/>
        <v>4.8576666666666667E-7</v>
      </c>
      <c r="F15" s="3">
        <v>21.1</v>
      </c>
      <c r="G15" s="3">
        <f t="shared" si="3"/>
        <v>294.10000000000002</v>
      </c>
      <c r="H15" s="3">
        <v>101.3</v>
      </c>
      <c r="I15" s="3">
        <f t="shared" si="4"/>
        <v>101300</v>
      </c>
      <c r="J15" s="3">
        <f t="shared" si="5"/>
        <v>2.0124824921938581E-5</v>
      </c>
      <c r="K15" s="20">
        <v>32.222772277227726</v>
      </c>
      <c r="L15" s="3">
        <f t="shared" si="6"/>
        <v>3.2222772277227727E-5</v>
      </c>
      <c r="M15" s="3">
        <f t="shared" si="7"/>
        <v>4.7762865441819992E-3</v>
      </c>
      <c r="N15" s="26">
        <f t="shared" si="8"/>
        <v>1.3577025678424081E-7</v>
      </c>
      <c r="O15" s="26">
        <f t="shared" si="9"/>
        <v>2.032E-3</v>
      </c>
      <c r="P15" s="26">
        <v>7.0840480334740597E-11</v>
      </c>
      <c r="Q15" s="14">
        <v>0.1</v>
      </c>
      <c r="R15" s="2">
        <f t="shared" si="10"/>
        <v>110000.00000000001</v>
      </c>
      <c r="S15" s="2">
        <f t="shared" si="11"/>
        <v>107431.87666456915</v>
      </c>
      <c r="T15" s="2">
        <f t="shared" si="12"/>
        <v>107431.87666456915</v>
      </c>
      <c r="U15" s="2">
        <f t="shared" si="13"/>
        <v>5.1940208761751296E-3</v>
      </c>
      <c r="V15" s="2">
        <v>0.13</v>
      </c>
      <c r="W15" s="2">
        <f t="shared" si="14"/>
        <v>112999.99999999999</v>
      </c>
      <c r="X15" s="2">
        <f t="shared" si="15"/>
        <v>3.6411732673267325</v>
      </c>
      <c r="Y15" s="2">
        <f t="shared" si="16"/>
        <v>6.5643221716892334E-15</v>
      </c>
      <c r="Z15" s="2">
        <f t="shared" si="17"/>
        <v>3953034811.7912564</v>
      </c>
    </row>
    <row r="16" spans="1:26" x14ac:dyDescent="0.25">
      <c r="A16" s="3">
        <v>42</v>
      </c>
      <c r="B16" s="3">
        <f t="shared" si="1"/>
        <v>0.7</v>
      </c>
      <c r="C16" s="3">
        <v>20</v>
      </c>
      <c r="D16" s="3">
        <f t="shared" si="0"/>
        <v>29.146000000000001</v>
      </c>
      <c r="E16" s="3">
        <f t="shared" si="2"/>
        <v>4.8576666666666667E-7</v>
      </c>
      <c r="F16" s="3">
        <v>21.1</v>
      </c>
      <c r="G16" s="3">
        <f t="shared" si="3"/>
        <v>294.10000000000002</v>
      </c>
      <c r="H16" s="3">
        <v>101.3</v>
      </c>
      <c r="I16" s="3">
        <f t="shared" si="4"/>
        <v>101300</v>
      </c>
      <c r="J16" s="3">
        <f t="shared" si="5"/>
        <v>2.0124824921938581E-5</v>
      </c>
      <c r="K16" s="20">
        <v>29.920792079207924</v>
      </c>
      <c r="L16" s="3">
        <f t="shared" si="6"/>
        <v>2.9920792079207926E-5</v>
      </c>
      <c r="M16" s="3">
        <f t="shared" si="7"/>
        <v>4.7762865441819992E-3</v>
      </c>
      <c r="N16" s="26">
        <f t="shared" si="8"/>
        <v>1.2607089138177161E-7</v>
      </c>
      <c r="O16" s="26">
        <f t="shared" si="9"/>
        <v>2.032E-3</v>
      </c>
      <c r="P16" s="26">
        <v>7.0840480334740597E-11</v>
      </c>
      <c r="Q16" s="14">
        <v>0.1</v>
      </c>
      <c r="R16" s="2">
        <f t="shared" si="10"/>
        <v>110000.00000000001</v>
      </c>
      <c r="S16" s="2">
        <f t="shared" si="11"/>
        <v>107614.33612452383</v>
      </c>
      <c r="T16" s="2">
        <f t="shared" si="12"/>
        <v>107614.33612452383</v>
      </c>
      <c r="U16" s="2">
        <f t="shared" si="13"/>
        <v>5.1940208761751296E-3</v>
      </c>
      <c r="V16" s="2">
        <v>0.13</v>
      </c>
      <c r="W16" s="2">
        <f t="shared" si="14"/>
        <v>112999.99999999999</v>
      </c>
      <c r="X16" s="2">
        <f t="shared" si="15"/>
        <v>3.3810495049504952</v>
      </c>
      <c r="Y16" s="2">
        <f t="shared" si="16"/>
        <v>6.0850202589358822E-15</v>
      </c>
      <c r="Z16" s="2">
        <f t="shared" si="17"/>
        <v>3664399199.9311886</v>
      </c>
    </row>
    <row r="17" spans="1:74" s="4" customFormat="1" x14ac:dyDescent="0.25">
      <c r="A17" s="3">
        <v>45</v>
      </c>
      <c r="B17" s="3">
        <f t="shared" si="1"/>
        <v>0.75</v>
      </c>
      <c r="C17" s="3">
        <v>20</v>
      </c>
      <c r="D17" s="3">
        <f t="shared" si="0"/>
        <v>29.146000000000001</v>
      </c>
      <c r="E17" s="3">
        <f t="shared" si="2"/>
        <v>4.8576666666666667E-7</v>
      </c>
      <c r="F17" s="3">
        <v>21.1</v>
      </c>
      <c r="G17" s="3">
        <f t="shared" si="3"/>
        <v>294.10000000000002</v>
      </c>
      <c r="H17" s="3">
        <v>101.3</v>
      </c>
      <c r="I17" s="3">
        <f t="shared" si="4"/>
        <v>101300</v>
      </c>
      <c r="J17" s="3">
        <f t="shared" si="5"/>
        <v>2.0124824921938581E-5</v>
      </c>
      <c r="K17" s="20">
        <v>38.138613861386141</v>
      </c>
      <c r="L17" s="3">
        <f t="shared" si="6"/>
        <v>3.8138613861386141E-5</v>
      </c>
      <c r="M17" s="3">
        <f t="shared" si="7"/>
        <v>4.7762865441819992E-3</v>
      </c>
      <c r="N17" s="26">
        <f t="shared" si="8"/>
        <v>1.6069658292607022E-7</v>
      </c>
      <c r="O17" s="26">
        <f t="shared" si="9"/>
        <v>2.032E-3</v>
      </c>
      <c r="P17" s="26">
        <v>7.0840480334740597E-11</v>
      </c>
      <c r="Q17" s="14">
        <v>0.1</v>
      </c>
      <c r="R17" s="2">
        <f t="shared" si="10"/>
        <v>110000.00000000001</v>
      </c>
      <c r="S17" s="2">
        <f t="shared" si="11"/>
        <v>106963.68560714823</v>
      </c>
      <c r="T17" s="2">
        <f t="shared" si="12"/>
        <v>106963.68560714823</v>
      </c>
      <c r="U17" s="2">
        <f t="shared" si="13"/>
        <v>5.1940208761751296E-3</v>
      </c>
      <c r="V17" s="2">
        <v>0.13</v>
      </c>
      <c r="W17" s="2">
        <f t="shared" si="14"/>
        <v>112999.99999999999</v>
      </c>
      <c r="X17" s="2">
        <f t="shared" si="15"/>
        <v>4.3096633663366335</v>
      </c>
      <c r="Y17" s="2">
        <f t="shared" si="16"/>
        <v>7.8035366145621179E-15</v>
      </c>
      <c r="Z17" s="2">
        <f t="shared" si="17"/>
        <v>4699289749.2893076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3">
        <v>48</v>
      </c>
      <c r="B18" s="3">
        <f t="shared" si="1"/>
        <v>0.8</v>
      </c>
      <c r="C18" s="3">
        <v>20</v>
      </c>
      <c r="D18" s="3">
        <f t="shared" si="0"/>
        <v>29.146000000000001</v>
      </c>
      <c r="E18" s="3">
        <f t="shared" si="2"/>
        <v>4.8576666666666667E-7</v>
      </c>
      <c r="F18" s="3">
        <v>21.1</v>
      </c>
      <c r="G18" s="3">
        <f t="shared" si="3"/>
        <v>294.10000000000002</v>
      </c>
      <c r="H18" s="3">
        <v>101.3</v>
      </c>
      <c r="I18" s="3">
        <f t="shared" si="4"/>
        <v>101300</v>
      </c>
      <c r="J18" s="3">
        <f t="shared" si="5"/>
        <v>2.0124824921938581E-5</v>
      </c>
      <c r="K18" s="20">
        <v>39.079207920792079</v>
      </c>
      <c r="L18" s="3">
        <f t="shared" si="6"/>
        <v>3.9079207920792078E-5</v>
      </c>
      <c r="M18" s="3">
        <f t="shared" si="7"/>
        <v>4.7762865441819992E-3</v>
      </c>
      <c r="N18" s="26">
        <f t="shared" si="8"/>
        <v>1.6465976448836946E-7</v>
      </c>
      <c r="O18" s="26">
        <f t="shared" si="9"/>
        <v>2.032E-3</v>
      </c>
      <c r="P18" s="26">
        <v>7.0840480334740597E-11</v>
      </c>
      <c r="Q18" s="14">
        <v>0.1</v>
      </c>
      <c r="R18" s="2">
        <f t="shared" si="10"/>
        <v>110000.00000000001</v>
      </c>
      <c r="S18" s="2">
        <f t="shared" si="11"/>
        <v>106889.3393917986</v>
      </c>
      <c r="T18" s="2">
        <f t="shared" si="12"/>
        <v>106889.3393917986</v>
      </c>
      <c r="U18" s="2">
        <f t="shared" si="13"/>
        <v>5.1940208761751296E-3</v>
      </c>
      <c r="V18" s="2">
        <v>0.13</v>
      </c>
      <c r="W18" s="2">
        <f t="shared" si="14"/>
        <v>112999.99999999999</v>
      </c>
      <c r="X18" s="2">
        <f t="shared" si="15"/>
        <v>4.4159504950495041</v>
      </c>
      <c r="Y18" s="2">
        <f t="shared" si="16"/>
        <v>8.0015611807808843E-15</v>
      </c>
      <c r="Z18" s="2">
        <f t="shared" si="17"/>
        <v>4818540143.0662489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3">
        <v>51</v>
      </c>
      <c r="B19" s="3">
        <f t="shared" si="1"/>
        <v>0.85</v>
      </c>
      <c r="C19" s="3">
        <v>20</v>
      </c>
      <c r="D19" s="3">
        <f t="shared" si="0"/>
        <v>29.146000000000001</v>
      </c>
      <c r="E19" s="3">
        <f t="shared" si="2"/>
        <v>4.8576666666666667E-7</v>
      </c>
      <c r="F19" s="3">
        <v>21.1</v>
      </c>
      <c r="G19" s="3">
        <f t="shared" si="3"/>
        <v>294.10000000000002</v>
      </c>
      <c r="H19" s="3">
        <v>101.3</v>
      </c>
      <c r="I19" s="3">
        <f t="shared" si="4"/>
        <v>101300</v>
      </c>
      <c r="J19" s="3">
        <f t="shared" si="5"/>
        <v>2.0124824921938581E-5</v>
      </c>
      <c r="K19" s="20">
        <v>34.128712871287128</v>
      </c>
      <c r="L19" s="3">
        <f t="shared" si="6"/>
        <v>3.4128712871287129E-5</v>
      </c>
      <c r="M19" s="3">
        <f t="shared" si="7"/>
        <v>4.7762865441819992E-3</v>
      </c>
      <c r="N19" s="26">
        <f t="shared" si="8"/>
        <v>1.4380091416047874E-7</v>
      </c>
      <c r="O19" s="26">
        <f t="shared" si="9"/>
        <v>2.032E-3</v>
      </c>
      <c r="P19" s="26">
        <v>7.0840480334740597E-11</v>
      </c>
      <c r="Q19" s="14">
        <v>0.1</v>
      </c>
      <c r="R19" s="2">
        <f t="shared" si="10"/>
        <v>110000.00000000001</v>
      </c>
      <c r="S19" s="2">
        <f t="shared" si="11"/>
        <v>107280.92523012262</v>
      </c>
      <c r="T19" s="2">
        <f t="shared" si="12"/>
        <v>107280.92523012262</v>
      </c>
      <c r="U19" s="2">
        <f t="shared" si="13"/>
        <v>5.1940208761751296E-3</v>
      </c>
      <c r="V19" s="2">
        <v>0.13</v>
      </c>
      <c r="W19" s="2">
        <f t="shared" si="14"/>
        <v>112999.99999999999</v>
      </c>
      <c r="X19" s="2">
        <f t="shared" si="15"/>
        <v>3.8565445544554451</v>
      </c>
      <c r="Y19" s="2">
        <f t="shared" si="16"/>
        <v>6.9623914906902593E-15</v>
      </c>
      <c r="Z19" s="2">
        <f t="shared" si="17"/>
        <v>4192752155.6936741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3">
        <v>54</v>
      </c>
      <c r="B20" s="3">
        <f t="shared" si="1"/>
        <v>0.9</v>
      </c>
      <c r="C20" s="3">
        <v>20</v>
      </c>
      <c r="D20" s="3">
        <f t="shared" si="0"/>
        <v>29.146000000000001</v>
      </c>
      <c r="E20" s="3">
        <f t="shared" si="2"/>
        <v>4.8576666666666667E-7</v>
      </c>
      <c r="F20" s="3">
        <v>21.1</v>
      </c>
      <c r="G20" s="3">
        <f t="shared" si="3"/>
        <v>294.10000000000002</v>
      </c>
      <c r="H20" s="3">
        <v>101.3</v>
      </c>
      <c r="I20" s="3">
        <f t="shared" si="4"/>
        <v>101300</v>
      </c>
      <c r="J20" s="3">
        <f t="shared" si="5"/>
        <v>2.0124824921938581E-5</v>
      </c>
      <c r="K20" s="20">
        <v>36.257425742574263</v>
      </c>
      <c r="L20" s="3">
        <f t="shared" si="6"/>
        <v>3.625742574257426E-5</v>
      </c>
      <c r="M20" s="3">
        <f t="shared" si="7"/>
        <v>4.7762865441819992E-3</v>
      </c>
      <c r="N20" s="26">
        <f t="shared" si="8"/>
        <v>1.5277021980147174E-7</v>
      </c>
      <c r="O20" s="26">
        <f t="shared" si="9"/>
        <v>2.032E-3</v>
      </c>
      <c r="P20" s="26">
        <v>7.0840480334740597E-11</v>
      </c>
      <c r="Q20" s="14">
        <v>0.1</v>
      </c>
      <c r="R20" s="2">
        <f t="shared" si="10"/>
        <v>110000.00000000001</v>
      </c>
      <c r="S20" s="2">
        <f t="shared" si="11"/>
        <v>107112.45557745539</v>
      </c>
      <c r="T20" s="2">
        <f t="shared" si="12"/>
        <v>107112.45557745539</v>
      </c>
      <c r="U20" s="2">
        <f t="shared" si="13"/>
        <v>5.1940208761751296E-3</v>
      </c>
      <c r="V20" s="2">
        <v>0.13</v>
      </c>
      <c r="W20" s="2">
        <f t="shared" si="14"/>
        <v>112999.99999999999</v>
      </c>
      <c r="X20" s="2">
        <f t="shared" si="15"/>
        <v>4.0970891089108905</v>
      </c>
      <c r="Y20" s="2">
        <f t="shared" si="16"/>
        <v>7.4083080172780373E-15</v>
      </c>
      <c r="Z20" s="2">
        <f t="shared" si="17"/>
        <v>4461283088.0048342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3">
        <v>57</v>
      </c>
      <c r="B21" s="3">
        <f t="shared" si="1"/>
        <v>0.95</v>
      </c>
      <c r="C21" s="3">
        <v>20</v>
      </c>
      <c r="D21" s="3">
        <f t="shared" si="0"/>
        <v>29.146000000000001</v>
      </c>
      <c r="E21" s="3">
        <f t="shared" si="2"/>
        <v>4.8576666666666667E-7</v>
      </c>
      <c r="F21" s="3">
        <v>21.1</v>
      </c>
      <c r="G21" s="3">
        <f t="shared" si="3"/>
        <v>294.10000000000002</v>
      </c>
      <c r="H21" s="3">
        <v>101.3</v>
      </c>
      <c r="I21" s="3">
        <f t="shared" si="4"/>
        <v>101300</v>
      </c>
      <c r="J21" s="3">
        <f t="shared" si="5"/>
        <v>2.0124824921938581E-5</v>
      </c>
      <c r="K21" s="20">
        <v>40.811881188118818</v>
      </c>
      <c r="L21" s="3">
        <f t="shared" si="6"/>
        <v>4.0811881188118817E-5</v>
      </c>
      <c r="M21" s="3">
        <f t="shared" si="7"/>
        <v>4.7762865441819992E-3</v>
      </c>
      <c r="N21" s="26">
        <f t="shared" si="8"/>
        <v>1.7196036210313124E-7</v>
      </c>
      <c r="O21" s="26">
        <f t="shared" si="9"/>
        <v>2.032E-3</v>
      </c>
      <c r="P21" s="26">
        <v>7.0840480334740597E-11</v>
      </c>
      <c r="Q21" s="14">
        <v>0.1</v>
      </c>
      <c r="R21" s="2">
        <f t="shared" si="10"/>
        <v>110000.00000000001</v>
      </c>
      <c r="S21" s="2">
        <f t="shared" si="11"/>
        <v>106752.45349642183</v>
      </c>
      <c r="T21" s="2">
        <f t="shared" si="12"/>
        <v>106752.45349642183</v>
      </c>
      <c r="U21" s="2">
        <f t="shared" si="13"/>
        <v>5.1940208761751296E-3</v>
      </c>
      <c r="V21" s="2">
        <v>0.13</v>
      </c>
      <c r="W21" s="2">
        <f t="shared" si="14"/>
        <v>112999.99999999999</v>
      </c>
      <c r="X21" s="2">
        <f t="shared" si="15"/>
        <v>4.6117425742574261</v>
      </c>
      <c r="Y21" s="2">
        <f t="shared" si="16"/>
        <v>8.3670610661887721E-15</v>
      </c>
      <c r="Z21" s="2">
        <f t="shared" si="17"/>
        <v>5038644174.0588789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3">
        <v>60</v>
      </c>
      <c r="B22" s="3">
        <f t="shared" si="1"/>
        <v>1</v>
      </c>
      <c r="C22" s="3">
        <v>20</v>
      </c>
      <c r="D22" s="3">
        <f t="shared" si="0"/>
        <v>29.146000000000001</v>
      </c>
      <c r="E22" s="3">
        <f t="shared" si="2"/>
        <v>4.8576666666666667E-7</v>
      </c>
      <c r="F22" s="3">
        <v>21.1</v>
      </c>
      <c r="G22" s="3">
        <f t="shared" si="3"/>
        <v>294.10000000000002</v>
      </c>
      <c r="H22" s="3">
        <v>101.3</v>
      </c>
      <c r="I22" s="3">
        <f t="shared" si="4"/>
        <v>101300</v>
      </c>
      <c r="J22" s="3">
        <f t="shared" si="5"/>
        <v>2.0124824921938581E-5</v>
      </c>
      <c r="K22" s="20">
        <v>44.32673267326733</v>
      </c>
      <c r="L22" s="3">
        <f t="shared" si="6"/>
        <v>4.4326732673267328E-5</v>
      </c>
      <c r="M22" s="3">
        <f t="shared" si="7"/>
        <v>4.7762865441819992E-3</v>
      </c>
      <c r="N22" s="26">
        <f t="shared" si="8"/>
        <v>1.8677014583593363E-7</v>
      </c>
      <c r="O22" s="26">
        <f t="shared" si="9"/>
        <v>2.032E-3</v>
      </c>
      <c r="P22" s="26">
        <v>7.0840480334740597E-11</v>
      </c>
      <c r="Q22" s="14">
        <v>0.1</v>
      </c>
      <c r="R22" s="2">
        <f t="shared" si="10"/>
        <v>110000.00000000001</v>
      </c>
      <c r="S22" s="2">
        <f t="shared" si="11"/>
        <v>106475.04009979496</v>
      </c>
      <c r="T22" s="2">
        <f t="shared" si="12"/>
        <v>106475.04009979496</v>
      </c>
      <c r="U22" s="2">
        <f t="shared" si="13"/>
        <v>5.1940208761751296E-3</v>
      </c>
      <c r="V22" s="2">
        <v>0.13</v>
      </c>
      <c r="W22" s="2">
        <f t="shared" si="14"/>
        <v>112999.99999999999</v>
      </c>
      <c r="X22" s="2">
        <f t="shared" si="15"/>
        <v>5.0089207920792074</v>
      </c>
      <c r="Y22" s="2">
        <f t="shared" si="16"/>
        <v>9.1113717707769894E-15</v>
      </c>
      <c r="Z22" s="2">
        <f t="shared" si="17"/>
        <v>5486868080.3619032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3">
        <v>63</v>
      </c>
      <c r="B23" s="3">
        <f t="shared" si="1"/>
        <v>1.05</v>
      </c>
      <c r="C23" s="3">
        <v>20</v>
      </c>
      <c r="D23" s="3">
        <f t="shared" si="0"/>
        <v>29.146000000000001</v>
      </c>
      <c r="E23" s="3">
        <f t="shared" si="2"/>
        <v>4.8576666666666667E-7</v>
      </c>
      <c r="F23" s="3">
        <v>21.1</v>
      </c>
      <c r="G23" s="3">
        <f t="shared" si="3"/>
        <v>294.10000000000002</v>
      </c>
      <c r="H23" s="3">
        <v>101.3</v>
      </c>
      <c r="I23" s="3">
        <f t="shared" si="4"/>
        <v>101300</v>
      </c>
      <c r="J23" s="3">
        <f t="shared" si="5"/>
        <v>2.0124824921938581E-5</v>
      </c>
      <c r="K23" s="20">
        <v>42.594059405940591</v>
      </c>
      <c r="L23" s="3">
        <f t="shared" si="6"/>
        <v>4.2594059405940588E-5</v>
      </c>
      <c r="M23" s="3">
        <f t="shared" si="7"/>
        <v>4.7762865441819992E-3</v>
      </c>
      <c r="N23" s="26">
        <f t="shared" si="8"/>
        <v>1.7946954822117185E-7</v>
      </c>
      <c r="O23" s="26">
        <f t="shared" si="9"/>
        <v>2.032E-3</v>
      </c>
      <c r="P23" s="26">
        <v>7.0840480334740597E-11</v>
      </c>
      <c r="Q23" s="14">
        <v>0.1</v>
      </c>
      <c r="R23" s="2">
        <f t="shared" si="10"/>
        <v>110000.00000000001</v>
      </c>
      <c r="S23" s="2">
        <f t="shared" si="11"/>
        <v>106611.74807649608</v>
      </c>
      <c r="T23" s="2">
        <f t="shared" si="12"/>
        <v>106611.74807649608</v>
      </c>
      <c r="U23" s="2">
        <f t="shared" si="13"/>
        <v>5.1940208761751296E-3</v>
      </c>
      <c r="V23" s="2">
        <v>0.13</v>
      </c>
      <c r="W23" s="2">
        <f t="shared" si="14"/>
        <v>112999.99999999999</v>
      </c>
      <c r="X23" s="2">
        <f t="shared" si="15"/>
        <v>4.8131287128712854</v>
      </c>
      <c r="Y23" s="2">
        <f t="shared" si="16"/>
        <v>8.7439769331616956E-15</v>
      </c>
      <c r="Z23" s="2">
        <f t="shared" si="17"/>
        <v>5265622909.1499729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3">
        <v>66</v>
      </c>
      <c r="B24" s="3">
        <f t="shared" si="1"/>
        <v>1.1000000000000001</v>
      </c>
      <c r="C24" s="3">
        <v>20</v>
      </c>
      <c r="D24" s="3">
        <f t="shared" si="0"/>
        <v>29.146000000000001</v>
      </c>
      <c r="E24" s="3">
        <f t="shared" si="2"/>
        <v>4.8576666666666667E-7</v>
      </c>
      <c r="F24" s="3">
        <v>21.1</v>
      </c>
      <c r="G24" s="3">
        <f t="shared" si="3"/>
        <v>294.10000000000002</v>
      </c>
      <c r="H24" s="3">
        <v>101.3</v>
      </c>
      <c r="I24" s="3">
        <f t="shared" si="4"/>
        <v>101300</v>
      </c>
      <c r="J24" s="3">
        <f t="shared" si="5"/>
        <v>2.0124824921938581E-5</v>
      </c>
      <c r="K24" s="20">
        <v>40.811881188118818</v>
      </c>
      <c r="L24" s="3">
        <f t="shared" si="6"/>
        <v>4.0811881188118817E-5</v>
      </c>
      <c r="M24" s="3">
        <f t="shared" si="7"/>
        <v>4.7762865441819992E-3</v>
      </c>
      <c r="N24" s="26">
        <f t="shared" si="8"/>
        <v>1.7196036210313124E-7</v>
      </c>
      <c r="O24" s="26">
        <f t="shared" si="9"/>
        <v>2.032E-3</v>
      </c>
      <c r="P24" s="26">
        <v>7.0840480334740597E-11</v>
      </c>
      <c r="Q24" s="14">
        <v>0.1</v>
      </c>
      <c r="R24" s="2">
        <f t="shared" si="10"/>
        <v>110000.00000000001</v>
      </c>
      <c r="S24" s="2">
        <f t="shared" si="11"/>
        <v>106752.45349642183</v>
      </c>
      <c r="T24" s="2">
        <f t="shared" si="12"/>
        <v>106752.45349642183</v>
      </c>
      <c r="U24" s="2">
        <f t="shared" si="13"/>
        <v>5.1940208761751296E-3</v>
      </c>
      <c r="V24" s="2">
        <v>0.13</v>
      </c>
      <c r="W24" s="2">
        <f t="shared" si="14"/>
        <v>112999.99999999999</v>
      </c>
      <c r="X24" s="2">
        <f t="shared" si="15"/>
        <v>4.6117425742574261</v>
      </c>
      <c r="Y24" s="2">
        <f t="shared" si="16"/>
        <v>8.3670610661887721E-15</v>
      </c>
      <c r="Z24" s="2">
        <f t="shared" si="17"/>
        <v>5038644174.0588789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3">
        <v>69</v>
      </c>
      <c r="B25" s="3">
        <f t="shared" si="1"/>
        <v>1.1499999999999999</v>
      </c>
      <c r="C25" s="3">
        <v>20</v>
      </c>
      <c r="D25" s="3">
        <f t="shared" si="0"/>
        <v>29.146000000000001</v>
      </c>
      <c r="E25" s="3">
        <f t="shared" si="2"/>
        <v>4.8576666666666667E-7</v>
      </c>
      <c r="F25" s="3">
        <v>21.1</v>
      </c>
      <c r="G25" s="3">
        <f t="shared" si="3"/>
        <v>294.10000000000002</v>
      </c>
      <c r="H25" s="3">
        <v>101.3</v>
      </c>
      <c r="I25" s="3">
        <f t="shared" si="4"/>
        <v>101300</v>
      </c>
      <c r="J25" s="3">
        <f t="shared" si="5"/>
        <v>2.0124824921938581E-5</v>
      </c>
      <c r="K25" s="20">
        <v>45.242574257425744</v>
      </c>
      <c r="L25" s="3">
        <f t="shared" si="6"/>
        <v>4.5242574257425742E-5</v>
      </c>
      <c r="M25" s="3">
        <f t="shared" si="7"/>
        <v>4.7762865441819992E-3</v>
      </c>
      <c r="N25" s="26">
        <f t="shared" si="8"/>
        <v>1.9062903314659342E-7</v>
      </c>
      <c r="O25" s="26">
        <f t="shared" si="9"/>
        <v>2.032E-3</v>
      </c>
      <c r="P25" s="26">
        <v>7.0840480334740597E-11</v>
      </c>
      <c r="Q25" s="14">
        <v>0.1</v>
      </c>
      <c r="R25" s="2">
        <f t="shared" si="10"/>
        <v>110000.00000000001</v>
      </c>
      <c r="S25" s="2">
        <f t="shared" si="11"/>
        <v>106402.81560084429</v>
      </c>
      <c r="T25" s="2">
        <f t="shared" si="12"/>
        <v>106402.81560084429</v>
      </c>
      <c r="U25" s="2">
        <f t="shared" si="13"/>
        <v>5.1940208761751296E-3</v>
      </c>
      <c r="V25" s="2">
        <v>0.13</v>
      </c>
      <c r="W25" s="2">
        <f t="shared" si="14"/>
        <v>112999.99999999999</v>
      </c>
      <c r="X25" s="2">
        <f t="shared" si="15"/>
        <v>5.112410891089108</v>
      </c>
      <c r="Y25" s="2">
        <f t="shared" si="16"/>
        <v>9.3059450353058183E-15</v>
      </c>
      <c r="Z25" s="2">
        <f t="shared" si="17"/>
        <v>5604040100.2611637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3">
        <v>72</v>
      </c>
      <c r="B26" s="3">
        <f t="shared" si="1"/>
        <v>1.2</v>
      </c>
      <c r="C26" s="3">
        <v>20</v>
      </c>
      <c r="D26" s="3">
        <f t="shared" si="0"/>
        <v>29.146000000000001</v>
      </c>
      <c r="E26" s="3">
        <f t="shared" si="2"/>
        <v>4.8576666666666667E-7</v>
      </c>
      <c r="F26" s="3">
        <v>21.1</v>
      </c>
      <c r="G26" s="3">
        <f t="shared" si="3"/>
        <v>294.10000000000002</v>
      </c>
      <c r="H26" s="3">
        <v>101.3</v>
      </c>
      <c r="I26" s="3">
        <f t="shared" si="4"/>
        <v>101300</v>
      </c>
      <c r="J26" s="3">
        <f t="shared" si="5"/>
        <v>2.0124824921938581E-5</v>
      </c>
      <c r="K26" s="20">
        <v>48.806930693069312</v>
      </c>
      <c r="L26" s="3">
        <f t="shared" si="6"/>
        <v>4.8806930693069311E-5</v>
      </c>
      <c r="M26" s="3">
        <f t="shared" si="7"/>
        <v>4.7762865441819992E-3</v>
      </c>
      <c r="N26" s="26">
        <f t="shared" si="8"/>
        <v>2.0564740538267474E-7</v>
      </c>
      <c r="O26" s="26">
        <f t="shared" si="9"/>
        <v>2.032E-3</v>
      </c>
      <c r="P26" s="26">
        <v>7.0840480334740597E-11</v>
      </c>
      <c r="Q26" s="14">
        <v>0.1</v>
      </c>
      <c r="R26" s="2">
        <f t="shared" si="10"/>
        <v>110000.00000000001</v>
      </c>
      <c r="S26" s="2">
        <f t="shared" si="11"/>
        <v>106121.95892217958</v>
      </c>
      <c r="T26" s="2">
        <f t="shared" si="12"/>
        <v>106121.95892217958</v>
      </c>
      <c r="U26" s="2">
        <f t="shared" si="13"/>
        <v>5.1940208761751296E-3</v>
      </c>
      <c r="V26" s="2">
        <v>0.13</v>
      </c>
      <c r="W26" s="2">
        <f t="shared" si="14"/>
        <v>112999.99999999999</v>
      </c>
      <c r="X26" s="2">
        <f t="shared" si="15"/>
        <v>5.5151831683168311</v>
      </c>
      <c r="Y26" s="2">
        <f t="shared" si="16"/>
        <v>1.0065705926933418E-14</v>
      </c>
      <c r="Z26" s="2">
        <f t="shared" si="17"/>
        <v>6061568109.1993046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3">
        <v>75</v>
      </c>
      <c r="B27" s="3">
        <f t="shared" si="1"/>
        <v>1.25</v>
      </c>
      <c r="C27" s="3">
        <v>20</v>
      </c>
      <c r="D27" s="3">
        <f t="shared" si="0"/>
        <v>29.146000000000001</v>
      </c>
      <c r="E27" s="3">
        <f t="shared" si="2"/>
        <v>4.8576666666666667E-7</v>
      </c>
      <c r="F27" s="3">
        <v>21.1</v>
      </c>
      <c r="G27" s="3">
        <f t="shared" si="3"/>
        <v>294.10000000000002</v>
      </c>
      <c r="H27" s="3">
        <v>101.3</v>
      </c>
      <c r="I27" s="3">
        <f t="shared" si="4"/>
        <v>101300</v>
      </c>
      <c r="J27" s="3">
        <f t="shared" si="5"/>
        <v>2.0124824921938581E-5</v>
      </c>
      <c r="K27" s="20">
        <v>51.702970297029708</v>
      </c>
      <c r="L27" s="3">
        <f t="shared" si="6"/>
        <v>5.1702970297029708E-5</v>
      </c>
      <c r="M27" s="3">
        <f t="shared" si="7"/>
        <v>4.7762865441819992E-3</v>
      </c>
      <c r="N27" s="26">
        <f t="shared" si="8"/>
        <v>2.1784983282449087E-7</v>
      </c>
      <c r="O27" s="26">
        <f t="shared" si="9"/>
        <v>2.032E-3</v>
      </c>
      <c r="P27" s="26">
        <v>7.0840480334740597E-11</v>
      </c>
      <c r="Q27" s="14">
        <v>0.1</v>
      </c>
      <c r="R27" s="2">
        <f t="shared" si="10"/>
        <v>110000.00000000001</v>
      </c>
      <c r="S27" s="2">
        <f t="shared" si="11"/>
        <v>105894.03616566377</v>
      </c>
      <c r="T27" s="2">
        <f t="shared" si="12"/>
        <v>105894.03616566377</v>
      </c>
      <c r="U27" s="2">
        <f t="shared" si="13"/>
        <v>5.1940208761751296E-3</v>
      </c>
      <c r="V27" s="2">
        <v>0.13</v>
      </c>
      <c r="W27" s="2">
        <f t="shared" si="14"/>
        <v>112999.99999999999</v>
      </c>
      <c r="X27" s="2">
        <f t="shared" si="15"/>
        <v>5.8424356435643565</v>
      </c>
      <c r="Y27" s="2">
        <f t="shared" si="16"/>
        <v>1.0685956004185507E-14</v>
      </c>
      <c r="Z27" s="2">
        <f t="shared" si="17"/>
        <v>6435082705.7205124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3">
        <v>78</v>
      </c>
      <c r="B28" s="3">
        <f t="shared" si="1"/>
        <v>1.3</v>
      </c>
      <c r="C28" s="3">
        <v>20</v>
      </c>
      <c r="D28" s="3">
        <f t="shared" si="0"/>
        <v>29.146000000000001</v>
      </c>
      <c r="E28" s="3">
        <f t="shared" si="2"/>
        <v>4.8576666666666667E-7</v>
      </c>
      <c r="F28" s="3">
        <v>21.1</v>
      </c>
      <c r="G28" s="3">
        <f t="shared" si="3"/>
        <v>294.10000000000002</v>
      </c>
      <c r="H28" s="3">
        <v>101.3</v>
      </c>
      <c r="I28" s="3">
        <f t="shared" si="4"/>
        <v>101300</v>
      </c>
      <c r="J28" s="3">
        <f t="shared" si="5"/>
        <v>2.0124824921938581E-5</v>
      </c>
      <c r="K28" s="20">
        <v>49.821782178217823</v>
      </c>
      <c r="L28" s="3">
        <f t="shared" si="6"/>
        <v>4.9821782178217821E-5</v>
      </c>
      <c r="M28" s="3">
        <f t="shared" si="7"/>
        <v>4.7762865441819992E-3</v>
      </c>
      <c r="N28" s="26">
        <f t="shared" si="8"/>
        <v>2.0992346969989234E-7</v>
      </c>
      <c r="O28" s="26">
        <f t="shared" si="9"/>
        <v>2.032E-3</v>
      </c>
      <c r="P28" s="26">
        <v>7.0840480334740597E-11</v>
      </c>
      <c r="Q28" s="14">
        <v>0.1</v>
      </c>
      <c r="R28" s="2">
        <f t="shared" si="10"/>
        <v>110000.00000000001</v>
      </c>
      <c r="S28" s="2">
        <f t="shared" si="11"/>
        <v>106042.06066745966</v>
      </c>
      <c r="T28" s="2">
        <f t="shared" si="12"/>
        <v>106042.06066745966</v>
      </c>
      <c r="U28" s="2">
        <f t="shared" si="13"/>
        <v>5.1940208761751296E-3</v>
      </c>
      <c r="V28" s="2">
        <v>0.13</v>
      </c>
      <c r="W28" s="2">
        <f t="shared" si="14"/>
        <v>112999.99999999999</v>
      </c>
      <c r="X28" s="2">
        <f t="shared" si="15"/>
        <v>5.6298613861386126</v>
      </c>
      <c r="Y28" s="2">
        <f t="shared" si="16"/>
        <v>1.0282757310215931E-14</v>
      </c>
      <c r="Z28" s="2">
        <f t="shared" si="17"/>
        <v>6192276452.2120333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3">
        <v>81</v>
      </c>
      <c r="B29" s="3">
        <f t="shared" si="1"/>
        <v>1.35</v>
      </c>
      <c r="C29" s="3">
        <v>20</v>
      </c>
      <c r="D29" s="3">
        <f t="shared" si="0"/>
        <v>29.146000000000001</v>
      </c>
      <c r="E29" s="3">
        <f t="shared" si="2"/>
        <v>4.8576666666666667E-7</v>
      </c>
      <c r="F29" s="3">
        <v>21.1</v>
      </c>
      <c r="G29" s="3">
        <f t="shared" si="3"/>
        <v>294.10000000000002</v>
      </c>
      <c r="H29" s="3">
        <v>101.3</v>
      </c>
      <c r="I29" s="3">
        <f t="shared" si="4"/>
        <v>101300</v>
      </c>
      <c r="J29" s="3">
        <f t="shared" si="5"/>
        <v>2.0124824921938581E-5</v>
      </c>
      <c r="K29" s="20">
        <v>50.242574257425737</v>
      </c>
      <c r="L29" s="3">
        <f t="shared" si="6"/>
        <v>5.0242574257425735E-5</v>
      </c>
      <c r="M29" s="3">
        <f t="shared" si="7"/>
        <v>4.7762865441819992E-3</v>
      </c>
      <c r="N29" s="26">
        <f t="shared" si="8"/>
        <v>2.1169647197776304E-7</v>
      </c>
      <c r="O29" s="26">
        <f t="shared" si="9"/>
        <v>2.032E-3</v>
      </c>
      <c r="P29" s="26">
        <v>7.0840480334740597E-11</v>
      </c>
      <c r="Q29" s="14">
        <v>0.1</v>
      </c>
      <c r="R29" s="2">
        <f t="shared" si="10"/>
        <v>110000.00000000001</v>
      </c>
      <c r="S29" s="2">
        <f t="shared" si="11"/>
        <v>106008.94094715644</v>
      </c>
      <c r="T29" s="2">
        <f t="shared" si="12"/>
        <v>106008.94094715644</v>
      </c>
      <c r="U29" s="2">
        <f t="shared" si="13"/>
        <v>5.1940208761751296E-3</v>
      </c>
      <c r="V29" s="2">
        <v>0.13</v>
      </c>
      <c r="W29" s="2">
        <f t="shared" si="14"/>
        <v>112999.99999999999</v>
      </c>
      <c r="X29" s="2">
        <f t="shared" si="15"/>
        <v>5.6774108910891075</v>
      </c>
      <c r="Y29" s="2">
        <f t="shared" si="16"/>
        <v>1.0372849459384328E-14</v>
      </c>
      <c r="Z29" s="2">
        <f t="shared" si="17"/>
        <v>6246529944.4412422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3">
        <v>84</v>
      </c>
      <c r="B30" s="3">
        <f t="shared" si="1"/>
        <v>1.4</v>
      </c>
      <c r="C30" s="3">
        <v>20</v>
      </c>
      <c r="D30" s="3">
        <f t="shared" si="0"/>
        <v>29.146000000000001</v>
      </c>
      <c r="E30" s="3">
        <f t="shared" si="2"/>
        <v>4.8576666666666667E-7</v>
      </c>
      <c r="F30" s="3">
        <v>21.1</v>
      </c>
      <c r="G30" s="3">
        <f t="shared" si="3"/>
        <v>294.10000000000002</v>
      </c>
      <c r="H30" s="3">
        <v>101.3</v>
      </c>
      <c r="I30" s="3">
        <f t="shared" si="4"/>
        <v>101300</v>
      </c>
      <c r="J30" s="3">
        <f t="shared" si="5"/>
        <v>2.0124824921938581E-5</v>
      </c>
      <c r="K30" s="20">
        <v>51.653465346534659</v>
      </c>
      <c r="L30" s="3">
        <f t="shared" si="6"/>
        <v>5.1653465346534657E-5</v>
      </c>
      <c r="M30" s="3">
        <f t="shared" si="7"/>
        <v>4.7762865441819992E-3</v>
      </c>
      <c r="N30" s="26">
        <f t="shared" si="8"/>
        <v>2.1764124432121194E-7</v>
      </c>
      <c r="O30" s="26">
        <f t="shared" si="9"/>
        <v>2.032E-3</v>
      </c>
      <c r="P30" s="26">
        <v>7.0840480334740597E-11</v>
      </c>
      <c r="Q30" s="14">
        <v>0.1</v>
      </c>
      <c r="R30" s="2">
        <f t="shared" si="10"/>
        <v>110000.00000000001</v>
      </c>
      <c r="S30" s="2">
        <f t="shared" si="11"/>
        <v>105897.9302227445</v>
      </c>
      <c r="T30" s="2">
        <f t="shared" si="12"/>
        <v>105897.9302227445</v>
      </c>
      <c r="U30" s="2">
        <f t="shared" si="13"/>
        <v>5.1940208761751296E-3</v>
      </c>
      <c r="V30" s="2">
        <v>0.13</v>
      </c>
      <c r="W30" s="2">
        <f t="shared" si="14"/>
        <v>112999.99999999999</v>
      </c>
      <c r="X30" s="2">
        <f t="shared" si="15"/>
        <v>5.8368415841584156</v>
      </c>
      <c r="Y30" s="2">
        <f t="shared" si="16"/>
        <v>1.0675331183151643E-14</v>
      </c>
      <c r="Z30" s="2">
        <f t="shared" si="17"/>
        <v>6428684438.4939194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3">
        <v>87</v>
      </c>
      <c r="B31" s="3">
        <f t="shared" si="1"/>
        <v>1.45</v>
      </c>
      <c r="C31" s="3">
        <v>20</v>
      </c>
      <c r="D31" s="3">
        <f t="shared" si="0"/>
        <v>29.146000000000001</v>
      </c>
      <c r="E31" s="3">
        <f t="shared" si="2"/>
        <v>4.8576666666666667E-7</v>
      </c>
      <c r="F31" s="3">
        <v>21.1</v>
      </c>
      <c r="G31" s="3">
        <f t="shared" si="3"/>
        <v>294.10000000000002</v>
      </c>
      <c r="H31" s="3">
        <v>101.3</v>
      </c>
      <c r="I31" s="3">
        <f t="shared" si="4"/>
        <v>101300</v>
      </c>
      <c r="J31" s="3">
        <f t="shared" si="5"/>
        <v>2.0124824921938581E-5</v>
      </c>
      <c r="K31" s="20">
        <v>56.480198019801982</v>
      </c>
      <c r="L31" s="3">
        <f t="shared" si="6"/>
        <v>5.648019801980198E-5</v>
      </c>
      <c r="M31" s="3">
        <f t="shared" si="7"/>
        <v>4.7762865441819992E-3</v>
      </c>
      <c r="N31" s="26">
        <f t="shared" si="8"/>
        <v>2.3797862339090541E-7</v>
      </c>
      <c r="O31" s="26">
        <f t="shared" si="9"/>
        <v>2.032E-3</v>
      </c>
      <c r="P31" s="26">
        <v>7.0840480334740597E-11</v>
      </c>
      <c r="Q31" s="14">
        <v>0.1</v>
      </c>
      <c r="R31" s="2">
        <f t="shared" si="10"/>
        <v>110000.00000000001</v>
      </c>
      <c r="S31" s="2">
        <f t="shared" si="11"/>
        <v>105518.59647675688</v>
      </c>
      <c r="T31" s="2">
        <f t="shared" si="12"/>
        <v>105518.59647675688</v>
      </c>
      <c r="U31" s="2">
        <f t="shared" si="13"/>
        <v>5.1940208761751296E-3</v>
      </c>
      <c r="V31" s="2">
        <v>0.13</v>
      </c>
      <c r="W31" s="2">
        <f t="shared" si="14"/>
        <v>112999.99999999999</v>
      </c>
      <c r="X31" s="2">
        <f t="shared" si="15"/>
        <v>6.3822623762376232</v>
      </c>
      <c r="Y31" s="2">
        <f t="shared" si="16"/>
        <v>1.1714908526744894E-14</v>
      </c>
      <c r="Z31" s="2">
        <f t="shared" si="17"/>
        <v>7054717914.8057756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3">
        <v>90</v>
      </c>
      <c r="B32" s="3">
        <f t="shared" si="1"/>
        <v>1.5</v>
      </c>
      <c r="C32" s="3">
        <v>20</v>
      </c>
      <c r="D32" s="3">
        <f t="shared" si="0"/>
        <v>29.146000000000001</v>
      </c>
      <c r="E32" s="3">
        <f t="shared" si="2"/>
        <v>4.8576666666666667E-7</v>
      </c>
      <c r="F32" s="3">
        <v>21.1</v>
      </c>
      <c r="G32" s="3">
        <f t="shared" si="3"/>
        <v>294.10000000000002</v>
      </c>
      <c r="H32" s="3">
        <v>101.3</v>
      </c>
      <c r="I32" s="3">
        <f t="shared" si="4"/>
        <v>101300</v>
      </c>
      <c r="J32" s="3">
        <f t="shared" si="5"/>
        <v>2.0124824921938581E-5</v>
      </c>
      <c r="K32" s="20">
        <v>53.212871287128714</v>
      </c>
      <c r="L32" s="3">
        <f t="shared" si="6"/>
        <v>5.3212871287128713E-5</v>
      </c>
      <c r="M32" s="3">
        <f t="shared" si="7"/>
        <v>4.7762865441819992E-3</v>
      </c>
      <c r="N32" s="26">
        <f t="shared" si="8"/>
        <v>2.2421178217449752E-7</v>
      </c>
      <c r="O32" s="26">
        <f t="shared" si="9"/>
        <v>2.032E-3</v>
      </c>
      <c r="P32" s="26">
        <v>7.0840480334740597E-11</v>
      </c>
      <c r="Q32" s="14">
        <v>0.1</v>
      </c>
      <c r="R32" s="2">
        <f t="shared" si="10"/>
        <v>110000.00000000001</v>
      </c>
      <c r="S32" s="2">
        <f t="shared" si="11"/>
        <v>105775.30181813544</v>
      </c>
      <c r="T32" s="2">
        <f t="shared" si="12"/>
        <v>105775.30181813544</v>
      </c>
      <c r="U32" s="2">
        <f t="shared" si="13"/>
        <v>5.1940208761751296E-3</v>
      </c>
      <c r="V32" s="2">
        <v>0.13</v>
      </c>
      <c r="W32" s="2">
        <f t="shared" si="14"/>
        <v>112999.99999999999</v>
      </c>
      <c r="X32" s="2">
        <f t="shared" si="15"/>
        <v>6.0130544554455438</v>
      </c>
      <c r="Y32" s="2">
        <f t="shared" si="16"/>
        <v>1.1010385820980089E-14</v>
      </c>
      <c r="Z32" s="2">
        <f t="shared" si="17"/>
        <v>6630454341.3942099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3">
        <v>93</v>
      </c>
      <c r="B33" s="3">
        <f t="shared" si="1"/>
        <v>1.55</v>
      </c>
      <c r="C33" s="3">
        <v>20</v>
      </c>
      <c r="D33" s="3">
        <f t="shared" si="0"/>
        <v>29.146000000000001</v>
      </c>
      <c r="E33" s="3">
        <f t="shared" si="2"/>
        <v>4.8576666666666667E-7</v>
      </c>
      <c r="F33" s="3">
        <v>21.1</v>
      </c>
      <c r="G33" s="3">
        <f t="shared" si="3"/>
        <v>294.10000000000002</v>
      </c>
      <c r="H33" s="3">
        <v>101.3</v>
      </c>
      <c r="I33" s="3">
        <f t="shared" si="4"/>
        <v>101300</v>
      </c>
      <c r="J33" s="3">
        <f t="shared" si="5"/>
        <v>2.0124824921938581E-5</v>
      </c>
      <c r="K33" s="20">
        <v>45.193069306930695</v>
      </c>
      <c r="L33" s="3">
        <f t="shared" si="6"/>
        <v>4.5193069306930697E-5</v>
      </c>
      <c r="M33" s="3">
        <f t="shared" si="7"/>
        <v>4.7762865441819992E-3</v>
      </c>
      <c r="N33" s="26">
        <f t="shared" si="8"/>
        <v>1.9042044464331454E-7</v>
      </c>
      <c r="O33" s="26">
        <f t="shared" si="9"/>
        <v>2.032E-3</v>
      </c>
      <c r="P33" s="26">
        <v>7.0840480334740597E-11</v>
      </c>
      <c r="Q33" s="14">
        <v>0.1</v>
      </c>
      <c r="R33" s="2">
        <f t="shared" si="10"/>
        <v>110000.00000000001</v>
      </c>
      <c r="S33" s="2">
        <f t="shared" si="11"/>
        <v>106406.71900134039</v>
      </c>
      <c r="T33" s="2">
        <f t="shared" si="12"/>
        <v>106406.71900134039</v>
      </c>
      <c r="U33" s="2">
        <f t="shared" si="13"/>
        <v>5.1940208761751296E-3</v>
      </c>
      <c r="V33" s="2">
        <v>0.13</v>
      </c>
      <c r="W33" s="2">
        <f t="shared" si="14"/>
        <v>112999.99999999999</v>
      </c>
      <c r="X33" s="2">
        <f t="shared" si="15"/>
        <v>5.1068168316831679</v>
      </c>
      <c r="Y33" s="2">
        <f t="shared" si="16"/>
        <v>9.2954208533310596E-15</v>
      </c>
      <c r="Z33" s="2">
        <f t="shared" si="17"/>
        <v>5597702437.8759642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3">
        <v>96</v>
      </c>
      <c r="B34" s="3">
        <f t="shared" si="1"/>
        <v>1.6</v>
      </c>
      <c r="C34" s="3">
        <v>20</v>
      </c>
      <c r="D34" s="3">
        <f t="shared" si="0"/>
        <v>29.146000000000001</v>
      </c>
      <c r="E34" s="3">
        <f t="shared" si="2"/>
        <v>4.8576666666666667E-7</v>
      </c>
      <c r="F34" s="3">
        <v>21.1</v>
      </c>
      <c r="G34" s="3">
        <f t="shared" si="3"/>
        <v>294.10000000000002</v>
      </c>
      <c r="H34" s="3">
        <v>101.3</v>
      </c>
      <c r="I34" s="3">
        <f t="shared" si="4"/>
        <v>101300</v>
      </c>
      <c r="J34" s="3">
        <f t="shared" si="5"/>
        <v>2.0124824921938581E-5</v>
      </c>
      <c r="K34" s="20">
        <v>51.529702970297031</v>
      </c>
      <c r="L34" s="3">
        <f t="shared" si="6"/>
        <v>5.1529702970297032E-5</v>
      </c>
      <c r="M34" s="3">
        <f t="shared" si="7"/>
        <v>4.7762865441819992E-3</v>
      </c>
      <c r="N34" s="26">
        <f t="shared" si="8"/>
        <v>2.1711977306301464E-7</v>
      </c>
      <c r="O34" s="26">
        <f t="shared" si="9"/>
        <v>2.032E-3</v>
      </c>
      <c r="P34" s="26">
        <v>7.0840480334740597E-11</v>
      </c>
      <c r="Q34" s="14">
        <v>0.1</v>
      </c>
      <c r="R34" s="2">
        <f t="shared" si="10"/>
        <v>110000.00000000001</v>
      </c>
      <c r="S34" s="2">
        <f t="shared" si="11"/>
        <v>105907.66567868344</v>
      </c>
      <c r="T34" s="2">
        <f t="shared" si="12"/>
        <v>105907.66567868344</v>
      </c>
      <c r="U34" s="2">
        <f t="shared" si="13"/>
        <v>5.1940208761751296E-3</v>
      </c>
      <c r="V34" s="2">
        <v>0.13</v>
      </c>
      <c r="W34" s="2">
        <f t="shared" si="14"/>
        <v>112999.99999999999</v>
      </c>
      <c r="X34" s="2">
        <f t="shared" si="15"/>
        <v>5.8228564356435637</v>
      </c>
      <c r="Y34" s="2">
        <f t="shared" si="16"/>
        <v>1.064877252242482E-14</v>
      </c>
      <c r="Z34" s="2">
        <f t="shared" si="17"/>
        <v>6412690813.0042267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3">
        <v>99</v>
      </c>
      <c r="B35" s="3">
        <f t="shared" si="1"/>
        <v>1.65</v>
      </c>
      <c r="C35" s="3">
        <v>20</v>
      </c>
      <c r="D35" s="3">
        <f t="shared" si="0"/>
        <v>29.146000000000001</v>
      </c>
      <c r="E35" s="3">
        <f t="shared" si="2"/>
        <v>4.8576666666666667E-7</v>
      </c>
      <c r="F35" s="3">
        <v>21.1</v>
      </c>
      <c r="G35" s="3">
        <f t="shared" si="3"/>
        <v>294.10000000000002</v>
      </c>
      <c r="H35" s="3">
        <v>101.3</v>
      </c>
      <c r="I35" s="3">
        <f t="shared" si="4"/>
        <v>101300</v>
      </c>
      <c r="J35" s="3">
        <f t="shared" si="5"/>
        <v>2.0124824921938581E-5</v>
      </c>
      <c r="K35" s="20">
        <v>62.96534653465347</v>
      </c>
      <c r="L35" s="3">
        <f t="shared" si="6"/>
        <v>6.2965346534653475E-5</v>
      </c>
      <c r="M35" s="3">
        <f t="shared" si="7"/>
        <v>4.7762865441819992E-3</v>
      </c>
      <c r="N35" s="26">
        <f t="shared" si="8"/>
        <v>2.6530371732044232E-7</v>
      </c>
      <c r="O35" s="26">
        <f t="shared" si="9"/>
        <v>2.032E-3</v>
      </c>
      <c r="P35" s="26">
        <v>7.0840480334740597E-11</v>
      </c>
      <c r="Q35" s="14">
        <v>0.1</v>
      </c>
      <c r="R35" s="2">
        <f t="shared" si="10"/>
        <v>110000.00000000001</v>
      </c>
      <c r="S35" s="2">
        <f t="shared" si="11"/>
        <v>105009.99912143685</v>
      </c>
      <c r="T35" s="2">
        <f t="shared" si="12"/>
        <v>105009.99912143685</v>
      </c>
      <c r="U35" s="2">
        <f t="shared" si="13"/>
        <v>5.1940208761751296E-3</v>
      </c>
      <c r="V35" s="2">
        <v>0.13</v>
      </c>
      <c r="W35" s="2">
        <f t="shared" si="14"/>
        <v>112999.99999999999</v>
      </c>
      <c r="X35" s="2">
        <f t="shared" si="15"/>
        <v>7.1150841584158417</v>
      </c>
      <c r="Y35" s="2">
        <f t="shared" si="16"/>
        <v>1.3123382837751612E-14</v>
      </c>
      <c r="Z35" s="2">
        <f t="shared" si="17"/>
        <v>7902901144.894021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3">
        <v>102</v>
      </c>
      <c r="B36" s="3">
        <f t="shared" si="1"/>
        <v>1.7</v>
      </c>
      <c r="C36" s="3">
        <v>20</v>
      </c>
      <c r="D36" s="3">
        <f t="shared" si="0"/>
        <v>29.146000000000001</v>
      </c>
      <c r="E36" s="3">
        <f t="shared" si="2"/>
        <v>4.8576666666666667E-7</v>
      </c>
      <c r="F36" s="3">
        <v>21.1</v>
      </c>
      <c r="G36" s="3">
        <f t="shared" si="3"/>
        <v>294.10000000000002</v>
      </c>
      <c r="H36" s="3">
        <v>101.3</v>
      </c>
      <c r="I36" s="3">
        <f t="shared" si="4"/>
        <v>101300</v>
      </c>
      <c r="J36" s="3">
        <f t="shared" si="5"/>
        <v>2.0124824921938581E-5</v>
      </c>
      <c r="K36" s="20">
        <v>59.054455445544562</v>
      </c>
      <c r="L36" s="3">
        <f t="shared" si="6"/>
        <v>5.905445544554456E-5</v>
      </c>
      <c r="M36" s="3">
        <f t="shared" si="7"/>
        <v>4.7762865441819992E-3</v>
      </c>
      <c r="N36" s="26">
        <f t="shared" si="8"/>
        <v>2.488252255614086E-7</v>
      </c>
      <c r="O36" s="26">
        <f t="shared" si="9"/>
        <v>2.032E-3</v>
      </c>
      <c r="P36" s="26">
        <v>7.0840480334740597E-11</v>
      </c>
      <c r="Q36" s="14">
        <v>0.1</v>
      </c>
      <c r="R36" s="2">
        <f t="shared" si="10"/>
        <v>110000.00000000001</v>
      </c>
      <c r="S36" s="2">
        <f t="shared" si="11"/>
        <v>105316.56344330679</v>
      </c>
      <c r="T36" s="2">
        <f t="shared" si="12"/>
        <v>105316.56344330679</v>
      </c>
      <c r="U36" s="2">
        <f t="shared" si="13"/>
        <v>5.1940208761751296E-3</v>
      </c>
      <c r="V36" s="2">
        <v>0.13</v>
      </c>
      <c r="W36" s="2">
        <f t="shared" si="14"/>
        <v>112999.99999999999</v>
      </c>
      <c r="X36" s="2">
        <f t="shared" si="15"/>
        <v>6.6731534653465348</v>
      </c>
      <c r="Y36" s="2">
        <f t="shared" si="16"/>
        <v>1.2272384032761749E-14</v>
      </c>
      <c r="Z36" s="2">
        <f t="shared" si="17"/>
        <v>7390429664.5291262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3">
        <v>105</v>
      </c>
      <c r="B37" s="3">
        <f t="shared" si="1"/>
        <v>1.75</v>
      </c>
      <c r="C37" s="3">
        <v>20</v>
      </c>
      <c r="D37" s="3">
        <f t="shared" si="0"/>
        <v>29.146000000000001</v>
      </c>
      <c r="E37" s="3">
        <f t="shared" si="2"/>
        <v>4.8576666666666667E-7</v>
      </c>
      <c r="F37" s="3">
        <v>21.1</v>
      </c>
      <c r="G37" s="3">
        <f t="shared" si="3"/>
        <v>294.10000000000002</v>
      </c>
      <c r="H37" s="3">
        <v>101.3</v>
      </c>
      <c r="I37" s="3">
        <f t="shared" si="4"/>
        <v>101300</v>
      </c>
      <c r="J37" s="3">
        <f t="shared" si="5"/>
        <v>2.0124824921938581E-5</v>
      </c>
      <c r="K37" s="20">
        <v>52.148514851485146</v>
      </c>
      <c r="L37" s="3">
        <f t="shared" si="6"/>
        <v>5.2148514851485144E-5</v>
      </c>
      <c r="M37" s="3">
        <f t="shared" si="7"/>
        <v>4.7762865441819992E-3</v>
      </c>
      <c r="N37" s="26">
        <f t="shared" si="8"/>
        <v>2.1972712935400099E-7</v>
      </c>
      <c r="O37" s="26">
        <f t="shared" si="9"/>
        <v>2.032E-3</v>
      </c>
      <c r="P37" s="26">
        <v>7.0840480334740597E-11</v>
      </c>
      <c r="Q37" s="14">
        <v>0.1</v>
      </c>
      <c r="R37" s="2">
        <f t="shared" si="10"/>
        <v>110000.00000000001</v>
      </c>
      <c r="S37" s="2">
        <f t="shared" si="11"/>
        <v>105858.9928738045</v>
      </c>
      <c r="T37" s="2">
        <f t="shared" si="12"/>
        <v>105858.9928738045</v>
      </c>
      <c r="U37" s="2">
        <f t="shared" si="13"/>
        <v>5.1940208761751296E-3</v>
      </c>
      <c r="V37" s="2">
        <v>0.13</v>
      </c>
      <c r="W37" s="2">
        <f t="shared" si="14"/>
        <v>112999.99999999999</v>
      </c>
      <c r="X37" s="2">
        <f t="shared" si="15"/>
        <v>5.8927821782178205</v>
      </c>
      <c r="Y37" s="2">
        <f t="shared" si="16"/>
        <v>1.0781614293193445E-14</v>
      </c>
      <c r="Z37" s="2">
        <f t="shared" si="17"/>
        <v>6492688127.3610926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3">
        <v>108</v>
      </c>
      <c r="B38" s="3">
        <f t="shared" si="1"/>
        <v>1.8</v>
      </c>
      <c r="C38" s="3">
        <v>20</v>
      </c>
      <c r="D38" s="3">
        <f t="shared" si="0"/>
        <v>29.146000000000001</v>
      </c>
      <c r="E38" s="3">
        <f t="shared" si="2"/>
        <v>4.8576666666666667E-7</v>
      </c>
      <c r="F38" s="3">
        <v>21.1</v>
      </c>
      <c r="G38" s="3">
        <f t="shared" si="3"/>
        <v>294.10000000000002</v>
      </c>
      <c r="H38" s="3">
        <v>101.3</v>
      </c>
      <c r="I38" s="3">
        <f t="shared" si="4"/>
        <v>101300</v>
      </c>
      <c r="J38" s="3">
        <f t="shared" si="5"/>
        <v>2.0124824921938581E-5</v>
      </c>
      <c r="K38" s="20">
        <v>55.886138613861391</v>
      </c>
      <c r="L38" s="3">
        <f t="shared" si="6"/>
        <v>5.588613861386139E-5</v>
      </c>
      <c r="M38" s="3">
        <f t="shared" si="7"/>
        <v>4.7762865441819992E-3</v>
      </c>
      <c r="N38" s="26">
        <f t="shared" si="8"/>
        <v>2.3547556135155849E-7</v>
      </c>
      <c r="O38" s="26">
        <f t="shared" si="9"/>
        <v>2.032E-3</v>
      </c>
      <c r="P38" s="26">
        <v>7.0840480334740597E-11</v>
      </c>
      <c r="Q38" s="14">
        <v>0.1</v>
      </c>
      <c r="R38" s="2">
        <f t="shared" si="10"/>
        <v>110000.00000000001</v>
      </c>
      <c r="S38" s="2">
        <f t="shared" si="11"/>
        <v>105565.24697774433</v>
      </c>
      <c r="T38" s="2">
        <f t="shared" si="12"/>
        <v>105565.24697774433</v>
      </c>
      <c r="U38" s="2">
        <f t="shared" si="13"/>
        <v>5.1940208761751296E-3</v>
      </c>
      <c r="V38" s="2">
        <v>0.13</v>
      </c>
      <c r="W38" s="2">
        <f t="shared" si="14"/>
        <v>112999.99999999999</v>
      </c>
      <c r="X38" s="2">
        <f t="shared" si="15"/>
        <v>6.3151336633663364</v>
      </c>
      <c r="Y38" s="2">
        <f t="shared" si="16"/>
        <v>1.1586560797106375E-14</v>
      </c>
      <c r="Z38" s="2">
        <f t="shared" si="17"/>
        <v>6977426912.0174589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3">
        <v>111</v>
      </c>
      <c r="B39" s="3">
        <f t="shared" si="1"/>
        <v>1.85</v>
      </c>
      <c r="C39" s="3">
        <v>20</v>
      </c>
      <c r="D39" s="3">
        <f t="shared" si="0"/>
        <v>29.146000000000001</v>
      </c>
      <c r="E39" s="3">
        <f t="shared" si="2"/>
        <v>4.8576666666666667E-7</v>
      </c>
      <c r="F39" s="3">
        <v>21.1</v>
      </c>
      <c r="G39" s="3">
        <f t="shared" si="3"/>
        <v>294.10000000000002</v>
      </c>
      <c r="H39" s="3">
        <v>101.3</v>
      </c>
      <c r="I39" s="3">
        <f t="shared" si="4"/>
        <v>101300</v>
      </c>
      <c r="J39" s="3">
        <f t="shared" si="5"/>
        <v>2.0124824921938581E-5</v>
      </c>
      <c r="K39" s="20">
        <v>53.336633663366335</v>
      </c>
      <c r="L39" s="3">
        <f t="shared" si="6"/>
        <v>5.3336633663366338E-5</v>
      </c>
      <c r="M39" s="3">
        <f t="shared" si="7"/>
        <v>4.7762865441819992E-3</v>
      </c>
      <c r="N39" s="26">
        <f t="shared" si="8"/>
        <v>2.2473325343269476E-7</v>
      </c>
      <c r="O39" s="26">
        <f t="shared" si="9"/>
        <v>2.032E-3</v>
      </c>
      <c r="P39" s="26">
        <v>7.0840480334740597E-11</v>
      </c>
      <c r="Q39" s="14">
        <v>0.1</v>
      </c>
      <c r="R39" s="2">
        <f t="shared" si="10"/>
        <v>110000.00000000001</v>
      </c>
      <c r="S39" s="2">
        <f t="shared" si="11"/>
        <v>105765.57244794595</v>
      </c>
      <c r="T39" s="2">
        <f t="shared" si="12"/>
        <v>105765.57244794595</v>
      </c>
      <c r="U39" s="2">
        <f t="shared" si="13"/>
        <v>5.1940208761751296E-3</v>
      </c>
      <c r="V39" s="2">
        <v>0.13</v>
      </c>
      <c r="W39" s="2">
        <f t="shared" si="14"/>
        <v>112999.99999999999</v>
      </c>
      <c r="X39" s="2">
        <f t="shared" si="15"/>
        <v>6.0270396039603957</v>
      </c>
      <c r="Y39" s="2">
        <f t="shared" si="16"/>
        <v>1.1037010469298993E-14</v>
      </c>
      <c r="Z39" s="2">
        <f t="shared" si="17"/>
        <v>6646487704.6118536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3">
        <v>114</v>
      </c>
      <c r="B40" s="3">
        <f t="shared" si="1"/>
        <v>1.9</v>
      </c>
      <c r="C40" s="3">
        <v>20</v>
      </c>
      <c r="D40" s="3">
        <f t="shared" si="0"/>
        <v>29.146000000000001</v>
      </c>
      <c r="E40" s="3">
        <f t="shared" si="2"/>
        <v>4.8576666666666667E-7</v>
      </c>
      <c r="F40" s="3">
        <v>21.1</v>
      </c>
      <c r="G40" s="3">
        <f t="shared" si="3"/>
        <v>294.10000000000002</v>
      </c>
      <c r="H40" s="3">
        <v>101.3</v>
      </c>
      <c r="I40" s="3">
        <f t="shared" si="4"/>
        <v>101300</v>
      </c>
      <c r="J40" s="3">
        <f t="shared" si="5"/>
        <v>2.0124824921938581E-5</v>
      </c>
      <c r="K40" s="20">
        <v>53.60891089108911</v>
      </c>
      <c r="L40" s="3">
        <f t="shared" si="6"/>
        <v>5.3608910891089111E-5</v>
      </c>
      <c r="M40" s="3">
        <f t="shared" si="7"/>
        <v>4.7762865441819992E-3</v>
      </c>
      <c r="N40" s="26">
        <f t="shared" si="8"/>
        <v>2.2588049020072877E-7</v>
      </c>
      <c r="O40" s="26">
        <f t="shared" si="9"/>
        <v>2.032E-3</v>
      </c>
      <c r="P40" s="26">
        <v>7.0840480334740597E-11</v>
      </c>
      <c r="Q40" s="14">
        <v>0.1</v>
      </c>
      <c r="R40" s="2">
        <f t="shared" si="10"/>
        <v>110000.00000000001</v>
      </c>
      <c r="S40" s="2">
        <f t="shared" si="11"/>
        <v>105744.16940866427</v>
      </c>
      <c r="T40" s="2">
        <f t="shared" si="12"/>
        <v>105744.16940866427</v>
      </c>
      <c r="U40" s="2">
        <f t="shared" si="13"/>
        <v>5.1940208761751296E-3</v>
      </c>
      <c r="V40" s="2">
        <v>0.13</v>
      </c>
      <c r="W40" s="2">
        <f t="shared" si="14"/>
        <v>112999.99999999999</v>
      </c>
      <c r="X40" s="2">
        <f t="shared" si="15"/>
        <v>6.0578069306930686</v>
      </c>
      <c r="Y40" s="2">
        <f t="shared" si="16"/>
        <v>1.1095601801952569E-14</v>
      </c>
      <c r="Z40" s="2">
        <f t="shared" si="17"/>
        <v>6681771405.1358376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3">
        <v>117</v>
      </c>
      <c r="B41" s="3">
        <f t="shared" si="1"/>
        <v>1.95</v>
      </c>
      <c r="C41" s="3">
        <v>20</v>
      </c>
      <c r="D41" s="3">
        <f t="shared" si="0"/>
        <v>29.146000000000001</v>
      </c>
      <c r="E41" s="3">
        <f t="shared" si="2"/>
        <v>4.8576666666666667E-7</v>
      </c>
      <c r="F41" s="3">
        <v>21.1</v>
      </c>
      <c r="G41" s="3">
        <f t="shared" si="3"/>
        <v>294.10000000000002</v>
      </c>
      <c r="H41" s="3">
        <v>101.3</v>
      </c>
      <c r="I41" s="3">
        <f t="shared" si="4"/>
        <v>101300</v>
      </c>
      <c r="J41" s="3">
        <f t="shared" si="5"/>
        <v>2.0124824921938581E-5</v>
      </c>
      <c r="K41" s="20">
        <v>55.168316831683171</v>
      </c>
      <c r="L41" s="3">
        <f t="shared" si="6"/>
        <v>5.5168316831683174E-5</v>
      </c>
      <c r="M41" s="3">
        <f t="shared" si="7"/>
        <v>4.7762865441819992E-3</v>
      </c>
      <c r="N41" s="26">
        <f t="shared" si="8"/>
        <v>2.3245102805401436E-7</v>
      </c>
      <c r="O41" s="26">
        <f t="shared" si="9"/>
        <v>2.032E-3</v>
      </c>
      <c r="P41" s="26">
        <v>7.0840480334740597E-11</v>
      </c>
      <c r="Q41" s="14">
        <v>0.1</v>
      </c>
      <c r="R41" s="2">
        <f t="shared" si="10"/>
        <v>110000.00000000001</v>
      </c>
      <c r="S41" s="2">
        <f t="shared" si="11"/>
        <v>105621.63008868786</v>
      </c>
      <c r="T41" s="2">
        <f t="shared" si="12"/>
        <v>105621.63008868786</v>
      </c>
      <c r="U41" s="2">
        <f t="shared" si="13"/>
        <v>5.1940208761751296E-3</v>
      </c>
      <c r="V41" s="2">
        <v>0.13</v>
      </c>
      <c r="W41" s="2">
        <f t="shared" si="14"/>
        <v>112999.99999999999</v>
      </c>
      <c r="X41" s="2">
        <f t="shared" si="15"/>
        <v>6.2340198019801978</v>
      </c>
      <c r="Y41" s="2">
        <f t="shared" si="16"/>
        <v>1.143162396146717E-14</v>
      </c>
      <c r="Z41" s="2">
        <f t="shared" si="17"/>
        <v>6884123949.5955305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3">
        <v>120</v>
      </c>
      <c r="B42" s="3">
        <f t="shared" si="1"/>
        <v>2</v>
      </c>
      <c r="C42" s="3">
        <v>20</v>
      </c>
      <c r="D42" s="3">
        <f t="shared" si="0"/>
        <v>29.146000000000001</v>
      </c>
      <c r="E42" s="3">
        <f t="shared" si="2"/>
        <v>4.8576666666666667E-7</v>
      </c>
      <c r="F42" s="3">
        <v>21.1</v>
      </c>
      <c r="G42" s="3">
        <f t="shared" si="3"/>
        <v>294.10000000000002</v>
      </c>
      <c r="H42" s="3">
        <v>101.3</v>
      </c>
      <c r="I42" s="3">
        <f t="shared" si="4"/>
        <v>101300</v>
      </c>
      <c r="J42" s="3">
        <f t="shared" si="5"/>
        <v>2.0124824921938581E-5</v>
      </c>
      <c r="K42" s="20">
        <v>57.099009900990097</v>
      </c>
      <c r="L42" s="3">
        <f t="shared" si="6"/>
        <v>5.7099009900990099E-5</v>
      </c>
      <c r="M42" s="3">
        <f t="shared" si="7"/>
        <v>4.7762865441819992E-3</v>
      </c>
      <c r="N42" s="26">
        <f t="shared" si="8"/>
        <v>2.4058597968189174E-7</v>
      </c>
      <c r="O42" s="26">
        <f t="shared" si="9"/>
        <v>2.032E-3</v>
      </c>
      <c r="P42" s="26">
        <v>7.0840480334740597E-11</v>
      </c>
      <c r="Q42" s="14">
        <v>0.1</v>
      </c>
      <c r="R42" s="2">
        <f t="shared" si="10"/>
        <v>110000.00000000001</v>
      </c>
      <c r="S42" s="2">
        <f t="shared" si="11"/>
        <v>105470.01316819366</v>
      </c>
      <c r="T42" s="2">
        <f t="shared" si="12"/>
        <v>105470.01316819366</v>
      </c>
      <c r="U42" s="2">
        <f t="shared" si="13"/>
        <v>5.1940208761751296E-3</v>
      </c>
      <c r="V42" s="2">
        <v>0.13</v>
      </c>
      <c r="W42" s="2">
        <f t="shared" si="14"/>
        <v>112999.99999999999</v>
      </c>
      <c r="X42" s="2">
        <f t="shared" si="15"/>
        <v>6.4521881188118808</v>
      </c>
      <c r="Y42" s="2">
        <f t="shared" si="16"/>
        <v>1.1848723761744388E-14</v>
      </c>
      <c r="Z42" s="2">
        <f t="shared" si="17"/>
        <v>7135301449.3224707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3">
        <v>123</v>
      </c>
      <c r="B43" s="3">
        <f t="shared" si="1"/>
        <v>2.0499999999999998</v>
      </c>
      <c r="C43" s="3">
        <v>20</v>
      </c>
      <c r="D43" s="3">
        <f t="shared" si="0"/>
        <v>29.146000000000001</v>
      </c>
      <c r="E43" s="3">
        <f t="shared" si="2"/>
        <v>4.8576666666666667E-7</v>
      </c>
      <c r="F43" s="3">
        <v>21.1</v>
      </c>
      <c r="G43" s="3">
        <f t="shared" si="3"/>
        <v>294.10000000000002</v>
      </c>
      <c r="H43" s="3">
        <v>101.3</v>
      </c>
      <c r="I43" s="3">
        <f t="shared" si="4"/>
        <v>101300</v>
      </c>
      <c r="J43" s="3">
        <f t="shared" si="5"/>
        <v>2.0124824921938581E-5</v>
      </c>
      <c r="K43" s="20">
        <v>53.559405940594068</v>
      </c>
      <c r="L43" s="3">
        <f t="shared" si="6"/>
        <v>5.3559405940594067E-5</v>
      </c>
      <c r="M43" s="3">
        <f t="shared" si="7"/>
        <v>4.7762865441819992E-3</v>
      </c>
      <c r="N43" s="26">
        <f t="shared" si="8"/>
        <v>2.2567190169744989E-7</v>
      </c>
      <c r="O43" s="26">
        <f t="shared" si="9"/>
        <v>2.032E-3</v>
      </c>
      <c r="P43" s="26">
        <v>7.0840480334740597E-11</v>
      </c>
      <c r="Q43" s="14">
        <v>0.1</v>
      </c>
      <c r="R43" s="2">
        <f t="shared" si="10"/>
        <v>110000.00000000001</v>
      </c>
      <c r="S43" s="2">
        <f t="shared" si="11"/>
        <v>105748.06070925848</v>
      </c>
      <c r="T43" s="2">
        <f t="shared" si="12"/>
        <v>105748.06070925848</v>
      </c>
      <c r="U43" s="2">
        <f t="shared" si="13"/>
        <v>5.1940208761751296E-3</v>
      </c>
      <c r="V43" s="2">
        <v>0.13</v>
      </c>
      <c r="W43" s="2">
        <f t="shared" si="14"/>
        <v>112999.99999999999</v>
      </c>
      <c r="X43" s="2">
        <f t="shared" si="15"/>
        <v>6.0522128712871286</v>
      </c>
      <c r="Y43" s="2">
        <f t="shared" si="16"/>
        <v>1.1084947082528172E-14</v>
      </c>
      <c r="Z43" s="2">
        <f t="shared" si="17"/>
        <v>6675355133.0984659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3">
        <v>126</v>
      </c>
      <c r="B44" s="3">
        <f t="shared" si="1"/>
        <v>2.1</v>
      </c>
      <c r="C44" s="3">
        <v>20</v>
      </c>
      <c r="D44" s="3">
        <f t="shared" si="0"/>
        <v>29.146000000000001</v>
      </c>
      <c r="E44" s="3">
        <f t="shared" si="2"/>
        <v>4.8576666666666667E-7</v>
      </c>
      <c r="F44" s="3">
        <v>21.1</v>
      </c>
      <c r="G44" s="3">
        <f t="shared" si="3"/>
        <v>294.10000000000002</v>
      </c>
      <c r="H44" s="3">
        <v>101.3</v>
      </c>
      <c r="I44" s="3">
        <f t="shared" si="4"/>
        <v>101300</v>
      </c>
      <c r="J44" s="3">
        <f t="shared" si="5"/>
        <v>2.0124824921938581E-5</v>
      </c>
      <c r="K44" s="20">
        <v>64.747524752475258</v>
      </c>
      <c r="L44" s="3">
        <f t="shared" si="6"/>
        <v>6.474752475247526E-5</v>
      </c>
      <c r="M44" s="3">
        <f t="shared" si="7"/>
        <v>4.7762865441819992E-3</v>
      </c>
      <c r="N44" s="26">
        <f t="shared" si="8"/>
        <v>2.7281290343848298E-7</v>
      </c>
      <c r="O44" s="26">
        <f t="shared" si="9"/>
        <v>2.032E-3</v>
      </c>
      <c r="P44" s="26">
        <v>7.0840480334740597E-11</v>
      </c>
      <c r="Q44" s="14">
        <v>0.1</v>
      </c>
      <c r="R44" s="2">
        <f t="shared" si="10"/>
        <v>110000.00000000001</v>
      </c>
      <c r="S44" s="2">
        <f t="shared" si="11"/>
        <v>104870.44713002781</v>
      </c>
      <c r="T44" s="2">
        <f t="shared" si="12"/>
        <v>104870.44713002781</v>
      </c>
      <c r="U44" s="2">
        <f t="shared" si="13"/>
        <v>5.1940208761751296E-3</v>
      </c>
      <c r="V44" s="2">
        <v>0.13</v>
      </c>
      <c r="W44" s="2">
        <f t="shared" si="14"/>
        <v>112999.99999999999</v>
      </c>
      <c r="X44" s="2">
        <f t="shared" si="15"/>
        <v>7.3164702970297038</v>
      </c>
      <c r="Y44" s="2">
        <f t="shared" si="16"/>
        <v>1.3512813386693793E-14</v>
      </c>
      <c r="Z44" s="2">
        <f t="shared" si="17"/>
        <v>8137416221.4670029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3">
        <v>129</v>
      </c>
      <c r="B45" s="3">
        <f t="shared" si="1"/>
        <v>2.15</v>
      </c>
      <c r="C45" s="3">
        <v>20</v>
      </c>
      <c r="D45" s="3">
        <f t="shared" si="0"/>
        <v>29.146000000000001</v>
      </c>
      <c r="E45" s="3">
        <f t="shared" si="2"/>
        <v>4.8576666666666667E-7</v>
      </c>
      <c r="F45" s="3">
        <v>21.1</v>
      </c>
      <c r="G45" s="3">
        <f t="shared" si="3"/>
        <v>294.10000000000002</v>
      </c>
      <c r="H45" s="3">
        <v>101.3</v>
      </c>
      <c r="I45" s="3">
        <f t="shared" si="4"/>
        <v>101300</v>
      </c>
      <c r="J45" s="3">
        <f t="shared" si="5"/>
        <v>2.0124824921938581E-5</v>
      </c>
      <c r="K45" s="20">
        <v>64.227722772277218</v>
      </c>
      <c r="L45" s="3">
        <f t="shared" si="6"/>
        <v>6.4227722772277216E-5</v>
      </c>
      <c r="M45" s="3">
        <f t="shared" si="7"/>
        <v>4.7762865441819992E-3</v>
      </c>
      <c r="N45" s="26">
        <f t="shared" si="8"/>
        <v>2.7062272415405433E-7</v>
      </c>
      <c r="O45" s="26">
        <f t="shared" si="9"/>
        <v>2.032E-3</v>
      </c>
      <c r="P45" s="26">
        <v>7.0840480334740597E-11</v>
      </c>
      <c r="Q45" s="14">
        <v>0.1</v>
      </c>
      <c r="R45" s="2">
        <f t="shared" si="10"/>
        <v>110000.00000000001</v>
      </c>
      <c r="S45" s="2">
        <f t="shared" si="11"/>
        <v>104911.14020913337</v>
      </c>
      <c r="T45" s="2">
        <f t="shared" si="12"/>
        <v>104911.14020913337</v>
      </c>
      <c r="U45" s="2">
        <f t="shared" si="13"/>
        <v>5.1940208761751296E-3</v>
      </c>
      <c r="V45" s="2">
        <v>0.13</v>
      </c>
      <c r="W45" s="2">
        <f t="shared" si="14"/>
        <v>112999.99999999999</v>
      </c>
      <c r="X45" s="2">
        <f t="shared" si="15"/>
        <v>7.2577326732673244</v>
      </c>
      <c r="Y45" s="2">
        <f t="shared" si="16"/>
        <v>1.3399123518035243E-14</v>
      </c>
      <c r="Z45" s="2">
        <f t="shared" si="17"/>
        <v>8068952182.5608234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3">
        <v>132</v>
      </c>
      <c r="B46" s="3">
        <f t="shared" si="1"/>
        <v>2.2000000000000002</v>
      </c>
      <c r="C46" s="3">
        <v>20</v>
      </c>
      <c r="D46" s="3">
        <f t="shared" si="0"/>
        <v>29.146000000000001</v>
      </c>
      <c r="E46" s="3">
        <f t="shared" si="2"/>
        <v>4.8576666666666667E-7</v>
      </c>
      <c r="F46" s="3">
        <v>21.1</v>
      </c>
      <c r="G46" s="3">
        <f t="shared" si="3"/>
        <v>294.10000000000002</v>
      </c>
      <c r="H46" s="3">
        <v>101.3</v>
      </c>
      <c r="I46" s="3">
        <f t="shared" si="4"/>
        <v>101300</v>
      </c>
      <c r="J46" s="3">
        <f t="shared" si="5"/>
        <v>2.0124824921938581E-5</v>
      </c>
      <c r="K46" s="20">
        <v>55.019801980198018</v>
      </c>
      <c r="L46" s="3">
        <f t="shared" si="6"/>
        <v>5.501980198019802E-5</v>
      </c>
      <c r="M46" s="3">
        <f t="shared" si="7"/>
        <v>4.7762865441819992E-3</v>
      </c>
      <c r="N46" s="26">
        <f t="shared" si="8"/>
        <v>2.3182526254417764E-7</v>
      </c>
      <c r="O46" s="26">
        <f t="shared" si="9"/>
        <v>2.032E-3</v>
      </c>
      <c r="P46" s="26">
        <v>7.0840480334740597E-11</v>
      </c>
      <c r="Q46" s="14">
        <v>0.1</v>
      </c>
      <c r="R46" s="2">
        <f t="shared" si="10"/>
        <v>110000.00000000001</v>
      </c>
      <c r="S46" s="2">
        <f t="shared" si="11"/>
        <v>105633.29743934018</v>
      </c>
      <c r="T46" s="2">
        <f t="shared" si="12"/>
        <v>105633.29743934018</v>
      </c>
      <c r="U46" s="2">
        <f t="shared" si="13"/>
        <v>5.1940208761751296E-3</v>
      </c>
      <c r="V46" s="2">
        <v>0.13</v>
      </c>
      <c r="W46" s="2">
        <f t="shared" si="14"/>
        <v>112999.99999999999</v>
      </c>
      <c r="X46" s="2">
        <f t="shared" si="15"/>
        <v>6.2172376237623759</v>
      </c>
      <c r="Y46" s="2">
        <f t="shared" si="16"/>
        <v>1.1399588542822114E-14</v>
      </c>
      <c r="Z46" s="2">
        <f t="shared" si="17"/>
        <v>6864832220.4874773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3">
        <v>135</v>
      </c>
      <c r="B47" s="3">
        <f t="shared" si="1"/>
        <v>2.25</v>
      </c>
      <c r="C47" s="3">
        <v>20</v>
      </c>
      <c r="D47" s="3">
        <f t="shared" si="0"/>
        <v>29.146000000000001</v>
      </c>
      <c r="E47" s="3">
        <f t="shared" si="2"/>
        <v>4.8576666666666667E-7</v>
      </c>
      <c r="F47" s="3">
        <v>21.1</v>
      </c>
      <c r="G47" s="3">
        <f t="shared" si="3"/>
        <v>294.10000000000002</v>
      </c>
      <c r="H47" s="3">
        <v>101.3</v>
      </c>
      <c r="I47" s="3">
        <f t="shared" si="4"/>
        <v>101300</v>
      </c>
      <c r="J47" s="3">
        <f t="shared" si="5"/>
        <v>2.0124824921938581E-5</v>
      </c>
      <c r="K47" s="20">
        <v>64.178217821782184</v>
      </c>
      <c r="L47" s="3">
        <f t="shared" si="6"/>
        <v>6.4178217821782185E-5</v>
      </c>
      <c r="M47" s="3">
        <f t="shared" si="7"/>
        <v>4.7762865441819992E-3</v>
      </c>
      <c r="N47" s="26">
        <f t="shared" si="8"/>
        <v>2.7041413565077548E-7</v>
      </c>
      <c r="O47" s="26">
        <f t="shared" si="9"/>
        <v>2.032E-3</v>
      </c>
      <c r="P47" s="26">
        <v>7.0840480334740597E-11</v>
      </c>
      <c r="Q47" s="14">
        <v>0.1</v>
      </c>
      <c r="R47" s="2">
        <f t="shared" si="10"/>
        <v>110000.00000000001</v>
      </c>
      <c r="S47" s="2">
        <f t="shared" si="11"/>
        <v>104915.01615215982</v>
      </c>
      <c r="T47" s="2">
        <f t="shared" si="12"/>
        <v>104915.01615215982</v>
      </c>
      <c r="U47" s="2">
        <f t="shared" si="13"/>
        <v>5.1940208761751296E-3</v>
      </c>
      <c r="V47" s="2">
        <v>0.13</v>
      </c>
      <c r="W47" s="2">
        <f t="shared" si="14"/>
        <v>112999.99999999999</v>
      </c>
      <c r="X47" s="2">
        <f t="shared" si="15"/>
        <v>7.2521386138613861</v>
      </c>
      <c r="Y47" s="2">
        <f t="shared" si="16"/>
        <v>1.3388300465555854E-14</v>
      </c>
      <c r="Z47" s="2">
        <f t="shared" si="17"/>
        <v>8062434540.3577356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3">
        <v>138</v>
      </c>
      <c r="B48" s="3">
        <f t="shared" si="1"/>
        <v>2.2999999999999998</v>
      </c>
      <c r="C48" s="3">
        <v>20</v>
      </c>
      <c r="D48" s="3">
        <f t="shared" si="0"/>
        <v>29.146000000000001</v>
      </c>
      <c r="E48" s="3">
        <f t="shared" si="2"/>
        <v>4.8576666666666667E-7</v>
      </c>
      <c r="F48" s="3">
        <v>21.1</v>
      </c>
      <c r="G48" s="3">
        <f t="shared" si="3"/>
        <v>294.10000000000002</v>
      </c>
      <c r="H48" s="3">
        <v>101.3</v>
      </c>
      <c r="I48" s="3">
        <f t="shared" si="4"/>
        <v>101300</v>
      </c>
      <c r="J48" s="3">
        <f t="shared" si="5"/>
        <v>2.0124824921938581E-5</v>
      </c>
      <c r="K48" s="20">
        <v>58.658415841584166</v>
      </c>
      <c r="L48" s="3">
        <f t="shared" si="6"/>
        <v>5.8658415841584169E-5</v>
      </c>
      <c r="M48" s="3">
        <f t="shared" si="7"/>
        <v>4.7762865441819992E-3</v>
      </c>
      <c r="N48" s="26">
        <f t="shared" si="8"/>
        <v>2.4715651753517735E-7</v>
      </c>
      <c r="O48" s="26">
        <f t="shared" si="9"/>
        <v>2.032E-3</v>
      </c>
      <c r="P48" s="26">
        <v>7.0840480334740597E-11</v>
      </c>
      <c r="Q48" s="14">
        <v>0.1</v>
      </c>
      <c r="R48" s="2">
        <f t="shared" si="10"/>
        <v>110000.00000000001</v>
      </c>
      <c r="S48" s="2">
        <f t="shared" si="11"/>
        <v>105347.63284737171</v>
      </c>
      <c r="T48" s="2">
        <f t="shared" si="12"/>
        <v>105347.63284737171</v>
      </c>
      <c r="U48" s="2">
        <f t="shared" si="13"/>
        <v>5.1940208761751296E-3</v>
      </c>
      <c r="V48" s="2">
        <v>0.13</v>
      </c>
      <c r="W48" s="2">
        <f t="shared" si="14"/>
        <v>112999.99999999999</v>
      </c>
      <c r="X48" s="2">
        <f t="shared" si="15"/>
        <v>6.62840099009901</v>
      </c>
      <c r="Y48" s="2">
        <f t="shared" si="16"/>
        <v>1.218648064452314E-14</v>
      </c>
      <c r="Z48" s="2">
        <f t="shared" si="17"/>
        <v>7338698644.131835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3">
        <v>141</v>
      </c>
      <c r="B49" s="3">
        <f t="shared" si="1"/>
        <v>2.35</v>
      </c>
      <c r="C49" s="3">
        <v>20</v>
      </c>
      <c r="D49" s="3">
        <f t="shared" si="0"/>
        <v>29.146000000000001</v>
      </c>
      <c r="E49" s="3">
        <f t="shared" si="2"/>
        <v>4.8576666666666667E-7</v>
      </c>
      <c r="F49" s="3">
        <v>21.1</v>
      </c>
      <c r="G49" s="3">
        <f t="shared" si="3"/>
        <v>294.10000000000002</v>
      </c>
      <c r="H49" s="3">
        <v>101.3</v>
      </c>
      <c r="I49" s="3">
        <f t="shared" si="4"/>
        <v>101300</v>
      </c>
      <c r="J49" s="3">
        <f t="shared" si="5"/>
        <v>2.0124824921938581E-5</v>
      </c>
      <c r="K49" s="20">
        <v>53.930693069306926</v>
      </c>
      <c r="L49" s="3">
        <f t="shared" si="6"/>
        <v>5.3930693069306929E-5</v>
      </c>
      <c r="M49" s="3">
        <f t="shared" si="7"/>
        <v>4.7762865441819992E-3</v>
      </c>
      <c r="N49" s="26">
        <f t="shared" si="8"/>
        <v>2.2723631547204166E-7</v>
      </c>
      <c r="O49" s="26">
        <f t="shared" si="9"/>
        <v>2.032E-3</v>
      </c>
      <c r="P49" s="26">
        <v>7.0840480334740597E-11</v>
      </c>
      <c r="Q49" s="14">
        <v>0.1</v>
      </c>
      <c r="R49" s="2">
        <f t="shared" si="10"/>
        <v>110000.00000000001</v>
      </c>
      <c r="S49" s="2">
        <f t="shared" si="11"/>
        <v>105718.87769998006</v>
      </c>
      <c r="T49" s="2">
        <f t="shared" si="12"/>
        <v>105718.87769998006</v>
      </c>
      <c r="U49" s="2">
        <f t="shared" si="13"/>
        <v>5.1940208761751296E-3</v>
      </c>
      <c r="V49" s="2">
        <v>0.13</v>
      </c>
      <c r="W49" s="2">
        <f t="shared" si="14"/>
        <v>112999.99999999999</v>
      </c>
      <c r="X49" s="2">
        <f t="shared" si="15"/>
        <v>6.0941683168316825</v>
      </c>
      <c r="Y49" s="2">
        <f t="shared" si="16"/>
        <v>1.1164876441205297E-14</v>
      </c>
      <c r="Z49" s="2">
        <f t="shared" si="17"/>
        <v>6723488592.8938303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3">
        <v>144</v>
      </c>
      <c r="B50" s="3">
        <f t="shared" si="1"/>
        <v>2.4</v>
      </c>
      <c r="C50" s="3">
        <v>20</v>
      </c>
      <c r="D50" s="3">
        <f t="shared" si="0"/>
        <v>29.146000000000001</v>
      </c>
      <c r="E50" s="3">
        <f t="shared" si="2"/>
        <v>4.8576666666666667E-7</v>
      </c>
      <c r="F50" s="3">
        <v>21.1</v>
      </c>
      <c r="G50" s="3">
        <f t="shared" si="3"/>
        <v>294.10000000000002</v>
      </c>
      <c r="H50" s="3">
        <v>101.3</v>
      </c>
      <c r="I50" s="3">
        <f t="shared" si="4"/>
        <v>101300</v>
      </c>
      <c r="J50" s="3">
        <f t="shared" si="5"/>
        <v>2.0124824921938581E-5</v>
      </c>
      <c r="K50" s="20">
        <v>51.851485148514847</v>
      </c>
      <c r="L50" s="3">
        <f t="shared" si="6"/>
        <v>5.1851485148514849E-5</v>
      </c>
      <c r="M50" s="3">
        <f t="shared" si="7"/>
        <v>4.7762865441819992E-3</v>
      </c>
      <c r="N50" s="26">
        <f t="shared" si="8"/>
        <v>2.1847559833432756E-7</v>
      </c>
      <c r="O50" s="26">
        <f t="shared" si="9"/>
        <v>2.032E-3</v>
      </c>
      <c r="P50" s="26">
        <v>7.0840480334740597E-11</v>
      </c>
      <c r="Q50" s="14">
        <v>0.1</v>
      </c>
      <c r="R50" s="2">
        <f t="shared" si="10"/>
        <v>110000.00000000001</v>
      </c>
      <c r="S50" s="2">
        <f t="shared" si="11"/>
        <v>105882.35442400388</v>
      </c>
      <c r="T50" s="2">
        <f t="shared" si="12"/>
        <v>105882.35442400388</v>
      </c>
      <c r="U50" s="2">
        <f t="shared" si="13"/>
        <v>5.1940208761751296E-3</v>
      </c>
      <c r="V50" s="2">
        <v>0.13</v>
      </c>
      <c r="W50" s="2">
        <f t="shared" si="14"/>
        <v>112999.99999999999</v>
      </c>
      <c r="X50" s="2">
        <f t="shared" si="15"/>
        <v>5.8592178217821775</v>
      </c>
      <c r="Y50" s="2">
        <f t="shared" si="16"/>
        <v>1.0717835119811285E-14</v>
      </c>
      <c r="Z50" s="2">
        <f t="shared" si="17"/>
        <v>6454280309.1503563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3">
        <v>147</v>
      </c>
      <c r="B51" s="3">
        <f t="shared" si="1"/>
        <v>2.4500000000000002</v>
      </c>
      <c r="C51" s="3">
        <v>20</v>
      </c>
      <c r="D51" s="3">
        <f t="shared" si="0"/>
        <v>29.146000000000001</v>
      </c>
      <c r="E51" s="3">
        <f t="shared" si="2"/>
        <v>4.8576666666666667E-7</v>
      </c>
      <c r="F51" s="3">
        <v>21.1</v>
      </c>
      <c r="G51" s="3">
        <f t="shared" si="3"/>
        <v>294.10000000000002</v>
      </c>
      <c r="H51" s="3">
        <v>101.3</v>
      </c>
      <c r="I51" s="3">
        <f t="shared" si="4"/>
        <v>101300</v>
      </c>
      <c r="J51" s="3">
        <f t="shared" si="5"/>
        <v>2.0124824921938581E-5</v>
      </c>
      <c r="K51" s="20">
        <v>55.341584158415841</v>
      </c>
      <c r="L51" s="3">
        <f t="shared" si="6"/>
        <v>5.5341584158415844E-5</v>
      </c>
      <c r="M51" s="3">
        <f t="shared" si="7"/>
        <v>4.7762865441819992E-3</v>
      </c>
      <c r="N51" s="26">
        <f t="shared" si="8"/>
        <v>2.3318108781549053E-7</v>
      </c>
      <c r="O51" s="26">
        <f t="shared" si="9"/>
        <v>2.032E-3</v>
      </c>
      <c r="P51" s="26">
        <v>7.0840480334740597E-11</v>
      </c>
      <c r="Q51" s="14">
        <v>0.1</v>
      </c>
      <c r="R51" s="2">
        <f t="shared" si="10"/>
        <v>110000.00000000001</v>
      </c>
      <c r="S51" s="2">
        <f t="shared" si="11"/>
        <v>105608.01899400997</v>
      </c>
      <c r="T51" s="2">
        <f t="shared" si="12"/>
        <v>105608.01899400997</v>
      </c>
      <c r="U51" s="2">
        <f t="shared" si="13"/>
        <v>5.1940208761751296E-3</v>
      </c>
      <c r="V51" s="2">
        <v>0.13</v>
      </c>
      <c r="W51" s="2">
        <f t="shared" si="14"/>
        <v>112999.99999999999</v>
      </c>
      <c r="X51" s="2">
        <f t="shared" si="15"/>
        <v>6.2535990099009897</v>
      </c>
      <c r="Y51" s="2">
        <f t="shared" si="16"/>
        <v>1.1469007487825845E-14</v>
      </c>
      <c r="Z51" s="2">
        <f t="shared" si="17"/>
        <v>6906636309.1687241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3">
        <v>150</v>
      </c>
      <c r="B52" s="3">
        <f t="shared" si="1"/>
        <v>2.5</v>
      </c>
      <c r="C52" s="3">
        <v>20</v>
      </c>
      <c r="D52" s="3">
        <f t="shared" si="0"/>
        <v>29.146000000000001</v>
      </c>
      <c r="E52" s="3">
        <f t="shared" si="2"/>
        <v>4.8576666666666667E-7</v>
      </c>
      <c r="F52" s="3">
        <v>21.1</v>
      </c>
      <c r="G52" s="3">
        <f t="shared" si="3"/>
        <v>294.10000000000002</v>
      </c>
      <c r="H52" s="3">
        <v>101.3</v>
      </c>
      <c r="I52" s="3">
        <f t="shared" si="4"/>
        <v>101300</v>
      </c>
      <c r="J52" s="3">
        <f t="shared" si="5"/>
        <v>2.0124824921938581E-5</v>
      </c>
      <c r="K52" s="20">
        <v>63.85643564356436</v>
      </c>
      <c r="L52" s="3">
        <f t="shared" si="6"/>
        <v>6.3856435643564361E-5</v>
      </c>
      <c r="M52" s="3">
        <f t="shared" si="7"/>
        <v>4.7762865441819992E-3</v>
      </c>
      <c r="N52" s="26">
        <f t="shared" si="8"/>
        <v>2.6905831037946262E-7</v>
      </c>
      <c r="O52" s="26">
        <f t="shared" si="9"/>
        <v>2.032E-3</v>
      </c>
      <c r="P52" s="26">
        <v>7.0840480334740597E-11</v>
      </c>
      <c r="Q52" s="14">
        <v>0.1</v>
      </c>
      <c r="R52" s="2">
        <f t="shared" si="10"/>
        <v>110000.00000000001</v>
      </c>
      <c r="S52" s="2">
        <f t="shared" si="11"/>
        <v>104940.21152700981</v>
      </c>
      <c r="T52" s="2">
        <f t="shared" si="12"/>
        <v>104940.21152700981</v>
      </c>
      <c r="U52" s="2">
        <f t="shared" si="13"/>
        <v>5.1940208761751296E-3</v>
      </c>
      <c r="V52" s="2">
        <v>0.13</v>
      </c>
      <c r="W52" s="2">
        <f t="shared" si="14"/>
        <v>112999.99999999999</v>
      </c>
      <c r="X52" s="2">
        <f t="shared" si="15"/>
        <v>7.2157772277227714</v>
      </c>
      <c r="Y52" s="2">
        <f t="shared" si="16"/>
        <v>1.3317969920078627E-14</v>
      </c>
      <c r="Z52" s="2">
        <f t="shared" si="17"/>
        <v>8020081485.8713493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3">
        <v>153</v>
      </c>
      <c r="B53" s="3">
        <f t="shared" si="1"/>
        <v>2.5499999999999998</v>
      </c>
      <c r="C53" s="3">
        <v>20</v>
      </c>
      <c r="D53" s="3">
        <f t="shared" si="0"/>
        <v>29.146000000000001</v>
      </c>
      <c r="E53" s="3">
        <f t="shared" si="2"/>
        <v>4.8576666666666667E-7</v>
      </c>
      <c r="F53" s="3">
        <v>21.1</v>
      </c>
      <c r="G53" s="3">
        <f t="shared" si="3"/>
        <v>294.10000000000002</v>
      </c>
      <c r="H53" s="3">
        <v>101.3</v>
      </c>
      <c r="I53" s="3">
        <f t="shared" si="4"/>
        <v>101300</v>
      </c>
      <c r="J53" s="3">
        <f t="shared" si="5"/>
        <v>2.0124824921938581E-5</v>
      </c>
      <c r="K53" s="20">
        <v>53.485148514851488</v>
      </c>
      <c r="L53" s="3">
        <f t="shared" si="6"/>
        <v>5.3485148514851486E-5</v>
      </c>
      <c r="M53" s="3">
        <f t="shared" si="7"/>
        <v>4.7762865441819992E-3</v>
      </c>
      <c r="N53" s="26">
        <f t="shared" si="8"/>
        <v>2.2535901894253148E-7</v>
      </c>
      <c r="O53" s="26">
        <f t="shared" si="9"/>
        <v>2.032E-3</v>
      </c>
      <c r="P53" s="26">
        <v>7.0840480334740597E-11</v>
      </c>
      <c r="Q53" s="14">
        <v>0.1</v>
      </c>
      <c r="R53" s="2">
        <f t="shared" si="10"/>
        <v>110000.00000000001</v>
      </c>
      <c r="S53" s="2">
        <f t="shared" si="11"/>
        <v>105753.89779439426</v>
      </c>
      <c r="T53" s="2">
        <f t="shared" si="12"/>
        <v>105753.89779439426</v>
      </c>
      <c r="U53" s="2">
        <f t="shared" si="13"/>
        <v>5.1940208761751296E-3</v>
      </c>
      <c r="V53" s="2">
        <v>0.13</v>
      </c>
      <c r="W53" s="2">
        <f t="shared" si="14"/>
        <v>112999.99999999999</v>
      </c>
      <c r="X53" s="2">
        <f t="shared" si="15"/>
        <v>6.0438217821782168</v>
      </c>
      <c r="Y53" s="2">
        <f t="shared" si="16"/>
        <v>1.1068966461721399E-14</v>
      </c>
      <c r="Z53" s="2">
        <f t="shared" si="17"/>
        <v>6665731603.2486267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3">
        <v>156</v>
      </c>
      <c r="B54" s="3">
        <f t="shared" si="1"/>
        <v>2.6</v>
      </c>
      <c r="C54" s="3">
        <v>20</v>
      </c>
      <c r="D54" s="3">
        <f t="shared" si="0"/>
        <v>29.146000000000001</v>
      </c>
      <c r="E54" s="3">
        <f t="shared" si="2"/>
        <v>4.8576666666666667E-7</v>
      </c>
      <c r="F54" s="3">
        <v>21.1</v>
      </c>
      <c r="G54" s="3">
        <f t="shared" si="3"/>
        <v>294.10000000000002</v>
      </c>
      <c r="H54" s="3">
        <v>101.3</v>
      </c>
      <c r="I54" s="3">
        <f t="shared" si="4"/>
        <v>101300</v>
      </c>
      <c r="J54" s="3">
        <f t="shared" si="5"/>
        <v>2.0124824921938581E-5</v>
      </c>
      <c r="K54" s="20">
        <v>60.366336633663373</v>
      </c>
      <c r="L54" s="3">
        <f t="shared" si="6"/>
        <v>6.0366336633663373E-5</v>
      </c>
      <c r="M54" s="3">
        <f t="shared" si="7"/>
        <v>4.7762865441819992E-3</v>
      </c>
      <c r="N54" s="26">
        <f t="shared" si="8"/>
        <v>2.5435282089829963E-7</v>
      </c>
      <c r="O54" s="26">
        <f t="shared" si="9"/>
        <v>2.032E-3</v>
      </c>
      <c r="P54" s="26">
        <v>7.0840480334740597E-11</v>
      </c>
      <c r="Q54" s="14">
        <v>0.1</v>
      </c>
      <c r="R54" s="2">
        <f t="shared" si="10"/>
        <v>110000.00000000001</v>
      </c>
      <c r="S54" s="2">
        <f t="shared" si="11"/>
        <v>105213.6787711444</v>
      </c>
      <c r="T54" s="2">
        <f t="shared" si="12"/>
        <v>105213.6787711444</v>
      </c>
      <c r="U54" s="2">
        <f t="shared" si="13"/>
        <v>5.1940208761751296E-3</v>
      </c>
      <c r="V54" s="2">
        <v>0.13</v>
      </c>
      <c r="W54" s="2">
        <f t="shared" si="14"/>
        <v>112999.99999999999</v>
      </c>
      <c r="X54" s="2">
        <f t="shared" si="15"/>
        <v>6.8213960396039601</v>
      </c>
      <c r="Y54" s="2">
        <f t="shared" si="16"/>
        <v>1.2557298018602526E-14</v>
      </c>
      <c r="Z54" s="2">
        <f t="shared" si="17"/>
        <v>7562004866.8024416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3">
        <v>159</v>
      </c>
      <c r="B55" s="3">
        <f t="shared" si="1"/>
        <v>2.65</v>
      </c>
      <c r="C55" s="3">
        <v>20</v>
      </c>
      <c r="D55" s="3">
        <f t="shared" si="0"/>
        <v>29.146000000000001</v>
      </c>
      <c r="E55" s="3">
        <f t="shared" si="2"/>
        <v>4.8576666666666667E-7</v>
      </c>
      <c r="F55" s="3">
        <v>21.1</v>
      </c>
      <c r="G55" s="3">
        <f t="shared" si="3"/>
        <v>294.10000000000002</v>
      </c>
      <c r="H55" s="3">
        <v>101.3</v>
      </c>
      <c r="I55" s="3">
        <f t="shared" si="4"/>
        <v>101300</v>
      </c>
      <c r="J55" s="3">
        <f t="shared" si="5"/>
        <v>2.0124824921938581E-5</v>
      </c>
      <c r="K55" s="20">
        <v>55.539603960396036</v>
      </c>
      <c r="L55" s="3">
        <f t="shared" si="6"/>
        <v>5.5539603960396036E-5</v>
      </c>
      <c r="M55" s="3">
        <f t="shared" si="7"/>
        <v>4.7762865441819992E-3</v>
      </c>
      <c r="N55" s="26">
        <f t="shared" si="8"/>
        <v>2.3401544182860612E-7</v>
      </c>
      <c r="O55" s="26">
        <f t="shared" si="9"/>
        <v>2.032E-3</v>
      </c>
      <c r="P55" s="26">
        <v>7.0840480334740597E-11</v>
      </c>
      <c r="Q55" s="14">
        <v>0.1</v>
      </c>
      <c r="R55" s="2">
        <f t="shared" si="10"/>
        <v>110000.00000000001</v>
      </c>
      <c r="S55" s="2">
        <f t="shared" si="11"/>
        <v>105592.464531191</v>
      </c>
      <c r="T55" s="2">
        <f t="shared" si="12"/>
        <v>105592.464531191</v>
      </c>
      <c r="U55" s="2">
        <f t="shared" si="13"/>
        <v>5.1940208761751296E-3</v>
      </c>
      <c r="V55" s="2">
        <v>0.13</v>
      </c>
      <c r="W55" s="2">
        <f t="shared" si="14"/>
        <v>112999.99999999999</v>
      </c>
      <c r="X55" s="2">
        <f t="shared" si="15"/>
        <v>6.2759752475247517</v>
      </c>
      <c r="Y55" s="2">
        <f t="shared" si="16"/>
        <v>1.1511743219721582E-14</v>
      </c>
      <c r="Z55" s="2">
        <f t="shared" si="17"/>
        <v>6932371766.916337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3">
        <v>162</v>
      </c>
      <c r="B56" s="3">
        <f t="shared" si="1"/>
        <v>2.7</v>
      </c>
      <c r="C56" s="3">
        <v>20</v>
      </c>
      <c r="D56" s="3">
        <f t="shared" si="0"/>
        <v>29.146000000000001</v>
      </c>
      <c r="E56" s="3">
        <f t="shared" si="2"/>
        <v>4.8576666666666667E-7</v>
      </c>
      <c r="F56" s="3">
        <v>21.1</v>
      </c>
      <c r="G56" s="3">
        <f t="shared" si="3"/>
        <v>294.10000000000002</v>
      </c>
      <c r="H56" s="3">
        <v>101.3</v>
      </c>
      <c r="I56" s="3">
        <f t="shared" si="4"/>
        <v>101300</v>
      </c>
      <c r="J56" s="3">
        <f t="shared" si="5"/>
        <v>2.0124824921938581E-5</v>
      </c>
      <c r="K56" s="20">
        <v>54.400990099009903</v>
      </c>
      <c r="L56" s="3">
        <f t="shared" si="6"/>
        <v>5.44009900990099E-5</v>
      </c>
      <c r="M56" s="3">
        <f t="shared" si="7"/>
        <v>4.7762865441819992E-3</v>
      </c>
      <c r="N56" s="26">
        <f t="shared" si="8"/>
        <v>2.2921790625319129E-7</v>
      </c>
      <c r="O56" s="26">
        <f t="shared" si="9"/>
        <v>2.032E-3</v>
      </c>
      <c r="P56" s="26">
        <v>7.0840480334740597E-11</v>
      </c>
      <c r="Q56" s="14">
        <v>0.1</v>
      </c>
      <c r="R56" s="2">
        <f t="shared" si="10"/>
        <v>110000.00000000001</v>
      </c>
      <c r="S56" s="2">
        <f t="shared" si="11"/>
        <v>105681.91833635602</v>
      </c>
      <c r="T56" s="2">
        <f t="shared" si="12"/>
        <v>105681.91833635602</v>
      </c>
      <c r="U56" s="2">
        <f t="shared" si="13"/>
        <v>5.1940208761751296E-3</v>
      </c>
      <c r="V56" s="2">
        <v>0.13</v>
      </c>
      <c r="W56" s="2">
        <f t="shared" si="14"/>
        <v>112999.99999999999</v>
      </c>
      <c r="X56" s="2">
        <f t="shared" si="15"/>
        <v>6.1473118811881182</v>
      </c>
      <c r="Y56" s="2">
        <f t="shared" si="16"/>
        <v>1.1266183144256326E-14</v>
      </c>
      <c r="Z56" s="2">
        <f t="shared" si="17"/>
        <v>6784495489.4711599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3">
        <v>165</v>
      </c>
      <c r="B57" s="3">
        <f t="shared" si="1"/>
        <v>2.75</v>
      </c>
      <c r="C57" s="3">
        <v>20</v>
      </c>
      <c r="D57" s="3">
        <f t="shared" si="0"/>
        <v>29.146000000000001</v>
      </c>
      <c r="E57" s="3">
        <f t="shared" si="2"/>
        <v>4.8576666666666667E-7</v>
      </c>
      <c r="F57" s="3">
        <v>21.1</v>
      </c>
      <c r="G57" s="3">
        <f t="shared" si="3"/>
        <v>294.10000000000002</v>
      </c>
      <c r="H57" s="3">
        <v>101.3</v>
      </c>
      <c r="I57" s="3">
        <f t="shared" si="4"/>
        <v>101300</v>
      </c>
      <c r="J57" s="3">
        <f t="shared" si="5"/>
        <v>2.0124824921938581E-5</v>
      </c>
      <c r="K57" s="20">
        <v>62.544554455445549</v>
      </c>
      <c r="L57" s="3">
        <f t="shared" si="6"/>
        <v>6.2544554455445548E-5</v>
      </c>
      <c r="M57" s="3">
        <f t="shared" si="7"/>
        <v>4.7762865441819992E-3</v>
      </c>
      <c r="N57" s="26">
        <f t="shared" si="8"/>
        <v>2.6353071504257154E-7</v>
      </c>
      <c r="O57" s="26">
        <f t="shared" si="9"/>
        <v>2.032E-3</v>
      </c>
      <c r="P57" s="26">
        <v>7.0840480334740597E-11</v>
      </c>
      <c r="Q57" s="14">
        <v>0.1</v>
      </c>
      <c r="R57" s="2">
        <f t="shared" si="10"/>
        <v>110000.00000000001</v>
      </c>
      <c r="S57" s="2">
        <f t="shared" si="11"/>
        <v>105042.96243797876</v>
      </c>
      <c r="T57" s="2">
        <f t="shared" si="12"/>
        <v>105042.96243797876</v>
      </c>
      <c r="U57" s="2">
        <f t="shared" si="13"/>
        <v>5.1940208761751296E-3</v>
      </c>
      <c r="V57" s="2">
        <v>0.13</v>
      </c>
      <c r="W57" s="2">
        <f t="shared" si="14"/>
        <v>112999.99999999999</v>
      </c>
      <c r="X57" s="2">
        <f t="shared" si="15"/>
        <v>7.067534653465346</v>
      </c>
      <c r="Y57" s="2">
        <f t="shared" si="16"/>
        <v>1.3031583504898971E-14</v>
      </c>
      <c r="Z57" s="2">
        <f t="shared" si="17"/>
        <v>7847619586.6501608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3">
        <v>168</v>
      </c>
      <c r="B58" s="3">
        <f t="shared" si="1"/>
        <v>2.8</v>
      </c>
      <c r="C58" s="3">
        <v>20</v>
      </c>
      <c r="D58" s="3">
        <f t="shared" si="0"/>
        <v>29.146000000000001</v>
      </c>
      <c r="E58" s="3">
        <f t="shared" si="2"/>
        <v>4.8576666666666667E-7</v>
      </c>
      <c r="F58" s="3">
        <v>21.1</v>
      </c>
      <c r="G58" s="3">
        <f t="shared" si="3"/>
        <v>294.10000000000002</v>
      </c>
      <c r="H58" s="3">
        <v>101.3</v>
      </c>
      <c r="I58" s="3">
        <f t="shared" si="4"/>
        <v>101300</v>
      </c>
      <c r="J58" s="3">
        <f t="shared" si="5"/>
        <v>2.0124824921938581E-5</v>
      </c>
      <c r="K58" s="20">
        <v>62.07425742574258</v>
      </c>
      <c r="L58" s="3">
        <f t="shared" si="6"/>
        <v>6.2074257425742576E-5</v>
      </c>
      <c r="M58" s="3">
        <f t="shared" si="7"/>
        <v>4.7762865441819992E-3</v>
      </c>
      <c r="N58" s="26">
        <f t="shared" si="8"/>
        <v>2.6154912426142196E-7</v>
      </c>
      <c r="O58" s="26">
        <f t="shared" si="9"/>
        <v>2.032E-3</v>
      </c>
      <c r="P58" s="26">
        <v>7.0840480334740597E-11</v>
      </c>
      <c r="Q58" s="14">
        <v>0.1</v>
      </c>
      <c r="R58" s="2">
        <f t="shared" si="10"/>
        <v>110000.00000000001</v>
      </c>
      <c r="S58" s="2">
        <f t="shared" si="11"/>
        <v>105079.80991330891</v>
      </c>
      <c r="T58" s="2">
        <f t="shared" si="12"/>
        <v>105079.80991330891</v>
      </c>
      <c r="U58" s="2">
        <f t="shared" si="13"/>
        <v>5.1940208761751296E-3</v>
      </c>
      <c r="V58" s="2">
        <v>0.13</v>
      </c>
      <c r="W58" s="2">
        <f t="shared" si="14"/>
        <v>112999.99999999999</v>
      </c>
      <c r="X58" s="2">
        <f t="shared" si="15"/>
        <v>7.0143910891089103</v>
      </c>
      <c r="Y58" s="2">
        <f t="shared" si="16"/>
        <v>1.2929051756997059E-14</v>
      </c>
      <c r="Z58" s="2">
        <f t="shared" si="17"/>
        <v>7785874968.0636292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3">
        <v>171</v>
      </c>
      <c r="B59" s="3">
        <f t="shared" si="1"/>
        <v>2.85</v>
      </c>
      <c r="C59" s="3">
        <v>20</v>
      </c>
      <c r="D59" s="3">
        <f t="shared" si="0"/>
        <v>29.146000000000001</v>
      </c>
      <c r="E59" s="3">
        <f t="shared" si="2"/>
        <v>4.8576666666666667E-7</v>
      </c>
      <c r="F59" s="3">
        <v>21.1</v>
      </c>
      <c r="G59" s="3">
        <f t="shared" si="3"/>
        <v>294.10000000000002</v>
      </c>
      <c r="H59" s="3">
        <v>101.3</v>
      </c>
      <c r="I59" s="3">
        <f t="shared" si="4"/>
        <v>101300</v>
      </c>
      <c r="J59" s="3">
        <f t="shared" si="5"/>
        <v>2.0124824921938581E-5</v>
      </c>
      <c r="K59" s="20">
        <v>56.975247524752476</v>
      </c>
      <c r="L59" s="3">
        <f t="shared" si="6"/>
        <v>5.6975247524752474E-5</v>
      </c>
      <c r="M59" s="3">
        <f t="shared" si="7"/>
        <v>4.7762865441819992E-3</v>
      </c>
      <c r="N59" s="26">
        <f t="shared" si="8"/>
        <v>2.4006450842369444E-7</v>
      </c>
      <c r="O59" s="26">
        <f t="shared" si="9"/>
        <v>2.032E-3</v>
      </c>
      <c r="P59" s="26">
        <v>7.0840480334740597E-11</v>
      </c>
      <c r="Q59" s="14">
        <v>0.1</v>
      </c>
      <c r="R59" s="2">
        <f t="shared" si="10"/>
        <v>110000.00000000001</v>
      </c>
      <c r="S59" s="2">
        <f t="shared" si="11"/>
        <v>105479.72893494314</v>
      </c>
      <c r="T59" s="2">
        <f t="shared" si="12"/>
        <v>105479.72893494314</v>
      </c>
      <c r="U59" s="2">
        <f t="shared" si="13"/>
        <v>5.1940208761751296E-3</v>
      </c>
      <c r="V59" s="2">
        <v>0.13</v>
      </c>
      <c r="W59" s="2">
        <f t="shared" si="14"/>
        <v>112999.99999999999</v>
      </c>
      <c r="X59" s="2">
        <f t="shared" si="15"/>
        <v>6.4382029702970289</v>
      </c>
      <c r="Y59" s="2">
        <f t="shared" si="16"/>
        <v>1.1821950938745176E-14</v>
      </c>
      <c r="Z59" s="2">
        <f t="shared" si="17"/>
        <v>7119178855.3123455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3">
        <v>174</v>
      </c>
      <c r="B60" s="3">
        <f t="shared" si="1"/>
        <v>2.9</v>
      </c>
      <c r="C60" s="3">
        <v>20</v>
      </c>
      <c r="D60" s="3">
        <f t="shared" si="0"/>
        <v>29.146000000000001</v>
      </c>
      <c r="E60" s="3">
        <f t="shared" si="2"/>
        <v>4.8576666666666667E-7</v>
      </c>
      <c r="F60" s="3">
        <v>21.1</v>
      </c>
      <c r="G60" s="3">
        <f t="shared" si="3"/>
        <v>294.10000000000002</v>
      </c>
      <c r="H60" s="3">
        <v>101.3</v>
      </c>
      <c r="I60" s="3">
        <f t="shared" si="4"/>
        <v>101300</v>
      </c>
      <c r="J60" s="3">
        <f t="shared" si="5"/>
        <v>2.0124824921938581E-5</v>
      </c>
      <c r="K60" s="25">
        <v>61.430693069306926</v>
      </c>
      <c r="L60" s="3">
        <f t="shared" si="6"/>
        <v>6.1430693069306928E-5</v>
      </c>
      <c r="M60" s="3">
        <f t="shared" si="7"/>
        <v>4.7762865441819992E-3</v>
      </c>
      <c r="N60" s="52">
        <f t="shared" si="8"/>
        <v>2.5883747371879613E-7</v>
      </c>
      <c r="O60" s="26">
        <f t="shared" si="9"/>
        <v>2.032E-3</v>
      </c>
      <c r="P60" s="26">
        <v>7.0840480334740597E-11</v>
      </c>
      <c r="Q60" s="14">
        <v>0.1</v>
      </c>
      <c r="R60" s="2">
        <f t="shared" si="10"/>
        <v>110000.00000000001</v>
      </c>
      <c r="S60" s="2">
        <f t="shared" si="11"/>
        <v>105130.2432453559</v>
      </c>
      <c r="T60" s="2">
        <f t="shared" si="12"/>
        <v>105130.2432453559</v>
      </c>
      <c r="U60" s="2">
        <f t="shared" si="13"/>
        <v>5.1940208761751296E-3</v>
      </c>
      <c r="V60" s="2">
        <v>0.13</v>
      </c>
      <c r="W60" s="2">
        <f t="shared" si="14"/>
        <v>112999.99999999999</v>
      </c>
      <c r="X60" s="2">
        <f t="shared" si="15"/>
        <v>6.9416683168316817</v>
      </c>
      <c r="Y60" s="11">
        <f t="shared" si="16"/>
        <v>1.2788860527241115E-14</v>
      </c>
      <c r="Z60" s="11">
        <f t="shared" si="17"/>
        <v>7701451809.5045996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3">
        <v>177</v>
      </c>
      <c r="B61" s="3">
        <f t="shared" si="1"/>
        <v>2.95</v>
      </c>
      <c r="C61" s="3">
        <v>20</v>
      </c>
      <c r="D61" s="3">
        <f t="shared" si="0"/>
        <v>29.146000000000001</v>
      </c>
      <c r="E61" s="3">
        <f t="shared" si="2"/>
        <v>4.8576666666666667E-7</v>
      </c>
      <c r="F61" s="3">
        <v>21.1</v>
      </c>
      <c r="G61" s="3">
        <f t="shared" si="3"/>
        <v>294.10000000000002</v>
      </c>
      <c r="H61" s="3">
        <v>101.3</v>
      </c>
      <c r="I61" s="3">
        <f t="shared" si="4"/>
        <v>101300</v>
      </c>
      <c r="J61" s="3">
        <f t="shared" si="5"/>
        <v>2.0124824921938581E-5</v>
      </c>
      <c r="K61" s="25">
        <v>67.990099009900987</v>
      </c>
      <c r="L61" s="3">
        <f t="shared" si="6"/>
        <v>6.7990099009900991E-5</v>
      </c>
      <c r="M61" s="3">
        <f t="shared" si="7"/>
        <v>4.7762865441819992E-3</v>
      </c>
      <c r="N61" s="52">
        <f t="shared" si="8"/>
        <v>2.8647545040325134E-7</v>
      </c>
      <c r="O61" s="26">
        <f t="shared" si="9"/>
        <v>2.032E-3</v>
      </c>
      <c r="P61" s="26">
        <v>7.0840480334740597E-11</v>
      </c>
      <c r="Q61" s="14">
        <v>0.1</v>
      </c>
      <c r="R61" s="2">
        <f t="shared" si="10"/>
        <v>110000.00000000001</v>
      </c>
      <c r="S61" s="2">
        <f t="shared" si="11"/>
        <v>104616.77803209986</v>
      </c>
      <c r="T61" s="2">
        <f t="shared" si="12"/>
        <v>104616.77803209986</v>
      </c>
      <c r="U61" s="2">
        <f t="shared" si="13"/>
        <v>5.1940208761751296E-3</v>
      </c>
      <c r="V61" s="2">
        <v>0.13</v>
      </c>
      <c r="W61" s="2">
        <f t="shared" si="14"/>
        <v>112999.99999999999</v>
      </c>
      <c r="X61" s="2">
        <f t="shared" si="15"/>
        <v>7.6828811881188113</v>
      </c>
      <c r="Y61" s="11">
        <f t="shared" si="16"/>
        <v>1.4223997136765135E-14</v>
      </c>
      <c r="Z61" s="11">
        <f t="shared" si="17"/>
        <v>8565691075.7599649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3">
        <v>180</v>
      </c>
      <c r="B62" s="3">
        <f t="shared" si="1"/>
        <v>3</v>
      </c>
      <c r="C62" s="3">
        <v>20</v>
      </c>
      <c r="D62" s="3">
        <f t="shared" si="0"/>
        <v>29.146000000000001</v>
      </c>
      <c r="E62" s="3">
        <f t="shared" si="2"/>
        <v>4.8576666666666667E-7</v>
      </c>
      <c r="F62" s="3">
        <v>21.1</v>
      </c>
      <c r="G62" s="3">
        <f t="shared" si="3"/>
        <v>294.10000000000002</v>
      </c>
      <c r="H62" s="3">
        <v>101.3</v>
      </c>
      <c r="I62" s="3">
        <f t="shared" si="4"/>
        <v>101300</v>
      </c>
      <c r="J62" s="3">
        <f t="shared" si="5"/>
        <v>2.0124824921938581E-5</v>
      </c>
      <c r="K62" s="25">
        <v>61.10891089108911</v>
      </c>
      <c r="L62" s="3">
        <f t="shared" si="6"/>
        <v>6.1108910891089104E-5</v>
      </c>
      <c r="M62" s="3">
        <f t="shared" si="7"/>
        <v>4.7762865441819992E-3</v>
      </c>
      <c r="N62" s="52">
        <f t="shared" si="8"/>
        <v>2.5748164844748321E-7</v>
      </c>
      <c r="O62" s="26">
        <f t="shared" si="9"/>
        <v>2.032E-3</v>
      </c>
      <c r="P62" s="26">
        <v>7.0840480334740597E-11</v>
      </c>
      <c r="Q62" s="14">
        <v>0.1</v>
      </c>
      <c r="R62" s="2">
        <f t="shared" si="10"/>
        <v>110000.00000000001</v>
      </c>
      <c r="S62" s="2">
        <f t="shared" si="11"/>
        <v>105155.46444884264</v>
      </c>
      <c r="T62" s="2">
        <f t="shared" si="12"/>
        <v>105155.46444884264</v>
      </c>
      <c r="U62" s="2">
        <f t="shared" si="13"/>
        <v>5.1940208761751296E-3</v>
      </c>
      <c r="V62" s="2">
        <v>0.13</v>
      </c>
      <c r="W62" s="2">
        <f t="shared" si="14"/>
        <v>112999.99999999999</v>
      </c>
      <c r="X62" s="2">
        <f t="shared" si="15"/>
        <v>6.9053069306930679</v>
      </c>
      <c r="Y62" s="11">
        <f t="shared" si="16"/>
        <v>1.2718814867099242E-14</v>
      </c>
      <c r="Z62" s="11">
        <f t="shared" si="17"/>
        <v>7659270312.967164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3">
        <v>183</v>
      </c>
      <c r="B63" s="3">
        <f t="shared" si="1"/>
        <v>3.05</v>
      </c>
      <c r="C63" s="3">
        <v>20</v>
      </c>
      <c r="D63" s="3">
        <f t="shared" si="0"/>
        <v>29.146000000000001</v>
      </c>
      <c r="E63" s="3">
        <f t="shared" si="2"/>
        <v>4.8576666666666667E-7</v>
      </c>
      <c r="F63" s="3">
        <v>21.1</v>
      </c>
      <c r="G63" s="3">
        <f t="shared" si="3"/>
        <v>294.10000000000002</v>
      </c>
      <c r="H63" s="3">
        <v>101.3</v>
      </c>
      <c r="I63" s="3">
        <f t="shared" si="4"/>
        <v>101300</v>
      </c>
      <c r="J63" s="3">
        <f t="shared" si="5"/>
        <v>2.0124824921938581E-5</v>
      </c>
      <c r="K63" s="25">
        <v>60.514851485148512</v>
      </c>
      <c r="L63" s="3">
        <f t="shared" si="6"/>
        <v>6.0514851485148514E-5</v>
      </c>
      <c r="M63" s="3">
        <f t="shared" si="7"/>
        <v>4.7762865441819992E-3</v>
      </c>
      <c r="N63" s="52">
        <f t="shared" si="8"/>
        <v>2.5497858640813629E-7</v>
      </c>
      <c r="O63" s="26">
        <f t="shared" si="9"/>
        <v>2.032E-3</v>
      </c>
      <c r="P63" s="26">
        <v>7.0840480334740597E-11</v>
      </c>
      <c r="Q63" s="14">
        <v>0.1</v>
      </c>
      <c r="R63" s="2">
        <f t="shared" si="10"/>
        <v>110000.00000000001</v>
      </c>
      <c r="S63" s="2">
        <f t="shared" si="11"/>
        <v>105202.03461793711</v>
      </c>
      <c r="T63" s="2">
        <f t="shared" si="12"/>
        <v>105202.03461793711</v>
      </c>
      <c r="U63" s="2">
        <f t="shared" si="13"/>
        <v>5.1940208761751296E-3</v>
      </c>
      <c r="V63" s="2">
        <v>0.13</v>
      </c>
      <c r="W63" s="2">
        <f t="shared" si="14"/>
        <v>112999.99999999999</v>
      </c>
      <c r="X63" s="2">
        <f t="shared" si="15"/>
        <v>6.8381782178217811</v>
      </c>
      <c r="Y63" s="11">
        <f t="shared" si="16"/>
        <v>1.2589587220747226E-14</v>
      </c>
      <c r="Z63" s="11">
        <f t="shared" si="17"/>
        <v>7581449424.3339806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3">
        <v>186</v>
      </c>
      <c r="B64" s="3">
        <f t="shared" si="1"/>
        <v>3.1</v>
      </c>
      <c r="C64" s="3">
        <v>20</v>
      </c>
      <c r="D64" s="3">
        <f t="shared" si="0"/>
        <v>29.146000000000001</v>
      </c>
      <c r="E64" s="3">
        <f t="shared" si="2"/>
        <v>4.8576666666666667E-7</v>
      </c>
      <c r="F64" s="3">
        <v>21.1</v>
      </c>
      <c r="G64" s="3">
        <f t="shared" si="3"/>
        <v>294.10000000000002</v>
      </c>
      <c r="H64" s="3">
        <v>101.3</v>
      </c>
      <c r="I64" s="3">
        <f t="shared" si="4"/>
        <v>101300</v>
      </c>
      <c r="J64" s="3">
        <f t="shared" si="5"/>
        <v>2.0124824921938581E-5</v>
      </c>
      <c r="K64" s="25">
        <v>67.544554455445549</v>
      </c>
      <c r="L64" s="3">
        <f t="shared" si="6"/>
        <v>6.7544554455445548E-5</v>
      </c>
      <c r="M64" s="3">
        <f t="shared" si="7"/>
        <v>4.7762865441819992E-3</v>
      </c>
      <c r="N64" s="52">
        <f t="shared" si="8"/>
        <v>2.8459815387374118E-7</v>
      </c>
      <c r="O64" s="26">
        <f t="shared" si="9"/>
        <v>2.032E-3</v>
      </c>
      <c r="P64" s="26">
        <v>7.0840480334740597E-11</v>
      </c>
      <c r="Q64" s="14">
        <v>0.1</v>
      </c>
      <c r="R64" s="2">
        <f t="shared" si="10"/>
        <v>110000.00000000001</v>
      </c>
      <c r="S64" s="2">
        <f t="shared" si="11"/>
        <v>104651.61512444775</v>
      </c>
      <c r="T64" s="2">
        <f t="shared" si="12"/>
        <v>104651.61512444775</v>
      </c>
      <c r="U64" s="2">
        <f t="shared" si="13"/>
        <v>5.1940208761751296E-3</v>
      </c>
      <c r="V64" s="2">
        <v>0.13</v>
      </c>
      <c r="W64" s="2">
        <f t="shared" si="14"/>
        <v>112999.99999999999</v>
      </c>
      <c r="X64" s="2">
        <f t="shared" si="15"/>
        <v>7.6325346534653455</v>
      </c>
      <c r="Y64" s="11">
        <f t="shared" si="16"/>
        <v>1.4126075059047689E-14</v>
      </c>
      <c r="Z64" s="11">
        <f t="shared" si="17"/>
        <v>8506722400.5585184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3">
        <v>189</v>
      </c>
      <c r="B65" s="3">
        <f t="shared" si="1"/>
        <v>3.15</v>
      </c>
      <c r="C65" s="3">
        <v>20</v>
      </c>
      <c r="D65" s="3">
        <f t="shared" si="0"/>
        <v>29.146000000000001</v>
      </c>
      <c r="E65" s="3">
        <f t="shared" si="2"/>
        <v>4.8576666666666667E-7</v>
      </c>
      <c r="F65" s="3">
        <v>21.1</v>
      </c>
      <c r="G65" s="3">
        <f t="shared" si="3"/>
        <v>294.10000000000002</v>
      </c>
      <c r="H65" s="3">
        <v>101.3</v>
      </c>
      <c r="I65" s="3">
        <f t="shared" si="4"/>
        <v>101300</v>
      </c>
      <c r="J65" s="3">
        <f t="shared" si="5"/>
        <v>2.0124824921938581E-5</v>
      </c>
      <c r="K65" s="25">
        <v>58.311881188118811</v>
      </c>
      <c r="L65" s="3">
        <f t="shared" si="6"/>
        <v>5.8311881188118809E-5</v>
      </c>
      <c r="M65" s="3">
        <f t="shared" si="7"/>
        <v>4.7762865441819992E-3</v>
      </c>
      <c r="N65" s="52">
        <f t="shared" si="8"/>
        <v>2.4569639801222495E-7</v>
      </c>
      <c r="O65" s="26">
        <f t="shared" si="9"/>
        <v>2.032E-3</v>
      </c>
      <c r="P65" s="26">
        <v>7.0840480334740597E-11</v>
      </c>
      <c r="Q65" s="14">
        <v>0.1</v>
      </c>
      <c r="R65" s="2">
        <f t="shared" si="10"/>
        <v>110000.00000000001</v>
      </c>
      <c r="S65" s="2">
        <f t="shared" si="11"/>
        <v>105374.82233477375</v>
      </c>
      <c r="T65" s="2">
        <f t="shared" si="12"/>
        <v>105374.82233477375</v>
      </c>
      <c r="U65" s="2">
        <f t="shared" si="13"/>
        <v>5.1940208761751296E-3</v>
      </c>
      <c r="V65" s="2">
        <v>0.13</v>
      </c>
      <c r="W65" s="2">
        <f t="shared" si="14"/>
        <v>112999.99999999999</v>
      </c>
      <c r="X65" s="2">
        <f t="shared" si="15"/>
        <v>6.5892425742574243</v>
      </c>
      <c r="Y65" s="11">
        <f t="shared" si="16"/>
        <v>1.211135636449241E-14</v>
      </c>
      <c r="Z65" s="11">
        <f t="shared" si="17"/>
        <v>7293458802.6973295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3">
        <v>192</v>
      </c>
      <c r="B66" s="3">
        <f t="shared" si="1"/>
        <v>3.2</v>
      </c>
      <c r="C66" s="3">
        <v>20</v>
      </c>
      <c r="D66" s="3">
        <f t="shared" ref="D66:D81" si="18">(C66*1.4573)</f>
        <v>29.146000000000001</v>
      </c>
      <c r="E66" s="3">
        <f t="shared" si="2"/>
        <v>4.8576666666666667E-7</v>
      </c>
      <c r="F66" s="3">
        <v>21.1</v>
      </c>
      <c r="G66" s="3">
        <f t="shared" si="3"/>
        <v>294.10000000000002</v>
      </c>
      <c r="H66" s="3">
        <v>101.3</v>
      </c>
      <c r="I66" s="3">
        <f t="shared" si="4"/>
        <v>101300</v>
      </c>
      <c r="J66" s="3">
        <f t="shared" si="5"/>
        <v>2.0124824921938581E-5</v>
      </c>
      <c r="K66" s="25">
        <v>61.059405940594061</v>
      </c>
      <c r="L66" s="3">
        <f t="shared" si="6"/>
        <v>6.1059405940594059E-5</v>
      </c>
      <c r="M66" s="3">
        <f t="shared" si="7"/>
        <v>4.7762865441819992E-3</v>
      </c>
      <c r="N66" s="52">
        <f t="shared" si="8"/>
        <v>2.5727305994420436E-7</v>
      </c>
      <c r="O66" s="26">
        <f t="shared" si="9"/>
        <v>2.032E-3</v>
      </c>
      <c r="P66" s="26">
        <v>7.0840480334740597E-11</v>
      </c>
      <c r="Q66" s="14">
        <v>0.1</v>
      </c>
      <c r="R66" s="2">
        <f t="shared" si="10"/>
        <v>110000.00000000001</v>
      </c>
      <c r="S66" s="2">
        <f t="shared" si="11"/>
        <v>105159.34490248338</v>
      </c>
      <c r="T66" s="2">
        <f t="shared" si="12"/>
        <v>105159.34490248338</v>
      </c>
      <c r="U66" s="2">
        <f t="shared" si="13"/>
        <v>5.1940208761751296E-3</v>
      </c>
      <c r="V66" s="2">
        <v>0.13</v>
      </c>
      <c r="W66" s="2">
        <f t="shared" si="14"/>
        <v>112999.99999999999</v>
      </c>
      <c r="X66" s="2">
        <f t="shared" si="15"/>
        <v>6.8997128712871278</v>
      </c>
      <c r="Y66" s="11">
        <f t="shared" si="16"/>
        <v>1.270804156591941E-14</v>
      </c>
      <c r="Z66" s="11">
        <f t="shared" si="17"/>
        <v>7652782630.9966688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3">
        <v>195</v>
      </c>
      <c r="B67" s="3">
        <f t="shared" ref="B67:B81" si="19">(A67/60)</f>
        <v>3.25</v>
      </c>
      <c r="C67" s="3">
        <v>20</v>
      </c>
      <c r="D67" s="3">
        <f t="shared" si="18"/>
        <v>29.146000000000001</v>
      </c>
      <c r="E67" s="3">
        <f t="shared" ref="E67:E81" si="20">(D67/(1000000*60))</f>
        <v>4.8576666666666667E-7</v>
      </c>
      <c r="F67" s="3">
        <v>21.1</v>
      </c>
      <c r="G67" s="3">
        <f t="shared" ref="G67:G81" si="21">(273+F67)</f>
        <v>294.10000000000002</v>
      </c>
      <c r="H67" s="3">
        <v>101.3</v>
      </c>
      <c r="I67" s="3">
        <f t="shared" ref="I67:I81" si="22">(H67*1000)</f>
        <v>101300</v>
      </c>
      <c r="J67" s="3">
        <f t="shared" ref="J67:J81" si="23">((I67*E67)/(8.314*G67))</f>
        <v>2.0124824921938581E-5</v>
      </c>
      <c r="K67" s="25">
        <v>59.376237623762378</v>
      </c>
      <c r="L67" s="3">
        <f t="shared" ref="L67:L81" si="24">(K67/1000000)</f>
        <v>5.9376237623762378E-5</v>
      </c>
      <c r="M67" s="3">
        <f t="shared" ref="M67:M81" si="25">(3.142*3.07*3.07*25.4*25.4)/(4*1000000)</f>
        <v>4.7762865441819992E-3</v>
      </c>
      <c r="N67" s="52">
        <f t="shared" ref="N67:N81" si="26">(L67*J67)/M67</f>
        <v>2.5018105083272146E-7</v>
      </c>
      <c r="O67" s="26">
        <f t="shared" ref="O67:O81" si="27">(2.032/1000)</f>
        <v>2.032E-3</v>
      </c>
      <c r="P67" s="26">
        <v>7.0840480334740597E-11</v>
      </c>
      <c r="Q67" s="14">
        <v>0.1</v>
      </c>
      <c r="R67" s="2">
        <f t="shared" ref="R67:R81" si="28">(1+Q67)*100000*1</f>
        <v>110000.00000000001</v>
      </c>
      <c r="S67" s="2">
        <f t="shared" ref="S67:S81" si="29">(SQRT(R67)-(N67*O67/P67))^2</f>
        <v>105291.32292651513</v>
      </c>
      <c r="T67" s="2">
        <f t="shared" ref="T67:T81" si="30">(S67)</f>
        <v>105291.32292651513</v>
      </c>
      <c r="U67" s="2">
        <f t="shared" ref="U67:U81" si="31">(5.19402087617513/1000)</f>
        <v>5.1940208761751296E-3</v>
      </c>
      <c r="V67" s="2">
        <v>0.13</v>
      </c>
      <c r="W67" s="2">
        <f t="shared" ref="W67:W81" si="32">(1+V67)*100000</f>
        <v>112999.99999999999</v>
      </c>
      <c r="X67" s="2">
        <f t="shared" ref="X67:X81" si="33">(L67*W67)</f>
        <v>6.7095148514851477</v>
      </c>
      <c r="Y67" s="11">
        <f t="shared" ref="Y67:Y81" si="34">(N67*U67)/(T67-X67)</f>
        <v>1.2342217525819696E-14</v>
      </c>
      <c r="Z67" s="11">
        <f t="shared" ref="Z67:Z81" si="35">(Y67*6.022E+23)</f>
        <v>7432483394.0486212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3">
        <v>198</v>
      </c>
      <c r="B68" s="3">
        <f t="shared" si="19"/>
        <v>3.3</v>
      </c>
      <c r="C68" s="3">
        <v>20</v>
      </c>
      <c r="D68" s="3">
        <f t="shared" si="18"/>
        <v>29.146000000000001</v>
      </c>
      <c r="E68" s="3">
        <f t="shared" si="20"/>
        <v>4.8576666666666667E-7</v>
      </c>
      <c r="F68" s="3">
        <v>21.1</v>
      </c>
      <c r="G68" s="3">
        <f t="shared" si="21"/>
        <v>294.10000000000002</v>
      </c>
      <c r="H68" s="3">
        <v>101.3</v>
      </c>
      <c r="I68" s="3">
        <f t="shared" si="22"/>
        <v>101300</v>
      </c>
      <c r="J68" s="3">
        <f t="shared" si="23"/>
        <v>2.0124824921938581E-5</v>
      </c>
      <c r="K68" s="25">
        <v>62.371287128712872</v>
      </c>
      <c r="L68" s="3">
        <f t="shared" si="24"/>
        <v>6.2371287128712872E-5</v>
      </c>
      <c r="M68" s="3">
        <f t="shared" si="25"/>
        <v>4.7762865441819992E-3</v>
      </c>
      <c r="N68" s="52">
        <f t="shared" si="26"/>
        <v>2.6280065528109534E-7</v>
      </c>
      <c r="O68" s="26">
        <f t="shared" si="27"/>
        <v>2.032E-3</v>
      </c>
      <c r="P68" s="26">
        <v>7.0840480334740597E-11</v>
      </c>
      <c r="Q68" s="14">
        <v>0.1</v>
      </c>
      <c r="R68" s="2">
        <f t="shared" si="28"/>
        <v>110000.00000000001</v>
      </c>
      <c r="S68" s="2">
        <f t="shared" si="29"/>
        <v>105056.53707185766</v>
      </c>
      <c r="T68" s="2">
        <f t="shared" si="30"/>
        <v>105056.53707185766</v>
      </c>
      <c r="U68" s="2">
        <f t="shared" si="31"/>
        <v>5.1940208761751296E-3</v>
      </c>
      <c r="V68" s="2">
        <v>0.13</v>
      </c>
      <c r="W68" s="2">
        <f t="shared" si="32"/>
        <v>112999.99999999999</v>
      </c>
      <c r="X68" s="2">
        <f t="shared" si="33"/>
        <v>7.0479554455445532</v>
      </c>
      <c r="Y68" s="11">
        <f t="shared" si="34"/>
        <v>1.2993800362892552E-14</v>
      </c>
      <c r="Z68" s="11">
        <f t="shared" si="35"/>
        <v>7824866578.5338945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3">
        <v>201</v>
      </c>
      <c r="B69" s="3">
        <f t="shared" si="19"/>
        <v>3.35</v>
      </c>
      <c r="C69" s="3">
        <v>20</v>
      </c>
      <c r="D69" s="3">
        <f t="shared" si="18"/>
        <v>29.146000000000001</v>
      </c>
      <c r="E69" s="3">
        <f t="shared" si="20"/>
        <v>4.8576666666666667E-7</v>
      </c>
      <c r="F69" s="3">
        <v>21.1</v>
      </c>
      <c r="G69" s="3">
        <f t="shared" si="21"/>
        <v>294.10000000000002</v>
      </c>
      <c r="H69" s="3">
        <v>101.3</v>
      </c>
      <c r="I69" s="3">
        <f t="shared" si="22"/>
        <v>101300</v>
      </c>
      <c r="J69" s="3">
        <f t="shared" si="23"/>
        <v>2.0124824921938581E-5</v>
      </c>
      <c r="K69" s="25">
        <v>56.480198019801982</v>
      </c>
      <c r="L69" s="3">
        <f t="shared" si="24"/>
        <v>5.648019801980198E-5</v>
      </c>
      <c r="M69" s="3">
        <f t="shared" si="25"/>
        <v>4.7762865441819992E-3</v>
      </c>
      <c r="N69" s="52">
        <f t="shared" si="26"/>
        <v>2.3797862339090541E-7</v>
      </c>
      <c r="O69" s="26">
        <f t="shared" si="27"/>
        <v>2.032E-3</v>
      </c>
      <c r="P69" s="26">
        <v>7.0840480334740597E-11</v>
      </c>
      <c r="Q69" s="14">
        <v>0.1</v>
      </c>
      <c r="R69" s="2">
        <f t="shared" si="28"/>
        <v>110000.00000000001</v>
      </c>
      <c r="S69" s="2">
        <f t="shared" si="29"/>
        <v>105518.59647675688</v>
      </c>
      <c r="T69" s="2">
        <f t="shared" si="30"/>
        <v>105518.59647675688</v>
      </c>
      <c r="U69" s="2">
        <f t="shared" si="31"/>
        <v>5.1940208761751296E-3</v>
      </c>
      <c r="V69" s="2">
        <v>0.13</v>
      </c>
      <c r="W69" s="2">
        <f t="shared" si="32"/>
        <v>112999.99999999999</v>
      </c>
      <c r="X69" s="2">
        <f t="shared" si="33"/>
        <v>6.3822623762376232</v>
      </c>
      <c r="Y69" s="11">
        <f t="shared" si="34"/>
        <v>1.1714908526744894E-14</v>
      </c>
      <c r="Z69" s="11">
        <f t="shared" si="35"/>
        <v>7054717914.8057756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3">
        <v>204</v>
      </c>
      <c r="B70" s="3">
        <f t="shared" si="19"/>
        <v>3.4</v>
      </c>
      <c r="C70" s="3">
        <v>20</v>
      </c>
      <c r="D70" s="3">
        <f t="shared" si="18"/>
        <v>29.146000000000001</v>
      </c>
      <c r="E70" s="3">
        <f t="shared" si="20"/>
        <v>4.8576666666666667E-7</v>
      </c>
      <c r="F70" s="3">
        <v>21.1</v>
      </c>
      <c r="G70" s="3">
        <f t="shared" si="21"/>
        <v>294.10000000000002</v>
      </c>
      <c r="H70" s="3">
        <v>101.3</v>
      </c>
      <c r="I70" s="3">
        <f t="shared" si="22"/>
        <v>101300</v>
      </c>
      <c r="J70" s="3">
        <f t="shared" si="23"/>
        <v>2.0124824921938581E-5</v>
      </c>
      <c r="K70" s="25">
        <v>68.138613861386148</v>
      </c>
      <c r="L70" s="3">
        <f t="shared" si="24"/>
        <v>6.8138613861386152E-5</v>
      </c>
      <c r="M70" s="3">
        <f t="shared" si="25"/>
        <v>4.7762865441819992E-3</v>
      </c>
      <c r="N70" s="52">
        <f t="shared" si="26"/>
        <v>2.8710121591308811E-7</v>
      </c>
      <c r="O70" s="26">
        <f t="shared" si="27"/>
        <v>2.032E-3</v>
      </c>
      <c r="P70" s="26">
        <v>7.0840480334740597E-11</v>
      </c>
      <c r="Q70" s="14">
        <v>0.1</v>
      </c>
      <c r="R70" s="2">
        <f t="shared" si="28"/>
        <v>110000.00000000001</v>
      </c>
      <c r="S70" s="2">
        <f t="shared" si="29"/>
        <v>104605.16695673084</v>
      </c>
      <c r="T70" s="2">
        <f t="shared" si="30"/>
        <v>104605.16695673084</v>
      </c>
      <c r="U70" s="2">
        <f t="shared" si="31"/>
        <v>5.1940208761751296E-3</v>
      </c>
      <c r="V70" s="2">
        <v>0.13</v>
      </c>
      <c r="W70" s="2">
        <f t="shared" si="32"/>
        <v>112999.99999999999</v>
      </c>
      <c r="X70" s="2">
        <f t="shared" si="33"/>
        <v>7.6996633663366341</v>
      </c>
      <c r="Y70" s="11">
        <f t="shared" si="34"/>
        <v>1.4256652169650029E-14</v>
      </c>
      <c r="Z70" s="11">
        <f t="shared" si="35"/>
        <v>8585355936.5632477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3">
        <v>207</v>
      </c>
      <c r="B71" s="3">
        <f t="shared" si="19"/>
        <v>3.45</v>
      </c>
      <c r="C71" s="3">
        <v>20</v>
      </c>
      <c r="D71" s="3">
        <f t="shared" si="18"/>
        <v>29.146000000000001</v>
      </c>
      <c r="E71" s="3">
        <f t="shared" si="20"/>
        <v>4.8576666666666667E-7</v>
      </c>
      <c r="F71" s="3">
        <v>21.1</v>
      </c>
      <c r="G71" s="3">
        <f t="shared" si="21"/>
        <v>294.10000000000002</v>
      </c>
      <c r="H71" s="3">
        <v>101.3</v>
      </c>
      <c r="I71" s="3">
        <f t="shared" si="22"/>
        <v>101300</v>
      </c>
      <c r="J71" s="3">
        <f t="shared" si="23"/>
        <v>2.0124824921938581E-5</v>
      </c>
      <c r="K71" s="25">
        <v>63.237623762376245</v>
      </c>
      <c r="L71" s="3">
        <f t="shared" si="24"/>
        <v>6.3237623762376241E-5</v>
      </c>
      <c r="M71" s="3">
        <f t="shared" si="25"/>
        <v>4.7762865441819992E-3</v>
      </c>
      <c r="N71" s="52">
        <f t="shared" si="26"/>
        <v>2.6645095408847627E-7</v>
      </c>
      <c r="O71" s="26">
        <f t="shared" si="27"/>
        <v>2.032E-3</v>
      </c>
      <c r="P71" s="26">
        <v>7.0840480334740597E-11</v>
      </c>
      <c r="Q71" s="14">
        <v>0.1</v>
      </c>
      <c r="R71" s="2">
        <f t="shared" si="28"/>
        <v>110000.00000000001</v>
      </c>
      <c r="S71" s="2">
        <f t="shared" si="29"/>
        <v>104988.67267310215</v>
      </c>
      <c r="T71" s="2">
        <f t="shared" si="30"/>
        <v>104988.67267310215</v>
      </c>
      <c r="U71" s="2">
        <f t="shared" si="31"/>
        <v>5.1940208761751296E-3</v>
      </c>
      <c r="V71" s="2">
        <v>0.13</v>
      </c>
      <c r="W71" s="2">
        <f t="shared" si="32"/>
        <v>112999.99999999999</v>
      </c>
      <c r="X71" s="2">
        <f t="shared" si="33"/>
        <v>7.1458514851485146</v>
      </c>
      <c r="Y71" s="11">
        <f t="shared" si="34"/>
        <v>1.318281282347814E-14</v>
      </c>
      <c r="Z71" s="11">
        <f t="shared" si="35"/>
        <v>7938689882.2985363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3">
        <v>210</v>
      </c>
      <c r="B72" s="3">
        <f t="shared" si="19"/>
        <v>3.5</v>
      </c>
      <c r="C72" s="3">
        <v>20</v>
      </c>
      <c r="D72" s="3">
        <f t="shared" si="18"/>
        <v>29.146000000000001</v>
      </c>
      <c r="E72" s="3">
        <f t="shared" si="20"/>
        <v>4.8576666666666667E-7</v>
      </c>
      <c r="F72" s="3">
        <v>21.1</v>
      </c>
      <c r="G72" s="3">
        <f t="shared" si="21"/>
        <v>294.10000000000002</v>
      </c>
      <c r="H72" s="3">
        <v>101.3</v>
      </c>
      <c r="I72" s="3">
        <f t="shared" si="22"/>
        <v>101300</v>
      </c>
      <c r="J72" s="3">
        <f t="shared" si="23"/>
        <v>2.0124824921938581E-5</v>
      </c>
      <c r="K72" s="25">
        <v>58.806930693069305</v>
      </c>
      <c r="L72" s="3">
        <f t="shared" si="24"/>
        <v>5.8806930693069303E-5</v>
      </c>
      <c r="M72" s="3">
        <f t="shared" si="25"/>
        <v>4.7762865441819992E-3</v>
      </c>
      <c r="N72" s="52">
        <f t="shared" si="26"/>
        <v>2.4778228304501401E-7</v>
      </c>
      <c r="O72" s="26">
        <f t="shared" si="27"/>
        <v>2.032E-3</v>
      </c>
      <c r="P72" s="26">
        <v>7.0840480334740597E-11</v>
      </c>
      <c r="Q72" s="14">
        <v>0.1</v>
      </c>
      <c r="R72" s="2">
        <f t="shared" si="28"/>
        <v>110000.00000000001</v>
      </c>
      <c r="S72" s="2">
        <f t="shared" si="29"/>
        <v>105335.98128386948</v>
      </c>
      <c r="T72" s="2">
        <f t="shared" si="30"/>
        <v>105335.98128386948</v>
      </c>
      <c r="U72" s="2">
        <f t="shared" si="31"/>
        <v>5.1940208761751296E-3</v>
      </c>
      <c r="V72" s="2">
        <v>0.13</v>
      </c>
      <c r="W72" s="2">
        <f t="shared" si="32"/>
        <v>112999.99999999999</v>
      </c>
      <c r="X72" s="2">
        <f t="shared" si="33"/>
        <v>6.6451831683168301</v>
      </c>
      <c r="Y72" s="11">
        <f t="shared" si="34"/>
        <v>1.2218688529961887E-14</v>
      </c>
      <c r="Z72" s="11">
        <f t="shared" si="35"/>
        <v>7358094232.7430487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3">
        <v>213</v>
      </c>
      <c r="B73" s="3">
        <f t="shared" si="19"/>
        <v>3.55</v>
      </c>
      <c r="C73" s="3">
        <v>20</v>
      </c>
      <c r="D73" s="3">
        <f t="shared" si="18"/>
        <v>29.146000000000001</v>
      </c>
      <c r="E73" s="3">
        <f t="shared" si="20"/>
        <v>4.8576666666666667E-7</v>
      </c>
      <c r="F73" s="3">
        <v>21.1</v>
      </c>
      <c r="G73" s="3">
        <f t="shared" si="21"/>
        <v>294.10000000000002</v>
      </c>
      <c r="H73" s="3">
        <v>101.3</v>
      </c>
      <c r="I73" s="3">
        <f t="shared" si="22"/>
        <v>101300</v>
      </c>
      <c r="J73" s="3">
        <f t="shared" si="23"/>
        <v>2.0124824921938581E-5</v>
      </c>
      <c r="K73" s="25">
        <v>63.683168316831683</v>
      </c>
      <c r="L73" s="3">
        <f t="shared" si="24"/>
        <v>6.3683168316831684E-5</v>
      </c>
      <c r="M73" s="3">
        <f t="shared" si="25"/>
        <v>4.7762865441819992E-3</v>
      </c>
      <c r="N73" s="52">
        <f t="shared" si="26"/>
        <v>2.6832825061798642E-7</v>
      </c>
      <c r="O73" s="26">
        <f t="shared" si="27"/>
        <v>2.032E-3</v>
      </c>
      <c r="P73" s="26">
        <v>7.0840480334740597E-11</v>
      </c>
      <c r="Q73" s="14">
        <v>0.1</v>
      </c>
      <c r="R73" s="2">
        <f t="shared" si="28"/>
        <v>110000.00000000001</v>
      </c>
      <c r="S73" s="2">
        <f t="shared" si="29"/>
        <v>104953.77952026209</v>
      </c>
      <c r="T73" s="2">
        <f t="shared" si="30"/>
        <v>104953.77952026209</v>
      </c>
      <c r="U73" s="2">
        <f t="shared" si="31"/>
        <v>5.1940208761751296E-3</v>
      </c>
      <c r="V73" s="2">
        <v>0.13</v>
      </c>
      <c r="W73" s="2">
        <f t="shared" si="32"/>
        <v>112999.99999999999</v>
      </c>
      <c r="X73" s="2">
        <f t="shared" si="33"/>
        <v>7.1961980198019795</v>
      </c>
      <c r="Y73" s="11">
        <f t="shared" si="34"/>
        <v>1.3280113475423581E-14</v>
      </c>
      <c r="Z73" s="11">
        <f t="shared" si="35"/>
        <v>7997284334.9000807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3">
        <v>216</v>
      </c>
      <c r="B74" s="3">
        <f t="shared" si="19"/>
        <v>3.6</v>
      </c>
      <c r="C74" s="3">
        <v>20</v>
      </c>
      <c r="D74" s="3">
        <f t="shared" si="18"/>
        <v>29.146000000000001</v>
      </c>
      <c r="E74" s="3">
        <f t="shared" si="20"/>
        <v>4.8576666666666667E-7</v>
      </c>
      <c r="F74" s="3">
        <v>21.1</v>
      </c>
      <c r="G74" s="3">
        <f t="shared" si="21"/>
        <v>294.10000000000002</v>
      </c>
      <c r="H74" s="3">
        <v>101.3</v>
      </c>
      <c r="I74" s="3">
        <f t="shared" si="22"/>
        <v>101300</v>
      </c>
      <c r="J74" s="3">
        <f t="shared" si="23"/>
        <v>2.0124824921938581E-5</v>
      </c>
      <c r="K74" s="25">
        <v>65.811881188118804</v>
      </c>
      <c r="L74" s="3">
        <f t="shared" si="24"/>
        <v>6.5811881188118808E-5</v>
      </c>
      <c r="M74" s="3">
        <f t="shared" si="25"/>
        <v>4.7762865441819992E-3</v>
      </c>
      <c r="N74" s="52">
        <f t="shared" si="26"/>
        <v>2.7729755625897937E-7</v>
      </c>
      <c r="O74" s="26">
        <f t="shared" si="27"/>
        <v>2.032E-3</v>
      </c>
      <c r="P74" s="26">
        <v>7.0840480334740597E-11</v>
      </c>
      <c r="Q74" s="14">
        <v>0.1</v>
      </c>
      <c r="R74" s="2">
        <f t="shared" si="28"/>
        <v>110000.00000000001</v>
      </c>
      <c r="S74" s="2">
        <f t="shared" si="29"/>
        <v>104787.14783553108</v>
      </c>
      <c r="T74" s="2">
        <f t="shared" si="30"/>
        <v>104787.14783553108</v>
      </c>
      <c r="U74" s="2">
        <f t="shared" si="31"/>
        <v>5.1940208761751296E-3</v>
      </c>
      <c r="V74" s="2">
        <v>0.13</v>
      </c>
      <c r="W74" s="2">
        <f t="shared" si="32"/>
        <v>112999.99999999999</v>
      </c>
      <c r="X74" s="2">
        <f t="shared" si="33"/>
        <v>7.4367425742574245</v>
      </c>
      <c r="Y74" s="11">
        <f t="shared" si="34"/>
        <v>1.3745879627819483E-14</v>
      </c>
      <c r="Z74" s="11">
        <f t="shared" si="35"/>
        <v>8277768711.8728933</v>
      </c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3">
        <v>219</v>
      </c>
      <c r="B75" s="3">
        <f t="shared" si="19"/>
        <v>3.65</v>
      </c>
      <c r="C75" s="3">
        <v>20</v>
      </c>
      <c r="D75" s="3">
        <f t="shared" si="18"/>
        <v>29.146000000000001</v>
      </c>
      <c r="E75" s="3">
        <f t="shared" si="20"/>
        <v>4.8576666666666667E-7</v>
      </c>
      <c r="F75" s="3">
        <v>21.1</v>
      </c>
      <c r="G75" s="3">
        <f t="shared" si="21"/>
        <v>294.10000000000002</v>
      </c>
      <c r="H75" s="3">
        <v>101.3</v>
      </c>
      <c r="I75" s="3">
        <f t="shared" si="22"/>
        <v>101300</v>
      </c>
      <c r="J75" s="3">
        <f t="shared" si="23"/>
        <v>2.0124824921938581E-5</v>
      </c>
      <c r="K75" s="25">
        <v>59.054455445544562</v>
      </c>
      <c r="L75" s="3">
        <f t="shared" si="24"/>
        <v>5.905445544554456E-5</v>
      </c>
      <c r="M75" s="3">
        <f t="shared" si="25"/>
        <v>4.7762865441819992E-3</v>
      </c>
      <c r="N75" s="52">
        <f t="shared" si="26"/>
        <v>2.488252255614086E-7</v>
      </c>
      <c r="O75" s="26">
        <f t="shared" si="27"/>
        <v>2.032E-3</v>
      </c>
      <c r="P75" s="26">
        <v>7.0840480334740597E-11</v>
      </c>
      <c r="Q75" s="14">
        <v>0.1</v>
      </c>
      <c r="R75" s="2">
        <f t="shared" si="28"/>
        <v>110000.00000000001</v>
      </c>
      <c r="S75" s="2">
        <f t="shared" si="29"/>
        <v>105316.56344330679</v>
      </c>
      <c r="T75" s="2">
        <f t="shared" si="30"/>
        <v>105316.56344330679</v>
      </c>
      <c r="U75" s="2">
        <f t="shared" si="31"/>
        <v>5.1940208761751296E-3</v>
      </c>
      <c r="V75" s="2">
        <v>0.13</v>
      </c>
      <c r="W75" s="2">
        <f t="shared" si="32"/>
        <v>112999.99999999999</v>
      </c>
      <c r="X75" s="2">
        <f t="shared" si="33"/>
        <v>6.6731534653465348</v>
      </c>
      <c r="Y75" s="11">
        <f t="shared" si="34"/>
        <v>1.2272384032761749E-14</v>
      </c>
      <c r="Z75" s="11">
        <f t="shared" si="35"/>
        <v>7390429664.5291262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3">
        <v>222</v>
      </c>
      <c r="B76" s="3">
        <f t="shared" si="19"/>
        <v>3.7</v>
      </c>
      <c r="C76" s="3">
        <v>20</v>
      </c>
      <c r="D76" s="3">
        <f t="shared" si="18"/>
        <v>29.146000000000001</v>
      </c>
      <c r="E76" s="3">
        <f t="shared" si="20"/>
        <v>4.8576666666666667E-7</v>
      </c>
      <c r="F76" s="3">
        <v>21.1</v>
      </c>
      <c r="G76" s="3">
        <f t="shared" si="21"/>
        <v>294.10000000000002</v>
      </c>
      <c r="H76" s="3">
        <v>101.3</v>
      </c>
      <c r="I76" s="3">
        <f t="shared" si="22"/>
        <v>101300</v>
      </c>
      <c r="J76" s="3">
        <f t="shared" si="23"/>
        <v>2.0124824921938581E-5</v>
      </c>
      <c r="K76" s="25">
        <v>66.529702970297038</v>
      </c>
      <c r="L76" s="3">
        <f t="shared" si="24"/>
        <v>6.6529702970297044E-5</v>
      </c>
      <c r="M76" s="3">
        <f t="shared" si="25"/>
        <v>4.7762865441819992E-3</v>
      </c>
      <c r="N76" s="52">
        <f t="shared" si="26"/>
        <v>2.8032208955652364E-7</v>
      </c>
      <c r="O76" s="26">
        <f t="shared" si="27"/>
        <v>2.032E-3</v>
      </c>
      <c r="P76" s="26">
        <v>7.0840480334740597E-11</v>
      </c>
      <c r="Q76" s="14">
        <v>0.1</v>
      </c>
      <c r="R76" s="2">
        <f t="shared" si="28"/>
        <v>110000.00000000001</v>
      </c>
      <c r="S76" s="2">
        <f t="shared" si="29"/>
        <v>104730.98792839891</v>
      </c>
      <c r="T76" s="2">
        <f t="shared" si="30"/>
        <v>104730.98792839891</v>
      </c>
      <c r="U76" s="2">
        <f t="shared" si="31"/>
        <v>5.1940208761751296E-3</v>
      </c>
      <c r="V76" s="2">
        <v>0.13</v>
      </c>
      <c r="W76" s="2">
        <f t="shared" si="32"/>
        <v>112999.99999999999</v>
      </c>
      <c r="X76" s="2">
        <f t="shared" si="33"/>
        <v>7.5178564356435649</v>
      </c>
      <c r="Y76" s="11">
        <f t="shared" si="34"/>
        <v>1.3903271007054037E-14</v>
      </c>
      <c r="Z76" s="11">
        <f t="shared" si="35"/>
        <v>8372549800.4479418</v>
      </c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3">
        <v>225</v>
      </c>
      <c r="B77" s="3">
        <f t="shared" si="19"/>
        <v>3.75</v>
      </c>
      <c r="C77" s="3">
        <v>20</v>
      </c>
      <c r="D77" s="3">
        <f t="shared" si="18"/>
        <v>29.146000000000001</v>
      </c>
      <c r="E77" s="3">
        <f t="shared" si="20"/>
        <v>4.8576666666666667E-7</v>
      </c>
      <c r="F77" s="3">
        <v>21.1</v>
      </c>
      <c r="G77" s="3">
        <f t="shared" si="21"/>
        <v>294.10000000000002</v>
      </c>
      <c r="H77" s="3">
        <v>101.3</v>
      </c>
      <c r="I77" s="3">
        <f t="shared" si="22"/>
        <v>101300</v>
      </c>
      <c r="J77" s="3">
        <f t="shared" si="23"/>
        <v>2.0124824921938581E-5</v>
      </c>
      <c r="K77" s="25">
        <v>65.39108910891089</v>
      </c>
      <c r="L77" s="3">
        <f t="shared" si="24"/>
        <v>6.5391089108910895E-5</v>
      </c>
      <c r="M77" s="3">
        <f t="shared" si="25"/>
        <v>4.7762865441819992E-3</v>
      </c>
      <c r="N77" s="52">
        <f t="shared" si="26"/>
        <v>2.7552455398110875E-7</v>
      </c>
      <c r="O77" s="26">
        <f t="shared" si="27"/>
        <v>2.032E-3</v>
      </c>
      <c r="P77" s="26">
        <v>7.0840480334740597E-11</v>
      </c>
      <c r="Q77" s="14">
        <v>0.1</v>
      </c>
      <c r="R77" s="2">
        <f t="shared" si="28"/>
        <v>110000.00000000001</v>
      </c>
      <c r="S77" s="2">
        <f t="shared" si="29"/>
        <v>104820.0761590136</v>
      </c>
      <c r="T77" s="2">
        <f t="shared" si="30"/>
        <v>104820.0761590136</v>
      </c>
      <c r="U77" s="2">
        <f t="shared" si="31"/>
        <v>5.1940208761751296E-3</v>
      </c>
      <c r="V77" s="2">
        <v>0.13</v>
      </c>
      <c r="W77" s="2">
        <f t="shared" si="32"/>
        <v>112999.99999999999</v>
      </c>
      <c r="X77" s="2">
        <f t="shared" si="33"/>
        <v>7.3891930693069305</v>
      </c>
      <c r="Y77" s="11">
        <f t="shared" si="34"/>
        <v>1.3653693333343382E-14</v>
      </c>
      <c r="Z77" s="11">
        <f t="shared" si="35"/>
        <v>8222254125.339385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3">
        <v>228</v>
      </c>
      <c r="B78" s="3">
        <f t="shared" si="19"/>
        <v>3.8</v>
      </c>
      <c r="C78" s="3">
        <v>20</v>
      </c>
      <c r="D78" s="3">
        <f t="shared" si="18"/>
        <v>29.146000000000001</v>
      </c>
      <c r="E78" s="3">
        <f t="shared" si="20"/>
        <v>4.8576666666666667E-7</v>
      </c>
      <c r="F78" s="3">
        <v>21.1</v>
      </c>
      <c r="G78" s="3">
        <f t="shared" si="21"/>
        <v>294.10000000000002</v>
      </c>
      <c r="H78" s="3">
        <v>101.3</v>
      </c>
      <c r="I78" s="3">
        <f t="shared" si="22"/>
        <v>101300</v>
      </c>
      <c r="J78" s="3">
        <f t="shared" si="23"/>
        <v>2.0124824921938581E-5</v>
      </c>
      <c r="K78" s="25">
        <v>64.128712871287135</v>
      </c>
      <c r="L78" s="3">
        <f t="shared" si="24"/>
        <v>6.412871287128714E-5</v>
      </c>
      <c r="M78" s="3">
        <f t="shared" si="25"/>
        <v>4.7762865441819992E-3</v>
      </c>
      <c r="N78" s="52">
        <f t="shared" si="26"/>
        <v>2.7020554714749663E-7</v>
      </c>
      <c r="O78" s="26">
        <f t="shared" si="27"/>
        <v>2.032E-3</v>
      </c>
      <c r="P78" s="26">
        <v>7.0840480334740597E-11</v>
      </c>
      <c r="Q78" s="14">
        <v>0.1</v>
      </c>
      <c r="R78" s="2">
        <f t="shared" si="28"/>
        <v>110000.00000000001</v>
      </c>
      <c r="S78" s="2">
        <f t="shared" si="29"/>
        <v>104918.89216678331</v>
      </c>
      <c r="T78" s="2">
        <f t="shared" si="30"/>
        <v>104918.89216678331</v>
      </c>
      <c r="U78" s="2">
        <f t="shared" si="31"/>
        <v>5.1940208761751296E-3</v>
      </c>
      <c r="V78" s="2">
        <v>0.13</v>
      </c>
      <c r="W78" s="2">
        <f t="shared" si="32"/>
        <v>112999.99999999999</v>
      </c>
      <c r="X78" s="2">
        <f t="shared" si="33"/>
        <v>7.2465445544554461</v>
      </c>
      <c r="Y78" s="11">
        <f t="shared" si="34"/>
        <v>1.3377478204812896E-14</v>
      </c>
      <c r="Z78" s="11">
        <f t="shared" si="35"/>
        <v>8055917374.9383259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3">
        <v>231</v>
      </c>
      <c r="B79" s="3">
        <f t="shared" si="19"/>
        <v>3.85</v>
      </c>
      <c r="C79" s="3">
        <v>20</v>
      </c>
      <c r="D79" s="3">
        <f t="shared" si="18"/>
        <v>29.146000000000001</v>
      </c>
      <c r="E79" s="3">
        <f t="shared" si="20"/>
        <v>4.8576666666666667E-7</v>
      </c>
      <c r="F79" s="3">
        <v>21.1</v>
      </c>
      <c r="G79" s="3">
        <f t="shared" si="21"/>
        <v>294.10000000000002</v>
      </c>
      <c r="H79" s="3">
        <v>101.3</v>
      </c>
      <c r="I79" s="3">
        <f t="shared" si="22"/>
        <v>101300</v>
      </c>
      <c r="J79" s="3">
        <f t="shared" si="23"/>
        <v>2.0124824921938581E-5</v>
      </c>
      <c r="K79" s="25">
        <v>65.440594059405953</v>
      </c>
      <c r="L79" s="3">
        <f t="shared" si="24"/>
        <v>6.5440594059405953E-5</v>
      </c>
      <c r="M79" s="3">
        <f t="shared" si="25"/>
        <v>4.7762865441819992E-3</v>
      </c>
      <c r="N79" s="52">
        <f t="shared" si="26"/>
        <v>2.7573314248438766E-7</v>
      </c>
      <c r="O79" s="26">
        <f t="shared" si="27"/>
        <v>2.032E-3</v>
      </c>
      <c r="P79" s="26">
        <v>7.0840480334740597E-11</v>
      </c>
      <c r="Q79" s="14">
        <v>0.1</v>
      </c>
      <c r="R79" s="2">
        <f t="shared" si="28"/>
        <v>110000.00000000001</v>
      </c>
      <c r="S79" s="2">
        <f t="shared" si="29"/>
        <v>104816.20197011494</v>
      </c>
      <c r="T79" s="2">
        <f t="shared" si="30"/>
        <v>104816.20197011494</v>
      </c>
      <c r="U79" s="2">
        <f t="shared" si="31"/>
        <v>5.1940208761751296E-3</v>
      </c>
      <c r="V79" s="2">
        <v>0.13</v>
      </c>
      <c r="W79" s="2">
        <f t="shared" si="32"/>
        <v>112999.99999999999</v>
      </c>
      <c r="X79" s="2">
        <f t="shared" si="33"/>
        <v>7.3947871287128715</v>
      </c>
      <c r="Y79" s="11">
        <f t="shared" si="34"/>
        <v>1.366453580391254E-14</v>
      </c>
      <c r="Z79" s="11">
        <f t="shared" si="35"/>
        <v>8228783461.1161318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3">
        <v>234</v>
      </c>
      <c r="B80" s="3">
        <f t="shared" si="19"/>
        <v>3.9</v>
      </c>
      <c r="C80" s="3">
        <v>20</v>
      </c>
      <c r="D80" s="3">
        <f t="shared" si="18"/>
        <v>29.146000000000001</v>
      </c>
      <c r="E80" s="3">
        <f t="shared" si="20"/>
        <v>4.8576666666666667E-7</v>
      </c>
      <c r="F80" s="3">
        <v>21.1</v>
      </c>
      <c r="G80" s="3">
        <f t="shared" si="21"/>
        <v>294.10000000000002</v>
      </c>
      <c r="H80" s="3">
        <v>101.3</v>
      </c>
      <c r="I80" s="3">
        <f t="shared" si="22"/>
        <v>101300</v>
      </c>
      <c r="J80" s="3">
        <f t="shared" si="23"/>
        <v>2.0124824921938581E-5</v>
      </c>
      <c r="K80" s="25">
        <v>61.35643564356436</v>
      </c>
      <c r="L80" s="3">
        <f t="shared" si="24"/>
        <v>6.1356435643564354E-5</v>
      </c>
      <c r="M80" s="3">
        <f t="shared" si="25"/>
        <v>4.7762865441819992E-3</v>
      </c>
      <c r="N80" s="52">
        <f t="shared" si="26"/>
        <v>2.5852459096387774E-7</v>
      </c>
      <c r="O80" s="26">
        <f t="shared" si="27"/>
        <v>2.032E-3</v>
      </c>
      <c r="P80" s="26">
        <v>7.0840480334740597E-11</v>
      </c>
      <c r="Q80" s="14">
        <v>0.1</v>
      </c>
      <c r="R80" s="2">
        <f t="shared" si="28"/>
        <v>110000.00000000001</v>
      </c>
      <c r="S80" s="2">
        <f t="shared" si="29"/>
        <v>105136.06325459467</v>
      </c>
      <c r="T80" s="2">
        <f t="shared" si="30"/>
        <v>105136.06325459467</v>
      </c>
      <c r="U80" s="2">
        <f t="shared" si="31"/>
        <v>5.1940208761751296E-3</v>
      </c>
      <c r="V80" s="2">
        <v>0.13</v>
      </c>
      <c r="W80" s="2">
        <f t="shared" si="32"/>
        <v>112999.99999999999</v>
      </c>
      <c r="X80" s="2">
        <f t="shared" si="33"/>
        <v>6.9332772277227708</v>
      </c>
      <c r="Y80" s="11">
        <f t="shared" si="34"/>
        <v>1.2772693189414793E-14</v>
      </c>
      <c r="Z80" s="11">
        <f t="shared" si="35"/>
        <v>7691715838.6655884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3">
        <v>237</v>
      </c>
      <c r="B81" s="3">
        <f t="shared" si="19"/>
        <v>3.95</v>
      </c>
      <c r="C81" s="3">
        <v>20</v>
      </c>
      <c r="D81" s="3">
        <f t="shared" si="18"/>
        <v>29.146000000000001</v>
      </c>
      <c r="E81" s="3">
        <f t="shared" si="20"/>
        <v>4.8576666666666667E-7</v>
      </c>
      <c r="F81" s="3">
        <v>21.1</v>
      </c>
      <c r="G81" s="3">
        <f t="shared" si="21"/>
        <v>294.10000000000002</v>
      </c>
      <c r="H81" s="3">
        <v>101.3</v>
      </c>
      <c r="I81" s="3">
        <f t="shared" si="22"/>
        <v>101300</v>
      </c>
      <c r="J81" s="3">
        <f t="shared" si="23"/>
        <v>2.0124824921938581E-5</v>
      </c>
      <c r="K81" s="25">
        <v>64.67326732673267</v>
      </c>
      <c r="L81" s="3">
        <f t="shared" si="24"/>
        <v>6.4673267326732672E-5</v>
      </c>
      <c r="M81" s="3">
        <f t="shared" si="25"/>
        <v>4.7762865441819992E-3</v>
      </c>
      <c r="N81" s="52">
        <f t="shared" si="26"/>
        <v>2.7250002068356454E-7</v>
      </c>
      <c r="O81" s="26">
        <f t="shared" si="27"/>
        <v>2.032E-3</v>
      </c>
      <c r="P81" s="26">
        <v>7.0840480334740597E-11</v>
      </c>
      <c r="Q81" s="14">
        <v>0.1</v>
      </c>
      <c r="R81" s="2">
        <f t="shared" si="28"/>
        <v>110000.00000000001</v>
      </c>
      <c r="S81" s="2">
        <f t="shared" si="29"/>
        <v>104876.25994376279</v>
      </c>
      <c r="T81" s="2">
        <f t="shared" si="30"/>
        <v>104876.25994376279</v>
      </c>
      <c r="U81" s="2">
        <f t="shared" si="31"/>
        <v>5.1940208761751296E-3</v>
      </c>
      <c r="V81" s="2">
        <v>0.13</v>
      </c>
      <c r="W81" s="2">
        <f t="shared" si="32"/>
        <v>112999.99999999999</v>
      </c>
      <c r="X81" s="2">
        <f t="shared" si="33"/>
        <v>7.308079207920791</v>
      </c>
      <c r="Y81" s="11">
        <f t="shared" si="34"/>
        <v>1.3496566629335945E-14</v>
      </c>
      <c r="Z81" s="11">
        <f t="shared" si="35"/>
        <v>8127632424.1861067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20"/>
      <c r="L82" s="3"/>
      <c r="M82" s="3"/>
      <c r="N82" s="26"/>
      <c r="O82" s="26"/>
      <c r="P82" s="26"/>
      <c r="Q82" s="14"/>
      <c r="R82" s="2"/>
      <c r="S82" s="2"/>
      <c r="T82" s="2"/>
      <c r="U82" s="2"/>
      <c r="V82" s="2"/>
      <c r="W82" s="2"/>
      <c r="X82" s="2"/>
      <c r="Y82" s="2"/>
      <c r="Z82" s="2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20"/>
      <c r="L83" s="3"/>
      <c r="M83" s="3"/>
      <c r="N83" s="26"/>
      <c r="O83" s="26"/>
      <c r="P83" s="26"/>
      <c r="Q83" s="14"/>
      <c r="R83" s="2"/>
      <c r="S83" s="2"/>
      <c r="T83" s="2"/>
      <c r="U83" s="2"/>
      <c r="V83" s="2"/>
      <c r="W83" s="2"/>
      <c r="X83" s="2"/>
      <c r="Y83" s="2"/>
      <c r="Z83" s="2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20"/>
      <c r="L84" s="3"/>
      <c r="M84" s="3"/>
      <c r="N84" s="26"/>
      <c r="O84" s="26"/>
      <c r="P84" s="26"/>
      <c r="Q84" s="14"/>
      <c r="R84" s="2"/>
      <c r="S84" s="2"/>
      <c r="T84" s="2"/>
      <c r="U84" s="2"/>
      <c r="V84" s="2"/>
      <c r="W84" s="2"/>
      <c r="X84" s="2"/>
      <c r="Y84" s="44">
        <f>AVERAGE(Y60:Y81)</f>
        <v>1.30973830901699E-14</v>
      </c>
      <c r="Z84" s="44">
        <f>AVERAGE(Z60:Z81)</f>
        <v>7887244096.9003134</v>
      </c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20"/>
      <c r="L85" s="3"/>
      <c r="M85" s="3"/>
      <c r="N85" s="26"/>
      <c r="O85" s="26"/>
      <c r="P85" s="26"/>
      <c r="Q85" s="14"/>
      <c r="R85" s="2"/>
      <c r="S85" s="2"/>
      <c r="T85" s="2"/>
      <c r="U85" s="2"/>
      <c r="V85" s="2"/>
      <c r="W85" s="2"/>
      <c r="X85" s="2"/>
      <c r="Y85" s="2"/>
      <c r="Z85" s="2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20"/>
      <c r="L86" s="3"/>
      <c r="M86" s="3"/>
      <c r="N86" s="26"/>
      <c r="O86" s="26"/>
      <c r="P86" s="26"/>
      <c r="Q86" s="14"/>
      <c r="R86" s="2"/>
      <c r="S86" s="2"/>
      <c r="T86" s="2"/>
      <c r="U86" s="2"/>
      <c r="V86" s="2"/>
      <c r="W86" s="2"/>
      <c r="X86" s="2"/>
      <c r="Y86" s="2"/>
      <c r="Z86" s="2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20"/>
      <c r="L87" s="3"/>
      <c r="M87" s="3"/>
      <c r="N87" s="26"/>
      <c r="O87" s="26"/>
      <c r="P87" s="26"/>
      <c r="Q87" s="14"/>
      <c r="R87" s="2"/>
      <c r="S87" s="2"/>
      <c r="T87" s="2"/>
      <c r="U87" s="2"/>
      <c r="V87" s="2"/>
      <c r="W87" s="2"/>
      <c r="X87" s="2"/>
      <c r="Y87" s="2"/>
      <c r="Z87" s="2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20"/>
      <c r="L88" s="3"/>
      <c r="M88" s="3"/>
      <c r="N88" s="26"/>
      <c r="O88" s="26"/>
      <c r="P88" s="26"/>
      <c r="Q88" s="14"/>
      <c r="R88" s="2"/>
      <c r="S88" s="2"/>
      <c r="T88" s="2"/>
      <c r="U88" s="2"/>
      <c r="V88" s="2"/>
      <c r="W88" s="2"/>
      <c r="X88" s="2"/>
      <c r="Y88" s="2"/>
      <c r="Z88" s="2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20"/>
      <c r="L89" s="3"/>
      <c r="M89" s="3"/>
      <c r="N89" s="26"/>
      <c r="O89" s="26"/>
      <c r="P89" s="26"/>
      <c r="Q89" s="14"/>
      <c r="R89" s="2"/>
      <c r="S89" s="2"/>
      <c r="T89" s="2"/>
      <c r="U89" s="2"/>
      <c r="V89" s="2"/>
      <c r="W89" s="2"/>
      <c r="X89" s="2"/>
      <c r="Y89" s="2"/>
      <c r="Z89" s="2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20"/>
      <c r="L90" s="3"/>
      <c r="M90" s="3"/>
      <c r="N90" s="26"/>
      <c r="O90" s="26"/>
      <c r="P90" s="26"/>
      <c r="Q90" s="14"/>
      <c r="R90" s="2"/>
      <c r="S90" s="2"/>
      <c r="T90" s="2"/>
      <c r="U90" s="2"/>
      <c r="V90" s="2"/>
      <c r="W90" s="2"/>
      <c r="X90" s="2"/>
      <c r="Y90" s="2"/>
      <c r="Z90" s="2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20"/>
      <c r="L91" s="3"/>
      <c r="M91" s="3"/>
      <c r="N91" s="26"/>
      <c r="O91" s="26"/>
      <c r="P91" s="26"/>
      <c r="Q91" s="14"/>
      <c r="R91" s="2"/>
      <c r="S91" s="2"/>
      <c r="T91" s="2"/>
      <c r="U91" s="2"/>
      <c r="V91" s="2"/>
      <c r="W91" s="2"/>
      <c r="X91" s="2"/>
      <c r="Y91" s="2"/>
      <c r="Z91" s="2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20"/>
      <c r="L92" s="3"/>
      <c r="M92" s="3"/>
      <c r="N92" s="26"/>
      <c r="O92" s="26"/>
      <c r="P92" s="26"/>
      <c r="Q92" s="14"/>
      <c r="R92" s="2"/>
      <c r="S92" s="2"/>
      <c r="T92" s="2"/>
      <c r="U92" s="2"/>
      <c r="V92" s="2"/>
      <c r="W92" s="2"/>
      <c r="X92" s="2"/>
      <c r="Y92" s="2"/>
      <c r="Z92" s="2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20"/>
      <c r="L93" s="3"/>
      <c r="M93" s="3"/>
      <c r="N93" s="26"/>
      <c r="O93" s="26"/>
      <c r="P93" s="26"/>
      <c r="Q93" s="14"/>
      <c r="R93" s="2"/>
      <c r="S93" s="2"/>
      <c r="T93" s="2"/>
      <c r="U93" s="2"/>
      <c r="V93" s="2"/>
      <c r="W93" s="2"/>
      <c r="X93" s="2"/>
      <c r="Y93" s="2"/>
      <c r="Z93" s="2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  <c r="N94" s="26"/>
      <c r="O94" s="26"/>
      <c r="P94" s="26"/>
      <c r="Q94" s="14"/>
      <c r="R94" s="2"/>
      <c r="S94" s="2"/>
      <c r="T94" s="2"/>
      <c r="U94" s="2"/>
      <c r="V94" s="2"/>
      <c r="W94" s="2"/>
      <c r="X94" s="2"/>
      <c r="Y94" s="2"/>
      <c r="Z94" s="2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20"/>
      <c r="L95" s="3"/>
      <c r="M95" s="3"/>
      <c r="N95" s="26"/>
      <c r="O95" s="26"/>
      <c r="P95" s="26"/>
      <c r="Q95" s="14"/>
      <c r="R95" s="2"/>
      <c r="S95" s="2"/>
      <c r="T95" s="2"/>
      <c r="U95" s="2"/>
      <c r="V95" s="2"/>
      <c r="W95" s="2"/>
      <c r="X95" s="2"/>
      <c r="Y95" s="2"/>
      <c r="Z95" s="2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20"/>
      <c r="L96" s="3"/>
      <c r="M96" s="3"/>
      <c r="N96" s="26"/>
      <c r="O96" s="26"/>
      <c r="P96" s="26"/>
      <c r="Q96" s="14"/>
      <c r="R96" s="2"/>
      <c r="S96" s="2"/>
      <c r="T96" s="2"/>
      <c r="U96" s="2"/>
      <c r="V96" s="2"/>
      <c r="W96" s="2"/>
      <c r="X96" s="2"/>
      <c r="Y96" s="2"/>
      <c r="Z96" s="2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20"/>
      <c r="L97" s="3"/>
      <c r="M97" s="3"/>
      <c r="N97" s="26"/>
      <c r="O97" s="26"/>
      <c r="P97" s="26"/>
      <c r="Q97" s="14"/>
      <c r="R97" s="2"/>
      <c r="S97" s="2"/>
      <c r="T97" s="2"/>
      <c r="U97" s="2"/>
      <c r="V97" s="2"/>
      <c r="W97" s="2"/>
      <c r="X97" s="2"/>
      <c r="Y97" s="2"/>
      <c r="Z97" s="2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20"/>
      <c r="L98" s="3"/>
      <c r="M98" s="3"/>
      <c r="N98" s="26"/>
      <c r="O98" s="26"/>
      <c r="P98" s="26"/>
      <c r="Q98" s="14"/>
      <c r="R98" s="2"/>
      <c r="S98" s="2"/>
      <c r="T98" s="2"/>
      <c r="U98" s="2"/>
      <c r="V98" s="2"/>
      <c r="W98" s="2"/>
      <c r="X98" s="2"/>
      <c r="Y98" s="2"/>
      <c r="Z98" s="2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20"/>
      <c r="L99" s="3"/>
      <c r="M99" s="3"/>
      <c r="N99" s="26"/>
      <c r="O99" s="26"/>
      <c r="P99" s="26"/>
      <c r="Q99" s="14"/>
      <c r="R99" s="2"/>
      <c r="S99" s="2"/>
      <c r="T99" s="2"/>
      <c r="U99" s="2"/>
      <c r="V99" s="2"/>
      <c r="W99" s="2"/>
      <c r="X99" s="2"/>
      <c r="Y99" s="2"/>
      <c r="Z99" s="2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0"/>
      <c r="L100" s="3"/>
      <c r="M100" s="3"/>
      <c r="N100" s="26"/>
      <c r="O100" s="26"/>
      <c r="P100" s="26"/>
      <c r="Q100" s="14"/>
      <c r="R100" s="2"/>
      <c r="S100" s="2"/>
      <c r="T100" s="2"/>
      <c r="U100" s="2"/>
      <c r="V100" s="2"/>
      <c r="W100" s="2"/>
      <c r="X100" s="2"/>
      <c r="Y100" s="2"/>
      <c r="Z100" s="2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0"/>
      <c r="L101" s="3"/>
      <c r="M101" s="3"/>
      <c r="N101" s="26"/>
      <c r="O101" s="26"/>
      <c r="P101" s="26"/>
      <c r="Q101" s="14"/>
      <c r="R101" s="2"/>
      <c r="S101" s="2"/>
      <c r="T101" s="2"/>
      <c r="U101" s="2"/>
      <c r="V101" s="2"/>
      <c r="W101" s="2"/>
      <c r="X101" s="2"/>
      <c r="Y101" s="2"/>
      <c r="Z101" s="2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0"/>
      <c r="L102" s="3"/>
      <c r="M102" s="3"/>
      <c r="N102" s="26"/>
      <c r="O102" s="26"/>
      <c r="P102" s="26"/>
      <c r="Q102" s="14"/>
      <c r="R102" s="2"/>
      <c r="S102" s="2"/>
      <c r="T102" s="2"/>
      <c r="U102" s="2"/>
      <c r="V102" s="2"/>
      <c r="W102" s="2"/>
      <c r="X102" s="2"/>
      <c r="Y102" s="2"/>
      <c r="Z102" s="2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0"/>
      <c r="L103" s="3"/>
      <c r="M103" s="3"/>
      <c r="N103" s="26"/>
      <c r="O103" s="26"/>
      <c r="P103" s="26"/>
      <c r="Q103" s="14"/>
      <c r="R103" s="2"/>
      <c r="S103" s="2"/>
      <c r="T103" s="2"/>
      <c r="U103" s="2"/>
      <c r="V103" s="2"/>
      <c r="W103" s="2"/>
      <c r="X103" s="2"/>
      <c r="Y103" s="2"/>
      <c r="Z103" s="2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0"/>
      <c r="L104" s="3"/>
      <c r="M104" s="3"/>
      <c r="N104" s="26"/>
      <c r="O104" s="26"/>
      <c r="P104" s="26"/>
      <c r="Q104" s="14"/>
      <c r="R104" s="2"/>
      <c r="S104" s="2"/>
      <c r="T104" s="2"/>
      <c r="U104" s="2"/>
      <c r="V104" s="2"/>
      <c r="W104" s="2"/>
      <c r="X104" s="2"/>
      <c r="Y104" s="2"/>
      <c r="Z104" s="2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0"/>
      <c r="L105" s="3"/>
      <c r="M105" s="3"/>
      <c r="N105" s="26"/>
      <c r="O105" s="26"/>
      <c r="P105" s="26"/>
      <c r="Q105" s="14"/>
      <c r="R105" s="2"/>
      <c r="S105" s="2"/>
      <c r="T105" s="2"/>
      <c r="U105" s="2"/>
      <c r="V105" s="2"/>
      <c r="W105" s="2"/>
      <c r="X105" s="2"/>
      <c r="Y105" s="2"/>
      <c r="Z105" s="2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0"/>
      <c r="L106" s="3"/>
      <c r="M106" s="3"/>
      <c r="N106" s="26"/>
      <c r="O106" s="26"/>
      <c r="P106" s="26"/>
      <c r="Q106" s="14"/>
      <c r="R106" s="2"/>
      <c r="S106" s="2"/>
      <c r="T106" s="2"/>
      <c r="U106" s="2"/>
      <c r="V106" s="2"/>
      <c r="W106" s="2"/>
      <c r="X106" s="2"/>
      <c r="Y106" s="2"/>
      <c r="Z106" s="2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0"/>
      <c r="L107" s="3"/>
      <c r="M107" s="3"/>
      <c r="N107" s="26"/>
      <c r="O107" s="26"/>
      <c r="P107" s="26"/>
      <c r="Q107" s="14"/>
      <c r="R107" s="2"/>
      <c r="S107" s="2"/>
      <c r="T107" s="2"/>
      <c r="U107" s="2"/>
      <c r="V107" s="2"/>
      <c r="W107" s="2"/>
      <c r="X107" s="2"/>
      <c r="Y107" s="2"/>
      <c r="Z107" s="2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0"/>
      <c r="L108" s="3"/>
      <c r="M108" s="3"/>
      <c r="N108" s="26"/>
      <c r="O108" s="26"/>
      <c r="P108" s="26"/>
      <c r="Q108" s="14"/>
      <c r="R108" s="2"/>
      <c r="S108" s="2"/>
      <c r="T108" s="2"/>
      <c r="U108" s="2"/>
      <c r="V108" s="2"/>
      <c r="W108" s="2"/>
      <c r="X108" s="2"/>
      <c r="Y108" s="2"/>
      <c r="Z108" s="2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0"/>
      <c r="L109" s="3"/>
      <c r="M109" s="3"/>
      <c r="N109" s="26"/>
      <c r="O109" s="26"/>
      <c r="P109" s="26"/>
      <c r="Q109" s="14"/>
      <c r="R109" s="2"/>
      <c r="S109" s="2"/>
      <c r="T109" s="2"/>
      <c r="U109" s="2"/>
      <c r="V109" s="2"/>
      <c r="W109" s="2"/>
      <c r="X109" s="2"/>
      <c r="Y109" s="2"/>
      <c r="Z109" s="2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0"/>
      <c r="L110" s="3"/>
      <c r="M110" s="3"/>
      <c r="N110" s="26"/>
      <c r="O110" s="26"/>
      <c r="P110" s="26"/>
      <c r="Q110" s="14"/>
      <c r="R110" s="2"/>
      <c r="S110" s="2"/>
      <c r="T110" s="2"/>
      <c r="U110" s="2"/>
      <c r="V110" s="2"/>
      <c r="W110" s="2"/>
      <c r="X110" s="2"/>
      <c r="Y110" s="2"/>
      <c r="Z110" s="2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0"/>
      <c r="L111" s="3"/>
      <c r="M111" s="3"/>
      <c r="N111" s="26"/>
      <c r="O111" s="26"/>
      <c r="P111" s="26"/>
      <c r="Q111" s="14"/>
      <c r="R111" s="2"/>
      <c r="S111" s="2"/>
      <c r="T111" s="2"/>
      <c r="U111" s="2"/>
      <c r="V111" s="2"/>
      <c r="W111" s="2"/>
      <c r="X111" s="2"/>
      <c r="Y111" s="2"/>
      <c r="Z111" s="2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0"/>
      <c r="L112" s="3"/>
      <c r="M112" s="3"/>
      <c r="N112" s="26"/>
      <c r="O112" s="26"/>
      <c r="P112" s="26"/>
      <c r="Q112" s="14"/>
      <c r="R112" s="2"/>
      <c r="S112" s="2"/>
      <c r="T112" s="2"/>
      <c r="U112" s="2"/>
      <c r="V112" s="2"/>
      <c r="W112" s="2"/>
      <c r="X112" s="2"/>
      <c r="Y112" s="2"/>
      <c r="Z112" s="2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0"/>
      <c r="L113" s="3"/>
      <c r="M113" s="3"/>
      <c r="N113" s="26"/>
      <c r="O113" s="26"/>
      <c r="P113" s="26"/>
      <c r="Q113" s="14"/>
      <c r="R113" s="2"/>
      <c r="S113" s="2"/>
      <c r="T113" s="2"/>
      <c r="U113" s="2"/>
      <c r="V113" s="2"/>
      <c r="W113" s="2"/>
      <c r="X113" s="2"/>
      <c r="Y113" s="2"/>
      <c r="Z113" s="2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0"/>
      <c r="L114" s="3"/>
      <c r="M114" s="3"/>
      <c r="N114" s="52"/>
      <c r="O114" s="26"/>
      <c r="P114" s="26"/>
      <c r="Q114" s="14"/>
      <c r="R114" s="2"/>
      <c r="S114" s="2"/>
      <c r="T114" s="2"/>
      <c r="U114" s="2"/>
      <c r="V114" s="2"/>
      <c r="W114" s="2"/>
      <c r="X114" s="2"/>
      <c r="Y114" s="11"/>
      <c r="Z114" s="11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0"/>
      <c r="L115" s="3"/>
      <c r="M115" s="3"/>
      <c r="N115" s="26"/>
      <c r="O115" s="26"/>
      <c r="P115" s="26"/>
      <c r="Q115" s="14"/>
      <c r="R115" s="2"/>
      <c r="S115" s="2"/>
      <c r="T115" s="2"/>
      <c r="U115" s="2"/>
      <c r="V115" s="2"/>
      <c r="W115" s="2"/>
      <c r="X115" s="2"/>
      <c r="Y115" s="2"/>
      <c r="Z115" s="2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0"/>
      <c r="L116" s="3"/>
      <c r="M116" s="3"/>
      <c r="N116" s="26"/>
      <c r="O116" s="26"/>
      <c r="P116" s="26"/>
      <c r="Q116" s="14"/>
      <c r="R116" s="2"/>
      <c r="S116" s="2"/>
      <c r="T116" s="2"/>
      <c r="U116" s="2"/>
      <c r="V116" s="2"/>
      <c r="W116" s="2"/>
      <c r="X116" s="2"/>
      <c r="Y116" s="2"/>
      <c r="Z116" s="2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0"/>
      <c r="L117" s="3"/>
      <c r="M117" s="3"/>
      <c r="N117" s="26"/>
      <c r="O117" s="26"/>
      <c r="P117" s="26"/>
      <c r="Q117" s="14"/>
      <c r="R117" s="2"/>
      <c r="S117" s="2"/>
      <c r="T117" s="2"/>
      <c r="U117" s="2"/>
      <c r="V117" s="2"/>
      <c r="W117" s="2"/>
      <c r="X117" s="2"/>
      <c r="Y117" s="2"/>
      <c r="Z117" s="2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0"/>
      <c r="L118" s="3"/>
      <c r="M118" s="3"/>
      <c r="N118" s="26"/>
      <c r="O118" s="26"/>
      <c r="P118" s="26"/>
      <c r="Q118" s="14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0"/>
      <c r="L119" s="3"/>
      <c r="M119" s="3"/>
      <c r="N119" s="26"/>
      <c r="O119" s="26"/>
      <c r="P119" s="26"/>
      <c r="Q119" s="14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0"/>
      <c r="L120" s="3"/>
      <c r="M120" s="3"/>
      <c r="N120" s="26"/>
      <c r="O120" s="26"/>
      <c r="P120" s="26"/>
      <c r="Q120" s="14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0"/>
      <c r="L121" s="3"/>
      <c r="M121" s="3"/>
      <c r="N121" s="26"/>
      <c r="O121" s="26"/>
      <c r="P121" s="26"/>
      <c r="Q121" s="14"/>
      <c r="R121" s="2"/>
      <c r="S121" s="2"/>
      <c r="T121" s="2"/>
      <c r="U121" s="2"/>
      <c r="V121" s="2"/>
      <c r="W121" s="2"/>
      <c r="X121" s="2"/>
      <c r="Y121" s="2"/>
      <c r="Z121" s="2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0"/>
      <c r="L122" s="3"/>
      <c r="M122" s="3"/>
      <c r="N122" s="26"/>
      <c r="O122" s="26"/>
      <c r="P122" s="26"/>
      <c r="Q122" s="14"/>
      <c r="R122" s="2"/>
      <c r="S122" s="2"/>
      <c r="T122" s="2"/>
      <c r="U122" s="2"/>
      <c r="V122" s="2"/>
      <c r="W122" s="2"/>
      <c r="X122" s="2"/>
      <c r="Y122" s="2"/>
      <c r="Z122" s="2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0"/>
      <c r="L123" s="3"/>
      <c r="M123" s="3"/>
      <c r="N123" s="26"/>
      <c r="O123" s="26"/>
      <c r="P123" s="26"/>
      <c r="Q123" s="14"/>
      <c r="R123" s="2"/>
      <c r="S123" s="2"/>
      <c r="T123" s="2"/>
      <c r="U123" s="2"/>
      <c r="V123" s="2"/>
      <c r="W123" s="2"/>
      <c r="X123" s="2"/>
      <c r="Y123" s="2"/>
      <c r="Z123" s="2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0"/>
      <c r="L124" s="3"/>
      <c r="M124" s="3"/>
      <c r="N124" s="26"/>
      <c r="O124" s="26"/>
      <c r="P124" s="26"/>
      <c r="Q124" s="14"/>
      <c r="R124" s="2"/>
      <c r="S124" s="2"/>
      <c r="T124" s="2"/>
      <c r="U124" s="2"/>
      <c r="V124" s="2"/>
      <c r="W124" s="2"/>
      <c r="X124" s="2"/>
      <c r="Y124" s="2"/>
      <c r="Z124" s="2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0"/>
      <c r="L125" s="3"/>
      <c r="M125" s="3"/>
      <c r="N125" s="26"/>
      <c r="O125" s="26"/>
      <c r="P125" s="26"/>
      <c r="Q125" s="14"/>
      <c r="R125" s="2"/>
      <c r="S125" s="2"/>
      <c r="T125" s="2"/>
      <c r="U125" s="2"/>
      <c r="V125" s="2"/>
      <c r="W125" s="2"/>
      <c r="X125" s="2"/>
      <c r="Y125" s="2"/>
      <c r="Z125" s="2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0"/>
      <c r="L126" s="3"/>
      <c r="M126" s="3"/>
      <c r="N126" s="26"/>
      <c r="O126" s="26"/>
      <c r="P126" s="26"/>
      <c r="Q126" s="14"/>
      <c r="R126" s="2"/>
      <c r="S126" s="2"/>
      <c r="T126" s="2"/>
      <c r="U126" s="2"/>
      <c r="V126" s="2"/>
      <c r="W126" s="2"/>
      <c r="X126" s="2"/>
      <c r="Y126" s="2"/>
      <c r="Z126" s="2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0"/>
      <c r="L127" s="3"/>
      <c r="M127" s="3"/>
      <c r="N127" s="26"/>
      <c r="O127" s="26"/>
      <c r="P127" s="26"/>
      <c r="Q127" s="14"/>
      <c r="R127" s="2"/>
      <c r="S127" s="2"/>
      <c r="T127" s="2"/>
      <c r="U127" s="2"/>
      <c r="V127" s="2"/>
      <c r="W127" s="2"/>
      <c r="X127" s="2"/>
      <c r="Y127" s="2"/>
      <c r="Z127" s="2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0"/>
      <c r="L128" s="3"/>
      <c r="M128" s="3"/>
      <c r="N128" s="26"/>
      <c r="O128" s="26"/>
      <c r="P128" s="26"/>
      <c r="Q128" s="14"/>
      <c r="R128" s="2"/>
      <c r="S128" s="2"/>
      <c r="T128" s="2"/>
      <c r="U128" s="2"/>
      <c r="V128" s="2"/>
      <c r="W128" s="2"/>
      <c r="X128" s="2"/>
      <c r="Y128" s="2"/>
      <c r="Z128" s="2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0"/>
      <c r="L129" s="3"/>
      <c r="M129" s="3"/>
      <c r="N129" s="26"/>
      <c r="O129" s="26"/>
      <c r="P129" s="26"/>
      <c r="Q129" s="14"/>
      <c r="R129" s="2"/>
      <c r="S129" s="2"/>
      <c r="T129" s="2"/>
      <c r="U129" s="2"/>
      <c r="V129" s="2"/>
      <c r="W129" s="2"/>
      <c r="X129" s="2"/>
      <c r="Y129" s="2"/>
      <c r="Z129" s="2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0"/>
      <c r="L130" s="3"/>
      <c r="M130" s="3"/>
      <c r="N130" s="26"/>
      <c r="O130" s="26"/>
      <c r="P130" s="26"/>
      <c r="Q130" s="14"/>
      <c r="R130" s="2"/>
      <c r="S130" s="2"/>
      <c r="T130" s="2"/>
      <c r="U130" s="2"/>
      <c r="V130" s="2"/>
      <c r="W130" s="2"/>
      <c r="X130" s="2"/>
      <c r="Y130" s="2"/>
      <c r="Z130" s="2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0"/>
      <c r="L131" s="3"/>
      <c r="M131" s="3"/>
      <c r="N131" s="26"/>
      <c r="O131" s="26"/>
      <c r="P131" s="26"/>
      <c r="Q131" s="14"/>
      <c r="R131" s="2"/>
      <c r="S131" s="2"/>
      <c r="T131" s="2"/>
      <c r="U131" s="2"/>
      <c r="V131" s="2"/>
      <c r="W131" s="2"/>
      <c r="X131" s="2"/>
      <c r="Y131" s="2"/>
      <c r="Z131" s="2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0"/>
      <c r="L132" s="3"/>
      <c r="M132" s="3"/>
      <c r="N132" s="26"/>
      <c r="O132" s="26"/>
      <c r="P132" s="26"/>
      <c r="Q132" s="14"/>
      <c r="R132" s="2"/>
      <c r="S132" s="2"/>
      <c r="T132" s="2"/>
      <c r="U132" s="2"/>
      <c r="V132" s="2"/>
      <c r="W132" s="2"/>
      <c r="X132" s="2"/>
      <c r="Y132" s="2"/>
      <c r="Z132" s="2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0"/>
      <c r="L133" s="3"/>
      <c r="M133" s="3"/>
      <c r="N133" s="26"/>
      <c r="O133" s="26"/>
      <c r="P133" s="26"/>
      <c r="Q133" s="14"/>
      <c r="R133" s="2"/>
      <c r="S133" s="2"/>
      <c r="T133" s="2"/>
      <c r="U133" s="2"/>
      <c r="V133" s="2"/>
      <c r="W133" s="2"/>
      <c r="X133" s="2"/>
      <c r="Y133" s="2"/>
      <c r="Z133" s="2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0"/>
      <c r="L134" s="3"/>
      <c r="M134" s="3"/>
      <c r="N134" s="26"/>
      <c r="O134" s="26"/>
      <c r="P134" s="26"/>
      <c r="Q134" s="14"/>
      <c r="R134" s="2"/>
      <c r="S134" s="2"/>
      <c r="T134" s="2"/>
      <c r="U134" s="2"/>
      <c r="V134" s="2"/>
      <c r="W134" s="2"/>
      <c r="X134" s="2"/>
      <c r="Y134" s="2"/>
      <c r="Z134" s="2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0"/>
      <c r="L135" s="3"/>
      <c r="M135" s="3"/>
      <c r="N135" s="26"/>
      <c r="O135" s="26"/>
      <c r="P135" s="26"/>
      <c r="Q135" s="14"/>
      <c r="R135" s="2"/>
      <c r="S135" s="2"/>
      <c r="T135" s="2"/>
      <c r="U135" s="2"/>
      <c r="V135" s="2"/>
      <c r="W135" s="2"/>
      <c r="X135" s="2"/>
      <c r="Y135" s="2"/>
      <c r="Z135" s="2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0"/>
      <c r="L136" s="3"/>
      <c r="M136" s="3"/>
      <c r="N136" s="26"/>
      <c r="O136" s="26"/>
      <c r="P136" s="26"/>
      <c r="Q136" s="14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0"/>
      <c r="L137" s="3"/>
      <c r="M137" s="3"/>
      <c r="N137" s="26"/>
      <c r="O137" s="26"/>
      <c r="P137" s="26"/>
      <c r="Q137" s="14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0"/>
      <c r="L138" s="3"/>
      <c r="M138" s="3"/>
      <c r="N138" s="26"/>
      <c r="O138" s="26"/>
      <c r="P138" s="26"/>
      <c r="Q138" s="14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0"/>
      <c r="L139" s="3"/>
      <c r="M139" s="3"/>
      <c r="N139" s="26"/>
      <c r="O139" s="26"/>
      <c r="P139" s="26"/>
      <c r="Q139" s="14"/>
      <c r="R139" s="2"/>
      <c r="S139" s="2"/>
      <c r="T139" s="2"/>
      <c r="U139" s="2"/>
      <c r="V139" s="2"/>
      <c r="W139" s="2"/>
      <c r="X139" s="2"/>
      <c r="Y139" s="2"/>
      <c r="Z139" s="2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0"/>
      <c r="L140" s="3"/>
      <c r="M140" s="3"/>
      <c r="N140" s="26"/>
      <c r="O140" s="26"/>
      <c r="P140" s="26"/>
      <c r="Q140" s="14"/>
      <c r="R140" s="2"/>
      <c r="S140" s="2"/>
      <c r="T140" s="2"/>
      <c r="U140" s="2"/>
      <c r="V140" s="2"/>
      <c r="W140" s="2"/>
      <c r="X140" s="2"/>
      <c r="Y140" s="2"/>
      <c r="Z140" s="2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0"/>
      <c r="L141" s="3"/>
      <c r="M141" s="3"/>
      <c r="N141" s="26"/>
      <c r="O141" s="26"/>
      <c r="P141" s="26"/>
      <c r="Q141" s="14"/>
      <c r="R141" s="2"/>
      <c r="S141" s="2"/>
      <c r="T141" s="2"/>
      <c r="U141" s="2"/>
      <c r="V141" s="2"/>
      <c r="W141" s="2"/>
      <c r="X141" s="2"/>
      <c r="Y141" s="2"/>
      <c r="Z141" s="2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0"/>
      <c r="L142" s="3"/>
      <c r="M142" s="3"/>
      <c r="N142" s="26"/>
      <c r="O142" s="26"/>
      <c r="P142" s="26"/>
      <c r="Q142" s="14"/>
      <c r="R142" s="2"/>
      <c r="S142" s="2"/>
      <c r="T142" s="2"/>
      <c r="U142" s="2"/>
      <c r="V142" s="2"/>
      <c r="W142" s="2"/>
      <c r="X142" s="2"/>
      <c r="Y142" s="2"/>
      <c r="Z142" s="2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0"/>
      <c r="L143" s="3"/>
      <c r="M143" s="3"/>
      <c r="N143" s="26"/>
      <c r="O143" s="26"/>
      <c r="P143" s="26"/>
      <c r="Q143" s="14"/>
      <c r="R143" s="2"/>
      <c r="S143" s="2"/>
      <c r="T143" s="2"/>
      <c r="U143" s="2"/>
      <c r="V143" s="2"/>
      <c r="W143" s="2"/>
      <c r="X143" s="2"/>
      <c r="Y143" s="2"/>
      <c r="Z143" s="2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0"/>
      <c r="L144" s="3"/>
      <c r="M144" s="3"/>
      <c r="N144" s="26"/>
      <c r="O144" s="26"/>
      <c r="P144" s="26"/>
      <c r="Q144" s="14"/>
      <c r="R144" s="2"/>
      <c r="S144" s="2"/>
      <c r="T144" s="2"/>
      <c r="U144" s="2"/>
      <c r="V144" s="2"/>
      <c r="W144" s="2"/>
      <c r="X144" s="2"/>
      <c r="Y144" s="2"/>
      <c r="Z144" s="2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0"/>
      <c r="L145" s="3"/>
      <c r="M145" s="3"/>
      <c r="N145" s="26"/>
      <c r="O145" s="26"/>
      <c r="P145" s="26"/>
      <c r="Q145" s="14"/>
      <c r="R145" s="2"/>
      <c r="S145" s="2"/>
      <c r="T145" s="2"/>
      <c r="U145" s="2"/>
      <c r="V145" s="2"/>
      <c r="W145" s="2"/>
      <c r="X145" s="2"/>
      <c r="Y145" s="2"/>
      <c r="Z145" s="2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0"/>
      <c r="L146" s="3"/>
      <c r="M146" s="3"/>
      <c r="N146" s="26"/>
      <c r="O146" s="26"/>
      <c r="P146" s="26"/>
      <c r="Q146" s="14"/>
      <c r="R146" s="2"/>
      <c r="S146" s="2"/>
      <c r="T146" s="2"/>
      <c r="U146" s="2"/>
      <c r="V146" s="2"/>
      <c r="W146" s="2"/>
      <c r="X146" s="2"/>
      <c r="Y146" s="2"/>
      <c r="Z146" s="2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0"/>
      <c r="L147" s="3"/>
      <c r="M147" s="3"/>
      <c r="N147" s="26"/>
      <c r="O147" s="26"/>
      <c r="P147" s="26"/>
      <c r="Q147" s="14"/>
      <c r="R147" s="2"/>
      <c r="S147" s="2"/>
      <c r="T147" s="2"/>
      <c r="U147" s="2"/>
      <c r="V147" s="2"/>
      <c r="W147" s="2"/>
      <c r="X147" s="2"/>
      <c r="Y147" s="2"/>
      <c r="Z147" s="2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0"/>
      <c r="L148" s="3"/>
      <c r="M148" s="3"/>
      <c r="N148" s="26"/>
      <c r="O148" s="26"/>
      <c r="P148" s="26"/>
      <c r="Q148" s="14"/>
      <c r="R148" s="2"/>
      <c r="S148" s="2"/>
      <c r="T148" s="2"/>
      <c r="U148" s="2"/>
      <c r="V148" s="2"/>
      <c r="W148" s="2"/>
      <c r="X148" s="2"/>
      <c r="Y148" s="2"/>
      <c r="Z148" s="2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0"/>
      <c r="L149" s="3"/>
      <c r="M149" s="3"/>
      <c r="N149" s="26"/>
      <c r="O149" s="26"/>
      <c r="P149" s="26"/>
      <c r="Q149" s="14"/>
      <c r="R149" s="2"/>
      <c r="S149" s="2"/>
      <c r="T149" s="2"/>
      <c r="U149" s="2"/>
      <c r="V149" s="2"/>
      <c r="W149" s="2"/>
      <c r="X149" s="2"/>
      <c r="Y149" s="2"/>
      <c r="Z149" s="2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0"/>
      <c r="L150" s="3"/>
      <c r="M150" s="3"/>
      <c r="N150" s="26"/>
      <c r="O150" s="26"/>
      <c r="P150" s="26"/>
      <c r="Q150" s="14"/>
      <c r="R150" s="2"/>
      <c r="S150" s="2"/>
      <c r="T150" s="2"/>
      <c r="U150" s="2"/>
      <c r="V150" s="2"/>
      <c r="W150" s="2"/>
      <c r="X150" s="2"/>
      <c r="Y150" s="2"/>
      <c r="Z150" s="2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0"/>
      <c r="L151" s="3"/>
      <c r="M151" s="3"/>
      <c r="N151" s="26"/>
      <c r="O151" s="26"/>
      <c r="P151" s="26"/>
      <c r="Q151" s="14"/>
      <c r="R151" s="2"/>
      <c r="S151" s="2"/>
      <c r="T151" s="2"/>
      <c r="U151" s="2"/>
      <c r="V151" s="2"/>
      <c r="W151" s="2"/>
      <c r="X151" s="2"/>
      <c r="Y151" s="2"/>
      <c r="Z151" s="2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0"/>
      <c r="L152" s="3"/>
      <c r="M152" s="3"/>
      <c r="N152" s="26"/>
      <c r="O152" s="26"/>
      <c r="P152" s="26"/>
      <c r="Q152" s="14"/>
      <c r="R152" s="2"/>
      <c r="S152" s="2"/>
      <c r="T152" s="2"/>
      <c r="U152" s="2"/>
      <c r="V152" s="2"/>
      <c r="W152" s="2"/>
      <c r="X152" s="2"/>
      <c r="Y152" s="2"/>
      <c r="Z152" s="2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0"/>
      <c r="L153" s="3"/>
      <c r="M153" s="3"/>
      <c r="N153" s="26"/>
      <c r="O153" s="26"/>
      <c r="P153" s="26"/>
      <c r="Q153" s="14"/>
      <c r="R153" s="2"/>
      <c r="S153" s="2"/>
      <c r="T153" s="2"/>
      <c r="U153" s="2"/>
      <c r="V153" s="2"/>
      <c r="W153" s="2"/>
      <c r="X153" s="2"/>
      <c r="Y153" s="2"/>
      <c r="Z153" s="2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0"/>
      <c r="L154" s="3"/>
      <c r="M154" s="3"/>
      <c r="N154" s="26"/>
      <c r="O154" s="26"/>
      <c r="P154" s="26"/>
      <c r="Q154" s="14"/>
      <c r="R154" s="2"/>
      <c r="S154" s="2"/>
      <c r="T154" s="2"/>
      <c r="U154" s="2"/>
      <c r="V154" s="2"/>
      <c r="W154" s="2"/>
      <c r="X154" s="2"/>
      <c r="Y154" s="2"/>
      <c r="Z154" s="2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0"/>
      <c r="L155" s="3"/>
      <c r="M155" s="3"/>
      <c r="N155" s="26"/>
      <c r="O155" s="26"/>
      <c r="P155" s="26"/>
      <c r="Q155" s="14"/>
      <c r="R155" s="2"/>
      <c r="S155" s="2"/>
      <c r="T155" s="2"/>
      <c r="U155" s="2"/>
      <c r="V155" s="2"/>
      <c r="W155" s="2"/>
      <c r="X155" s="2"/>
      <c r="Y155" s="2"/>
      <c r="Z155" s="2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0"/>
      <c r="L156" s="3"/>
      <c r="M156" s="3"/>
      <c r="N156" s="26"/>
      <c r="O156" s="26"/>
      <c r="P156" s="26"/>
      <c r="Q156" s="14"/>
      <c r="R156" s="2"/>
      <c r="S156" s="2"/>
      <c r="T156" s="2"/>
      <c r="U156" s="2"/>
      <c r="V156" s="2"/>
      <c r="W156" s="2"/>
      <c r="X156" s="2"/>
      <c r="Y156" s="2"/>
      <c r="Z156" s="2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0"/>
      <c r="L157" s="3"/>
      <c r="M157" s="3"/>
      <c r="N157" s="26"/>
      <c r="O157" s="26"/>
      <c r="P157" s="26"/>
      <c r="Q157" s="14"/>
      <c r="R157" s="2"/>
      <c r="S157" s="2"/>
      <c r="T157" s="2"/>
      <c r="U157" s="2"/>
      <c r="V157" s="2"/>
      <c r="W157" s="2"/>
      <c r="X157" s="2"/>
      <c r="Y157" s="2"/>
      <c r="Z157" s="2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0"/>
      <c r="L158" s="3"/>
      <c r="M158" s="3"/>
      <c r="N158" s="26"/>
      <c r="O158" s="26"/>
      <c r="P158" s="26"/>
      <c r="Q158" s="14"/>
      <c r="R158" s="2"/>
      <c r="S158" s="2"/>
      <c r="T158" s="2"/>
      <c r="U158" s="2"/>
      <c r="V158" s="2"/>
      <c r="W158" s="2"/>
      <c r="X158" s="2"/>
      <c r="Y158" s="2"/>
      <c r="Z158" s="2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0"/>
      <c r="L159" s="3"/>
      <c r="M159" s="3"/>
      <c r="N159" s="26"/>
      <c r="O159" s="26"/>
      <c r="P159" s="26"/>
      <c r="Q159" s="14"/>
      <c r="R159" s="2"/>
      <c r="S159" s="2"/>
      <c r="T159" s="2"/>
      <c r="U159" s="2"/>
      <c r="V159" s="2"/>
      <c r="W159" s="2"/>
      <c r="X159" s="2"/>
      <c r="Y159" s="2"/>
      <c r="Z159" s="2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0"/>
      <c r="L160" s="3"/>
      <c r="M160" s="3"/>
      <c r="N160" s="26"/>
      <c r="O160" s="26"/>
      <c r="P160" s="26"/>
      <c r="Q160" s="14"/>
      <c r="R160" s="2"/>
      <c r="S160" s="2"/>
      <c r="T160" s="2"/>
      <c r="U160" s="2"/>
      <c r="V160" s="2"/>
      <c r="W160" s="2"/>
      <c r="X160" s="2"/>
      <c r="Y160" s="2"/>
      <c r="Z160" s="2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0"/>
      <c r="L161" s="3"/>
      <c r="M161" s="3"/>
      <c r="N161" s="26"/>
      <c r="O161" s="26"/>
      <c r="P161" s="26"/>
      <c r="Q161" s="14"/>
      <c r="R161" s="2"/>
      <c r="S161" s="2"/>
      <c r="T161" s="2"/>
      <c r="U161" s="2"/>
      <c r="V161" s="2"/>
      <c r="W161" s="2"/>
      <c r="X161" s="2"/>
      <c r="Y161" s="2"/>
      <c r="Z161" s="2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0"/>
      <c r="L162" s="3"/>
      <c r="M162" s="3"/>
      <c r="N162" s="26"/>
      <c r="O162" s="26"/>
      <c r="P162" s="26"/>
      <c r="Q162" s="14"/>
      <c r="R162" s="2"/>
      <c r="S162" s="2"/>
      <c r="T162" s="2"/>
      <c r="U162" s="2"/>
      <c r="V162" s="2"/>
      <c r="W162" s="2"/>
      <c r="X162" s="2"/>
      <c r="Y162" s="2"/>
      <c r="Z162" s="2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0"/>
      <c r="L163" s="3"/>
      <c r="M163" s="3"/>
      <c r="N163" s="26"/>
      <c r="O163" s="26"/>
      <c r="P163" s="26"/>
      <c r="Q163" s="14"/>
      <c r="R163" s="2"/>
      <c r="S163" s="2"/>
      <c r="T163" s="2"/>
      <c r="U163" s="2"/>
      <c r="V163" s="2"/>
      <c r="W163" s="2"/>
      <c r="X163" s="2"/>
      <c r="Y163" s="2"/>
      <c r="Z163" s="2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0"/>
      <c r="L164" s="3"/>
      <c r="M164" s="3"/>
      <c r="N164" s="26"/>
      <c r="O164" s="26"/>
      <c r="P164" s="26"/>
      <c r="Q164" s="14"/>
      <c r="R164" s="2"/>
      <c r="S164" s="2"/>
      <c r="T164" s="2"/>
      <c r="U164" s="2"/>
      <c r="V164" s="2"/>
      <c r="W164" s="2"/>
      <c r="X164" s="2"/>
      <c r="Y164" s="2"/>
      <c r="Z164" s="2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0"/>
      <c r="L165" s="3"/>
      <c r="M165" s="3"/>
      <c r="N165" s="26"/>
      <c r="O165" s="26"/>
      <c r="P165" s="26"/>
      <c r="Q165" s="14"/>
      <c r="R165" s="2"/>
      <c r="S165" s="2"/>
      <c r="T165" s="2"/>
      <c r="U165" s="2"/>
      <c r="V165" s="2"/>
      <c r="W165" s="2"/>
      <c r="X165" s="2"/>
      <c r="Y165" s="2"/>
      <c r="Z165" s="2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0"/>
      <c r="L166" s="3"/>
      <c r="M166" s="3"/>
      <c r="N166" s="26"/>
      <c r="O166" s="26"/>
      <c r="P166" s="26"/>
      <c r="Q166" s="14"/>
      <c r="R166" s="2"/>
      <c r="S166" s="2"/>
      <c r="T166" s="2"/>
      <c r="U166" s="2"/>
      <c r="V166" s="2"/>
      <c r="W166" s="2"/>
      <c r="X166" s="2"/>
      <c r="Y166" s="2"/>
      <c r="Z166" s="2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0"/>
      <c r="L167" s="3"/>
      <c r="M167" s="3"/>
      <c r="N167" s="26"/>
      <c r="O167" s="26"/>
      <c r="P167" s="26"/>
      <c r="Q167" s="14"/>
      <c r="R167" s="2"/>
      <c r="S167" s="2"/>
      <c r="T167" s="2"/>
      <c r="U167" s="2"/>
      <c r="V167" s="2"/>
      <c r="W167" s="2"/>
      <c r="X167" s="2"/>
      <c r="Y167" s="2"/>
      <c r="Z167" s="2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0"/>
      <c r="L168" s="3"/>
      <c r="M168" s="3"/>
      <c r="N168" s="26"/>
      <c r="O168" s="26"/>
      <c r="P168" s="26"/>
      <c r="Q168" s="14"/>
      <c r="R168" s="2"/>
      <c r="S168" s="2"/>
      <c r="T168" s="2"/>
      <c r="U168" s="2"/>
      <c r="V168" s="2"/>
      <c r="W168" s="2"/>
      <c r="X168" s="2"/>
      <c r="Y168" s="2"/>
      <c r="Z168" s="2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0"/>
      <c r="L169" s="3"/>
      <c r="M169" s="3"/>
      <c r="N169" s="26"/>
      <c r="O169" s="26"/>
      <c r="P169" s="26"/>
      <c r="Q169" s="14"/>
      <c r="R169" s="2"/>
      <c r="S169" s="2"/>
      <c r="T169" s="2"/>
      <c r="U169" s="2"/>
      <c r="V169" s="2"/>
      <c r="W169" s="2"/>
      <c r="X169" s="2"/>
      <c r="Y169" s="2"/>
      <c r="Z169" s="2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0"/>
      <c r="L170" s="3"/>
      <c r="M170" s="3"/>
      <c r="N170" s="26"/>
      <c r="O170" s="26"/>
      <c r="P170" s="26"/>
      <c r="Q170" s="14"/>
      <c r="R170" s="2"/>
      <c r="S170" s="2"/>
      <c r="T170" s="2"/>
      <c r="U170" s="2"/>
      <c r="V170" s="2"/>
      <c r="W170" s="2"/>
      <c r="X170" s="2"/>
      <c r="Y170" s="2"/>
      <c r="Z170" s="2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0"/>
      <c r="L171" s="3"/>
      <c r="M171" s="3"/>
      <c r="N171" s="26"/>
      <c r="O171" s="26"/>
      <c r="P171" s="26"/>
      <c r="Q171" s="14"/>
      <c r="R171" s="2"/>
      <c r="S171" s="2"/>
      <c r="T171" s="2"/>
      <c r="U171" s="2"/>
      <c r="V171" s="2"/>
      <c r="W171" s="2"/>
      <c r="X171" s="2"/>
      <c r="Y171" s="2"/>
      <c r="Z171" s="2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0"/>
      <c r="L172" s="3"/>
      <c r="M172" s="3"/>
      <c r="N172" s="26"/>
      <c r="O172" s="26"/>
      <c r="P172" s="26"/>
      <c r="Q172" s="14"/>
      <c r="R172" s="2"/>
      <c r="S172" s="2"/>
      <c r="T172" s="2"/>
      <c r="U172" s="2"/>
      <c r="V172" s="2"/>
      <c r="W172" s="2"/>
      <c r="X172" s="2"/>
      <c r="Y172" s="2"/>
      <c r="Z172" s="2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0"/>
      <c r="L173" s="3"/>
      <c r="M173" s="3"/>
      <c r="N173" s="26"/>
      <c r="O173" s="26"/>
      <c r="P173" s="26"/>
      <c r="Q173" s="14"/>
      <c r="R173" s="2"/>
      <c r="S173" s="2"/>
      <c r="T173" s="2"/>
      <c r="U173" s="2"/>
      <c r="V173" s="2"/>
      <c r="W173" s="2"/>
      <c r="X173" s="2"/>
      <c r="Y173" s="2"/>
      <c r="Z173" s="2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0"/>
      <c r="L174" s="3"/>
      <c r="M174" s="3"/>
      <c r="N174" s="26"/>
      <c r="O174" s="26"/>
      <c r="P174" s="26"/>
      <c r="Q174" s="14"/>
      <c r="R174" s="2"/>
      <c r="S174" s="2"/>
      <c r="T174" s="2"/>
      <c r="U174" s="2"/>
      <c r="V174" s="2"/>
      <c r="W174" s="2"/>
      <c r="X174" s="2"/>
      <c r="Y174" s="2"/>
      <c r="Z174" s="2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0"/>
      <c r="L175" s="3"/>
      <c r="M175" s="3"/>
      <c r="N175" s="26"/>
      <c r="O175" s="26"/>
      <c r="P175" s="26"/>
      <c r="Q175" s="14"/>
      <c r="R175" s="2"/>
      <c r="S175" s="2"/>
      <c r="T175" s="2"/>
      <c r="U175" s="2"/>
      <c r="V175" s="2"/>
      <c r="W175" s="2"/>
      <c r="X175" s="2"/>
      <c r="Y175" s="2"/>
      <c r="Z175" s="2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0"/>
      <c r="L176" s="3"/>
      <c r="M176" s="3"/>
      <c r="N176" s="26"/>
      <c r="O176" s="26"/>
      <c r="P176" s="26"/>
      <c r="Q176" s="14"/>
      <c r="R176" s="2"/>
      <c r="S176" s="2"/>
      <c r="T176" s="2"/>
      <c r="U176" s="2"/>
      <c r="V176" s="2"/>
      <c r="W176" s="2"/>
      <c r="X176" s="2"/>
      <c r="Y176" s="2"/>
      <c r="Z176" s="2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0"/>
      <c r="L177" s="3"/>
      <c r="M177" s="3"/>
      <c r="N177" s="26"/>
      <c r="O177" s="26"/>
      <c r="P177" s="26"/>
      <c r="Q177" s="14"/>
      <c r="R177" s="2"/>
      <c r="S177" s="2"/>
      <c r="T177" s="2"/>
      <c r="U177" s="2"/>
      <c r="V177" s="2"/>
      <c r="W177" s="2"/>
      <c r="X177" s="2"/>
      <c r="Y177" s="2"/>
      <c r="Z177" s="2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0"/>
      <c r="L178" s="3"/>
      <c r="M178" s="3"/>
      <c r="N178" s="26"/>
      <c r="O178" s="26"/>
      <c r="P178" s="26"/>
      <c r="Q178" s="14"/>
      <c r="R178" s="2"/>
      <c r="S178" s="2"/>
      <c r="T178" s="2"/>
      <c r="U178" s="2"/>
      <c r="V178" s="2"/>
      <c r="W178" s="2"/>
      <c r="X178" s="2"/>
      <c r="Y178" s="2"/>
      <c r="Z178" s="2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0"/>
      <c r="L179" s="3"/>
      <c r="M179" s="3"/>
      <c r="N179" s="26"/>
      <c r="O179" s="26"/>
      <c r="P179" s="26"/>
      <c r="Q179" s="14"/>
      <c r="R179" s="2"/>
      <c r="S179" s="2"/>
      <c r="T179" s="2"/>
      <c r="U179" s="2"/>
      <c r="V179" s="2"/>
      <c r="W179" s="2"/>
      <c r="X179" s="2"/>
      <c r="Y179" s="2"/>
      <c r="Z179" s="2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0"/>
      <c r="L180" s="3"/>
      <c r="M180" s="3"/>
      <c r="N180" s="26"/>
      <c r="O180" s="26"/>
      <c r="P180" s="26"/>
      <c r="Q180" s="14"/>
      <c r="R180" s="2"/>
      <c r="S180" s="2"/>
      <c r="T180" s="2"/>
      <c r="U180" s="2"/>
      <c r="V180" s="2"/>
      <c r="W180" s="2"/>
      <c r="X180" s="2"/>
      <c r="Y180" s="2"/>
      <c r="Z180" s="2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0"/>
      <c r="L181" s="3"/>
      <c r="M181" s="3"/>
      <c r="N181" s="26"/>
      <c r="O181" s="26"/>
      <c r="P181" s="26"/>
      <c r="Q181" s="14"/>
      <c r="R181" s="2"/>
      <c r="S181" s="2"/>
      <c r="T181" s="2"/>
      <c r="U181" s="2"/>
      <c r="V181" s="2"/>
      <c r="W181" s="2"/>
      <c r="X181" s="2"/>
      <c r="Y181" s="2"/>
      <c r="Z181" s="2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0"/>
      <c r="L182" s="3"/>
      <c r="M182" s="3"/>
      <c r="N182" s="26"/>
      <c r="O182" s="26"/>
      <c r="P182" s="26"/>
      <c r="Q182" s="14"/>
      <c r="R182" s="2"/>
      <c r="S182" s="2"/>
      <c r="T182" s="2"/>
      <c r="U182" s="2"/>
      <c r="V182" s="2"/>
      <c r="W182" s="2"/>
      <c r="X182" s="2"/>
      <c r="Y182" s="2"/>
      <c r="Z182" s="2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0"/>
      <c r="L183" s="3"/>
      <c r="M183" s="3"/>
      <c r="N183" s="52"/>
      <c r="O183" s="26"/>
      <c r="P183" s="26"/>
      <c r="Q183" s="14"/>
      <c r="R183" s="2"/>
      <c r="S183" s="2"/>
      <c r="T183" s="2"/>
      <c r="U183" s="2"/>
      <c r="V183" s="2"/>
      <c r="W183" s="2"/>
      <c r="X183" s="2"/>
      <c r="Y183" s="11"/>
      <c r="Z183" s="11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0"/>
      <c r="L184" s="3"/>
      <c r="M184" s="3"/>
      <c r="N184" s="26"/>
      <c r="O184" s="26"/>
      <c r="P184" s="26"/>
      <c r="Q184" s="14"/>
      <c r="R184" s="2"/>
      <c r="S184" s="2"/>
      <c r="T184" s="2"/>
      <c r="U184" s="2"/>
      <c r="V184" s="2"/>
      <c r="W184" s="2"/>
      <c r="X184" s="2"/>
      <c r="Y184" s="2"/>
      <c r="Z184" s="2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0"/>
      <c r="L185" s="3"/>
      <c r="M185" s="3"/>
      <c r="N185" s="26"/>
      <c r="O185" s="26"/>
      <c r="P185" s="26"/>
      <c r="Q185" s="14"/>
      <c r="R185" s="2"/>
      <c r="S185" s="2"/>
      <c r="T185" s="2"/>
      <c r="U185" s="2"/>
      <c r="V185" s="2"/>
      <c r="W185" s="2"/>
      <c r="X185" s="2"/>
      <c r="Y185" s="2"/>
      <c r="Z185" s="2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0"/>
      <c r="L186" s="3"/>
      <c r="M186" s="3"/>
      <c r="N186" s="26"/>
      <c r="O186" s="26"/>
      <c r="P186" s="26"/>
      <c r="Q186" s="14"/>
      <c r="R186" s="2"/>
      <c r="S186" s="2"/>
      <c r="T186" s="2"/>
      <c r="U186" s="2"/>
      <c r="V186" s="2"/>
      <c r="W186" s="2"/>
      <c r="X186" s="2"/>
      <c r="Y186" s="2"/>
      <c r="Z186" s="2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0"/>
      <c r="L187" s="3"/>
      <c r="M187" s="3"/>
      <c r="N187" s="26"/>
      <c r="O187" s="26"/>
      <c r="P187" s="26"/>
      <c r="Q187" s="14"/>
      <c r="R187" s="2"/>
      <c r="S187" s="2"/>
      <c r="T187" s="2"/>
      <c r="U187" s="2"/>
      <c r="V187" s="2"/>
      <c r="W187" s="2"/>
      <c r="X187" s="2"/>
      <c r="Y187" s="2"/>
      <c r="Z187" s="2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0"/>
      <c r="L188" s="3"/>
      <c r="M188" s="3"/>
      <c r="N188" s="26"/>
      <c r="O188" s="26"/>
      <c r="P188" s="26"/>
      <c r="Q188" s="14"/>
      <c r="R188" s="2"/>
      <c r="S188" s="2"/>
      <c r="T188" s="2"/>
      <c r="U188" s="2"/>
      <c r="V188" s="2"/>
      <c r="W188" s="2"/>
      <c r="X188" s="2"/>
      <c r="Y188" s="2"/>
      <c r="Z188" s="2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0"/>
      <c r="L189" s="3"/>
      <c r="M189" s="3"/>
      <c r="N189" s="26"/>
      <c r="O189" s="26"/>
      <c r="P189" s="26"/>
      <c r="Q189" s="14"/>
      <c r="R189" s="2"/>
      <c r="S189" s="2"/>
      <c r="T189" s="2"/>
      <c r="U189" s="2"/>
      <c r="V189" s="2"/>
      <c r="W189" s="2"/>
      <c r="X189" s="2"/>
      <c r="Y189" s="2"/>
      <c r="Z189" s="2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0"/>
      <c r="L190" s="3"/>
      <c r="M190" s="3"/>
      <c r="N190" s="26"/>
      <c r="O190" s="26"/>
      <c r="P190" s="26"/>
      <c r="Q190" s="14"/>
      <c r="R190" s="2"/>
      <c r="S190" s="2"/>
      <c r="T190" s="2"/>
      <c r="U190" s="2"/>
      <c r="V190" s="2"/>
      <c r="W190" s="2"/>
      <c r="X190" s="2"/>
      <c r="Y190" s="2"/>
      <c r="Z190" s="2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0"/>
      <c r="L191" s="3"/>
      <c r="M191" s="3"/>
      <c r="N191" s="26"/>
      <c r="O191" s="26"/>
      <c r="P191" s="26"/>
      <c r="Q191" s="14"/>
      <c r="R191" s="2"/>
      <c r="S191" s="2"/>
      <c r="T191" s="2"/>
      <c r="U191" s="2"/>
      <c r="V191" s="2"/>
      <c r="W191" s="2"/>
      <c r="X191" s="2"/>
      <c r="Y191" s="2"/>
      <c r="Z191" s="2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0"/>
      <c r="L192" s="3"/>
      <c r="M192" s="3"/>
      <c r="N192" s="26"/>
      <c r="O192" s="26"/>
      <c r="P192" s="26"/>
      <c r="Q192" s="14"/>
      <c r="R192" s="2"/>
      <c r="S192" s="2"/>
      <c r="T192" s="2"/>
      <c r="U192" s="2"/>
      <c r="V192" s="2"/>
      <c r="W192" s="2"/>
      <c r="X192" s="2"/>
      <c r="Y192" s="2"/>
      <c r="Z192" s="2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0"/>
      <c r="L193" s="3"/>
      <c r="M193" s="3"/>
      <c r="N193" s="26"/>
      <c r="O193" s="26"/>
      <c r="P193" s="26"/>
      <c r="Q193" s="14"/>
      <c r="R193" s="2"/>
      <c r="S193" s="2"/>
      <c r="T193" s="2"/>
      <c r="U193" s="2"/>
      <c r="V193" s="2"/>
      <c r="W193" s="2"/>
      <c r="X193" s="2"/>
      <c r="Y193" s="2"/>
      <c r="Z193" s="2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0"/>
      <c r="L194" s="3"/>
      <c r="M194" s="3"/>
      <c r="N194" s="26"/>
      <c r="O194" s="26"/>
      <c r="P194" s="26"/>
      <c r="Q194" s="14"/>
      <c r="R194" s="2"/>
      <c r="S194" s="2"/>
      <c r="T194" s="2"/>
      <c r="U194" s="2"/>
      <c r="V194" s="2"/>
      <c r="W194" s="2"/>
      <c r="X194" s="2"/>
      <c r="Y194" s="2"/>
      <c r="Z194" s="2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0"/>
      <c r="L195" s="3"/>
      <c r="M195" s="3"/>
      <c r="N195" s="26"/>
      <c r="O195" s="26"/>
      <c r="P195" s="26"/>
      <c r="Q195" s="14"/>
      <c r="R195" s="2"/>
      <c r="S195" s="2"/>
      <c r="T195" s="2"/>
      <c r="U195" s="2"/>
      <c r="V195" s="2"/>
      <c r="W195" s="2"/>
      <c r="X195" s="2"/>
      <c r="Y195" s="2"/>
      <c r="Z195" s="2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0"/>
      <c r="L196" s="3"/>
      <c r="M196" s="3"/>
      <c r="N196" s="26"/>
      <c r="O196" s="26"/>
      <c r="P196" s="26"/>
      <c r="Q196" s="14"/>
      <c r="R196" s="2"/>
      <c r="S196" s="2"/>
      <c r="T196" s="2"/>
      <c r="U196" s="2"/>
      <c r="V196" s="2"/>
      <c r="W196" s="2"/>
      <c r="X196" s="2"/>
      <c r="Y196" s="2"/>
      <c r="Z196" s="2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0"/>
      <c r="L197" s="3"/>
      <c r="M197" s="3"/>
      <c r="N197" s="26"/>
      <c r="O197" s="26"/>
      <c r="P197" s="26"/>
      <c r="Q197" s="14"/>
      <c r="R197" s="2"/>
      <c r="S197" s="2"/>
      <c r="T197" s="2"/>
      <c r="U197" s="2"/>
      <c r="V197" s="2"/>
      <c r="W197" s="2"/>
      <c r="X197" s="2"/>
      <c r="Y197" s="2"/>
      <c r="Z197" s="2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0"/>
      <c r="L198" s="3"/>
      <c r="M198" s="3"/>
      <c r="N198" s="26"/>
      <c r="O198" s="26"/>
      <c r="P198" s="26"/>
      <c r="Q198" s="14"/>
      <c r="R198" s="2"/>
      <c r="S198" s="2"/>
      <c r="T198" s="2"/>
      <c r="U198" s="2"/>
      <c r="V198" s="2"/>
      <c r="W198" s="2"/>
      <c r="X198" s="2"/>
      <c r="Y198" s="2"/>
      <c r="Z198" s="2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0"/>
      <c r="L199" s="3"/>
      <c r="M199" s="3"/>
      <c r="N199" s="26"/>
      <c r="O199" s="26"/>
      <c r="P199" s="26"/>
      <c r="Q199" s="14"/>
      <c r="R199" s="2"/>
      <c r="S199" s="2"/>
      <c r="T199" s="2"/>
      <c r="U199" s="2"/>
      <c r="V199" s="2"/>
      <c r="W199" s="2"/>
      <c r="X199" s="2"/>
      <c r="Y199" s="2"/>
      <c r="Z199" s="2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0"/>
      <c r="L200" s="3"/>
      <c r="M200" s="3"/>
      <c r="N200" s="26"/>
      <c r="O200" s="26"/>
      <c r="P200" s="26"/>
      <c r="Q200" s="14"/>
      <c r="R200" s="2"/>
      <c r="S200" s="2"/>
      <c r="T200" s="2"/>
      <c r="U200" s="2"/>
      <c r="V200" s="2"/>
      <c r="W200" s="2"/>
      <c r="X200" s="2"/>
      <c r="Y200" s="2"/>
      <c r="Z200" s="2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0"/>
      <c r="L201" s="3"/>
      <c r="M201" s="3"/>
      <c r="N201" s="26"/>
      <c r="O201" s="26"/>
      <c r="P201" s="26"/>
      <c r="Q201" s="14"/>
      <c r="R201" s="2"/>
      <c r="S201" s="2"/>
      <c r="T201" s="2"/>
      <c r="U201" s="2"/>
      <c r="V201" s="2"/>
      <c r="W201" s="2"/>
      <c r="X201" s="2"/>
      <c r="Y201" s="2"/>
      <c r="Z201" s="2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0"/>
      <c r="L202" s="3"/>
      <c r="M202" s="3"/>
      <c r="N202" s="26"/>
      <c r="O202" s="26"/>
      <c r="P202" s="26"/>
      <c r="Q202" s="14"/>
      <c r="R202" s="2"/>
      <c r="S202" s="2"/>
      <c r="T202" s="2"/>
      <c r="U202" s="2"/>
      <c r="V202" s="2"/>
      <c r="W202" s="2"/>
      <c r="X202" s="2"/>
      <c r="Y202" s="2"/>
      <c r="Z202" s="2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0"/>
      <c r="L203" s="3"/>
      <c r="M203" s="3"/>
      <c r="N203" s="26"/>
      <c r="O203" s="26"/>
      <c r="P203" s="26"/>
      <c r="Q203" s="14"/>
      <c r="R203" s="2"/>
      <c r="S203" s="2"/>
      <c r="T203" s="2"/>
      <c r="U203" s="2"/>
      <c r="V203" s="2"/>
      <c r="W203" s="2"/>
      <c r="X203" s="2"/>
      <c r="Y203" s="2"/>
      <c r="Z203" s="2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0"/>
      <c r="L204" s="3"/>
      <c r="M204" s="3"/>
      <c r="N204" s="26"/>
      <c r="O204" s="26"/>
      <c r="P204" s="26"/>
      <c r="Q204" s="14"/>
      <c r="R204" s="2"/>
      <c r="S204" s="2"/>
      <c r="T204" s="2"/>
      <c r="U204" s="2"/>
      <c r="V204" s="2"/>
      <c r="W204" s="2"/>
      <c r="X204" s="2"/>
      <c r="Y204" s="2"/>
      <c r="Z204" s="2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0"/>
      <c r="L205" s="3"/>
      <c r="M205" s="3"/>
      <c r="N205" s="26"/>
      <c r="O205" s="26"/>
      <c r="P205" s="26"/>
      <c r="Q205" s="14"/>
      <c r="R205" s="2"/>
      <c r="S205" s="2"/>
      <c r="T205" s="2"/>
      <c r="U205" s="2"/>
      <c r="V205" s="2"/>
      <c r="W205" s="2"/>
      <c r="X205" s="2"/>
      <c r="Y205" s="2"/>
      <c r="Z205" s="2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0"/>
      <c r="L206" s="3"/>
      <c r="M206" s="3"/>
      <c r="N206" s="26"/>
      <c r="O206" s="26"/>
      <c r="P206" s="26"/>
      <c r="Q206" s="14"/>
      <c r="R206" s="2"/>
      <c r="S206" s="2"/>
      <c r="T206" s="2"/>
      <c r="U206" s="2"/>
      <c r="V206" s="2"/>
      <c r="W206" s="2"/>
      <c r="X206" s="2"/>
      <c r="Y206" s="2"/>
      <c r="Z206" s="2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0"/>
      <c r="L207" s="3"/>
      <c r="M207" s="3"/>
      <c r="N207" s="26"/>
      <c r="O207" s="26"/>
      <c r="P207" s="26"/>
      <c r="Q207" s="14"/>
      <c r="R207" s="2"/>
      <c r="S207" s="2"/>
      <c r="T207" s="2"/>
      <c r="U207" s="2"/>
      <c r="V207" s="2"/>
      <c r="W207" s="2"/>
      <c r="X207" s="2"/>
      <c r="Y207" s="2"/>
      <c r="Z207" s="2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0"/>
      <c r="L208" s="3"/>
      <c r="M208" s="3"/>
      <c r="N208" s="26"/>
      <c r="O208" s="26"/>
      <c r="P208" s="26"/>
      <c r="Q208" s="14"/>
      <c r="R208" s="2"/>
      <c r="S208" s="2"/>
      <c r="T208" s="2"/>
      <c r="U208" s="2"/>
      <c r="V208" s="2"/>
      <c r="W208" s="2"/>
      <c r="X208" s="2"/>
      <c r="Y208" s="2"/>
      <c r="Z208" s="2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0"/>
      <c r="L209" s="3"/>
      <c r="M209" s="3"/>
      <c r="N209" s="26"/>
      <c r="O209" s="26"/>
      <c r="P209" s="26"/>
      <c r="Q209" s="14"/>
      <c r="R209" s="2"/>
      <c r="S209" s="2"/>
      <c r="T209" s="2"/>
      <c r="U209" s="2"/>
      <c r="V209" s="2"/>
      <c r="W209" s="2"/>
      <c r="X209" s="2"/>
      <c r="Y209" s="2"/>
      <c r="Z209" s="2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0"/>
      <c r="L210" s="3"/>
      <c r="M210" s="3"/>
      <c r="N210" s="26"/>
      <c r="O210" s="26"/>
      <c r="P210" s="26"/>
      <c r="Q210" s="14"/>
      <c r="R210" s="2"/>
      <c r="S210" s="2"/>
      <c r="T210" s="2"/>
      <c r="U210" s="2"/>
      <c r="V210" s="2"/>
      <c r="W210" s="2"/>
      <c r="X210" s="2"/>
      <c r="Y210" s="2"/>
      <c r="Z210" s="2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0"/>
      <c r="L211" s="3"/>
      <c r="M211" s="3"/>
      <c r="N211" s="26"/>
      <c r="O211" s="26"/>
      <c r="P211" s="26"/>
      <c r="Q211" s="14"/>
      <c r="R211" s="2"/>
      <c r="S211" s="2"/>
      <c r="T211" s="2"/>
      <c r="U211" s="2"/>
      <c r="V211" s="2"/>
      <c r="W211" s="2"/>
      <c r="X211" s="2"/>
      <c r="Y211" s="2"/>
      <c r="Z211" s="2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0"/>
      <c r="L212" s="3"/>
      <c r="M212" s="3"/>
      <c r="N212" s="26"/>
      <c r="O212" s="26"/>
      <c r="P212" s="26"/>
      <c r="Q212" s="14"/>
      <c r="R212" s="2"/>
      <c r="S212" s="2"/>
      <c r="T212" s="2"/>
      <c r="U212" s="2"/>
      <c r="V212" s="2"/>
      <c r="W212" s="2"/>
      <c r="X212" s="2"/>
      <c r="Y212" s="2"/>
      <c r="Z212" s="2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0"/>
      <c r="L213" s="3"/>
      <c r="M213" s="3"/>
      <c r="N213" s="26"/>
      <c r="O213" s="26"/>
      <c r="P213" s="26"/>
      <c r="Q213" s="14"/>
      <c r="R213" s="2"/>
      <c r="S213" s="2"/>
      <c r="T213" s="2"/>
      <c r="U213" s="2"/>
      <c r="V213" s="2"/>
      <c r="W213" s="2"/>
      <c r="X213" s="2"/>
      <c r="Y213" s="2"/>
      <c r="Z213" s="2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0"/>
      <c r="L214" s="3"/>
      <c r="M214" s="3"/>
      <c r="N214" s="26"/>
      <c r="O214" s="26"/>
      <c r="P214" s="26"/>
      <c r="Q214" s="14"/>
      <c r="R214" s="2"/>
      <c r="S214" s="2"/>
      <c r="T214" s="2"/>
      <c r="U214" s="2"/>
      <c r="V214" s="2"/>
      <c r="W214" s="2"/>
      <c r="X214" s="2"/>
      <c r="Y214" s="2"/>
      <c r="Z214" s="2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0"/>
      <c r="L215" s="3"/>
      <c r="M215" s="3"/>
      <c r="N215" s="26"/>
      <c r="O215" s="26"/>
      <c r="P215" s="26"/>
      <c r="Q215" s="14"/>
      <c r="R215" s="2"/>
      <c r="S215" s="2"/>
      <c r="T215" s="2"/>
      <c r="U215" s="2"/>
      <c r="V215" s="2"/>
      <c r="W215" s="2"/>
      <c r="X215" s="2"/>
      <c r="Y215" s="2"/>
      <c r="Z215" s="2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0"/>
      <c r="L216" s="3"/>
      <c r="M216" s="3"/>
      <c r="N216" s="26"/>
      <c r="O216" s="26"/>
      <c r="P216" s="26"/>
      <c r="Q216" s="14"/>
      <c r="R216" s="2"/>
      <c r="S216" s="2"/>
      <c r="T216" s="2"/>
      <c r="U216" s="2"/>
      <c r="V216" s="2"/>
      <c r="W216" s="2"/>
      <c r="X216" s="2"/>
      <c r="Y216" s="2"/>
      <c r="Z216" s="2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0"/>
      <c r="L217" s="3"/>
      <c r="M217" s="3"/>
      <c r="N217" s="26"/>
      <c r="O217" s="26"/>
      <c r="P217" s="26"/>
      <c r="Q217" s="14"/>
      <c r="R217" s="2"/>
      <c r="S217" s="2"/>
      <c r="T217" s="2"/>
      <c r="U217" s="2"/>
      <c r="V217" s="2"/>
      <c r="W217" s="2"/>
      <c r="X217" s="2"/>
      <c r="Y217" s="2"/>
      <c r="Z217" s="2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0"/>
      <c r="L218" s="3"/>
      <c r="M218" s="3"/>
      <c r="N218" s="26"/>
      <c r="O218" s="26"/>
      <c r="P218" s="26"/>
      <c r="Q218" s="14"/>
      <c r="R218" s="2"/>
      <c r="S218" s="2"/>
      <c r="T218" s="2"/>
      <c r="U218" s="2"/>
      <c r="V218" s="2"/>
      <c r="W218" s="2"/>
      <c r="X218" s="2"/>
      <c r="Y218" s="2"/>
      <c r="Z218" s="2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0"/>
      <c r="L219" s="3"/>
      <c r="M219" s="3"/>
      <c r="N219" s="26"/>
      <c r="O219" s="26"/>
      <c r="P219" s="26"/>
      <c r="Q219" s="14"/>
      <c r="R219" s="2"/>
      <c r="S219" s="2"/>
      <c r="T219" s="2"/>
      <c r="U219" s="2"/>
      <c r="V219" s="2"/>
      <c r="W219" s="2"/>
      <c r="X219" s="2"/>
      <c r="Y219" s="2"/>
      <c r="Z219" s="2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0"/>
      <c r="L220" s="3"/>
      <c r="M220" s="3"/>
      <c r="N220" s="26"/>
      <c r="O220" s="26"/>
      <c r="P220" s="26"/>
      <c r="Q220" s="14"/>
      <c r="R220" s="2"/>
      <c r="S220" s="2"/>
      <c r="T220" s="2"/>
      <c r="U220" s="2"/>
      <c r="V220" s="2"/>
      <c r="W220" s="2"/>
      <c r="X220" s="2"/>
      <c r="Y220" s="2"/>
      <c r="Z220" s="2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0"/>
      <c r="L221" s="3"/>
      <c r="M221" s="3"/>
      <c r="N221" s="26"/>
      <c r="O221" s="26"/>
      <c r="P221" s="26"/>
      <c r="Q221" s="14"/>
      <c r="R221" s="2"/>
      <c r="S221" s="2"/>
      <c r="T221" s="2"/>
      <c r="U221" s="2"/>
      <c r="V221" s="2"/>
      <c r="W221" s="2"/>
      <c r="X221" s="2"/>
      <c r="Y221" s="2"/>
      <c r="Z221" s="2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0"/>
      <c r="L222" s="3"/>
      <c r="M222" s="3"/>
      <c r="N222" s="26"/>
      <c r="O222" s="26"/>
      <c r="P222" s="26"/>
      <c r="Q222" s="14"/>
      <c r="R222" s="2"/>
      <c r="S222" s="2"/>
      <c r="T222" s="2"/>
      <c r="U222" s="2"/>
      <c r="V222" s="2"/>
      <c r="W222" s="2"/>
      <c r="X222" s="2"/>
      <c r="Y222" s="2"/>
      <c r="Z222" s="2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0"/>
      <c r="L223" s="3"/>
      <c r="M223" s="3"/>
      <c r="N223" s="26"/>
      <c r="O223" s="26"/>
      <c r="P223" s="26"/>
      <c r="Q223" s="14"/>
      <c r="R223" s="2"/>
      <c r="S223" s="2"/>
      <c r="T223" s="2"/>
      <c r="U223" s="2"/>
      <c r="V223" s="2"/>
      <c r="W223" s="2"/>
      <c r="X223" s="2"/>
      <c r="Y223" s="2"/>
      <c r="Z223" s="2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0"/>
      <c r="L224" s="3"/>
      <c r="M224" s="3"/>
      <c r="N224" s="30"/>
      <c r="O224" s="30"/>
      <c r="P224" s="30"/>
      <c r="Q224" s="17"/>
      <c r="R224" s="9"/>
      <c r="S224" s="9"/>
      <c r="T224" s="9"/>
      <c r="U224" s="9"/>
      <c r="V224" s="9"/>
      <c r="W224" s="9"/>
      <c r="X224" s="9"/>
      <c r="Y224" s="9"/>
      <c r="Z224" s="9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0"/>
      <c r="L225" s="3"/>
      <c r="M225" s="3"/>
      <c r="N225" s="30"/>
      <c r="O225" s="30"/>
      <c r="P225" s="30"/>
      <c r="Q225" s="17"/>
      <c r="R225" s="9"/>
      <c r="S225" s="9"/>
      <c r="T225" s="9"/>
      <c r="U225" s="9"/>
      <c r="V225" s="9"/>
      <c r="W225" s="9"/>
      <c r="X225" s="9"/>
      <c r="Y225" s="9"/>
      <c r="Z225" s="9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0"/>
      <c r="L226" s="3"/>
      <c r="M226" s="3"/>
      <c r="N226" s="30"/>
      <c r="O226" s="30"/>
      <c r="P226" s="30"/>
      <c r="Q226" s="17"/>
      <c r="R226" s="9"/>
      <c r="S226" s="9"/>
      <c r="T226" s="9"/>
      <c r="U226" s="9"/>
      <c r="V226" s="9"/>
      <c r="W226" s="9"/>
      <c r="X226" s="9"/>
      <c r="Y226" s="9"/>
      <c r="Z226" s="9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0"/>
      <c r="L227" s="3"/>
      <c r="M227" s="3"/>
      <c r="N227" s="30"/>
      <c r="O227" s="30"/>
      <c r="P227" s="30"/>
      <c r="Q227" s="17"/>
      <c r="R227" s="9"/>
      <c r="S227" s="9"/>
      <c r="T227" s="9"/>
      <c r="U227" s="9"/>
      <c r="V227" s="9"/>
      <c r="W227" s="9"/>
      <c r="X227" s="9"/>
      <c r="Y227" s="9"/>
      <c r="Z227" s="9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0"/>
      <c r="L228" s="3"/>
      <c r="M228" s="3"/>
      <c r="N228" s="30"/>
      <c r="O228" s="30"/>
      <c r="P228" s="30"/>
      <c r="Q228" s="17"/>
      <c r="R228" s="9"/>
      <c r="S228" s="9"/>
      <c r="T228" s="9"/>
      <c r="U228" s="9"/>
      <c r="V228" s="9"/>
      <c r="W228" s="9"/>
      <c r="X228" s="9"/>
      <c r="Y228" s="9"/>
      <c r="Z228" s="9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0"/>
      <c r="L229" s="3"/>
      <c r="M229" s="3"/>
      <c r="N229" s="30"/>
      <c r="O229" s="30"/>
      <c r="P229" s="30"/>
      <c r="Q229" s="17"/>
      <c r="R229" s="9"/>
      <c r="S229" s="9"/>
      <c r="T229" s="9"/>
      <c r="U229" s="9"/>
      <c r="V229" s="9"/>
      <c r="W229" s="9"/>
      <c r="X229" s="9"/>
      <c r="Y229" s="9"/>
      <c r="Z229" s="9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0"/>
      <c r="L230" s="3"/>
      <c r="M230" s="3"/>
      <c r="N230" s="30"/>
      <c r="O230" s="30"/>
      <c r="P230" s="30"/>
      <c r="Q230" s="17"/>
      <c r="R230" s="9"/>
      <c r="S230" s="9"/>
      <c r="T230" s="9"/>
      <c r="U230" s="9"/>
      <c r="V230" s="9"/>
      <c r="W230" s="9"/>
      <c r="X230" s="9"/>
      <c r="Y230" s="9"/>
      <c r="Z230" s="9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0"/>
      <c r="L231" s="3"/>
      <c r="M231" s="3"/>
      <c r="N231" s="30"/>
      <c r="O231" s="30"/>
      <c r="P231" s="30"/>
      <c r="Q231" s="17"/>
      <c r="R231" s="9"/>
      <c r="S231" s="9"/>
      <c r="T231" s="9"/>
      <c r="U231" s="9"/>
      <c r="V231" s="9"/>
      <c r="W231" s="9"/>
      <c r="X231" s="9"/>
      <c r="Y231" s="9"/>
      <c r="Z231" s="9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0"/>
      <c r="L232" s="3"/>
      <c r="M232" s="3"/>
      <c r="N232" s="30"/>
      <c r="O232" s="30"/>
      <c r="P232" s="30"/>
      <c r="Q232" s="17"/>
      <c r="R232" s="9"/>
      <c r="S232" s="9"/>
      <c r="T232" s="9"/>
      <c r="U232" s="9"/>
      <c r="V232" s="9"/>
      <c r="W232" s="9"/>
      <c r="X232" s="9"/>
      <c r="Y232" s="9"/>
      <c r="Z232" s="9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0"/>
      <c r="L233" s="3"/>
      <c r="M233" s="3"/>
      <c r="N233" s="30"/>
      <c r="O233" s="30"/>
      <c r="P233" s="30"/>
      <c r="Q233" s="17"/>
      <c r="R233" s="9"/>
      <c r="S233" s="9"/>
      <c r="T233" s="9"/>
      <c r="U233" s="9"/>
      <c r="V233" s="9"/>
      <c r="W233" s="9"/>
      <c r="X233" s="9"/>
      <c r="Y233" s="9"/>
      <c r="Z233" s="9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0"/>
      <c r="L234" s="3"/>
      <c r="M234" s="3"/>
      <c r="N234" s="30"/>
      <c r="O234" s="30"/>
      <c r="P234" s="30"/>
      <c r="Q234" s="17"/>
      <c r="R234" s="9"/>
      <c r="S234" s="9"/>
      <c r="T234" s="9"/>
      <c r="U234" s="9"/>
      <c r="V234" s="9"/>
      <c r="W234" s="9"/>
      <c r="X234" s="9"/>
      <c r="Y234" s="9"/>
      <c r="Z234" s="9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0"/>
      <c r="L235" s="3"/>
      <c r="M235" s="3"/>
      <c r="N235" s="30"/>
      <c r="O235" s="30"/>
      <c r="P235" s="30"/>
      <c r="Q235" s="17"/>
      <c r="R235" s="9"/>
      <c r="S235" s="9"/>
      <c r="T235" s="9"/>
      <c r="U235" s="9"/>
      <c r="V235" s="9"/>
      <c r="W235" s="9"/>
      <c r="X235" s="9"/>
      <c r="Y235" s="9"/>
      <c r="Z235" s="9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0"/>
      <c r="L236" s="3"/>
      <c r="M236" s="3"/>
      <c r="N236" s="30"/>
      <c r="O236" s="30"/>
      <c r="P236" s="30"/>
      <c r="Q236" s="17"/>
      <c r="R236" s="9"/>
      <c r="S236" s="9"/>
      <c r="T236" s="9"/>
      <c r="U236" s="9"/>
      <c r="V236" s="9"/>
      <c r="W236" s="9"/>
      <c r="X236" s="9"/>
      <c r="Y236" s="9"/>
      <c r="Z236" s="9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0"/>
      <c r="L237" s="3"/>
      <c r="M237" s="3"/>
      <c r="N237" s="30"/>
      <c r="O237" s="30"/>
      <c r="P237" s="30"/>
      <c r="Q237" s="17"/>
      <c r="R237" s="9"/>
      <c r="S237" s="9"/>
      <c r="T237" s="9"/>
      <c r="U237" s="9"/>
      <c r="V237" s="9"/>
      <c r="W237" s="9"/>
      <c r="X237" s="9"/>
      <c r="Y237" s="9"/>
      <c r="Z237" s="9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0"/>
      <c r="L238" s="3"/>
      <c r="M238" s="3"/>
      <c r="N238" s="30"/>
      <c r="O238" s="30"/>
      <c r="P238" s="30"/>
      <c r="Q238" s="17"/>
      <c r="R238" s="9"/>
      <c r="S238" s="9"/>
      <c r="T238" s="9"/>
      <c r="U238" s="9"/>
      <c r="V238" s="9"/>
      <c r="W238" s="9"/>
      <c r="X238" s="9"/>
      <c r="Y238" s="9"/>
      <c r="Z238" s="9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0"/>
      <c r="L239" s="3"/>
      <c r="M239" s="3"/>
      <c r="N239" s="30"/>
      <c r="O239" s="30"/>
      <c r="P239" s="30"/>
      <c r="Q239" s="17"/>
      <c r="R239" s="9"/>
      <c r="S239" s="9"/>
      <c r="T239" s="9"/>
      <c r="U239" s="9"/>
      <c r="V239" s="9"/>
      <c r="W239" s="9"/>
      <c r="X239" s="9"/>
      <c r="Y239" s="9"/>
      <c r="Z239" s="9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0"/>
      <c r="L240" s="3"/>
      <c r="M240" s="3"/>
      <c r="N240" s="30"/>
      <c r="O240" s="30"/>
      <c r="P240" s="30"/>
      <c r="Q240" s="17"/>
      <c r="R240" s="9"/>
      <c r="S240" s="9"/>
      <c r="T240" s="9"/>
      <c r="U240" s="9"/>
      <c r="V240" s="9"/>
      <c r="W240" s="9"/>
      <c r="X240" s="9"/>
      <c r="Y240" s="9"/>
      <c r="Z240" s="9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0"/>
      <c r="L241" s="3"/>
      <c r="M241" s="3"/>
      <c r="N241" s="30"/>
      <c r="O241" s="30"/>
      <c r="P241" s="30"/>
      <c r="Q241" s="17"/>
      <c r="R241" s="9"/>
      <c r="S241" s="9"/>
      <c r="T241" s="9"/>
      <c r="U241" s="9"/>
      <c r="V241" s="9"/>
      <c r="W241" s="9"/>
      <c r="X241" s="9"/>
      <c r="Y241" s="9"/>
      <c r="Z241" s="9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0"/>
      <c r="L242" s="3"/>
      <c r="M242" s="3"/>
      <c r="N242" s="30"/>
      <c r="O242" s="30"/>
      <c r="P242" s="30"/>
      <c r="Q242" s="17"/>
      <c r="R242" s="9"/>
      <c r="S242" s="9"/>
      <c r="T242" s="9"/>
      <c r="U242" s="9"/>
      <c r="V242" s="9"/>
      <c r="W242" s="9"/>
      <c r="X242" s="9"/>
      <c r="Y242" s="9"/>
      <c r="Z242" s="9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0"/>
      <c r="L243" s="3"/>
      <c r="M243" s="3"/>
      <c r="N243" s="30"/>
      <c r="O243" s="30"/>
      <c r="P243" s="30"/>
      <c r="Q243" s="17"/>
      <c r="R243" s="9"/>
      <c r="S243" s="9"/>
      <c r="T243" s="9"/>
      <c r="U243" s="9"/>
      <c r="V243" s="9"/>
      <c r="W243" s="9"/>
      <c r="X243" s="9"/>
      <c r="Y243" s="9"/>
      <c r="Z243" s="9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0"/>
      <c r="L244" s="3"/>
      <c r="M244" s="3"/>
      <c r="N244" s="30"/>
      <c r="O244" s="30"/>
      <c r="P244" s="30"/>
      <c r="Q244" s="17"/>
      <c r="R244" s="9"/>
      <c r="S244" s="9"/>
      <c r="T244" s="9"/>
      <c r="U244" s="9"/>
      <c r="V244" s="9"/>
      <c r="W244" s="9"/>
      <c r="X244" s="9"/>
      <c r="Y244" s="9"/>
      <c r="Z244" s="9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0"/>
      <c r="L245" s="3"/>
      <c r="M245" s="3"/>
      <c r="N245" s="30"/>
      <c r="O245" s="30"/>
      <c r="P245" s="30"/>
      <c r="Q245" s="17"/>
      <c r="R245" s="9"/>
      <c r="S245" s="9"/>
      <c r="T245" s="9"/>
      <c r="U245" s="9"/>
      <c r="V245" s="9"/>
      <c r="W245" s="9"/>
      <c r="X245" s="9"/>
      <c r="Y245" s="9"/>
      <c r="Z245" s="9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0"/>
      <c r="L246" s="3"/>
      <c r="M246" s="3"/>
      <c r="N246" s="30"/>
      <c r="O246" s="30"/>
      <c r="P246" s="30"/>
      <c r="Q246" s="17"/>
      <c r="R246" s="9"/>
      <c r="S246" s="9"/>
      <c r="T246" s="9"/>
      <c r="U246" s="9"/>
      <c r="V246" s="9"/>
      <c r="W246" s="9"/>
      <c r="X246" s="9"/>
      <c r="Y246" s="9"/>
      <c r="Z246" s="9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  <row r="247" spans="1:74" s="4" customForma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0"/>
      <c r="L247" s="3"/>
      <c r="M247" s="3"/>
      <c r="N247" s="30"/>
      <c r="O247" s="30"/>
      <c r="P247" s="30"/>
      <c r="Q247" s="17"/>
      <c r="R247" s="9"/>
      <c r="S247" s="9"/>
      <c r="T247" s="9"/>
      <c r="U247" s="9"/>
      <c r="V247" s="9"/>
      <c r="W247" s="9"/>
      <c r="X247" s="9"/>
      <c r="Y247" s="9"/>
      <c r="Z247" s="9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</row>
    <row r="248" spans="1:74" s="4" customForma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0"/>
      <c r="L248" s="3"/>
      <c r="M248" s="3"/>
      <c r="N248" s="30"/>
      <c r="O248" s="30"/>
      <c r="P248" s="30"/>
      <c r="Q248" s="17"/>
      <c r="R248" s="9"/>
      <c r="S248" s="9"/>
      <c r="T248" s="9"/>
      <c r="U248" s="9"/>
      <c r="V248" s="9"/>
      <c r="W248" s="9"/>
      <c r="X248" s="9"/>
      <c r="Y248" s="9"/>
      <c r="Z248" s="9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</row>
    <row r="249" spans="1:74" s="4" customForma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0"/>
      <c r="L249" s="3"/>
      <c r="M249" s="3"/>
      <c r="N249" s="30"/>
      <c r="O249" s="30"/>
      <c r="P249" s="30"/>
      <c r="Q249" s="17"/>
      <c r="R249" s="9"/>
      <c r="S249" s="9"/>
      <c r="T249" s="9"/>
      <c r="U249" s="9"/>
      <c r="V249" s="9"/>
      <c r="W249" s="9"/>
      <c r="X249" s="9"/>
      <c r="Y249" s="9"/>
      <c r="Z249" s="9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</row>
    <row r="250" spans="1:74" s="4" customForma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0"/>
      <c r="L250" s="3"/>
      <c r="M250" s="3"/>
      <c r="N250" s="30"/>
      <c r="O250" s="30"/>
      <c r="P250" s="30"/>
      <c r="Q250" s="17"/>
      <c r="R250" s="9"/>
      <c r="S250" s="9"/>
      <c r="T250" s="9"/>
      <c r="U250" s="9"/>
      <c r="V250" s="9"/>
      <c r="W250" s="9"/>
      <c r="X250" s="9"/>
      <c r="Y250" s="9"/>
      <c r="Z250" s="9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</row>
    <row r="251" spans="1:74" s="4" customForma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0"/>
      <c r="L251" s="3"/>
      <c r="M251" s="3"/>
      <c r="N251" s="30"/>
      <c r="O251" s="30"/>
      <c r="P251" s="30"/>
      <c r="Q251" s="17"/>
      <c r="R251" s="9"/>
      <c r="S251" s="9"/>
      <c r="T251" s="9"/>
      <c r="U251" s="9"/>
      <c r="V251" s="9"/>
      <c r="W251" s="9"/>
      <c r="X251" s="9"/>
      <c r="Y251" s="9"/>
      <c r="Z251" s="9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</row>
    <row r="252" spans="1:74" s="4" customForma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0"/>
      <c r="L252" s="3"/>
      <c r="M252" s="3"/>
      <c r="N252" s="30"/>
      <c r="O252" s="30"/>
      <c r="P252" s="30"/>
      <c r="Q252" s="17"/>
      <c r="R252" s="9"/>
      <c r="S252" s="9"/>
      <c r="T252" s="9"/>
      <c r="U252" s="9"/>
      <c r="V252" s="9"/>
      <c r="W252" s="9"/>
      <c r="X252" s="9"/>
      <c r="Y252" s="9"/>
      <c r="Z252" s="9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</row>
    <row r="253" spans="1:74" s="4" customForma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0"/>
      <c r="L253" s="3"/>
      <c r="M253" s="3"/>
      <c r="N253" s="30"/>
      <c r="O253" s="30"/>
      <c r="P253" s="30"/>
      <c r="Q253" s="17"/>
      <c r="R253" s="9"/>
      <c r="S253" s="9"/>
      <c r="T253" s="9"/>
      <c r="U253" s="9"/>
      <c r="V253" s="9"/>
      <c r="W253" s="9"/>
      <c r="X253" s="9"/>
      <c r="Y253" s="9"/>
      <c r="Z253" s="9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</row>
    <row r="254" spans="1:74" s="4" customForma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0"/>
      <c r="L254" s="3"/>
      <c r="M254" s="3"/>
      <c r="N254" s="30"/>
      <c r="O254" s="30"/>
      <c r="P254" s="30"/>
      <c r="Q254" s="17"/>
      <c r="R254" s="9"/>
      <c r="S254" s="9"/>
      <c r="T254" s="9"/>
      <c r="U254" s="9"/>
      <c r="V254" s="9"/>
      <c r="W254" s="9"/>
      <c r="X254" s="9"/>
      <c r="Y254" s="9"/>
      <c r="Z254" s="9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</row>
    <row r="255" spans="1:74" s="4" customForma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0"/>
      <c r="L255" s="3"/>
      <c r="M255" s="3"/>
      <c r="N255" s="30"/>
      <c r="O255" s="30"/>
      <c r="P255" s="30"/>
      <c r="Q255" s="17"/>
      <c r="R255" s="9"/>
      <c r="S255" s="9"/>
      <c r="T255" s="9"/>
      <c r="U255" s="9"/>
      <c r="V255" s="9"/>
      <c r="W255" s="9"/>
      <c r="X255" s="9"/>
      <c r="Y255" s="9"/>
      <c r="Z255" s="9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</row>
    <row r="256" spans="1:74" s="4" customForma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0"/>
      <c r="L256" s="3"/>
      <c r="M256" s="3"/>
      <c r="N256" s="30"/>
      <c r="O256" s="30"/>
      <c r="P256" s="30"/>
      <c r="Q256" s="17"/>
      <c r="R256" s="9"/>
      <c r="S256" s="9"/>
      <c r="T256" s="9"/>
      <c r="U256" s="9"/>
      <c r="V256" s="9"/>
      <c r="W256" s="9"/>
      <c r="X256" s="9"/>
      <c r="Y256" s="9"/>
      <c r="Z256" s="9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</row>
    <row r="257" spans="1:74" s="4" customForma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0"/>
      <c r="L257" s="3"/>
      <c r="M257" s="3"/>
      <c r="N257" s="30"/>
      <c r="O257" s="30"/>
      <c r="P257" s="30"/>
      <c r="Q257" s="17"/>
      <c r="R257" s="9"/>
      <c r="S257" s="9"/>
      <c r="T257" s="9"/>
      <c r="U257" s="9"/>
      <c r="V257" s="9"/>
      <c r="W257" s="9"/>
      <c r="X257" s="9"/>
      <c r="Y257" s="9"/>
      <c r="Z257" s="9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</row>
    <row r="258" spans="1:74" s="4" customForma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0"/>
      <c r="L258" s="3"/>
      <c r="M258" s="3"/>
      <c r="N258" s="30"/>
      <c r="O258" s="30"/>
      <c r="P258" s="30"/>
      <c r="Q258" s="17"/>
      <c r="R258" s="9"/>
      <c r="S258" s="9"/>
      <c r="T258" s="9"/>
      <c r="U258" s="9"/>
      <c r="V258" s="9"/>
      <c r="W258" s="9"/>
      <c r="X258" s="9"/>
      <c r="Y258" s="9"/>
      <c r="Z258" s="9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</row>
    <row r="259" spans="1:74" s="4" customForma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0"/>
      <c r="L259" s="3"/>
      <c r="M259" s="3"/>
      <c r="N259" s="30"/>
      <c r="O259" s="30"/>
      <c r="P259" s="30"/>
      <c r="Q259" s="17"/>
      <c r="R259" s="9"/>
      <c r="S259" s="9"/>
      <c r="T259" s="9"/>
      <c r="U259" s="9"/>
      <c r="V259" s="9"/>
      <c r="W259" s="9"/>
      <c r="X259" s="9"/>
      <c r="Y259" s="9"/>
      <c r="Z259" s="9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</row>
    <row r="260" spans="1:74" s="4" customForma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0"/>
      <c r="L260" s="3"/>
      <c r="M260" s="3"/>
      <c r="N260" s="30"/>
      <c r="O260" s="30"/>
      <c r="P260" s="30"/>
      <c r="Q260" s="17"/>
      <c r="R260" s="9"/>
      <c r="S260" s="9"/>
      <c r="T260" s="9"/>
      <c r="U260" s="9"/>
      <c r="V260" s="9"/>
      <c r="W260" s="9"/>
      <c r="X260" s="9"/>
      <c r="Y260" s="9"/>
      <c r="Z260" s="9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</row>
    <row r="261" spans="1:74" s="4" customForma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0"/>
      <c r="L261" s="3"/>
      <c r="M261" s="3"/>
      <c r="N261" s="30"/>
      <c r="O261" s="30"/>
      <c r="P261" s="30"/>
      <c r="Q261" s="17"/>
      <c r="R261" s="9"/>
      <c r="S261" s="9"/>
      <c r="T261" s="9"/>
      <c r="U261" s="9"/>
      <c r="V261" s="9"/>
      <c r="W261" s="9"/>
      <c r="X261" s="9"/>
      <c r="Y261" s="9"/>
      <c r="Z261" s="9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</row>
    <row r="262" spans="1:74" s="4" customForma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0"/>
      <c r="L262" s="3"/>
      <c r="M262" s="3"/>
      <c r="N262" s="30"/>
      <c r="O262" s="30"/>
      <c r="P262" s="30"/>
      <c r="Q262" s="17"/>
      <c r="R262" s="9"/>
      <c r="S262" s="9"/>
      <c r="T262" s="9"/>
      <c r="U262" s="9"/>
      <c r="V262" s="9"/>
      <c r="W262" s="9"/>
      <c r="X262" s="9"/>
      <c r="Y262" s="9"/>
      <c r="Z262" s="9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</row>
    <row r="263" spans="1:74" s="4" customForma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0"/>
      <c r="L263" s="3"/>
      <c r="M263" s="3"/>
      <c r="N263" s="30"/>
      <c r="O263" s="30"/>
      <c r="P263" s="30"/>
      <c r="Q263" s="17"/>
      <c r="R263" s="9"/>
      <c r="S263" s="9"/>
      <c r="T263" s="9"/>
      <c r="U263" s="9"/>
      <c r="V263" s="9"/>
      <c r="W263" s="9"/>
      <c r="X263" s="9"/>
      <c r="Y263" s="9"/>
      <c r="Z263" s="9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</row>
    <row r="264" spans="1:74" s="4" customForma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0"/>
      <c r="L264" s="3"/>
      <c r="M264" s="3"/>
      <c r="N264" s="30"/>
      <c r="O264" s="30"/>
      <c r="P264" s="30"/>
      <c r="Q264" s="17"/>
      <c r="R264" s="9"/>
      <c r="S264" s="9"/>
      <c r="T264" s="9"/>
      <c r="U264" s="9"/>
      <c r="V264" s="9"/>
      <c r="W264" s="9"/>
      <c r="X264" s="9"/>
      <c r="Y264" s="9"/>
      <c r="Z264" s="9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</row>
    <row r="265" spans="1:74" s="4" customForma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0"/>
      <c r="L265" s="3"/>
      <c r="M265" s="3"/>
      <c r="N265" s="30"/>
      <c r="O265" s="30"/>
      <c r="P265" s="30"/>
      <c r="Q265" s="17"/>
      <c r="R265" s="9"/>
      <c r="S265" s="9"/>
      <c r="T265" s="9"/>
      <c r="U265" s="9"/>
      <c r="V265" s="9"/>
      <c r="W265" s="9"/>
      <c r="X265" s="9"/>
      <c r="Y265" s="9"/>
      <c r="Z265" s="9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</row>
    <row r="266" spans="1:74" s="4" customForma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0"/>
      <c r="L266" s="3"/>
      <c r="M266" s="3"/>
      <c r="N266" s="30"/>
      <c r="O266" s="30"/>
      <c r="P266" s="30"/>
      <c r="Q266" s="17"/>
      <c r="R266" s="9"/>
      <c r="S266" s="9"/>
      <c r="T266" s="9"/>
      <c r="U266" s="9"/>
      <c r="V266" s="9"/>
      <c r="W266" s="9"/>
      <c r="X266" s="9"/>
      <c r="Y266" s="9"/>
      <c r="Z266" s="9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</row>
    <row r="267" spans="1:74" s="4" customForma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0"/>
      <c r="L267" s="3"/>
      <c r="M267" s="3"/>
      <c r="N267" s="30"/>
      <c r="O267" s="30"/>
      <c r="P267" s="30"/>
      <c r="Q267" s="17"/>
      <c r="R267" s="9"/>
      <c r="S267" s="9"/>
      <c r="T267" s="9"/>
      <c r="U267" s="9"/>
      <c r="V267" s="9"/>
      <c r="W267" s="9"/>
      <c r="X267" s="9"/>
      <c r="Y267" s="9"/>
      <c r="Z267" s="9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</row>
    <row r="268" spans="1:74" s="4" customForma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0"/>
      <c r="L268" s="3"/>
      <c r="M268" s="3"/>
      <c r="N268" s="30"/>
      <c r="O268" s="30"/>
      <c r="P268" s="30"/>
      <c r="Q268" s="17"/>
      <c r="R268" s="9"/>
      <c r="S268" s="9"/>
      <c r="T268" s="9"/>
      <c r="U268" s="9"/>
      <c r="V268" s="9"/>
      <c r="W268" s="9"/>
      <c r="X268" s="9"/>
      <c r="Y268" s="9"/>
      <c r="Z268" s="9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B560-F6CF-4741-AC7E-D0B33AC58820}">
  <dimension ref="A1:BV259"/>
  <sheetViews>
    <sheetView topLeftCell="L1" zoomScaleNormal="100" workbookViewId="0">
      <selection activeCell="Y75" sqref="Y75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0" customWidth="1"/>
    <col min="12" max="12" width="20.88671875" style="1" customWidth="1"/>
    <col min="13" max="13" width="28.109375" style="1" customWidth="1"/>
    <col min="14" max="15" width="20.6640625" style="30" customWidth="1"/>
    <col min="16" max="16" width="36.33203125" style="30" customWidth="1"/>
    <col min="17" max="17" width="23.21875" style="9" customWidth="1"/>
    <col min="18" max="18" width="30.88671875" style="9" customWidth="1"/>
    <col min="19" max="19" width="33.109375" style="9" customWidth="1"/>
    <col min="20" max="24" width="20.6640625" style="9" customWidth="1"/>
    <col min="25" max="25" width="49.77734375" style="9" customWidth="1"/>
    <col min="26" max="26" width="52.5546875" style="9" customWidth="1"/>
    <col min="27" max="16384" width="8.88671875" style="7"/>
  </cols>
  <sheetData>
    <row r="1" spans="1:26" s="28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13" t="s">
        <v>10</v>
      </c>
      <c r="M1" s="13" t="s">
        <v>41</v>
      </c>
      <c r="N1" s="29" t="s">
        <v>9</v>
      </c>
      <c r="O1" s="29" t="s">
        <v>34</v>
      </c>
      <c r="P1" s="29" t="s">
        <v>36</v>
      </c>
      <c r="Q1" s="24" t="s">
        <v>14</v>
      </c>
      <c r="R1" s="23" t="s">
        <v>26</v>
      </c>
      <c r="S1" s="23" t="s">
        <v>13</v>
      </c>
      <c r="T1" s="23" t="s">
        <v>27</v>
      </c>
      <c r="U1" s="23" t="s">
        <v>28</v>
      </c>
      <c r="V1" s="23" t="s">
        <v>15</v>
      </c>
      <c r="W1" s="23" t="s">
        <v>16</v>
      </c>
      <c r="X1" s="23" t="s">
        <v>29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16.28217821782178</v>
      </c>
      <c r="L2" s="1">
        <f>(K2/1000000)</f>
        <v>1.6282178217821781E-5</v>
      </c>
      <c r="M2" s="1">
        <f>(3.142*3.07*3.07*25.4*25.4)/(4*1000000)</f>
        <v>4.7762865441819992E-3</v>
      </c>
      <c r="N2" s="26">
        <f>(L2*J2)/M2</f>
        <v>6.8604758728432632E-8</v>
      </c>
      <c r="O2" s="26">
        <f>(2.032/1000)</f>
        <v>2.032E-3</v>
      </c>
      <c r="P2" s="26">
        <v>7.0840480334740597E-11</v>
      </c>
      <c r="Q2" s="2">
        <v>0.05</v>
      </c>
      <c r="R2" s="2">
        <f>(1+Q2)*100000*1</f>
        <v>105000</v>
      </c>
      <c r="S2" s="2">
        <f>(SQRT(R2)-(N2*O2/P2))^2</f>
        <v>103728.54686794932</v>
      </c>
      <c r="T2" s="2">
        <f>(S2)</f>
        <v>103728.54686794932</v>
      </c>
      <c r="U2" s="2">
        <f>(5.19402087617513/1000)</f>
        <v>5.1940208761751296E-3</v>
      </c>
      <c r="V2" s="2">
        <v>0.12</v>
      </c>
      <c r="W2" s="2">
        <f>(1+V2)*100000</f>
        <v>112000.00000000001</v>
      </c>
      <c r="X2" s="2">
        <f>(L2*W2)</f>
        <v>1.8236039603960397</v>
      </c>
      <c r="Y2" s="2">
        <f>(N2*U2)/(T2-X2)</f>
        <v>3.4353205984686363E-15</v>
      </c>
      <c r="Z2" s="2">
        <f>(Y2*6.022E+23)</f>
        <v>2068750064.3978128</v>
      </c>
    </row>
    <row r="3" spans="1:26" x14ac:dyDescent="0.25">
      <c r="A3" s="1">
        <v>3</v>
      </c>
      <c r="B3" s="1">
        <f t="shared" ref="B3:B66" si="1">(A3/60)</f>
        <v>0.05</v>
      </c>
      <c r="C3" s="1">
        <v>20</v>
      </c>
      <c r="D3" s="1">
        <f t="shared" si="0"/>
        <v>29.146000000000001</v>
      </c>
      <c r="E3" s="1">
        <f t="shared" ref="E3:E66" si="2">(D3/(1000000*60))</f>
        <v>4.8576666666666667E-7</v>
      </c>
      <c r="F3" s="1">
        <v>21.1</v>
      </c>
      <c r="G3" s="1">
        <f t="shared" ref="G3:G66" si="3">(273+F3)</f>
        <v>294.10000000000002</v>
      </c>
      <c r="H3" s="1">
        <v>101.3</v>
      </c>
      <c r="I3" s="1">
        <f t="shared" ref="I3:I66" si="4">(H3*1000)</f>
        <v>101300</v>
      </c>
      <c r="J3" s="1">
        <f t="shared" ref="J3:J66" si="5">((I3*E3)/(8.314*G3))</f>
        <v>2.0124824921938581E-5</v>
      </c>
      <c r="K3" s="20">
        <v>19.82178217821782</v>
      </c>
      <c r="L3" s="1">
        <f t="shared" ref="L3:L66" si="6">(K3/1000000)</f>
        <v>1.982178217821782E-5</v>
      </c>
      <c r="M3" s="1">
        <f t="shared" ref="M3:M66" si="7">(3.142*3.07*3.07*25.4*25.4)/(4*1000000)</f>
        <v>4.7762865441819992E-3</v>
      </c>
      <c r="N3" s="26">
        <f t="shared" ref="N3:N66" si="8">(L3*J3)/M3</f>
        <v>8.3518836712874505E-8</v>
      </c>
      <c r="O3" s="26">
        <f t="shared" ref="O3:O66" si="9">(2.032/1000)</f>
        <v>2.032E-3</v>
      </c>
      <c r="P3" s="26">
        <v>7.0840480334740597E-11</v>
      </c>
      <c r="Q3" s="2">
        <v>0.05</v>
      </c>
      <c r="R3" s="2">
        <f t="shared" ref="R3:R66" si="10">(1+Q3)*100000*1</f>
        <v>105000</v>
      </c>
      <c r="S3" s="2">
        <f t="shared" ref="S3:S66" si="11">(SQRT(R3)-(N3*O3/P3))^2</f>
        <v>103453.16887484517</v>
      </c>
      <c r="T3" s="2">
        <f t="shared" ref="T3:T66" si="12">(S3)</f>
        <v>103453.16887484517</v>
      </c>
      <c r="U3" s="2">
        <f t="shared" ref="U3:U66" si="13">(5.19402087617513/1000)</f>
        <v>5.1940208761751296E-3</v>
      </c>
      <c r="V3" s="2">
        <v>0.12</v>
      </c>
      <c r="W3" s="2">
        <f t="shared" ref="W3:W66" si="14">(1+V3)*100000</f>
        <v>112000.00000000001</v>
      </c>
      <c r="X3" s="2">
        <f t="shared" ref="X3:X66" si="15">(L3*W3)</f>
        <v>2.2200396039603962</v>
      </c>
      <c r="Y3" s="2">
        <f t="shared" ref="Y3:Y66" si="16">(N3*U3)/(T3-X3)</f>
        <v>4.1932779382372932E-15</v>
      </c>
      <c r="Z3" s="2">
        <f t="shared" ref="Z3:Z66" si="17">(Y3*6.022E+23)</f>
        <v>2525191974.406498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17.445544554455445</v>
      </c>
      <c r="L4" s="1">
        <f t="shared" si="6"/>
        <v>1.7445544554455446E-5</v>
      </c>
      <c r="M4" s="1">
        <f t="shared" si="7"/>
        <v>4.7762865441819992E-3</v>
      </c>
      <c r="N4" s="26">
        <f t="shared" si="8"/>
        <v>7.3506588555486945E-8</v>
      </c>
      <c r="O4" s="26">
        <f t="shared" si="9"/>
        <v>2.032E-3</v>
      </c>
      <c r="P4" s="26">
        <v>7.0840480334740597E-11</v>
      </c>
      <c r="Q4" s="2">
        <v>0.05</v>
      </c>
      <c r="R4" s="2">
        <f t="shared" si="10"/>
        <v>105000</v>
      </c>
      <c r="S4" s="2">
        <f t="shared" si="11"/>
        <v>103637.99763633129</v>
      </c>
      <c r="T4" s="2">
        <f t="shared" si="12"/>
        <v>103637.99763633129</v>
      </c>
      <c r="U4" s="2">
        <f t="shared" si="13"/>
        <v>5.1940208761751296E-3</v>
      </c>
      <c r="V4" s="2">
        <v>0.12</v>
      </c>
      <c r="W4" s="2">
        <f t="shared" si="14"/>
        <v>112000.00000000001</v>
      </c>
      <c r="X4" s="2">
        <f t="shared" si="15"/>
        <v>1.9539009900990103</v>
      </c>
      <c r="Y4" s="2">
        <f t="shared" si="16"/>
        <v>3.6839958544598345E-15</v>
      </c>
      <c r="Z4" s="2">
        <f t="shared" si="17"/>
        <v>2218502303.5557122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12.519801980198022</v>
      </c>
      <c r="L5" s="1">
        <f t="shared" si="6"/>
        <v>1.2519801980198022E-5</v>
      </c>
      <c r="M5" s="1">
        <f t="shared" si="7"/>
        <v>4.7762865441819992E-3</v>
      </c>
      <c r="N5" s="26">
        <f t="shared" si="8"/>
        <v>5.2752032479235676E-8</v>
      </c>
      <c r="O5" s="26">
        <f t="shared" si="9"/>
        <v>2.032E-3</v>
      </c>
      <c r="P5" s="26">
        <v>7.0840480334740597E-11</v>
      </c>
      <c r="Q5" s="2">
        <v>0.05</v>
      </c>
      <c r="R5" s="2">
        <f t="shared" si="10"/>
        <v>105000</v>
      </c>
      <c r="S5" s="2">
        <f t="shared" si="11"/>
        <v>104021.65764461657</v>
      </c>
      <c r="T5" s="2">
        <f t="shared" si="12"/>
        <v>104021.65764461657</v>
      </c>
      <c r="U5" s="2">
        <f t="shared" si="13"/>
        <v>5.1940208761751296E-3</v>
      </c>
      <c r="V5" s="2">
        <v>0.12</v>
      </c>
      <c r="W5" s="2">
        <f t="shared" si="14"/>
        <v>112000.00000000001</v>
      </c>
      <c r="X5" s="2">
        <f t="shared" si="15"/>
        <v>1.4022178217821786</v>
      </c>
      <c r="Y5" s="2">
        <f t="shared" si="16"/>
        <v>2.6340558080117889E-15</v>
      </c>
      <c r="Z5" s="2">
        <f t="shared" si="17"/>
        <v>1586228407.5846994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19.202970297029704</v>
      </c>
      <c r="L6" s="1">
        <f t="shared" si="6"/>
        <v>1.9202970297029705E-5</v>
      </c>
      <c r="M6" s="1">
        <f t="shared" si="7"/>
        <v>4.7762865441819992E-3</v>
      </c>
      <c r="N6" s="26">
        <f t="shared" si="8"/>
        <v>8.0911480421888168E-8</v>
      </c>
      <c r="O6" s="26">
        <f t="shared" si="9"/>
        <v>2.032E-3</v>
      </c>
      <c r="P6" s="26">
        <v>7.0840480334740597E-11</v>
      </c>
      <c r="Q6" s="2">
        <v>0.05</v>
      </c>
      <c r="R6" s="2">
        <f t="shared" si="10"/>
        <v>105000</v>
      </c>
      <c r="S6" s="2">
        <f t="shared" si="11"/>
        <v>103501.28547921947</v>
      </c>
      <c r="T6" s="2">
        <f t="shared" si="12"/>
        <v>103501.28547921947</v>
      </c>
      <c r="U6" s="2">
        <f t="shared" si="13"/>
        <v>5.1940208761751296E-3</v>
      </c>
      <c r="V6" s="2">
        <v>0.12</v>
      </c>
      <c r="W6" s="2">
        <f t="shared" si="14"/>
        <v>112000.00000000001</v>
      </c>
      <c r="X6" s="2">
        <f t="shared" si="15"/>
        <v>2.1507326732673273</v>
      </c>
      <c r="Y6" s="2">
        <f t="shared" si="16"/>
        <v>4.0604776016984677E-15</v>
      </c>
      <c r="Z6" s="2">
        <f t="shared" si="17"/>
        <v>2445219611.7428174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18.410891089108912</v>
      </c>
      <c r="L7" s="1">
        <f t="shared" si="6"/>
        <v>1.8410891089108912E-5</v>
      </c>
      <c r="M7" s="1">
        <f>(3.142*3.07*3.07*25.4*25.4)/(4*1000000)</f>
        <v>4.7762865441819992E-3</v>
      </c>
      <c r="N7" s="26">
        <f t="shared" si="8"/>
        <v>7.7574064369425649E-8</v>
      </c>
      <c r="O7" s="26">
        <f t="shared" si="9"/>
        <v>2.032E-3</v>
      </c>
      <c r="P7" s="26">
        <v>7.0840480334740597E-11</v>
      </c>
      <c r="Q7" s="2">
        <v>0.05</v>
      </c>
      <c r="R7" s="2">
        <f t="shared" si="10"/>
        <v>105000</v>
      </c>
      <c r="S7" s="2">
        <f t="shared" si="11"/>
        <v>103562.89105694658</v>
      </c>
      <c r="T7" s="2">
        <f t="shared" si="12"/>
        <v>103562.89105694658</v>
      </c>
      <c r="U7" s="2">
        <f t="shared" si="13"/>
        <v>5.1940208761751296E-3</v>
      </c>
      <c r="V7" s="2">
        <v>0.12</v>
      </c>
      <c r="W7" s="2">
        <f t="shared" si="14"/>
        <v>112000.00000000001</v>
      </c>
      <c r="X7" s="2">
        <f t="shared" si="15"/>
        <v>2.0620198019801985</v>
      </c>
      <c r="Y7" s="2">
        <f t="shared" si="16"/>
        <v>3.8906728879124035E-15</v>
      </c>
      <c r="Z7" s="2">
        <f t="shared" si="17"/>
        <v>2342963213.1008496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14.450495049504951</v>
      </c>
      <c r="L8" s="1">
        <f t="shared" si="6"/>
        <v>1.4450495049504952E-5</v>
      </c>
      <c r="M8" s="1">
        <f t="shared" si="7"/>
        <v>4.7762865441819992E-3</v>
      </c>
      <c r="N8" s="26">
        <f t="shared" si="8"/>
        <v>6.0886984107113063E-8</v>
      </c>
      <c r="O8" s="26">
        <f t="shared" si="9"/>
        <v>2.032E-3</v>
      </c>
      <c r="P8" s="26">
        <v>7.0840480334740597E-11</v>
      </c>
      <c r="Q8" s="2">
        <v>0.05</v>
      </c>
      <c r="R8" s="2">
        <f t="shared" si="10"/>
        <v>105000</v>
      </c>
      <c r="S8" s="2">
        <f t="shared" si="11"/>
        <v>103871.19387826388</v>
      </c>
      <c r="T8" s="2">
        <f t="shared" si="12"/>
        <v>103871.19387826388</v>
      </c>
      <c r="U8" s="2">
        <f t="shared" si="13"/>
        <v>5.1940208761751296E-3</v>
      </c>
      <c r="V8" s="2">
        <v>0.12</v>
      </c>
      <c r="W8" s="2">
        <f t="shared" si="14"/>
        <v>112000.00000000001</v>
      </c>
      <c r="X8" s="2">
        <f t="shared" si="15"/>
        <v>1.6184554455445548</v>
      </c>
      <c r="Y8" s="2">
        <f t="shared" si="16"/>
        <v>3.0446669802234926E-15</v>
      </c>
      <c r="Z8" s="2">
        <f t="shared" si="17"/>
        <v>1833498455.4905872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14.128712871287128</v>
      </c>
      <c r="L9" s="1">
        <f t="shared" si="6"/>
        <v>1.4128712871287128E-5</v>
      </c>
      <c r="M9" s="1">
        <f t="shared" si="7"/>
        <v>4.7762865441819992E-3</v>
      </c>
      <c r="N9" s="26">
        <f t="shared" si="8"/>
        <v>5.9531158835800155E-8</v>
      </c>
      <c r="O9" s="26">
        <f t="shared" si="9"/>
        <v>2.032E-3</v>
      </c>
      <c r="P9" s="26">
        <v>7.0840480334740597E-11</v>
      </c>
      <c r="Q9" s="2">
        <v>0.05</v>
      </c>
      <c r="R9" s="2">
        <f t="shared" si="10"/>
        <v>105000</v>
      </c>
      <c r="S9" s="2">
        <f t="shared" si="11"/>
        <v>103896.26361021734</v>
      </c>
      <c r="T9" s="2">
        <f t="shared" si="12"/>
        <v>103896.26361021734</v>
      </c>
      <c r="U9" s="2">
        <f t="shared" si="13"/>
        <v>5.1940208761751296E-3</v>
      </c>
      <c r="V9" s="2">
        <v>0.12</v>
      </c>
      <c r="W9" s="2">
        <f t="shared" si="14"/>
        <v>112000.00000000001</v>
      </c>
      <c r="X9" s="2">
        <f t="shared" si="15"/>
        <v>1.5824158415841585</v>
      </c>
      <c r="Y9" s="2">
        <f t="shared" si="16"/>
        <v>2.9761492910070367E-15</v>
      </c>
      <c r="Z9" s="2">
        <f t="shared" si="17"/>
        <v>1792237103.0444376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16.306930693069305</v>
      </c>
      <c r="L10" s="1">
        <f t="shared" si="6"/>
        <v>1.6306930693069303E-5</v>
      </c>
      <c r="M10" s="1">
        <f t="shared" si="7"/>
        <v>4.7762865441819992E-3</v>
      </c>
      <c r="N10" s="26">
        <f t="shared" si="8"/>
        <v>6.8709052980072071E-8</v>
      </c>
      <c r="O10" s="26">
        <f t="shared" si="9"/>
        <v>2.032E-3</v>
      </c>
      <c r="P10" s="26">
        <v>7.0840480334740597E-11</v>
      </c>
      <c r="Q10" s="2">
        <v>0.05</v>
      </c>
      <c r="R10" s="2">
        <f t="shared" si="10"/>
        <v>105000</v>
      </c>
      <c r="S10" s="2">
        <f t="shared" si="11"/>
        <v>103726.61987687016</v>
      </c>
      <c r="T10" s="2">
        <f t="shared" si="12"/>
        <v>103726.61987687016</v>
      </c>
      <c r="U10" s="2">
        <f t="shared" si="13"/>
        <v>5.1940208761751296E-3</v>
      </c>
      <c r="V10" s="2">
        <v>0.12</v>
      </c>
      <c r="W10" s="2">
        <f t="shared" si="14"/>
        <v>112000.00000000001</v>
      </c>
      <c r="X10" s="2">
        <f t="shared" si="15"/>
        <v>1.8263762376237622</v>
      </c>
      <c r="Y10" s="2">
        <f t="shared" si="16"/>
        <v>3.440607047904521E-15</v>
      </c>
      <c r="Z10" s="2">
        <f t="shared" si="17"/>
        <v>2071933564.2481027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19.747524752475247</v>
      </c>
      <c r="L11" s="1">
        <f t="shared" si="6"/>
        <v>1.9747524752475247E-5</v>
      </c>
      <c r="M11" s="1">
        <f t="shared" si="7"/>
        <v>4.7762865441819992E-3</v>
      </c>
      <c r="N11" s="26">
        <f t="shared" si="8"/>
        <v>8.3205953957956133E-8</v>
      </c>
      <c r="O11" s="26">
        <f t="shared" si="9"/>
        <v>2.032E-3</v>
      </c>
      <c r="P11" s="26">
        <v>7.0840480334740597E-11</v>
      </c>
      <c r="Q11" s="2">
        <v>0.05</v>
      </c>
      <c r="R11" s="2">
        <f t="shared" si="10"/>
        <v>105000</v>
      </c>
      <c r="S11" s="2">
        <f t="shared" si="11"/>
        <v>103458.94227669439</v>
      </c>
      <c r="T11" s="2">
        <f t="shared" si="12"/>
        <v>103458.94227669439</v>
      </c>
      <c r="U11" s="2">
        <f t="shared" si="13"/>
        <v>5.1940208761751296E-3</v>
      </c>
      <c r="V11" s="2">
        <v>0.12</v>
      </c>
      <c r="W11" s="2">
        <f t="shared" si="14"/>
        <v>112000.00000000001</v>
      </c>
      <c r="X11" s="2">
        <f t="shared" si="15"/>
        <v>2.2117227722772279</v>
      </c>
      <c r="Y11" s="2">
        <f t="shared" si="16"/>
        <v>4.1773353900299414E-15</v>
      </c>
      <c r="Z11" s="2">
        <f t="shared" si="17"/>
        <v>2515591371.8760309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24.227722772277225</v>
      </c>
      <c r="L12" s="1">
        <f t="shared" si="6"/>
        <v>2.4227722772277226E-5</v>
      </c>
      <c r="M12" s="1">
        <f t="shared" si="7"/>
        <v>4.7762865441819992E-3</v>
      </c>
      <c r="N12" s="26">
        <f t="shared" si="8"/>
        <v>1.0208321350469726E-7</v>
      </c>
      <c r="O12" s="26">
        <f t="shared" si="9"/>
        <v>2.032E-3</v>
      </c>
      <c r="P12" s="26">
        <v>7.0840480334740597E-11</v>
      </c>
      <c r="Q12" s="2">
        <v>0.05</v>
      </c>
      <c r="R12" s="2">
        <f t="shared" si="10"/>
        <v>105000</v>
      </c>
      <c r="S12" s="2">
        <f t="shared" si="11"/>
        <v>103110.90203768722</v>
      </c>
      <c r="T12" s="2">
        <f t="shared" si="12"/>
        <v>103110.90203768722</v>
      </c>
      <c r="U12" s="2">
        <f t="shared" si="13"/>
        <v>5.1940208761751296E-3</v>
      </c>
      <c r="V12" s="2">
        <v>0.12</v>
      </c>
      <c r="W12" s="2">
        <f t="shared" si="14"/>
        <v>112000.00000000001</v>
      </c>
      <c r="X12" s="2">
        <f t="shared" si="15"/>
        <v>2.7135049504950497</v>
      </c>
      <c r="Y12" s="2">
        <f t="shared" si="16"/>
        <v>5.1423882971437861E-15</v>
      </c>
      <c r="Z12" s="2">
        <f t="shared" si="17"/>
        <v>3096746232.539988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24.945544554455449</v>
      </c>
      <c r="L13" s="1">
        <f t="shared" si="6"/>
        <v>2.4945544554455449E-5</v>
      </c>
      <c r="M13" s="1">
        <f t="shared" si="7"/>
        <v>4.7762865441819992E-3</v>
      </c>
      <c r="N13" s="26">
        <f t="shared" si="8"/>
        <v>1.0510774680224143E-7</v>
      </c>
      <c r="O13" s="26">
        <f t="shared" si="9"/>
        <v>2.032E-3</v>
      </c>
      <c r="P13" s="26">
        <v>7.0840480334740597E-11</v>
      </c>
      <c r="Q13" s="2">
        <v>0.05</v>
      </c>
      <c r="R13" s="2">
        <f t="shared" si="10"/>
        <v>105000</v>
      </c>
      <c r="S13" s="2">
        <f t="shared" si="11"/>
        <v>103055.1931877324</v>
      </c>
      <c r="T13" s="2">
        <f t="shared" si="12"/>
        <v>103055.1931877324</v>
      </c>
      <c r="U13" s="2">
        <f t="shared" si="13"/>
        <v>5.1940208761751296E-3</v>
      </c>
      <c r="V13" s="2">
        <v>0.12</v>
      </c>
      <c r="W13" s="2">
        <f t="shared" si="14"/>
        <v>112000.00000000001</v>
      </c>
      <c r="X13" s="2">
        <f t="shared" si="15"/>
        <v>2.7939009900990106</v>
      </c>
      <c r="Y13" s="2">
        <f t="shared" si="16"/>
        <v>5.2976139800444789E-15</v>
      </c>
      <c r="Z13" s="2">
        <f t="shared" si="17"/>
        <v>3190223138.7827854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30.366336633663366</v>
      </c>
      <c r="L14" s="1">
        <f t="shared" si="6"/>
        <v>3.0366336633663365E-5</v>
      </c>
      <c r="M14" s="1">
        <f t="shared" si="7"/>
        <v>4.7762865441819992E-3</v>
      </c>
      <c r="N14" s="26">
        <f t="shared" si="8"/>
        <v>1.2794818791128176E-7</v>
      </c>
      <c r="O14" s="26">
        <f t="shared" si="9"/>
        <v>2.032E-3</v>
      </c>
      <c r="P14" s="26">
        <v>7.0840480334740597E-11</v>
      </c>
      <c r="Q14" s="2">
        <v>0.05</v>
      </c>
      <c r="R14" s="2">
        <f t="shared" si="10"/>
        <v>105000</v>
      </c>
      <c r="S14" s="2">
        <f t="shared" si="11"/>
        <v>102634.98139322194</v>
      </c>
      <c r="T14" s="2">
        <f t="shared" si="12"/>
        <v>102634.98139322194</v>
      </c>
      <c r="U14" s="2">
        <f t="shared" si="13"/>
        <v>5.1940208761751296E-3</v>
      </c>
      <c r="V14" s="2">
        <v>0.12</v>
      </c>
      <c r="W14" s="2">
        <f t="shared" si="14"/>
        <v>112000.00000000001</v>
      </c>
      <c r="X14" s="2">
        <f t="shared" si="15"/>
        <v>3.4010297029702974</v>
      </c>
      <c r="Y14" s="2">
        <f t="shared" si="16"/>
        <v>6.4752540760465554E-15</v>
      </c>
      <c r="Z14" s="2">
        <f t="shared" si="17"/>
        <v>3899398004.5952358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33.806930693069305</v>
      </c>
      <c r="L15" s="1">
        <f t="shared" si="6"/>
        <v>3.3806930693069305E-5</v>
      </c>
      <c r="M15" s="1">
        <f t="shared" si="7"/>
        <v>4.7762865441819992E-3</v>
      </c>
      <c r="N15" s="26">
        <f t="shared" si="8"/>
        <v>1.4244508888916583E-7</v>
      </c>
      <c r="O15" s="26">
        <f t="shared" si="9"/>
        <v>2.032E-3</v>
      </c>
      <c r="P15" s="26">
        <v>7.0840480334740597E-11</v>
      </c>
      <c r="Q15" s="2">
        <v>0.05</v>
      </c>
      <c r="R15" s="2">
        <f t="shared" si="10"/>
        <v>105000</v>
      </c>
      <c r="S15" s="2">
        <f t="shared" si="11"/>
        <v>102368.71697566962</v>
      </c>
      <c r="T15" s="2">
        <f t="shared" si="12"/>
        <v>102368.71697566962</v>
      </c>
      <c r="U15" s="2">
        <f t="shared" si="13"/>
        <v>5.1940208761751296E-3</v>
      </c>
      <c r="V15" s="2">
        <v>0.12</v>
      </c>
      <c r="W15" s="2">
        <f t="shared" si="14"/>
        <v>112000.00000000001</v>
      </c>
      <c r="X15" s="2">
        <f t="shared" si="15"/>
        <v>3.7863762376237626</v>
      </c>
      <c r="Y15" s="2">
        <f t="shared" si="16"/>
        <v>7.227697621308743E-15</v>
      </c>
      <c r="Z15" s="2">
        <f t="shared" si="17"/>
        <v>4352519507.552125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38.212871287128714</v>
      </c>
      <c r="L16" s="1">
        <f t="shared" si="6"/>
        <v>3.8212871287128715E-5</v>
      </c>
      <c r="M16" s="1">
        <f t="shared" si="7"/>
        <v>4.7762865441819992E-3</v>
      </c>
      <c r="N16" s="26">
        <f t="shared" si="8"/>
        <v>1.6100946568098858E-7</v>
      </c>
      <c r="O16" s="26">
        <f t="shared" si="9"/>
        <v>2.032E-3</v>
      </c>
      <c r="P16" s="26">
        <v>7.0840480334740597E-11</v>
      </c>
      <c r="Q16" s="2">
        <v>0.05</v>
      </c>
      <c r="R16" s="2">
        <f t="shared" si="10"/>
        <v>105000</v>
      </c>
      <c r="S16" s="2">
        <f t="shared" si="11"/>
        <v>102028.25026740567</v>
      </c>
      <c r="T16" s="2">
        <f t="shared" si="12"/>
        <v>102028.25026740567</v>
      </c>
      <c r="U16" s="2">
        <f t="shared" si="13"/>
        <v>5.1940208761751296E-3</v>
      </c>
      <c r="V16" s="2">
        <v>0.12</v>
      </c>
      <c r="W16" s="2">
        <f t="shared" si="14"/>
        <v>112000.00000000001</v>
      </c>
      <c r="X16" s="2">
        <f t="shared" si="15"/>
        <v>4.279841584158417</v>
      </c>
      <c r="Y16" s="2">
        <f t="shared" si="16"/>
        <v>8.1969611897911368E-15</v>
      </c>
      <c r="Z16" s="2">
        <f t="shared" si="17"/>
        <v>4936210028.4922228</v>
      </c>
    </row>
    <row r="17" spans="1:74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37.643564356435647</v>
      </c>
      <c r="L17" s="1">
        <f t="shared" si="6"/>
        <v>3.7643564356435647E-5</v>
      </c>
      <c r="M17" s="1">
        <f t="shared" si="7"/>
        <v>4.7762865441819992E-3</v>
      </c>
      <c r="N17" s="26">
        <f t="shared" si="8"/>
        <v>1.5861069789328116E-7</v>
      </c>
      <c r="O17" s="26">
        <f t="shared" si="9"/>
        <v>2.032E-3</v>
      </c>
      <c r="P17" s="26">
        <v>7.0840480334740597E-11</v>
      </c>
      <c r="Q17" s="2">
        <v>0.05</v>
      </c>
      <c r="R17" s="2">
        <f t="shared" si="10"/>
        <v>105000</v>
      </c>
      <c r="S17" s="2">
        <f t="shared" si="11"/>
        <v>102072.21125123918</v>
      </c>
      <c r="T17" s="2">
        <f t="shared" si="12"/>
        <v>102072.21125123918</v>
      </c>
      <c r="U17" s="2">
        <f t="shared" si="13"/>
        <v>5.1940208761751296E-3</v>
      </c>
      <c r="V17" s="2">
        <v>0.12</v>
      </c>
      <c r="W17" s="2">
        <f t="shared" si="14"/>
        <v>112000.00000000001</v>
      </c>
      <c r="X17" s="2">
        <f t="shared" si="15"/>
        <v>4.2160792079207932</v>
      </c>
      <c r="Y17" s="2">
        <f t="shared" si="16"/>
        <v>8.071357477472574E-15</v>
      </c>
      <c r="Z17" s="2">
        <f t="shared" si="17"/>
        <v>4860571472.9339848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46.480198019801982</v>
      </c>
      <c r="L18" s="1">
        <f t="shared" si="6"/>
        <v>4.6480198019801981E-5</v>
      </c>
      <c r="M18" s="1">
        <f t="shared" si="7"/>
        <v>4.7762865441819992E-3</v>
      </c>
      <c r="N18" s="26">
        <f t="shared" si="8"/>
        <v>1.9584374572856612E-7</v>
      </c>
      <c r="O18" s="26">
        <f t="shared" si="9"/>
        <v>2.032E-3</v>
      </c>
      <c r="P18" s="26">
        <v>7.0840480334740597E-11</v>
      </c>
      <c r="Q18" s="2">
        <v>0.05</v>
      </c>
      <c r="R18" s="2">
        <f t="shared" si="10"/>
        <v>105000</v>
      </c>
      <c r="S18" s="2">
        <f t="shared" si="11"/>
        <v>101390.9274644273</v>
      </c>
      <c r="T18" s="2">
        <f t="shared" si="12"/>
        <v>101390.9274644273</v>
      </c>
      <c r="U18" s="2">
        <f t="shared" si="13"/>
        <v>5.1940208761751296E-3</v>
      </c>
      <c r="V18" s="2">
        <v>0.12</v>
      </c>
      <c r="W18" s="2">
        <f t="shared" si="14"/>
        <v>112000.00000000001</v>
      </c>
      <c r="X18" s="2">
        <f t="shared" si="15"/>
        <v>5.2057821782178229</v>
      </c>
      <c r="Y18" s="2">
        <f t="shared" si="16"/>
        <v>1.0033133728342378E-14</v>
      </c>
      <c r="Z18" s="2">
        <f t="shared" si="17"/>
        <v>6041953131.2077799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47.990099009900995</v>
      </c>
      <c r="L19" s="1">
        <f t="shared" si="6"/>
        <v>4.7990099009900992E-5</v>
      </c>
      <c r="M19" s="1">
        <f t="shared" si="7"/>
        <v>4.7762865441819992E-3</v>
      </c>
      <c r="N19" s="26">
        <f t="shared" si="8"/>
        <v>2.022056950785728E-7</v>
      </c>
      <c r="O19" s="26">
        <f t="shared" si="9"/>
        <v>2.032E-3</v>
      </c>
      <c r="P19" s="26">
        <v>7.0840480334740597E-11</v>
      </c>
      <c r="Q19" s="2">
        <v>0.05</v>
      </c>
      <c r="R19" s="2">
        <f t="shared" si="10"/>
        <v>105000</v>
      </c>
      <c r="S19" s="2">
        <f t="shared" si="11"/>
        <v>101274.74582741169</v>
      </c>
      <c r="T19" s="2">
        <f t="shared" si="12"/>
        <v>101274.74582741169</v>
      </c>
      <c r="U19" s="2">
        <f t="shared" si="13"/>
        <v>5.1940208761751296E-3</v>
      </c>
      <c r="V19" s="2">
        <v>0.12</v>
      </c>
      <c r="W19" s="2">
        <f t="shared" si="14"/>
        <v>112000.00000000001</v>
      </c>
      <c r="X19" s="2">
        <f t="shared" si="15"/>
        <v>5.3748910891089121</v>
      </c>
      <c r="Y19" s="2">
        <f t="shared" si="16"/>
        <v>1.0370960062347043E-14</v>
      </c>
      <c r="Z19" s="2">
        <f t="shared" si="17"/>
        <v>6245392149.5453892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58.188118811881189</v>
      </c>
      <c r="L20" s="1">
        <f t="shared" si="6"/>
        <v>5.818811881188119E-5</v>
      </c>
      <c r="M20" s="1">
        <f t="shared" si="7"/>
        <v>4.7762865441819992E-3</v>
      </c>
      <c r="N20" s="26">
        <f t="shared" si="8"/>
        <v>2.4517492675402772E-7</v>
      </c>
      <c r="O20" s="26">
        <f t="shared" si="9"/>
        <v>2.032E-3</v>
      </c>
      <c r="P20" s="26">
        <v>7.0840480334740597E-11</v>
      </c>
      <c r="Q20" s="2">
        <v>0.05</v>
      </c>
      <c r="R20" s="2">
        <f t="shared" si="10"/>
        <v>105000</v>
      </c>
      <c r="S20" s="2">
        <f t="shared" si="11"/>
        <v>100491.78769170823</v>
      </c>
      <c r="T20" s="2">
        <f t="shared" si="12"/>
        <v>100491.78769170823</v>
      </c>
      <c r="U20" s="2">
        <f t="shared" si="13"/>
        <v>5.1940208761751296E-3</v>
      </c>
      <c r="V20" s="2">
        <v>0.12</v>
      </c>
      <c r="W20" s="2">
        <f t="shared" si="14"/>
        <v>112000.00000000001</v>
      </c>
      <c r="X20" s="2">
        <f t="shared" si="15"/>
        <v>6.5170693069306944</v>
      </c>
      <c r="Y20" s="2">
        <f t="shared" si="16"/>
        <v>1.2672938829616269E-14</v>
      </c>
      <c r="Z20" s="2">
        <f t="shared" si="17"/>
        <v>7631643763.1949177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52.940594059405939</v>
      </c>
      <c r="L21" s="1">
        <f t="shared" si="6"/>
        <v>5.294059405940594E-5</v>
      </c>
      <c r="M21" s="1">
        <f t="shared" si="7"/>
        <v>4.7762865441819992E-3</v>
      </c>
      <c r="N21" s="26">
        <f t="shared" si="8"/>
        <v>2.2306454540646351E-7</v>
      </c>
      <c r="O21" s="26">
        <f t="shared" si="9"/>
        <v>2.032E-3</v>
      </c>
      <c r="P21" s="26">
        <v>7.0840480334740597E-11</v>
      </c>
      <c r="Q21" s="2">
        <v>0.05</v>
      </c>
      <c r="R21" s="2">
        <f t="shared" si="10"/>
        <v>105000</v>
      </c>
      <c r="S21" s="2">
        <f t="shared" si="11"/>
        <v>100894.28959812851</v>
      </c>
      <c r="T21" s="2">
        <f t="shared" si="12"/>
        <v>100894.28959812851</v>
      </c>
      <c r="U21" s="2">
        <f t="shared" si="13"/>
        <v>5.1940208761751296E-3</v>
      </c>
      <c r="V21" s="2">
        <v>0.12</v>
      </c>
      <c r="W21" s="2">
        <f t="shared" si="14"/>
        <v>112000.00000000001</v>
      </c>
      <c r="X21" s="2">
        <f t="shared" si="15"/>
        <v>5.9293465346534662</v>
      </c>
      <c r="Y21" s="2">
        <f t="shared" si="16"/>
        <v>1.1483999766537812E-14</v>
      </c>
      <c r="Z21" s="2">
        <f t="shared" si="17"/>
        <v>6915664659.409071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57.024752475247524</v>
      </c>
      <c r="L22" s="1">
        <f t="shared" si="6"/>
        <v>5.7024752475247525E-5</v>
      </c>
      <c r="M22" s="1">
        <f t="shared" si="7"/>
        <v>4.7762865441819992E-3</v>
      </c>
      <c r="N22" s="26">
        <f t="shared" si="8"/>
        <v>2.402730969269734E-7</v>
      </c>
      <c r="O22" s="26">
        <f t="shared" si="9"/>
        <v>2.032E-3</v>
      </c>
      <c r="P22" s="26">
        <v>7.0840480334740597E-11</v>
      </c>
      <c r="Q22" s="2">
        <v>0.05</v>
      </c>
      <c r="R22" s="2">
        <f t="shared" si="10"/>
        <v>105000</v>
      </c>
      <c r="S22" s="2">
        <f t="shared" si="11"/>
        <v>100580.95220053122</v>
      </c>
      <c r="T22" s="2">
        <f t="shared" si="12"/>
        <v>100580.95220053122</v>
      </c>
      <c r="U22" s="2">
        <f t="shared" si="13"/>
        <v>5.1940208761751296E-3</v>
      </c>
      <c r="V22" s="2">
        <v>0.12</v>
      </c>
      <c r="W22" s="2">
        <f t="shared" si="14"/>
        <v>112000.00000000001</v>
      </c>
      <c r="X22" s="2">
        <f t="shared" si="15"/>
        <v>6.386772277227724</v>
      </c>
      <c r="Y22" s="2">
        <f t="shared" si="16"/>
        <v>1.2408539635323739E-14</v>
      </c>
      <c r="Z22" s="2">
        <f t="shared" si="17"/>
        <v>7472422568.3919554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63.43564356435644</v>
      </c>
      <c r="L23" s="1">
        <f t="shared" si="6"/>
        <v>6.3435643564356434E-5</v>
      </c>
      <c r="M23" s="1">
        <f t="shared" si="7"/>
        <v>4.7762865441819992E-3</v>
      </c>
      <c r="N23" s="26">
        <f t="shared" si="8"/>
        <v>2.6728530810159189E-7</v>
      </c>
      <c r="O23" s="26">
        <f t="shared" si="9"/>
        <v>2.032E-3</v>
      </c>
      <c r="P23" s="26">
        <v>7.0840480334740597E-11</v>
      </c>
      <c r="Q23" s="2">
        <v>0.05</v>
      </c>
      <c r="R23" s="2">
        <f t="shared" si="10"/>
        <v>105000</v>
      </c>
      <c r="S23" s="2">
        <f t="shared" si="11"/>
        <v>100090.09024977051</v>
      </c>
      <c r="T23" s="2">
        <f t="shared" si="12"/>
        <v>100090.09024977051</v>
      </c>
      <c r="U23" s="2">
        <f t="shared" si="13"/>
        <v>5.1940208761751296E-3</v>
      </c>
      <c r="V23" s="2">
        <v>0.12</v>
      </c>
      <c r="W23" s="2">
        <f t="shared" si="14"/>
        <v>112000.00000000001</v>
      </c>
      <c r="X23" s="2">
        <f t="shared" si="15"/>
        <v>7.1047920792079218</v>
      </c>
      <c r="Y23" s="2">
        <f t="shared" si="16"/>
        <v>1.3871343503851092E-14</v>
      </c>
      <c r="Z23" s="2">
        <f t="shared" si="17"/>
        <v>8353323058.0191278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61.331683168316829</v>
      </c>
      <c r="L24" s="1">
        <f t="shared" si="6"/>
        <v>6.1331683168316825E-5</v>
      </c>
      <c r="M24" s="1">
        <f t="shared" si="7"/>
        <v>4.7762865441819992E-3</v>
      </c>
      <c r="N24" s="26">
        <f t="shared" si="8"/>
        <v>2.5842029671223826E-7</v>
      </c>
      <c r="O24" s="26">
        <f t="shared" si="9"/>
        <v>2.032E-3</v>
      </c>
      <c r="P24" s="26">
        <v>7.0840480334740597E-11</v>
      </c>
      <c r="Q24" s="2">
        <v>0.05</v>
      </c>
      <c r="R24" s="2">
        <f t="shared" si="10"/>
        <v>105000</v>
      </c>
      <c r="S24" s="2">
        <f t="shared" si="11"/>
        <v>100251.05157512365</v>
      </c>
      <c r="T24" s="2">
        <f t="shared" si="12"/>
        <v>100251.05157512365</v>
      </c>
      <c r="U24" s="2">
        <f t="shared" si="13"/>
        <v>5.1940208761751296E-3</v>
      </c>
      <c r="V24" s="2">
        <v>0.12</v>
      </c>
      <c r="W24" s="2">
        <f t="shared" si="14"/>
        <v>112000.00000000001</v>
      </c>
      <c r="X24" s="2">
        <f t="shared" si="15"/>
        <v>6.869148514851485</v>
      </c>
      <c r="Y24" s="2">
        <f t="shared" si="16"/>
        <v>1.3389708843537365E-14</v>
      </c>
      <c r="Z24" s="2">
        <f t="shared" si="17"/>
        <v>8063282665.5782013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58.287128712871286</v>
      </c>
      <c r="L25" s="1">
        <f t="shared" si="6"/>
        <v>5.8287128712871287E-5</v>
      </c>
      <c r="M25" s="1">
        <f t="shared" si="7"/>
        <v>4.7762865441819992E-3</v>
      </c>
      <c r="N25" s="26">
        <f t="shared" si="8"/>
        <v>2.4559210376058553E-7</v>
      </c>
      <c r="O25" s="26">
        <f t="shared" si="9"/>
        <v>2.032E-3</v>
      </c>
      <c r="P25" s="26">
        <v>7.0840480334740597E-11</v>
      </c>
      <c r="Q25" s="2">
        <v>0.05</v>
      </c>
      <c r="R25" s="2">
        <f t="shared" si="10"/>
        <v>105000</v>
      </c>
      <c r="S25" s="2">
        <f t="shared" si="11"/>
        <v>100484.20104859707</v>
      </c>
      <c r="T25" s="2">
        <f t="shared" si="12"/>
        <v>100484.20104859707</v>
      </c>
      <c r="U25" s="2">
        <f t="shared" si="13"/>
        <v>5.1940208761751296E-3</v>
      </c>
      <c r="V25" s="2">
        <v>0.12</v>
      </c>
      <c r="W25" s="2">
        <f t="shared" si="14"/>
        <v>112000.00000000001</v>
      </c>
      <c r="X25" s="2">
        <f t="shared" si="15"/>
        <v>6.5281584158415846</v>
      </c>
      <c r="Y25" s="2">
        <f t="shared" si="16"/>
        <v>1.2695462357597095E-14</v>
      </c>
      <c r="Z25" s="2">
        <f t="shared" si="17"/>
        <v>7645207431.7449713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56.183168316831683</v>
      </c>
      <c r="L26" s="1">
        <f t="shared" si="6"/>
        <v>5.6183168316831685E-5</v>
      </c>
      <c r="M26" s="1">
        <f t="shared" si="7"/>
        <v>4.7762865441819992E-3</v>
      </c>
      <c r="N26" s="26">
        <f t="shared" si="8"/>
        <v>2.3672709237123195E-7</v>
      </c>
      <c r="O26" s="26">
        <f t="shared" si="9"/>
        <v>2.032E-3</v>
      </c>
      <c r="P26" s="26">
        <v>7.0840480334740597E-11</v>
      </c>
      <c r="Q26" s="2">
        <v>0.05</v>
      </c>
      <c r="R26" s="2">
        <f t="shared" si="10"/>
        <v>105000</v>
      </c>
      <c r="S26" s="2">
        <f t="shared" si="11"/>
        <v>100645.47883292257</v>
      </c>
      <c r="T26" s="2">
        <f t="shared" si="12"/>
        <v>100645.47883292257</v>
      </c>
      <c r="U26" s="2">
        <f t="shared" si="13"/>
        <v>5.1940208761751296E-3</v>
      </c>
      <c r="V26" s="2">
        <v>0.12</v>
      </c>
      <c r="W26" s="2">
        <f t="shared" si="14"/>
        <v>112000.00000000001</v>
      </c>
      <c r="X26" s="2">
        <f t="shared" si="15"/>
        <v>6.2925148514851497</v>
      </c>
      <c r="Y26" s="2">
        <f t="shared" si="16"/>
        <v>1.2217561615078683E-14</v>
      </c>
      <c r="Z26" s="2">
        <f t="shared" si="17"/>
        <v>7357415604.6003828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59.673267326732677</v>
      </c>
      <c r="L27" s="1">
        <f t="shared" si="6"/>
        <v>5.967326732673268E-5</v>
      </c>
      <c r="M27" s="1">
        <f t="shared" si="7"/>
        <v>4.7762865441819992E-3</v>
      </c>
      <c r="N27" s="26">
        <f t="shared" si="8"/>
        <v>2.5143258185239494E-7</v>
      </c>
      <c r="O27" s="26">
        <f t="shared" si="9"/>
        <v>2.032E-3</v>
      </c>
      <c r="P27" s="26">
        <v>7.0840480334740597E-11</v>
      </c>
      <c r="Q27" s="2">
        <v>0.05</v>
      </c>
      <c r="R27" s="2">
        <f t="shared" si="10"/>
        <v>105000</v>
      </c>
      <c r="S27" s="2">
        <f t="shared" si="11"/>
        <v>100378.0181158029</v>
      </c>
      <c r="T27" s="2">
        <f t="shared" si="12"/>
        <v>100378.0181158029</v>
      </c>
      <c r="U27" s="2">
        <f t="shared" si="13"/>
        <v>5.1940208761751296E-3</v>
      </c>
      <c r="V27" s="2">
        <v>0.12</v>
      </c>
      <c r="W27" s="2">
        <f t="shared" si="14"/>
        <v>112000.00000000001</v>
      </c>
      <c r="X27" s="2">
        <f t="shared" si="15"/>
        <v>6.6834059405940609</v>
      </c>
      <c r="Y27" s="2">
        <f t="shared" si="16"/>
        <v>1.3011145890078829E-14</v>
      </c>
      <c r="Z27" s="2">
        <f t="shared" si="17"/>
        <v>7835312055.0054712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63.955445544554458</v>
      </c>
      <c r="L28" s="1">
        <f t="shared" si="6"/>
        <v>6.3955445544554464E-5</v>
      </c>
      <c r="M28" s="1">
        <f t="shared" si="7"/>
        <v>4.7762865441819992E-3</v>
      </c>
      <c r="N28" s="26">
        <f t="shared" si="8"/>
        <v>2.6947548738602043E-7</v>
      </c>
      <c r="O28" s="26">
        <f t="shared" si="9"/>
        <v>2.032E-3</v>
      </c>
      <c r="P28" s="26">
        <v>7.0840480334740597E-11</v>
      </c>
      <c r="Q28" s="2">
        <v>0.05</v>
      </c>
      <c r="R28" s="2">
        <f t="shared" si="10"/>
        <v>105000</v>
      </c>
      <c r="S28" s="2">
        <f t="shared" si="11"/>
        <v>100050.34325597486</v>
      </c>
      <c r="T28" s="2">
        <f t="shared" si="12"/>
        <v>100050.34325597486</v>
      </c>
      <c r="U28" s="2">
        <f t="shared" si="13"/>
        <v>5.1940208761751296E-3</v>
      </c>
      <c r="V28" s="2">
        <v>0.12</v>
      </c>
      <c r="W28" s="2">
        <f t="shared" si="14"/>
        <v>112000.00000000001</v>
      </c>
      <c r="X28" s="2">
        <f t="shared" si="15"/>
        <v>7.1630099009901009</v>
      </c>
      <c r="Y28" s="2">
        <f t="shared" si="16"/>
        <v>1.3990571907627723E-14</v>
      </c>
      <c r="Z28" s="2">
        <f t="shared" si="17"/>
        <v>8425122402.7734156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67.099009900990097</v>
      </c>
      <c r="L29" s="1">
        <f t="shared" si="6"/>
        <v>6.7099009900990092E-5</v>
      </c>
      <c r="M29" s="1">
        <f t="shared" si="7"/>
        <v>4.7762865441819992E-3</v>
      </c>
      <c r="N29" s="26">
        <f t="shared" si="8"/>
        <v>2.8272085734423103E-7</v>
      </c>
      <c r="O29" s="26">
        <f t="shared" si="9"/>
        <v>2.032E-3</v>
      </c>
      <c r="P29" s="26">
        <v>7.0840480334740597E-11</v>
      </c>
      <c r="Q29" s="2">
        <v>0.05</v>
      </c>
      <c r="R29" s="2">
        <f t="shared" si="10"/>
        <v>105000</v>
      </c>
      <c r="S29" s="2">
        <f t="shared" si="11"/>
        <v>99810.136796485909</v>
      </c>
      <c r="T29" s="2">
        <f t="shared" si="12"/>
        <v>99810.136796485909</v>
      </c>
      <c r="U29" s="2">
        <f t="shared" si="13"/>
        <v>5.1940208761751296E-3</v>
      </c>
      <c r="V29" s="2">
        <v>0.12</v>
      </c>
      <c r="W29" s="2">
        <f t="shared" si="14"/>
        <v>112000.00000000001</v>
      </c>
      <c r="X29" s="2">
        <f t="shared" si="15"/>
        <v>7.5150891089108915</v>
      </c>
      <c r="Y29" s="2">
        <f t="shared" si="16"/>
        <v>1.4713621847345963E-14</v>
      </c>
      <c r="Z29" s="2">
        <f t="shared" si="17"/>
        <v>8860543076.4717388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60.292079207920793</v>
      </c>
      <c r="L30" s="1">
        <f t="shared" si="6"/>
        <v>6.0292079207920792E-5</v>
      </c>
      <c r="M30" s="1">
        <f t="shared" si="7"/>
        <v>4.7762865441819992E-3</v>
      </c>
      <c r="N30" s="26">
        <f t="shared" si="8"/>
        <v>2.5403993814338129E-7</v>
      </c>
      <c r="O30" s="26">
        <f t="shared" si="9"/>
        <v>2.032E-3</v>
      </c>
      <c r="P30" s="26">
        <v>7.0840480334740597E-11</v>
      </c>
      <c r="Q30" s="2">
        <v>0.05</v>
      </c>
      <c r="R30" s="2">
        <f t="shared" si="10"/>
        <v>105000</v>
      </c>
      <c r="S30" s="2">
        <f t="shared" si="11"/>
        <v>100330.63314380945</v>
      </c>
      <c r="T30" s="2">
        <f t="shared" si="12"/>
        <v>100330.63314380945</v>
      </c>
      <c r="U30" s="2">
        <f t="shared" si="13"/>
        <v>5.1940208761751296E-3</v>
      </c>
      <c r="V30" s="2">
        <v>0.12</v>
      </c>
      <c r="W30" s="2">
        <f t="shared" si="14"/>
        <v>112000.00000000001</v>
      </c>
      <c r="X30" s="2">
        <f t="shared" si="15"/>
        <v>6.7527128712871294</v>
      </c>
      <c r="Y30" s="2">
        <f t="shared" si="16"/>
        <v>1.3152289728339229E-14</v>
      </c>
      <c r="Z30" s="2">
        <f t="shared" si="17"/>
        <v>7920308874.4058838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68.658415841584159</v>
      </c>
      <c r="L31" s="1">
        <f t="shared" si="6"/>
        <v>6.8658415841584155E-5</v>
      </c>
      <c r="M31" s="1">
        <f t="shared" si="7"/>
        <v>4.7762865441819992E-3</v>
      </c>
      <c r="N31" s="26">
        <f t="shared" si="8"/>
        <v>2.8929139519751659E-7</v>
      </c>
      <c r="O31" s="26">
        <f t="shared" si="9"/>
        <v>2.032E-3</v>
      </c>
      <c r="P31" s="26">
        <v>7.0840480334740597E-11</v>
      </c>
      <c r="Q31" s="2">
        <v>0.05</v>
      </c>
      <c r="R31" s="2">
        <f t="shared" si="10"/>
        <v>105000</v>
      </c>
      <c r="S31" s="2">
        <f t="shared" si="11"/>
        <v>99691.086388553711</v>
      </c>
      <c r="T31" s="2">
        <f t="shared" si="12"/>
        <v>99691.086388553711</v>
      </c>
      <c r="U31" s="2">
        <f t="shared" si="13"/>
        <v>5.1940208761751296E-3</v>
      </c>
      <c r="V31" s="2">
        <v>0.12</v>
      </c>
      <c r="W31" s="2">
        <f t="shared" si="14"/>
        <v>112000.00000000001</v>
      </c>
      <c r="X31" s="2">
        <f t="shared" si="15"/>
        <v>7.6897425742574264</v>
      </c>
      <c r="Y31" s="2">
        <f t="shared" si="16"/>
        <v>1.5073578915956159E-14</v>
      </c>
      <c r="Z31" s="2">
        <f t="shared" si="17"/>
        <v>9077309223.1887989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63.361386138613867</v>
      </c>
      <c r="L32" s="1">
        <f t="shared" si="6"/>
        <v>6.336138613861386E-5</v>
      </c>
      <c r="M32" s="1">
        <f t="shared" si="7"/>
        <v>4.7762865441819992E-3</v>
      </c>
      <c r="N32" s="26">
        <f t="shared" si="8"/>
        <v>2.6697242534667351E-7</v>
      </c>
      <c r="O32" s="26">
        <f t="shared" si="9"/>
        <v>2.032E-3</v>
      </c>
      <c r="P32" s="26">
        <v>7.0840480334740597E-11</v>
      </c>
      <c r="Q32" s="2">
        <v>0.05</v>
      </c>
      <c r="R32" s="2">
        <f t="shared" si="10"/>
        <v>105000</v>
      </c>
      <c r="S32" s="2">
        <f t="shared" si="11"/>
        <v>100095.76903611477</v>
      </c>
      <c r="T32" s="2">
        <f t="shared" si="12"/>
        <v>100095.76903611477</v>
      </c>
      <c r="U32" s="2">
        <f t="shared" si="13"/>
        <v>5.1940208761751296E-3</v>
      </c>
      <c r="V32" s="2">
        <v>0.12</v>
      </c>
      <c r="W32" s="2">
        <f t="shared" si="14"/>
        <v>112000.00000000001</v>
      </c>
      <c r="X32" s="2">
        <f t="shared" si="15"/>
        <v>7.0964752475247534</v>
      </c>
      <c r="Y32" s="2">
        <f t="shared" si="16"/>
        <v>1.3854318527108592E-14</v>
      </c>
      <c r="Z32" s="2">
        <f t="shared" si="17"/>
        <v>8343070617.0247946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0">
        <v>58.782178217821787</v>
      </c>
      <c r="L33" s="1">
        <f t="shared" si="6"/>
        <v>5.8782178217821787E-5</v>
      </c>
      <c r="M33" s="1">
        <f t="shared" si="7"/>
        <v>4.7762865441819992E-3</v>
      </c>
      <c r="N33" s="26">
        <f t="shared" si="8"/>
        <v>2.4767798879337464E-7</v>
      </c>
      <c r="O33" s="26">
        <f t="shared" si="9"/>
        <v>2.032E-3</v>
      </c>
      <c r="P33" s="26">
        <v>7.0840480334740597E-11</v>
      </c>
      <c r="Q33" s="2">
        <v>0.05</v>
      </c>
      <c r="R33" s="2">
        <f t="shared" si="10"/>
        <v>105000</v>
      </c>
      <c r="S33" s="2">
        <f t="shared" si="11"/>
        <v>100446.27212886442</v>
      </c>
      <c r="T33" s="2">
        <f t="shared" si="12"/>
        <v>100446.27212886442</v>
      </c>
      <c r="U33" s="2">
        <f t="shared" si="13"/>
        <v>5.1940208761751296E-3</v>
      </c>
      <c r="V33" s="2">
        <v>0.12</v>
      </c>
      <c r="W33" s="2">
        <f t="shared" si="14"/>
        <v>112000.00000000001</v>
      </c>
      <c r="X33" s="2">
        <f t="shared" si="15"/>
        <v>6.583603960396041</v>
      </c>
      <c r="Y33" s="2">
        <f t="shared" si="16"/>
        <v>1.2808130563277121E-14</v>
      </c>
      <c r="Z33" s="2">
        <f t="shared" si="17"/>
        <v>7713056225.2054825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0">
        <v>67.816831683168317</v>
      </c>
      <c r="L34" s="1">
        <f t="shared" si="6"/>
        <v>6.7816831683168314E-5</v>
      </c>
      <c r="M34" s="1">
        <f t="shared" si="7"/>
        <v>4.7762865441819992E-3</v>
      </c>
      <c r="N34" s="26">
        <f t="shared" si="8"/>
        <v>2.8574539064177514E-7</v>
      </c>
      <c r="O34" s="26">
        <f t="shared" si="9"/>
        <v>2.032E-3</v>
      </c>
      <c r="P34" s="26">
        <v>7.0840480334740597E-11</v>
      </c>
      <c r="Q34" s="2">
        <v>0.05</v>
      </c>
      <c r="R34" s="2">
        <f t="shared" si="10"/>
        <v>105000</v>
      </c>
      <c r="S34" s="2">
        <f t="shared" si="11"/>
        <v>99755.326990720074</v>
      </c>
      <c r="T34" s="2">
        <f t="shared" si="12"/>
        <v>99755.326990720074</v>
      </c>
      <c r="U34" s="2">
        <f t="shared" si="13"/>
        <v>5.1940208761751296E-3</v>
      </c>
      <c r="V34" s="2">
        <v>0.12</v>
      </c>
      <c r="W34" s="2">
        <f t="shared" si="14"/>
        <v>112000.00000000001</v>
      </c>
      <c r="X34" s="2">
        <f t="shared" si="15"/>
        <v>7.595485148514852</v>
      </c>
      <c r="Y34" s="2">
        <f t="shared" si="16"/>
        <v>1.4879210803719352E-14</v>
      </c>
      <c r="Z34" s="2">
        <f t="shared" si="17"/>
        <v>8960260745.999794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0">
        <v>58.782178217821787</v>
      </c>
      <c r="L35" s="1">
        <f t="shared" si="6"/>
        <v>5.8782178217821787E-5</v>
      </c>
      <c r="M35" s="1">
        <f t="shared" si="7"/>
        <v>4.7762865441819992E-3</v>
      </c>
      <c r="N35" s="26">
        <f t="shared" si="8"/>
        <v>2.4767798879337464E-7</v>
      </c>
      <c r="O35" s="26">
        <f t="shared" si="9"/>
        <v>2.032E-3</v>
      </c>
      <c r="P35" s="26">
        <v>7.0840480334740597E-11</v>
      </c>
      <c r="Q35" s="2">
        <v>0.05</v>
      </c>
      <c r="R35" s="2">
        <f t="shared" si="10"/>
        <v>105000</v>
      </c>
      <c r="S35" s="2">
        <f t="shared" si="11"/>
        <v>100446.27212886442</v>
      </c>
      <c r="T35" s="2">
        <f t="shared" si="12"/>
        <v>100446.27212886442</v>
      </c>
      <c r="U35" s="2">
        <f t="shared" si="13"/>
        <v>5.1940208761751296E-3</v>
      </c>
      <c r="V35" s="2">
        <v>0.12</v>
      </c>
      <c r="W35" s="2">
        <f t="shared" si="14"/>
        <v>112000.00000000001</v>
      </c>
      <c r="X35" s="2">
        <f t="shared" si="15"/>
        <v>6.583603960396041</v>
      </c>
      <c r="Y35" s="2">
        <f t="shared" si="16"/>
        <v>1.2808130563277121E-14</v>
      </c>
      <c r="Z35" s="2">
        <f t="shared" si="17"/>
        <v>7713056225.2054825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0">
        <v>67.594059405940598</v>
      </c>
      <c r="L36" s="1">
        <f t="shared" si="6"/>
        <v>6.7594059405940593E-5</v>
      </c>
      <c r="M36" s="1">
        <f t="shared" si="7"/>
        <v>4.7762865441819992E-3</v>
      </c>
      <c r="N36" s="26">
        <f t="shared" si="8"/>
        <v>2.8480674237702009E-7</v>
      </c>
      <c r="O36" s="26">
        <f t="shared" si="9"/>
        <v>2.032E-3</v>
      </c>
      <c r="P36" s="26">
        <v>7.0840480334740597E-11</v>
      </c>
      <c r="Q36" s="2">
        <v>0.05</v>
      </c>
      <c r="R36" s="2">
        <f t="shared" si="10"/>
        <v>105000</v>
      </c>
      <c r="S36" s="2">
        <f t="shared" si="11"/>
        <v>99772.335319506819</v>
      </c>
      <c r="T36" s="2">
        <f t="shared" si="12"/>
        <v>99772.335319506819</v>
      </c>
      <c r="U36" s="2">
        <f t="shared" si="13"/>
        <v>5.1940208761751296E-3</v>
      </c>
      <c r="V36" s="2">
        <v>0.12</v>
      </c>
      <c r="W36" s="2">
        <f t="shared" si="14"/>
        <v>112000.00000000001</v>
      </c>
      <c r="X36" s="2">
        <f t="shared" si="15"/>
        <v>7.570534653465347</v>
      </c>
      <c r="Y36" s="2">
        <f t="shared" si="16"/>
        <v>1.4827801867441135E-14</v>
      </c>
      <c r="Z36" s="2">
        <f t="shared" si="17"/>
        <v>8929302284.5730515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0">
        <v>66.554455445544562</v>
      </c>
      <c r="L37" s="1">
        <f t="shared" si="6"/>
        <v>6.655445544554456E-5</v>
      </c>
      <c r="M37" s="1">
        <f t="shared" si="7"/>
        <v>4.7762865441819992E-3</v>
      </c>
      <c r="N37" s="26">
        <f t="shared" si="8"/>
        <v>2.8042638380816307E-7</v>
      </c>
      <c r="O37" s="26">
        <f t="shared" si="9"/>
        <v>2.032E-3</v>
      </c>
      <c r="P37" s="26">
        <v>7.0840480334740597E-11</v>
      </c>
      <c r="Q37" s="2">
        <v>0.05</v>
      </c>
      <c r="R37" s="2">
        <f t="shared" si="10"/>
        <v>105000</v>
      </c>
      <c r="S37" s="2">
        <f t="shared" si="11"/>
        <v>99851.726690622483</v>
      </c>
      <c r="T37" s="2">
        <f t="shared" si="12"/>
        <v>99851.726690622483</v>
      </c>
      <c r="U37" s="2">
        <f t="shared" si="13"/>
        <v>5.1940208761751296E-3</v>
      </c>
      <c r="V37" s="2">
        <v>0.12</v>
      </c>
      <c r="W37" s="2">
        <f t="shared" si="14"/>
        <v>112000.00000000001</v>
      </c>
      <c r="X37" s="2">
        <f t="shared" si="15"/>
        <v>7.4540990099009914</v>
      </c>
      <c r="Y37" s="2">
        <f t="shared" si="16"/>
        <v>1.4588122622591523E-14</v>
      </c>
      <c r="Z37" s="2">
        <f t="shared" si="17"/>
        <v>8784967443.3246155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0">
        <v>69.178217821782184</v>
      </c>
      <c r="L38" s="1">
        <f t="shared" si="6"/>
        <v>6.9178217821782185E-5</v>
      </c>
      <c r="M38" s="1">
        <f t="shared" si="7"/>
        <v>4.7762865441819992E-3</v>
      </c>
      <c r="N38" s="26">
        <f t="shared" si="8"/>
        <v>2.9148157448194518E-7</v>
      </c>
      <c r="O38" s="26">
        <f t="shared" si="9"/>
        <v>2.032E-3</v>
      </c>
      <c r="P38" s="26">
        <v>7.0840480334740597E-11</v>
      </c>
      <c r="Q38" s="2">
        <v>0.05</v>
      </c>
      <c r="R38" s="2">
        <f t="shared" si="10"/>
        <v>105000</v>
      </c>
      <c r="S38" s="2">
        <f t="shared" si="11"/>
        <v>99651.418706393044</v>
      </c>
      <c r="T38" s="2">
        <f t="shared" si="12"/>
        <v>99651.418706393044</v>
      </c>
      <c r="U38" s="2">
        <f t="shared" si="13"/>
        <v>5.1940208761751296E-3</v>
      </c>
      <c r="V38" s="2">
        <v>0.12</v>
      </c>
      <c r="W38" s="2">
        <f t="shared" si="14"/>
        <v>112000.00000000001</v>
      </c>
      <c r="X38" s="2">
        <f t="shared" si="15"/>
        <v>7.7479603960396055</v>
      </c>
      <c r="Y38" s="2">
        <f t="shared" si="16"/>
        <v>1.5193753617717256E-14</v>
      </c>
      <c r="Z38" s="2">
        <f t="shared" si="17"/>
        <v>9149678428.5893326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0">
        <v>76.009900990099013</v>
      </c>
      <c r="L39" s="1">
        <f t="shared" si="6"/>
        <v>7.6009900990099013E-5</v>
      </c>
      <c r="M39" s="1">
        <f t="shared" si="7"/>
        <v>4.7762865441819992E-3</v>
      </c>
      <c r="N39" s="26">
        <f t="shared" si="8"/>
        <v>3.2026678793443435E-7</v>
      </c>
      <c r="O39" s="26">
        <f t="shared" si="9"/>
        <v>2.032E-3</v>
      </c>
      <c r="P39" s="26">
        <v>7.0840480334740597E-11</v>
      </c>
      <c r="Q39" s="2">
        <v>0.05</v>
      </c>
      <c r="R39" s="2">
        <f t="shared" si="10"/>
        <v>105000</v>
      </c>
      <c r="S39" s="2">
        <f t="shared" si="11"/>
        <v>99130.805645766523</v>
      </c>
      <c r="T39" s="2">
        <f t="shared" si="12"/>
        <v>99130.805645766523</v>
      </c>
      <c r="U39" s="2">
        <f t="shared" si="13"/>
        <v>5.1940208761751296E-3</v>
      </c>
      <c r="V39" s="2">
        <v>0.12</v>
      </c>
      <c r="W39" s="2">
        <f t="shared" si="14"/>
        <v>112000.00000000001</v>
      </c>
      <c r="X39" s="2">
        <f t="shared" si="15"/>
        <v>8.5131089108910913</v>
      </c>
      <c r="Y39" s="2">
        <f t="shared" si="16"/>
        <v>1.6782020874451557E-14</v>
      </c>
      <c r="Z39" s="2">
        <f t="shared" si="17"/>
        <v>10106132970.594728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0">
        <v>64.623762376237622</v>
      </c>
      <c r="L40" s="1">
        <f t="shared" si="6"/>
        <v>6.4623762376237628E-5</v>
      </c>
      <c r="M40" s="1">
        <f t="shared" si="7"/>
        <v>4.7762865441819992E-3</v>
      </c>
      <c r="N40" s="26">
        <f t="shared" si="8"/>
        <v>2.7229143218028569E-7</v>
      </c>
      <c r="O40" s="26">
        <f t="shared" si="9"/>
        <v>2.032E-3</v>
      </c>
      <c r="P40" s="26">
        <v>7.0840480334740597E-11</v>
      </c>
      <c r="Q40" s="2">
        <v>0.05</v>
      </c>
      <c r="R40" s="2">
        <f t="shared" si="10"/>
        <v>105000</v>
      </c>
      <c r="S40" s="2">
        <f t="shared" si="11"/>
        <v>99999.251576960174</v>
      </c>
      <c r="T40" s="2">
        <f t="shared" si="12"/>
        <v>99999.251576960174</v>
      </c>
      <c r="U40" s="2">
        <f t="shared" si="13"/>
        <v>5.1940208761751296E-3</v>
      </c>
      <c r="V40" s="2">
        <v>0.12</v>
      </c>
      <c r="W40" s="2">
        <f t="shared" si="14"/>
        <v>112000.00000000001</v>
      </c>
      <c r="X40" s="2">
        <f t="shared" si="15"/>
        <v>7.237861386138615</v>
      </c>
      <c r="Y40" s="2">
        <f t="shared" si="16"/>
        <v>1.4144003411821969E-14</v>
      </c>
      <c r="Z40" s="2">
        <f t="shared" si="17"/>
        <v>8517518854.5991907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0">
        <v>62.569306930693074</v>
      </c>
      <c r="L41" s="1">
        <f t="shared" si="6"/>
        <v>6.2569306930693077E-5</v>
      </c>
      <c r="M41" s="1">
        <f t="shared" si="7"/>
        <v>4.7762865441819992E-3</v>
      </c>
      <c r="N41" s="26">
        <f t="shared" si="8"/>
        <v>2.6363500929421102E-7</v>
      </c>
      <c r="O41" s="26">
        <f t="shared" si="9"/>
        <v>2.032E-3</v>
      </c>
      <c r="P41" s="26">
        <v>7.0840480334740597E-11</v>
      </c>
      <c r="Q41" s="2">
        <v>0.05</v>
      </c>
      <c r="R41" s="2">
        <f t="shared" si="10"/>
        <v>105000</v>
      </c>
      <c r="S41" s="2">
        <f t="shared" si="11"/>
        <v>100156.35278070773</v>
      </c>
      <c r="T41" s="2">
        <f t="shared" si="12"/>
        <v>100156.35278070773</v>
      </c>
      <c r="U41" s="2">
        <f t="shared" si="13"/>
        <v>5.1940208761751296E-3</v>
      </c>
      <c r="V41" s="2">
        <v>0.12</v>
      </c>
      <c r="W41" s="2">
        <f t="shared" si="14"/>
        <v>112000.00000000001</v>
      </c>
      <c r="X41" s="2">
        <f t="shared" si="15"/>
        <v>7.0077623762376255</v>
      </c>
      <c r="Y41" s="2">
        <f t="shared" si="16"/>
        <v>1.36728377176517E-14</v>
      </c>
      <c r="Z41" s="2">
        <f t="shared" si="17"/>
        <v>8233782873.5698547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0">
        <v>61.876237623762378</v>
      </c>
      <c r="L42" s="1">
        <f t="shared" si="6"/>
        <v>6.1876237623762384E-5</v>
      </c>
      <c r="M42" s="1">
        <f t="shared" si="7"/>
        <v>4.7762865441819992E-3</v>
      </c>
      <c r="N42" s="26">
        <f t="shared" si="8"/>
        <v>2.6071477024830633E-7</v>
      </c>
      <c r="O42" s="26">
        <f t="shared" si="9"/>
        <v>2.032E-3</v>
      </c>
      <c r="P42" s="26">
        <v>7.0840480334740597E-11</v>
      </c>
      <c r="Q42" s="2">
        <v>0.05</v>
      </c>
      <c r="R42" s="2">
        <f t="shared" si="10"/>
        <v>105000</v>
      </c>
      <c r="S42" s="2">
        <f t="shared" si="11"/>
        <v>100209.37859260762</v>
      </c>
      <c r="T42" s="2">
        <f t="shared" si="12"/>
        <v>100209.37859260762</v>
      </c>
      <c r="U42" s="2">
        <f t="shared" si="13"/>
        <v>5.1940208761751296E-3</v>
      </c>
      <c r="V42" s="2">
        <v>0.12</v>
      </c>
      <c r="W42" s="2">
        <f t="shared" si="14"/>
        <v>112000.00000000001</v>
      </c>
      <c r="X42" s="2">
        <f t="shared" si="15"/>
        <v>6.9301386138613879</v>
      </c>
      <c r="Y42" s="2">
        <f t="shared" si="16"/>
        <v>1.3514220263975329E-14</v>
      </c>
      <c r="Z42" s="2">
        <f t="shared" si="17"/>
        <v>8138263442.9659433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0">
        <v>69.871287128712879</v>
      </c>
      <c r="L43" s="1">
        <f t="shared" si="6"/>
        <v>6.9871287128712878E-5</v>
      </c>
      <c r="M43" s="1">
        <f t="shared" si="7"/>
        <v>4.7762865441819992E-3</v>
      </c>
      <c r="N43" s="26">
        <f t="shared" si="8"/>
        <v>2.9440181352784986E-7</v>
      </c>
      <c r="O43" s="26">
        <f t="shared" si="9"/>
        <v>2.032E-3</v>
      </c>
      <c r="P43" s="26">
        <v>7.0840480334740597E-11</v>
      </c>
      <c r="Q43" s="2">
        <v>0.05</v>
      </c>
      <c r="R43" s="2">
        <f t="shared" si="10"/>
        <v>105000</v>
      </c>
      <c r="S43" s="2">
        <f t="shared" si="11"/>
        <v>99598.540742406723</v>
      </c>
      <c r="T43" s="2">
        <f t="shared" si="12"/>
        <v>99598.540742406723</v>
      </c>
      <c r="U43" s="2">
        <f t="shared" si="13"/>
        <v>5.1940208761751296E-3</v>
      </c>
      <c r="V43" s="2">
        <v>0.12</v>
      </c>
      <c r="W43" s="2">
        <f t="shared" si="14"/>
        <v>112000.00000000001</v>
      </c>
      <c r="X43" s="2">
        <f t="shared" si="15"/>
        <v>7.8255841584158432</v>
      </c>
      <c r="Y43" s="2">
        <f t="shared" si="16"/>
        <v>1.5354133796686812E-14</v>
      </c>
      <c r="Z43" s="2">
        <f t="shared" si="17"/>
        <v>9246259372.3647995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0">
        <v>72.346534653465355</v>
      </c>
      <c r="L44" s="1">
        <f t="shared" si="6"/>
        <v>7.2346534653465355E-5</v>
      </c>
      <c r="M44" s="1">
        <f t="shared" si="7"/>
        <v>4.7762865441819992E-3</v>
      </c>
      <c r="N44" s="26">
        <f t="shared" si="8"/>
        <v>3.0483123869179526E-7</v>
      </c>
      <c r="O44" s="26">
        <f t="shared" si="9"/>
        <v>2.032E-3</v>
      </c>
      <c r="P44" s="26">
        <v>7.0840480334740597E-11</v>
      </c>
      <c r="Q44" s="2">
        <v>0.05</v>
      </c>
      <c r="R44" s="2">
        <f t="shared" si="10"/>
        <v>105000</v>
      </c>
      <c r="S44" s="2">
        <f t="shared" si="11"/>
        <v>99409.805426310995</v>
      </c>
      <c r="T44" s="2">
        <f t="shared" si="12"/>
        <v>99409.805426310995</v>
      </c>
      <c r="U44" s="2">
        <f t="shared" si="13"/>
        <v>5.1940208761751296E-3</v>
      </c>
      <c r="V44" s="2">
        <v>0.12</v>
      </c>
      <c r="W44" s="2">
        <f t="shared" si="14"/>
        <v>112000.00000000001</v>
      </c>
      <c r="X44" s="2">
        <f t="shared" si="15"/>
        <v>8.1028118811881207</v>
      </c>
      <c r="Y44" s="2">
        <f t="shared" si="16"/>
        <v>1.5928296757822998E-14</v>
      </c>
      <c r="Z44" s="2">
        <f t="shared" si="17"/>
        <v>9592020307.5610104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0">
        <v>68.089108910891085</v>
      </c>
      <c r="L45" s="1">
        <f t="shared" si="6"/>
        <v>6.808910891089108E-5</v>
      </c>
      <c r="M45" s="1">
        <f t="shared" si="7"/>
        <v>4.7762865441819992E-3</v>
      </c>
      <c r="N45" s="26">
        <f t="shared" si="8"/>
        <v>2.8689262740980915E-7</v>
      </c>
      <c r="O45" s="26">
        <f t="shared" si="9"/>
        <v>2.032E-3</v>
      </c>
      <c r="P45" s="26">
        <v>7.0840480334740597E-11</v>
      </c>
      <c r="Q45" s="2">
        <v>0.05</v>
      </c>
      <c r="R45" s="2">
        <f t="shared" si="10"/>
        <v>105000</v>
      </c>
      <c r="S45" s="2">
        <f t="shared" si="11"/>
        <v>99734.541002232974</v>
      </c>
      <c r="T45" s="2">
        <f t="shared" si="12"/>
        <v>99734.541002232974</v>
      </c>
      <c r="U45" s="2">
        <f t="shared" si="13"/>
        <v>5.1940208761751296E-3</v>
      </c>
      <c r="V45" s="2">
        <v>0.12</v>
      </c>
      <c r="W45" s="2">
        <f t="shared" si="14"/>
        <v>112000.00000000001</v>
      </c>
      <c r="X45" s="2">
        <f t="shared" si="15"/>
        <v>7.6259801980198016</v>
      </c>
      <c r="Y45" s="2">
        <f t="shared" si="16"/>
        <v>1.4942067501617131E-14</v>
      </c>
      <c r="Z45" s="2">
        <f t="shared" si="17"/>
        <v>8998113049.4738369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0">
        <v>62.742574257425751</v>
      </c>
      <c r="L46" s="1">
        <f t="shared" si="6"/>
        <v>6.2742574257425754E-5</v>
      </c>
      <c r="M46" s="1">
        <f t="shared" si="7"/>
        <v>4.7762865441819992E-3</v>
      </c>
      <c r="N46" s="26">
        <f t="shared" si="8"/>
        <v>2.6436506905568721E-7</v>
      </c>
      <c r="O46" s="26">
        <f t="shared" si="9"/>
        <v>2.032E-3</v>
      </c>
      <c r="P46" s="26">
        <v>7.0840480334740597E-11</v>
      </c>
      <c r="Q46" s="2">
        <v>0.05</v>
      </c>
      <c r="R46" s="2">
        <f t="shared" si="10"/>
        <v>105000</v>
      </c>
      <c r="S46" s="2">
        <f t="shared" si="11"/>
        <v>100143.09852039248</v>
      </c>
      <c r="T46" s="2">
        <f t="shared" si="12"/>
        <v>100143.09852039248</v>
      </c>
      <c r="U46" s="2">
        <f t="shared" si="13"/>
        <v>5.1940208761751296E-3</v>
      </c>
      <c r="V46" s="2">
        <v>0.12</v>
      </c>
      <c r="W46" s="2">
        <f t="shared" si="14"/>
        <v>112000.00000000001</v>
      </c>
      <c r="X46" s="2">
        <f t="shared" si="15"/>
        <v>7.027168316831685</v>
      </c>
      <c r="Y46" s="2">
        <f t="shared" si="16"/>
        <v>1.3712518067329357E-14</v>
      </c>
      <c r="Z46" s="2">
        <f t="shared" si="17"/>
        <v>8257678380.1457396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0">
        <v>61.059405940594061</v>
      </c>
      <c r="L47" s="1">
        <f t="shared" si="6"/>
        <v>6.1059405940594059E-5</v>
      </c>
      <c r="M47" s="1">
        <f t="shared" si="7"/>
        <v>4.7762865441819992E-3</v>
      </c>
      <c r="N47" s="26">
        <f t="shared" si="8"/>
        <v>2.5727305994420436E-7</v>
      </c>
      <c r="O47" s="26">
        <f t="shared" si="9"/>
        <v>2.032E-3</v>
      </c>
      <c r="P47" s="26">
        <v>7.0840480334740597E-11</v>
      </c>
      <c r="Q47" s="2">
        <v>0.05</v>
      </c>
      <c r="R47" s="2">
        <f t="shared" si="10"/>
        <v>105000</v>
      </c>
      <c r="S47" s="2">
        <f t="shared" si="11"/>
        <v>100271.89131509796</v>
      </c>
      <c r="T47" s="2">
        <f t="shared" si="12"/>
        <v>100271.89131509796</v>
      </c>
      <c r="U47" s="2">
        <f t="shared" si="13"/>
        <v>5.1940208761751296E-3</v>
      </c>
      <c r="V47" s="2">
        <v>0.12</v>
      </c>
      <c r="W47" s="2">
        <f t="shared" si="14"/>
        <v>112000.00000000001</v>
      </c>
      <c r="X47" s="2">
        <f t="shared" si="15"/>
        <v>6.8386534653465354</v>
      </c>
      <c r="Y47" s="2">
        <f t="shared" si="16"/>
        <v>1.3327491571138365E-14</v>
      </c>
      <c r="Z47" s="2">
        <f t="shared" si="17"/>
        <v>8025815424.1395235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0">
        <v>68.683168316831683</v>
      </c>
      <c r="L48" s="1">
        <f t="shared" si="6"/>
        <v>6.8683168316831684E-5</v>
      </c>
      <c r="M48" s="1">
        <f t="shared" si="7"/>
        <v>4.7762865441819992E-3</v>
      </c>
      <c r="N48" s="26">
        <f t="shared" si="8"/>
        <v>2.8939568944915607E-7</v>
      </c>
      <c r="O48" s="26">
        <f t="shared" si="9"/>
        <v>2.032E-3</v>
      </c>
      <c r="P48" s="26">
        <v>7.0840480334740597E-11</v>
      </c>
      <c r="Q48" s="2">
        <v>0.05</v>
      </c>
      <c r="R48" s="2">
        <f t="shared" si="10"/>
        <v>105000</v>
      </c>
      <c r="S48" s="2">
        <f t="shared" si="11"/>
        <v>99689.197272315316</v>
      </c>
      <c r="T48" s="2">
        <f t="shared" si="12"/>
        <v>99689.197272315316</v>
      </c>
      <c r="U48" s="2">
        <f t="shared" si="13"/>
        <v>5.1940208761751296E-3</v>
      </c>
      <c r="V48" s="2">
        <v>0.12</v>
      </c>
      <c r="W48" s="2">
        <f t="shared" si="14"/>
        <v>112000.00000000001</v>
      </c>
      <c r="X48" s="2">
        <f t="shared" si="15"/>
        <v>7.6925148514851491</v>
      </c>
      <c r="Y48" s="2">
        <f t="shared" si="16"/>
        <v>1.5079299375860014E-14</v>
      </c>
      <c r="Z48" s="2">
        <f t="shared" si="17"/>
        <v>9080754084.1429005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0">
        <v>64.64851485148516</v>
      </c>
      <c r="L49" s="1">
        <f t="shared" si="6"/>
        <v>6.4648514851485157E-5</v>
      </c>
      <c r="M49" s="1">
        <f t="shared" si="7"/>
        <v>4.7762865441819992E-3</v>
      </c>
      <c r="N49" s="26">
        <f t="shared" si="8"/>
        <v>2.7239572643192517E-7</v>
      </c>
      <c r="O49" s="26">
        <f t="shared" si="9"/>
        <v>2.032E-3</v>
      </c>
      <c r="P49" s="26">
        <v>7.0840480334740597E-11</v>
      </c>
      <c r="Q49" s="2">
        <v>0.05</v>
      </c>
      <c r="R49" s="2">
        <f t="shared" si="10"/>
        <v>105000</v>
      </c>
      <c r="S49" s="2">
        <f t="shared" si="11"/>
        <v>99997.35954314188</v>
      </c>
      <c r="T49" s="2">
        <f t="shared" si="12"/>
        <v>99997.35954314188</v>
      </c>
      <c r="U49" s="2">
        <f t="shared" si="13"/>
        <v>5.1940208761751296E-3</v>
      </c>
      <c r="V49" s="2">
        <v>0.12</v>
      </c>
      <c r="W49" s="2">
        <f t="shared" si="14"/>
        <v>112000.00000000001</v>
      </c>
      <c r="X49" s="2">
        <f t="shared" si="15"/>
        <v>7.2406336633663386</v>
      </c>
      <c r="Y49" s="2">
        <f t="shared" si="16"/>
        <v>1.4149689040265667E-14</v>
      </c>
      <c r="Z49" s="2">
        <f t="shared" si="17"/>
        <v>8520942740.0479851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0">
        <v>65.836633663366342</v>
      </c>
      <c r="L50" s="1">
        <f t="shared" si="6"/>
        <v>6.5836633663366337E-5</v>
      </c>
      <c r="M50" s="1">
        <f t="shared" si="7"/>
        <v>4.7762865441819992E-3</v>
      </c>
      <c r="N50" s="26">
        <f t="shared" si="8"/>
        <v>2.7740185051061891E-7</v>
      </c>
      <c r="O50" s="26">
        <f t="shared" si="9"/>
        <v>2.032E-3</v>
      </c>
      <c r="P50" s="26">
        <v>7.0840480334740597E-11</v>
      </c>
      <c r="Q50" s="2">
        <v>0.05</v>
      </c>
      <c r="R50" s="2">
        <f t="shared" si="10"/>
        <v>105000</v>
      </c>
      <c r="S50" s="2">
        <f t="shared" si="11"/>
        <v>99906.562969398481</v>
      </c>
      <c r="T50" s="2">
        <f t="shared" si="12"/>
        <v>99906.562969398481</v>
      </c>
      <c r="U50" s="2">
        <f t="shared" si="13"/>
        <v>5.1940208761751296E-3</v>
      </c>
      <c r="V50" s="2">
        <v>0.12</v>
      </c>
      <c r="W50" s="2">
        <f t="shared" si="14"/>
        <v>112000.00000000001</v>
      </c>
      <c r="X50" s="2">
        <f t="shared" si="15"/>
        <v>7.3737029702970309</v>
      </c>
      <c r="Y50" s="2">
        <f t="shared" si="16"/>
        <v>1.4422849807110181E-14</v>
      </c>
      <c r="Z50" s="2">
        <f t="shared" si="17"/>
        <v>8685440153.8417511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0">
        <v>72.272277227722768</v>
      </c>
      <c r="L51" s="1">
        <f t="shared" si="6"/>
        <v>7.2272277227722768E-5</v>
      </c>
      <c r="M51" s="1">
        <f t="shared" si="7"/>
        <v>4.7762865441819992E-3</v>
      </c>
      <c r="N51" s="26">
        <f t="shared" si="8"/>
        <v>3.0451835593687682E-7</v>
      </c>
      <c r="O51" s="26">
        <f t="shared" si="9"/>
        <v>2.032E-3</v>
      </c>
      <c r="P51" s="26">
        <v>7.0840480334740597E-11</v>
      </c>
      <c r="Q51" s="2">
        <v>0.05</v>
      </c>
      <c r="R51" s="2">
        <f t="shared" si="10"/>
        <v>105000</v>
      </c>
      <c r="S51" s="2">
        <f t="shared" si="11"/>
        <v>99415.464881451102</v>
      </c>
      <c r="T51" s="2">
        <f t="shared" si="12"/>
        <v>99415.464881451102</v>
      </c>
      <c r="U51" s="2">
        <f t="shared" si="13"/>
        <v>5.1940208761751296E-3</v>
      </c>
      <c r="V51" s="2">
        <v>0.12</v>
      </c>
      <c r="W51" s="2">
        <f t="shared" si="14"/>
        <v>112000.00000000001</v>
      </c>
      <c r="X51" s="2">
        <f t="shared" si="15"/>
        <v>8.0944950495049515</v>
      </c>
      <c r="Y51" s="2">
        <f t="shared" si="16"/>
        <v>1.5911040517082541E-14</v>
      </c>
      <c r="Z51" s="2">
        <f t="shared" si="17"/>
        <v>9581628599.3871059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0">
        <v>67.222772277227733</v>
      </c>
      <c r="L52" s="1">
        <f t="shared" si="6"/>
        <v>6.7222772277227737E-5</v>
      </c>
      <c r="M52" s="1">
        <f t="shared" si="7"/>
        <v>4.7762865441819992E-3</v>
      </c>
      <c r="N52" s="26">
        <f t="shared" si="8"/>
        <v>2.8324232860242832E-7</v>
      </c>
      <c r="O52" s="26">
        <f t="shared" si="9"/>
        <v>2.032E-3</v>
      </c>
      <c r="P52" s="26">
        <v>7.0840480334740597E-11</v>
      </c>
      <c r="Q52" s="2">
        <v>0.05</v>
      </c>
      <c r="R52" s="2">
        <f t="shared" si="10"/>
        <v>105000</v>
      </c>
      <c r="S52" s="2">
        <f t="shared" si="11"/>
        <v>99800.685756018749</v>
      </c>
      <c r="T52" s="2">
        <f t="shared" si="12"/>
        <v>99800.685756018749</v>
      </c>
      <c r="U52" s="2">
        <f t="shared" si="13"/>
        <v>5.1940208761751296E-3</v>
      </c>
      <c r="V52" s="2">
        <v>0.12</v>
      </c>
      <c r="W52" s="2">
        <f t="shared" si="14"/>
        <v>112000.00000000001</v>
      </c>
      <c r="X52" s="2">
        <f t="shared" si="15"/>
        <v>7.5289504950495072</v>
      </c>
      <c r="Y52" s="2">
        <f t="shared" si="16"/>
        <v>1.4742158830033498E-14</v>
      </c>
      <c r="Z52" s="2">
        <f t="shared" si="17"/>
        <v>8877728047.4461727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0">
        <v>65.019801980198011</v>
      </c>
      <c r="L53" s="1">
        <f t="shared" si="6"/>
        <v>6.5019801980198012E-5</v>
      </c>
      <c r="M53" s="1">
        <f t="shared" si="7"/>
        <v>4.7762865441819992E-3</v>
      </c>
      <c r="N53" s="26">
        <f t="shared" si="8"/>
        <v>2.7396014020651688E-7</v>
      </c>
      <c r="O53" s="26">
        <f t="shared" si="9"/>
        <v>2.032E-3</v>
      </c>
      <c r="P53" s="26">
        <v>7.0840480334740597E-11</v>
      </c>
      <c r="Q53" s="2">
        <v>0.05</v>
      </c>
      <c r="R53" s="2">
        <f t="shared" si="10"/>
        <v>105000</v>
      </c>
      <c r="S53" s="2">
        <f t="shared" si="11"/>
        <v>99968.981183779455</v>
      </c>
      <c r="T53" s="2">
        <f t="shared" si="12"/>
        <v>99968.981183779455</v>
      </c>
      <c r="U53" s="2">
        <f t="shared" si="13"/>
        <v>5.1940208761751296E-3</v>
      </c>
      <c r="V53" s="2">
        <v>0.12</v>
      </c>
      <c r="W53" s="2">
        <f t="shared" si="14"/>
        <v>112000.00000000001</v>
      </c>
      <c r="X53" s="2">
        <f t="shared" si="15"/>
        <v>7.2822178217821785</v>
      </c>
      <c r="Y53" s="2">
        <f t="shared" si="16"/>
        <v>1.4234999026548223E-14</v>
      </c>
      <c r="Z53" s="2">
        <f t="shared" si="17"/>
        <v>8572316413.7873402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65.564356435643575</v>
      </c>
      <c r="L54" s="1">
        <f t="shared" si="6"/>
        <v>6.5564356435643571E-5</v>
      </c>
      <c r="M54" s="1">
        <f t="shared" si="7"/>
        <v>4.7762865441819992E-3</v>
      </c>
      <c r="N54" s="52">
        <f t="shared" si="8"/>
        <v>2.762546137425849E-7</v>
      </c>
      <c r="O54" s="26">
        <f t="shared" si="9"/>
        <v>2.032E-3</v>
      </c>
      <c r="P54" s="26">
        <v>7.0840480334740597E-11</v>
      </c>
      <c r="Q54" s="2">
        <v>0.05</v>
      </c>
      <c r="R54" s="2">
        <f t="shared" si="10"/>
        <v>105000</v>
      </c>
      <c r="S54" s="2">
        <f t="shared" si="11"/>
        <v>99927.366875047956</v>
      </c>
      <c r="T54" s="2">
        <f t="shared" si="12"/>
        <v>99927.366875047956</v>
      </c>
      <c r="U54" s="2">
        <f t="shared" si="13"/>
        <v>5.1940208761751296E-3</v>
      </c>
      <c r="V54" s="2">
        <v>0.12</v>
      </c>
      <c r="W54" s="2">
        <f t="shared" si="14"/>
        <v>112000.00000000001</v>
      </c>
      <c r="X54" s="2">
        <f t="shared" si="15"/>
        <v>7.3432079207920813</v>
      </c>
      <c r="Y54" s="11">
        <f t="shared" si="16"/>
        <v>1.4360207076199317E-14</v>
      </c>
      <c r="Z54" s="11">
        <f t="shared" si="17"/>
        <v>8647716701.2872295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1"/>
        <v>2.65</v>
      </c>
      <c r="C55" s="1">
        <v>20</v>
      </c>
      <c r="D55" s="1">
        <f t="shared" si="0"/>
        <v>29.146000000000001</v>
      </c>
      <c r="E55" s="1">
        <f t="shared" si="2"/>
        <v>4.8576666666666667E-7</v>
      </c>
      <c r="F55" s="1">
        <v>21.1</v>
      </c>
      <c r="G55" s="1">
        <f t="shared" si="3"/>
        <v>294.10000000000002</v>
      </c>
      <c r="H55" s="1">
        <v>101.3</v>
      </c>
      <c r="I55" s="1">
        <f t="shared" si="4"/>
        <v>101300</v>
      </c>
      <c r="J55" s="1">
        <f t="shared" si="5"/>
        <v>2.0124824921938581E-5</v>
      </c>
      <c r="K55" s="25">
        <v>71.876237623762378</v>
      </c>
      <c r="L55" s="1">
        <f t="shared" si="6"/>
        <v>7.1876237623762383E-5</v>
      </c>
      <c r="M55" s="1">
        <f t="shared" si="7"/>
        <v>4.7762865441819992E-3</v>
      </c>
      <c r="N55" s="52">
        <f t="shared" si="8"/>
        <v>3.0284964791064558E-7</v>
      </c>
      <c r="O55" s="26">
        <f t="shared" si="9"/>
        <v>2.032E-3</v>
      </c>
      <c r="P55" s="26">
        <v>7.0840480334740597E-11</v>
      </c>
      <c r="Q55" s="2">
        <v>0.05</v>
      </c>
      <c r="R55" s="2">
        <f t="shared" si="10"/>
        <v>105000</v>
      </c>
      <c r="S55" s="2">
        <f t="shared" si="11"/>
        <v>99445.651362886216</v>
      </c>
      <c r="T55" s="2">
        <f t="shared" si="12"/>
        <v>99445.651362886216</v>
      </c>
      <c r="U55" s="2">
        <f t="shared" si="13"/>
        <v>5.1940208761751296E-3</v>
      </c>
      <c r="V55" s="2">
        <v>0.12</v>
      </c>
      <c r="W55" s="2">
        <f t="shared" si="14"/>
        <v>112000.00000000001</v>
      </c>
      <c r="X55" s="2">
        <f t="shared" si="15"/>
        <v>8.0501386138613888</v>
      </c>
      <c r="Y55" s="11">
        <f t="shared" si="16"/>
        <v>1.5819040023324855E-14</v>
      </c>
      <c r="Z55" s="11">
        <f t="shared" si="17"/>
        <v>9526225902.0462284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1"/>
        <v>2.7</v>
      </c>
      <c r="C56" s="1">
        <v>20</v>
      </c>
      <c r="D56" s="1">
        <f t="shared" si="0"/>
        <v>29.146000000000001</v>
      </c>
      <c r="E56" s="1">
        <f t="shared" si="2"/>
        <v>4.8576666666666667E-7</v>
      </c>
      <c r="F56" s="1">
        <v>21.1</v>
      </c>
      <c r="G56" s="1">
        <f t="shared" si="3"/>
        <v>294.10000000000002</v>
      </c>
      <c r="H56" s="1">
        <v>101.3</v>
      </c>
      <c r="I56" s="1">
        <f t="shared" si="4"/>
        <v>101300</v>
      </c>
      <c r="J56" s="1">
        <f t="shared" si="5"/>
        <v>2.0124824921938581E-5</v>
      </c>
      <c r="K56" s="25">
        <v>73.163366336633672</v>
      </c>
      <c r="L56" s="1">
        <f t="shared" si="6"/>
        <v>7.3163366336633667E-5</v>
      </c>
      <c r="M56" s="1">
        <f t="shared" si="7"/>
        <v>4.7762865441819992E-3</v>
      </c>
      <c r="N56" s="52">
        <f t="shared" si="8"/>
        <v>3.0827294899589718E-7</v>
      </c>
      <c r="O56" s="26">
        <f t="shared" si="9"/>
        <v>2.032E-3</v>
      </c>
      <c r="P56" s="26">
        <v>7.0840480334740597E-11</v>
      </c>
      <c r="Q56" s="2">
        <v>0.05</v>
      </c>
      <c r="R56" s="2">
        <f t="shared" si="10"/>
        <v>105000</v>
      </c>
      <c r="S56" s="2">
        <f t="shared" si="11"/>
        <v>99347.562051932386</v>
      </c>
      <c r="T56" s="2">
        <f t="shared" si="12"/>
        <v>99347.562051932386</v>
      </c>
      <c r="U56" s="2">
        <f t="shared" si="13"/>
        <v>5.1940208761751296E-3</v>
      </c>
      <c r="V56" s="2">
        <v>0.12</v>
      </c>
      <c r="W56" s="2">
        <f t="shared" si="14"/>
        <v>112000.00000000001</v>
      </c>
      <c r="X56" s="2">
        <f t="shared" si="15"/>
        <v>8.1942970297029714</v>
      </c>
      <c r="Y56" s="11">
        <f t="shared" si="16"/>
        <v>1.6118243641285287E-14</v>
      </c>
      <c r="Z56" s="11">
        <f t="shared" si="17"/>
        <v>9706406320.7819996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1"/>
        <v>2.75</v>
      </c>
      <c r="C57" s="1">
        <v>20</v>
      </c>
      <c r="D57" s="1">
        <f t="shared" si="0"/>
        <v>29.146000000000001</v>
      </c>
      <c r="E57" s="1">
        <f t="shared" si="2"/>
        <v>4.8576666666666667E-7</v>
      </c>
      <c r="F57" s="1">
        <v>21.1</v>
      </c>
      <c r="G57" s="1">
        <f t="shared" si="3"/>
        <v>294.10000000000002</v>
      </c>
      <c r="H57" s="1">
        <v>101.3</v>
      </c>
      <c r="I57" s="1">
        <f t="shared" si="4"/>
        <v>101300</v>
      </c>
      <c r="J57" s="1">
        <f t="shared" si="5"/>
        <v>2.0124824921938581E-5</v>
      </c>
      <c r="K57" s="25">
        <v>69.970297029702976</v>
      </c>
      <c r="L57" s="1">
        <f t="shared" si="6"/>
        <v>6.9970297029702981E-5</v>
      </c>
      <c r="M57" s="1">
        <f t="shared" si="7"/>
        <v>4.7762865441819992E-3</v>
      </c>
      <c r="N57" s="52">
        <f t="shared" si="8"/>
        <v>2.9481899053440768E-7</v>
      </c>
      <c r="O57" s="26">
        <f t="shared" si="9"/>
        <v>2.032E-3</v>
      </c>
      <c r="P57" s="26">
        <v>7.0840480334740597E-11</v>
      </c>
      <c r="Q57" s="2">
        <v>0.05</v>
      </c>
      <c r="R57" s="2">
        <f t="shared" si="10"/>
        <v>105000</v>
      </c>
      <c r="S57" s="2">
        <f t="shared" si="11"/>
        <v>99590.987893104379</v>
      </c>
      <c r="T57" s="2">
        <f t="shared" si="12"/>
        <v>99590.987893104379</v>
      </c>
      <c r="U57" s="2">
        <f t="shared" si="13"/>
        <v>5.1940208761751296E-3</v>
      </c>
      <c r="V57" s="2">
        <v>0.12</v>
      </c>
      <c r="W57" s="2">
        <f t="shared" si="14"/>
        <v>112000.00000000001</v>
      </c>
      <c r="X57" s="2">
        <f t="shared" si="15"/>
        <v>7.8366732673267352</v>
      </c>
      <c r="Y57" s="11">
        <f t="shared" si="16"/>
        <v>1.5377058998144617E-14</v>
      </c>
      <c r="Z57" s="11">
        <f t="shared" si="17"/>
        <v>9260064928.6826897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1"/>
        <v>2.8</v>
      </c>
      <c r="C58" s="1">
        <v>20</v>
      </c>
      <c r="D58" s="1">
        <f t="shared" si="0"/>
        <v>29.146000000000001</v>
      </c>
      <c r="E58" s="1">
        <f t="shared" si="2"/>
        <v>4.8576666666666667E-7</v>
      </c>
      <c r="F58" s="1">
        <v>21.1</v>
      </c>
      <c r="G58" s="1">
        <f t="shared" si="3"/>
        <v>294.10000000000002</v>
      </c>
      <c r="H58" s="1">
        <v>101.3</v>
      </c>
      <c r="I58" s="1">
        <f t="shared" si="4"/>
        <v>101300</v>
      </c>
      <c r="J58" s="1">
        <f t="shared" si="5"/>
        <v>2.0124824921938581E-5</v>
      </c>
      <c r="K58" s="25">
        <v>71.752475247524757</v>
      </c>
      <c r="L58" s="1">
        <f t="shared" si="6"/>
        <v>7.1752475247524751E-5</v>
      </c>
      <c r="M58" s="1">
        <f t="shared" si="7"/>
        <v>4.7762865441819992E-3</v>
      </c>
      <c r="N58" s="52">
        <f t="shared" si="8"/>
        <v>3.0232817665244829E-7</v>
      </c>
      <c r="O58" s="26">
        <f t="shared" si="9"/>
        <v>2.032E-3</v>
      </c>
      <c r="P58" s="26">
        <v>7.0840480334740597E-11</v>
      </c>
      <c r="Q58" s="2">
        <v>0.05</v>
      </c>
      <c r="R58" s="2">
        <f t="shared" si="10"/>
        <v>105000</v>
      </c>
      <c r="S58" s="2">
        <f t="shared" si="11"/>
        <v>99455.085578045982</v>
      </c>
      <c r="T58" s="2">
        <f t="shared" si="12"/>
        <v>99455.085578045982</v>
      </c>
      <c r="U58" s="2">
        <f t="shared" si="13"/>
        <v>5.1940208761751296E-3</v>
      </c>
      <c r="V58" s="2">
        <v>0.12</v>
      </c>
      <c r="W58" s="2">
        <f t="shared" si="14"/>
        <v>112000.00000000001</v>
      </c>
      <c r="X58" s="2">
        <f t="shared" si="15"/>
        <v>8.0362772277227741</v>
      </c>
      <c r="Y58" s="11">
        <f t="shared" si="16"/>
        <v>1.5790301190724805E-14</v>
      </c>
      <c r="Z58" s="11">
        <f t="shared" si="17"/>
        <v>9508919377.0544777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1"/>
        <v>2.85</v>
      </c>
      <c r="C59" s="1">
        <v>20</v>
      </c>
      <c r="D59" s="1">
        <f t="shared" si="0"/>
        <v>29.146000000000001</v>
      </c>
      <c r="E59" s="1">
        <f t="shared" si="2"/>
        <v>4.8576666666666667E-7</v>
      </c>
      <c r="F59" s="1">
        <v>21.1</v>
      </c>
      <c r="G59" s="1">
        <f t="shared" si="3"/>
        <v>294.10000000000002</v>
      </c>
      <c r="H59" s="1">
        <v>101.3</v>
      </c>
      <c r="I59" s="1">
        <f t="shared" si="4"/>
        <v>101300</v>
      </c>
      <c r="J59" s="1">
        <f t="shared" si="5"/>
        <v>2.0124824921938581E-5</v>
      </c>
      <c r="K59" s="25">
        <v>72.17326732673267</v>
      </c>
      <c r="L59" s="1">
        <f t="shared" si="6"/>
        <v>7.2173267326732665E-5</v>
      </c>
      <c r="M59" s="1">
        <f t="shared" si="7"/>
        <v>4.7762865441819992E-3</v>
      </c>
      <c r="N59" s="52">
        <f t="shared" si="8"/>
        <v>3.0410117893031901E-7</v>
      </c>
      <c r="O59" s="26">
        <f t="shared" si="9"/>
        <v>2.032E-3</v>
      </c>
      <c r="P59" s="26">
        <v>7.0840480334740597E-11</v>
      </c>
      <c r="Q59" s="2">
        <v>0.05</v>
      </c>
      <c r="R59" s="2">
        <f t="shared" si="10"/>
        <v>105000</v>
      </c>
      <c r="S59" s="2">
        <f t="shared" si="11"/>
        <v>99423.011072227557</v>
      </c>
      <c r="T59" s="2">
        <f t="shared" si="12"/>
        <v>99423.011072227557</v>
      </c>
      <c r="U59" s="2">
        <f t="shared" si="13"/>
        <v>5.1940208761751296E-3</v>
      </c>
      <c r="V59" s="2">
        <v>0.12</v>
      </c>
      <c r="W59" s="2">
        <f t="shared" si="14"/>
        <v>112000.00000000001</v>
      </c>
      <c r="X59" s="2">
        <f t="shared" si="15"/>
        <v>8.0834059405940604</v>
      </c>
      <c r="Y59" s="11">
        <f t="shared" si="16"/>
        <v>1.5888035216759296E-14</v>
      </c>
      <c r="Z59" s="11">
        <f t="shared" si="17"/>
        <v>9567774807.5324478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si="1"/>
        <v>2.9</v>
      </c>
      <c r="C60" s="1">
        <v>20</v>
      </c>
      <c r="D60" s="1">
        <f t="shared" si="0"/>
        <v>29.146000000000001</v>
      </c>
      <c r="E60" s="1">
        <f t="shared" si="2"/>
        <v>4.8576666666666667E-7</v>
      </c>
      <c r="F60" s="1">
        <v>21.1</v>
      </c>
      <c r="G60" s="1">
        <f t="shared" si="3"/>
        <v>294.10000000000002</v>
      </c>
      <c r="H60" s="1">
        <v>101.3</v>
      </c>
      <c r="I60" s="1">
        <f t="shared" si="4"/>
        <v>101300</v>
      </c>
      <c r="J60" s="1">
        <f t="shared" si="5"/>
        <v>2.0124824921938581E-5</v>
      </c>
      <c r="K60" s="25">
        <v>67.198019801980195</v>
      </c>
      <c r="L60" s="1">
        <f t="shared" si="6"/>
        <v>6.7198019801980194E-5</v>
      </c>
      <c r="M60" s="1">
        <f t="shared" si="7"/>
        <v>4.7762865441819992E-3</v>
      </c>
      <c r="N60" s="52">
        <f t="shared" si="8"/>
        <v>2.8313803435078879E-7</v>
      </c>
      <c r="O60" s="26">
        <f t="shared" si="9"/>
        <v>2.032E-3</v>
      </c>
      <c r="P60" s="26">
        <v>7.0840480334740597E-11</v>
      </c>
      <c r="Q60" s="2">
        <v>0.05</v>
      </c>
      <c r="R60" s="2">
        <f t="shared" si="10"/>
        <v>105000</v>
      </c>
      <c r="S60" s="2">
        <f t="shared" si="11"/>
        <v>99802.575928313672</v>
      </c>
      <c r="T60" s="2">
        <f t="shared" si="12"/>
        <v>99802.575928313672</v>
      </c>
      <c r="U60" s="2">
        <f t="shared" si="13"/>
        <v>5.1940208761751296E-3</v>
      </c>
      <c r="V60" s="2">
        <v>0.12</v>
      </c>
      <c r="W60" s="2">
        <f t="shared" si="14"/>
        <v>112000.00000000001</v>
      </c>
      <c r="X60" s="2">
        <f t="shared" si="15"/>
        <v>7.5261782178217826</v>
      </c>
      <c r="Y60" s="11">
        <f t="shared" si="16"/>
        <v>1.4736451005735136E-14</v>
      </c>
      <c r="Z60" s="11">
        <f t="shared" si="17"/>
        <v>8874290795.6536999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1"/>
        <v>2.95</v>
      </c>
      <c r="C61" s="1">
        <v>20</v>
      </c>
      <c r="D61" s="1">
        <f t="shared" si="0"/>
        <v>29.146000000000001</v>
      </c>
      <c r="E61" s="1">
        <f t="shared" si="2"/>
        <v>4.8576666666666667E-7</v>
      </c>
      <c r="F61" s="1">
        <v>21.1</v>
      </c>
      <c r="G61" s="1">
        <f t="shared" si="3"/>
        <v>294.10000000000002</v>
      </c>
      <c r="H61" s="1">
        <v>101.3</v>
      </c>
      <c r="I61" s="1">
        <f t="shared" si="4"/>
        <v>101300</v>
      </c>
      <c r="J61" s="1">
        <f t="shared" si="5"/>
        <v>2.0124824921938581E-5</v>
      </c>
      <c r="K61" s="25">
        <v>65.465346534653463</v>
      </c>
      <c r="L61" s="1">
        <f t="shared" si="6"/>
        <v>6.5465346534653468E-5</v>
      </c>
      <c r="M61" s="1">
        <f t="shared" si="7"/>
        <v>4.7762865441819992E-3</v>
      </c>
      <c r="N61" s="52">
        <f t="shared" si="8"/>
        <v>2.7583743673602709E-7</v>
      </c>
      <c r="O61" s="26">
        <f t="shared" si="9"/>
        <v>2.032E-3</v>
      </c>
      <c r="P61" s="26">
        <v>7.0840480334740597E-11</v>
      </c>
      <c r="Q61" s="2">
        <v>0.05</v>
      </c>
      <c r="R61" s="2">
        <f t="shared" si="10"/>
        <v>105000</v>
      </c>
      <c r="S61" s="2">
        <f t="shared" si="11"/>
        <v>99934.932468625659</v>
      </c>
      <c r="T61" s="2">
        <f t="shared" si="12"/>
        <v>99934.932468625659</v>
      </c>
      <c r="U61" s="2">
        <f t="shared" si="13"/>
        <v>5.1940208761751296E-3</v>
      </c>
      <c r="V61" s="2">
        <v>0.12</v>
      </c>
      <c r="W61" s="2">
        <f t="shared" si="14"/>
        <v>112000.00000000001</v>
      </c>
      <c r="X61" s="2">
        <f t="shared" si="15"/>
        <v>7.3321188118811893</v>
      </c>
      <c r="Y61" s="11">
        <f t="shared" si="16"/>
        <v>1.4337434300654966E-14</v>
      </c>
      <c r="Z61" s="11">
        <f t="shared" si="17"/>
        <v>8634002935.8544216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1"/>
        <v>3</v>
      </c>
      <c r="C62" s="1">
        <v>20</v>
      </c>
      <c r="D62" s="1">
        <f t="shared" si="0"/>
        <v>29.146000000000001</v>
      </c>
      <c r="E62" s="1">
        <f t="shared" si="2"/>
        <v>4.8576666666666667E-7</v>
      </c>
      <c r="F62" s="1">
        <v>21.1</v>
      </c>
      <c r="G62" s="1">
        <f t="shared" si="3"/>
        <v>294.10000000000002</v>
      </c>
      <c r="H62" s="1">
        <v>101.3</v>
      </c>
      <c r="I62" s="1">
        <f t="shared" si="4"/>
        <v>101300</v>
      </c>
      <c r="J62" s="1">
        <f t="shared" si="5"/>
        <v>2.0124824921938581E-5</v>
      </c>
      <c r="K62" s="25">
        <v>70.193069306930695</v>
      </c>
      <c r="L62" s="1">
        <f t="shared" si="6"/>
        <v>7.0193069306930702E-5</v>
      </c>
      <c r="M62" s="1">
        <f t="shared" si="7"/>
        <v>4.7762865441819992E-3</v>
      </c>
      <c r="N62" s="52">
        <f t="shared" si="8"/>
        <v>2.9575763879916278E-7</v>
      </c>
      <c r="O62" s="26">
        <f t="shared" si="9"/>
        <v>2.032E-3</v>
      </c>
      <c r="P62" s="26">
        <v>7.0840480334740597E-11</v>
      </c>
      <c r="Q62" s="2">
        <v>0.05</v>
      </c>
      <c r="R62" s="2">
        <f t="shared" si="10"/>
        <v>105000</v>
      </c>
      <c r="S62" s="2">
        <f t="shared" si="11"/>
        <v>99573.995029280952</v>
      </c>
      <c r="T62" s="2">
        <f t="shared" si="12"/>
        <v>99573.995029280952</v>
      </c>
      <c r="U62" s="2">
        <f t="shared" si="13"/>
        <v>5.1940208761751296E-3</v>
      </c>
      <c r="V62" s="2">
        <v>0.12</v>
      </c>
      <c r="W62" s="2">
        <f t="shared" si="14"/>
        <v>112000.00000000001</v>
      </c>
      <c r="X62" s="2">
        <f t="shared" si="15"/>
        <v>7.8616237623762393</v>
      </c>
      <c r="Y62" s="11">
        <f t="shared" si="16"/>
        <v>1.5428653274648213E-14</v>
      </c>
      <c r="Z62" s="11">
        <f t="shared" si="17"/>
        <v>9291135001.9931545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>
        <v>183</v>
      </c>
      <c r="B63" s="1">
        <f t="shared" si="1"/>
        <v>3.05</v>
      </c>
      <c r="C63" s="1">
        <v>20</v>
      </c>
      <c r="D63" s="1">
        <f t="shared" si="0"/>
        <v>29.146000000000001</v>
      </c>
      <c r="E63" s="1">
        <f t="shared" si="2"/>
        <v>4.8576666666666667E-7</v>
      </c>
      <c r="F63" s="1">
        <v>21.1</v>
      </c>
      <c r="G63" s="1">
        <f t="shared" si="3"/>
        <v>294.10000000000002</v>
      </c>
      <c r="H63" s="1">
        <v>101.3</v>
      </c>
      <c r="I63" s="1">
        <f t="shared" si="4"/>
        <v>101300</v>
      </c>
      <c r="J63" s="1">
        <f t="shared" si="5"/>
        <v>2.0124824921938581E-5</v>
      </c>
      <c r="K63" s="25">
        <v>74.871287128712879</v>
      </c>
      <c r="L63" s="1">
        <f t="shared" si="6"/>
        <v>7.4871287128712877E-5</v>
      </c>
      <c r="M63" s="1">
        <f t="shared" si="7"/>
        <v>4.7762865441819992E-3</v>
      </c>
      <c r="N63" s="52">
        <f t="shared" si="8"/>
        <v>3.1546925235901951E-7</v>
      </c>
      <c r="O63" s="26">
        <f t="shared" si="9"/>
        <v>2.032E-3</v>
      </c>
      <c r="P63" s="26">
        <v>7.0840480334740597E-11</v>
      </c>
      <c r="Q63" s="2">
        <v>0.05</v>
      </c>
      <c r="R63" s="2">
        <f t="shared" si="10"/>
        <v>105000</v>
      </c>
      <c r="S63" s="2">
        <f t="shared" si="11"/>
        <v>99217.479802102258</v>
      </c>
      <c r="T63" s="2">
        <f t="shared" si="12"/>
        <v>99217.479802102258</v>
      </c>
      <c r="U63" s="2">
        <f t="shared" si="13"/>
        <v>5.1940208761751296E-3</v>
      </c>
      <c r="V63" s="2">
        <v>0.12</v>
      </c>
      <c r="W63" s="2">
        <f t="shared" si="14"/>
        <v>112000.00000000001</v>
      </c>
      <c r="X63" s="2">
        <f t="shared" si="15"/>
        <v>8.3855841584158437</v>
      </c>
      <c r="Y63" s="11">
        <f t="shared" si="16"/>
        <v>1.6516166138403713E-14</v>
      </c>
      <c r="Z63" s="11">
        <f t="shared" si="17"/>
        <v>9946035248.5467167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>
        <v>186</v>
      </c>
      <c r="B64" s="1">
        <f t="shared" si="1"/>
        <v>3.1</v>
      </c>
      <c r="C64" s="1">
        <v>20</v>
      </c>
      <c r="D64" s="1">
        <f t="shared" si="0"/>
        <v>29.146000000000001</v>
      </c>
      <c r="E64" s="1">
        <f t="shared" si="2"/>
        <v>4.8576666666666667E-7</v>
      </c>
      <c r="F64" s="1">
        <v>21.1</v>
      </c>
      <c r="G64" s="1">
        <f t="shared" si="3"/>
        <v>294.10000000000002</v>
      </c>
      <c r="H64" s="1">
        <v>101.3</v>
      </c>
      <c r="I64" s="1">
        <f t="shared" si="4"/>
        <v>101300</v>
      </c>
      <c r="J64" s="1">
        <f t="shared" si="5"/>
        <v>2.0124824921938581E-5</v>
      </c>
      <c r="K64" s="25">
        <v>67.099009900990097</v>
      </c>
      <c r="L64" s="1">
        <f t="shared" si="6"/>
        <v>6.7099009900990092E-5</v>
      </c>
      <c r="M64" s="1">
        <f t="shared" si="7"/>
        <v>4.7762865441819992E-3</v>
      </c>
      <c r="N64" s="52">
        <f t="shared" si="8"/>
        <v>2.8272085734423103E-7</v>
      </c>
      <c r="O64" s="26">
        <f t="shared" si="9"/>
        <v>2.032E-3</v>
      </c>
      <c r="P64" s="26">
        <v>7.0840480334740597E-11</v>
      </c>
      <c r="Q64" s="2">
        <v>0.05</v>
      </c>
      <c r="R64" s="2">
        <f t="shared" si="10"/>
        <v>105000</v>
      </c>
      <c r="S64" s="2">
        <f t="shared" si="11"/>
        <v>99810.136796485909</v>
      </c>
      <c r="T64" s="2">
        <f t="shared" si="12"/>
        <v>99810.136796485909</v>
      </c>
      <c r="U64" s="2">
        <f t="shared" si="13"/>
        <v>5.1940208761751296E-3</v>
      </c>
      <c r="V64" s="2">
        <v>0.12</v>
      </c>
      <c r="W64" s="2">
        <f t="shared" si="14"/>
        <v>112000.00000000001</v>
      </c>
      <c r="X64" s="2">
        <f t="shared" si="15"/>
        <v>7.5150891089108915</v>
      </c>
      <c r="Y64" s="11">
        <f t="shared" si="16"/>
        <v>1.4713621847345963E-14</v>
      </c>
      <c r="Z64" s="11">
        <f t="shared" si="17"/>
        <v>8860543076.4717388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>
        <v>189</v>
      </c>
      <c r="B65" s="1">
        <f t="shared" si="1"/>
        <v>3.15</v>
      </c>
      <c r="C65" s="1">
        <v>20</v>
      </c>
      <c r="D65" s="1">
        <f t="shared" si="0"/>
        <v>29.146000000000001</v>
      </c>
      <c r="E65" s="1">
        <f t="shared" si="2"/>
        <v>4.8576666666666667E-7</v>
      </c>
      <c r="F65" s="1">
        <v>21.1</v>
      </c>
      <c r="G65" s="1">
        <f t="shared" si="3"/>
        <v>294.10000000000002</v>
      </c>
      <c r="H65" s="1">
        <v>101.3</v>
      </c>
      <c r="I65" s="1">
        <f t="shared" si="4"/>
        <v>101300</v>
      </c>
      <c r="J65" s="1">
        <f t="shared" si="5"/>
        <v>2.0124824921938581E-5</v>
      </c>
      <c r="K65" s="25">
        <v>74.797029702970292</v>
      </c>
      <c r="L65" s="1">
        <f t="shared" si="6"/>
        <v>7.479702970297029E-5</v>
      </c>
      <c r="M65" s="1">
        <f t="shared" si="7"/>
        <v>4.7762865441819992E-3</v>
      </c>
      <c r="N65" s="52">
        <f t="shared" si="8"/>
        <v>3.1515636960410107E-7</v>
      </c>
      <c r="O65" s="26">
        <f t="shared" si="9"/>
        <v>2.032E-3</v>
      </c>
      <c r="P65" s="26">
        <v>7.0840480334740597E-11</v>
      </c>
      <c r="Q65" s="2">
        <v>0.05</v>
      </c>
      <c r="R65" s="2">
        <f t="shared" si="10"/>
        <v>105000</v>
      </c>
      <c r="S65" s="2">
        <f t="shared" si="11"/>
        <v>99223.13378006783</v>
      </c>
      <c r="T65" s="2">
        <f t="shared" si="12"/>
        <v>99223.13378006783</v>
      </c>
      <c r="U65" s="2">
        <f t="shared" si="13"/>
        <v>5.1940208761751296E-3</v>
      </c>
      <c r="V65" s="2">
        <v>0.12</v>
      </c>
      <c r="W65" s="2">
        <f t="shared" si="14"/>
        <v>112000.00000000001</v>
      </c>
      <c r="X65" s="2">
        <f t="shared" si="15"/>
        <v>8.3772673267326727</v>
      </c>
      <c r="Y65" s="11">
        <f t="shared" si="16"/>
        <v>1.6498843725661442E-14</v>
      </c>
      <c r="Z65" s="11">
        <f t="shared" si="17"/>
        <v>9935603691.5933208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>
        <v>192</v>
      </c>
      <c r="B66" s="1">
        <f t="shared" si="1"/>
        <v>3.2</v>
      </c>
      <c r="C66" s="1">
        <v>20</v>
      </c>
      <c r="D66" s="1">
        <f t="shared" ref="D66:D72" si="18">(C66*1.4573)</f>
        <v>29.146000000000001</v>
      </c>
      <c r="E66" s="1">
        <f t="shared" si="2"/>
        <v>4.8576666666666667E-7</v>
      </c>
      <c r="F66" s="1">
        <v>21.1</v>
      </c>
      <c r="G66" s="1">
        <f t="shared" si="3"/>
        <v>294.10000000000002</v>
      </c>
      <c r="H66" s="1">
        <v>101.3</v>
      </c>
      <c r="I66" s="1">
        <f t="shared" si="4"/>
        <v>101300</v>
      </c>
      <c r="J66" s="1">
        <f t="shared" si="5"/>
        <v>2.0124824921938581E-5</v>
      </c>
      <c r="K66" s="25">
        <v>72.841584158415841</v>
      </c>
      <c r="L66" s="1">
        <f t="shared" si="6"/>
        <v>7.2841584158415843E-5</v>
      </c>
      <c r="M66" s="1">
        <f t="shared" si="7"/>
        <v>4.7762865441819992E-3</v>
      </c>
      <c r="N66" s="52">
        <f t="shared" si="8"/>
        <v>3.0691712372458427E-7</v>
      </c>
      <c r="O66" s="26">
        <f t="shared" si="9"/>
        <v>2.032E-3</v>
      </c>
      <c r="P66" s="26">
        <v>7.0840480334740597E-11</v>
      </c>
      <c r="Q66" s="2">
        <v>0.05</v>
      </c>
      <c r="R66" s="2">
        <f t="shared" si="10"/>
        <v>105000</v>
      </c>
      <c r="S66" s="2">
        <f t="shared" si="11"/>
        <v>99372.079842207648</v>
      </c>
      <c r="T66" s="2">
        <f t="shared" si="12"/>
        <v>99372.079842207648</v>
      </c>
      <c r="U66" s="2">
        <f t="shared" si="13"/>
        <v>5.1940208761751296E-3</v>
      </c>
      <c r="V66" s="2">
        <v>0.12</v>
      </c>
      <c r="W66" s="2">
        <f t="shared" si="14"/>
        <v>112000.00000000001</v>
      </c>
      <c r="X66" s="2">
        <f t="shared" si="15"/>
        <v>8.1582574257425762</v>
      </c>
      <c r="Y66" s="11">
        <f t="shared" si="16"/>
        <v>1.6043388006993333E-14</v>
      </c>
      <c r="Z66" s="11">
        <f t="shared" si="17"/>
        <v>9661328257.8113861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>
        <v>195</v>
      </c>
      <c r="B67" s="1">
        <f t="shared" ref="B67:B72" si="19">(A67/60)</f>
        <v>3.25</v>
      </c>
      <c r="C67" s="1">
        <v>20</v>
      </c>
      <c r="D67" s="1">
        <f t="shared" si="18"/>
        <v>29.146000000000001</v>
      </c>
      <c r="E67" s="1">
        <f t="shared" ref="E67:E72" si="20">(D67/(1000000*60))</f>
        <v>4.8576666666666667E-7</v>
      </c>
      <c r="F67" s="1">
        <v>21.1</v>
      </c>
      <c r="G67" s="1">
        <f t="shared" ref="G67:G72" si="21">(273+F67)</f>
        <v>294.10000000000002</v>
      </c>
      <c r="H67" s="1">
        <v>101.3</v>
      </c>
      <c r="I67" s="1">
        <f t="shared" ref="I67:I72" si="22">(H67*1000)</f>
        <v>101300</v>
      </c>
      <c r="J67" s="1">
        <f t="shared" ref="J67:J72" si="23">((I67*E67)/(8.314*G67))</f>
        <v>2.0124824921938581E-5</v>
      </c>
      <c r="K67" s="25">
        <v>62.173267326732677</v>
      </c>
      <c r="L67" s="1">
        <f t="shared" ref="L67:L72" si="24">(K67/1000000)</f>
        <v>6.2173267326732679E-5</v>
      </c>
      <c r="M67" s="1">
        <f t="shared" ref="M67:M72" si="25">(3.142*3.07*3.07*25.4*25.4)/(4*1000000)</f>
        <v>4.7762865441819992E-3</v>
      </c>
      <c r="N67" s="52">
        <f t="shared" ref="N67:N72" si="26">(L67*J67)/M67</f>
        <v>2.6196630126797977E-7</v>
      </c>
      <c r="O67" s="26">
        <f t="shared" ref="O67:O72" si="27">(2.032/1000)</f>
        <v>2.032E-3</v>
      </c>
      <c r="P67" s="26">
        <v>7.0840480334740597E-11</v>
      </c>
      <c r="Q67" s="2">
        <v>0.05</v>
      </c>
      <c r="R67" s="2">
        <f t="shared" ref="R67:R72" si="28">(1+Q67)*100000*1</f>
        <v>105000</v>
      </c>
      <c r="S67" s="2">
        <f t="shared" ref="S67:S72" si="29">(SQRT(R67)-(N67*O67/P67))^2</f>
        <v>100186.65152632126</v>
      </c>
      <c r="T67" s="2">
        <f t="shared" ref="T67:T72" si="30">(S67)</f>
        <v>100186.65152632126</v>
      </c>
      <c r="U67" s="2">
        <f t="shared" ref="U67:U72" si="31">(5.19402087617513/1000)</f>
        <v>5.1940208761751296E-3</v>
      </c>
      <c r="V67" s="2">
        <v>0.12</v>
      </c>
      <c r="W67" s="2">
        <f t="shared" ref="W67:W72" si="32">(1+V67)*100000</f>
        <v>112000.00000000001</v>
      </c>
      <c r="X67" s="2">
        <f t="shared" ref="X67:X72" si="33">(L67*W67)</f>
        <v>6.9634059405940611</v>
      </c>
      <c r="Y67" s="11">
        <f t="shared" ref="Y67:Y72" si="34">(N67*U67)/(T67-X67)</f>
        <v>1.3582178814584036E-14</v>
      </c>
      <c r="Z67" s="11">
        <f t="shared" ref="Z67:Z72" si="35">(Y67*6.022E+23)</f>
        <v>8179188082.1425066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>
        <v>198</v>
      </c>
      <c r="B68" s="1">
        <f t="shared" si="19"/>
        <v>3.3</v>
      </c>
      <c r="C68" s="1">
        <v>20</v>
      </c>
      <c r="D68" s="1">
        <f t="shared" si="18"/>
        <v>29.146000000000001</v>
      </c>
      <c r="E68" s="1">
        <f t="shared" si="20"/>
        <v>4.8576666666666667E-7</v>
      </c>
      <c r="F68" s="1">
        <v>21.1</v>
      </c>
      <c r="G68" s="1">
        <f t="shared" si="21"/>
        <v>294.10000000000002</v>
      </c>
      <c r="H68" s="1">
        <v>101.3</v>
      </c>
      <c r="I68" s="1">
        <f t="shared" si="22"/>
        <v>101300</v>
      </c>
      <c r="J68" s="1">
        <f t="shared" si="23"/>
        <v>2.0124824921938581E-5</v>
      </c>
      <c r="K68" s="25">
        <v>75.663366336633672</v>
      </c>
      <c r="L68" s="1">
        <f t="shared" si="24"/>
        <v>7.5663366336633673E-5</v>
      </c>
      <c r="M68" s="1">
        <f t="shared" si="25"/>
        <v>4.7762865441819992E-3</v>
      </c>
      <c r="N68" s="52">
        <f t="shared" si="26"/>
        <v>3.1880666841148201E-7</v>
      </c>
      <c r="O68" s="26">
        <f t="shared" si="27"/>
        <v>2.032E-3</v>
      </c>
      <c r="P68" s="26">
        <v>7.0840480334740597E-11</v>
      </c>
      <c r="Q68" s="2">
        <v>0.05</v>
      </c>
      <c r="R68" s="2">
        <f t="shared" si="28"/>
        <v>105000</v>
      </c>
      <c r="S68" s="2">
        <f t="shared" si="29"/>
        <v>99157.180727390252</v>
      </c>
      <c r="T68" s="2">
        <f t="shared" si="30"/>
        <v>99157.180727390252</v>
      </c>
      <c r="U68" s="2">
        <f t="shared" si="31"/>
        <v>5.1940208761751296E-3</v>
      </c>
      <c r="V68" s="2">
        <v>0.12</v>
      </c>
      <c r="W68" s="2">
        <f t="shared" si="32"/>
        <v>112000.00000000001</v>
      </c>
      <c r="X68" s="2">
        <f t="shared" si="33"/>
        <v>8.4742970297029725</v>
      </c>
      <c r="Y68" s="11">
        <f t="shared" si="34"/>
        <v>1.6701059961444202E-14</v>
      </c>
      <c r="Z68" s="11">
        <f t="shared" si="35"/>
        <v>10057378308.781698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>
        <v>201</v>
      </c>
      <c r="B69" s="1">
        <f t="shared" si="19"/>
        <v>3.35</v>
      </c>
      <c r="C69" s="1">
        <v>20</v>
      </c>
      <c r="D69" s="1">
        <f t="shared" si="18"/>
        <v>29.146000000000001</v>
      </c>
      <c r="E69" s="1">
        <f t="shared" si="20"/>
        <v>4.8576666666666667E-7</v>
      </c>
      <c r="F69" s="1">
        <v>21.1</v>
      </c>
      <c r="G69" s="1">
        <f t="shared" si="21"/>
        <v>294.10000000000002</v>
      </c>
      <c r="H69" s="1">
        <v>101.3</v>
      </c>
      <c r="I69" s="1">
        <f t="shared" si="22"/>
        <v>101300</v>
      </c>
      <c r="J69" s="1">
        <f t="shared" si="23"/>
        <v>2.0124824921938581E-5</v>
      </c>
      <c r="K69" s="25">
        <v>64.376237623762378</v>
      </c>
      <c r="L69" s="1">
        <f t="shared" si="24"/>
        <v>6.4376237623762377E-5</v>
      </c>
      <c r="M69" s="1">
        <f t="shared" si="25"/>
        <v>4.7762865441819992E-3</v>
      </c>
      <c r="N69" s="52">
        <f t="shared" si="26"/>
        <v>2.712484896638911E-7</v>
      </c>
      <c r="O69" s="26">
        <f t="shared" si="27"/>
        <v>2.032E-3</v>
      </c>
      <c r="P69" s="26">
        <v>7.0840480334740597E-11</v>
      </c>
      <c r="Q69" s="2">
        <v>0.05</v>
      </c>
      <c r="R69" s="2">
        <f t="shared" si="28"/>
        <v>105000</v>
      </c>
      <c r="S69" s="2">
        <f t="shared" si="29"/>
        <v>100018.17289960233</v>
      </c>
      <c r="T69" s="2">
        <f t="shared" si="30"/>
        <v>100018.17289960233</v>
      </c>
      <c r="U69" s="2">
        <f t="shared" si="31"/>
        <v>5.1940208761751296E-3</v>
      </c>
      <c r="V69" s="2">
        <v>0.12</v>
      </c>
      <c r="W69" s="2">
        <f t="shared" si="32"/>
        <v>112000.00000000001</v>
      </c>
      <c r="X69" s="2">
        <f t="shared" si="33"/>
        <v>7.2101386138613872</v>
      </c>
      <c r="Y69" s="11">
        <f t="shared" si="34"/>
        <v>1.4087158837898779E-14</v>
      </c>
      <c r="Z69" s="11">
        <f t="shared" si="35"/>
        <v>8483287052.1826448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>
        <v>204</v>
      </c>
      <c r="B70" s="1">
        <f t="shared" si="19"/>
        <v>3.4</v>
      </c>
      <c r="C70" s="1">
        <v>20</v>
      </c>
      <c r="D70" s="1">
        <f t="shared" si="18"/>
        <v>29.146000000000001</v>
      </c>
      <c r="E70" s="1">
        <f t="shared" si="20"/>
        <v>4.8576666666666667E-7</v>
      </c>
      <c r="F70" s="1">
        <v>21.1</v>
      </c>
      <c r="G70" s="1">
        <f t="shared" si="21"/>
        <v>294.10000000000002</v>
      </c>
      <c r="H70" s="1">
        <v>101.3</v>
      </c>
      <c r="I70" s="1">
        <f t="shared" si="22"/>
        <v>101300</v>
      </c>
      <c r="J70" s="1">
        <f t="shared" si="23"/>
        <v>2.0124824921938581E-5</v>
      </c>
      <c r="K70" s="25">
        <v>70.56435643564356</v>
      </c>
      <c r="L70" s="1">
        <f t="shared" si="24"/>
        <v>7.0564356435643557E-5</v>
      </c>
      <c r="M70" s="1">
        <f t="shared" si="25"/>
        <v>4.7762865441819992E-3</v>
      </c>
      <c r="N70" s="52">
        <f t="shared" si="26"/>
        <v>2.9732205257375449E-7</v>
      </c>
      <c r="O70" s="26">
        <f t="shared" si="27"/>
        <v>2.032E-3</v>
      </c>
      <c r="P70" s="26">
        <v>7.0840480334740597E-11</v>
      </c>
      <c r="Q70" s="2">
        <v>0.05</v>
      </c>
      <c r="R70" s="2">
        <f t="shared" si="28"/>
        <v>105000</v>
      </c>
      <c r="S70" s="2">
        <f t="shared" si="29"/>
        <v>99545.676811442681</v>
      </c>
      <c r="T70" s="2">
        <f t="shared" si="30"/>
        <v>99545.676811442681</v>
      </c>
      <c r="U70" s="2">
        <f t="shared" si="31"/>
        <v>5.1940208761751296E-3</v>
      </c>
      <c r="V70" s="2">
        <v>0.12</v>
      </c>
      <c r="W70" s="2">
        <f t="shared" si="32"/>
        <v>112000.00000000001</v>
      </c>
      <c r="X70" s="2">
        <f t="shared" si="33"/>
        <v>7.9032079207920791</v>
      </c>
      <c r="Y70" s="11">
        <f t="shared" si="34"/>
        <v>1.5514682437710055E-14</v>
      </c>
      <c r="Z70" s="11">
        <f t="shared" si="35"/>
        <v>9342941763.9889946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>
        <v>207</v>
      </c>
      <c r="B71" s="1">
        <f t="shared" si="19"/>
        <v>3.45</v>
      </c>
      <c r="C71" s="1">
        <v>20</v>
      </c>
      <c r="D71" s="1">
        <f t="shared" si="18"/>
        <v>29.146000000000001</v>
      </c>
      <c r="E71" s="1">
        <f t="shared" si="20"/>
        <v>4.8576666666666667E-7</v>
      </c>
      <c r="F71" s="1">
        <v>21.1</v>
      </c>
      <c r="G71" s="1">
        <f t="shared" si="21"/>
        <v>294.10000000000002</v>
      </c>
      <c r="H71" s="1">
        <v>101.3</v>
      </c>
      <c r="I71" s="1">
        <f t="shared" si="22"/>
        <v>101300</v>
      </c>
      <c r="J71" s="1">
        <f t="shared" si="23"/>
        <v>2.0124824921938581E-5</v>
      </c>
      <c r="K71" s="25">
        <v>67.841584158415841</v>
      </c>
      <c r="L71" s="1">
        <f t="shared" si="24"/>
        <v>6.7841584158415843E-5</v>
      </c>
      <c r="M71" s="1">
        <f t="shared" si="25"/>
        <v>4.7762865441819992E-3</v>
      </c>
      <c r="N71" s="52">
        <f t="shared" si="26"/>
        <v>2.8584968489341462E-7</v>
      </c>
      <c r="O71" s="26">
        <f t="shared" si="27"/>
        <v>2.032E-3</v>
      </c>
      <c r="P71" s="26">
        <v>7.0840480334740597E-11</v>
      </c>
      <c r="Q71" s="2">
        <v>0.05</v>
      </c>
      <c r="R71" s="2">
        <f t="shared" si="28"/>
        <v>105000</v>
      </c>
      <c r="S71" s="2">
        <f t="shared" si="29"/>
        <v>99753.437265906745</v>
      </c>
      <c r="T71" s="2">
        <f t="shared" si="30"/>
        <v>99753.437265906745</v>
      </c>
      <c r="U71" s="2">
        <f t="shared" si="31"/>
        <v>5.1940208761751296E-3</v>
      </c>
      <c r="V71" s="2">
        <v>0.12</v>
      </c>
      <c r="W71" s="2">
        <f t="shared" si="32"/>
        <v>112000.00000000001</v>
      </c>
      <c r="X71" s="2">
        <f t="shared" si="33"/>
        <v>7.5982574257425757</v>
      </c>
      <c r="Y71" s="11">
        <f t="shared" si="34"/>
        <v>1.4884923978214658E-14</v>
      </c>
      <c r="Z71" s="11">
        <f t="shared" si="35"/>
        <v>8963701219.6808681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>
        <v>210</v>
      </c>
      <c r="B72" s="1">
        <f t="shared" si="19"/>
        <v>3.5</v>
      </c>
      <c r="C72" s="1">
        <v>20</v>
      </c>
      <c r="D72" s="1">
        <f t="shared" si="18"/>
        <v>29.146000000000001</v>
      </c>
      <c r="E72" s="1">
        <f t="shared" si="20"/>
        <v>4.8576666666666667E-7</v>
      </c>
      <c r="F72" s="1">
        <v>21.1</v>
      </c>
      <c r="G72" s="1">
        <f t="shared" si="21"/>
        <v>294.10000000000002</v>
      </c>
      <c r="H72" s="1">
        <v>101.3</v>
      </c>
      <c r="I72" s="1">
        <f t="shared" si="22"/>
        <v>101300</v>
      </c>
      <c r="J72" s="1">
        <f t="shared" si="23"/>
        <v>2.0124824921938581E-5</v>
      </c>
      <c r="K72" s="25">
        <v>66.28217821782178</v>
      </c>
      <c r="L72" s="1">
        <f t="shared" si="24"/>
        <v>6.628217821782178E-5</v>
      </c>
      <c r="M72" s="1">
        <f t="shared" si="25"/>
        <v>4.7762865441819992E-3</v>
      </c>
      <c r="N72" s="52">
        <f t="shared" si="26"/>
        <v>2.7927914704012906E-7</v>
      </c>
      <c r="O72" s="26">
        <f t="shared" si="27"/>
        <v>2.032E-3</v>
      </c>
      <c r="P72" s="26">
        <v>7.0840480334740597E-11</v>
      </c>
      <c r="Q72" s="2">
        <v>0.05</v>
      </c>
      <c r="R72" s="2">
        <f t="shared" si="28"/>
        <v>105000</v>
      </c>
      <c r="S72" s="2">
        <f t="shared" si="29"/>
        <v>99872.524886407002</v>
      </c>
      <c r="T72" s="2">
        <f t="shared" si="30"/>
        <v>99872.524886407002</v>
      </c>
      <c r="U72" s="2">
        <f t="shared" si="31"/>
        <v>5.1940208761751296E-3</v>
      </c>
      <c r="V72" s="2">
        <v>0.12</v>
      </c>
      <c r="W72" s="2">
        <f t="shared" si="32"/>
        <v>112000.00000000001</v>
      </c>
      <c r="X72" s="2">
        <f t="shared" si="33"/>
        <v>7.42360396039604</v>
      </c>
      <c r="Y72" s="11">
        <f t="shared" si="34"/>
        <v>1.4525411794297998E-14</v>
      </c>
      <c r="Z72" s="11">
        <f t="shared" si="35"/>
        <v>8747202982.5262547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0"/>
      <c r="L73" s="1"/>
      <c r="M73" s="1"/>
      <c r="N73" s="26"/>
      <c r="O73" s="26"/>
      <c r="P73" s="26"/>
      <c r="Q73" s="2"/>
      <c r="R73" s="2"/>
      <c r="S73" s="2"/>
      <c r="T73" s="2"/>
      <c r="U73" s="2"/>
      <c r="V73" s="2"/>
      <c r="W73" s="2"/>
      <c r="X73" s="2"/>
      <c r="Y73" s="2"/>
      <c r="Z73" s="2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0"/>
      <c r="L74" s="1"/>
      <c r="M74" s="1"/>
      <c r="N74" s="26"/>
      <c r="O74" s="26"/>
      <c r="P74" s="26"/>
      <c r="Q74" s="2"/>
      <c r="R74" s="2"/>
      <c r="S74" s="2"/>
      <c r="T74" s="2"/>
      <c r="U74" s="2"/>
      <c r="V74" s="2"/>
      <c r="W74" s="2"/>
      <c r="X74" s="2"/>
      <c r="Y74" s="2"/>
      <c r="Z74" s="2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0"/>
      <c r="L75" s="1"/>
      <c r="M75" s="1"/>
      <c r="N75" s="26"/>
      <c r="O75" s="26"/>
      <c r="P75" s="26"/>
      <c r="Q75" s="2"/>
      <c r="R75" s="2"/>
      <c r="S75" s="2"/>
      <c r="T75" s="2"/>
      <c r="U75" s="2"/>
      <c r="V75" s="2"/>
      <c r="W75" s="2"/>
      <c r="X75" s="2"/>
      <c r="Y75" s="44">
        <f>AVERAGE(Y54:Y72)</f>
        <v>1.5311729487896353E-14</v>
      </c>
      <c r="Z75" s="44">
        <f>AVERAGE(Z54:Z72)</f>
        <v>9220723497.6111813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0"/>
      <c r="L76" s="1"/>
      <c r="M76" s="1"/>
      <c r="N76" s="26"/>
      <c r="O76" s="26"/>
      <c r="P76" s="26"/>
      <c r="Q76" s="2"/>
      <c r="R76" s="2"/>
      <c r="S76" s="2"/>
      <c r="T76" s="2"/>
      <c r="U76" s="2"/>
      <c r="V76" s="2"/>
      <c r="W76" s="2"/>
      <c r="X76" s="2"/>
      <c r="Y76" s="2"/>
      <c r="Z76" s="2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0"/>
      <c r="L77" s="1"/>
      <c r="M77" s="1"/>
      <c r="N77" s="26"/>
      <c r="O77" s="26"/>
      <c r="P77" s="26"/>
      <c r="Q77" s="2"/>
      <c r="R77" s="2"/>
      <c r="S77" s="2"/>
      <c r="T77" s="2"/>
      <c r="U77" s="2"/>
      <c r="V77" s="2"/>
      <c r="W77" s="2"/>
      <c r="X77" s="2"/>
      <c r="Y77" s="2"/>
      <c r="Z77" s="2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0"/>
      <c r="L78" s="1"/>
      <c r="M78" s="1"/>
      <c r="N78" s="26"/>
      <c r="O78" s="26"/>
      <c r="P78" s="26"/>
      <c r="Q78" s="2"/>
      <c r="R78" s="2"/>
      <c r="S78" s="2"/>
      <c r="T78" s="2"/>
      <c r="U78" s="2"/>
      <c r="V78" s="2"/>
      <c r="W78" s="2"/>
      <c r="X78" s="2"/>
      <c r="Y78" s="2"/>
      <c r="Z78" s="2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0"/>
      <c r="L79" s="1"/>
      <c r="M79" s="1"/>
      <c r="N79" s="26"/>
      <c r="O79" s="26"/>
      <c r="P79" s="26"/>
      <c r="Q79" s="2"/>
      <c r="R79" s="2"/>
      <c r="S79" s="2"/>
      <c r="T79" s="2"/>
      <c r="U79" s="2"/>
      <c r="V79" s="2"/>
      <c r="W79" s="2"/>
      <c r="X79" s="2"/>
      <c r="Y79" s="2"/>
      <c r="Z79" s="2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0"/>
      <c r="L80" s="1"/>
      <c r="M80" s="1"/>
      <c r="N80" s="26"/>
      <c r="O80" s="26"/>
      <c r="P80" s="26"/>
      <c r="Q80" s="2"/>
      <c r="R80" s="2"/>
      <c r="S80" s="2"/>
      <c r="T80" s="2"/>
      <c r="U80" s="2"/>
      <c r="V80" s="2"/>
      <c r="W80" s="2"/>
      <c r="X80" s="2"/>
      <c r="Y80" s="2"/>
      <c r="Z80" s="2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0"/>
      <c r="L81" s="1"/>
      <c r="M81" s="1"/>
      <c r="N81" s="26"/>
      <c r="O81" s="26"/>
      <c r="P81" s="26"/>
      <c r="Q81" s="2"/>
      <c r="R81" s="2"/>
      <c r="S81" s="2"/>
      <c r="T81" s="2"/>
      <c r="U81" s="2"/>
      <c r="V81" s="2"/>
      <c r="W81" s="2"/>
      <c r="X81" s="2"/>
      <c r="Y81" s="2"/>
      <c r="Z81" s="2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0"/>
      <c r="L82" s="1"/>
      <c r="M82" s="1"/>
      <c r="N82" s="26"/>
      <c r="O82" s="26"/>
      <c r="P82" s="26"/>
      <c r="Q82" s="2"/>
      <c r="R82" s="2"/>
      <c r="S82" s="2"/>
      <c r="T82" s="2"/>
      <c r="U82" s="2"/>
      <c r="V82" s="2"/>
      <c r="W82" s="2"/>
      <c r="X82" s="2"/>
      <c r="Y82" s="2"/>
      <c r="Z82" s="2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0"/>
      <c r="L83" s="1"/>
      <c r="M83" s="1"/>
      <c r="N83" s="26"/>
      <c r="O83" s="26"/>
      <c r="P83" s="26"/>
      <c r="Q83" s="2"/>
      <c r="R83" s="2"/>
      <c r="S83" s="2"/>
      <c r="T83" s="2"/>
      <c r="U83" s="2"/>
      <c r="V83" s="2"/>
      <c r="W83" s="2"/>
      <c r="X83" s="2"/>
      <c r="Y83" s="2"/>
      <c r="Z83" s="2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0"/>
      <c r="L84" s="1"/>
      <c r="M84" s="1"/>
      <c r="N84" s="26"/>
      <c r="O84" s="26"/>
      <c r="P84" s="26"/>
      <c r="Q84" s="2"/>
      <c r="R84" s="2"/>
      <c r="S84" s="2"/>
      <c r="T84" s="2"/>
      <c r="U84" s="2"/>
      <c r="V84" s="2"/>
      <c r="W84" s="2"/>
      <c r="X84" s="2"/>
      <c r="Y84" s="2"/>
      <c r="Z84" s="2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0"/>
      <c r="L85" s="1"/>
      <c r="M85" s="1"/>
      <c r="N85" s="26"/>
      <c r="O85" s="26"/>
      <c r="P85" s="26"/>
      <c r="Q85" s="2"/>
      <c r="R85" s="2"/>
      <c r="S85" s="2"/>
      <c r="T85" s="2"/>
      <c r="U85" s="2"/>
      <c r="V85" s="2"/>
      <c r="W85" s="2"/>
      <c r="X85" s="2"/>
      <c r="Y85" s="2"/>
      <c r="Z85" s="2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0"/>
      <c r="L86" s="1"/>
      <c r="M86" s="1"/>
      <c r="N86" s="26"/>
      <c r="O86" s="26"/>
      <c r="P86" s="26"/>
      <c r="Q86" s="2"/>
      <c r="R86" s="2"/>
      <c r="S86" s="2"/>
      <c r="T86" s="2"/>
      <c r="U86" s="2"/>
      <c r="V86" s="2"/>
      <c r="W86" s="2"/>
      <c r="X86" s="2"/>
      <c r="Y86" s="2"/>
      <c r="Z86" s="2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0"/>
      <c r="L87" s="1"/>
      <c r="M87" s="1"/>
      <c r="N87" s="26"/>
      <c r="O87" s="26"/>
      <c r="P87" s="26"/>
      <c r="Q87" s="2"/>
      <c r="R87" s="2"/>
      <c r="S87" s="2"/>
      <c r="T87" s="2"/>
      <c r="U87" s="2"/>
      <c r="V87" s="2"/>
      <c r="W87" s="2"/>
      <c r="X87" s="2"/>
      <c r="Y87" s="2"/>
      <c r="Z87" s="2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0"/>
      <c r="L88" s="1"/>
      <c r="M88" s="1"/>
      <c r="N88" s="26"/>
      <c r="O88" s="26"/>
      <c r="P88" s="26"/>
      <c r="Q88" s="2"/>
      <c r="R88" s="2"/>
      <c r="S88" s="2"/>
      <c r="T88" s="2"/>
      <c r="U88" s="2"/>
      <c r="V88" s="2"/>
      <c r="W88" s="2"/>
      <c r="X88" s="2"/>
      <c r="Y88" s="2"/>
      <c r="Z88" s="2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0"/>
      <c r="L89" s="1"/>
      <c r="M89" s="1"/>
      <c r="N89" s="26"/>
      <c r="O89" s="26"/>
      <c r="P89" s="26"/>
      <c r="Q89" s="2"/>
      <c r="R89" s="2"/>
      <c r="S89" s="2"/>
      <c r="T89" s="2"/>
      <c r="U89" s="2"/>
      <c r="V89" s="2"/>
      <c r="W89" s="2"/>
      <c r="X89" s="2"/>
      <c r="Y89" s="2"/>
      <c r="Z89" s="2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1"/>
      <c r="M90" s="1"/>
      <c r="N90" s="26"/>
      <c r="O90" s="26"/>
      <c r="P90" s="26"/>
      <c r="Q90" s="2"/>
      <c r="R90" s="2"/>
      <c r="S90" s="2"/>
      <c r="T90" s="2"/>
      <c r="U90" s="2"/>
      <c r="V90" s="2"/>
      <c r="W90" s="2"/>
      <c r="X90" s="2"/>
      <c r="Y90" s="2"/>
      <c r="Z90" s="2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0"/>
      <c r="L91" s="1"/>
      <c r="M91" s="1"/>
      <c r="N91" s="26"/>
      <c r="O91" s="26"/>
      <c r="P91" s="26"/>
      <c r="Q91" s="2"/>
      <c r="R91" s="2"/>
      <c r="S91" s="2"/>
      <c r="T91" s="2"/>
      <c r="U91" s="2"/>
      <c r="V91" s="2"/>
      <c r="W91" s="2"/>
      <c r="X91" s="2"/>
      <c r="Y91" s="2"/>
      <c r="Z91" s="2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0"/>
      <c r="L92" s="1"/>
      <c r="M92" s="1"/>
      <c r="N92" s="26"/>
      <c r="O92" s="26"/>
      <c r="P92" s="26"/>
      <c r="Q92" s="2"/>
      <c r="R92" s="2"/>
      <c r="S92" s="2"/>
      <c r="T92" s="2"/>
      <c r="U92" s="2"/>
      <c r="V92" s="2"/>
      <c r="W92" s="2"/>
      <c r="X92" s="2"/>
      <c r="Y92" s="2"/>
      <c r="Z92" s="2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0"/>
      <c r="L93" s="1"/>
      <c r="M93" s="1"/>
      <c r="N93" s="26"/>
      <c r="O93" s="26"/>
      <c r="P93" s="26"/>
      <c r="Q93" s="2"/>
      <c r="R93" s="2"/>
      <c r="S93" s="2"/>
      <c r="T93" s="2"/>
      <c r="U93" s="2"/>
      <c r="V93" s="2"/>
      <c r="W93" s="2"/>
      <c r="X93" s="2"/>
      <c r="Y93" s="2"/>
      <c r="Z93" s="2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0"/>
      <c r="L94" s="1"/>
      <c r="M94" s="1"/>
      <c r="N94" s="26"/>
      <c r="O94" s="26"/>
      <c r="P94" s="26"/>
      <c r="Q94" s="2"/>
      <c r="R94" s="2"/>
      <c r="S94" s="2"/>
      <c r="T94" s="2"/>
      <c r="U94" s="2"/>
      <c r="V94" s="2"/>
      <c r="W94" s="2"/>
      <c r="X94" s="2"/>
      <c r="Y94" s="2"/>
      <c r="Z94" s="2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0"/>
      <c r="L95" s="1"/>
      <c r="M95" s="1"/>
      <c r="N95" s="26"/>
      <c r="O95" s="26"/>
      <c r="P95" s="26"/>
      <c r="Q95" s="2"/>
      <c r="R95" s="2"/>
      <c r="S95" s="2"/>
      <c r="T95" s="2"/>
      <c r="U95" s="2"/>
      <c r="V95" s="2"/>
      <c r="W95" s="2"/>
      <c r="X95" s="2"/>
      <c r="Y95" s="2"/>
      <c r="Z95" s="2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0"/>
      <c r="L96" s="1"/>
      <c r="M96" s="1"/>
      <c r="N96" s="26"/>
      <c r="O96" s="26"/>
      <c r="P96" s="26"/>
      <c r="Q96" s="2"/>
      <c r="R96" s="2"/>
      <c r="S96" s="2"/>
      <c r="T96" s="2"/>
      <c r="U96" s="2"/>
      <c r="V96" s="2"/>
      <c r="W96" s="2"/>
      <c r="X96" s="2"/>
      <c r="Y96" s="2"/>
      <c r="Z96" s="2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0"/>
      <c r="L97" s="1"/>
      <c r="M97" s="1"/>
      <c r="N97" s="26"/>
      <c r="O97" s="26"/>
      <c r="P97" s="26"/>
      <c r="Q97" s="2"/>
      <c r="R97" s="2"/>
      <c r="S97" s="2"/>
      <c r="T97" s="2"/>
      <c r="U97" s="2"/>
      <c r="V97" s="2"/>
      <c r="W97" s="2"/>
      <c r="X97" s="2"/>
      <c r="Y97" s="2"/>
      <c r="Z97" s="2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0"/>
      <c r="L98" s="1"/>
      <c r="M98" s="1"/>
      <c r="N98" s="26"/>
      <c r="O98" s="26"/>
      <c r="P98" s="26"/>
      <c r="Q98" s="2"/>
      <c r="R98" s="2"/>
      <c r="S98" s="2"/>
      <c r="T98" s="2"/>
      <c r="U98" s="2"/>
      <c r="V98" s="2"/>
      <c r="W98" s="2"/>
      <c r="X98" s="2"/>
      <c r="Y98" s="2"/>
      <c r="Z98" s="2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0"/>
      <c r="L99" s="1"/>
      <c r="M99" s="1"/>
      <c r="N99" s="26"/>
      <c r="O99" s="26"/>
      <c r="P99" s="26"/>
      <c r="Q99" s="2"/>
      <c r="R99" s="2"/>
      <c r="S99" s="2"/>
      <c r="T99" s="2"/>
      <c r="U99" s="2"/>
      <c r="V99" s="2"/>
      <c r="W99" s="2"/>
      <c r="X99" s="2"/>
      <c r="Y99" s="2"/>
      <c r="Z99" s="2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0"/>
      <c r="L100" s="1"/>
      <c r="M100" s="1"/>
      <c r="N100" s="26"/>
      <c r="O100" s="26"/>
      <c r="P100" s="26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0"/>
      <c r="L101" s="1"/>
      <c r="M101" s="1"/>
      <c r="N101" s="26"/>
      <c r="O101" s="26"/>
      <c r="P101" s="26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0"/>
      <c r="L102" s="1"/>
      <c r="M102" s="1"/>
      <c r="N102" s="26"/>
      <c r="O102" s="26"/>
      <c r="P102" s="26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0"/>
      <c r="L103" s="1"/>
      <c r="M103" s="1"/>
      <c r="N103" s="26"/>
      <c r="O103" s="26"/>
      <c r="P103" s="26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0"/>
      <c r="L104" s="1"/>
      <c r="M104" s="1"/>
      <c r="N104" s="26"/>
      <c r="O104" s="26"/>
      <c r="P104" s="26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0"/>
      <c r="L105" s="1"/>
      <c r="M105" s="1"/>
      <c r="N105" s="52"/>
      <c r="O105" s="26"/>
      <c r="P105" s="26"/>
      <c r="Q105" s="2"/>
      <c r="R105" s="2"/>
      <c r="S105" s="2"/>
      <c r="T105" s="2"/>
      <c r="U105" s="2"/>
      <c r="V105" s="2"/>
      <c r="W105" s="2"/>
      <c r="X105" s="2"/>
      <c r="Y105" s="11"/>
      <c r="Z105" s="11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0"/>
      <c r="L106" s="1"/>
      <c r="M106" s="1"/>
      <c r="N106" s="26"/>
      <c r="O106" s="26"/>
      <c r="P106" s="26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0"/>
      <c r="L107" s="1"/>
      <c r="M107" s="1"/>
      <c r="N107" s="26"/>
      <c r="O107" s="26"/>
      <c r="P107" s="26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0"/>
      <c r="L108" s="1"/>
      <c r="M108" s="1"/>
      <c r="N108" s="26"/>
      <c r="O108" s="26"/>
      <c r="P108" s="26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1"/>
      <c r="M109" s="1"/>
      <c r="N109" s="26"/>
      <c r="O109" s="26"/>
      <c r="P109" s="26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0"/>
      <c r="L110" s="1"/>
      <c r="M110" s="1"/>
      <c r="N110" s="26"/>
      <c r="O110" s="26"/>
      <c r="P110" s="26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0"/>
      <c r="L111" s="1"/>
      <c r="M111" s="1"/>
      <c r="N111" s="26"/>
      <c r="O111" s="26"/>
      <c r="P111" s="26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1"/>
      <c r="M112" s="1"/>
      <c r="N112" s="26"/>
      <c r="O112" s="26"/>
      <c r="P112" s="26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0"/>
      <c r="L113" s="1"/>
      <c r="M113" s="1"/>
      <c r="N113" s="26"/>
      <c r="O113" s="26"/>
      <c r="P113" s="26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0"/>
      <c r="L114" s="1"/>
      <c r="M114" s="1"/>
      <c r="N114" s="26"/>
      <c r="O114" s="26"/>
      <c r="P114" s="26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1"/>
      <c r="M115" s="1"/>
      <c r="N115" s="26"/>
      <c r="O115" s="26"/>
      <c r="P115" s="26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1"/>
      <c r="M116" s="1"/>
      <c r="N116" s="26"/>
      <c r="O116" s="26"/>
      <c r="P116" s="26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1"/>
      <c r="M117" s="1"/>
      <c r="N117" s="26"/>
      <c r="O117" s="26"/>
      <c r="P117" s="26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1"/>
      <c r="M118" s="1"/>
      <c r="N118" s="26"/>
      <c r="O118" s="26"/>
      <c r="P118" s="26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1"/>
      <c r="M119" s="1"/>
      <c r="N119" s="26"/>
      <c r="O119" s="26"/>
      <c r="P119" s="26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1"/>
      <c r="M120" s="1"/>
      <c r="N120" s="26"/>
      <c r="O120" s="26"/>
      <c r="P120" s="26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1"/>
      <c r="M121" s="1"/>
      <c r="N121" s="26"/>
      <c r="O121" s="26"/>
      <c r="P121" s="26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1"/>
      <c r="M122" s="1"/>
      <c r="N122" s="26"/>
      <c r="O122" s="26"/>
      <c r="P122" s="26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1"/>
      <c r="M123" s="1"/>
      <c r="N123" s="26"/>
      <c r="O123" s="26"/>
      <c r="P123" s="26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0"/>
      <c r="L124" s="1"/>
      <c r="M124" s="1"/>
      <c r="N124" s="26"/>
      <c r="O124" s="26"/>
      <c r="P124" s="26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0"/>
      <c r="L125" s="1"/>
      <c r="M125" s="1"/>
      <c r="N125" s="26"/>
      <c r="O125" s="26"/>
      <c r="P125" s="26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0"/>
      <c r="L126" s="1"/>
      <c r="M126" s="1"/>
      <c r="N126" s="26"/>
      <c r="O126" s="26"/>
      <c r="P126" s="26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0"/>
      <c r="L127" s="1"/>
      <c r="M127" s="1"/>
      <c r="N127" s="26"/>
      <c r="O127" s="26"/>
      <c r="P127" s="26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0"/>
      <c r="L128" s="1"/>
      <c r="M128" s="1"/>
      <c r="N128" s="26"/>
      <c r="O128" s="26"/>
      <c r="P128" s="2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0"/>
      <c r="L129" s="1"/>
      <c r="M129" s="1"/>
      <c r="N129" s="26"/>
      <c r="O129" s="26"/>
      <c r="P129" s="26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0"/>
      <c r="L130" s="1"/>
      <c r="M130" s="1"/>
      <c r="N130" s="26"/>
      <c r="O130" s="26"/>
      <c r="P130" s="26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0"/>
      <c r="L131" s="1"/>
      <c r="M131" s="1"/>
      <c r="N131" s="26"/>
      <c r="O131" s="26"/>
      <c r="P131" s="26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0"/>
      <c r="L132" s="1"/>
      <c r="M132" s="1"/>
      <c r="N132" s="26"/>
      <c r="O132" s="26"/>
      <c r="P132" s="26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0"/>
      <c r="L133" s="1"/>
      <c r="M133" s="1"/>
      <c r="N133" s="26"/>
      <c r="O133" s="26"/>
      <c r="P133" s="26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0"/>
      <c r="L134" s="1"/>
      <c r="M134" s="1"/>
      <c r="N134" s="26"/>
      <c r="O134" s="26"/>
      <c r="P134" s="26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0"/>
      <c r="L135" s="1"/>
      <c r="M135" s="1"/>
      <c r="N135" s="26"/>
      <c r="O135" s="26"/>
      <c r="P135" s="26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0"/>
      <c r="L136" s="1"/>
      <c r="M136" s="1"/>
      <c r="N136" s="26"/>
      <c r="O136" s="26"/>
      <c r="P136" s="26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0"/>
      <c r="L137" s="1"/>
      <c r="M137" s="1"/>
      <c r="N137" s="26"/>
      <c r="O137" s="26"/>
      <c r="P137" s="26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0"/>
      <c r="L138" s="1"/>
      <c r="M138" s="1"/>
      <c r="N138" s="26"/>
      <c r="O138" s="26"/>
      <c r="P138" s="26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0"/>
      <c r="L139" s="1"/>
      <c r="M139" s="1"/>
      <c r="N139" s="26"/>
      <c r="O139" s="26"/>
      <c r="P139" s="26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0"/>
      <c r="L140" s="1"/>
      <c r="M140" s="1"/>
      <c r="N140" s="26"/>
      <c r="O140" s="26"/>
      <c r="P140" s="26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0"/>
      <c r="L141" s="1"/>
      <c r="M141" s="1"/>
      <c r="N141" s="26"/>
      <c r="O141" s="26"/>
      <c r="P141" s="26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0"/>
      <c r="L142" s="1"/>
      <c r="M142" s="1"/>
      <c r="N142" s="26"/>
      <c r="O142" s="26"/>
      <c r="P142" s="26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0"/>
      <c r="L143" s="1"/>
      <c r="M143" s="1"/>
      <c r="N143" s="26"/>
      <c r="O143" s="26"/>
      <c r="P143" s="26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0"/>
      <c r="L144" s="1"/>
      <c r="M144" s="1"/>
      <c r="N144" s="26"/>
      <c r="O144" s="26"/>
      <c r="P144" s="26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0"/>
      <c r="L145" s="1"/>
      <c r="M145" s="1"/>
      <c r="N145" s="26"/>
      <c r="O145" s="26"/>
      <c r="P145" s="26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0"/>
      <c r="L146" s="1"/>
      <c r="M146" s="1"/>
      <c r="N146" s="26"/>
      <c r="O146" s="26"/>
      <c r="P146" s="26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0"/>
      <c r="L147" s="1"/>
      <c r="M147" s="1"/>
      <c r="N147" s="26"/>
      <c r="O147" s="26"/>
      <c r="P147" s="26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0"/>
      <c r="L148" s="1"/>
      <c r="M148" s="1"/>
      <c r="N148" s="26"/>
      <c r="O148" s="26"/>
      <c r="P148" s="26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0"/>
      <c r="L149" s="1"/>
      <c r="M149" s="1"/>
      <c r="N149" s="26"/>
      <c r="O149" s="26"/>
      <c r="P149" s="26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0"/>
      <c r="L150" s="1"/>
      <c r="M150" s="1"/>
      <c r="N150" s="26"/>
      <c r="O150" s="26"/>
      <c r="P150" s="26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1"/>
      <c r="M151" s="1"/>
      <c r="N151" s="26"/>
      <c r="O151" s="26"/>
      <c r="P151" s="26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0"/>
      <c r="L152" s="1"/>
      <c r="M152" s="1"/>
      <c r="N152" s="26"/>
      <c r="O152" s="26"/>
      <c r="P152" s="26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0"/>
      <c r="L153" s="1"/>
      <c r="M153" s="1"/>
      <c r="N153" s="26"/>
      <c r="O153" s="26"/>
      <c r="P153" s="26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0"/>
      <c r="L154" s="1"/>
      <c r="M154" s="1"/>
      <c r="N154" s="26"/>
      <c r="O154" s="26"/>
      <c r="P154" s="26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0"/>
      <c r="L155" s="1"/>
      <c r="M155" s="1"/>
      <c r="N155" s="26"/>
      <c r="O155" s="26"/>
      <c r="P155" s="26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0"/>
      <c r="L156" s="1"/>
      <c r="M156" s="1"/>
      <c r="N156" s="26"/>
      <c r="O156" s="26"/>
      <c r="P156" s="26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0"/>
      <c r="L157" s="1"/>
      <c r="M157" s="1"/>
      <c r="N157" s="26"/>
      <c r="O157" s="26"/>
      <c r="P157" s="26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0"/>
      <c r="L158" s="1"/>
      <c r="M158" s="1"/>
      <c r="N158" s="26"/>
      <c r="O158" s="26"/>
      <c r="P158" s="26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0"/>
      <c r="L159" s="1"/>
      <c r="M159" s="1"/>
      <c r="N159" s="26"/>
      <c r="O159" s="26"/>
      <c r="P159" s="26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0"/>
      <c r="L160" s="1"/>
      <c r="M160" s="1"/>
      <c r="N160" s="26"/>
      <c r="O160" s="26"/>
      <c r="P160" s="26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0"/>
      <c r="L161" s="1"/>
      <c r="M161" s="1"/>
      <c r="N161" s="26"/>
      <c r="O161" s="26"/>
      <c r="P161" s="26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0"/>
      <c r="L162" s="1"/>
      <c r="M162" s="1"/>
      <c r="N162" s="26"/>
      <c r="O162" s="26"/>
      <c r="P162" s="26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0"/>
      <c r="L163" s="1"/>
      <c r="M163" s="1"/>
      <c r="N163" s="26"/>
      <c r="O163" s="26"/>
      <c r="P163" s="26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0"/>
      <c r="L164" s="1"/>
      <c r="M164" s="1"/>
      <c r="N164" s="26"/>
      <c r="O164" s="26"/>
      <c r="P164" s="26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0"/>
      <c r="L165" s="1"/>
      <c r="M165" s="1"/>
      <c r="N165" s="26"/>
      <c r="O165" s="26"/>
      <c r="P165" s="26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0"/>
      <c r="L166" s="1"/>
      <c r="M166" s="1"/>
      <c r="N166" s="26"/>
      <c r="O166" s="26"/>
      <c r="P166" s="26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0"/>
      <c r="L167" s="1"/>
      <c r="M167" s="1"/>
      <c r="N167" s="26"/>
      <c r="O167" s="26"/>
      <c r="P167" s="26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0"/>
      <c r="L168" s="1"/>
      <c r="M168" s="1"/>
      <c r="N168" s="26"/>
      <c r="O168" s="26"/>
      <c r="P168" s="26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0"/>
      <c r="L169" s="1"/>
      <c r="M169" s="1"/>
      <c r="N169" s="26"/>
      <c r="O169" s="26"/>
      <c r="P169" s="26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0"/>
      <c r="L170" s="1"/>
      <c r="M170" s="1"/>
      <c r="N170" s="26"/>
      <c r="O170" s="26"/>
      <c r="P170" s="26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0"/>
      <c r="L171" s="1"/>
      <c r="M171" s="1"/>
      <c r="N171" s="26"/>
      <c r="O171" s="26"/>
      <c r="P171" s="26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0"/>
      <c r="L172" s="1"/>
      <c r="M172" s="1"/>
      <c r="N172" s="26"/>
      <c r="O172" s="26"/>
      <c r="P172" s="26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0"/>
      <c r="L173" s="1"/>
      <c r="M173" s="1"/>
      <c r="N173" s="26"/>
      <c r="O173" s="26"/>
      <c r="P173" s="26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0"/>
      <c r="L174" s="1"/>
      <c r="M174" s="1"/>
      <c r="N174" s="52"/>
      <c r="O174" s="26"/>
      <c r="P174" s="26"/>
      <c r="Q174" s="2"/>
      <c r="R174" s="2"/>
      <c r="S174" s="2"/>
      <c r="T174" s="2"/>
      <c r="U174" s="2"/>
      <c r="V174" s="2"/>
      <c r="W174" s="2"/>
      <c r="X174" s="2"/>
      <c r="Y174" s="11"/>
      <c r="Z174" s="11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0"/>
      <c r="L175" s="1"/>
      <c r="M175" s="1"/>
      <c r="N175" s="26"/>
      <c r="O175" s="26"/>
      <c r="P175" s="26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0"/>
      <c r="L176" s="1"/>
      <c r="M176" s="1"/>
      <c r="N176" s="26"/>
      <c r="O176" s="26"/>
      <c r="P176" s="26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0"/>
      <c r="L177" s="1"/>
      <c r="M177" s="1"/>
      <c r="N177" s="26"/>
      <c r="O177" s="26"/>
      <c r="P177" s="26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0"/>
      <c r="L178" s="1"/>
      <c r="M178" s="1"/>
      <c r="N178" s="26"/>
      <c r="O178" s="26"/>
      <c r="P178" s="26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0"/>
      <c r="L179" s="1"/>
      <c r="M179" s="1"/>
      <c r="N179" s="26"/>
      <c r="O179" s="26"/>
      <c r="P179" s="26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0"/>
      <c r="L180" s="1"/>
      <c r="M180" s="1"/>
      <c r="N180" s="26"/>
      <c r="O180" s="26"/>
      <c r="P180" s="26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0"/>
      <c r="L181" s="1"/>
      <c r="M181" s="1"/>
      <c r="N181" s="26"/>
      <c r="O181" s="26"/>
      <c r="P181" s="26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0"/>
      <c r="L182" s="1"/>
      <c r="M182" s="1"/>
      <c r="N182" s="26"/>
      <c r="O182" s="26"/>
      <c r="P182" s="26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0"/>
      <c r="L183" s="1"/>
      <c r="M183" s="1"/>
      <c r="N183" s="26"/>
      <c r="O183" s="26"/>
      <c r="P183" s="26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0"/>
      <c r="L184" s="1"/>
      <c r="M184" s="1"/>
      <c r="N184" s="26"/>
      <c r="O184" s="26"/>
      <c r="P184" s="26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0"/>
      <c r="L185" s="1"/>
      <c r="M185" s="1"/>
      <c r="N185" s="26"/>
      <c r="O185" s="26"/>
      <c r="P185" s="26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0"/>
      <c r="L186" s="1"/>
      <c r="M186" s="1"/>
      <c r="N186" s="26"/>
      <c r="O186" s="26"/>
      <c r="P186" s="26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0"/>
      <c r="L187" s="1"/>
      <c r="M187" s="1"/>
      <c r="N187" s="26"/>
      <c r="O187" s="26"/>
      <c r="P187" s="26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0"/>
      <c r="L188" s="1"/>
      <c r="M188" s="1"/>
      <c r="N188" s="26"/>
      <c r="O188" s="26"/>
      <c r="P188" s="26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0"/>
      <c r="L189" s="1"/>
      <c r="M189" s="1"/>
      <c r="N189" s="26"/>
      <c r="O189" s="26"/>
      <c r="P189" s="26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0"/>
      <c r="L190" s="1"/>
      <c r="M190" s="1"/>
      <c r="N190" s="26"/>
      <c r="O190" s="26"/>
      <c r="P190" s="26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0"/>
      <c r="L191" s="1"/>
      <c r="M191" s="1"/>
      <c r="N191" s="26"/>
      <c r="O191" s="26"/>
      <c r="P191" s="26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0"/>
      <c r="L192" s="1"/>
      <c r="M192" s="1"/>
      <c r="N192" s="26"/>
      <c r="O192" s="26"/>
      <c r="P192" s="26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0"/>
      <c r="L193" s="1"/>
      <c r="M193" s="1"/>
      <c r="N193" s="26"/>
      <c r="O193" s="26"/>
      <c r="P193" s="26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0"/>
      <c r="L194" s="1"/>
      <c r="M194" s="1"/>
      <c r="N194" s="26"/>
      <c r="O194" s="26"/>
      <c r="P194" s="26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0"/>
      <c r="L195" s="1"/>
      <c r="M195" s="1"/>
      <c r="N195" s="26"/>
      <c r="O195" s="26"/>
      <c r="P195" s="26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0"/>
      <c r="L196" s="1"/>
      <c r="M196" s="1"/>
      <c r="N196" s="26"/>
      <c r="O196" s="26"/>
      <c r="P196" s="26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0"/>
      <c r="L197" s="1"/>
      <c r="M197" s="1"/>
      <c r="N197" s="26"/>
      <c r="O197" s="26"/>
      <c r="P197" s="26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0"/>
      <c r="L198" s="1"/>
      <c r="M198" s="1"/>
      <c r="N198" s="26"/>
      <c r="O198" s="26"/>
      <c r="P198" s="26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0"/>
      <c r="L199" s="1"/>
      <c r="M199" s="1"/>
      <c r="N199" s="26"/>
      <c r="O199" s="26"/>
      <c r="P199" s="26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0"/>
      <c r="L200" s="1"/>
      <c r="M200" s="1"/>
      <c r="N200" s="26"/>
      <c r="O200" s="26"/>
      <c r="P200" s="26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0"/>
      <c r="L201" s="1"/>
      <c r="M201" s="1"/>
      <c r="N201" s="26"/>
      <c r="O201" s="26"/>
      <c r="P201" s="26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0"/>
      <c r="L202" s="1"/>
      <c r="M202" s="1"/>
      <c r="N202" s="26"/>
      <c r="O202" s="26"/>
      <c r="P202" s="26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1"/>
      <c r="M203" s="1"/>
      <c r="N203" s="26"/>
      <c r="O203" s="26"/>
      <c r="P203" s="26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0"/>
      <c r="L204" s="1"/>
      <c r="M204" s="1"/>
      <c r="N204" s="26"/>
      <c r="O204" s="26"/>
      <c r="P204" s="26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0"/>
      <c r="L205" s="1"/>
      <c r="M205" s="1"/>
      <c r="N205" s="26"/>
      <c r="O205" s="26"/>
      <c r="P205" s="26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0"/>
      <c r="L206" s="1"/>
      <c r="M206" s="1"/>
      <c r="N206" s="26"/>
      <c r="O206" s="26"/>
      <c r="P206" s="26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0"/>
      <c r="L207" s="1"/>
      <c r="M207" s="1"/>
      <c r="N207" s="26"/>
      <c r="O207" s="26"/>
      <c r="P207" s="26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0"/>
      <c r="L208" s="1"/>
      <c r="M208" s="1"/>
      <c r="N208" s="26"/>
      <c r="O208" s="26"/>
      <c r="P208" s="26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0"/>
      <c r="L209" s="1"/>
      <c r="M209" s="1"/>
      <c r="N209" s="26"/>
      <c r="O209" s="26"/>
      <c r="P209" s="26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0"/>
      <c r="L210" s="1"/>
      <c r="M210" s="1"/>
      <c r="N210" s="26"/>
      <c r="O210" s="26"/>
      <c r="P210" s="26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0"/>
      <c r="L211" s="1"/>
      <c r="M211" s="1"/>
      <c r="N211" s="26"/>
      <c r="O211" s="26"/>
      <c r="P211" s="26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0"/>
      <c r="L212" s="1"/>
      <c r="M212" s="1"/>
      <c r="N212" s="26"/>
      <c r="O212" s="26"/>
      <c r="P212" s="26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0"/>
      <c r="L213" s="1"/>
      <c r="M213" s="1"/>
      <c r="N213" s="26"/>
      <c r="O213" s="26"/>
      <c r="P213" s="26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0"/>
      <c r="L214" s="1"/>
      <c r="M214" s="1"/>
      <c r="N214" s="26"/>
      <c r="O214" s="26"/>
      <c r="P214" s="26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0"/>
      <c r="L215" s="1"/>
      <c r="M215" s="1"/>
      <c r="N215" s="30"/>
      <c r="O215" s="30"/>
      <c r="P215" s="30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0"/>
      <c r="L216" s="1"/>
      <c r="M216" s="1"/>
      <c r="N216" s="30"/>
      <c r="O216" s="30"/>
      <c r="P216" s="30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0"/>
      <c r="L217" s="1"/>
      <c r="M217" s="1"/>
      <c r="N217" s="30"/>
      <c r="O217" s="30"/>
      <c r="P217" s="30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0"/>
      <c r="L218" s="1"/>
      <c r="M218" s="1"/>
      <c r="N218" s="30"/>
      <c r="O218" s="30"/>
      <c r="P218" s="30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0"/>
      <c r="L219" s="1"/>
      <c r="M219" s="1"/>
      <c r="N219" s="30"/>
      <c r="O219" s="30"/>
      <c r="P219" s="30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0"/>
      <c r="L220" s="1"/>
      <c r="M220" s="1"/>
      <c r="N220" s="30"/>
      <c r="O220" s="30"/>
      <c r="P220" s="30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0"/>
      <c r="L221" s="1"/>
      <c r="M221" s="1"/>
      <c r="N221" s="30"/>
      <c r="O221" s="30"/>
      <c r="P221" s="30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0"/>
      <c r="L222" s="1"/>
      <c r="M222" s="1"/>
      <c r="N222" s="30"/>
      <c r="O222" s="30"/>
      <c r="P222" s="30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0"/>
      <c r="L223" s="1"/>
      <c r="M223" s="1"/>
      <c r="N223" s="30"/>
      <c r="O223" s="30"/>
      <c r="P223" s="30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0"/>
      <c r="L224" s="1"/>
      <c r="M224" s="1"/>
      <c r="N224" s="30"/>
      <c r="O224" s="30"/>
      <c r="P224" s="30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0"/>
      <c r="L225" s="1"/>
      <c r="M225" s="1"/>
      <c r="N225" s="30"/>
      <c r="O225" s="30"/>
      <c r="P225" s="30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0"/>
      <c r="L226" s="1"/>
      <c r="M226" s="1"/>
      <c r="N226" s="30"/>
      <c r="O226" s="30"/>
      <c r="P226" s="30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0"/>
      <c r="L227" s="1"/>
      <c r="M227" s="1"/>
      <c r="N227" s="30"/>
      <c r="O227" s="30"/>
      <c r="P227" s="30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0"/>
      <c r="L228" s="1"/>
      <c r="M228" s="1"/>
      <c r="N228" s="30"/>
      <c r="O228" s="30"/>
      <c r="P228" s="30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0"/>
      <c r="L229" s="1"/>
      <c r="M229" s="1"/>
      <c r="N229" s="30"/>
      <c r="O229" s="30"/>
      <c r="P229" s="30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0"/>
      <c r="L230" s="1"/>
      <c r="M230" s="1"/>
      <c r="N230" s="30"/>
      <c r="O230" s="30"/>
      <c r="P230" s="30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0"/>
      <c r="L231" s="1"/>
      <c r="M231" s="1"/>
      <c r="N231" s="30"/>
      <c r="O231" s="30"/>
      <c r="P231" s="30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0"/>
      <c r="L232" s="1"/>
      <c r="M232" s="1"/>
      <c r="N232" s="30"/>
      <c r="O232" s="30"/>
      <c r="P232" s="30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0"/>
      <c r="L233" s="1"/>
      <c r="M233" s="1"/>
      <c r="N233" s="30"/>
      <c r="O233" s="30"/>
      <c r="P233" s="30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0"/>
      <c r="L234" s="1"/>
      <c r="M234" s="1"/>
      <c r="N234" s="30"/>
      <c r="O234" s="30"/>
      <c r="P234" s="30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0"/>
      <c r="L235" s="1"/>
      <c r="M235" s="1"/>
      <c r="N235" s="30"/>
      <c r="O235" s="30"/>
      <c r="P235" s="30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0"/>
      <c r="L236" s="1"/>
      <c r="M236" s="1"/>
      <c r="N236" s="30"/>
      <c r="O236" s="30"/>
      <c r="P236" s="30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0"/>
      <c r="L237" s="1"/>
      <c r="M237" s="1"/>
      <c r="N237" s="30"/>
      <c r="O237" s="30"/>
      <c r="P237" s="30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0"/>
      <c r="L238" s="1"/>
      <c r="M238" s="1"/>
      <c r="N238" s="30"/>
      <c r="O238" s="30"/>
      <c r="P238" s="30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0"/>
      <c r="L239" s="1"/>
      <c r="M239" s="1"/>
      <c r="N239" s="30"/>
      <c r="O239" s="30"/>
      <c r="P239" s="30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0"/>
      <c r="L240" s="1"/>
      <c r="M240" s="1"/>
      <c r="N240" s="30"/>
      <c r="O240" s="30"/>
      <c r="P240" s="30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0"/>
      <c r="L241" s="1"/>
      <c r="M241" s="1"/>
      <c r="N241" s="30"/>
      <c r="O241" s="30"/>
      <c r="P241" s="30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0"/>
      <c r="L242" s="1"/>
      <c r="M242" s="1"/>
      <c r="N242" s="30"/>
      <c r="O242" s="30"/>
      <c r="P242" s="30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0"/>
      <c r="L243" s="1"/>
      <c r="M243" s="1"/>
      <c r="N243" s="30"/>
      <c r="O243" s="30"/>
      <c r="P243" s="30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0"/>
      <c r="L244" s="1"/>
      <c r="M244" s="1"/>
      <c r="N244" s="30"/>
      <c r="O244" s="30"/>
      <c r="P244" s="30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1"/>
      <c r="M245" s="1"/>
      <c r="N245" s="30"/>
      <c r="O245" s="30"/>
      <c r="P245" s="30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1"/>
      <c r="M246" s="1"/>
      <c r="N246" s="30"/>
      <c r="O246" s="30"/>
      <c r="P246" s="30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  <row r="247" spans="1:74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0"/>
      <c r="L247" s="1"/>
      <c r="M247" s="1"/>
      <c r="N247" s="30"/>
      <c r="O247" s="30"/>
      <c r="P247" s="30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</row>
    <row r="248" spans="1:74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0"/>
      <c r="L248" s="1"/>
      <c r="M248" s="1"/>
      <c r="N248" s="30"/>
      <c r="O248" s="30"/>
      <c r="P248" s="30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</row>
    <row r="249" spans="1:74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0"/>
      <c r="L249" s="1"/>
      <c r="M249" s="1"/>
      <c r="N249" s="30"/>
      <c r="O249" s="30"/>
      <c r="P249" s="30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</row>
    <row r="250" spans="1:74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0"/>
      <c r="L250" s="1"/>
      <c r="M250" s="1"/>
      <c r="N250" s="30"/>
      <c r="O250" s="30"/>
      <c r="P250" s="30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</row>
    <row r="251" spans="1:74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0"/>
      <c r="L251" s="1"/>
      <c r="M251" s="1"/>
      <c r="N251" s="30"/>
      <c r="O251" s="30"/>
      <c r="P251" s="30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</row>
    <row r="252" spans="1:74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0"/>
      <c r="L252" s="1"/>
      <c r="M252" s="1"/>
      <c r="N252" s="30"/>
      <c r="O252" s="30"/>
      <c r="P252" s="30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</row>
    <row r="253" spans="1:74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0"/>
      <c r="L253" s="1"/>
      <c r="M253" s="1"/>
      <c r="N253" s="30"/>
      <c r="O253" s="30"/>
      <c r="P253" s="30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</row>
    <row r="254" spans="1:74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0"/>
      <c r="L254" s="1"/>
      <c r="M254" s="1"/>
      <c r="N254" s="30"/>
      <c r="O254" s="30"/>
      <c r="P254" s="30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</row>
    <row r="255" spans="1:74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0"/>
      <c r="L255" s="1"/>
      <c r="M255" s="1"/>
      <c r="N255" s="30"/>
      <c r="O255" s="30"/>
      <c r="P255" s="30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</row>
    <row r="256" spans="1:74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0"/>
      <c r="L256" s="1"/>
      <c r="M256" s="1"/>
      <c r="N256" s="30"/>
      <c r="O256" s="30"/>
      <c r="P256" s="30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</row>
    <row r="257" spans="1:74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0"/>
      <c r="L257" s="1"/>
      <c r="M257" s="1"/>
      <c r="N257" s="30"/>
      <c r="O257" s="30"/>
      <c r="P257" s="30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</row>
    <row r="258" spans="1:74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0"/>
      <c r="L258" s="1"/>
      <c r="M258" s="1"/>
      <c r="N258" s="30"/>
      <c r="O258" s="30"/>
      <c r="P258" s="30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</row>
    <row r="259" spans="1:74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0"/>
      <c r="L259" s="1"/>
      <c r="M259" s="1"/>
      <c r="N259" s="30"/>
      <c r="O259" s="30"/>
      <c r="P259" s="30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97EA-E7DD-48A6-854C-476F2EF95D52}">
  <dimension ref="A1:BV268"/>
  <sheetViews>
    <sheetView topLeftCell="N1" zoomScale="120" zoomScaleNormal="120" workbookViewId="0">
      <selection activeCell="W2" sqref="W2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20" customWidth="1"/>
    <col min="12" max="12" width="20.88671875" style="1" customWidth="1"/>
    <col min="13" max="13" width="27.33203125" style="1" customWidth="1"/>
    <col min="14" max="15" width="20.6640625" style="30" customWidth="1"/>
    <col min="16" max="16" width="36.33203125" style="30" customWidth="1"/>
    <col min="17" max="17" width="23.21875" style="9" customWidth="1"/>
    <col min="18" max="18" width="30.88671875" style="9" customWidth="1"/>
    <col min="19" max="19" width="33.109375" style="9" customWidth="1"/>
    <col min="20" max="24" width="20.6640625" style="9" customWidth="1"/>
    <col min="25" max="25" width="53.33203125" style="9" customWidth="1"/>
    <col min="26" max="26" width="53.88671875" style="9" customWidth="1"/>
    <col min="27" max="16384" width="8.88671875" style="7"/>
  </cols>
  <sheetData>
    <row r="1" spans="1:26" s="28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13" t="s">
        <v>10</v>
      </c>
      <c r="M1" s="13" t="s">
        <v>41</v>
      </c>
      <c r="N1" s="29" t="s">
        <v>9</v>
      </c>
      <c r="O1" s="29" t="s">
        <v>34</v>
      </c>
      <c r="P1" s="29" t="s">
        <v>38</v>
      </c>
      <c r="Q1" s="18" t="s">
        <v>14</v>
      </c>
      <c r="R1" s="23" t="s">
        <v>26</v>
      </c>
      <c r="S1" s="15" t="s">
        <v>13</v>
      </c>
      <c r="T1" s="15" t="s">
        <v>24</v>
      </c>
      <c r="U1" s="15" t="s">
        <v>37</v>
      </c>
      <c r="V1" s="23" t="s">
        <v>15</v>
      </c>
      <c r="W1" s="23" t="s">
        <v>16</v>
      </c>
      <c r="X1" s="23" t="s">
        <v>29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16.10891089108911</v>
      </c>
      <c r="L2" s="14">
        <f>(K2/1000000)</f>
        <v>1.6108910891089111E-5</v>
      </c>
      <c r="M2" s="1">
        <f>(3.142*3.07*3.07*25.4*25.4)/(4*1000000)</f>
        <v>4.7762865441819992E-3</v>
      </c>
      <c r="N2" s="26">
        <f>(L2*J2)/M2</f>
        <v>6.7874698966956461E-8</v>
      </c>
      <c r="O2" s="26">
        <f>(2.032/1000)</f>
        <v>2.032E-3</v>
      </c>
      <c r="P2" s="26">
        <v>1.0571269522665299E-10</v>
      </c>
      <c r="Q2" s="2">
        <v>0.05</v>
      </c>
      <c r="R2" s="2">
        <f>(1+Q2)*100000*1</f>
        <v>105000</v>
      </c>
      <c r="S2" s="2">
        <f>(SQRT(R2)-(N2*O2/P2))^2</f>
        <v>104156.17200212742</v>
      </c>
      <c r="T2" s="2">
        <f>(S2)</f>
        <v>104156.17200212742</v>
      </c>
      <c r="U2" s="2">
        <f>(5.24933748552653/1000)</f>
        <v>5.2493374855265302E-3</v>
      </c>
      <c r="V2" s="2">
        <v>0.13</v>
      </c>
      <c r="W2" s="2">
        <f>(1+V2)*100000</f>
        <v>112999.99999999999</v>
      </c>
      <c r="X2" s="2">
        <f>(L2*W2)</f>
        <v>1.8203069306930693</v>
      </c>
      <c r="Y2" s="2">
        <f>(N2*U2)/(T2-X2)</f>
        <v>3.4208575619457741E-15</v>
      </c>
      <c r="Z2" s="2">
        <f>(Y2*6.022E+23)</f>
        <v>2060040423.8037453</v>
      </c>
    </row>
    <row r="3" spans="1:26" x14ac:dyDescent="0.25">
      <c r="A3" s="1">
        <v>3</v>
      </c>
      <c r="B3" s="1">
        <f t="shared" ref="B3:B66" si="1">(A3/60)</f>
        <v>0.05</v>
      </c>
      <c r="C3" s="1">
        <v>20</v>
      </c>
      <c r="D3" s="1">
        <f t="shared" si="0"/>
        <v>29.146000000000001</v>
      </c>
      <c r="E3" s="1">
        <f t="shared" ref="E3:E66" si="2">(D3/(1000000*60))</f>
        <v>4.8576666666666667E-7</v>
      </c>
      <c r="F3" s="1">
        <v>21.1</v>
      </c>
      <c r="G3" s="1">
        <f t="shared" ref="G3:G66" si="3">(273+F3)</f>
        <v>294.10000000000002</v>
      </c>
      <c r="H3" s="1">
        <v>101.3</v>
      </c>
      <c r="I3" s="1">
        <f t="shared" ref="I3:I66" si="4">(H3*1000)</f>
        <v>101300</v>
      </c>
      <c r="J3" s="1">
        <f t="shared" ref="J3:J66" si="5">((I3*E3)/(8.314*G3))</f>
        <v>2.0124824921938581E-5</v>
      </c>
      <c r="K3" s="20">
        <v>16.034653465346537</v>
      </c>
      <c r="L3" s="14">
        <f t="shared" ref="L3:L54" si="6">(K3/1000000)</f>
        <v>1.6034653465346537E-5</v>
      </c>
      <c r="M3" s="1">
        <f t="shared" ref="M3:M66" si="7">(3.142*3.07*3.07*25.4*25.4)/(4*1000000)</f>
        <v>4.7762865441819992E-3</v>
      </c>
      <c r="N3" s="26">
        <f t="shared" ref="N3:N54" si="8">(L3*J3)/M3</f>
        <v>6.7561816212038102E-8</v>
      </c>
      <c r="O3" s="26">
        <f t="shared" ref="O3:O66" si="9">(2.032/1000)</f>
        <v>2.032E-3</v>
      </c>
      <c r="P3" s="26">
        <v>1.0571269522665299E-10</v>
      </c>
      <c r="Q3" s="2">
        <v>0.05</v>
      </c>
      <c r="R3" s="2">
        <f t="shared" ref="R3:R54" si="10">(1+Q3)*100000*1</f>
        <v>105000</v>
      </c>
      <c r="S3" s="2">
        <f t="shared" ref="S3:S54" si="11">(SQRT(R3)-(N3*O3/P3))^2</f>
        <v>104160.05399498656</v>
      </c>
      <c r="T3" s="2">
        <f t="shared" ref="T3:T54" si="12">(S3)</f>
        <v>104160.05399498656</v>
      </c>
      <c r="U3" s="2">
        <f t="shared" ref="U3:U66" si="13">(5.24933748552653/1000)</f>
        <v>5.2493374855265302E-3</v>
      </c>
      <c r="V3" s="2">
        <v>0.13</v>
      </c>
      <c r="W3" s="2">
        <f t="shared" ref="W3:W66" si="14">(1+V3)*100000</f>
        <v>112999.99999999999</v>
      </c>
      <c r="X3" s="2">
        <f t="shared" ref="X3:X54" si="15">(L3*W3)</f>
        <v>1.8119158415841585</v>
      </c>
      <c r="Y3" s="2">
        <f t="shared" ref="Y3:Y54" si="16">(N3*U3)/(T3-X3)</f>
        <v>3.4049612143282914E-15</v>
      </c>
      <c r="Z3" s="2">
        <f t="shared" ref="Z3:Z54" si="17">(Y3*6.022E+23)</f>
        <v>2050467643.2684972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12.247524752475249</v>
      </c>
      <c r="L4" s="14">
        <f t="shared" si="6"/>
        <v>1.2247524752475249E-5</v>
      </c>
      <c r="M4" s="1">
        <f t="shared" si="7"/>
        <v>4.7762865441819992E-3</v>
      </c>
      <c r="N4" s="26">
        <f t="shared" si="8"/>
        <v>5.160479571120168E-8</v>
      </c>
      <c r="O4" s="26">
        <f t="shared" si="9"/>
        <v>2.032E-3</v>
      </c>
      <c r="P4" s="26">
        <v>1.0571269522665299E-10</v>
      </c>
      <c r="Q4" s="2">
        <v>0.05</v>
      </c>
      <c r="R4" s="2">
        <f t="shared" si="10"/>
        <v>105000</v>
      </c>
      <c r="S4" s="2">
        <f t="shared" si="11"/>
        <v>104358.13155537931</v>
      </c>
      <c r="T4" s="2">
        <f t="shared" si="12"/>
        <v>104358.13155537931</v>
      </c>
      <c r="U4" s="2">
        <f t="shared" si="13"/>
        <v>5.2493374855265302E-3</v>
      </c>
      <c r="V4" s="2">
        <v>0.13</v>
      </c>
      <c r="W4" s="2">
        <f t="shared" si="14"/>
        <v>112999.99999999999</v>
      </c>
      <c r="X4" s="2">
        <f t="shared" si="15"/>
        <v>1.383970297029703</v>
      </c>
      <c r="Y4" s="2">
        <f t="shared" si="16"/>
        <v>2.5958167040314447E-15</v>
      </c>
      <c r="Z4" s="2">
        <f t="shared" si="17"/>
        <v>1563200819.1677361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15.465346534653467</v>
      </c>
      <c r="L5" s="14">
        <f t="shared" si="6"/>
        <v>1.5465346534653466E-5</v>
      </c>
      <c r="M5" s="1">
        <f t="shared" si="7"/>
        <v>4.7762865441819992E-3</v>
      </c>
      <c r="N5" s="26">
        <f t="shared" si="8"/>
        <v>6.5163048424330659E-8</v>
      </c>
      <c r="O5" s="26">
        <f t="shared" si="9"/>
        <v>2.032E-3</v>
      </c>
      <c r="P5" s="26">
        <v>1.0571269522665299E-10</v>
      </c>
      <c r="Q5" s="2">
        <v>0.05</v>
      </c>
      <c r="R5" s="2">
        <f t="shared" si="10"/>
        <v>105000</v>
      </c>
      <c r="S5" s="2">
        <f t="shared" si="11"/>
        <v>104189.81834357909</v>
      </c>
      <c r="T5" s="2">
        <f t="shared" si="12"/>
        <v>104189.81834357909</v>
      </c>
      <c r="U5" s="2">
        <f t="shared" si="13"/>
        <v>5.2493374855265302E-3</v>
      </c>
      <c r="V5" s="2">
        <v>0.13</v>
      </c>
      <c r="W5" s="2">
        <f t="shared" si="14"/>
        <v>112999.99999999999</v>
      </c>
      <c r="X5" s="2">
        <f t="shared" si="15"/>
        <v>1.7475841584158414</v>
      </c>
      <c r="Y5" s="2">
        <f t="shared" si="16"/>
        <v>3.283128579613229E-15</v>
      </c>
      <c r="Z5" s="2">
        <f t="shared" si="17"/>
        <v>1977100030.6430867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17.71782178217822</v>
      </c>
      <c r="L6" s="14">
        <f t="shared" si="6"/>
        <v>1.7717821782178219E-5</v>
      </c>
      <c r="M6" s="1">
        <f t="shared" si="7"/>
        <v>4.7762865441819992E-3</v>
      </c>
      <c r="N6" s="26">
        <f t="shared" si="8"/>
        <v>7.465382532352094E-8</v>
      </c>
      <c r="O6" s="26">
        <f t="shared" si="9"/>
        <v>2.032E-3</v>
      </c>
      <c r="P6" s="26">
        <v>1.0571269522665299E-10</v>
      </c>
      <c r="Q6" s="2">
        <v>0.05</v>
      </c>
      <c r="R6" s="2">
        <f t="shared" si="10"/>
        <v>105000</v>
      </c>
      <c r="S6" s="2">
        <f t="shared" si="11"/>
        <v>104072.07992065635</v>
      </c>
      <c r="T6" s="2">
        <f t="shared" si="12"/>
        <v>104072.07992065635</v>
      </c>
      <c r="U6" s="2">
        <f t="shared" si="13"/>
        <v>5.2493374855265302E-3</v>
      </c>
      <c r="V6" s="2">
        <v>0.13</v>
      </c>
      <c r="W6" s="2">
        <f t="shared" si="14"/>
        <v>112999.99999999999</v>
      </c>
      <c r="X6" s="2">
        <f t="shared" si="15"/>
        <v>2.0021138613861384</v>
      </c>
      <c r="Y6" s="2">
        <f t="shared" si="16"/>
        <v>3.7655696235399686E-15</v>
      </c>
      <c r="Z6" s="2">
        <f t="shared" si="17"/>
        <v>2267626027.2957692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19.103960396039607</v>
      </c>
      <c r="L7" s="14">
        <f t="shared" si="6"/>
        <v>1.9103960396039608E-5</v>
      </c>
      <c r="M7" s="1">
        <f t="shared" si="7"/>
        <v>4.7762865441819992E-3</v>
      </c>
      <c r="N7" s="26">
        <f t="shared" si="8"/>
        <v>8.049430341533037E-8</v>
      </c>
      <c r="O7" s="26">
        <f t="shared" si="9"/>
        <v>2.032E-3</v>
      </c>
      <c r="P7" s="26">
        <v>1.0571269522665299E-10</v>
      </c>
      <c r="Q7" s="2">
        <v>0.05</v>
      </c>
      <c r="R7" s="2">
        <f t="shared" si="10"/>
        <v>105000</v>
      </c>
      <c r="S7" s="2">
        <f t="shared" si="11"/>
        <v>103999.65859064221</v>
      </c>
      <c r="T7" s="2">
        <f t="shared" si="12"/>
        <v>103999.65859064221</v>
      </c>
      <c r="U7" s="2">
        <f t="shared" si="13"/>
        <v>5.2493374855265302E-3</v>
      </c>
      <c r="V7" s="2">
        <v>0.13</v>
      </c>
      <c r="W7" s="2">
        <f t="shared" si="14"/>
        <v>112999.99999999999</v>
      </c>
      <c r="X7" s="2">
        <f t="shared" si="15"/>
        <v>2.1587475247524757</v>
      </c>
      <c r="Y7" s="2">
        <f t="shared" si="16"/>
        <v>4.0629992540864305E-15</v>
      </c>
      <c r="Z7" s="2">
        <f t="shared" si="17"/>
        <v>2446738150.8108487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19.004950495049506</v>
      </c>
      <c r="L8" s="14">
        <f t="shared" si="6"/>
        <v>1.9004950495049506E-5</v>
      </c>
      <c r="M8" s="1">
        <f t="shared" si="7"/>
        <v>4.7762865441819992E-3</v>
      </c>
      <c r="N8" s="26">
        <f t="shared" si="8"/>
        <v>8.0077126408772532E-8</v>
      </c>
      <c r="O8" s="26">
        <f t="shared" si="9"/>
        <v>2.032E-3</v>
      </c>
      <c r="P8" s="26">
        <v>1.0571269522665299E-10</v>
      </c>
      <c r="Q8" s="2">
        <v>0.05</v>
      </c>
      <c r="R8" s="2">
        <f t="shared" si="10"/>
        <v>105000</v>
      </c>
      <c r="S8" s="2">
        <f t="shared" si="11"/>
        <v>104004.83070684208</v>
      </c>
      <c r="T8" s="2">
        <f t="shared" si="12"/>
        <v>104004.83070684208</v>
      </c>
      <c r="U8" s="2">
        <f t="shared" si="13"/>
        <v>5.2493374855265302E-3</v>
      </c>
      <c r="V8" s="2">
        <v>0.13</v>
      </c>
      <c r="W8" s="2">
        <f t="shared" si="14"/>
        <v>112999.99999999999</v>
      </c>
      <c r="X8" s="2">
        <f t="shared" si="15"/>
        <v>2.1475594059405938</v>
      </c>
      <c r="Y8" s="2">
        <f t="shared" si="16"/>
        <v>4.0417405462022311E-15</v>
      </c>
      <c r="Z8" s="2">
        <f t="shared" si="17"/>
        <v>2433936156.9229836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16.306930693069305</v>
      </c>
      <c r="L9" s="14">
        <f t="shared" si="6"/>
        <v>1.6306930693069303E-5</v>
      </c>
      <c r="M9" s="1">
        <f t="shared" si="7"/>
        <v>4.7762865441819992E-3</v>
      </c>
      <c r="N9" s="26">
        <f t="shared" si="8"/>
        <v>6.8709052980072071E-8</v>
      </c>
      <c r="O9" s="26">
        <f t="shared" si="9"/>
        <v>2.032E-3</v>
      </c>
      <c r="P9" s="26">
        <v>1.0571269522665299E-10</v>
      </c>
      <c r="Q9" s="2">
        <v>0.05</v>
      </c>
      <c r="R9" s="2">
        <f t="shared" si="10"/>
        <v>105000</v>
      </c>
      <c r="S9" s="2">
        <f t="shared" si="11"/>
        <v>104145.82037483834</v>
      </c>
      <c r="T9" s="2">
        <f t="shared" si="12"/>
        <v>104145.82037483834</v>
      </c>
      <c r="U9" s="2">
        <f t="shared" si="13"/>
        <v>5.2493374855265302E-3</v>
      </c>
      <c r="V9" s="2">
        <v>0.13</v>
      </c>
      <c r="W9" s="2">
        <f t="shared" si="14"/>
        <v>112999.99999999999</v>
      </c>
      <c r="X9" s="2">
        <f t="shared" si="15"/>
        <v>1.842683168316831</v>
      </c>
      <c r="Y9" s="2">
        <f t="shared" si="16"/>
        <v>3.4632536167491663E-15</v>
      </c>
      <c r="Z9" s="2">
        <f t="shared" si="17"/>
        <v>2085571328.0063481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22.841584158415841</v>
      </c>
      <c r="L10" s="14">
        <f t="shared" si="6"/>
        <v>2.284158415841584E-5</v>
      </c>
      <c r="M10" s="1">
        <f t="shared" si="7"/>
        <v>4.7762865441819992E-3</v>
      </c>
      <c r="N10" s="26">
        <f t="shared" si="8"/>
        <v>9.624273541288784E-8</v>
      </c>
      <c r="O10" s="26">
        <f t="shared" si="9"/>
        <v>2.032E-3</v>
      </c>
      <c r="P10" s="26">
        <v>1.0571269522665299E-10</v>
      </c>
      <c r="Q10" s="2">
        <v>0.05</v>
      </c>
      <c r="R10" s="2">
        <f t="shared" si="10"/>
        <v>105000</v>
      </c>
      <c r="S10" s="2">
        <f t="shared" si="11"/>
        <v>103804.50526789509</v>
      </c>
      <c r="T10" s="2">
        <f t="shared" si="12"/>
        <v>103804.50526789509</v>
      </c>
      <c r="U10" s="2">
        <f t="shared" si="13"/>
        <v>5.2493374855265302E-3</v>
      </c>
      <c r="V10" s="2">
        <v>0.13</v>
      </c>
      <c r="W10" s="2">
        <f t="shared" si="14"/>
        <v>112999.99999999999</v>
      </c>
      <c r="X10" s="2">
        <f t="shared" si="15"/>
        <v>2.5810990099009894</v>
      </c>
      <c r="Y10" s="2">
        <f t="shared" si="16"/>
        <v>4.8670639080881466E-15</v>
      </c>
      <c r="Z10" s="2">
        <f t="shared" si="17"/>
        <v>2930945885.4506822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22.89108910891089</v>
      </c>
      <c r="L11" s="14">
        <f t="shared" si="6"/>
        <v>2.2891089108910892E-5</v>
      </c>
      <c r="M11" s="1">
        <f t="shared" si="7"/>
        <v>4.7762865441819992E-3</v>
      </c>
      <c r="N11" s="26">
        <f t="shared" si="8"/>
        <v>9.6451323916166759E-8</v>
      </c>
      <c r="O11" s="26">
        <f t="shared" si="9"/>
        <v>2.032E-3</v>
      </c>
      <c r="P11" s="26">
        <v>1.0571269522665299E-10</v>
      </c>
      <c r="Q11" s="2">
        <v>0.05</v>
      </c>
      <c r="R11" s="2">
        <f t="shared" si="10"/>
        <v>105000</v>
      </c>
      <c r="S11" s="2">
        <f t="shared" si="11"/>
        <v>103801.92168547552</v>
      </c>
      <c r="T11" s="2">
        <f t="shared" si="12"/>
        <v>103801.92168547552</v>
      </c>
      <c r="U11" s="2">
        <f t="shared" si="13"/>
        <v>5.2493374855265302E-3</v>
      </c>
      <c r="V11" s="2">
        <v>0.13</v>
      </c>
      <c r="W11" s="2">
        <f t="shared" si="14"/>
        <v>112999.99999999999</v>
      </c>
      <c r="X11" s="2">
        <f t="shared" si="15"/>
        <v>2.5866930693069303</v>
      </c>
      <c r="Y11" s="2">
        <f t="shared" si="16"/>
        <v>4.877734045202083E-15</v>
      </c>
      <c r="Z11" s="2">
        <f t="shared" si="17"/>
        <v>2937371442.0206947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25.019801980198018</v>
      </c>
      <c r="L12" s="14">
        <f t="shared" si="6"/>
        <v>2.5019801980198019E-5</v>
      </c>
      <c r="M12" s="1">
        <f t="shared" si="7"/>
        <v>4.7762865441819992E-3</v>
      </c>
      <c r="N12" s="26">
        <f t="shared" si="8"/>
        <v>1.0542062955715976E-7</v>
      </c>
      <c r="O12" s="26">
        <f t="shared" si="9"/>
        <v>2.032E-3</v>
      </c>
      <c r="P12" s="26">
        <v>1.0571269522665299E-10</v>
      </c>
      <c r="Q12" s="2">
        <v>0.05</v>
      </c>
      <c r="R12" s="2">
        <f t="shared" si="10"/>
        <v>105000</v>
      </c>
      <c r="S12" s="2">
        <f t="shared" si="11"/>
        <v>103690.85805693624</v>
      </c>
      <c r="T12" s="2">
        <f t="shared" si="12"/>
        <v>103690.85805693624</v>
      </c>
      <c r="U12" s="2">
        <f t="shared" si="13"/>
        <v>5.2493374855265302E-3</v>
      </c>
      <c r="V12" s="2">
        <v>0.13</v>
      </c>
      <c r="W12" s="2">
        <f t="shared" si="14"/>
        <v>112999.99999999999</v>
      </c>
      <c r="X12" s="2">
        <f t="shared" si="15"/>
        <v>2.8272376237623758</v>
      </c>
      <c r="Y12" s="2">
        <f t="shared" si="16"/>
        <v>5.3370524843561126E-15</v>
      </c>
      <c r="Z12" s="2">
        <f t="shared" si="17"/>
        <v>3213973006.0792513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32.990099009900995</v>
      </c>
      <c r="L13" s="14">
        <f t="shared" si="6"/>
        <v>3.2990099009900994E-5</v>
      </c>
      <c r="M13" s="1">
        <f t="shared" si="7"/>
        <v>4.7762865441819992E-3</v>
      </c>
      <c r="N13" s="26">
        <f t="shared" si="8"/>
        <v>1.3900337858506388E-7</v>
      </c>
      <c r="O13" s="26">
        <f t="shared" si="9"/>
        <v>2.032E-3</v>
      </c>
      <c r="P13" s="26">
        <v>1.0571269522665299E-10</v>
      </c>
      <c r="Q13" s="2">
        <v>0.05</v>
      </c>
      <c r="R13" s="2">
        <f t="shared" si="10"/>
        <v>105000</v>
      </c>
      <c r="S13" s="2">
        <f t="shared" si="11"/>
        <v>103275.54316378804</v>
      </c>
      <c r="T13" s="2">
        <f t="shared" si="12"/>
        <v>103275.54316378804</v>
      </c>
      <c r="U13" s="2">
        <f t="shared" si="13"/>
        <v>5.2493374855265302E-3</v>
      </c>
      <c r="V13" s="2">
        <v>0.13</v>
      </c>
      <c r="W13" s="2">
        <f t="shared" si="14"/>
        <v>112999.99999999999</v>
      </c>
      <c r="X13" s="2">
        <f t="shared" si="15"/>
        <v>3.7278811881188116</v>
      </c>
      <c r="Y13" s="2">
        <f t="shared" si="16"/>
        <v>7.0655836137350569E-15</v>
      </c>
      <c r="Z13" s="2">
        <f t="shared" si="17"/>
        <v>4254894452.1912513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43.78217821782178</v>
      </c>
      <c r="L14" s="14">
        <f t="shared" si="6"/>
        <v>4.3782178217821782E-5</v>
      </c>
      <c r="M14" s="1">
        <f t="shared" si="7"/>
        <v>4.7762865441819992E-3</v>
      </c>
      <c r="N14" s="26">
        <f t="shared" si="8"/>
        <v>1.8447567229986567E-7</v>
      </c>
      <c r="O14" s="26">
        <f t="shared" si="9"/>
        <v>2.032E-3</v>
      </c>
      <c r="P14" s="26">
        <v>1.0571269522665299E-10</v>
      </c>
      <c r="Q14" s="2">
        <v>0.05</v>
      </c>
      <c r="R14" s="2">
        <f t="shared" si="10"/>
        <v>105000</v>
      </c>
      <c r="S14" s="2">
        <f t="shared" si="11"/>
        <v>102714.51953948423</v>
      </c>
      <c r="T14" s="2">
        <f t="shared" si="12"/>
        <v>102714.51953948423</v>
      </c>
      <c r="U14" s="2">
        <f t="shared" si="13"/>
        <v>5.2493374855265302E-3</v>
      </c>
      <c r="V14" s="2">
        <v>0.13</v>
      </c>
      <c r="W14" s="2">
        <f t="shared" si="14"/>
        <v>112999.99999999999</v>
      </c>
      <c r="X14" s="2">
        <f t="shared" si="15"/>
        <v>4.9473861386138607</v>
      </c>
      <c r="Y14" s="2">
        <f t="shared" si="16"/>
        <v>9.428284447778702E-15</v>
      </c>
      <c r="Z14" s="2">
        <f t="shared" si="17"/>
        <v>5677712894.4523344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46.158415841584159</v>
      </c>
      <c r="L15" s="14">
        <f t="shared" si="6"/>
        <v>4.6158415841584157E-5</v>
      </c>
      <c r="M15" s="1">
        <f t="shared" si="7"/>
        <v>4.7762865441819992E-3</v>
      </c>
      <c r="N15" s="26">
        <f t="shared" si="8"/>
        <v>1.944879204572532E-7</v>
      </c>
      <c r="O15" s="26">
        <f t="shared" si="9"/>
        <v>2.032E-3</v>
      </c>
      <c r="P15" s="26">
        <v>1.0571269522665299E-10</v>
      </c>
      <c r="Q15" s="2">
        <v>0.05</v>
      </c>
      <c r="R15" s="2">
        <f t="shared" si="10"/>
        <v>105000</v>
      </c>
      <c r="S15" s="2">
        <f t="shared" si="11"/>
        <v>102591.19665843138</v>
      </c>
      <c r="T15" s="2">
        <f t="shared" si="12"/>
        <v>102591.19665843138</v>
      </c>
      <c r="U15" s="2">
        <f t="shared" si="13"/>
        <v>5.2493374855265302E-3</v>
      </c>
      <c r="V15" s="2">
        <v>0.13</v>
      </c>
      <c r="W15" s="2">
        <f t="shared" si="14"/>
        <v>112999.99999999999</v>
      </c>
      <c r="X15" s="2">
        <f t="shared" si="15"/>
        <v>5.2159009900990094</v>
      </c>
      <c r="Y15" s="2">
        <f t="shared" si="16"/>
        <v>9.9519712518253228E-15</v>
      </c>
      <c r="Z15" s="2">
        <f t="shared" si="17"/>
        <v>5993077087.8492098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50.193069306930695</v>
      </c>
      <c r="L16" s="14">
        <f t="shared" si="6"/>
        <v>5.0193069306930697E-5</v>
      </c>
      <c r="M16" s="1">
        <f t="shared" si="7"/>
        <v>4.7762865441819992E-3</v>
      </c>
      <c r="N16" s="26">
        <f t="shared" si="8"/>
        <v>2.1148788347448416E-7</v>
      </c>
      <c r="O16" s="26">
        <f t="shared" si="9"/>
        <v>2.032E-3</v>
      </c>
      <c r="P16" s="26">
        <v>1.0571269522665299E-10</v>
      </c>
      <c r="Q16" s="2">
        <v>0.05</v>
      </c>
      <c r="R16" s="2">
        <f t="shared" si="10"/>
        <v>105000</v>
      </c>
      <c r="S16" s="2">
        <f t="shared" si="11"/>
        <v>102381.97435181371</v>
      </c>
      <c r="T16" s="2">
        <f t="shared" si="12"/>
        <v>102381.97435181371</v>
      </c>
      <c r="U16" s="2">
        <f t="shared" si="13"/>
        <v>5.2493374855265302E-3</v>
      </c>
      <c r="V16" s="2">
        <v>0.13</v>
      </c>
      <c r="W16" s="2">
        <f t="shared" si="14"/>
        <v>112999.99999999999</v>
      </c>
      <c r="X16" s="2">
        <f t="shared" si="15"/>
        <v>5.6718168316831683</v>
      </c>
      <c r="Y16" s="2">
        <f t="shared" si="16"/>
        <v>1.0844025882629728E-14</v>
      </c>
      <c r="Z16" s="2">
        <f t="shared" si="17"/>
        <v>6530272386.5196228</v>
      </c>
    </row>
    <row r="17" spans="1:74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45.589108910891092</v>
      </c>
      <c r="L17" s="14">
        <f t="shared" si="6"/>
        <v>4.5589108910891089E-5</v>
      </c>
      <c r="M17" s="1">
        <f t="shared" si="7"/>
        <v>4.7762865441819992E-3</v>
      </c>
      <c r="N17" s="26">
        <f t="shared" si="8"/>
        <v>1.9208915266954576E-7</v>
      </c>
      <c r="O17" s="26">
        <f t="shared" si="9"/>
        <v>2.032E-3</v>
      </c>
      <c r="P17" s="26">
        <v>1.0571269522665299E-10</v>
      </c>
      <c r="Q17" s="2">
        <v>0.05</v>
      </c>
      <c r="R17" s="2">
        <f t="shared" si="10"/>
        <v>105000</v>
      </c>
      <c r="S17" s="2">
        <f t="shared" si="11"/>
        <v>102620.73601751371</v>
      </c>
      <c r="T17" s="2">
        <f t="shared" si="12"/>
        <v>102620.73601751371</v>
      </c>
      <c r="U17" s="2">
        <f t="shared" si="13"/>
        <v>5.2493374855265302E-3</v>
      </c>
      <c r="V17" s="2">
        <v>0.13</v>
      </c>
      <c r="W17" s="2">
        <f t="shared" si="14"/>
        <v>112999.99999999999</v>
      </c>
      <c r="X17" s="2">
        <f t="shared" si="15"/>
        <v>5.1515693069306927</v>
      </c>
      <c r="Y17" s="2">
        <f t="shared" si="16"/>
        <v>9.826390358671256E-15</v>
      </c>
      <c r="Z17" s="2">
        <f t="shared" si="17"/>
        <v>5917452273.9918308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53.980198019801982</v>
      </c>
      <c r="L18" s="14">
        <f t="shared" si="6"/>
        <v>5.398019801980198E-5</v>
      </c>
      <c r="M18" s="1">
        <f t="shared" si="7"/>
        <v>4.7762865441819992E-3</v>
      </c>
      <c r="N18" s="26">
        <f t="shared" si="8"/>
        <v>2.2744490397532059E-7</v>
      </c>
      <c r="O18" s="26">
        <f t="shared" si="9"/>
        <v>2.032E-3</v>
      </c>
      <c r="P18" s="26">
        <v>1.0571269522665299E-10</v>
      </c>
      <c r="Q18" s="2">
        <v>0.05</v>
      </c>
      <c r="R18" s="2">
        <f t="shared" si="10"/>
        <v>105000</v>
      </c>
      <c r="S18" s="2">
        <f t="shared" si="11"/>
        <v>102185.78207828551</v>
      </c>
      <c r="T18" s="2">
        <f t="shared" si="12"/>
        <v>102185.78207828551</v>
      </c>
      <c r="U18" s="2">
        <f t="shared" si="13"/>
        <v>5.2493374855265302E-3</v>
      </c>
      <c r="V18" s="2">
        <v>0.13</v>
      </c>
      <c r="W18" s="2">
        <f t="shared" si="14"/>
        <v>112999.99999999999</v>
      </c>
      <c r="X18" s="2">
        <f t="shared" si="15"/>
        <v>6.0997623762376234</v>
      </c>
      <c r="Y18" s="2">
        <f t="shared" si="16"/>
        <v>1.1684662090045841E-14</v>
      </c>
      <c r="Z18" s="2">
        <f t="shared" si="17"/>
        <v>7036503510.6256056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</row>
    <row r="19" spans="1:74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66.504950495049499</v>
      </c>
      <c r="L19" s="14">
        <f t="shared" si="6"/>
        <v>6.6504950495049501E-5</v>
      </c>
      <c r="M19" s="1">
        <f t="shared" si="7"/>
        <v>4.7762865441819992E-3</v>
      </c>
      <c r="N19" s="26">
        <f t="shared" si="8"/>
        <v>2.8021779530488411E-7</v>
      </c>
      <c r="O19" s="26">
        <f t="shared" si="9"/>
        <v>2.032E-3</v>
      </c>
      <c r="P19" s="26">
        <v>1.0571269522665299E-10</v>
      </c>
      <c r="Q19" s="2">
        <v>0.05</v>
      </c>
      <c r="R19" s="2">
        <f t="shared" si="10"/>
        <v>105000</v>
      </c>
      <c r="S19" s="2">
        <f t="shared" si="11"/>
        <v>101538.27718178956</v>
      </c>
      <c r="T19" s="2">
        <f t="shared" si="12"/>
        <v>101538.27718178956</v>
      </c>
      <c r="U19" s="2">
        <f t="shared" si="13"/>
        <v>5.2493374855265302E-3</v>
      </c>
      <c r="V19" s="2">
        <v>0.13</v>
      </c>
      <c r="W19" s="2">
        <f t="shared" si="14"/>
        <v>112999.99999999999</v>
      </c>
      <c r="X19" s="2">
        <f t="shared" si="15"/>
        <v>7.5150594059405931</v>
      </c>
      <c r="Y19" s="2">
        <f t="shared" si="16"/>
        <v>1.4487803954750763E-14</v>
      </c>
      <c r="Z19" s="2">
        <f t="shared" si="17"/>
        <v>8724555541.550909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</row>
    <row r="20" spans="1:74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63.410891089108908</v>
      </c>
      <c r="L20" s="14">
        <f t="shared" si="6"/>
        <v>6.3410891089108905E-5</v>
      </c>
      <c r="M20" s="1">
        <f t="shared" si="7"/>
        <v>4.7762865441819992E-3</v>
      </c>
      <c r="N20" s="26">
        <f t="shared" si="8"/>
        <v>2.6718101384995236E-7</v>
      </c>
      <c r="O20" s="26">
        <f t="shared" si="9"/>
        <v>2.032E-3</v>
      </c>
      <c r="P20" s="26">
        <v>1.0571269522665299E-10</v>
      </c>
      <c r="Q20" s="2">
        <v>0.05</v>
      </c>
      <c r="R20" s="2">
        <f t="shared" si="10"/>
        <v>105000</v>
      </c>
      <c r="S20" s="2">
        <f t="shared" si="11"/>
        <v>101698.04252194725</v>
      </c>
      <c r="T20" s="2">
        <f t="shared" si="12"/>
        <v>101698.04252194725</v>
      </c>
      <c r="U20" s="2">
        <f t="shared" si="13"/>
        <v>5.2493374855265302E-3</v>
      </c>
      <c r="V20" s="2">
        <v>0.13</v>
      </c>
      <c r="W20" s="2">
        <f t="shared" si="14"/>
        <v>112999.99999999999</v>
      </c>
      <c r="X20" s="2">
        <f t="shared" si="15"/>
        <v>7.1654306930693057</v>
      </c>
      <c r="Y20" s="2">
        <f t="shared" si="16"/>
        <v>1.3792026891113919E-14</v>
      </c>
      <c r="Z20" s="2">
        <f t="shared" si="17"/>
        <v>8305558593.8288021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</row>
    <row r="21" spans="1:74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66.529702970297038</v>
      </c>
      <c r="L21" s="14">
        <f t="shared" si="6"/>
        <v>6.6529702970297044E-5</v>
      </c>
      <c r="M21" s="1">
        <f t="shared" si="7"/>
        <v>4.7762865441819992E-3</v>
      </c>
      <c r="N21" s="26">
        <f t="shared" si="8"/>
        <v>2.8032208955652364E-7</v>
      </c>
      <c r="O21" s="26">
        <f t="shared" si="9"/>
        <v>2.032E-3</v>
      </c>
      <c r="P21" s="26">
        <v>1.0571269522665299E-10</v>
      </c>
      <c r="Q21" s="2">
        <v>0.05</v>
      </c>
      <c r="R21" s="2">
        <f t="shared" si="10"/>
        <v>105000</v>
      </c>
      <c r="S21" s="2">
        <f t="shared" si="11"/>
        <v>101536.99956545747</v>
      </c>
      <c r="T21" s="2">
        <f t="shared" si="12"/>
        <v>101536.99956545747</v>
      </c>
      <c r="U21" s="2">
        <f t="shared" si="13"/>
        <v>5.2493374855265302E-3</v>
      </c>
      <c r="V21" s="2">
        <v>0.13</v>
      </c>
      <c r="W21" s="2">
        <f t="shared" si="14"/>
        <v>112999.99999999999</v>
      </c>
      <c r="X21" s="2">
        <f t="shared" si="15"/>
        <v>7.5178564356435649</v>
      </c>
      <c r="Y21" s="2">
        <f t="shared" si="16"/>
        <v>1.4493378947283919E-14</v>
      </c>
      <c r="Z21" s="2">
        <f t="shared" si="17"/>
        <v>8727912802.0543766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</row>
    <row r="22" spans="1:74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72</v>
      </c>
      <c r="L22" s="14">
        <f t="shared" si="6"/>
        <v>7.2000000000000002E-5</v>
      </c>
      <c r="M22" s="1">
        <f t="shared" si="7"/>
        <v>4.7762865441819992E-3</v>
      </c>
      <c r="N22" s="26">
        <f t="shared" si="8"/>
        <v>3.0337111916884281E-7</v>
      </c>
      <c r="O22" s="26">
        <f t="shared" si="9"/>
        <v>2.032E-3</v>
      </c>
      <c r="P22" s="26">
        <v>1.0571269522665299E-10</v>
      </c>
      <c r="Q22" s="2">
        <v>0.05</v>
      </c>
      <c r="R22" s="2">
        <f t="shared" si="10"/>
        <v>105000</v>
      </c>
      <c r="S22" s="2">
        <f t="shared" si="11"/>
        <v>101254.84353435996</v>
      </c>
      <c r="T22" s="2">
        <f t="shared" si="12"/>
        <v>101254.84353435996</v>
      </c>
      <c r="U22" s="2">
        <f t="shared" si="13"/>
        <v>5.2493374855265302E-3</v>
      </c>
      <c r="V22" s="2">
        <v>0.13</v>
      </c>
      <c r="W22" s="2">
        <f t="shared" si="14"/>
        <v>112999.99999999999</v>
      </c>
      <c r="X22" s="2">
        <f t="shared" si="15"/>
        <v>8.1359999999999992</v>
      </c>
      <c r="Y22" s="2">
        <f t="shared" si="16"/>
        <v>1.5728880737565704E-14</v>
      </c>
      <c r="Z22" s="2">
        <f t="shared" si="17"/>
        <v>9471931980.1620674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1:74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70.589108910891085</v>
      </c>
      <c r="L23" s="14">
        <f t="shared" si="6"/>
        <v>7.0589108910891086E-5</v>
      </c>
      <c r="M23" s="1">
        <f t="shared" si="7"/>
        <v>4.7762865441819992E-3</v>
      </c>
      <c r="N23" s="26">
        <f t="shared" si="8"/>
        <v>2.9742634682539397E-7</v>
      </c>
      <c r="O23" s="26">
        <f t="shared" si="9"/>
        <v>2.032E-3</v>
      </c>
      <c r="P23" s="26">
        <v>1.0571269522665299E-10</v>
      </c>
      <c r="Q23" s="2">
        <v>0.05</v>
      </c>
      <c r="R23" s="2">
        <f t="shared" si="10"/>
        <v>105000</v>
      </c>
      <c r="S23" s="2">
        <f t="shared" si="11"/>
        <v>101327.57924009553</v>
      </c>
      <c r="T23" s="2">
        <f t="shared" si="12"/>
        <v>101327.57924009553</v>
      </c>
      <c r="U23" s="2">
        <f t="shared" si="13"/>
        <v>5.2493374855265302E-3</v>
      </c>
      <c r="V23" s="2">
        <v>0.13</v>
      </c>
      <c r="W23" s="2">
        <f t="shared" si="14"/>
        <v>112999.99999999999</v>
      </c>
      <c r="X23" s="2">
        <f t="shared" si="15"/>
        <v>7.976569306930692</v>
      </c>
      <c r="Y23" s="2">
        <f t="shared" si="16"/>
        <v>1.5409567649478066E-14</v>
      </c>
      <c r="Z23" s="2">
        <f t="shared" si="17"/>
        <v>9279641638.5156918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</row>
    <row r="24" spans="1:74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74.698019801980195</v>
      </c>
      <c r="L24" s="14">
        <f t="shared" si="6"/>
        <v>7.4698019801980201E-5</v>
      </c>
      <c r="M24" s="1">
        <f t="shared" si="7"/>
        <v>4.7762865441819992E-3</v>
      </c>
      <c r="N24" s="26">
        <f t="shared" si="8"/>
        <v>3.1473919259754332E-7</v>
      </c>
      <c r="O24" s="26">
        <f t="shared" si="9"/>
        <v>2.032E-3</v>
      </c>
      <c r="P24" s="26">
        <v>1.0571269522665299E-10</v>
      </c>
      <c r="Q24" s="2">
        <v>0.05</v>
      </c>
      <c r="R24" s="2">
        <f t="shared" si="10"/>
        <v>105000</v>
      </c>
      <c r="S24" s="2">
        <f t="shared" si="11"/>
        <v>101115.8251670451</v>
      </c>
      <c r="T24" s="2">
        <f t="shared" si="12"/>
        <v>101115.8251670451</v>
      </c>
      <c r="U24" s="2">
        <f t="shared" si="13"/>
        <v>5.2493374855265302E-3</v>
      </c>
      <c r="V24" s="2">
        <v>0.13</v>
      </c>
      <c r="W24" s="2">
        <f t="shared" si="14"/>
        <v>112999.99999999999</v>
      </c>
      <c r="X24" s="2">
        <f t="shared" si="15"/>
        <v>8.4408762376237618</v>
      </c>
      <c r="Y24" s="2">
        <f t="shared" si="16"/>
        <v>1.6340767328275659E-14</v>
      </c>
      <c r="Z24" s="2">
        <f t="shared" si="17"/>
        <v>9840410085.0876026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</row>
    <row r="25" spans="1:74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83.262376237623769</v>
      </c>
      <c r="L25" s="14">
        <f t="shared" si="6"/>
        <v>8.3262376237623769E-5</v>
      </c>
      <c r="M25" s="1">
        <f t="shared" si="7"/>
        <v>4.7762865441819992E-3</v>
      </c>
      <c r="N25" s="26">
        <f t="shared" si="8"/>
        <v>3.5082500366479429E-7</v>
      </c>
      <c r="O25" s="26">
        <f t="shared" si="9"/>
        <v>2.032E-3</v>
      </c>
      <c r="P25" s="26">
        <v>1.0571269522665299E-10</v>
      </c>
      <c r="Q25" s="2">
        <v>0.05</v>
      </c>
      <c r="R25" s="2">
        <f t="shared" si="10"/>
        <v>105000</v>
      </c>
      <c r="S25" s="2">
        <f t="shared" si="11"/>
        <v>100675.17021079033</v>
      </c>
      <c r="T25" s="2">
        <f t="shared" si="12"/>
        <v>100675.17021079033</v>
      </c>
      <c r="U25" s="2">
        <f t="shared" si="13"/>
        <v>5.2493374855265302E-3</v>
      </c>
      <c r="V25" s="2">
        <v>0.13</v>
      </c>
      <c r="W25" s="2">
        <f t="shared" si="14"/>
        <v>112999.99999999999</v>
      </c>
      <c r="X25" s="2">
        <f t="shared" si="15"/>
        <v>9.4086485148514853</v>
      </c>
      <c r="Y25" s="2">
        <f t="shared" si="16"/>
        <v>1.8294192722699541E-14</v>
      </c>
      <c r="Z25" s="2">
        <f t="shared" si="17"/>
        <v>11016762857.609665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72.767326732673268</v>
      </c>
      <c r="L26" s="14">
        <f t="shared" si="6"/>
        <v>7.2767326732673269E-5</v>
      </c>
      <c r="M26" s="1">
        <f t="shared" si="7"/>
        <v>4.7762865441819992E-3</v>
      </c>
      <c r="N26" s="26">
        <f t="shared" si="8"/>
        <v>3.0660424096966588E-7</v>
      </c>
      <c r="O26" s="26">
        <f t="shared" si="9"/>
        <v>2.032E-3</v>
      </c>
      <c r="P26" s="26">
        <v>1.0571269522665299E-10</v>
      </c>
      <c r="Q26" s="2">
        <v>0.05</v>
      </c>
      <c r="R26" s="2">
        <f t="shared" si="10"/>
        <v>105000</v>
      </c>
      <c r="S26" s="2">
        <f t="shared" si="11"/>
        <v>101215.2964826872</v>
      </c>
      <c r="T26" s="2">
        <f t="shared" si="12"/>
        <v>101215.2964826872</v>
      </c>
      <c r="U26" s="2">
        <f t="shared" si="13"/>
        <v>5.2493374855265302E-3</v>
      </c>
      <c r="V26" s="2">
        <v>0.13</v>
      </c>
      <c r="W26" s="2">
        <f t="shared" si="14"/>
        <v>112999.99999999999</v>
      </c>
      <c r="X26" s="2">
        <f t="shared" si="15"/>
        <v>8.2227079207920788</v>
      </c>
      <c r="Y26" s="2">
        <f t="shared" si="16"/>
        <v>1.5902733626360012E-14</v>
      </c>
      <c r="Z26" s="2">
        <f t="shared" si="17"/>
        <v>9576626189.7939987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</row>
    <row r="27" spans="1:74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76.851485148514854</v>
      </c>
      <c r="L27" s="14">
        <f t="shared" si="6"/>
        <v>7.6851485148514854E-5</v>
      </c>
      <c r="M27" s="1">
        <f t="shared" si="7"/>
        <v>4.7762865441819992E-3</v>
      </c>
      <c r="N27" s="26">
        <f t="shared" si="8"/>
        <v>3.238127924901758E-7</v>
      </c>
      <c r="O27" s="26">
        <f t="shared" si="9"/>
        <v>2.032E-3</v>
      </c>
      <c r="P27" s="26">
        <v>1.0571269522665299E-10</v>
      </c>
      <c r="Q27" s="2">
        <v>0.05</v>
      </c>
      <c r="R27" s="2">
        <f t="shared" si="10"/>
        <v>105000</v>
      </c>
      <c r="S27" s="2">
        <f t="shared" si="11"/>
        <v>101004.93408410004</v>
      </c>
      <c r="T27" s="2">
        <f t="shared" si="12"/>
        <v>101004.93408410004</v>
      </c>
      <c r="U27" s="2">
        <f t="shared" si="13"/>
        <v>5.2493374855265302E-3</v>
      </c>
      <c r="V27" s="2">
        <v>0.13</v>
      </c>
      <c r="W27" s="2">
        <f t="shared" si="14"/>
        <v>112999.99999999999</v>
      </c>
      <c r="X27" s="2">
        <f t="shared" si="15"/>
        <v>8.6842178217821768</v>
      </c>
      <c r="Y27" s="2">
        <f t="shared" si="16"/>
        <v>1.6830353920688021E-14</v>
      </c>
      <c r="Z27" s="2">
        <f t="shared" si="17"/>
        <v>10135239131.038326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</row>
    <row r="28" spans="1:74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82.148514851485146</v>
      </c>
      <c r="L28" s="14">
        <f t="shared" si="6"/>
        <v>8.2148514851485149E-5</v>
      </c>
      <c r="M28" s="1">
        <f t="shared" si="7"/>
        <v>4.7762865441819992E-3</v>
      </c>
      <c r="N28" s="26">
        <f t="shared" si="8"/>
        <v>3.4613176234101888E-7</v>
      </c>
      <c r="O28" s="26">
        <f t="shared" si="9"/>
        <v>2.032E-3</v>
      </c>
      <c r="P28" s="26">
        <v>1.0571269522665299E-10</v>
      </c>
      <c r="Q28" s="2">
        <v>0.05</v>
      </c>
      <c r="R28" s="2">
        <f t="shared" si="10"/>
        <v>105000</v>
      </c>
      <c r="S28" s="2">
        <f t="shared" si="11"/>
        <v>100732.42638965284</v>
      </c>
      <c r="T28" s="2">
        <f t="shared" si="12"/>
        <v>100732.42638965284</v>
      </c>
      <c r="U28" s="2">
        <f t="shared" si="13"/>
        <v>5.2493374855265302E-3</v>
      </c>
      <c r="V28" s="2">
        <v>0.13</v>
      </c>
      <c r="W28" s="2">
        <f t="shared" si="14"/>
        <v>112999.99999999999</v>
      </c>
      <c r="X28" s="2">
        <f t="shared" si="15"/>
        <v>9.2827821782178201</v>
      </c>
      <c r="Y28" s="2">
        <f t="shared" si="16"/>
        <v>1.8039175207526331E-14</v>
      </c>
      <c r="Z28" s="2">
        <f t="shared" si="17"/>
        <v>10863191309.972357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</row>
    <row r="29" spans="1:74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73.633663366336634</v>
      </c>
      <c r="L29" s="14">
        <f t="shared" si="6"/>
        <v>7.3633663366336639E-5</v>
      </c>
      <c r="M29" s="1">
        <f t="shared" si="7"/>
        <v>4.7762865441819992E-3</v>
      </c>
      <c r="N29" s="26">
        <f t="shared" si="8"/>
        <v>3.1025453977704681E-7</v>
      </c>
      <c r="O29" s="26">
        <f t="shared" si="9"/>
        <v>2.032E-3</v>
      </c>
      <c r="P29" s="26">
        <v>1.0571269522665299E-10</v>
      </c>
      <c r="Q29" s="2">
        <v>0.05</v>
      </c>
      <c r="R29" s="2">
        <f t="shared" si="10"/>
        <v>105000</v>
      </c>
      <c r="S29" s="2">
        <f t="shared" si="11"/>
        <v>101170.65586943875</v>
      </c>
      <c r="T29" s="2">
        <f t="shared" si="12"/>
        <v>101170.65586943875</v>
      </c>
      <c r="U29" s="2">
        <f t="shared" si="13"/>
        <v>5.2493374855265302E-3</v>
      </c>
      <c r="V29" s="2">
        <v>0.13</v>
      </c>
      <c r="W29" s="2">
        <f t="shared" si="14"/>
        <v>112999.99999999999</v>
      </c>
      <c r="X29" s="2">
        <f t="shared" si="15"/>
        <v>8.3206039603960384</v>
      </c>
      <c r="Y29" s="2">
        <f t="shared" si="16"/>
        <v>1.6099181394265462E-14</v>
      </c>
      <c r="Z29" s="2">
        <f t="shared" si="17"/>
        <v>9694927035.6266613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</row>
    <row r="30" spans="1:74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75.440594059405939</v>
      </c>
      <c r="L30" s="14">
        <f t="shared" si="6"/>
        <v>7.5440594059405938E-5</v>
      </c>
      <c r="M30" s="1">
        <f t="shared" si="7"/>
        <v>4.7762865441819992E-3</v>
      </c>
      <c r="N30" s="26">
        <f t="shared" si="8"/>
        <v>3.178680201467269E-7</v>
      </c>
      <c r="O30" s="26">
        <f t="shared" si="9"/>
        <v>2.032E-3</v>
      </c>
      <c r="P30" s="26">
        <v>1.0571269522665299E-10</v>
      </c>
      <c r="Q30" s="2">
        <v>0.05</v>
      </c>
      <c r="R30" s="2">
        <f t="shared" si="10"/>
        <v>105000</v>
      </c>
      <c r="S30" s="2">
        <f t="shared" si="11"/>
        <v>101077.57999015688</v>
      </c>
      <c r="T30" s="2">
        <f t="shared" si="12"/>
        <v>101077.57999015688</v>
      </c>
      <c r="U30" s="2">
        <f t="shared" si="13"/>
        <v>5.2493374855265302E-3</v>
      </c>
      <c r="V30" s="2">
        <v>0.13</v>
      </c>
      <c r="W30" s="2">
        <f t="shared" si="14"/>
        <v>112999.99999999999</v>
      </c>
      <c r="X30" s="2">
        <f t="shared" si="15"/>
        <v>8.5247871287128696</v>
      </c>
      <c r="Y30" s="2">
        <f t="shared" si="16"/>
        <v>1.6509469790277827E-14</v>
      </c>
      <c r="Z30" s="2">
        <f t="shared" si="17"/>
        <v>9942002707.705307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</row>
    <row r="31" spans="1:74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75.044554455445549</v>
      </c>
      <c r="L31" s="14">
        <f t="shared" si="6"/>
        <v>7.5044554455445554E-5</v>
      </c>
      <c r="M31" s="1">
        <f t="shared" si="7"/>
        <v>4.7762865441819992E-3</v>
      </c>
      <c r="N31" s="26">
        <f t="shared" si="8"/>
        <v>3.1619931212049566E-7</v>
      </c>
      <c r="O31" s="26">
        <f t="shared" si="9"/>
        <v>2.032E-3</v>
      </c>
      <c r="P31" s="26">
        <v>1.0571269522665299E-10</v>
      </c>
      <c r="Q31" s="2">
        <v>0.05</v>
      </c>
      <c r="R31" s="2">
        <f t="shared" si="10"/>
        <v>105000</v>
      </c>
      <c r="S31" s="2">
        <f t="shared" si="11"/>
        <v>101097.97651758319</v>
      </c>
      <c r="T31" s="2">
        <f t="shared" si="12"/>
        <v>101097.97651758319</v>
      </c>
      <c r="U31" s="2">
        <f t="shared" si="13"/>
        <v>5.2493374855265302E-3</v>
      </c>
      <c r="V31" s="2">
        <v>0.13</v>
      </c>
      <c r="W31" s="2">
        <f t="shared" si="14"/>
        <v>112999.99999999999</v>
      </c>
      <c r="X31" s="2">
        <f t="shared" si="15"/>
        <v>8.4800346534653457</v>
      </c>
      <c r="Y31" s="2">
        <f t="shared" si="16"/>
        <v>1.6419479369868126E-14</v>
      </c>
      <c r="Z31" s="2">
        <f t="shared" si="17"/>
        <v>9887810476.534586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</row>
    <row r="32" spans="1:74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77.099009900990097</v>
      </c>
      <c r="L32" s="14">
        <f t="shared" si="6"/>
        <v>7.7099009900990091E-5</v>
      </c>
      <c r="M32" s="1">
        <f t="shared" si="7"/>
        <v>4.7762865441819992E-3</v>
      </c>
      <c r="N32" s="26">
        <f t="shared" si="8"/>
        <v>3.2485573500657027E-7</v>
      </c>
      <c r="O32" s="26">
        <f t="shared" si="9"/>
        <v>2.032E-3</v>
      </c>
      <c r="P32" s="26">
        <v>1.0571269522665299E-10</v>
      </c>
      <c r="Q32" s="2">
        <v>0.05</v>
      </c>
      <c r="R32" s="2">
        <f t="shared" si="10"/>
        <v>105000</v>
      </c>
      <c r="S32" s="2">
        <f t="shared" si="11"/>
        <v>100992.1918810049</v>
      </c>
      <c r="T32" s="2">
        <f t="shared" si="12"/>
        <v>100992.1918810049</v>
      </c>
      <c r="U32" s="2">
        <f t="shared" si="13"/>
        <v>5.2493374855265302E-3</v>
      </c>
      <c r="V32" s="2">
        <v>0.13</v>
      </c>
      <c r="W32" s="2">
        <f t="shared" si="14"/>
        <v>112999.99999999999</v>
      </c>
      <c r="X32" s="2">
        <f t="shared" si="15"/>
        <v>8.7121881188118788</v>
      </c>
      <c r="Y32" s="2">
        <f t="shared" si="16"/>
        <v>1.6886696639335482E-14</v>
      </c>
      <c r="Z32" s="2">
        <f t="shared" si="17"/>
        <v>10169168716.207829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</row>
    <row r="33" spans="1:74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0">
        <v>73.138613861386148</v>
      </c>
      <c r="L33" s="14">
        <f t="shared" si="6"/>
        <v>7.3138613861386151E-5</v>
      </c>
      <c r="M33" s="1">
        <f t="shared" si="7"/>
        <v>4.7762865441819992E-3</v>
      </c>
      <c r="N33" s="26">
        <f t="shared" si="8"/>
        <v>3.0816865474425776E-7</v>
      </c>
      <c r="O33" s="26">
        <f t="shared" si="9"/>
        <v>2.032E-3</v>
      </c>
      <c r="P33" s="26">
        <v>1.0571269522665299E-10</v>
      </c>
      <c r="Q33" s="2">
        <v>0.05</v>
      </c>
      <c r="R33" s="2">
        <f t="shared" si="10"/>
        <v>105000</v>
      </c>
      <c r="S33" s="2">
        <f t="shared" si="11"/>
        <v>101196.16358560655</v>
      </c>
      <c r="T33" s="2">
        <f t="shared" si="12"/>
        <v>101196.16358560655</v>
      </c>
      <c r="U33" s="2">
        <f t="shared" si="13"/>
        <v>5.2493374855265302E-3</v>
      </c>
      <c r="V33" s="2">
        <v>0.13</v>
      </c>
      <c r="W33" s="2">
        <f t="shared" si="14"/>
        <v>112999.99999999999</v>
      </c>
      <c r="X33" s="2">
        <f t="shared" si="15"/>
        <v>8.2646633663366345</v>
      </c>
      <c r="Y33" s="2">
        <f t="shared" si="16"/>
        <v>1.5986904446513447E-14</v>
      </c>
      <c r="Z33" s="2">
        <f t="shared" si="17"/>
        <v>9627313857.6903973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</row>
    <row r="34" spans="1:74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0">
        <v>78.806930693069319</v>
      </c>
      <c r="L34" s="14">
        <f t="shared" si="6"/>
        <v>7.8806930693069315E-5</v>
      </c>
      <c r="M34" s="1">
        <f t="shared" si="7"/>
        <v>4.7762865441819992E-3</v>
      </c>
      <c r="N34" s="26">
        <f t="shared" si="8"/>
        <v>3.3205203836969266E-7</v>
      </c>
      <c r="O34" s="26">
        <f t="shared" si="9"/>
        <v>2.032E-3</v>
      </c>
      <c r="P34" s="26">
        <v>1.0571269522665299E-10</v>
      </c>
      <c r="Q34" s="2">
        <v>0.05</v>
      </c>
      <c r="R34" s="2">
        <f t="shared" si="10"/>
        <v>105000</v>
      </c>
      <c r="S34" s="2">
        <f t="shared" si="11"/>
        <v>100904.2925870082</v>
      </c>
      <c r="T34" s="2">
        <f t="shared" si="12"/>
        <v>100904.2925870082</v>
      </c>
      <c r="U34" s="2">
        <f t="shared" si="13"/>
        <v>5.2493374855265302E-3</v>
      </c>
      <c r="V34" s="2">
        <v>0.13</v>
      </c>
      <c r="W34" s="2">
        <f t="shared" si="14"/>
        <v>112999.99999999999</v>
      </c>
      <c r="X34" s="2">
        <f t="shared" si="15"/>
        <v>8.9051831683168317</v>
      </c>
      <c r="Y34" s="2">
        <f t="shared" si="16"/>
        <v>1.7275846369297792E-14</v>
      </c>
      <c r="Z34" s="2">
        <f t="shared" si="17"/>
        <v>10403514683.591131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</row>
    <row r="35" spans="1:74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0">
        <v>79.128712871287135</v>
      </c>
      <c r="L35" s="14">
        <f t="shared" si="6"/>
        <v>7.9128712871287139E-5</v>
      </c>
      <c r="M35" s="1">
        <f t="shared" si="7"/>
        <v>4.7762865441819992E-3</v>
      </c>
      <c r="N35" s="26">
        <f t="shared" si="8"/>
        <v>3.3340786364100557E-7</v>
      </c>
      <c r="O35" s="26">
        <f t="shared" si="9"/>
        <v>2.032E-3</v>
      </c>
      <c r="P35" s="26">
        <v>1.0571269522665299E-10</v>
      </c>
      <c r="Q35" s="2">
        <v>0.05</v>
      </c>
      <c r="R35" s="2">
        <f t="shared" si="10"/>
        <v>105000</v>
      </c>
      <c r="S35" s="2">
        <f t="shared" si="11"/>
        <v>100887.73613467121</v>
      </c>
      <c r="T35" s="2">
        <f t="shared" si="12"/>
        <v>100887.73613467121</v>
      </c>
      <c r="U35" s="2">
        <f t="shared" si="13"/>
        <v>5.2493374855265302E-3</v>
      </c>
      <c r="V35" s="2">
        <v>0.13</v>
      </c>
      <c r="W35" s="2">
        <f t="shared" si="14"/>
        <v>112999.99999999999</v>
      </c>
      <c r="X35" s="2">
        <f t="shared" si="15"/>
        <v>8.9415445544554455</v>
      </c>
      <c r="Y35" s="2">
        <f t="shared" si="16"/>
        <v>1.734923978514227E-14</v>
      </c>
      <c r="Z35" s="2">
        <f t="shared" si="17"/>
        <v>10447712198.612675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</row>
    <row r="36" spans="1:74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0">
        <v>80.811881188118818</v>
      </c>
      <c r="L36" s="14">
        <f t="shared" si="6"/>
        <v>8.081188118811882E-5</v>
      </c>
      <c r="M36" s="1">
        <f t="shared" si="7"/>
        <v>4.7762865441819992E-3</v>
      </c>
      <c r="N36" s="26">
        <f t="shared" si="8"/>
        <v>3.4049987275248837E-7</v>
      </c>
      <c r="O36" s="26">
        <f t="shared" si="9"/>
        <v>2.032E-3</v>
      </c>
      <c r="P36" s="26">
        <v>1.0571269522665299E-10</v>
      </c>
      <c r="Q36" s="2">
        <v>0.05</v>
      </c>
      <c r="R36" s="2">
        <f t="shared" si="10"/>
        <v>105000</v>
      </c>
      <c r="S36" s="2">
        <f t="shared" si="11"/>
        <v>100801.1552896568</v>
      </c>
      <c r="T36" s="2">
        <f t="shared" si="12"/>
        <v>100801.1552896568</v>
      </c>
      <c r="U36" s="2">
        <f t="shared" si="13"/>
        <v>5.2493374855265302E-3</v>
      </c>
      <c r="V36" s="2">
        <v>0.13</v>
      </c>
      <c r="W36" s="2">
        <f t="shared" si="14"/>
        <v>112999.99999999999</v>
      </c>
      <c r="X36" s="2">
        <f t="shared" si="15"/>
        <v>9.1317425742574247</v>
      </c>
      <c r="Y36" s="2">
        <f t="shared" si="16"/>
        <v>1.773353369596465E-14</v>
      </c>
      <c r="Z36" s="2">
        <f t="shared" si="17"/>
        <v>10679133991.709913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</row>
    <row r="37" spans="1:74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0">
        <v>76.876237623762378</v>
      </c>
      <c r="L37" s="14">
        <f t="shared" si="6"/>
        <v>7.6876237623762383E-5</v>
      </c>
      <c r="M37" s="1">
        <f t="shared" si="7"/>
        <v>4.7762865441819992E-3</v>
      </c>
      <c r="N37" s="26">
        <f t="shared" si="8"/>
        <v>3.2391708674181528E-7</v>
      </c>
      <c r="O37" s="26">
        <f t="shared" si="9"/>
        <v>2.032E-3</v>
      </c>
      <c r="P37" s="26">
        <v>1.0571269522665299E-10</v>
      </c>
      <c r="Q37" s="2">
        <v>0.05</v>
      </c>
      <c r="R37" s="2">
        <f t="shared" si="10"/>
        <v>105000</v>
      </c>
      <c r="S37" s="2">
        <f t="shared" si="11"/>
        <v>101003.65982761988</v>
      </c>
      <c r="T37" s="2">
        <f t="shared" si="12"/>
        <v>101003.65982761988</v>
      </c>
      <c r="U37" s="2">
        <f t="shared" si="13"/>
        <v>5.2493374855265302E-3</v>
      </c>
      <c r="V37" s="2">
        <v>0.13</v>
      </c>
      <c r="W37" s="2">
        <f t="shared" si="14"/>
        <v>112999.99999999999</v>
      </c>
      <c r="X37" s="2">
        <f t="shared" si="15"/>
        <v>8.6870148514851486</v>
      </c>
      <c r="Y37" s="2">
        <f t="shared" si="16"/>
        <v>1.6835987557406333E-14</v>
      </c>
      <c r="Z37" s="2">
        <f t="shared" si="17"/>
        <v>10138631707.070095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</row>
    <row r="38" spans="1:74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0">
        <v>80.193069306930695</v>
      </c>
      <c r="L38" s="14">
        <f t="shared" si="6"/>
        <v>8.0193069306930701E-5</v>
      </c>
      <c r="M38" s="1">
        <f t="shared" si="7"/>
        <v>4.7762865441819992E-3</v>
      </c>
      <c r="N38" s="26">
        <f t="shared" si="8"/>
        <v>3.3789251646150202E-7</v>
      </c>
      <c r="O38" s="26">
        <f t="shared" si="9"/>
        <v>2.032E-3</v>
      </c>
      <c r="P38" s="26">
        <v>1.0571269522665299E-10</v>
      </c>
      <c r="Q38" s="2">
        <v>0.05</v>
      </c>
      <c r="R38" s="2">
        <f t="shared" si="10"/>
        <v>105000</v>
      </c>
      <c r="S38" s="2">
        <f t="shared" si="11"/>
        <v>100832.98216229306</v>
      </c>
      <c r="T38" s="2">
        <f t="shared" si="12"/>
        <v>100832.98216229306</v>
      </c>
      <c r="U38" s="2">
        <f t="shared" si="13"/>
        <v>5.2493374855265302E-3</v>
      </c>
      <c r="V38" s="2">
        <v>0.13</v>
      </c>
      <c r="W38" s="2">
        <f t="shared" si="14"/>
        <v>112999.99999999999</v>
      </c>
      <c r="X38" s="2">
        <f t="shared" si="15"/>
        <v>9.0618168316831689</v>
      </c>
      <c r="Y38" s="2">
        <f t="shared" si="16"/>
        <v>1.7592173034562001E-14</v>
      </c>
      <c r="Z38" s="2">
        <f t="shared" si="17"/>
        <v>10594006601.413237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</row>
    <row r="39" spans="1:74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0">
        <v>85.811881188118818</v>
      </c>
      <c r="L39" s="14">
        <f t="shared" si="6"/>
        <v>8.581188118811882E-5</v>
      </c>
      <c r="M39" s="1">
        <f t="shared" si="7"/>
        <v>4.7762865441819992E-3</v>
      </c>
      <c r="N39" s="26">
        <f t="shared" si="8"/>
        <v>3.6156731158365802E-7</v>
      </c>
      <c r="O39" s="26">
        <f t="shared" si="9"/>
        <v>2.032E-3</v>
      </c>
      <c r="P39" s="26">
        <v>1.0571269522665299E-10</v>
      </c>
      <c r="Q39" s="2">
        <v>0.05</v>
      </c>
      <c r="R39" s="2">
        <f t="shared" si="10"/>
        <v>105000</v>
      </c>
      <c r="S39" s="2">
        <f t="shared" si="11"/>
        <v>100544.17844422275</v>
      </c>
      <c r="T39" s="2">
        <f t="shared" si="12"/>
        <v>100544.17844422275</v>
      </c>
      <c r="U39" s="2">
        <f t="shared" si="13"/>
        <v>5.2493374855265302E-3</v>
      </c>
      <c r="V39" s="2">
        <v>0.13</v>
      </c>
      <c r="W39" s="2">
        <f t="shared" si="14"/>
        <v>112999.99999999999</v>
      </c>
      <c r="X39" s="2">
        <f t="shared" si="15"/>
        <v>9.696742574257426</v>
      </c>
      <c r="Y39" s="2">
        <f t="shared" si="16"/>
        <v>1.8878983708989721E-14</v>
      </c>
      <c r="Z39" s="2">
        <f t="shared" si="17"/>
        <v>11368923989.55361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</row>
    <row r="40" spans="1:74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0">
        <v>80.415841584158429</v>
      </c>
      <c r="L40" s="14">
        <f t="shared" si="6"/>
        <v>8.0415841584158422E-5</v>
      </c>
      <c r="M40" s="1">
        <f t="shared" si="7"/>
        <v>4.7762865441819992E-3</v>
      </c>
      <c r="N40" s="26">
        <f t="shared" si="8"/>
        <v>3.3883116472625712E-7</v>
      </c>
      <c r="O40" s="26">
        <f t="shared" si="9"/>
        <v>2.032E-3</v>
      </c>
      <c r="P40" s="26">
        <v>1.0571269522665299E-10</v>
      </c>
      <c r="Q40" s="2">
        <v>0.05</v>
      </c>
      <c r="R40" s="2">
        <f t="shared" si="10"/>
        <v>105000</v>
      </c>
      <c r="S40" s="2">
        <f t="shared" si="11"/>
        <v>100821.52390941355</v>
      </c>
      <c r="T40" s="2">
        <f t="shared" si="12"/>
        <v>100821.52390941355</v>
      </c>
      <c r="U40" s="2">
        <f t="shared" si="13"/>
        <v>5.2493374855265302E-3</v>
      </c>
      <c r="V40" s="2">
        <v>0.13</v>
      </c>
      <c r="W40" s="2">
        <f t="shared" si="14"/>
        <v>112999.99999999999</v>
      </c>
      <c r="X40" s="2">
        <f t="shared" si="15"/>
        <v>9.0869900990099008</v>
      </c>
      <c r="Y40" s="2">
        <f t="shared" si="16"/>
        <v>1.7643052669044136E-14</v>
      </c>
      <c r="Z40" s="2">
        <f t="shared" si="17"/>
        <v>10624646317.29838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</row>
    <row r="41" spans="1:74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0">
        <v>84.400990099009903</v>
      </c>
      <c r="L41" s="14">
        <f t="shared" si="6"/>
        <v>8.4400990099009905E-5</v>
      </c>
      <c r="M41" s="1">
        <f t="shared" si="7"/>
        <v>4.7762865441819992E-3</v>
      </c>
      <c r="N41" s="26">
        <f t="shared" si="8"/>
        <v>3.5562253924020912E-7</v>
      </c>
      <c r="O41" s="26">
        <f t="shared" si="9"/>
        <v>2.032E-3</v>
      </c>
      <c r="P41" s="26">
        <v>1.0571269522665299E-10</v>
      </c>
      <c r="Q41" s="2">
        <v>0.05</v>
      </c>
      <c r="R41" s="2">
        <f t="shared" si="10"/>
        <v>105000</v>
      </c>
      <c r="S41" s="2">
        <f t="shared" si="11"/>
        <v>100616.65849577091</v>
      </c>
      <c r="T41" s="2">
        <f t="shared" si="12"/>
        <v>100616.65849577091</v>
      </c>
      <c r="U41" s="2">
        <f t="shared" si="13"/>
        <v>5.2493374855265302E-3</v>
      </c>
      <c r="V41" s="2">
        <v>0.13</v>
      </c>
      <c r="W41" s="2">
        <f t="shared" si="14"/>
        <v>112999.99999999999</v>
      </c>
      <c r="X41" s="2">
        <f t="shared" si="15"/>
        <v>9.5373118811881188</v>
      </c>
      <c r="Y41" s="2">
        <f t="shared" si="16"/>
        <v>1.8555174862022472E-14</v>
      </c>
      <c r="Z41" s="2">
        <f t="shared" si="17"/>
        <v>11173926301.909933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</row>
    <row r="42" spans="1:74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0">
        <v>82.915841584158429</v>
      </c>
      <c r="L42" s="14">
        <f t="shared" si="6"/>
        <v>8.2915841584158429E-5</v>
      </c>
      <c r="M42" s="1">
        <f t="shared" si="7"/>
        <v>4.7762865441819992E-3</v>
      </c>
      <c r="N42" s="26">
        <f t="shared" si="8"/>
        <v>3.4936488414184195E-7</v>
      </c>
      <c r="O42" s="26">
        <f t="shared" si="9"/>
        <v>2.032E-3</v>
      </c>
      <c r="P42" s="26">
        <v>1.0571269522665299E-10</v>
      </c>
      <c r="Q42" s="2">
        <v>0.05</v>
      </c>
      <c r="R42" s="2">
        <f t="shared" si="10"/>
        <v>105000</v>
      </c>
      <c r="S42" s="2">
        <f t="shared" si="11"/>
        <v>100692.98149998486</v>
      </c>
      <c r="T42" s="2">
        <f t="shared" si="12"/>
        <v>100692.98149998486</v>
      </c>
      <c r="U42" s="2">
        <f t="shared" si="13"/>
        <v>5.2493374855265302E-3</v>
      </c>
      <c r="V42" s="2">
        <v>0.13</v>
      </c>
      <c r="W42" s="2">
        <f t="shared" si="14"/>
        <v>112999.99999999999</v>
      </c>
      <c r="X42" s="2">
        <f t="shared" si="15"/>
        <v>9.3694900990099015</v>
      </c>
      <c r="Y42" s="2">
        <f t="shared" si="16"/>
        <v>1.821482310619066E-14</v>
      </c>
      <c r="Z42" s="2">
        <f t="shared" si="17"/>
        <v>10968966474.548016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</row>
    <row r="43" spans="1:74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0">
        <v>92.321782178217831</v>
      </c>
      <c r="L43" s="14">
        <f t="shared" si="6"/>
        <v>9.2321782178217824E-5</v>
      </c>
      <c r="M43" s="1">
        <f t="shared" si="7"/>
        <v>4.7762865441819992E-3</v>
      </c>
      <c r="N43" s="26">
        <f t="shared" si="8"/>
        <v>3.8899669976483432E-7</v>
      </c>
      <c r="O43" s="26">
        <f t="shared" si="9"/>
        <v>2.032E-3</v>
      </c>
      <c r="P43" s="26">
        <v>1.0571269522665299E-10</v>
      </c>
      <c r="Q43" s="2">
        <v>0.05</v>
      </c>
      <c r="R43" s="2">
        <f t="shared" si="10"/>
        <v>105000</v>
      </c>
      <c r="S43" s="2">
        <f t="shared" si="11"/>
        <v>100210.09117903102</v>
      </c>
      <c r="T43" s="2">
        <f t="shared" si="12"/>
        <v>100210.09117903102</v>
      </c>
      <c r="U43" s="2">
        <f t="shared" si="13"/>
        <v>5.2493374855265302E-3</v>
      </c>
      <c r="V43" s="2">
        <v>0.13</v>
      </c>
      <c r="W43" s="2">
        <f t="shared" si="14"/>
        <v>112999.99999999999</v>
      </c>
      <c r="X43" s="2">
        <f t="shared" si="15"/>
        <v>10.432361386138613</v>
      </c>
      <c r="Y43" s="2">
        <f t="shared" si="16"/>
        <v>2.0379060986004755E-14</v>
      </c>
      <c r="Z43" s="2">
        <f t="shared" si="17"/>
        <v>12272270525.772064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</row>
    <row r="44" spans="1:74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0">
        <v>86.28217821782178</v>
      </c>
      <c r="L44" s="14">
        <f t="shared" si="6"/>
        <v>8.6282178217821778E-5</v>
      </c>
      <c r="M44" s="1">
        <f t="shared" si="7"/>
        <v>4.7762865441819992E-3</v>
      </c>
      <c r="N44" s="26">
        <f t="shared" si="8"/>
        <v>3.635489023648076E-7</v>
      </c>
      <c r="O44" s="26">
        <f t="shared" si="9"/>
        <v>2.032E-3</v>
      </c>
      <c r="P44" s="26">
        <v>1.0571269522665299E-10</v>
      </c>
      <c r="Q44" s="2">
        <v>0.05</v>
      </c>
      <c r="R44" s="2">
        <f t="shared" si="10"/>
        <v>105000</v>
      </c>
      <c r="S44" s="2">
        <f t="shared" si="11"/>
        <v>100520.02423042062</v>
      </c>
      <c r="T44" s="2">
        <f t="shared" si="12"/>
        <v>100520.02423042062</v>
      </c>
      <c r="U44" s="2">
        <f t="shared" si="13"/>
        <v>5.2493374855265302E-3</v>
      </c>
      <c r="V44" s="2">
        <v>0.13</v>
      </c>
      <c r="W44" s="2">
        <f t="shared" si="14"/>
        <v>112999.99999999999</v>
      </c>
      <c r="X44" s="2">
        <f t="shared" si="15"/>
        <v>9.74988613861386</v>
      </c>
      <c r="Y44" s="2">
        <f t="shared" si="16"/>
        <v>1.8987022903436905E-14</v>
      </c>
      <c r="Z44" s="2">
        <f t="shared" si="17"/>
        <v>11433985192.449705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</row>
    <row r="45" spans="1:74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0">
        <v>73.856435643564353</v>
      </c>
      <c r="L45" s="14">
        <f t="shared" si="6"/>
        <v>7.385643564356436E-5</v>
      </c>
      <c r="M45" s="1">
        <f t="shared" si="7"/>
        <v>4.7762865441819992E-3</v>
      </c>
      <c r="N45" s="26">
        <f t="shared" si="8"/>
        <v>3.1119318804180186E-7</v>
      </c>
      <c r="O45" s="26">
        <f t="shared" si="9"/>
        <v>2.032E-3</v>
      </c>
      <c r="P45" s="26">
        <v>1.0571269522665299E-10</v>
      </c>
      <c r="Q45" s="2">
        <v>0.05</v>
      </c>
      <c r="R45" s="2">
        <f t="shared" si="10"/>
        <v>105000</v>
      </c>
      <c r="S45" s="2">
        <f t="shared" si="11"/>
        <v>101159.17844611224</v>
      </c>
      <c r="T45" s="2">
        <f t="shared" si="12"/>
        <v>101159.17844611224</v>
      </c>
      <c r="U45" s="2">
        <f t="shared" si="13"/>
        <v>5.2493374855265302E-3</v>
      </c>
      <c r="V45" s="2">
        <v>0.13</v>
      </c>
      <c r="W45" s="2">
        <f t="shared" si="14"/>
        <v>112999.99999999999</v>
      </c>
      <c r="X45" s="2">
        <f t="shared" si="15"/>
        <v>8.3457772277227722</v>
      </c>
      <c r="Y45" s="2">
        <f t="shared" si="16"/>
        <v>1.6149724368317962E-14</v>
      </c>
      <c r="Z45" s="2">
        <f t="shared" si="17"/>
        <v>9725364014.601078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1:74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0">
        <v>87.71782178217822</v>
      </c>
      <c r="L46" s="14">
        <f t="shared" si="6"/>
        <v>8.7717821782178223E-5</v>
      </c>
      <c r="M46" s="1">
        <f t="shared" si="7"/>
        <v>4.7762865441819992E-3</v>
      </c>
      <c r="N46" s="26">
        <f t="shared" si="8"/>
        <v>3.6959796895989597E-7</v>
      </c>
      <c r="O46" s="26">
        <f t="shared" si="9"/>
        <v>2.032E-3</v>
      </c>
      <c r="P46" s="26">
        <v>1.0571269522665299E-10</v>
      </c>
      <c r="Q46" s="2">
        <v>0.05</v>
      </c>
      <c r="R46" s="2">
        <f t="shared" si="10"/>
        <v>105000</v>
      </c>
      <c r="S46" s="2">
        <f t="shared" si="11"/>
        <v>100446.30826328629</v>
      </c>
      <c r="T46" s="2">
        <f t="shared" si="12"/>
        <v>100446.30826328629</v>
      </c>
      <c r="U46" s="2">
        <f t="shared" si="13"/>
        <v>5.2493374855265302E-3</v>
      </c>
      <c r="V46" s="2">
        <v>0.13</v>
      </c>
      <c r="W46" s="2">
        <f t="shared" si="14"/>
        <v>112999.99999999999</v>
      </c>
      <c r="X46" s="2">
        <f t="shared" si="15"/>
        <v>9.9121138613861373</v>
      </c>
      <c r="Y46" s="2">
        <f t="shared" si="16"/>
        <v>1.9317145451427691E-14</v>
      </c>
      <c r="Z46" s="2">
        <f t="shared" si="17"/>
        <v>11632784990.849756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</row>
    <row r="47" spans="1:74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0">
        <v>74.846534653465355</v>
      </c>
      <c r="L47" s="14">
        <f t="shared" si="6"/>
        <v>7.4846534653465348E-5</v>
      </c>
      <c r="M47" s="1">
        <f t="shared" si="7"/>
        <v>4.7762865441819992E-3</v>
      </c>
      <c r="N47" s="26">
        <f t="shared" si="8"/>
        <v>3.1536495810738003E-7</v>
      </c>
      <c r="O47" s="26">
        <f t="shared" si="9"/>
        <v>2.032E-3</v>
      </c>
      <c r="P47" s="26">
        <v>1.0571269522665299E-10</v>
      </c>
      <c r="Q47" s="2">
        <v>0.05</v>
      </c>
      <c r="R47" s="2">
        <f t="shared" si="10"/>
        <v>105000</v>
      </c>
      <c r="S47" s="2">
        <f t="shared" si="11"/>
        <v>101108.17555293698</v>
      </c>
      <c r="T47" s="2">
        <f t="shared" si="12"/>
        <v>101108.17555293698</v>
      </c>
      <c r="U47" s="2">
        <f t="shared" si="13"/>
        <v>5.2493374855265302E-3</v>
      </c>
      <c r="V47" s="2">
        <v>0.13</v>
      </c>
      <c r="W47" s="2">
        <f t="shared" si="14"/>
        <v>112999.99999999999</v>
      </c>
      <c r="X47" s="2">
        <f t="shared" si="15"/>
        <v>8.4576584158415837</v>
      </c>
      <c r="Y47" s="2">
        <f t="shared" si="16"/>
        <v>1.6374497681009725E-14</v>
      </c>
      <c r="Z47" s="2">
        <f t="shared" si="17"/>
        <v>9860722503.5040569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</row>
    <row r="48" spans="1:74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5">
        <v>86.084158415841586</v>
      </c>
      <c r="L48" s="14">
        <f t="shared" si="6"/>
        <v>8.6084158415841586E-5</v>
      </c>
      <c r="M48" s="1">
        <f t="shared" si="7"/>
        <v>4.7762865441819992E-3</v>
      </c>
      <c r="N48" s="52">
        <f t="shared" si="8"/>
        <v>3.6271454835169203E-7</v>
      </c>
      <c r="O48" s="26">
        <f t="shared" si="9"/>
        <v>2.032E-3</v>
      </c>
      <c r="P48" s="26">
        <v>1.0571269522665299E-10</v>
      </c>
      <c r="Q48" s="2">
        <v>0.05</v>
      </c>
      <c r="R48" s="2">
        <f t="shared" si="10"/>
        <v>105000</v>
      </c>
      <c r="S48" s="2">
        <f t="shared" si="11"/>
        <v>100530.19407203711</v>
      </c>
      <c r="T48" s="2">
        <f t="shared" si="12"/>
        <v>100530.19407203711</v>
      </c>
      <c r="U48" s="2">
        <f t="shared" si="13"/>
        <v>5.2493374855265302E-3</v>
      </c>
      <c r="V48" s="2">
        <v>0.13</v>
      </c>
      <c r="W48" s="2">
        <f t="shared" si="14"/>
        <v>112999.99999999999</v>
      </c>
      <c r="X48" s="2">
        <f t="shared" si="15"/>
        <v>9.727509900990098</v>
      </c>
      <c r="Y48" s="11">
        <f t="shared" si="16"/>
        <v>1.8941526440602114E-14</v>
      </c>
      <c r="Z48" s="11">
        <f t="shared" si="17"/>
        <v>11406587222.530594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</row>
    <row r="49" spans="1:74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5">
        <v>80.044554455445549</v>
      </c>
      <c r="L49" s="14">
        <f t="shared" si="6"/>
        <v>8.0044554455445554E-5</v>
      </c>
      <c r="M49" s="1">
        <f t="shared" si="7"/>
        <v>4.7762865441819992E-3</v>
      </c>
      <c r="N49" s="52">
        <f t="shared" si="8"/>
        <v>3.3726675095166536E-7</v>
      </c>
      <c r="O49" s="26">
        <f t="shared" si="9"/>
        <v>2.032E-3</v>
      </c>
      <c r="P49" s="26">
        <v>1.0571269522665299E-10</v>
      </c>
      <c r="Q49" s="2">
        <v>0.05</v>
      </c>
      <c r="R49" s="2">
        <f t="shared" si="10"/>
        <v>105000</v>
      </c>
      <c r="S49" s="2">
        <f t="shared" si="11"/>
        <v>100840.62135925263</v>
      </c>
      <c r="T49" s="2">
        <f t="shared" si="12"/>
        <v>100840.62135925263</v>
      </c>
      <c r="U49" s="2">
        <f t="shared" si="13"/>
        <v>5.2493374855265302E-3</v>
      </c>
      <c r="V49" s="2">
        <v>0.13</v>
      </c>
      <c r="W49" s="2">
        <f t="shared" si="14"/>
        <v>112999.99999999999</v>
      </c>
      <c r="X49" s="2">
        <f t="shared" si="15"/>
        <v>9.045034653465347</v>
      </c>
      <c r="Y49" s="11">
        <f t="shared" si="16"/>
        <v>1.7558259653631924E-14</v>
      </c>
      <c r="Z49" s="11">
        <f t="shared" si="17"/>
        <v>10573583963.417145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</row>
    <row r="50" spans="1:74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5">
        <v>78.311881188118818</v>
      </c>
      <c r="L50" s="14">
        <f t="shared" si="6"/>
        <v>7.8311881188118814E-5</v>
      </c>
      <c r="M50" s="1">
        <f t="shared" si="7"/>
        <v>4.7762865441819992E-3</v>
      </c>
      <c r="N50" s="52">
        <f t="shared" si="8"/>
        <v>3.2996615333690355E-7</v>
      </c>
      <c r="O50" s="26">
        <f t="shared" si="9"/>
        <v>2.032E-3</v>
      </c>
      <c r="P50" s="26">
        <v>1.0571269522665299E-10</v>
      </c>
      <c r="Q50" s="2">
        <v>0.05</v>
      </c>
      <c r="R50" s="2">
        <f t="shared" si="10"/>
        <v>105000</v>
      </c>
      <c r="S50" s="2">
        <f t="shared" si="11"/>
        <v>100929.76670465674</v>
      </c>
      <c r="T50" s="2">
        <f t="shared" si="12"/>
        <v>100929.76670465674</v>
      </c>
      <c r="U50" s="2">
        <f t="shared" si="13"/>
        <v>5.2493374855265302E-3</v>
      </c>
      <c r="V50" s="2">
        <v>0.13</v>
      </c>
      <c r="W50" s="2">
        <f t="shared" si="14"/>
        <v>112999.99999999999</v>
      </c>
      <c r="X50" s="2">
        <f t="shared" si="15"/>
        <v>8.8492425742574241</v>
      </c>
      <c r="Y50" s="11">
        <f t="shared" si="16"/>
        <v>1.7162980095946712E-14</v>
      </c>
      <c r="Z50" s="11">
        <f t="shared" si="17"/>
        <v>10335546613.77911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</row>
    <row r="51" spans="1:74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5">
        <v>80.292079207920793</v>
      </c>
      <c r="L51" s="14">
        <f t="shared" si="6"/>
        <v>8.029207920792079E-5</v>
      </c>
      <c r="M51" s="1">
        <f t="shared" si="7"/>
        <v>4.7762865441819992E-3</v>
      </c>
      <c r="N51" s="52">
        <f t="shared" si="8"/>
        <v>3.3830969346805983E-7</v>
      </c>
      <c r="O51" s="26">
        <f t="shared" si="9"/>
        <v>2.032E-3</v>
      </c>
      <c r="P51" s="26">
        <v>1.0571269522665299E-10</v>
      </c>
      <c r="Q51" s="2">
        <v>0.05</v>
      </c>
      <c r="R51" s="2">
        <f t="shared" si="10"/>
        <v>105000</v>
      </c>
      <c r="S51" s="2">
        <f t="shared" si="11"/>
        <v>100827.88952507847</v>
      </c>
      <c r="T51" s="2">
        <f t="shared" si="12"/>
        <v>100827.88952507847</v>
      </c>
      <c r="U51" s="2">
        <f t="shared" si="13"/>
        <v>5.2493374855265302E-3</v>
      </c>
      <c r="V51" s="2">
        <v>0.13</v>
      </c>
      <c r="W51" s="2">
        <f t="shared" si="14"/>
        <v>112999.99999999999</v>
      </c>
      <c r="X51" s="2">
        <f t="shared" si="15"/>
        <v>9.073004950495049</v>
      </c>
      <c r="Y51" s="11">
        <f t="shared" si="16"/>
        <v>1.7614784788555083E-14</v>
      </c>
      <c r="Z51" s="11">
        <f t="shared" si="17"/>
        <v>10607623399.667871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</row>
    <row r="52" spans="1:74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5">
        <v>80.56435643564356</v>
      </c>
      <c r="L52" s="14">
        <f t="shared" si="6"/>
        <v>8.0564356435643556E-5</v>
      </c>
      <c r="M52" s="1">
        <f t="shared" si="7"/>
        <v>4.7762865441819992E-3</v>
      </c>
      <c r="N52" s="52">
        <f t="shared" si="8"/>
        <v>3.3945693023609379E-7</v>
      </c>
      <c r="O52" s="26">
        <f t="shared" si="9"/>
        <v>2.032E-3</v>
      </c>
      <c r="P52" s="26">
        <v>1.0571269522665299E-10</v>
      </c>
      <c r="Q52" s="2">
        <v>0.05</v>
      </c>
      <c r="R52" s="2">
        <f t="shared" si="10"/>
        <v>105000</v>
      </c>
      <c r="S52" s="2">
        <f t="shared" si="11"/>
        <v>100813.88543586708</v>
      </c>
      <c r="T52" s="2">
        <f t="shared" si="12"/>
        <v>100813.88543586708</v>
      </c>
      <c r="U52" s="2">
        <f t="shared" si="13"/>
        <v>5.2493374855265302E-3</v>
      </c>
      <c r="V52" s="2">
        <v>0.13</v>
      </c>
      <c r="W52" s="2">
        <f t="shared" si="14"/>
        <v>112999.99999999999</v>
      </c>
      <c r="X52" s="2">
        <f t="shared" si="15"/>
        <v>9.103772277227721</v>
      </c>
      <c r="Y52" s="11">
        <f t="shared" si="16"/>
        <v>1.7676978802025547E-14</v>
      </c>
      <c r="Z52" s="11">
        <f t="shared" si="17"/>
        <v>10645076634.579784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5">
        <v>75.069306930693074</v>
      </c>
      <c r="L53" s="14">
        <f t="shared" si="6"/>
        <v>7.506930693069307E-5</v>
      </c>
      <c r="M53" s="1">
        <f t="shared" si="7"/>
        <v>4.7762865441819992E-3</v>
      </c>
      <c r="N53" s="52">
        <f t="shared" si="8"/>
        <v>3.1630360637213514E-7</v>
      </c>
      <c r="O53" s="26">
        <f t="shared" si="9"/>
        <v>2.032E-3</v>
      </c>
      <c r="P53" s="26">
        <v>1.0571269522665299E-10</v>
      </c>
      <c r="Q53" s="2">
        <v>0.05</v>
      </c>
      <c r="R53" s="2">
        <f t="shared" si="10"/>
        <v>105000</v>
      </c>
      <c r="S53" s="2">
        <f t="shared" si="11"/>
        <v>101096.70167433463</v>
      </c>
      <c r="T53" s="2">
        <f t="shared" si="12"/>
        <v>101096.70167433463</v>
      </c>
      <c r="U53" s="2">
        <f t="shared" si="13"/>
        <v>5.2493374855265302E-3</v>
      </c>
      <c r="V53" s="2">
        <v>0.13</v>
      </c>
      <c r="W53" s="2">
        <f t="shared" si="14"/>
        <v>112999.99999999999</v>
      </c>
      <c r="X53" s="2">
        <f t="shared" si="15"/>
        <v>8.4828316831683157</v>
      </c>
      <c r="Y53" s="11">
        <f t="shared" si="16"/>
        <v>1.6425102714698565E-14</v>
      </c>
      <c r="Z53" s="11">
        <f t="shared" si="17"/>
        <v>9891196854.7914753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</row>
    <row r="54" spans="1:74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79.178217821782184</v>
      </c>
      <c r="L54" s="14">
        <f t="shared" si="6"/>
        <v>7.9178217821782184E-5</v>
      </c>
      <c r="M54" s="1">
        <f t="shared" si="7"/>
        <v>4.7762865441819992E-3</v>
      </c>
      <c r="N54" s="52">
        <f t="shared" si="8"/>
        <v>3.3361645214428443E-7</v>
      </c>
      <c r="O54" s="26">
        <f t="shared" si="9"/>
        <v>2.032E-3</v>
      </c>
      <c r="P54" s="26">
        <v>1.0571269522665299E-10</v>
      </c>
      <c r="Q54" s="2">
        <v>0.05</v>
      </c>
      <c r="R54" s="2">
        <f t="shared" si="10"/>
        <v>105000</v>
      </c>
      <c r="S54" s="2">
        <f t="shared" si="11"/>
        <v>100885.18910872666</v>
      </c>
      <c r="T54" s="2">
        <f t="shared" si="12"/>
        <v>100885.18910872666</v>
      </c>
      <c r="U54" s="2">
        <f t="shared" si="13"/>
        <v>5.2493374855265302E-3</v>
      </c>
      <c r="V54" s="2">
        <v>0.13</v>
      </c>
      <c r="W54" s="2">
        <f t="shared" si="14"/>
        <v>112999.99999999999</v>
      </c>
      <c r="X54" s="2">
        <f t="shared" si="15"/>
        <v>8.9471386138613855</v>
      </c>
      <c r="Y54" s="11">
        <f t="shared" si="16"/>
        <v>1.7360533202141073E-14</v>
      </c>
      <c r="Z54" s="11">
        <f t="shared" si="17"/>
        <v>10454513094.329355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</row>
    <row r="55" spans="1:74" s="4" customFormat="1" x14ac:dyDescent="0.25">
      <c r="A55" s="1">
        <v>159</v>
      </c>
      <c r="B55" s="1">
        <f t="shared" si="1"/>
        <v>2.65</v>
      </c>
      <c r="C55" s="1">
        <v>20</v>
      </c>
      <c r="D55" s="1">
        <f t="shared" si="0"/>
        <v>29.146000000000001</v>
      </c>
      <c r="E55" s="1">
        <f t="shared" si="2"/>
        <v>4.8576666666666667E-7</v>
      </c>
      <c r="F55" s="1">
        <v>21.1</v>
      </c>
      <c r="G55" s="1">
        <f t="shared" si="3"/>
        <v>294.10000000000002</v>
      </c>
      <c r="H55" s="1">
        <v>101.3</v>
      </c>
      <c r="I55" s="1">
        <f t="shared" si="4"/>
        <v>101300</v>
      </c>
      <c r="J55" s="1">
        <f t="shared" si="5"/>
        <v>2.0124824921938581E-5</v>
      </c>
      <c r="K55" s="25">
        <v>82.297029702970306</v>
      </c>
      <c r="L55" s="14">
        <f t="shared" ref="L55:L80" si="18">(K55/1000000)</f>
        <v>8.229702970297031E-5</v>
      </c>
      <c r="M55" s="1">
        <f t="shared" si="7"/>
        <v>4.7762865441819992E-3</v>
      </c>
      <c r="N55" s="52">
        <f t="shared" ref="N55:N80" si="19">(L55*J55)/M55</f>
        <v>3.4675752785085565E-7</v>
      </c>
      <c r="O55" s="26">
        <f t="shared" si="9"/>
        <v>2.032E-3</v>
      </c>
      <c r="P55" s="26">
        <v>1.0571269522665299E-10</v>
      </c>
      <c r="Q55" s="2">
        <v>0.05</v>
      </c>
      <c r="R55" s="2">
        <f t="shared" ref="R55:R80" si="20">(1+Q55)*100000*1</f>
        <v>105000</v>
      </c>
      <c r="S55" s="2">
        <f t="shared" ref="S55:S80" si="21">(SQRT(R55)-(N55*O55/P55))^2</f>
        <v>100724.79129203415</v>
      </c>
      <c r="T55" s="2">
        <f t="shared" ref="T55:T80" si="22">(S55)</f>
        <v>100724.79129203415</v>
      </c>
      <c r="U55" s="2">
        <f t="shared" si="13"/>
        <v>5.2493374855265302E-3</v>
      </c>
      <c r="V55" s="2">
        <v>0.13</v>
      </c>
      <c r="W55" s="2">
        <f t="shared" si="14"/>
        <v>112999.99999999999</v>
      </c>
      <c r="X55" s="2">
        <f t="shared" ref="X55:X80" si="23">(L55*W55)</f>
        <v>9.2995643564356438</v>
      </c>
      <c r="Y55" s="11">
        <f t="shared" ref="Y55:Y80" si="24">(N55*U55)/(T55-X55)</f>
        <v>1.8073160922033034E-14</v>
      </c>
      <c r="Z55" s="11">
        <f t="shared" ref="Z55:Z80" si="25">(Y55*6.022E+23)</f>
        <v>10883657507.248293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</row>
    <row r="56" spans="1:74" s="4" customFormat="1" x14ac:dyDescent="0.25">
      <c r="A56" s="1">
        <v>162</v>
      </c>
      <c r="B56" s="1">
        <f t="shared" si="1"/>
        <v>2.7</v>
      </c>
      <c r="C56" s="1">
        <v>20</v>
      </c>
      <c r="D56" s="1">
        <f t="shared" si="0"/>
        <v>29.146000000000001</v>
      </c>
      <c r="E56" s="1">
        <f t="shared" si="2"/>
        <v>4.8576666666666667E-7</v>
      </c>
      <c r="F56" s="1">
        <v>21.1</v>
      </c>
      <c r="G56" s="1">
        <f t="shared" si="3"/>
        <v>294.10000000000002</v>
      </c>
      <c r="H56" s="1">
        <v>101.3</v>
      </c>
      <c r="I56" s="1">
        <f t="shared" si="4"/>
        <v>101300</v>
      </c>
      <c r="J56" s="1">
        <f t="shared" si="5"/>
        <v>2.0124824921938581E-5</v>
      </c>
      <c r="K56" s="25">
        <v>79.252475247524757</v>
      </c>
      <c r="L56" s="14">
        <f t="shared" si="18"/>
        <v>7.9252475247524757E-5</v>
      </c>
      <c r="M56" s="1">
        <f t="shared" si="7"/>
        <v>4.7762865441819992E-3</v>
      </c>
      <c r="N56" s="52">
        <f t="shared" si="19"/>
        <v>3.3392933489920281E-7</v>
      </c>
      <c r="O56" s="26">
        <f t="shared" si="9"/>
        <v>2.032E-3</v>
      </c>
      <c r="P56" s="26">
        <v>1.0571269522665299E-10</v>
      </c>
      <c r="Q56" s="2">
        <v>0.05</v>
      </c>
      <c r="R56" s="2">
        <f t="shared" si="20"/>
        <v>105000</v>
      </c>
      <c r="S56" s="2">
        <f t="shared" si="21"/>
        <v>100881.36863009428</v>
      </c>
      <c r="T56" s="2">
        <f t="shared" si="22"/>
        <v>100881.36863009428</v>
      </c>
      <c r="U56" s="2">
        <f t="shared" si="13"/>
        <v>5.2493374855265302E-3</v>
      </c>
      <c r="V56" s="2">
        <v>0.13</v>
      </c>
      <c r="W56" s="2">
        <f t="shared" si="14"/>
        <v>112999.99999999999</v>
      </c>
      <c r="X56" s="2">
        <f t="shared" si="23"/>
        <v>8.9555297029702956</v>
      </c>
      <c r="Y56" s="11">
        <f t="shared" si="24"/>
        <v>1.7377474388946962E-14</v>
      </c>
      <c r="Z56" s="11">
        <f t="shared" si="25"/>
        <v>10464715077.023861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</row>
    <row r="57" spans="1:74" s="4" customFormat="1" x14ac:dyDescent="0.25">
      <c r="A57" s="1">
        <v>165</v>
      </c>
      <c r="B57" s="1">
        <f t="shared" si="1"/>
        <v>2.75</v>
      </c>
      <c r="C57" s="1">
        <v>20</v>
      </c>
      <c r="D57" s="1">
        <f t="shared" si="0"/>
        <v>29.146000000000001</v>
      </c>
      <c r="E57" s="1">
        <f t="shared" si="2"/>
        <v>4.8576666666666667E-7</v>
      </c>
      <c r="F57" s="1">
        <v>21.1</v>
      </c>
      <c r="G57" s="1">
        <f t="shared" si="3"/>
        <v>294.10000000000002</v>
      </c>
      <c r="H57" s="1">
        <v>101.3</v>
      </c>
      <c r="I57" s="1">
        <f t="shared" si="4"/>
        <v>101300</v>
      </c>
      <c r="J57" s="1">
        <f t="shared" si="5"/>
        <v>2.0124824921938581E-5</v>
      </c>
      <c r="K57" s="25">
        <v>80.960396039603964</v>
      </c>
      <c r="L57" s="14">
        <f t="shared" si="18"/>
        <v>8.0960396039603968E-5</v>
      </c>
      <c r="M57" s="1">
        <f t="shared" si="7"/>
        <v>4.7762865441819992E-3</v>
      </c>
      <c r="N57" s="52">
        <f t="shared" si="19"/>
        <v>3.4112563826232509E-7</v>
      </c>
      <c r="O57" s="26">
        <f t="shared" si="9"/>
        <v>2.032E-3</v>
      </c>
      <c r="P57" s="26">
        <v>1.0571269522665299E-10</v>
      </c>
      <c r="Q57" s="2">
        <v>0.05</v>
      </c>
      <c r="R57" s="2">
        <f t="shared" si="20"/>
        <v>105000</v>
      </c>
      <c r="S57" s="2">
        <f t="shared" si="21"/>
        <v>100793.51758775096</v>
      </c>
      <c r="T57" s="2">
        <f t="shared" si="22"/>
        <v>100793.51758775096</v>
      </c>
      <c r="U57" s="2">
        <f t="shared" si="13"/>
        <v>5.2493374855265302E-3</v>
      </c>
      <c r="V57" s="2">
        <v>0.13</v>
      </c>
      <c r="W57" s="2">
        <f t="shared" si="14"/>
        <v>112999.99999999999</v>
      </c>
      <c r="X57" s="2">
        <f t="shared" si="23"/>
        <v>9.1485247524752467</v>
      </c>
      <c r="Y57" s="11">
        <f t="shared" si="24"/>
        <v>1.7767473437128553E-14</v>
      </c>
      <c r="Z57" s="11">
        <f t="shared" si="25"/>
        <v>10699572503.838816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</row>
    <row r="58" spans="1:74" s="4" customFormat="1" x14ac:dyDescent="0.25">
      <c r="A58" s="1">
        <v>168</v>
      </c>
      <c r="B58" s="1">
        <f t="shared" si="1"/>
        <v>2.8</v>
      </c>
      <c r="C58" s="1">
        <v>20</v>
      </c>
      <c r="D58" s="1">
        <f t="shared" si="0"/>
        <v>29.146000000000001</v>
      </c>
      <c r="E58" s="1">
        <f t="shared" si="2"/>
        <v>4.8576666666666667E-7</v>
      </c>
      <c r="F58" s="1">
        <v>21.1</v>
      </c>
      <c r="G58" s="1">
        <f t="shared" si="3"/>
        <v>294.10000000000002</v>
      </c>
      <c r="H58" s="1">
        <v>101.3</v>
      </c>
      <c r="I58" s="1">
        <f t="shared" si="4"/>
        <v>101300</v>
      </c>
      <c r="J58" s="1">
        <f t="shared" si="5"/>
        <v>2.0124824921938581E-5</v>
      </c>
      <c r="K58" s="25">
        <v>79.896039603960389</v>
      </c>
      <c r="L58" s="14">
        <f t="shared" si="18"/>
        <v>7.9896039603960392E-5</v>
      </c>
      <c r="M58" s="1">
        <f t="shared" si="7"/>
        <v>4.7762865441819992E-3</v>
      </c>
      <c r="N58" s="52">
        <f t="shared" si="19"/>
        <v>3.3664098544182853E-7</v>
      </c>
      <c r="O58" s="26">
        <f t="shared" si="9"/>
        <v>2.032E-3</v>
      </c>
      <c r="P58" s="26">
        <v>1.0571269522665299E-10</v>
      </c>
      <c r="Q58" s="2">
        <v>0.05</v>
      </c>
      <c r="R58" s="2">
        <f t="shared" si="20"/>
        <v>105000</v>
      </c>
      <c r="S58" s="2">
        <f t="shared" si="21"/>
        <v>100848.26084557743</v>
      </c>
      <c r="T58" s="2">
        <f t="shared" si="22"/>
        <v>100848.26084557743</v>
      </c>
      <c r="U58" s="2">
        <f t="shared" si="13"/>
        <v>5.2493374855265302E-3</v>
      </c>
      <c r="V58" s="2">
        <v>0.13</v>
      </c>
      <c r="W58" s="2">
        <f t="shared" si="14"/>
        <v>112999.99999999999</v>
      </c>
      <c r="X58" s="2">
        <f t="shared" si="23"/>
        <v>9.0282524752475233</v>
      </c>
      <c r="Y58" s="11">
        <f t="shared" si="24"/>
        <v>1.752435137200024E-14</v>
      </c>
      <c r="Z58" s="11">
        <f t="shared" si="25"/>
        <v>10553164396.218546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s="4" customFormat="1" x14ac:dyDescent="0.25">
      <c r="A59" s="1">
        <v>171</v>
      </c>
      <c r="B59" s="1">
        <f t="shared" si="1"/>
        <v>2.85</v>
      </c>
      <c r="C59" s="1">
        <v>20</v>
      </c>
      <c r="D59" s="1">
        <f t="shared" si="0"/>
        <v>29.146000000000001</v>
      </c>
      <c r="E59" s="1">
        <f t="shared" si="2"/>
        <v>4.8576666666666667E-7</v>
      </c>
      <c r="F59" s="1">
        <v>21.1</v>
      </c>
      <c r="G59" s="1">
        <f t="shared" si="3"/>
        <v>294.10000000000002</v>
      </c>
      <c r="H59" s="1">
        <v>101.3</v>
      </c>
      <c r="I59" s="1">
        <f t="shared" si="4"/>
        <v>101300</v>
      </c>
      <c r="J59" s="1">
        <f t="shared" si="5"/>
        <v>2.0124824921938581E-5</v>
      </c>
      <c r="K59" s="25">
        <v>83.262376237623769</v>
      </c>
      <c r="L59" s="14">
        <f t="shared" si="18"/>
        <v>8.3262376237623769E-5</v>
      </c>
      <c r="M59" s="1">
        <f t="shared" si="7"/>
        <v>4.7762865441819992E-3</v>
      </c>
      <c r="N59" s="52">
        <f t="shared" si="19"/>
        <v>3.5082500366479429E-7</v>
      </c>
      <c r="O59" s="26">
        <f t="shared" si="9"/>
        <v>2.032E-3</v>
      </c>
      <c r="P59" s="26">
        <v>1.0571269522665299E-10</v>
      </c>
      <c r="Q59" s="2">
        <v>0.05</v>
      </c>
      <c r="R59" s="2">
        <f t="shared" si="20"/>
        <v>105000</v>
      </c>
      <c r="S59" s="2">
        <f t="shared" si="21"/>
        <v>100675.17021079033</v>
      </c>
      <c r="T59" s="2">
        <f t="shared" si="22"/>
        <v>100675.17021079033</v>
      </c>
      <c r="U59" s="2">
        <f t="shared" si="13"/>
        <v>5.2493374855265302E-3</v>
      </c>
      <c r="V59" s="2">
        <v>0.13</v>
      </c>
      <c r="W59" s="2">
        <f t="shared" si="14"/>
        <v>112999.99999999999</v>
      </c>
      <c r="X59" s="2">
        <f t="shared" si="23"/>
        <v>9.4086485148514853</v>
      </c>
      <c r="Y59" s="11">
        <f t="shared" si="24"/>
        <v>1.8294192722699541E-14</v>
      </c>
      <c r="Z59" s="11">
        <f t="shared" si="25"/>
        <v>11016762857.609665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</row>
    <row r="60" spans="1:74" s="4" customFormat="1" x14ac:dyDescent="0.25">
      <c r="A60" s="1">
        <v>174</v>
      </c>
      <c r="B60" s="1">
        <f t="shared" si="1"/>
        <v>2.9</v>
      </c>
      <c r="C60" s="1">
        <v>20</v>
      </c>
      <c r="D60" s="1">
        <f t="shared" si="0"/>
        <v>29.146000000000001</v>
      </c>
      <c r="E60" s="1">
        <f t="shared" si="2"/>
        <v>4.8576666666666667E-7</v>
      </c>
      <c r="F60" s="1">
        <v>21.1</v>
      </c>
      <c r="G60" s="1">
        <f t="shared" si="3"/>
        <v>294.10000000000002</v>
      </c>
      <c r="H60" s="1">
        <v>101.3</v>
      </c>
      <c r="I60" s="1">
        <f t="shared" si="4"/>
        <v>101300</v>
      </c>
      <c r="J60" s="1">
        <f t="shared" si="5"/>
        <v>2.0124824921938581E-5</v>
      </c>
      <c r="K60" s="25">
        <v>81.084158415841586</v>
      </c>
      <c r="L60" s="14">
        <f t="shared" si="18"/>
        <v>8.1084158415841586E-5</v>
      </c>
      <c r="M60" s="1">
        <f t="shared" si="7"/>
        <v>4.7762865441819992E-3</v>
      </c>
      <c r="N60" s="52">
        <f t="shared" si="19"/>
        <v>3.4164710952052233E-7</v>
      </c>
      <c r="O60" s="26">
        <f t="shared" si="9"/>
        <v>2.032E-3</v>
      </c>
      <c r="P60" s="26">
        <v>1.0571269522665299E-10</v>
      </c>
      <c r="Q60" s="2">
        <v>0.05</v>
      </c>
      <c r="R60" s="2">
        <f t="shared" si="20"/>
        <v>105000</v>
      </c>
      <c r="S60" s="2">
        <f t="shared" si="21"/>
        <v>100787.15305720568</v>
      </c>
      <c r="T60" s="2">
        <f t="shared" si="22"/>
        <v>100787.15305720568</v>
      </c>
      <c r="U60" s="2">
        <f t="shared" si="13"/>
        <v>5.2493374855265302E-3</v>
      </c>
      <c r="V60" s="2">
        <v>0.13</v>
      </c>
      <c r="W60" s="2">
        <f t="shared" si="14"/>
        <v>112999.99999999999</v>
      </c>
      <c r="X60" s="2">
        <f t="shared" si="23"/>
        <v>9.1625099009900985</v>
      </c>
      <c r="Y60" s="11">
        <f t="shared" si="24"/>
        <v>1.779576045412458E-14</v>
      </c>
      <c r="Z60" s="11">
        <f t="shared" si="25"/>
        <v>10716606945.473822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s="4" customFormat="1" x14ac:dyDescent="0.25">
      <c r="A61" s="1">
        <v>177</v>
      </c>
      <c r="B61" s="1">
        <f t="shared" si="1"/>
        <v>2.95</v>
      </c>
      <c r="C61" s="1">
        <v>20</v>
      </c>
      <c r="D61" s="1">
        <f t="shared" si="0"/>
        <v>29.146000000000001</v>
      </c>
      <c r="E61" s="1">
        <f t="shared" si="2"/>
        <v>4.8576666666666667E-7</v>
      </c>
      <c r="F61" s="1">
        <v>21.1</v>
      </c>
      <c r="G61" s="1">
        <f t="shared" si="3"/>
        <v>294.10000000000002</v>
      </c>
      <c r="H61" s="1">
        <v>101.3</v>
      </c>
      <c r="I61" s="1">
        <f t="shared" si="4"/>
        <v>101300</v>
      </c>
      <c r="J61" s="1">
        <f t="shared" si="5"/>
        <v>2.0124824921938581E-5</v>
      </c>
      <c r="K61" s="25">
        <v>78.287128712871279</v>
      </c>
      <c r="L61" s="14">
        <f t="shared" si="18"/>
        <v>7.8287128712871285E-5</v>
      </c>
      <c r="M61" s="1">
        <f t="shared" si="7"/>
        <v>4.7762865441819992E-3</v>
      </c>
      <c r="N61" s="52">
        <f t="shared" si="19"/>
        <v>3.2986185908526407E-7</v>
      </c>
      <c r="O61" s="26">
        <f t="shared" si="9"/>
        <v>2.032E-3</v>
      </c>
      <c r="P61" s="26">
        <v>1.0571269522665299E-10</v>
      </c>
      <c r="Q61" s="2">
        <v>0.05</v>
      </c>
      <c r="R61" s="2">
        <f t="shared" si="20"/>
        <v>105000</v>
      </c>
      <c r="S61" s="2">
        <f t="shared" si="21"/>
        <v>100931.04049493735</v>
      </c>
      <c r="T61" s="2">
        <f t="shared" si="22"/>
        <v>100931.04049493735</v>
      </c>
      <c r="U61" s="2">
        <f t="shared" si="13"/>
        <v>5.2493374855265302E-3</v>
      </c>
      <c r="V61" s="2">
        <v>0.13</v>
      </c>
      <c r="W61" s="2">
        <f t="shared" si="14"/>
        <v>112999.99999999999</v>
      </c>
      <c r="X61" s="2">
        <f t="shared" si="23"/>
        <v>8.8464455445544541</v>
      </c>
      <c r="Y61" s="11">
        <f t="shared" si="24"/>
        <v>1.7157338266886051E-14</v>
      </c>
      <c r="Z61" s="11">
        <f t="shared" si="25"/>
        <v>10332149104.318781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</row>
    <row r="62" spans="1:74" s="4" customFormat="1" x14ac:dyDescent="0.25">
      <c r="A62" s="1">
        <v>180</v>
      </c>
      <c r="B62" s="1">
        <f t="shared" si="1"/>
        <v>3</v>
      </c>
      <c r="C62" s="1">
        <v>20</v>
      </c>
      <c r="D62" s="1">
        <f t="shared" si="0"/>
        <v>29.146000000000001</v>
      </c>
      <c r="E62" s="1">
        <f t="shared" si="2"/>
        <v>4.8576666666666667E-7</v>
      </c>
      <c r="F62" s="1">
        <v>21.1</v>
      </c>
      <c r="G62" s="1">
        <f t="shared" si="3"/>
        <v>294.10000000000002</v>
      </c>
      <c r="H62" s="1">
        <v>101.3</v>
      </c>
      <c r="I62" s="1">
        <f t="shared" si="4"/>
        <v>101300</v>
      </c>
      <c r="J62" s="1">
        <f t="shared" si="5"/>
        <v>2.0124824921938581E-5</v>
      </c>
      <c r="K62" s="25">
        <v>86.207920792079207</v>
      </c>
      <c r="L62" s="14">
        <f t="shared" si="18"/>
        <v>8.6207920792079204E-5</v>
      </c>
      <c r="M62" s="1">
        <f t="shared" si="7"/>
        <v>4.7762865441819992E-3</v>
      </c>
      <c r="N62" s="52">
        <f t="shared" si="19"/>
        <v>3.6323601960988927E-7</v>
      </c>
      <c r="O62" s="26">
        <f t="shared" si="9"/>
        <v>2.032E-3</v>
      </c>
      <c r="P62" s="26">
        <v>1.0571269522665299E-10</v>
      </c>
      <c r="Q62" s="2">
        <v>0.05</v>
      </c>
      <c r="R62" s="2">
        <f t="shared" si="20"/>
        <v>105000</v>
      </c>
      <c r="S62" s="2">
        <f t="shared" si="21"/>
        <v>100523.83786074237</v>
      </c>
      <c r="T62" s="2">
        <f t="shared" si="22"/>
        <v>100523.83786074237</v>
      </c>
      <c r="U62" s="2">
        <f t="shared" si="13"/>
        <v>5.2493374855265302E-3</v>
      </c>
      <c r="V62" s="2">
        <v>0.13</v>
      </c>
      <c r="W62" s="2">
        <f t="shared" si="14"/>
        <v>112999.99999999999</v>
      </c>
      <c r="X62" s="2">
        <f t="shared" si="23"/>
        <v>9.7414950495049482</v>
      </c>
      <c r="Y62" s="11">
        <f t="shared" si="24"/>
        <v>1.8969960659990039E-14</v>
      </c>
      <c r="Z62" s="11">
        <f t="shared" si="25"/>
        <v>11423710309.446003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s="4" customFormat="1" x14ac:dyDescent="0.25">
      <c r="A63" s="1">
        <v>183</v>
      </c>
      <c r="B63" s="1">
        <f t="shared" si="1"/>
        <v>3.05</v>
      </c>
      <c r="C63" s="1">
        <v>20</v>
      </c>
      <c r="D63" s="1">
        <f t="shared" si="0"/>
        <v>29.146000000000001</v>
      </c>
      <c r="E63" s="1">
        <f t="shared" si="2"/>
        <v>4.8576666666666667E-7</v>
      </c>
      <c r="F63" s="1">
        <v>21.1</v>
      </c>
      <c r="G63" s="1">
        <f t="shared" si="3"/>
        <v>294.10000000000002</v>
      </c>
      <c r="H63" s="1">
        <v>101.3</v>
      </c>
      <c r="I63" s="1">
        <f t="shared" si="4"/>
        <v>101300</v>
      </c>
      <c r="J63" s="1">
        <f t="shared" si="5"/>
        <v>2.0124824921938581E-5</v>
      </c>
      <c r="K63" s="25">
        <v>86.207920792079207</v>
      </c>
      <c r="L63" s="14">
        <f t="shared" si="18"/>
        <v>8.6207920792079204E-5</v>
      </c>
      <c r="M63" s="1">
        <f t="shared" si="7"/>
        <v>4.7762865441819992E-3</v>
      </c>
      <c r="N63" s="52">
        <f t="shared" si="19"/>
        <v>3.6323601960988927E-7</v>
      </c>
      <c r="O63" s="26">
        <f t="shared" si="9"/>
        <v>2.032E-3</v>
      </c>
      <c r="P63" s="26">
        <v>1.0571269522665299E-10</v>
      </c>
      <c r="Q63" s="2">
        <v>0.05</v>
      </c>
      <c r="R63" s="2">
        <f t="shared" si="20"/>
        <v>105000</v>
      </c>
      <c r="S63" s="2">
        <f t="shared" si="21"/>
        <v>100523.83786074237</v>
      </c>
      <c r="T63" s="2">
        <f t="shared" si="22"/>
        <v>100523.83786074237</v>
      </c>
      <c r="U63" s="2">
        <f t="shared" si="13"/>
        <v>5.2493374855265302E-3</v>
      </c>
      <c r="V63" s="2">
        <v>0.13</v>
      </c>
      <c r="W63" s="2">
        <f t="shared" si="14"/>
        <v>112999.99999999999</v>
      </c>
      <c r="X63" s="2">
        <f t="shared" si="23"/>
        <v>9.7414950495049482</v>
      </c>
      <c r="Y63" s="11">
        <f t="shared" si="24"/>
        <v>1.8969960659990039E-14</v>
      </c>
      <c r="Z63" s="11">
        <f t="shared" si="25"/>
        <v>11423710309.446003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</row>
    <row r="64" spans="1:74" s="4" customFormat="1" x14ac:dyDescent="0.25">
      <c r="A64" s="1">
        <v>186</v>
      </c>
      <c r="B64" s="1">
        <f t="shared" si="1"/>
        <v>3.1</v>
      </c>
      <c r="C64" s="1">
        <v>20</v>
      </c>
      <c r="D64" s="1">
        <f t="shared" si="0"/>
        <v>29.146000000000001</v>
      </c>
      <c r="E64" s="1">
        <f t="shared" si="2"/>
        <v>4.8576666666666667E-7</v>
      </c>
      <c r="F64" s="1">
        <v>21.1</v>
      </c>
      <c r="G64" s="1">
        <f t="shared" si="3"/>
        <v>294.10000000000002</v>
      </c>
      <c r="H64" s="1">
        <v>101.3</v>
      </c>
      <c r="I64" s="1">
        <f t="shared" si="4"/>
        <v>101300</v>
      </c>
      <c r="J64" s="1">
        <f t="shared" si="5"/>
        <v>2.0124824921938581E-5</v>
      </c>
      <c r="K64" s="25">
        <v>84.252475247524757</v>
      </c>
      <c r="L64" s="14">
        <f t="shared" si="18"/>
        <v>8.4252475247524757E-5</v>
      </c>
      <c r="M64" s="1">
        <f t="shared" si="7"/>
        <v>4.7762865441819992E-3</v>
      </c>
      <c r="N64" s="52">
        <f t="shared" si="19"/>
        <v>3.5499677373037241E-7</v>
      </c>
      <c r="O64" s="26">
        <f t="shared" si="9"/>
        <v>2.032E-3</v>
      </c>
      <c r="P64" s="26">
        <v>1.0571269522665299E-10</v>
      </c>
      <c r="Q64" s="2">
        <v>0.05</v>
      </c>
      <c r="R64" s="2">
        <f t="shared" si="20"/>
        <v>105000</v>
      </c>
      <c r="S64" s="2">
        <f t="shared" si="21"/>
        <v>100624.2894940487</v>
      </c>
      <c r="T64" s="2">
        <f t="shared" si="22"/>
        <v>100624.2894940487</v>
      </c>
      <c r="U64" s="2">
        <f t="shared" si="13"/>
        <v>5.2493374855265302E-3</v>
      </c>
      <c r="V64" s="2">
        <v>0.13</v>
      </c>
      <c r="W64" s="2">
        <f t="shared" si="14"/>
        <v>112999.99999999999</v>
      </c>
      <c r="X64" s="2">
        <f t="shared" si="23"/>
        <v>9.5205297029702969</v>
      </c>
      <c r="Y64" s="11">
        <f t="shared" si="24"/>
        <v>1.8521116638892055E-14</v>
      </c>
      <c r="Z64" s="11">
        <f t="shared" si="25"/>
        <v>11153416439.940796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s="4" customFormat="1" x14ac:dyDescent="0.25">
      <c r="A65" s="1">
        <v>189</v>
      </c>
      <c r="B65" s="1">
        <f t="shared" si="1"/>
        <v>3.15</v>
      </c>
      <c r="C65" s="1">
        <v>20</v>
      </c>
      <c r="D65" s="1">
        <f t="shared" si="0"/>
        <v>29.146000000000001</v>
      </c>
      <c r="E65" s="1">
        <f t="shared" si="2"/>
        <v>4.8576666666666667E-7</v>
      </c>
      <c r="F65" s="1">
        <v>21.1</v>
      </c>
      <c r="G65" s="1">
        <f t="shared" si="3"/>
        <v>294.10000000000002</v>
      </c>
      <c r="H65" s="1">
        <v>101.3</v>
      </c>
      <c r="I65" s="1">
        <f t="shared" si="4"/>
        <v>101300</v>
      </c>
      <c r="J65" s="1">
        <f t="shared" si="5"/>
        <v>2.0124824921938581E-5</v>
      </c>
      <c r="K65" s="25">
        <v>83.905940594059416</v>
      </c>
      <c r="L65" s="14">
        <f t="shared" si="18"/>
        <v>8.3905940594059417E-5</v>
      </c>
      <c r="M65" s="1">
        <f t="shared" si="7"/>
        <v>4.7762865441819992E-3</v>
      </c>
      <c r="N65" s="52">
        <f t="shared" si="19"/>
        <v>3.5353665420742007E-7</v>
      </c>
      <c r="O65" s="26">
        <f t="shared" si="9"/>
        <v>2.032E-3</v>
      </c>
      <c r="P65" s="26">
        <v>1.0571269522665299E-10</v>
      </c>
      <c r="Q65" s="2">
        <v>0.05</v>
      </c>
      <c r="R65" s="2">
        <f t="shared" si="20"/>
        <v>105000</v>
      </c>
      <c r="S65" s="2">
        <f t="shared" si="21"/>
        <v>100642.09628200624</v>
      </c>
      <c r="T65" s="2">
        <f t="shared" si="22"/>
        <v>100642.09628200624</v>
      </c>
      <c r="U65" s="2">
        <f t="shared" si="13"/>
        <v>5.2493374855265302E-3</v>
      </c>
      <c r="V65" s="2">
        <v>0.13</v>
      </c>
      <c r="W65" s="2">
        <f t="shared" si="14"/>
        <v>112999.99999999999</v>
      </c>
      <c r="X65" s="2">
        <f t="shared" si="23"/>
        <v>9.481371287128713</v>
      </c>
      <c r="Y65" s="11">
        <f t="shared" si="24"/>
        <v>1.8441667376775702E-14</v>
      </c>
      <c r="Z65" s="11">
        <f t="shared" si="25"/>
        <v>11105572094.294329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</row>
    <row r="66" spans="1:74" s="4" customFormat="1" x14ac:dyDescent="0.25">
      <c r="A66" s="1">
        <v>192</v>
      </c>
      <c r="B66" s="1">
        <f t="shared" si="1"/>
        <v>3.2</v>
      </c>
      <c r="C66" s="1">
        <v>20</v>
      </c>
      <c r="D66" s="1">
        <f t="shared" ref="D66:D83" si="26">(C66*1.4573)</f>
        <v>29.146000000000001</v>
      </c>
      <c r="E66" s="1">
        <f t="shared" si="2"/>
        <v>4.8576666666666667E-7</v>
      </c>
      <c r="F66" s="1">
        <v>21.1</v>
      </c>
      <c r="G66" s="1">
        <f t="shared" si="3"/>
        <v>294.10000000000002</v>
      </c>
      <c r="H66" s="1">
        <v>101.3</v>
      </c>
      <c r="I66" s="1">
        <f t="shared" si="4"/>
        <v>101300</v>
      </c>
      <c r="J66" s="1">
        <f t="shared" si="5"/>
        <v>2.0124824921938581E-5</v>
      </c>
      <c r="K66" s="25">
        <v>79.128712871287135</v>
      </c>
      <c r="L66" s="14">
        <f t="shared" si="18"/>
        <v>7.9128712871287139E-5</v>
      </c>
      <c r="M66" s="1">
        <f t="shared" si="7"/>
        <v>4.7762865441819992E-3</v>
      </c>
      <c r="N66" s="52">
        <f t="shared" si="19"/>
        <v>3.3340786364100557E-7</v>
      </c>
      <c r="O66" s="26">
        <f t="shared" si="9"/>
        <v>2.032E-3</v>
      </c>
      <c r="P66" s="26">
        <v>1.0571269522665299E-10</v>
      </c>
      <c r="Q66" s="2">
        <v>0.05</v>
      </c>
      <c r="R66" s="2">
        <f t="shared" si="20"/>
        <v>105000</v>
      </c>
      <c r="S66" s="2">
        <f t="shared" si="21"/>
        <v>100887.73613467121</v>
      </c>
      <c r="T66" s="2">
        <f t="shared" si="22"/>
        <v>100887.73613467121</v>
      </c>
      <c r="U66" s="2">
        <f t="shared" si="13"/>
        <v>5.2493374855265302E-3</v>
      </c>
      <c r="V66" s="2">
        <v>0.13</v>
      </c>
      <c r="W66" s="2">
        <f t="shared" si="14"/>
        <v>112999.99999999999</v>
      </c>
      <c r="X66" s="2">
        <f t="shared" si="23"/>
        <v>8.9415445544554455</v>
      </c>
      <c r="Y66" s="11">
        <f t="shared" si="24"/>
        <v>1.734923978514227E-14</v>
      </c>
      <c r="Z66" s="11">
        <f t="shared" si="25"/>
        <v>10447712198.612675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s="4" customFormat="1" x14ac:dyDescent="0.25">
      <c r="A67" s="1">
        <v>195</v>
      </c>
      <c r="B67" s="1">
        <f t="shared" ref="B67:B83" si="27">(A67/60)</f>
        <v>3.25</v>
      </c>
      <c r="C67" s="1">
        <v>20</v>
      </c>
      <c r="D67" s="1">
        <f t="shared" si="26"/>
        <v>29.146000000000001</v>
      </c>
      <c r="E67" s="1">
        <f t="shared" ref="E67:E83" si="28">(D67/(1000000*60))</f>
        <v>4.8576666666666667E-7</v>
      </c>
      <c r="F67" s="1">
        <v>21.1</v>
      </c>
      <c r="G67" s="1">
        <f t="shared" ref="G67:G83" si="29">(273+F67)</f>
        <v>294.10000000000002</v>
      </c>
      <c r="H67" s="1">
        <v>101.3</v>
      </c>
      <c r="I67" s="1">
        <f t="shared" ref="I67:I83" si="30">(H67*1000)</f>
        <v>101300</v>
      </c>
      <c r="J67" s="1">
        <f t="shared" ref="J67:J83" si="31">((I67*E67)/(8.314*G67))</f>
        <v>2.0124824921938581E-5</v>
      </c>
      <c r="K67" s="25">
        <v>81.504950495049513</v>
      </c>
      <c r="L67" s="14">
        <f t="shared" si="18"/>
        <v>8.1504950495049514E-5</v>
      </c>
      <c r="M67" s="1">
        <f t="shared" ref="M67:M83" si="32">(3.142*3.07*3.07*25.4*25.4)/(4*1000000)</f>
        <v>4.7762865441819992E-3</v>
      </c>
      <c r="N67" s="52">
        <f t="shared" si="19"/>
        <v>3.4342011179839305E-7</v>
      </c>
      <c r="O67" s="26">
        <f t="shared" ref="O67:O83" si="33">(2.032/1000)</f>
        <v>2.032E-3</v>
      </c>
      <c r="P67" s="26">
        <v>1.0571269522665299E-10</v>
      </c>
      <c r="Q67" s="2">
        <v>0.05</v>
      </c>
      <c r="R67" s="2">
        <f t="shared" si="20"/>
        <v>105000</v>
      </c>
      <c r="S67" s="2">
        <f t="shared" si="21"/>
        <v>100765.51515644329</v>
      </c>
      <c r="T67" s="2">
        <f t="shared" si="22"/>
        <v>100765.51515644329</v>
      </c>
      <c r="U67" s="2">
        <f t="shared" ref="U67:U83" si="34">(5.24933748552653/1000)</f>
        <v>5.2493374855265302E-3</v>
      </c>
      <c r="V67" s="2">
        <v>0.13</v>
      </c>
      <c r="W67" s="2">
        <f t="shared" ref="W67:W83" si="35">(1+V67)*100000</f>
        <v>112999.99999999999</v>
      </c>
      <c r="X67" s="2">
        <f t="shared" si="23"/>
        <v>9.2100594059405942</v>
      </c>
      <c r="Y67" s="11">
        <f t="shared" si="24"/>
        <v>1.7891962834592116E-14</v>
      </c>
      <c r="Z67" s="11">
        <f t="shared" si="25"/>
        <v>10774540018.991373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s="4" customFormat="1" x14ac:dyDescent="0.25">
      <c r="A68" s="1">
        <v>198</v>
      </c>
      <c r="B68" s="1">
        <f t="shared" si="27"/>
        <v>3.3</v>
      </c>
      <c r="C68" s="1">
        <v>20</v>
      </c>
      <c r="D68" s="1">
        <f t="shared" si="26"/>
        <v>29.146000000000001</v>
      </c>
      <c r="E68" s="1">
        <f t="shared" si="28"/>
        <v>4.8576666666666667E-7</v>
      </c>
      <c r="F68" s="1">
        <v>21.1</v>
      </c>
      <c r="G68" s="1">
        <f t="shared" si="29"/>
        <v>294.10000000000002</v>
      </c>
      <c r="H68" s="1">
        <v>101.3</v>
      </c>
      <c r="I68" s="1">
        <f t="shared" si="30"/>
        <v>101300</v>
      </c>
      <c r="J68" s="1">
        <f t="shared" si="31"/>
        <v>2.0124824921938581E-5</v>
      </c>
      <c r="K68" s="25">
        <v>83.311881188118818</v>
      </c>
      <c r="L68" s="14">
        <f t="shared" si="18"/>
        <v>8.3311881188118813E-5</v>
      </c>
      <c r="M68" s="1">
        <f t="shared" si="32"/>
        <v>4.7762865441819992E-3</v>
      </c>
      <c r="N68" s="52">
        <f t="shared" si="19"/>
        <v>3.510335921680732E-7</v>
      </c>
      <c r="O68" s="26">
        <f t="shared" si="33"/>
        <v>2.032E-3</v>
      </c>
      <c r="P68" s="26">
        <v>1.0571269522665299E-10</v>
      </c>
      <c r="Q68" s="2">
        <v>0.05</v>
      </c>
      <c r="R68" s="2">
        <f t="shared" si="20"/>
        <v>105000</v>
      </c>
      <c r="S68" s="2">
        <f t="shared" si="21"/>
        <v>100672.62586951215</v>
      </c>
      <c r="T68" s="2">
        <f t="shared" si="22"/>
        <v>100672.62586951215</v>
      </c>
      <c r="U68" s="2">
        <f t="shared" si="34"/>
        <v>5.2493374855265302E-3</v>
      </c>
      <c r="V68" s="2">
        <v>0.13</v>
      </c>
      <c r="W68" s="2">
        <f t="shared" si="35"/>
        <v>112999.99999999999</v>
      </c>
      <c r="X68" s="2">
        <f t="shared" si="23"/>
        <v>9.4142425742574254</v>
      </c>
      <c r="Y68" s="11">
        <f t="shared" si="24"/>
        <v>1.830553351383224E-14</v>
      </c>
      <c r="Z68" s="11">
        <f t="shared" si="25"/>
        <v>11023592282.029776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s="4" customFormat="1" x14ac:dyDescent="0.25">
      <c r="A69" s="1">
        <v>201</v>
      </c>
      <c r="B69" s="1">
        <f t="shared" si="27"/>
        <v>3.35</v>
      </c>
      <c r="C69" s="1">
        <v>20</v>
      </c>
      <c r="D69" s="1">
        <f t="shared" si="26"/>
        <v>29.146000000000001</v>
      </c>
      <c r="E69" s="1">
        <f t="shared" si="28"/>
        <v>4.8576666666666667E-7</v>
      </c>
      <c r="F69" s="1">
        <v>21.1</v>
      </c>
      <c r="G69" s="1">
        <f t="shared" si="29"/>
        <v>294.10000000000002</v>
      </c>
      <c r="H69" s="1">
        <v>101.3</v>
      </c>
      <c r="I69" s="1">
        <f t="shared" si="30"/>
        <v>101300</v>
      </c>
      <c r="J69" s="1">
        <f t="shared" si="31"/>
        <v>2.0124824921938581E-5</v>
      </c>
      <c r="K69" s="25">
        <v>86.851485148514854</v>
      </c>
      <c r="L69" s="14">
        <f t="shared" si="18"/>
        <v>8.6851485148514853E-5</v>
      </c>
      <c r="M69" s="1">
        <f t="shared" si="32"/>
        <v>4.7762865441819992E-3</v>
      </c>
      <c r="N69" s="52">
        <f t="shared" si="19"/>
        <v>3.6594767015251504E-7</v>
      </c>
      <c r="O69" s="26">
        <f t="shared" si="33"/>
        <v>2.032E-3</v>
      </c>
      <c r="P69" s="26">
        <v>1.0571269522665299E-10</v>
      </c>
      <c r="Q69" s="2">
        <v>0.05</v>
      </c>
      <c r="R69" s="2">
        <f t="shared" si="20"/>
        <v>105000</v>
      </c>
      <c r="S69" s="2">
        <f t="shared" si="21"/>
        <v>100490.7888012929</v>
      </c>
      <c r="T69" s="2">
        <f t="shared" si="22"/>
        <v>100490.7888012929</v>
      </c>
      <c r="U69" s="2">
        <f t="shared" si="34"/>
        <v>5.2493374855265302E-3</v>
      </c>
      <c r="V69" s="2">
        <v>0.13</v>
      </c>
      <c r="W69" s="2">
        <f t="shared" si="35"/>
        <v>112999.99999999999</v>
      </c>
      <c r="X69" s="2">
        <f t="shared" si="23"/>
        <v>9.8142178217821776</v>
      </c>
      <c r="Y69" s="11">
        <f t="shared" si="24"/>
        <v>1.9117876101777902E-14</v>
      </c>
      <c r="Z69" s="11">
        <f t="shared" si="25"/>
        <v>11512784988.490654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s="4" customFormat="1" x14ac:dyDescent="0.25">
      <c r="A70" s="1">
        <v>204</v>
      </c>
      <c r="B70" s="1">
        <f t="shared" si="27"/>
        <v>3.4</v>
      </c>
      <c r="C70" s="1">
        <v>20</v>
      </c>
      <c r="D70" s="1">
        <f t="shared" si="26"/>
        <v>29.146000000000001</v>
      </c>
      <c r="E70" s="1">
        <f t="shared" si="28"/>
        <v>4.8576666666666667E-7</v>
      </c>
      <c r="F70" s="1">
        <v>21.1</v>
      </c>
      <c r="G70" s="1">
        <f t="shared" si="29"/>
        <v>294.10000000000002</v>
      </c>
      <c r="H70" s="1">
        <v>101.3</v>
      </c>
      <c r="I70" s="1">
        <f t="shared" si="30"/>
        <v>101300</v>
      </c>
      <c r="J70" s="1">
        <f t="shared" si="31"/>
        <v>2.0124824921938581E-5</v>
      </c>
      <c r="K70" s="25">
        <v>86.579207920792072</v>
      </c>
      <c r="L70" s="14">
        <f t="shared" si="18"/>
        <v>8.6579207920792073E-5</v>
      </c>
      <c r="M70" s="1">
        <f t="shared" si="32"/>
        <v>4.7762865441819992E-3</v>
      </c>
      <c r="N70" s="52">
        <f t="shared" si="19"/>
        <v>3.6480043338448103E-7</v>
      </c>
      <c r="O70" s="26">
        <f t="shared" si="33"/>
        <v>2.032E-3</v>
      </c>
      <c r="P70" s="26">
        <v>1.0571269522665299E-10</v>
      </c>
      <c r="Q70" s="2">
        <v>0.05</v>
      </c>
      <c r="R70" s="2">
        <f t="shared" si="20"/>
        <v>105000</v>
      </c>
      <c r="S70" s="2">
        <f t="shared" si="21"/>
        <v>100504.77043254669</v>
      </c>
      <c r="T70" s="2">
        <f t="shared" si="22"/>
        <v>100504.77043254669</v>
      </c>
      <c r="U70" s="2">
        <f t="shared" si="34"/>
        <v>5.2493374855265302E-3</v>
      </c>
      <c r="V70" s="2">
        <v>0.13</v>
      </c>
      <c r="W70" s="2">
        <f t="shared" si="35"/>
        <v>112999.99999999999</v>
      </c>
      <c r="X70" s="2">
        <f t="shared" si="23"/>
        <v>9.7834504950495038</v>
      </c>
      <c r="Y70" s="11">
        <f t="shared" si="24"/>
        <v>1.9055284718266506E-14</v>
      </c>
      <c r="Z70" s="11">
        <f t="shared" si="25"/>
        <v>11475092457.34009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s="4" customFormat="1" x14ac:dyDescent="0.25">
      <c r="A71" s="1">
        <v>207</v>
      </c>
      <c r="B71" s="1">
        <f t="shared" si="27"/>
        <v>3.45</v>
      </c>
      <c r="C71" s="1">
        <v>20</v>
      </c>
      <c r="D71" s="1">
        <f t="shared" si="26"/>
        <v>29.146000000000001</v>
      </c>
      <c r="E71" s="1">
        <f t="shared" si="28"/>
        <v>4.8576666666666667E-7</v>
      </c>
      <c r="F71" s="1">
        <v>21.1</v>
      </c>
      <c r="G71" s="1">
        <f t="shared" si="29"/>
        <v>294.10000000000002</v>
      </c>
      <c r="H71" s="1">
        <v>101.3</v>
      </c>
      <c r="I71" s="1">
        <f t="shared" si="30"/>
        <v>101300</v>
      </c>
      <c r="J71" s="1">
        <f t="shared" si="31"/>
        <v>2.0124824921938581E-5</v>
      </c>
      <c r="K71" s="25">
        <v>77.247524752475258</v>
      </c>
      <c r="L71" s="14">
        <f t="shared" si="18"/>
        <v>7.7247524752475252E-5</v>
      </c>
      <c r="M71" s="1">
        <f t="shared" si="32"/>
        <v>4.7762865441819992E-3</v>
      </c>
      <c r="N71" s="52">
        <f t="shared" si="19"/>
        <v>3.2548150051640705E-7</v>
      </c>
      <c r="O71" s="26">
        <f t="shared" si="33"/>
        <v>2.032E-3</v>
      </c>
      <c r="P71" s="26">
        <v>1.0571269522665299E-10</v>
      </c>
      <c r="Q71" s="2">
        <v>0.05</v>
      </c>
      <c r="R71" s="2">
        <f t="shared" si="20"/>
        <v>105000</v>
      </c>
      <c r="S71" s="2">
        <f t="shared" si="21"/>
        <v>100984.54694496811</v>
      </c>
      <c r="T71" s="2">
        <f t="shared" si="22"/>
        <v>100984.54694496811</v>
      </c>
      <c r="U71" s="2">
        <f t="shared" si="34"/>
        <v>5.2493374855265302E-3</v>
      </c>
      <c r="V71" s="2">
        <v>0.13</v>
      </c>
      <c r="W71" s="2">
        <f t="shared" si="35"/>
        <v>112999.99999999999</v>
      </c>
      <c r="X71" s="2">
        <f t="shared" si="23"/>
        <v>8.7289702970297025</v>
      </c>
      <c r="Y71" s="11">
        <f t="shared" si="24"/>
        <v>1.6920509046381546E-14</v>
      </c>
      <c r="Z71" s="11">
        <f t="shared" si="25"/>
        <v>10189530547.730967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s="4" customFormat="1" x14ac:dyDescent="0.25">
      <c r="A72" s="1">
        <v>210</v>
      </c>
      <c r="B72" s="1">
        <f t="shared" si="27"/>
        <v>3.5</v>
      </c>
      <c r="C72" s="1">
        <v>20</v>
      </c>
      <c r="D72" s="1">
        <f t="shared" si="26"/>
        <v>29.146000000000001</v>
      </c>
      <c r="E72" s="1">
        <f t="shared" si="28"/>
        <v>4.8576666666666667E-7</v>
      </c>
      <c r="F72" s="1">
        <v>21.1</v>
      </c>
      <c r="G72" s="1">
        <f t="shared" si="29"/>
        <v>294.10000000000002</v>
      </c>
      <c r="H72" s="1">
        <v>101.3</v>
      </c>
      <c r="I72" s="1">
        <f t="shared" si="30"/>
        <v>101300</v>
      </c>
      <c r="J72" s="1">
        <f t="shared" si="31"/>
        <v>2.0124824921938581E-5</v>
      </c>
      <c r="K72" s="25">
        <v>84.772277227722768</v>
      </c>
      <c r="L72" s="14">
        <f t="shared" si="18"/>
        <v>8.4772277227722774E-5</v>
      </c>
      <c r="M72" s="1">
        <f t="shared" si="32"/>
        <v>4.7762865441819992E-3</v>
      </c>
      <c r="N72" s="52">
        <f t="shared" si="19"/>
        <v>3.5718695301480094E-7</v>
      </c>
      <c r="O72" s="26">
        <f t="shared" si="33"/>
        <v>2.032E-3</v>
      </c>
      <c r="P72" s="26">
        <v>1.0571269522665299E-10</v>
      </c>
      <c r="Q72" s="2">
        <v>0.05</v>
      </c>
      <c r="R72" s="2">
        <f t="shared" si="20"/>
        <v>105000</v>
      </c>
      <c r="S72" s="2">
        <f t="shared" si="21"/>
        <v>100597.58226604926</v>
      </c>
      <c r="T72" s="2">
        <f t="shared" si="22"/>
        <v>100597.58226604926</v>
      </c>
      <c r="U72" s="2">
        <f t="shared" si="34"/>
        <v>5.2493374855265302E-3</v>
      </c>
      <c r="V72" s="2">
        <v>0.13</v>
      </c>
      <c r="W72" s="2">
        <f t="shared" si="35"/>
        <v>112999.99999999999</v>
      </c>
      <c r="X72" s="2">
        <f t="shared" si="23"/>
        <v>9.5792673267326727</v>
      </c>
      <c r="Y72" s="11">
        <f t="shared" si="24"/>
        <v>1.8640342843126241E-14</v>
      </c>
      <c r="Z72" s="11">
        <f t="shared" si="25"/>
        <v>11225214460.130623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s="4" customFormat="1" x14ac:dyDescent="0.25">
      <c r="A73" s="1">
        <v>213</v>
      </c>
      <c r="B73" s="1">
        <f t="shared" si="27"/>
        <v>3.55</v>
      </c>
      <c r="C73" s="1">
        <v>20</v>
      </c>
      <c r="D73" s="1">
        <f t="shared" si="26"/>
        <v>29.146000000000001</v>
      </c>
      <c r="E73" s="1">
        <f t="shared" si="28"/>
        <v>4.8576666666666667E-7</v>
      </c>
      <c r="F73" s="1">
        <v>21.1</v>
      </c>
      <c r="G73" s="1">
        <f t="shared" si="29"/>
        <v>294.10000000000002</v>
      </c>
      <c r="H73" s="1">
        <v>101.3</v>
      </c>
      <c r="I73" s="1">
        <f t="shared" si="30"/>
        <v>101300</v>
      </c>
      <c r="J73" s="1">
        <f t="shared" si="31"/>
        <v>2.0124824921938581E-5</v>
      </c>
      <c r="K73" s="25">
        <v>86.034653465346537</v>
      </c>
      <c r="L73" s="14">
        <f t="shared" si="18"/>
        <v>8.6034653465346541E-5</v>
      </c>
      <c r="M73" s="1">
        <f t="shared" si="32"/>
        <v>4.7762865441819992E-3</v>
      </c>
      <c r="N73" s="52">
        <f t="shared" si="19"/>
        <v>3.6250595984841307E-7</v>
      </c>
      <c r="O73" s="26">
        <f t="shared" si="33"/>
        <v>2.032E-3</v>
      </c>
      <c r="P73" s="26">
        <v>1.0571269522665299E-10</v>
      </c>
      <c r="Q73" s="2">
        <v>0.05</v>
      </c>
      <c r="R73" s="2">
        <f t="shared" si="20"/>
        <v>105000</v>
      </c>
      <c r="S73" s="2">
        <f t="shared" si="21"/>
        <v>100532.73661282047</v>
      </c>
      <c r="T73" s="2">
        <f t="shared" si="22"/>
        <v>100532.73661282047</v>
      </c>
      <c r="U73" s="2">
        <f t="shared" si="34"/>
        <v>5.2493374855265302E-3</v>
      </c>
      <c r="V73" s="2">
        <v>0.13</v>
      </c>
      <c r="W73" s="2">
        <f t="shared" si="35"/>
        <v>112999.99999999999</v>
      </c>
      <c r="X73" s="2">
        <f t="shared" si="23"/>
        <v>9.721915841584158</v>
      </c>
      <c r="Y73" s="11">
        <f t="shared" si="24"/>
        <v>1.8930153751310443E-14</v>
      </c>
      <c r="Z73" s="11">
        <f t="shared" si="25"/>
        <v>11399738589.03915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s="4" customFormat="1" x14ac:dyDescent="0.25">
      <c r="A74" s="1">
        <v>216</v>
      </c>
      <c r="B74" s="1">
        <f t="shared" si="27"/>
        <v>3.6</v>
      </c>
      <c r="C74" s="1">
        <v>20</v>
      </c>
      <c r="D74" s="1">
        <f t="shared" si="26"/>
        <v>29.146000000000001</v>
      </c>
      <c r="E74" s="1">
        <f t="shared" si="28"/>
        <v>4.8576666666666667E-7</v>
      </c>
      <c r="F74" s="1">
        <v>21.1</v>
      </c>
      <c r="G74" s="1">
        <f t="shared" si="29"/>
        <v>294.10000000000002</v>
      </c>
      <c r="H74" s="1">
        <v>101.3</v>
      </c>
      <c r="I74" s="1">
        <f t="shared" si="30"/>
        <v>101300</v>
      </c>
      <c r="J74" s="1">
        <f t="shared" si="31"/>
        <v>2.0124824921938581E-5</v>
      </c>
      <c r="K74" s="25">
        <v>84.227722772277232</v>
      </c>
      <c r="L74" s="14">
        <f t="shared" si="18"/>
        <v>8.4227722772277228E-5</v>
      </c>
      <c r="M74" s="1">
        <f t="shared" si="32"/>
        <v>4.7762865441819992E-3</v>
      </c>
      <c r="N74" s="52">
        <f t="shared" si="19"/>
        <v>3.5489247947873298E-7</v>
      </c>
      <c r="O74" s="26">
        <f t="shared" si="33"/>
        <v>2.032E-3</v>
      </c>
      <c r="P74" s="26">
        <v>1.0571269522665299E-10</v>
      </c>
      <c r="Q74" s="2">
        <v>0.05</v>
      </c>
      <c r="R74" s="2">
        <f t="shared" si="20"/>
        <v>105000</v>
      </c>
      <c r="S74" s="2">
        <f t="shared" si="21"/>
        <v>100625.56135522776</v>
      </c>
      <c r="T74" s="2">
        <f t="shared" si="22"/>
        <v>100625.56135522776</v>
      </c>
      <c r="U74" s="2">
        <f t="shared" si="34"/>
        <v>5.2493374855265302E-3</v>
      </c>
      <c r="V74" s="2">
        <v>0.13</v>
      </c>
      <c r="W74" s="2">
        <f t="shared" si="35"/>
        <v>112999.99999999999</v>
      </c>
      <c r="X74" s="2">
        <f t="shared" si="23"/>
        <v>9.5177326732673251</v>
      </c>
      <c r="Y74" s="11">
        <f t="shared" si="24"/>
        <v>1.8515440766561423E-14</v>
      </c>
      <c r="Z74" s="11">
        <f t="shared" si="25"/>
        <v>11149998429.623289</v>
      </c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s="4" customFormat="1" x14ac:dyDescent="0.25">
      <c r="A75" s="1">
        <v>219</v>
      </c>
      <c r="B75" s="1">
        <f t="shared" si="27"/>
        <v>3.65</v>
      </c>
      <c r="C75" s="1">
        <v>20</v>
      </c>
      <c r="D75" s="1">
        <f t="shared" si="26"/>
        <v>29.146000000000001</v>
      </c>
      <c r="E75" s="1">
        <f t="shared" si="28"/>
        <v>4.8576666666666667E-7</v>
      </c>
      <c r="F75" s="1">
        <v>21.1</v>
      </c>
      <c r="G75" s="1">
        <f t="shared" si="29"/>
        <v>294.10000000000002</v>
      </c>
      <c r="H75" s="1">
        <v>101.3</v>
      </c>
      <c r="I75" s="1">
        <f t="shared" si="30"/>
        <v>101300</v>
      </c>
      <c r="J75" s="1">
        <f t="shared" si="31"/>
        <v>2.0124824921938581E-5</v>
      </c>
      <c r="K75" s="25">
        <v>79.450495049504951</v>
      </c>
      <c r="L75" s="14">
        <f t="shared" si="18"/>
        <v>7.945049504950495E-5</v>
      </c>
      <c r="M75" s="1">
        <f t="shared" si="32"/>
        <v>4.7762865441819992E-3</v>
      </c>
      <c r="N75" s="52">
        <f t="shared" si="19"/>
        <v>3.3476368891231838E-7</v>
      </c>
      <c r="O75" s="26">
        <f t="shared" si="33"/>
        <v>2.032E-3</v>
      </c>
      <c r="P75" s="26">
        <v>1.0571269522665299E-10</v>
      </c>
      <c r="Q75" s="2">
        <v>0.05</v>
      </c>
      <c r="R75" s="2">
        <f t="shared" si="20"/>
        <v>105000</v>
      </c>
      <c r="S75" s="2">
        <f t="shared" si="21"/>
        <v>100871.18104074322</v>
      </c>
      <c r="T75" s="2">
        <f t="shared" si="22"/>
        <v>100871.18104074322</v>
      </c>
      <c r="U75" s="2">
        <f t="shared" si="34"/>
        <v>5.2493374855265302E-3</v>
      </c>
      <c r="V75" s="2">
        <v>0.13</v>
      </c>
      <c r="W75" s="2">
        <f t="shared" si="35"/>
        <v>112999.99999999999</v>
      </c>
      <c r="X75" s="2">
        <f t="shared" si="23"/>
        <v>8.9779059405940576</v>
      </c>
      <c r="Y75" s="11">
        <f t="shared" si="24"/>
        <v>1.7422657114201195E-14</v>
      </c>
      <c r="Z75" s="11">
        <f t="shared" si="25"/>
        <v>10491924114.171961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s="4" customFormat="1" x14ac:dyDescent="0.25">
      <c r="A76" s="1">
        <v>222</v>
      </c>
      <c r="B76" s="1">
        <f t="shared" si="27"/>
        <v>3.7</v>
      </c>
      <c r="C76" s="1">
        <v>20</v>
      </c>
      <c r="D76" s="1">
        <f t="shared" si="26"/>
        <v>29.146000000000001</v>
      </c>
      <c r="E76" s="1">
        <f t="shared" si="28"/>
        <v>4.8576666666666667E-7</v>
      </c>
      <c r="F76" s="1">
        <v>21.1</v>
      </c>
      <c r="G76" s="1">
        <f t="shared" si="29"/>
        <v>294.10000000000002</v>
      </c>
      <c r="H76" s="1">
        <v>101.3</v>
      </c>
      <c r="I76" s="1">
        <f t="shared" si="30"/>
        <v>101300</v>
      </c>
      <c r="J76" s="1">
        <f t="shared" si="31"/>
        <v>2.0124824921938581E-5</v>
      </c>
      <c r="K76" s="25">
        <v>86.405940594059416</v>
      </c>
      <c r="L76" s="14">
        <f t="shared" si="18"/>
        <v>8.640594059405941E-5</v>
      </c>
      <c r="M76" s="1">
        <f t="shared" si="32"/>
        <v>4.7762865441819992E-3</v>
      </c>
      <c r="N76" s="52">
        <f t="shared" si="19"/>
        <v>3.6407037362300489E-7</v>
      </c>
      <c r="O76" s="26">
        <f t="shared" si="33"/>
        <v>2.032E-3</v>
      </c>
      <c r="P76" s="26">
        <v>1.0571269522665299E-10</v>
      </c>
      <c r="Q76" s="2">
        <v>0.05</v>
      </c>
      <c r="R76" s="2">
        <f t="shared" si="20"/>
        <v>105000</v>
      </c>
      <c r="S76" s="2">
        <f t="shared" si="21"/>
        <v>100513.66834064285</v>
      </c>
      <c r="T76" s="2">
        <f t="shared" si="22"/>
        <v>100513.66834064285</v>
      </c>
      <c r="U76" s="2">
        <f t="shared" si="34"/>
        <v>5.2493374855265302E-3</v>
      </c>
      <c r="V76" s="2">
        <v>0.13</v>
      </c>
      <c r="W76" s="2">
        <f t="shared" si="35"/>
        <v>112999.99999999999</v>
      </c>
      <c r="X76" s="2">
        <f t="shared" si="23"/>
        <v>9.7638712871287119</v>
      </c>
      <c r="Y76" s="11">
        <f t="shared" si="24"/>
        <v>1.9015462829223756E-14</v>
      </c>
      <c r="Z76" s="11">
        <f t="shared" si="25"/>
        <v>11451111715.758547</v>
      </c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s="4" customFormat="1" x14ac:dyDescent="0.25">
      <c r="A77" s="1">
        <v>225</v>
      </c>
      <c r="B77" s="1">
        <f t="shared" si="27"/>
        <v>3.75</v>
      </c>
      <c r="C77" s="1">
        <v>20</v>
      </c>
      <c r="D77" s="1">
        <f t="shared" si="26"/>
        <v>29.146000000000001</v>
      </c>
      <c r="E77" s="1">
        <f t="shared" si="28"/>
        <v>4.8576666666666667E-7</v>
      </c>
      <c r="F77" s="1">
        <v>21.1</v>
      </c>
      <c r="G77" s="1">
        <f t="shared" si="29"/>
        <v>294.10000000000002</v>
      </c>
      <c r="H77" s="1">
        <v>101.3</v>
      </c>
      <c r="I77" s="1">
        <f t="shared" si="30"/>
        <v>101300</v>
      </c>
      <c r="J77" s="1">
        <f t="shared" si="31"/>
        <v>2.0124824921938581E-5</v>
      </c>
      <c r="K77" s="25">
        <v>90.638613861386148</v>
      </c>
      <c r="L77" s="14">
        <f t="shared" si="18"/>
        <v>9.0638613861386143E-5</v>
      </c>
      <c r="M77" s="1">
        <f t="shared" si="32"/>
        <v>4.7762865441819992E-3</v>
      </c>
      <c r="N77" s="52">
        <f t="shared" si="19"/>
        <v>3.8190469065335147E-7</v>
      </c>
      <c r="O77" s="26">
        <f t="shared" si="33"/>
        <v>2.032E-3</v>
      </c>
      <c r="P77" s="26">
        <v>1.0571269522665299E-10</v>
      </c>
      <c r="Q77" s="2">
        <v>0.05</v>
      </c>
      <c r="R77" s="2">
        <f t="shared" si="20"/>
        <v>105000</v>
      </c>
      <c r="S77" s="2">
        <f t="shared" si="21"/>
        <v>100296.41786491167</v>
      </c>
      <c r="T77" s="2">
        <f t="shared" si="22"/>
        <v>100296.41786491167</v>
      </c>
      <c r="U77" s="2">
        <f t="shared" si="34"/>
        <v>5.2493374855265302E-3</v>
      </c>
      <c r="V77" s="2">
        <v>0.13</v>
      </c>
      <c r="W77" s="2">
        <f t="shared" si="35"/>
        <v>112999.99999999999</v>
      </c>
      <c r="X77" s="2">
        <f t="shared" si="23"/>
        <v>10.242163366336634</v>
      </c>
      <c r="Y77" s="11">
        <f t="shared" si="24"/>
        <v>1.9990258822025854E-14</v>
      </c>
      <c r="Z77" s="11">
        <f t="shared" si="25"/>
        <v>12038133862.62397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s="4" customFormat="1" x14ac:dyDescent="0.25">
      <c r="A78" s="1">
        <v>228</v>
      </c>
      <c r="B78" s="1">
        <f t="shared" si="27"/>
        <v>3.8</v>
      </c>
      <c r="C78" s="1">
        <v>20</v>
      </c>
      <c r="D78" s="1">
        <f t="shared" si="26"/>
        <v>29.146000000000001</v>
      </c>
      <c r="E78" s="1">
        <f t="shared" si="28"/>
        <v>4.8576666666666667E-7</v>
      </c>
      <c r="F78" s="1">
        <v>21.1</v>
      </c>
      <c r="G78" s="1">
        <f t="shared" si="29"/>
        <v>294.10000000000002</v>
      </c>
      <c r="H78" s="1">
        <v>101.3</v>
      </c>
      <c r="I78" s="1">
        <f t="shared" si="30"/>
        <v>101300</v>
      </c>
      <c r="J78" s="1">
        <f t="shared" si="31"/>
        <v>2.0124824921938581E-5</v>
      </c>
      <c r="K78" s="25">
        <v>84.648514851485146</v>
      </c>
      <c r="L78" s="14">
        <f t="shared" si="18"/>
        <v>8.4648514851485142E-5</v>
      </c>
      <c r="M78" s="1">
        <f t="shared" si="32"/>
        <v>4.7762865441819992E-3</v>
      </c>
      <c r="N78" s="52">
        <f t="shared" si="19"/>
        <v>3.5666548175660365E-7</v>
      </c>
      <c r="O78" s="26">
        <f t="shared" si="33"/>
        <v>2.032E-3</v>
      </c>
      <c r="P78" s="26">
        <v>1.0571269522665299E-10</v>
      </c>
      <c r="Q78" s="2">
        <v>0.05</v>
      </c>
      <c r="R78" s="2">
        <f t="shared" si="20"/>
        <v>105000</v>
      </c>
      <c r="S78" s="2">
        <f t="shared" si="21"/>
        <v>100603.94080834169</v>
      </c>
      <c r="T78" s="2">
        <f t="shared" si="22"/>
        <v>100603.94080834169</v>
      </c>
      <c r="U78" s="2">
        <f t="shared" si="34"/>
        <v>5.2493374855265302E-3</v>
      </c>
      <c r="V78" s="2">
        <v>0.13</v>
      </c>
      <c r="W78" s="2">
        <f t="shared" si="35"/>
        <v>112999.99999999999</v>
      </c>
      <c r="X78" s="2">
        <f t="shared" si="23"/>
        <v>9.565282178217819</v>
      </c>
      <c r="Y78" s="11">
        <f t="shared" si="24"/>
        <v>1.8611949956301137E-14</v>
      </c>
      <c r="Z78" s="11">
        <f t="shared" si="25"/>
        <v>11208116263.684546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s="4" customFormat="1" x14ac:dyDescent="0.25">
      <c r="A79" s="1">
        <v>231</v>
      </c>
      <c r="B79" s="1">
        <f t="shared" si="27"/>
        <v>3.85</v>
      </c>
      <c r="C79" s="1">
        <v>20</v>
      </c>
      <c r="D79" s="1">
        <f t="shared" si="26"/>
        <v>29.146000000000001</v>
      </c>
      <c r="E79" s="1">
        <f t="shared" si="28"/>
        <v>4.8576666666666667E-7</v>
      </c>
      <c r="F79" s="1">
        <v>21.1</v>
      </c>
      <c r="G79" s="1">
        <f t="shared" si="29"/>
        <v>294.10000000000002</v>
      </c>
      <c r="H79" s="1">
        <v>101.3</v>
      </c>
      <c r="I79" s="1">
        <f t="shared" si="30"/>
        <v>101300</v>
      </c>
      <c r="J79" s="1">
        <f t="shared" si="31"/>
        <v>2.0124824921938581E-5</v>
      </c>
      <c r="K79" s="25">
        <v>88.93069306930694</v>
      </c>
      <c r="L79" s="14">
        <f t="shared" si="18"/>
        <v>8.8930693069306946E-5</v>
      </c>
      <c r="M79" s="1">
        <f t="shared" si="32"/>
        <v>4.7762865441819992E-3</v>
      </c>
      <c r="N79" s="52">
        <f t="shared" si="19"/>
        <v>3.7470838729022919E-7</v>
      </c>
      <c r="O79" s="26">
        <f t="shared" si="33"/>
        <v>2.032E-3</v>
      </c>
      <c r="P79" s="26">
        <v>1.0571269522665299E-10</v>
      </c>
      <c r="Q79" s="2">
        <v>0.05</v>
      </c>
      <c r="R79" s="2">
        <f t="shared" si="20"/>
        <v>105000</v>
      </c>
      <c r="S79" s="2">
        <f t="shared" si="21"/>
        <v>100384.05205212315</v>
      </c>
      <c r="T79" s="2">
        <f t="shared" si="22"/>
        <v>100384.05205212315</v>
      </c>
      <c r="U79" s="2">
        <f t="shared" si="34"/>
        <v>5.2493374855265302E-3</v>
      </c>
      <c r="V79" s="2">
        <v>0.13</v>
      </c>
      <c r="W79" s="2">
        <f t="shared" si="35"/>
        <v>112999.99999999999</v>
      </c>
      <c r="X79" s="2">
        <f t="shared" si="23"/>
        <v>10.049168316831684</v>
      </c>
      <c r="Y79" s="11">
        <f t="shared" si="24"/>
        <v>1.9596416671962089E-14</v>
      </c>
      <c r="Z79" s="11">
        <f t="shared" si="25"/>
        <v>11800962119.85557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s="4" customFormat="1" x14ac:dyDescent="0.25">
      <c r="A80" s="1">
        <v>234</v>
      </c>
      <c r="B80" s="1">
        <f t="shared" si="27"/>
        <v>3.9</v>
      </c>
      <c r="C80" s="1">
        <v>20</v>
      </c>
      <c r="D80" s="1">
        <f t="shared" si="26"/>
        <v>29.146000000000001</v>
      </c>
      <c r="E80" s="1">
        <f t="shared" si="28"/>
        <v>4.8576666666666667E-7</v>
      </c>
      <c r="F80" s="1">
        <v>21.1</v>
      </c>
      <c r="G80" s="1">
        <f t="shared" si="29"/>
        <v>294.10000000000002</v>
      </c>
      <c r="H80" s="1">
        <v>101.3</v>
      </c>
      <c r="I80" s="1">
        <f t="shared" si="30"/>
        <v>101300</v>
      </c>
      <c r="J80" s="1">
        <f t="shared" si="31"/>
        <v>2.0124824921938581E-5</v>
      </c>
      <c r="K80" s="25">
        <v>80.267326732673268</v>
      </c>
      <c r="L80" s="14">
        <f t="shared" si="18"/>
        <v>8.0267326732673275E-5</v>
      </c>
      <c r="M80" s="1">
        <f t="shared" si="32"/>
        <v>4.7762865441819992E-3</v>
      </c>
      <c r="N80" s="52">
        <f t="shared" si="19"/>
        <v>3.3820539921642041E-7</v>
      </c>
      <c r="O80" s="26">
        <f t="shared" si="33"/>
        <v>2.032E-3</v>
      </c>
      <c r="P80" s="26">
        <v>1.0571269522665299E-10</v>
      </c>
      <c r="Q80" s="2">
        <v>0.05</v>
      </c>
      <c r="R80" s="2">
        <f t="shared" si="20"/>
        <v>105000</v>
      </c>
      <c r="S80" s="2">
        <f t="shared" si="21"/>
        <v>100829.16267232524</v>
      </c>
      <c r="T80" s="2">
        <f t="shared" si="22"/>
        <v>100829.16267232524</v>
      </c>
      <c r="U80" s="2">
        <f t="shared" si="34"/>
        <v>5.2493374855265302E-3</v>
      </c>
      <c r="V80" s="2">
        <v>0.13</v>
      </c>
      <c r="W80" s="2">
        <f t="shared" si="35"/>
        <v>112999.99999999999</v>
      </c>
      <c r="X80" s="2">
        <f t="shared" si="23"/>
        <v>9.0702079207920789</v>
      </c>
      <c r="Y80" s="11">
        <f t="shared" si="24"/>
        <v>1.7609131637535717E-14</v>
      </c>
      <c r="Z80" s="11">
        <f t="shared" si="25"/>
        <v>10604219072.12401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s="4" customFormat="1" x14ac:dyDescent="0.25">
      <c r="A81" s="1">
        <v>237</v>
      </c>
      <c r="B81" s="1">
        <f t="shared" si="27"/>
        <v>3.95</v>
      </c>
      <c r="C81" s="1">
        <v>20</v>
      </c>
      <c r="D81" s="1">
        <f t="shared" si="26"/>
        <v>29.146000000000001</v>
      </c>
      <c r="E81" s="1">
        <f t="shared" si="28"/>
        <v>4.8576666666666667E-7</v>
      </c>
      <c r="F81" s="1">
        <v>21.1</v>
      </c>
      <c r="G81" s="1">
        <f t="shared" si="29"/>
        <v>294.10000000000002</v>
      </c>
      <c r="H81" s="1">
        <v>101.3</v>
      </c>
      <c r="I81" s="1">
        <f t="shared" si="30"/>
        <v>101300</v>
      </c>
      <c r="J81" s="1">
        <f t="shared" si="31"/>
        <v>2.0124824921938581E-5</v>
      </c>
      <c r="K81" s="25">
        <v>80.910891089108915</v>
      </c>
      <c r="L81" s="14">
        <f t="shared" ref="L81:L83" si="36">(K81/1000000)</f>
        <v>8.091089108910891E-5</v>
      </c>
      <c r="M81" s="1">
        <f t="shared" si="32"/>
        <v>4.7762865441819992E-3</v>
      </c>
      <c r="N81" s="52">
        <f t="shared" ref="N81:N83" si="37">(L81*J81)/M81</f>
        <v>3.4091704975904618E-7</v>
      </c>
      <c r="O81" s="26">
        <f t="shared" si="33"/>
        <v>2.032E-3</v>
      </c>
      <c r="P81" s="26">
        <v>1.0571269522665299E-10</v>
      </c>
      <c r="Q81" s="2">
        <v>0.05</v>
      </c>
      <c r="R81" s="2">
        <f t="shared" ref="R81:R83" si="38">(1+Q81)*100000*1</f>
        <v>105000</v>
      </c>
      <c r="S81" s="2">
        <f t="shared" ref="S81:S83" si="39">(SQRT(R81)-(N81*O81/P81))^2</f>
        <v>100796.06345623457</v>
      </c>
      <c r="T81" s="2">
        <f t="shared" ref="T81:T83" si="40">(S81)</f>
        <v>100796.06345623457</v>
      </c>
      <c r="U81" s="2">
        <f t="shared" si="34"/>
        <v>5.2493374855265302E-3</v>
      </c>
      <c r="V81" s="2">
        <v>0.13</v>
      </c>
      <c r="W81" s="2">
        <f t="shared" si="35"/>
        <v>112999.99999999999</v>
      </c>
      <c r="X81" s="2">
        <f t="shared" ref="X81:X83" si="41">(L81*W81)</f>
        <v>9.1429306930693048</v>
      </c>
      <c r="Y81" s="11">
        <f t="shared" ref="Y81:Y83" si="42">(N81*U81)/(T81-X81)</f>
        <v>1.775615962293198E-14</v>
      </c>
      <c r="Z81" s="11">
        <f t="shared" ref="Z81:Z83" si="43">(Y81*6.022E+23)</f>
        <v>10692759324.92964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s="4" customFormat="1" x14ac:dyDescent="0.25">
      <c r="A82" s="1">
        <v>240</v>
      </c>
      <c r="B82" s="1">
        <f t="shared" si="27"/>
        <v>4</v>
      </c>
      <c r="C82" s="1">
        <v>20</v>
      </c>
      <c r="D82" s="1">
        <f t="shared" si="26"/>
        <v>29.146000000000001</v>
      </c>
      <c r="E82" s="1">
        <f t="shared" si="28"/>
        <v>4.8576666666666667E-7</v>
      </c>
      <c r="F82" s="1">
        <v>21.1</v>
      </c>
      <c r="G82" s="1">
        <f t="shared" si="29"/>
        <v>294.10000000000002</v>
      </c>
      <c r="H82" s="1">
        <v>101.3</v>
      </c>
      <c r="I82" s="1">
        <f t="shared" si="30"/>
        <v>101300</v>
      </c>
      <c r="J82" s="1">
        <f t="shared" si="31"/>
        <v>2.0124824921938581E-5</v>
      </c>
      <c r="K82" s="25">
        <v>91.183168316831697</v>
      </c>
      <c r="L82" s="14">
        <f t="shared" si="36"/>
        <v>9.1183168316831702E-5</v>
      </c>
      <c r="M82" s="1">
        <f t="shared" si="32"/>
        <v>4.7762865441819992E-3</v>
      </c>
      <c r="N82" s="52">
        <f t="shared" si="37"/>
        <v>3.8419916418941954E-7</v>
      </c>
      <c r="O82" s="26">
        <f t="shared" si="33"/>
        <v>2.032E-3</v>
      </c>
      <c r="P82" s="26">
        <v>1.0571269522665299E-10</v>
      </c>
      <c r="Q82" s="2">
        <v>0.05</v>
      </c>
      <c r="R82" s="2">
        <f t="shared" si="38"/>
        <v>105000</v>
      </c>
      <c r="S82" s="2">
        <f t="shared" si="39"/>
        <v>100268.48457581994</v>
      </c>
      <c r="T82" s="2">
        <f t="shared" si="40"/>
        <v>100268.48457581994</v>
      </c>
      <c r="U82" s="2">
        <f t="shared" si="34"/>
        <v>5.2493374855265302E-3</v>
      </c>
      <c r="V82" s="2">
        <v>0.13</v>
      </c>
      <c r="W82" s="2">
        <f t="shared" si="35"/>
        <v>112999.99999999999</v>
      </c>
      <c r="X82" s="2">
        <f t="shared" si="41"/>
        <v>10.303698019801981</v>
      </c>
      <c r="Y82" s="11">
        <f t="shared" si="42"/>
        <v>2.0115975143670837E-14</v>
      </c>
      <c r="Z82" s="11">
        <f t="shared" si="43"/>
        <v>12113840231.518579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s="4" customFormat="1" x14ac:dyDescent="0.25">
      <c r="A83" s="1">
        <v>243</v>
      </c>
      <c r="B83" s="1">
        <f t="shared" si="27"/>
        <v>4.05</v>
      </c>
      <c r="C83" s="1">
        <v>20</v>
      </c>
      <c r="D83" s="1">
        <f t="shared" si="26"/>
        <v>29.146000000000001</v>
      </c>
      <c r="E83" s="1">
        <f t="shared" si="28"/>
        <v>4.8576666666666667E-7</v>
      </c>
      <c r="F83" s="1">
        <v>21.1</v>
      </c>
      <c r="G83" s="1">
        <f t="shared" si="29"/>
        <v>294.10000000000002</v>
      </c>
      <c r="H83" s="1">
        <v>101.3</v>
      </c>
      <c r="I83" s="1">
        <f t="shared" si="30"/>
        <v>101300</v>
      </c>
      <c r="J83" s="1">
        <f t="shared" si="31"/>
        <v>2.0124824921938581E-5</v>
      </c>
      <c r="K83" s="25">
        <v>84.029702970297038</v>
      </c>
      <c r="L83" s="14">
        <f t="shared" si="36"/>
        <v>8.4029702970297036E-5</v>
      </c>
      <c r="M83" s="1">
        <f t="shared" si="32"/>
        <v>4.7762865441819992E-3</v>
      </c>
      <c r="N83" s="52">
        <f t="shared" si="37"/>
        <v>3.5405812546561736E-7</v>
      </c>
      <c r="O83" s="26">
        <f t="shared" si="33"/>
        <v>2.032E-3</v>
      </c>
      <c r="P83" s="26">
        <v>1.0571269522665299E-10</v>
      </c>
      <c r="Q83" s="2">
        <v>0.05</v>
      </c>
      <c r="R83" s="2">
        <f t="shared" si="38"/>
        <v>105000</v>
      </c>
      <c r="S83" s="2">
        <f t="shared" si="39"/>
        <v>100635.73653402527</v>
      </c>
      <c r="T83" s="2">
        <f t="shared" si="40"/>
        <v>100635.73653402527</v>
      </c>
      <c r="U83" s="2">
        <f t="shared" si="34"/>
        <v>5.2493374855265302E-3</v>
      </c>
      <c r="V83" s="2">
        <v>0.13</v>
      </c>
      <c r="W83" s="2">
        <f t="shared" si="35"/>
        <v>112999.99999999999</v>
      </c>
      <c r="X83" s="2">
        <f t="shared" si="41"/>
        <v>9.4953564356435631</v>
      </c>
      <c r="Y83" s="11">
        <f t="shared" si="42"/>
        <v>1.8470038911438945E-14</v>
      </c>
      <c r="Z83" s="11">
        <f t="shared" si="43"/>
        <v>11122657432.468533</v>
      </c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s="4" customForma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20"/>
      <c r="L84" s="1"/>
      <c r="M84" s="1"/>
      <c r="N84" s="26"/>
      <c r="O84" s="26"/>
      <c r="P84" s="26"/>
      <c r="Q84" s="2"/>
      <c r="R84" s="2"/>
      <c r="S84" s="2"/>
      <c r="T84" s="2"/>
      <c r="U84" s="2"/>
      <c r="V84" s="2"/>
      <c r="W84" s="2"/>
      <c r="X84" s="2"/>
      <c r="Y84" s="2"/>
      <c r="Z84" s="42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s="4" customForma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20"/>
      <c r="L85" s="1"/>
      <c r="M85" s="1"/>
      <c r="N85" s="26"/>
      <c r="O85" s="26"/>
      <c r="P85" s="26"/>
      <c r="Q85" s="2"/>
      <c r="R85" s="2"/>
      <c r="S85" s="2"/>
      <c r="T85" s="2"/>
      <c r="U85" s="2"/>
      <c r="V85" s="2"/>
      <c r="W85" s="2"/>
      <c r="X85" s="2"/>
      <c r="Y85" s="2"/>
      <c r="Z85" s="2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s="4" customForma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20"/>
      <c r="L86" s="1"/>
      <c r="M86" s="1"/>
      <c r="N86" s="26"/>
      <c r="O86" s="26"/>
      <c r="P86" s="26"/>
      <c r="Q86" s="2"/>
      <c r="R86" s="2"/>
      <c r="S86" s="2"/>
      <c r="T86" s="2"/>
      <c r="U86" s="2"/>
      <c r="V86" s="2"/>
      <c r="W86" s="2"/>
      <c r="X86" s="2"/>
      <c r="Y86" s="2"/>
      <c r="Z86" s="2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s="4" customFormat="1" x14ac:dyDescent="0.25">
      <c r="N87" s="26"/>
      <c r="O87" s="5"/>
      <c r="P87" s="5"/>
      <c r="Q87" s="5"/>
      <c r="R87" s="5"/>
      <c r="S87" s="5"/>
      <c r="T87" s="5"/>
      <c r="U87" s="5"/>
      <c r="V87" s="5"/>
      <c r="W87" s="5"/>
      <c r="X87" s="5"/>
      <c r="Y87" s="44">
        <f>AVERAGE(Y48:Y83)</f>
        <v>1.819297268520416E-14</v>
      </c>
      <c r="Z87" s="44">
        <f>AVERAGE(Z48:Z83)</f>
        <v>10955808151.029949</v>
      </c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s="4" customForma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20"/>
      <c r="L88" s="1"/>
      <c r="M88" s="1"/>
      <c r="N88" s="26"/>
      <c r="O88" s="26"/>
      <c r="P88" s="26"/>
      <c r="Q88" s="2"/>
      <c r="R88" s="2"/>
      <c r="S88" s="2"/>
      <c r="T88" s="2"/>
      <c r="U88" s="2"/>
      <c r="V88" s="2"/>
      <c r="W88" s="2"/>
      <c r="X88" s="2"/>
      <c r="Y88" s="2"/>
      <c r="Z88" s="2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s="4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20"/>
      <c r="L89" s="1"/>
      <c r="M89" s="1"/>
      <c r="N89" s="26"/>
      <c r="O89" s="26"/>
      <c r="P89" s="26"/>
      <c r="Q89" s="2"/>
      <c r="R89" s="2"/>
      <c r="S89" s="2"/>
      <c r="T89" s="2"/>
      <c r="U89" s="2"/>
      <c r="V89" s="2"/>
      <c r="W89" s="2"/>
      <c r="X89" s="2"/>
      <c r="Y89" s="2"/>
      <c r="Z89" s="2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s="4" customForma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20"/>
      <c r="L90" s="1"/>
      <c r="M90" s="1"/>
      <c r="N90" s="26"/>
      <c r="O90" s="26"/>
      <c r="P90" s="26"/>
      <c r="Q90" s="2"/>
      <c r="R90" s="2"/>
      <c r="S90" s="2"/>
      <c r="T90" s="2"/>
      <c r="U90" s="2"/>
      <c r="V90" s="2"/>
      <c r="W90" s="2"/>
      <c r="X90" s="2"/>
      <c r="Y90" s="2"/>
      <c r="Z90" s="2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s="4" customForma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20"/>
      <c r="L91" s="1"/>
      <c r="M91" s="1"/>
      <c r="N91" s="26"/>
      <c r="O91" s="26"/>
      <c r="P91" s="26"/>
      <c r="Q91" s="2"/>
      <c r="R91" s="2"/>
      <c r="S91" s="2"/>
      <c r="T91" s="2"/>
      <c r="U91" s="2"/>
      <c r="V91" s="2"/>
      <c r="W91" s="2"/>
      <c r="X91" s="2"/>
      <c r="Y91" s="2"/>
      <c r="Z91" s="2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s="4" customForma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20"/>
      <c r="L92" s="1"/>
      <c r="M92" s="1"/>
      <c r="N92" s="26"/>
      <c r="O92" s="26"/>
      <c r="P92" s="26"/>
      <c r="Q92" s="2"/>
      <c r="R92" s="2"/>
      <c r="S92" s="2"/>
      <c r="T92" s="2"/>
      <c r="U92" s="2"/>
      <c r="V92" s="2"/>
      <c r="W92" s="2"/>
      <c r="X92" s="2"/>
      <c r="Y92" s="2"/>
      <c r="Z92" s="2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s="4" customForma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20"/>
      <c r="L93" s="1"/>
      <c r="M93" s="1"/>
      <c r="N93" s="26"/>
      <c r="O93" s="26"/>
      <c r="P93" s="26"/>
      <c r="Q93" s="2"/>
      <c r="R93" s="2"/>
      <c r="S93" s="2"/>
      <c r="T93" s="2"/>
      <c r="U93" s="2"/>
      <c r="V93" s="2"/>
      <c r="W93" s="2"/>
      <c r="X93" s="2"/>
      <c r="Y93" s="2"/>
      <c r="Z93" s="2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s="4" customForma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20"/>
      <c r="L94" s="1"/>
      <c r="M94" s="1"/>
      <c r="N94" s="26"/>
      <c r="O94" s="26"/>
      <c r="P94" s="26"/>
      <c r="Q94" s="2"/>
      <c r="R94" s="2"/>
      <c r="S94" s="2"/>
      <c r="T94" s="2"/>
      <c r="U94" s="2"/>
      <c r="V94" s="2"/>
      <c r="W94" s="2"/>
      <c r="X94" s="2"/>
      <c r="Y94" s="2"/>
      <c r="Z94" s="2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s="4" customForma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20"/>
      <c r="L95" s="1"/>
      <c r="M95" s="1"/>
      <c r="N95" s="26"/>
      <c r="O95" s="26"/>
      <c r="P95" s="26"/>
      <c r="Q95" s="2"/>
      <c r="R95" s="2"/>
      <c r="S95" s="2"/>
      <c r="T95" s="2"/>
      <c r="U95" s="2"/>
      <c r="V95" s="2"/>
      <c r="W95" s="2"/>
      <c r="X95" s="2"/>
      <c r="Y95" s="2"/>
      <c r="Z95" s="2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s="4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20"/>
      <c r="L96" s="1"/>
      <c r="M96" s="1"/>
      <c r="N96" s="26"/>
      <c r="O96" s="26"/>
      <c r="P96" s="26"/>
      <c r="Q96" s="2"/>
      <c r="R96" s="2"/>
      <c r="S96" s="2"/>
      <c r="T96" s="2"/>
      <c r="U96" s="2"/>
      <c r="V96" s="2"/>
      <c r="W96" s="2"/>
      <c r="X96" s="2"/>
      <c r="Y96" s="2"/>
      <c r="Z96" s="2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s="4" customForma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20"/>
      <c r="L97" s="1"/>
      <c r="M97" s="1"/>
      <c r="N97" s="26"/>
      <c r="O97" s="26"/>
      <c r="P97" s="26"/>
      <c r="Q97" s="2"/>
      <c r="R97" s="2"/>
      <c r="S97" s="2"/>
      <c r="T97" s="2"/>
      <c r="U97" s="2"/>
      <c r="V97" s="2"/>
      <c r="W97" s="2"/>
      <c r="X97" s="2"/>
      <c r="Y97" s="2"/>
      <c r="Z97" s="2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s="4" customForma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20"/>
      <c r="L98" s="1"/>
      <c r="M98" s="1"/>
      <c r="N98" s="26"/>
      <c r="O98" s="26"/>
      <c r="P98" s="26"/>
      <c r="Q98" s="2"/>
      <c r="R98" s="2"/>
      <c r="S98" s="2"/>
      <c r="T98" s="2"/>
      <c r="U98" s="2"/>
      <c r="V98" s="2"/>
      <c r="W98" s="2"/>
      <c r="X98" s="2"/>
      <c r="Y98" s="2"/>
      <c r="Z98" s="2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s="4" customForma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20"/>
      <c r="L99" s="1"/>
      <c r="M99" s="1"/>
      <c r="N99" s="26"/>
      <c r="O99" s="26"/>
      <c r="P99" s="26"/>
      <c r="Q99" s="2"/>
      <c r="R99" s="2"/>
      <c r="S99" s="2"/>
      <c r="T99" s="2"/>
      <c r="U99" s="2"/>
      <c r="V99" s="2"/>
      <c r="W99" s="2"/>
      <c r="X99" s="2"/>
      <c r="Y99" s="2"/>
      <c r="Z99" s="2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s="4" customForma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0"/>
      <c r="L100" s="1"/>
      <c r="M100" s="1"/>
      <c r="N100" s="26"/>
      <c r="O100" s="26"/>
      <c r="P100" s="26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s="4" customForma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0"/>
      <c r="L101" s="1"/>
      <c r="M101" s="1"/>
      <c r="N101" s="26"/>
      <c r="O101" s="26"/>
      <c r="P101" s="26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s="4" customForma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0"/>
      <c r="L102" s="1"/>
      <c r="M102" s="1"/>
      <c r="N102" s="26"/>
      <c r="O102" s="26"/>
      <c r="P102" s="26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s="4" customForma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0"/>
      <c r="L103" s="1"/>
      <c r="M103" s="1"/>
      <c r="N103" s="26"/>
      <c r="O103" s="26"/>
      <c r="P103" s="26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s="4" customForma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0"/>
      <c r="L104" s="1"/>
      <c r="M104" s="1"/>
      <c r="N104" s="26"/>
      <c r="O104" s="26"/>
      <c r="P104" s="26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s="4" customForma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0"/>
      <c r="L105" s="1"/>
      <c r="M105" s="1"/>
      <c r="N105" s="26"/>
      <c r="O105" s="26"/>
      <c r="P105" s="26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s="4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0"/>
      <c r="L106" s="1"/>
      <c r="M106" s="1"/>
      <c r="N106" s="26"/>
      <c r="O106" s="26"/>
      <c r="P106" s="26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s="4" customForma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0"/>
      <c r="L107" s="1"/>
      <c r="M107" s="1"/>
      <c r="N107" s="26"/>
      <c r="O107" s="26"/>
      <c r="P107" s="26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s="4" customForma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0"/>
      <c r="L108" s="1"/>
      <c r="M108" s="1"/>
      <c r="N108" s="26"/>
      <c r="O108" s="26"/>
      <c r="P108" s="26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s="4" customForma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0"/>
      <c r="L109" s="1"/>
      <c r="M109" s="1"/>
      <c r="N109" s="26"/>
      <c r="O109" s="26"/>
      <c r="P109" s="26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s="4" customForma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0"/>
      <c r="L110" s="1"/>
      <c r="M110" s="1"/>
      <c r="N110" s="26"/>
      <c r="O110" s="26"/>
      <c r="P110" s="26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s="4" customForma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0"/>
      <c r="L111" s="1"/>
      <c r="M111" s="1"/>
      <c r="N111" s="26"/>
      <c r="O111" s="26"/>
      <c r="P111" s="26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s="4" customForma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0"/>
      <c r="L112" s="1"/>
      <c r="M112" s="1"/>
      <c r="N112" s="26"/>
      <c r="O112" s="26"/>
      <c r="P112" s="26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s="4" customForma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0"/>
      <c r="L113" s="1"/>
      <c r="M113" s="1"/>
      <c r="N113" s="26"/>
      <c r="O113" s="26"/>
      <c r="P113" s="26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s="4" customForma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0"/>
      <c r="L114" s="1"/>
      <c r="M114" s="1"/>
      <c r="N114" s="52"/>
      <c r="O114" s="26"/>
      <c r="P114" s="26"/>
      <c r="Q114" s="2"/>
      <c r="R114" s="2"/>
      <c r="S114" s="2"/>
      <c r="T114" s="2"/>
      <c r="U114" s="2"/>
      <c r="V114" s="2"/>
      <c r="W114" s="2"/>
      <c r="X114" s="2"/>
      <c r="Y114" s="11"/>
      <c r="Z114" s="11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s="4" customForma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0"/>
      <c r="L115" s="1"/>
      <c r="M115" s="1"/>
      <c r="N115" s="26"/>
      <c r="O115" s="26"/>
      <c r="P115" s="26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s="4" customForma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0"/>
      <c r="L116" s="1"/>
      <c r="M116" s="1"/>
      <c r="N116" s="26"/>
      <c r="O116" s="26"/>
      <c r="P116" s="26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s="4" customForma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0"/>
      <c r="L117" s="1"/>
      <c r="M117" s="1"/>
      <c r="N117" s="26"/>
      <c r="O117" s="26"/>
      <c r="P117" s="26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s="4" customForma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0"/>
      <c r="L118" s="1"/>
      <c r="M118" s="1"/>
      <c r="N118" s="26"/>
      <c r="O118" s="26"/>
      <c r="P118" s="26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s="4" customForma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0"/>
      <c r="L119" s="1"/>
      <c r="M119" s="1"/>
      <c r="N119" s="26"/>
      <c r="O119" s="26"/>
      <c r="P119" s="26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s="4" customForma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0"/>
      <c r="L120" s="1"/>
      <c r="M120" s="1"/>
      <c r="N120" s="26"/>
      <c r="O120" s="26"/>
      <c r="P120" s="26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s="4" customForma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0"/>
      <c r="L121" s="1"/>
      <c r="M121" s="1"/>
      <c r="N121" s="26"/>
      <c r="O121" s="26"/>
      <c r="P121" s="26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s="4" customForma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0"/>
      <c r="L122" s="1"/>
      <c r="M122" s="1"/>
      <c r="N122" s="26"/>
      <c r="O122" s="26"/>
      <c r="P122" s="26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s="4" customForma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0"/>
      <c r="L123" s="1"/>
      <c r="M123" s="1"/>
      <c r="N123" s="26"/>
      <c r="O123" s="26"/>
      <c r="P123" s="26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s="4" customForma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0"/>
      <c r="L124" s="1"/>
      <c r="M124" s="1"/>
      <c r="N124" s="26"/>
      <c r="O124" s="26"/>
      <c r="P124" s="26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s="4" customForma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0"/>
      <c r="L125" s="1"/>
      <c r="M125" s="1"/>
      <c r="N125" s="26"/>
      <c r="O125" s="26"/>
      <c r="P125" s="26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s="4" customForma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0"/>
      <c r="L126" s="1"/>
      <c r="M126" s="1"/>
      <c r="N126" s="26"/>
      <c r="O126" s="26"/>
      <c r="P126" s="26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s="4" customForma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0"/>
      <c r="L127" s="1"/>
      <c r="M127" s="1"/>
      <c r="N127" s="26"/>
      <c r="O127" s="26"/>
      <c r="P127" s="26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s="4" customForma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0"/>
      <c r="L128" s="1"/>
      <c r="M128" s="1"/>
      <c r="N128" s="26"/>
      <c r="O128" s="26"/>
      <c r="P128" s="26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s="4" customForma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0"/>
      <c r="L129" s="1"/>
      <c r="M129" s="1"/>
      <c r="N129" s="26"/>
      <c r="O129" s="26"/>
      <c r="P129" s="26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s="4" customForma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0"/>
      <c r="L130" s="1"/>
      <c r="M130" s="1"/>
      <c r="N130" s="26"/>
      <c r="O130" s="26"/>
      <c r="P130" s="26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s="4" customForma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0"/>
      <c r="L131" s="1"/>
      <c r="M131" s="1"/>
      <c r="N131" s="26"/>
      <c r="O131" s="26"/>
      <c r="P131" s="26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s="4" customForma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0"/>
      <c r="L132" s="1"/>
      <c r="M132" s="1"/>
      <c r="N132" s="26"/>
      <c r="O132" s="26"/>
      <c r="P132" s="26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s="4" customForma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0"/>
      <c r="L133" s="1"/>
      <c r="M133" s="1"/>
      <c r="N133" s="26"/>
      <c r="O133" s="26"/>
      <c r="P133" s="26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s="4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0"/>
      <c r="L134" s="1"/>
      <c r="M134" s="1"/>
      <c r="N134" s="26"/>
      <c r="O134" s="26"/>
      <c r="P134" s="26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s="4" customForma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0"/>
      <c r="L135" s="1"/>
      <c r="M135" s="1"/>
      <c r="N135" s="26"/>
      <c r="O135" s="26"/>
      <c r="P135" s="26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s="4" customForma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0"/>
      <c r="L136" s="1"/>
      <c r="M136" s="1"/>
      <c r="N136" s="26"/>
      <c r="O136" s="26"/>
      <c r="P136" s="26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s="4" customForma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0"/>
      <c r="L137" s="1"/>
      <c r="M137" s="1"/>
      <c r="N137" s="26"/>
      <c r="O137" s="26"/>
      <c r="P137" s="26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s="4" customForma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0"/>
      <c r="L138" s="1"/>
      <c r="M138" s="1"/>
      <c r="N138" s="26"/>
      <c r="O138" s="26"/>
      <c r="P138" s="26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s="4" customForma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0"/>
      <c r="L139" s="1"/>
      <c r="M139" s="1"/>
      <c r="N139" s="26"/>
      <c r="O139" s="26"/>
      <c r="P139" s="26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s="4" customForma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0"/>
      <c r="L140" s="1"/>
      <c r="M140" s="1"/>
      <c r="N140" s="26"/>
      <c r="O140" s="26"/>
      <c r="P140" s="26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s="4" customForma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0"/>
      <c r="L141" s="1"/>
      <c r="M141" s="1"/>
      <c r="N141" s="26"/>
      <c r="O141" s="26"/>
      <c r="P141" s="26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s="4" customForma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0"/>
      <c r="L142" s="1"/>
      <c r="M142" s="1"/>
      <c r="N142" s="26"/>
      <c r="O142" s="26"/>
      <c r="P142" s="26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s="4" customForma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0"/>
      <c r="L143" s="1"/>
      <c r="M143" s="1"/>
      <c r="N143" s="26"/>
      <c r="O143" s="26"/>
      <c r="P143" s="26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s="4" customForma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0"/>
      <c r="L144" s="1"/>
      <c r="M144" s="1"/>
      <c r="N144" s="26"/>
      <c r="O144" s="26"/>
      <c r="P144" s="26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s="4" customForma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0"/>
      <c r="L145" s="1"/>
      <c r="M145" s="1"/>
      <c r="N145" s="26"/>
      <c r="O145" s="26"/>
      <c r="P145" s="26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s="4" customForma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0"/>
      <c r="L146" s="1"/>
      <c r="M146" s="1"/>
      <c r="N146" s="26"/>
      <c r="O146" s="26"/>
      <c r="P146" s="26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s="4" customForma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0"/>
      <c r="L147" s="1"/>
      <c r="M147" s="1"/>
      <c r="N147" s="26"/>
      <c r="O147" s="26"/>
      <c r="P147" s="26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s="4" customForma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0"/>
      <c r="L148" s="1"/>
      <c r="M148" s="1"/>
      <c r="N148" s="26"/>
      <c r="O148" s="26"/>
      <c r="P148" s="26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s="4" customForma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0"/>
      <c r="L149" s="1"/>
      <c r="M149" s="1"/>
      <c r="N149" s="26"/>
      <c r="O149" s="26"/>
      <c r="P149" s="26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s="4" customForma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0"/>
      <c r="L150" s="1"/>
      <c r="M150" s="1"/>
      <c r="N150" s="26"/>
      <c r="O150" s="26"/>
      <c r="P150" s="26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s="4" customForma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0"/>
      <c r="L151" s="1"/>
      <c r="M151" s="1"/>
      <c r="N151" s="26"/>
      <c r="O151" s="26"/>
      <c r="P151" s="26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s="4" customForma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0"/>
      <c r="L152" s="1"/>
      <c r="M152" s="1"/>
      <c r="N152" s="26"/>
      <c r="O152" s="26"/>
      <c r="P152" s="26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s="4" customForma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0"/>
      <c r="L153" s="1"/>
      <c r="M153" s="1"/>
      <c r="N153" s="26"/>
      <c r="O153" s="26"/>
      <c r="P153" s="26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s="4" customForma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0"/>
      <c r="L154" s="1"/>
      <c r="M154" s="1"/>
      <c r="N154" s="26"/>
      <c r="O154" s="26"/>
      <c r="P154" s="26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s="4" customForma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0"/>
      <c r="L155" s="1"/>
      <c r="M155" s="1"/>
      <c r="N155" s="26"/>
      <c r="O155" s="26"/>
      <c r="P155" s="26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s="4" customForma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0"/>
      <c r="L156" s="1"/>
      <c r="M156" s="1"/>
      <c r="N156" s="26"/>
      <c r="O156" s="26"/>
      <c r="P156" s="26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s="4" customForma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0"/>
      <c r="L157" s="1"/>
      <c r="M157" s="1"/>
      <c r="N157" s="26"/>
      <c r="O157" s="26"/>
      <c r="P157" s="26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s="4" customForma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0"/>
      <c r="L158" s="1"/>
      <c r="M158" s="1"/>
      <c r="N158" s="26"/>
      <c r="O158" s="26"/>
      <c r="P158" s="26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s="4" customForma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0"/>
      <c r="L159" s="1"/>
      <c r="M159" s="1"/>
      <c r="N159" s="26"/>
      <c r="O159" s="26"/>
      <c r="P159" s="26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s="4" customForma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0"/>
      <c r="L160" s="1"/>
      <c r="M160" s="1"/>
      <c r="N160" s="26"/>
      <c r="O160" s="26"/>
      <c r="P160" s="26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s="4" customForma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0"/>
      <c r="L161" s="1"/>
      <c r="M161" s="1"/>
      <c r="N161" s="26"/>
      <c r="O161" s="26"/>
      <c r="P161" s="26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s="4" customForma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0"/>
      <c r="L162" s="1"/>
      <c r="M162" s="1"/>
      <c r="N162" s="26"/>
      <c r="O162" s="26"/>
      <c r="P162" s="26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s="4" customForma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0"/>
      <c r="L163" s="1"/>
      <c r="M163" s="1"/>
      <c r="N163" s="26"/>
      <c r="O163" s="26"/>
      <c r="P163" s="26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s="4" customForma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0"/>
      <c r="L164" s="1"/>
      <c r="M164" s="1"/>
      <c r="N164" s="26"/>
      <c r="O164" s="26"/>
      <c r="P164" s="26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s="4" customForma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0"/>
      <c r="L165" s="1"/>
      <c r="M165" s="1"/>
      <c r="N165" s="26"/>
      <c r="O165" s="26"/>
      <c r="P165" s="26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s="4" customForma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0"/>
      <c r="L166" s="1"/>
      <c r="M166" s="1"/>
      <c r="N166" s="26"/>
      <c r="O166" s="26"/>
      <c r="P166" s="26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s="4" customForma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0"/>
      <c r="L167" s="1"/>
      <c r="M167" s="1"/>
      <c r="N167" s="26"/>
      <c r="O167" s="26"/>
      <c r="P167" s="26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s="4" customForma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0"/>
      <c r="L168" s="1"/>
      <c r="M168" s="1"/>
      <c r="N168" s="26"/>
      <c r="O168" s="26"/>
      <c r="P168" s="26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s="4" customForma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0"/>
      <c r="L169" s="1"/>
      <c r="M169" s="1"/>
      <c r="N169" s="26"/>
      <c r="O169" s="26"/>
      <c r="P169" s="26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s="4" customForma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0"/>
      <c r="L170" s="1"/>
      <c r="M170" s="1"/>
      <c r="N170" s="26"/>
      <c r="O170" s="26"/>
      <c r="P170" s="26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s="4" customForma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0"/>
      <c r="L171" s="1"/>
      <c r="M171" s="1"/>
      <c r="N171" s="26"/>
      <c r="O171" s="26"/>
      <c r="P171" s="26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s="4" customForma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0"/>
      <c r="L172" s="1"/>
      <c r="M172" s="1"/>
      <c r="N172" s="26"/>
      <c r="O172" s="26"/>
      <c r="P172" s="26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s="4" customForma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0"/>
      <c r="L173" s="1"/>
      <c r="M173" s="1"/>
      <c r="N173" s="26"/>
      <c r="O173" s="26"/>
      <c r="P173" s="26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s="4" customForma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0"/>
      <c r="L174" s="1"/>
      <c r="M174" s="1"/>
      <c r="N174" s="26"/>
      <c r="O174" s="26"/>
      <c r="P174" s="26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s="4" customForma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0"/>
      <c r="L175" s="1"/>
      <c r="M175" s="1"/>
      <c r="N175" s="26"/>
      <c r="O175" s="26"/>
      <c r="P175" s="26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s="4" customForma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0"/>
      <c r="L176" s="1"/>
      <c r="M176" s="1"/>
      <c r="N176" s="26"/>
      <c r="O176" s="26"/>
      <c r="P176" s="26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s="4" customForma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0"/>
      <c r="L177" s="1"/>
      <c r="M177" s="1"/>
      <c r="N177" s="26"/>
      <c r="O177" s="26"/>
      <c r="P177" s="26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s="4" customForma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0"/>
      <c r="L178" s="1"/>
      <c r="M178" s="1"/>
      <c r="N178" s="26"/>
      <c r="O178" s="26"/>
      <c r="P178" s="26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s="4" customForma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0"/>
      <c r="L179" s="1"/>
      <c r="M179" s="1"/>
      <c r="N179" s="26"/>
      <c r="O179" s="26"/>
      <c r="P179" s="26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s="4" customForma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0"/>
      <c r="L180" s="1"/>
      <c r="M180" s="1"/>
      <c r="N180" s="26"/>
      <c r="O180" s="26"/>
      <c r="P180" s="26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s="4" customForma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0"/>
      <c r="L181" s="1"/>
      <c r="M181" s="1"/>
      <c r="N181" s="26"/>
      <c r="O181" s="26"/>
      <c r="P181" s="26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s="4" customForma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0"/>
      <c r="L182" s="1"/>
      <c r="M182" s="1"/>
      <c r="N182" s="26"/>
      <c r="O182" s="26"/>
      <c r="P182" s="26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s="4" customForma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0"/>
      <c r="L183" s="1"/>
      <c r="M183" s="1"/>
      <c r="N183" s="52"/>
      <c r="O183" s="26"/>
      <c r="P183" s="26"/>
      <c r="Q183" s="2"/>
      <c r="R183" s="2"/>
      <c r="S183" s="2"/>
      <c r="T183" s="2"/>
      <c r="U183" s="2"/>
      <c r="V183" s="2"/>
      <c r="W183" s="2"/>
      <c r="X183" s="2"/>
      <c r="Y183" s="11"/>
      <c r="Z183" s="11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s="4" customForma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0"/>
      <c r="L184" s="1"/>
      <c r="M184" s="1"/>
      <c r="N184" s="26"/>
      <c r="O184" s="26"/>
      <c r="P184" s="26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s="4" customForma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0"/>
      <c r="L185" s="1"/>
      <c r="M185" s="1"/>
      <c r="N185" s="26"/>
      <c r="O185" s="26"/>
      <c r="P185" s="26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s="4" customForma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0"/>
      <c r="L186" s="1"/>
      <c r="M186" s="1"/>
      <c r="N186" s="26"/>
      <c r="O186" s="26"/>
      <c r="P186" s="26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s="4" customForma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0"/>
      <c r="L187" s="1"/>
      <c r="M187" s="1"/>
      <c r="N187" s="26"/>
      <c r="O187" s="26"/>
      <c r="P187" s="26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s="4" customForma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0"/>
      <c r="L188" s="1"/>
      <c r="M188" s="1"/>
      <c r="N188" s="26"/>
      <c r="O188" s="26"/>
      <c r="P188" s="26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s="4" customForma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0"/>
      <c r="L189" s="1"/>
      <c r="M189" s="1"/>
      <c r="N189" s="26"/>
      <c r="O189" s="26"/>
      <c r="P189" s="26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s="4" customForma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0"/>
      <c r="L190" s="1"/>
      <c r="M190" s="1"/>
      <c r="N190" s="26"/>
      <c r="O190" s="26"/>
      <c r="P190" s="26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s="4" customForma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0"/>
      <c r="L191" s="1"/>
      <c r="M191" s="1"/>
      <c r="N191" s="26"/>
      <c r="O191" s="26"/>
      <c r="P191" s="26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s="4" customForma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0"/>
      <c r="L192" s="1"/>
      <c r="M192" s="1"/>
      <c r="N192" s="26"/>
      <c r="O192" s="26"/>
      <c r="P192" s="26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s="4" customForma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0"/>
      <c r="L193" s="1"/>
      <c r="M193" s="1"/>
      <c r="N193" s="26"/>
      <c r="O193" s="26"/>
      <c r="P193" s="26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s="4" customForma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0"/>
      <c r="L194" s="1"/>
      <c r="M194" s="1"/>
      <c r="N194" s="26"/>
      <c r="O194" s="26"/>
      <c r="P194" s="26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s="4" customForma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0"/>
      <c r="L195" s="1"/>
      <c r="M195" s="1"/>
      <c r="N195" s="26"/>
      <c r="O195" s="26"/>
      <c r="P195" s="26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s="4" customForma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0"/>
      <c r="L196" s="1"/>
      <c r="M196" s="1"/>
      <c r="N196" s="26"/>
      <c r="O196" s="26"/>
      <c r="P196" s="26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s="4" customForma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0"/>
      <c r="L197" s="1"/>
      <c r="M197" s="1"/>
      <c r="N197" s="26"/>
      <c r="O197" s="26"/>
      <c r="P197" s="26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s="4" customForma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0"/>
      <c r="L198" s="1"/>
      <c r="M198" s="1"/>
      <c r="N198" s="26"/>
      <c r="O198" s="26"/>
      <c r="P198" s="26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s="4" customForma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0"/>
      <c r="L199" s="1"/>
      <c r="M199" s="1"/>
      <c r="N199" s="26"/>
      <c r="O199" s="26"/>
      <c r="P199" s="26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s="4" customForma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0"/>
      <c r="L200" s="1"/>
      <c r="M200" s="1"/>
      <c r="N200" s="26"/>
      <c r="O200" s="26"/>
      <c r="P200" s="26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s="4" customForma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0"/>
      <c r="L201" s="1"/>
      <c r="M201" s="1"/>
      <c r="N201" s="26"/>
      <c r="O201" s="26"/>
      <c r="P201" s="26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s="4" customForma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0"/>
      <c r="L202" s="1"/>
      <c r="M202" s="1"/>
      <c r="N202" s="26"/>
      <c r="O202" s="26"/>
      <c r="P202" s="26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s="4" customForma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0"/>
      <c r="L203" s="1"/>
      <c r="M203" s="1"/>
      <c r="N203" s="26"/>
      <c r="O203" s="26"/>
      <c r="P203" s="26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s="4" customForma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0"/>
      <c r="L204" s="1"/>
      <c r="M204" s="1"/>
      <c r="N204" s="26"/>
      <c r="O204" s="26"/>
      <c r="P204" s="26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s="4" customForma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0"/>
      <c r="L205" s="1"/>
      <c r="M205" s="1"/>
      <c r="N205" s="26"/>
      <c r="O205" s="26"/>
      <c r="P205" s="26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s="4" customForma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0"/>
      <c r="L206" s="1"/>
      <c r="M206" s="1"/>
      <c r="N206" s="26"/>
      <c r="O206" s="26"/>
      <c r="P206" s="26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s="4" customForma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0"/>
      <c r="L207" s="1"/>
      <c r="M207" s="1"/>
      <c r="N207" s="26"/>
      <c r="O207" s="26"/>
      <c r="P207" s="26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s="4" customForma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0"/>
      <c r="L208" s="1"/>
      <c r="M208" s="1"/>
      <c r="N208" s="26"/>
      <c r="O208" s="26"/>
      <c r="P208" s="26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s="4" customForma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0"/>
      <c r="L209" s="1"/>
      <c r="M209" s="1"/>
      <c r="N209" s="26"/>
      <c r="O209" s="26"/>
      <c r="P209" s="26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s="4" customForma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0"/>
      <c r="L210" s="1"/>
      <c r="M210" s="1"/>
      <c r="N210" s="26"/>
      <c r="O210" s="26"/>
      <c r="P210" s="26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s="4" customForma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0"/>
      <c r="L211" s="1"/>
      <c r="M211" s="1"/>
      <c r="N211" s="26"/>
      <c r="O211" s="26"/>
      <c r="P211" s="26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s="4" customForma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0"/>
      <c r="L212" s="1"/>
      <c r="M212" s="1"/>
      <c r="N212" s="26"/>
      <c r="O212" s="26"/>
      <c r="P212" s="26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s="4" customForma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0"/>
      <c r="L213" s="1"/>
      <c r="M213" s="1"/>
      <c r="N213" s="26"/>
      <c r="O213" s="26"/>
      <c r="P213" s="26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s="4" customForma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0"/>
      <c r="L214" s="1"/>
      <c r="M214" s="1"/>
      <c r="N214" s="26"/>
      <c r="O214" s="26"/>
      <c r="P214" s="26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s="4" customForma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0"/>
      <c r="L215" s="1"/>
      <c r="M215" s="1"/>
      <c r="N215" s="26"/>
      <c r="O215" s="26"/>
      <c r="P215" s="26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s="4" customForma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0"/>
      <c r="L216" s="1"/>
      <c r="M216" s="1"/>
      <c r="N216" s="26"/>
      <c r="O216" s="26"/>
      <c r="P216" s="26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s="4" customForma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0"/>
      <c r="L217" s="1"/>
      <c r="M217" s="1"/>
      <c r="N217" s="26"/>
      <c r="O217" s="26"/>
      <c r="P217" s="26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s="4" customForma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0"/>
      <c r="L218" s="1"/>
      <c r="M218" s="1"/>
      <c r="N218" s="26"/>
      <c r="O218" s="26"/>
      <c r="P218" s="26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s="4" customForma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0"/>
      <c r="L219" s="1"/>
      <c r="M219" s="1"/>
      <c r="N219" s="26"/>
      <c r="O219" s="26"/>
      <c r="P219" s="26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s="4" customForma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0"/>
      <c r="L220" s="1"/>
      <c r="M220" s="1"/>
      <c r="N220" s="26"/>
      <c r="O220" s="26"/>
      <c r="P220" s="26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s="4" customForma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0"/>
      <c r="L221" s="1"/>
      <c r="M221" s="1"/>
      <c r="N221" s="26"/>
      <c r="O221" s="26"/>
      <c r="P221" s="26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s="4" customForma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0"/>
      <c r="L222" s="1"/>
      <c r="M222" s="1"/>
      <c r="N222" s="26"/>
      <c r="O222" s="26"/>
      <c r="P222" s="26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s="4" customForma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0"/>
      <c r="L223" s="1"/>
      <c r="M223" s="1"/>
      <c r="N223" s="26"/>
      <c r="O223" s="26"/>
      <c r="P223" s="26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s="4" customForma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0"/>
      <c r="L224" s="1"/>
      <c r="M224" s="1"/>
      <c r="N224" s="30"/>
      <c r="O224" s="30"/>
      <c r="P224" s="30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s="4" customForma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0"/>
      <c r="L225" s="1"/>
      <c r="M225" s="1"/>
      <c r="N225" s="30"/>
      <c r="O225" s="30"/>
      <c r="P225" s="30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s="4" customForma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0"/>
      <c r="L226" s="1"/>
      <c r="M226" s="1"/>
      <c r="N226" s="30"/>
      <c r="O226" s="30"/>
      <c r="P226" s="30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s="4" customForma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0"/>
      <c r="L227" s="1"/>
      <c r="M227" s="1"/>
      <c r="N227" s="30"/>
      <c r="O227" s="30"/>
      <c r="P227" s="30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s="4" customForma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0"/>
      <c r="L228" s="1"/>
      <c r="M228" s="1"/>
      <c r="N228" s="30"/>
      <c r="O228" s="30"/>
      <c r="P228" s="30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s="4" customForma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0"/>
      <c r="L229" s="1"/>
      <c r="M229" s="1"/>
      <c r="N229" s="30"/>
      <c r="O229" s="30"/>
      <c r="P229" s="30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s="4" customForma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0"/>
      <c r="L230" s="1"/>
      <c r="M230" s="1"/>
      <c r="N230" s="30"/>
      <c r="O230" s="30"/>
      <c r="P230" s="30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s="4" customForma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0"/>
      <c r="L231" s="1"/>
      <c r="M231" s="1"/>
      <c r="N231" s="30"/>
      <c r="O231" s="30"/>
      <c r="P231" s="30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s="4" customForma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0"/>
      <c r="L232" s="1"/>
      <c r="M232" s="1"/>
      <c r="N232" s="30"/>
      <c r="O232" s="30"/>
      <c r="P232" s="30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s="4" customForma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0"/>
      <c r="L233" s="1"/>
      <c r="M233" s="1"/>
      <c r="N233" s="30"/>
      <c r="O233" s="30"/>
      <c r="P233" s="30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s="4" customForma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0"/>
      <c r="L234" s="1"/>
      <c r="M234" s="1"/>
      <c r="N234" s="30"/>
      <c r="O234" s="30"/>
      <c r="P234" s="30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s="4" customForma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0"/>
      <c r="L235" s="1"/>
      <c r="M235" s="1"/>
      <c r="N235" s="30"/>
      <c r="O235" s="30"/>
      <c r="P235" s="30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s="4" customForma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0"/>
      <c r="L236" s="1"/>
      <c r="M236" s="1"/>
      <c r="N236" s="30"/>
      <c r="O236" s="30"/>
      <c r="P236" s="30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s="4" customForma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0"/>
      <c r="L237" s="1"/>
      <c r="M237" s="1"/>
      <c r="N237" s="30"/>
      <c r="O237" s="30"/>
      <c r="P237" s="30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s="4" customForma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0"/>
      <c r="L238" s="1"/>
      <c r="M238" s="1"/>
      <c r="N238" s="30"/>
      <c r="O238" s="30"/>
      <c r="P238" s="30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s="4" customForma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0"/>
      <c r="L239" s="1"/>
      <c r="M239" s="1"/>
      <c r="N239" s="30"/>
      <c r="O239" s="30"/>
      <c r="P239" s="30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s="4" customForma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0"/>
      <c r="L240" s="1"/>
      <c r="M240" s="1"/>
      <c r="N240" s="30"/>
      <c r="O240" s="30"/>
      <c r="P240" s="30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s="4" customForma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0"/>
      <c r="L241" s="1"/>
      <c r="M241" s="1"/>
      <c r="N241" s="30"/>
      <c r="O241" s="30"/>
      <c r="P241" s="30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s="4" customForma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0"/>
      <c r="L242" s="1"/>
      <c r="M242" s="1"/>
      <c r="N242" s="30"/>
      <c r="O242" s="30"/>
      <c r="P242" s="30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s="4" customForma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0"/>
      <c r="L243" s="1"/>
      <c r="M243" s="1"/>
      <c r="N243" s="30"/>
      <c r="O243" s="30"/>
      <c r="P243" s="30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s="4" customForma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0"/>
      <c r="L244" s="1"/>
      <c r="M244" s="1"/>
      <c r="N244" s="30"/>
      <c r="O244" s="30"/>
      <c r="P244" s="30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s="4" customForma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0"/>
      <c r="L245" s="1"/>
      <c r="M245" s="1"/>
      <c r="N245" s="30"/>
      <c r="O245" s="30"/>
      <c r="P245" s="30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s="4" customForma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0"/>
      <c r="L246" s="1"/>
      <c r="M246" s="1"/>
      <c r="N246" s="30"/>
      <c r="O246" s="30"/>
      <c r="P246" s="30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  <row r="247" spans="1:74" s="4" customForma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0"/>
      <c r="L247" s="1"/>
      <c r="M247" s="1"/>
      <c r="N247" s="30"/>
      <c r="O247" s="30"/>
      <c r="P247" s="30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</row>
    <row r="248" spans="1:74" s="4" customForma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0"/>
      <c r="L248" s="1"/>
      <c r="M248" s="1"/>
      <c r="N248" s="30"/>
      <c r="O248" s="30"/>
      <c r="P248" s="30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</row>
    <row r="249" spans="1:74" s="4" customForma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0"/>
      <c r="L249" s="1"/>
      <c r="M249" s="1"/>
      <c r="N249" s="30"/>
      <c r="O249" s="30"/>
      <c r="P249" s="30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</row>
    <row r="250" spans="1:74" s="4" customForma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0"/>
      <c r="L250" s="1"/>
      <c r="M250" s="1"/>
      <c r="N250" s="30"/>
      <c r="O250" s="30"/>
      <c r="P250" s="30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</row>
    <row r="251" spans="1:74" s="4" customForma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0"/>
      <c r="L251" s="1"/>
      <c r="M251" s="1"/>
      <c r="N251" s="30"/>
      <c r="O251" s="30"/>
      <c r="P251" s="30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</row>
    <row r="252" spans="1:74" s="4" customForma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0"/>
      <c r="L252" s="1"/>
      <c r="M252" s="1"/>
      <c r="N252" s="30"/>
      <c r="O252" s="30"/>
      <c r="P252" s="30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</row>
    <row r="253" spans="1:74" s="4" customForma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0"/>
      <c r="L253" s="1"/>
      <c r="M253" s="1"/>
      <c r="N253" s="30"/>
      <c r="O253" s="30"/>
      <c r="P253" s="30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</row>
    <row r="254" spans="1:74" s="4" customForma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0"/>
      <c r="L254" s="1"/>
      <c r="M254" s="1"/>
      <c r="N254" s="30"/>
      <c r="O254" s="30"/>
      <c r="P254" s="30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</row>
    <row r="255" spans="1:74" s="4" customForma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0"/>
      <c r="L255" s="1"/>
      <c r="M255" s="1"/>
      <c r="N255" s="30"/>
      <c r="O255" s="30"/>
      <c r="P255" s="30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</row>
    <row r="256" spans="1:74" s="4" customForma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0"/>
      <c r="L256" s="1"/>
      <c r="M256" s="1"/>
      <c r="N256" s="30"/>
      <c r="O256" s="30"/>
      <c r="P256" s="30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</row>
    <row r="257" spans="1:74" s="4" customForma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0"/>
      <c r="L257" s="1"/>
      <c r="M257" s="1"/>
      <c r="N257" s="30"/>
      <c r="O257" s="30"/>
      <c r="P257" s="30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</row>
    <row r="258" spans="1:74" s="4" customForma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0"/>
      <c r="L258" s="1"/>
      <c r="M258" s="1"/>
      <c r="N258" s="30"/>
      <c r="O258" s="30"/>
      <c r="P258" s="30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</row>
    <row r="259" spans="1:74" s="4" customForma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0"/>
      <c r="L259" s="1"/>
      <c r="M259" s="1"/>
      <c r="N259" s="30"/>
      <c r="O259" s="30"/>
      <c r="P259" s="30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</row>
    <row r="260" spans="1:74" s="4" customForma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0"/>
      <c r="L260" s="1"/>
      <c r="M260" s="1"/>
      <c r="N260" s="30"/>
      <c r="O260" s="30"/>
      <c r="P260" s="30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</row>
    <row r="261" spans="1:74" s="4" customForma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0"/>
      <c r="L261" s="1"/>
      <c r="M261" s="1"/>
      <c r="N261" s="30"/>
      <c r="O261" s="30"/>
      <c r="P261" s="30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</row>
    <row r="262" spans="1:74" s="4" customForma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0"/>
      <c r="L262" s="1"/>
      <c r="M262" s="1"/>
      <c r="N262" s="30"/>
      <c r="O262" s="30"/>
      <c r="P262" s="30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</row>
    <row r="263" spans="1:74" s="4" customForma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0"/>
      <c r="L263" s="1"/>
      <c r="M263" s="1"/>
      <c r="N263" s="30"/>
      <c r="O263" s="30"/>
      <c r="P263" s="30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</row>
    <row r="264" spans="1:74" s="4" customForma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0"/>
      <c r="L264" s="1"/>
      <c r="M264" s="1"/>
      <c r="N264" s="30"/>
      <c r="O264" s="30"/>
      <c r="P264" s="30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</row>
    <row r="265" spans="1:74" s="4" customForma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0"/>
      <c r="L265" s="1"/>
      <c r="M265" s="1"/>
      <c r="N265" s="30"/>
      <c r="O265" s="30"/>
      <c r="P265" s="30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</row>
    <row r="266" spans="1:74" s="4" customForma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0"/>
      <c r="L266" s="1"/>
      <c r="M266" s="1"/>
      <c r="N266" s="30"/>
      <c r="O266" s="30"/>
      <c r="P266" s="30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</row>
    <row r="267" spans="1:74" s="4" customForma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0"/>
      <c r="L267" s="1"/>
      <c r="M267" s="1"/>
      <c r="N267" s="30"/>
      <c r="O267" s="30"/>
      <c r="P267" s="30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</row>
    <row r="268" spans="1:74" s="4" customForma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0"/>
      <c r="L268" s="1"/>
      <c r="M268" s="1"/>
      <c r="N268" s="30"/>
      <c r="O268" s="30"/>
      <c r="P268" s="30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2C1-C50B-4834-8978-1C45882E2871}">
  <dimension ref="A1:BY268"/>
  <sheetViews>
    <sheetView topLeftCell="K1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0" customWidth="1"/>
    <col min="12" max="12" width="20.88671875" style="3" customWidth="1"/>
    <col min="13" max="13" width="27.33203125" style="3" customWidth="1"/>
    <col min="14" max="15" width="20.6640625" style="30" customWidth="1"/>
    <col min="16" max="16" width="32.88671875" style="30" customWidth="1"/>
    <col min="17" max="17" width="23.21875" style="9" customWidth="1"/>
    <col min="18" max="18" width="30.88671875" style="9" customWidth="1"/>
    <col min="19" max="19" width="33.109375" style="9" customWidth="1"/>
    <col min="20" max="21" width="20.6640625" style="9" customWidth="1"/>
    <col min="22" max="22" width="20.6640625" style="17" customWidth="1"/>
    <col min="23" max="23" width="20.6640625" style="9" customWidth="1"/>
    <col min="24" max="24" width="20.6640625" style="17" customWidth="1"/>
    <col min="25" max="25" width="53.33203125" style="17" customWidth="1"/>
    <col min="26" max="26" width="51.21875" style="17" customWidth="1"/>
    <col min="27" max="16384" width="8.88671875" style="7"/>
  </cols>
  <sheetData>
    <row r="1" spans="1:26" s="41" customFormat="1" ht="53.4" customHeight="1" x14ac:dyDescent="0.3">
      <c r="A1" s="21" t="s">
        <v>7</v>
      </c>
      <c r="B1" s="22" t="s">
        <v>6</v>
      </c>
      <c r="C1" s="21" t="s">
        <v>2</v>
      </c>
      <c r="D1" s="21" t="s">
        <v>1</v>
      </c>
      <c r="E1" s="22" t="s">
        <v>0</v>
      </c>
      <c r="F1" s="21" t="s">
        <v>3</v>
      </c>
      <c r="G1" s="22" t="s">
        <v>11</v>
      </c>
      <c r="H1" s="21" t="s">
        <v>4</v>
      </c>
      <c r="I1" s="22" t="s">
        <v>12</v>
      </c>
      <c r="J1" s="22" t="s">
        <v>8</v>
      </c>
      <c r="K1" s="21" t="s">
        <v>5</v>
      </c>
      <c r="L1" s="22" t="s">
        <v>10</v>
      </c>
      <c r="M1" s="13" t="s">
        <v>41</v>
      </c>
      <c r="N1" s="29" t="s">
        <v>9</v>
      </c>
      <c r="O1" s="29" t="s">
        <v>34</v>
      </c>
      <c r="P1" s="29" t="s">
        <v>38</v>
      </c>
      <c r="Q1" s="24" t="s">
        <v>14</v>
      </c>
      <c r="R1" s="23" t="s">
        <v>26</v>
      </c>
      <c r="S1" s="23" t="s">
        <v>13</v>
      </c>
      <c r="T1" s="23" t="s">
        <v>27</v>
      </c>
      <c r="U1" s="23" t="s">
        <v>30</v>
      </c>
      <c r="V1" s="15" t="s">
        <v>15</v>
      </c>
      <c r="W1" s="23" t="s">
        <v>16</v>
      </c>
      <c r="X1" s="15" t="s">
        <v>25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54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14.995049504950495</v>
      </c>
      <c r="L2" s="2">
        <f>(K2/1000000)</f>
        <v>1.4995049504950496E-5</v>
      </c>
      <c r="M2" s="3">
        <f>(3.142*3.07*3.07*25.4*25.4)/(4*1000000)</f>
        <v>4.7762865441819992E-3</v>
      </c>
      <c r="N2" s="26">
        <f>(L2*J2)/M2</f>
        <v>6.318145764318104E-8</v>
      </c>
      <c r="O2" s="26">
        <f>(2.032/1000)</f>
        <v>2.032E-3</v>
      </c>
      <c r="P2" s="26">
        <v>1.0571269522665299E-10</v>
      </c>
      <c r="Q2" s="2">
        <v>0.31</v>
      </c>
      <c r="R2" s="2">
        <f>(1+Q2)*100000*1</f>
        <v>131000</v>
      </c>
      <c r="S2" s="2">
        <f>(SQRT(R2)-(N2*O2/P2))^2</f>
        <v>130122.34747950107</v>
      </c>
      <c r="T2" s="2">
        <f>(S2)</f>
        <v>130122.34747950107</v>
      </c>
      <c r="U2" s="2">
        <f>(5.24933748552653/1000)</f>
        <v>5.2493374855265302E-3</v>
      </c>
      <c r="V2" s="14">
        <v>0.09</v>
      </c>
      <c r="W2" s="14">
        <f>(1+V2)*100000</f>
        <v>109000.00000000001</v>
      </c>
      <c r="X2" s="14">
        <f>(L2*W2)</f>
        <v>1.6344603960396042</v>
      </c>
      <c r="Y2" s="14">
        <f>(N2*U2)/(T2-X2)</f>
        <v>2.5488700937863804E-15</v>
      </c>
      <c r="Z2" s="14">
        <f>(Y2*6.022E+23)</f>
        <v>1534929570.4781585</v>
      </c>
    </row>
    <row r="3" spans="1:26" x14ac:dyDescent="0.25">
      <c r="A3" s="1">
        <v>3</v>
      </c>
      <c r="B3" s="1">
        <f t="shared" ref="B3:B54" si="1">(A3/60)</f>
        <v>0.05</v>
      </c>
      <c r="C3" s="1">
        <v>20</v>
      </c>
      <c r="D3" s="1">
        <f t="shared" si="0"/>
        <v>29.146000000000001</v>
      </c>
      <c r="E3" s="1">
        <f t="shared" ref="E3:E54" si="2">(D3/(1000000*60))</f>
        <v>4.8576666666666667E-7</v>
      </c>
      <c r="F3" s="1">
        <v>21.1</v>
      </c>
      <c r="G3" s="1">
        <f t="shared" ref="G3:G54" si="3">(273+F3)</f>
        <v>294.10000000000002</v>
      </c>
      <c r="H3" s="1">
        <v>101.3</v>
      </c>
      <c r="I3" s="1">
        <f t="shared" ref="I3:I54" si="4">(H3*1000)</f>
        <v>101300</v>
      </c>
      <c r="J3" s="1">
        <f t="shared" ref="J3:J54" si="5">((I3*E3)/(8.314*G3))</f>
        <v>2.0124824921938581E-5</v>
      </c>
      <c r="K3" s="20">
        <v>14.846534653465348</v>
      </c>
      <c r="L3" s="2">
        <f t="shared" ref="L3:L54" si="6">(K3/1000000)</f>
        <v>1.4846534653465348E-5</v>
      </c>
      <c r="M3" s="3">
        <f t="shared" ref="M3:M54" si="7">(3.142*3.07*3.07*25.4*25.4)/(4*1000000)</f>
        <v>4.7762865441819992E-3</v>
      </c>
      <c r="N3" s="26">
        <f t="shared" ref="N3:N54" si="8">(L3*J3)/M3</f>
        <v>6.2555692133344323E-8</v>
      </c>
      <c r="O3" s="26">
        <f t="shared" ref="O3:O54" si="9">(2.032/1000)</f>
        <v>2.032E-3</v>
      </c>
      <c r="P3" s="26">
        <v>1.0571269522665299E-10</v>
      </c>
      <c r="Q3" s="2">
        <v>0.31</v>
      </c>
      <c r="R3" s="2">
        <f t="shared" ref="R3:R54" si="10">(1+Q3)*100000*1</f>
        <v>131000</v>
      </c>
      <c r="S3" s="2">
        <f t="shared" ref="S3:S54" si="11">(SQRT(R3)-(N3*O3/P3))^2</f>
        <v>130131.0255137889</v>
      </c>
      <c r="T3" s="2">
        <f t="shared" ref="T3:T54" si="12">(S3)</f>
        <v>130131.0255137889</v>
      </c>
      <c r="U3" s="2">
        <f t="shared" ref="U3:U54" si="13">(5.24933748552653/1000)</f>
        <v>5.2493374855265302E-3</v>
      </c>
      <c r="V3" s="14">
        <v>0.09</v>
      </c>
      <c r="W3" s="14">
        <f t="shared" ref="W3:W54" si="14">(1+V3)*100000</f>
        <v>109000.00000000001</v>
      </c>
      <c r="X3" s="14">
        <f t="shared" ref="X3:X54" si="15">(L3*W3)</f>
        <v>1.6182722772277232</v>
      </c>
      <c r="Y3" s="14">
        <f t="shared" ref="Y3:Y54" si="16">(N3*U3)/(T3-X3)</f>
        <v>2.5234568158692766E-15</v>
      </c>
      <c r="Z3" s="14">
        <f t="shared" ref="Z3:Z54" si="17">(Y3*6.022E+23)</f>
        <v>1519625694.5164783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16.480198019801978</v>
      </c>
      <c r="L4" s="2">
        <f t="shared" si="6"/>
        <v>1.648019801980198E-5</v>
      </c>
      <c r="M4" s="3">
        <f t="shared" si="7"/>
        <v>4.7762865441819992E-3</v>
      </c>
      <c r="N4" s="26">
        <f t="shared" si="8"/>
        <v>6.9439112741548255E-8</v>
      </c>
      <c r="O4" s="26">
        <f t="shared" si="9"/>
        <v>2.032E-3</v>
      </c>
      <c r="P4" s="26">
        <v>1.0571269522665299E-10</v>
      </c>
      <c r="Q4" s="2">
        <v>0.31</v>
      </c>
      <c r="R4" s="2">
        <f t="shared" si="10"/>
        <v>131000</v>
      </c>
      <c r="S4" s="2">
        <f t="shared" si="11"/>
        <v>130035.5830517108</v>
      </c>
      <c r="T4" s="2">
        <f t="shared" si="12"/>
        <v>130035.5830517108</v>
      </c>
      <c r="U4" s="2">
        <f t="shared" si="13"/>
        <v>5.2493374855265302E-3</v>
      </c>
      <c r="V4" s="14">
        <v>0.09</v>
      </c>
      <c r="W4" s="14">
        <f t="shared" si="14"/>
        <v>109000.00000000001</v>
      </c>
      <c r="X4" s="14">
        <f t="shared" si="15"/>
        <v>1.796341584158416</v>
      </c>
      <c r="Y4" s="14">
        <f t="shared" si="16"/>
        <v>2.8031894378995673E-15</v>
      </c>
      <c r="Z4" s="14">
        <f t="shared" si="17"/>
        <v>1688080679.5031195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11.851485148514852</v>
      </c>
      <c r="L5" s="2">
        <f t="shared" si="6"/>
        <v>1.1851485148514853E-5</v>
      </c>
      <c r="M5" s="3">
        <f t="shared" si="7"/>
        <v>4.7762865441819992E-3</v>
      </c>
      <c r="N5" s="26">
        <f t="shared" si="8"/>
        <v>4.9936087684970427E-8</v>
      </c>
      <c r="O5" s="26">
        <f t="shared" si="9"/>
        <v>2.032E-3</v>
      </c>
      <c r="P5" s="26">
        <v>1.0571269522665299E-10</v>
      </c>
      <c r="Q5" s="2">
        <v>0.31</v>
      </c>
      <c r="R5" s="2">
        <f t="shared" si="10"/>
        <v>131000</v>
      </c>
      <c r="S5" s="2">
        <f t="shared" si="11"/>
        <v>130306.09429797699</v>
      </c>
      <c r="T5" s="2">
        <f t="shared" si="12"/>
        <v>130306.09429797699</v>
      </c>
      <c r="U5" s="2">
        <f t="shared" si="13"/>
        <v>5.2493374855265302E-3</v>
      </c>
      <c r="V5" s="14">
        <v>0.09</v>
      </c>
      <c r="W5" s="14">
        <f t="shared" si="14"/>
        <v>109000.00000000001</v>
      </c>
      <c r="X5" s="14">
        <f t="shared" si="15"/>
        <v>1.2918118811881192</v>
      </c>
      <c r="Y5" s="14">
        <f t="shared" si="16"/>
        <v>2.0116785564616913E-15</v>
      </c>
      <c r="Z5" s="14">
        <f t="shared" si="17"/>
        <v>1211432826.7012305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19.747524752475247</v>
      </c>
      <c r="L6" s="2">
        <f t="shared" si="6"/>
        <v>1.9747524752475247E-5</v>
      </c>
      <c r="M6" s="3">
        <f t="shared" si="7"/>
        <v>4.7762865441819992E-3</v>
      </c>
      <c r="N6" s="26">
        <f t="shared" si="8"/>
        <v>8.3205953957956133E-8</v>
      </c>
      <c r="O6" s="26">
        <f t="shared" si="9"/>
        <v>2.032E-3</v>
      </c>
      <c r="P6" s="26">
        <v>1.0571269522665299E-10</v>
      </c>
      <c r="Q6" s="2">
        <v>0.31</v>
      </c>
      <c r="R6" s="2">
        <f t="shared" si="10"/>
        <v>131000</v>
      </c>
      <c r="S6" s="2">
        <f t="shared" si="11"/>
        <v>129844.80316713586</v>
      </c>
      <c r="T6" s="2">
        <f t="shared" si="12"/>
        <v>129844.80316713586</v>
      </c>
      <c r="U6" s="2">
        <f t="shared" si="13"/>
        <v>5.2493374855265302E-3</v>
      </c>
      <c r="V6" s="14">
        <v>0.09</v>
      </c>
      <c r="W6" s="14">
        <f t="shared" si="14"/>
        <v>109000.00000000001</v>
      </c>
      <c r="X6" s="14">
        <f t="shared" si="15"/>
        <v>2.1524801980198021</v>
      </c>
      <c r="Y6" s="14">
        <f t="shared" si="16"/>
        <v>3.3638879891908534E-15</v>
      </c>
      <c r="Z6" s="14">
        <f t="shared" si="17"/>
        <v>2025733347.0907321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18.831683168316832</v>
      </c>
      <c r="L7" s="2">
        <f t="shared" si="6"/>
        <v>1.8831683168316832E-5</v>
      </c>
      <c r="M7" s="3">
        <f t="shared" si="7"/>
        <v>4.7762865441819992E-3</v>
      </c>
      <c r="N7" s="26">
        <f t="shared" si="8"/>
        <v>7.9347066647296348E-8</v>
      </c>
      <c r="O7" s="26">
        <f t="shared" si="9"/>
        <v>2.032E-3</v>
      </c>
      <c r="P7" s="26">
        <v>1.0571269522665299E-10</v>
      </c>
      <c r="Q7" s="2">
        <v>0.31</v>
      </c>
      <c r="R7" s="2">
        <f t="shared" si="10"/>
        <v>131000</v>
      </c>
      <c r="S7" s="2">
        <f t="shared" si="11"/>
        <v>129898.26522025293</v>
      </c>
      <c r="T7" s="2">
        <f t="shared" si="12"/>
        <v>129898.26522025293</v>
      </c>
      <c r="U7" s="2">
        <f t="shared" si="13"/>
        <v>5.2493374855265302E-3</v>
      </c>
      <c r="V7" s="14">
        <v>0.09</v>
      </c>
      <c r="W7" s="14">
        <f t="shared" si="14"/>
        <v>109000.00000000001</v>
      </c>
      <c r="X7" s="14">
        <f t="shared" si="15"/>
        <v>2.0526534653465349</v>
      </c>
      <c r="Y7" s="14">
        <f t="shared" si="16"/>
        <v>3.2065563967391772E-15</v>
      </c>
      <c r="Z7" s="14">
        <f t="shared" si="17"/>
        <v>1930988262.1163325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13.782178217821782</v>
      </c>
      <c r="L8" s="2">
        <f t="shared" si="6"/>
        <v>1.3782178217821781E-5</v>
      </c>
      <c r="M8" s="3">
        <f t="shared" si="7"/>
        <v>4.7762865441819992E-3</v>
      </c>
      <c r="N8" s="26">
        <f t="shared" si="8"/>
        <v>5.8071039312847801E-8</v>
      </c>
      <c r="O8" s="26">
        <f t="shared" si="9"/>
        <v>2.032E-3</v>
      </c>
      <c r="P8" s="26">
        <v>1.0571269522665299E-10</v>
      </c>
      <c r="Q8" s="2">
        <v>0.31</v>
      </c>
      <c r="R8" s="2">
        <f t="shared" si="10"/>
        <v>131000</v>
      </c>
      <c r="S8" s="2">
        <f t="shared" si="11"/>
        <v>130193.22656080387</v>
      </c>
      <c r="T8" s="2">
        <f t="shared" si="12"/>
        <v>130193.22656080387</v>
      </c>
      <c r="U8" s="2">
        <f t="shared" si="13"/>
        <v>5.2493374855265302E-3</v>
      </c>
      <c r="V8" s="14">
        <v>0.09</v>
      </c>
      <c r="W8" s="14">
        <f t="shared" si="14"/>
        <v>109000.00000000001</v>
      </c>
      <c r="X8" s="14">
        <f t="shared" si="15"/>
        <v>1.5022574257425743</v>
      </c>
      <c r="Y8" s="14">
        <f t="shared" si="16"/>
        <v>2.3414274994782225E-15</v>
      </c>
      <c r="Z8" s="14">
        <f t="shared" si="17"/>
        <v>1410007640.1857855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21.183168316831683</v>
      </c>
      <c r="L9" s="2">
        <f t="shared" si="6"/>
        <v>2.1183168316831684E-5</v>
      </c>
      <c r="M9" s="3">
        <f t="shared" si="7"/>
        <v>4.7762865441819992E-3</v>
      </c>
      <c r="N9" s="26">
        <f t="shared" si="8"/>
        <v>8.9255020553044468E-8</v>
      </c>
      <c r="O9" s="26">
        <f t="shared" si="9"/>
        <v>2.032E-3</v>
      </c>
      <c r="P9" s="26">
        <v>1.0571269522665299E-10</v>
      </c>
      <c r="Q9" s="2">
        <v>0.31</v>
      </c>
      <c r="R9" s="2">
        <f t="shared" si="10"/>
        <v>131000</v>
      </c>
      <c r="S9" s="2">
        <f t="shared" si="11"/>
        <v>129761.01993105256</v>
      </c>
      <c r="T9" s="2">
        <f t="shared" si="12"/>
        <v>129761.01993105256</v>
      </c>
      <c r="U9" s="2">
        <f t="shared" si="13"/>
        <v>5.2493374855265302E-3</v>
      </c>
      <c r="V9" s="14">
        <v>0.09</v>
      </c>
      <c r="W9" s="14">
        <f t="shared" si="14"/>
        <v>109000.00000000001</v>
      </c>
      <c r="X9" s="14">
        <f t="shared" si="15"/>
        <v>2.308965346534654</v>
      </c>
      <c r="Y9" s="14">
        <f t="shared" si="16"/>
        <v>3.6107766613400243E-15</v>
      </c>
      <c r="Z9" s="14">
        <f t="shared" si="17"/>
        <v>2174409705.4589629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26.67821782178218</v>
      </c>
      <c r="L10" s="2">
        <f t="shared" si="6"/>
        <v>2.6678217821782182E-5</v>
      </c>
      <c r="M10" s="3">
        <f t="shared" si="7"/>
        <v>4.7762865441819992E-3</v>
      </c>
      <c r="N10" s="26">
        <f t="shared" si="8"/>
        <v>1.1240834441700319E-7</v>
      </c>
      <c r="O10" s="26">
        <f t="shared" si="9"/>
        <v>2.032E-3</v>
      </c>
      <c r="P10" s="26">
        <v>1.0571269522665299E-10</v>
      </c>
      <c r="Q10" s="2">
        <v>0.31</v>
      </c>
      <c r="R10" s="2">
        <f t="shared" si="10"/>
        <v>131000</v>
      </c>
      <c r="S10" s="2">
        <f t="shared" si="11"/>
        <v>129440.58219090609</v>
      </c>
      <c r="T10" s="2">
        <f t="shared" si="12"/>
        <v>129440.58219090609</v>
      </c>
      <c r="U10" s="2">
        <f t="shared" si="13"/>
        <v>5.2493374855265302E-3</v>
      </c>
      <c r="V10" s="14">
        <v>0.09</v>
      </c>
      <c r="W10" s="14">
        <f t="shared" si="14"/>
        <v>109000.00000000001</v>
      </c>
      <c r="X10" s="14">
        <f t="shared" si="15"/>
        <v>2.9079257425742582</v>
      </c>
      <c r="Y10" s="14">
        <f t="shared" si="16"/>
        <v>4.5587139863572261E-15</v>
      </c>
      <c r="Z10" s="14">
        <f t="shared" si="17"/>
        <v>2745257562.5843215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32.173267326732677</v>
      </c>
      <c r="L11" s="2">
        <f t="shared" si="6"/>
        <v>3.2173267326732675E-5</v>
      </c>
      <c r="M11" s="3">
        <f t="shared" si="7"/>
        <v>4.7762865441819992E-3</v>
      </c>
      <c r="N11" s="26">
        <f t="shared" si="8"/>
        <v>1.3556166828096191E-7</v>
      </c>
      <c r="O11" s="26">
        <f t="shared" si="9"/>
        <v>2.032E-3</v>
      </c>
      <c r="P11" s="26">
        <v>1.0571269522665299E-10</v>
      </c>
      <c r="Q11" s="2">
        <v>0.31</v>
      </c>
      <c r="R11" s="2">
        <f t="shared" si="10"/>
        <v>131000</v>
      </c>
      <c r="S11" s="2">
        <f t="shared" si="11"/>
        <v>129120.54059176997</v>
      </c>
      <c r="T11" s="2">
        <f t="shared" si="12"/>
        <v>129120.54059176997</v>
      </c>
      <c r="U11" s="2">
        <f t="shared" si="13"/>
        <v>5.2493374855265302E-3</v>
      </c>
      <c r="V11" s="14">
        <v>0.09</v>
      </c>
      <c r="W11" s="14">
        <f t="shared" si="14"/>
        <v>109000.00000000001</v>
      </c>
      <c r="X11" s="14">
        <f t="shared" si="15"/>
        <v>3.5068861386138619</v>
      </c>
      <c r="Y11" s="14">
        <f t="shared" si="16"/>
        <v>5.5113483208585341E-15</v>
      </c>
      <c r="Z11" s="14">
        <f t="shared" si="17"/>
        <v>3318933958.8210092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42.89108910891089</v>
      </c>
      <c r="L12" s="2">
        <f t="shared" si="6"/>
        <v>4.289108910891089E-5</v>
      </c>
      <c r="M12" s="3">
        <f t="shared" si="7"/>
        <v>4.7762865441819992E-3</v>
      </c>
      <c r="N12" s="26">
        <f t="shared" si="8"/>
        <v>1.8072107924084534E-7</v>
      </c>
      <c r="O12" s="26">
        <f t="shared" si="9"/>
        <v>2.032E-3</v>
      </c>
      <c r="P12" s="26">
        <v>1.0571269522665299E-10</v>
      </c>
      <c r="Q12" s="2">
        <v>0.31</v>
      </c>
      <c r="R12" s="2">
        <f t="shared" si="10"/>
        <v>131000</v>
      </c>
      <c r="S12" s="2">
        <f t="shared" si="11"/>
        <v>128497.45514837581</v>
      </c>
      <c r="T12" s="2">
        <f t="shared" si="12"/>
        <v>128497.45514837581</v>
      </c>
      <c r="U12" s="2">
        <f t="shared" si="13"/>
        <v>5.2493374855265302E-3</v>
      </c>
      <c r="V12" s="14">
        <v>0.09</v>
      </c>
      <c r="W12" s="14">
        <f t="shared" si="14"/>
        <v>109000.00000000001</v>
      </c>
      <c r="X12" s="14">
        <f t="shared" si="15"/>
        <v>4.6751287128712873</v>
      </c>
      <c r="Y12" s="14">
        <f t="shared" si="16"/>
        <v>7.3830291129089732E-15</v>
      </c>
      <c r="Z12" s="14">
        <f t="shared" si="17"/>
        <v>4446060131.7937841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50.094059405940598</v>
      </c>
      <c r="L13" s="2">
        <f t="shared" si="6"/>
        <v>5.0094059405940601E-5</v>
      </c>
      <c r="M13" s="3">
        <f t="shared" si="7"/>
        <v>4.7762865441819992E-3</v>
      </c>
      <c r="N13" s="26">
        <f t="shared" si="8"/>
        <v>2.1107070646792637E-7</v>
      </c>
      <c r="O13" s="26">
        <f t="shared" si="9"/>
        <v>2.032E-3</v>
      </c>
      <c r="P13" s="26">
        <v>1.0571269522665299E-10</v>
      </c>
      <c r="Q13" s="2">
        <v>0.31</v>
      </c>
      <c r="R13" s="2">
        <f t="shared" si="10"/>
        <v>131000</v>
      </c>
      <c r="S13" s="2">
        <f t="shared" si="11"/>
        <v>128079.55392541407</v>
      </c>
      <c r="T13" s="2">
        <f t="shared" si="12"/>
        <v>128079.55392541407</v>
      </c>
      <c r="U13" s="2">
        <f t="shared" si="13"/>
        <v>5.2493374855265302E-3</v>
      </c>
      <c r="V13" s="14">
        <v>0.09</v>
      </c>
      <c r="W13" s="14">
        <f t="shared" si="14"/>
        <v>109000.00000000001</v>
      </c>
      <c r="X13" s="14">
        <f t="shared" si="15"/>
        <v>5.4602524752475263</v>
      </c>
      <c r="Y13" s="14">
        <f t="shared" si="16"/>
        <v>8.6510967189671534E-15</v>
      </c>
      <c r="Z13" s="14">
        <f t="shared" si="17"/>
        <v>5209690444.1620197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64.004950495049499</v>
      </c>
      <c r="L14" s="2">
        <f t="shared" si="6"/>
        <v>6.4004950495049495E-5</v>
      </c>
      <c r="M14" s="3">
        <f t="shared" si="7"/>
        <v>4.7762865441819992E-3</v>
      </c>
      <c r="N14" s="26">
        <f t="shared" si="8"/>
        <v>2.6968407588929923E-7</v>
      </c>
      <c r="O14" s="26">
        <f t="shared" si="9"/>
        <v>2.032E-3</v>
      </c>
      <c r="P14" s="26">
        <v>1.0571269522665299E-10</v>
      </c>
      <c r="Q14" s="2">
        <v>0.31</v>
      </c>
      <c r="R14" s="2">
        <f t="shared" si="10"/>
        <v>131000</v>
      </c>
      <c r="S14" s="2">
        <f t="shared" si="11"/>
        <v>127274.39984696932</v>
      </c>
      <c r="T14" s="2">
        <f t="shared" si="12"/>
        <v>127274.39984696932</v>
      </c>
      <c r="U14" s="2">
        <f t="shared" si="13"/>
        <v>5.2493374855265302E-3</v>
      </c>
      <c r="V14" s="14">
        <v>0.09</v>
      </c>
      <c r="W14" s="14">
        <f t="shared" si="14"/>
        <v>109000.00000000001</v>
      </c>
      <c r="X14" s="14">
        <f t="shared" si="15"/>
        <v>6.9765396039603962</v>
      </c>
      <c r="Y14" s="14">
        <f t="shared" si="16"/>
        <v>1.1123527859885186E-14</v>
      </c>
      <c r="Z14" s="14">
        <f t="shared" si="17"/>
        <v>6698588477.2228594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61.975247524752476</v>
      </c>
      <c r="L15" s="2">
        <f t="shared" si="6"/>
        <v>6.1975247524752474E-5</v>
      </c>
      <c r="M15" s="3">
        <f t="shared" si="7"/>
        <v>4.7762865441819992E-3</v>
      </c>
      <c r="N15" s="26">
        <f t="shared" si="8"/>
        <v>2.6113194725486409E-7</v>
      </c>
      <c r="O15" s="26">
        <f t="shared" si="9"/>
        <v>2.032E-3</v>
      </c>
      <c r="P15" s="26">
        <v>1.0571269522665299E-10</v>
      </c>
      <c r="Q15" s="2">
        <v>0.31</v>
      </c>
      <c r="R15" s="2">
        <f t="shared" si="10"/>
        <v>131000</v>
      </c>
      <c r="S15" s="2">
        <f t="shared" si="11"/>
        <v>127391.71965785022</v>
      </c>
      <c r="T15" s="2">
        <f t="shared" si="12"/>
        <v>127391.71965785022</v>
      </c>
      <c r="U15" s="2">
        <f t="shared" si="13"/>
        <v>5.2493374855265302E-3</v>
      </c>
      <c r="V15" s="14">
        <v>0.09</v>
      </c>
      <c r="W15" s="14">
        <f t="shared" si="14"/>
        <v>109000.00000000001</v>
      </c>
      <c r="X15" s="14">
        <f t="shared" si="15"/>
        <v>6.7553019801980208</v>
      </c>
      <c r="Y15" s="14">
        <f t="shared" si="16"/>
        <v>1.0760843921610976E-14</v>
      </c>
      <c r="Z15" s="14">
        <f t="shared" si="17"/>
        <v>6480180209.5941305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65.886138613861391</v>
      </c>
      <c r="L16" s="2">
        <f t="shared" si="6"/>
        <v>6.5886138613861396E-5</v>
      </c>
      <c r="M16" s="3">
        <f t="shared" si="7"/>
        <v>4.7762865441819992E-3</v>
      </c>
      <c r="N16" s="26">
        <f t="shared" si="8"/>
        <v>2.7761043901389787E-7</v>
      </c>
      <c r="O16" s="26">
        <f t="shared" si="9"/>
        <v>2.032E-3</v>
      </c>
      <c r="P16" s="26">
        <v>1.0571269522665299E-10</v>
      </c>
      <c r="Q16" s="2">
        <v>0.31</v>
      </c>
      <c r="R16" s="2">
        <f t="shared" si="10"/>
        <v>131000</v>
      </c>
      <c r="S16" s="2">
        <f t="shared" si="11"/>
        <v>127165.71267218565</v>
      </c>
      <c r="T16" s="2">
        <f t="shared" si="12"/>
        <v>127165.71267218565</v>
      </c>
      <c r="U16" s="2">
        <f t="shared" si="13"/>
        <v>5.2493374855265302E-3</v>
      </c>
      <c r="V16" s="14">
        <v>0.09</v>
      </c>
      <c r="W16" s="14">
        <f t="shared" si="14"/>
        <v>109000.00000000001</v>
      </c>
      <c r="X16" s="14">
        <f t="shared" si="15"/>
        <v>7.1815891089108934</v>
      </c>
      <c r="Y16" s="14">
        <f t="shared" si="16"/>
        <v>1.1460268308203789E-14</v>
      </c>
      <c r="Z16" s="14">
        <f t="shared" si="17"/>
        <v>6901373575.2003222</v>
      </c>
    </row>
    <row r="17" spans="1:77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68.881188118811878</v>
      </c>
      <c r="L17" s="2">
        <f t="shared" si="6"/>
        <v>6.8881188118811876E-5</v>
      </c>
      <c r="M17" s="3">
        <f t="shared" si="7"/>
        <v>4.7762865441819992E-3</v>
      </c>
      <c r="N17" s="26">
        <f t="shared" si="8"/>
        <v>2.9023004346227169E-7</v>
      </c>
      <c r="O17" s="26">
        <f t="shared" si="9"/>
        <v>2.032E-3</v>
      </c>
      <c r="P17" s="26">
        <v>1.0571269522665299E-10</v>
      </c>
      <c r="Q17" s="2">
        <v>0.31</v>
      </c>
      <c r="R17" s="2">
        <f t="shared" si="10"/>
        <v>131000</v>
      </c>
      <c r="S17" s="2">
        <f t="shared" si="11"/>
        <v>126992.76704916325</v>
      </c>
      <c r="T17" s="2">
        <f t="shared" si="12"/>
        <v>126992.76704916325</v>
      </c>
      <c r="U17" s="2">
        <f t="shared" si="13"/>
        <v>5.2493374855265302E-3</v>
      </c>
      <c r="V17" s="14">
        <v>0.09</v>
      </c>
      <c r="W17" s="14">
        <f t="shared" si="14"/>
        <v>109000.00000000001</v>
      </c>
      <c r="X17" s="14">
        <f t="shared" si="15"/>
        <v>7.5080495049504954</v>
      </c>
      <c r="Y17" s="14">
        <f t="shared" si="16"/>
        <v>1.1997577187889158E-14</v>
      </c>
      <c r="Z17" s="14">
        <f t="shared" si="17"/>
        <v>7224940982.5468512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1:77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70.118811881188122</v>
      </c>
      <c r="L18" s="2">
        <f t="shared" si="6"/>
        <v>7.0118811881188128E-5</v>
      </c>
      <c r="M18" s="3">
        <f t="shared" si="7"/>
        <v>4.7762865441819992E-3</v>
      </c>
      <c r="N18" s="26">
        <f t="shared" si="8"/>
        <v>2.9544475604424439E-7</v>
      </c>
      <c r="O18" s="26">
        <f t="shared" si="9"/>
        <v>2.032E-3</v>
      </c>
      <c r="P18" s="26">
        <v>1.0571269522665299E-10</v>
      </c>
      <c r="Q18" s="2">
        <v>0.31</v>
      </c>
      <c r="R18" s="2">
        <f t="shared" si="10"/>
        <v>131000</v>
      </c>
      <c r="S18" s="2">
        <f t="shared" si="11"/>
        <v>126921.33627780492</v>
      </c>
      <c r="T18" s="2">
        <f t="shared" si="12"/>
        <v>126921.33627780492</v>
      </c>
      <c r="U18" s="2">
        <f t="shared" si="13"/>
        <v>5.2493374855265302E-3</v>
      </c>
      <c r="V18" s="14">
        <v>0.09</v>
      </c>
      <c r="W18" s="14">
        <f t="shared" si="14"/>
        <v>109000.00000000001</v>
      </c>
      <c r="X18" s="14">
        <f t="shared" si="15"/>
        <v>7.6429504950495071</v>
      </c>
      <c r="Y18" s="14">
        <f t="shared" si="16"/>
        <v>1.2220030732267449E-14</v>
      </c>
      <c r="Z18" s="14">
        <f t="shared" si="17"/>
        <v>7358902506.9714584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spans="1:77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71.10891089108911</v>
      </c>
      <c r="L19" s="2">
        <f t="shared" si="6"/>
        <v>7.1108910891089116E-5</v>
      </c>
      <c r="M19" s="3">
        <f t="shared" si="7"/>
        <v>4.7762865441819992E-3</v>
      </c>
      <c r="N19" s="26">
        <f t="shared" si="8"/>
        <v>2.9961652610982256E-7</v>
      </c>
      <c r="O19" s="26">
        <f t="shared" si="9"/>
        <v>2.032E-3</v>
      </c>
      <c r="P19" s="26">
        <v>1.0571269522665299E-10</v>
      </c>
      <c r="Q19" s="2">
        <v>0.31</v>
      </c>
      <c r="R19" s="2">
        <f t="shared" si="10"/>
        <v>131000</v>
      </c>
      <c r="S19" s="2">
        <f t="shared" si="11"/>
        <v>126864.20612898012</v>
      </c>
      <c r="T19" s="2">
        <f t="shared" si="12"/>
        <v>126864.20612898012</v>
      </c>
      <c r="U19" s="2">
        <f t="shared" si="13"/>
        <v>5.2493374855265302E-3</v>
      </c>
      <c r="V19" s="14">
        <v>0.09</v>
      </c>
      <c r="W19" s="14">
        <f t="shared" si="14"/>
        <v>109000.00000000001</v>
      </c>
      <c r="X19" s="14">
        <f t="shared" si="15"/>
        <v>7.7508712871287146</v>
      </c>
      <c r="Y19" s="14">
        <f t="shared" si="16"/>
        <v>1.2398172868669613E-14</v>
      </c>
      <c r="Z19" s="14">
        <f t="shared" si="17"/>
        <v>7466179701.5128412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spans="1:77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86.653465346534659</v>
      </c>
      <c r="L20" s="2">
        <f t="shared" si="6"/>
        <v>8.6653465346534661E-5</v>
      </c>
      <c r="M20" s="3">
        <f t="shared" si="7"/>
        <v>4.7762865441819992E-3</v>
      </c>
      <c r="N20" s="26">
        <f t="shared" si="8"/>
        <v>3.6511331613939942E-7</v>
      </c>
      <c r="O20" s="26">
        <f t="shared" si="9"/>
        <v>2.032E-3</v>
      </c>
      <c r="P20" s="26">
        <v>1.0571269522665299E-10</v>
      </c>
      <c r="Q20" s="2">
        <v>0.31</v>
      </c>
      <c r="R20" s="2">
        <f t="shared" si="10"/>
        <v>131000</v>
      </c>
      <c r="S20" s="2">
        <f t="shared" si="11"/>
        <v>125968.94876291194</v>
      </c>
      <c r="T20" s="2">
        <f t="shared" si="12"/>
        <v>125968.94876291194</v>
      </c>
      <c r="U20" s="2">
        <f t="shared" si="13"/>
        <v>5.2493374855265302E-3</v>
      </c>
      <c r="V20" s="14">
        <v>0.09</v>
      </c>
      <c r="W20" s="14">
        <f t="shared" si="14"/>
        <v>109000.00000000001</v>
      </c>
      <c r="X20" s="14">
        <f t="shared" si="15"/>
        <v>9.4452277227722785</v>
      </c>
      <c r="Y20" s="14">
        <f t="shared" si="16"/>
        <v>1.5216025492987187E-14</v>
      </c>
      <c r="Z20" s="14">
        <f t="shared" si="17"/>
        <v>9163090551.8768845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spans="1:77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75.341584158415841</v>
      </c>
      <c r="L21" s="2">
        <f t="shared" si="6"/>
        <v>7.5341584158415836E-5</v>
      </c>
      <c r="M21" s="3">
        <f t="shared" si="7"/>
        <v>4.7762865441819992E-3</v>
      </c>
      <c r="N21" s="26">
        <f t="shared" si="8"/>
        <v>3.1745084314016909E-7</v>
      </c>
      <c r="O21" s="26">
        <f t="shared" si="9"/>
        <v>2.032E-3</v>
      </c>
      <c r="P21" s="26">
        <v>1.0571269522665299E-10</v>
      </c>
      <c r="Q21" s="2">
        <v>0.31</v>
      </c>
      <c r="R21" s="2">
        <f t="shared" si="10"/>
        <v>131000</v>
      </c>
      <c r="S21" s="2">
        <f t="shared" si="11"/>
        <v>126620.11975090877</v>
      </c>
      <c r="T21" s="2">
        <f t="shared" si="12"/>
        <v>126620.11975090877</v>
      </c>
      <c r="U21" s="2">
        <f t="shared" si="13"/>
        <v>5.2493374855265302E-3</v>
      </c>
      <c r="V21" s="14">
        <v>0.09</v>
      </c>
      <c r="W21" s="14">
        <f t="shared" si="14"/>
        <v>109000.00000000001</v>
      </c>
      <c r="X21" s="14">
        <f t="shared" si="15"/>
        <v>8.2122326732673265</v>
      </c>
      <c r="Y21" s="14">
        <f t="shared" si="16"/>
        <v>1.316153151288464E-14</v>
      </c>
      <c r="Z21" s="14">
        <f t="shared" si="17"/>
        <v>7925874277.0591307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spans="1:77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76.455445544554465</v>
      </c>
      <c r="L22" s="2">
        <f t="shared" si="6"/>
        <v>7.6455445544554469E-5</v>
      </c>
      <c r="M22" s="3">
        <f t="shared" si="7"/>
        <v>4.7762865441819992E-3</v>
      </c>
      <c r="N22" s="26">
        <f t="shared" si="8"/>
        <v>3.2214408446394455E-7</v>
      </c>
      <c r="O22" s="26">
        <f t="shared" si="9"/>
        <v>2.032E-3</v>
      </c>
      <c r="P22" s="26">
        <v>1.0571269522665299E-10</v>
      </c>
      <c r="Q22" s="2">
        <v>0.31</v>
      </c>
      <c r="R22" s="2">
        <f t="shared" si="10"/>
        <v>131000</v>
      </c>
      <c r="S22" s="2">
        <f t="shared" si="11"/>
        <v>126555.92555782865</v>
      </c>
      <c r="T22" s="2">
        <f t="shared" si="12"/>
        <v>126555.92555782865</v>
      </c>
      <c r="U22" s="2">
        <f t="shared" si="13"/>
        <v>5.2493374855265302E-3</v>
      </c>
      <c r="V22" s="14">
        <v>0.09</v>
      </c>
      <c r="W22" s="14">
        <f t="shared" si="14"/>
        <v>109000.00000000001</v>
      </c>
      <c r="X22" s="14">
        <f t="shared" si="15"/>
        <v>8.3336435643564375</v>
      </c>
      <c r="Y22" s="14">
        <f t="shared" si="16"/>
        <v>1.3362901598814196E-14</v>
      </c>
      <c r="Z22" s="14">
        <f t="shared" si="17"/>
        <v>8047139342.8059092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spans="1:77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81.801980198019805</v>
      </c>
      <c r="L23" s="2">
        <f t="shared" si="6"/>
        <v>8.1801980198019809E-5</v>
      </c>
      <c r="M23" s="3">
        <f t="shared" si="7"/>
        <v>4.7762865441819992E-3</v>
      </c>
      <c r="N23" s="26">
        <f t="shared" si="8"/>
        <v>3.4467164281806654E-7</v>
      </c>
      <c r="O23" s="26">
        <f t="shared" si="9"/>
        <v>2.032E-3</v>
      </c>
      <c r="P23" s="26">
        <v>1.0571269522665299E-10</v>
      </c>
      <c r="Q23" s="2">
        <v>0.31</v>
      </c>
      <c r="R23" s="2">
        <f t="shared" si="10"/>
        <v>131000</v>
      </c>
      <c r="S23" s="2">
        <f t="shared" si="11"/>
        <v>126248.02000402519</v>
      </c>
      <c r="T23" s="2">
        <f t="shared" si="12"/>
        <v>126248.02000402519</v>
      </c>
      <c r="U23" s="2">
        <f t="shared" si="13"/>
        <v>5.2493374855265302E-3</v>
      </c>
      <c r="V23" s="14">
        <v>0.09</v>
      </c>
      <c r="W23" s="14">
        <f t="shared" si="14"/>
        <v>109000.00000000001</v>
      </c>
      <c r="X23" s="14">
        <f t="shared" si="15"/>
        <v>8.9164158415841612</v>
      </c>
      <c r="Y23" s="14">
        <f t="shared" si="16"/>
        <v>1.433230847982862E-14</v>
      </c>
      <c r="Z23" s="14">
        <f t="shared" si="17"/>
        <v>8630916166.5527954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 spans="1:77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86.10891089108911</v>
      </c>
      <c r="L24" s="2">
        <f t="shared" si="6"/>
        <v>8.6108910891089115E-5</v>
      </c>
      <c r="M24" s="3">
        <f t="shared" si="7"/>
        <v>4.7762865441819992E-3</v>
      </c>
      <c r="N24" s="26">
        <f t="shared" si="8"/>
        <v>3.6281884260333145E-7</v>
      </c>
      <c r="O24" s="26">
        <f t="shared" si="9"/>
        <v>2.032E-3</v>
      </c>
      <c r="P24" s="26">
        <v>1.0571269522665299E-10</v>
      </c>
      <c r="Q24" s="2">
        <v>0.31</v>
      </c>
      <c r="R24" s="2">
        <f t="shared" si="10"/>
        <v>131000</v>
      </c>
      <c r="S24" s="2">
        <f t="shared" si="11"/>
        <v>126000.2577013089</v>
      </c>
      <c r="T24" s="2">
        <f t="shared" si="12"/>
        <v>126000.2577013089</v>
      </c>
      <c r="U24" s="2">
        <f t="shared" si="13"/>
        <v>5.2493374855265302E-3</v>
      </c>
      <c r="V24" s="14">
        <v>0.09</v>
      </c>
      <c r="W24" s="14">
        <f t="shared" si="14"/>
        <v>109000.00000000001</v>
      </c>
      <c r="X24" s="14">
        <f t="shared" si="15"/>
        <v>9.3858712871287153</v>
      </c>
      <c r="Y24" s="14">
        <f t="shared" si="16"/>
        <v>1.5116639191944931E-14</v>
      </c>
      <c r="Z24" s="14">
        <f t="shared" si="17"/>
        <v>9103240121.3892384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spans="1:77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84.648514851485146</v>
      </c>
      <c r="L25" s="2">
        <f t="shared" si="6"/>
        <v>8.4648514851485142E-5</v>
      </c>
      <c r="M25" s="3">
        <f t="shared" si="7"/>
        <v>4.7762865441819992E-3</v>
      </c>
      <c r="N25" s="26">
        <f t="shared" si="8"/>
        <v>3.5666548175660365E-7</v>
      </c>
      <c r="O25" s="26">
        <f t="shared" si="9"/>
        <v>2.032E-3</v>
      </c>
      <c r="P25" s="26">
        <v>1.0571269522665299E-10</v>
      </c>
      <c r="Q25" s="2">
        <v>0.31</v>
      </c>
      <c r="R25" s="2">
        <f t="shared" si="10"/>
        <v>131000</v>
      </c>
      <c r="S25" s="2">
        <f t="shared" si="11"/>
        <v>126084.24178817295</v>
      </c>
      <c r="T25" s="2">
        <f t="shared" si="12"/>
        <v>126084.24178817295</v>
      </c>
      <c r="U25" s="2">
        <f t="shared" si="13"/>
        <v>5.2493374855265302E-3</v>
      </c>
      <c r="V25" s="14">
        <v>0.09</v>
      </c>
      <c r="W25" s="14">
        <f t="shared" si="14"/>
        <v>109000.00000000001</v>
      </c>
      <c r="X25" s="14">
        <f t="shared" si="15"/>
        <v>9.2266881188118823</v>
      </c>
      <c r="Y25" s="14">
        <f t="shared" si="16"/>
        <v>1.4850345103607403E-14</v>
      </c>
      <c r="Z25" s="14">
        <f t="shared" si="17"/>
        <v>8942877821.3923779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 spans="1:77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84.450495049504951</v>
      </c>
      <c r="L26" s="2">
        <f t="shared" si="6"/>
        <v>8.4450495049504949E-5</v>
      </c>
      <c r="M26" s="3">
        <f t="shared" si="7"/>
        <v>4.7762865441819992E-3</v>
      </c>
      <c r="N26" s="26">
        <f t="shared" si="8"/>
        <v>3.5583112774348803E-7</v>
      </c>
      <c r="O26" s="26">
        <f t="shared" si="9"/>
        <v>2.032E-3</v>
      </c>
      <c r="P26" s="26">
        <v>1.0571269522665299E-10</v>
      </c>
      <c r="Q26" s="2">
        <v>0.31</v>
      </c>
      <c r="R26" s="2">
        <f t="shared" si="10"/>
        <v>131000</v>
      </c>
      <c r="S26" s="2">
        <f t="shared" si="11"/>
        <v>126095.63161513153</v>
      </c>
      <c r="T26" s="2">
        <f t="shared" si="12"/>
        <v>126095.63161513153</v>
      </c>
      <c r="U26" s="2">
        <f t="shared" si="13"/>
        <v>5.2493374855265302E-3</v>
      </c>
      <c r="V26" s="14">
        <v>0.09</v>
      </c>
      <c r="W26" s="14">
        <f t="shared" si="14"/>
        <v>109000.00000000001</v>
      </c>
      <c r="X26" s="14">
        <f t="shared" si="15"/>
        <v>9.2051039603960412</v>
      </c>
      <c r="Y26" s="14">
        <f t="shared" si="16"/>
        <v>1.4814264541120758E-14</v>
      </c>
      <c r="Z26" s="14">
        <f t="shared" si="17"/>
        <v>8921150106.66292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spans="1:77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91.133663366336634</v>
      </c>
      <c r="L27" s="2">
        <f t="shared" si="6"/>
        <v>9.113366336633663E-5</v>
      </c>
      <c r="M27" s="3">
        <f t="shared" si="7"/>
        <v>4.7762865441819992E-3</v>
      </c>
      <c r="N27" s="26">
        <f t="shared" si="8"/>
        <v>3.8399057568614053E-7</v>
      </c>
      <c r="O27" s="26">
        <f t="shared" si="9"/>
        <v>2.032E-3</v>
      </c>
      <c r="P27" s="26">
        <v>1.0571269522665299E-10</v>
      </c>
      <c r="Q27" s="2">
        <v>0.31</v>
      </c>
      <c r="R27" s="2">
        <f t="shared" si="10"/>
        <v>131000</v>
      </c>
      <c r="S27" s="2">
        <f t="shared" si="11"/>
        <v>125711.509256626</v>
      </c>
      <c r="T27" s="2">
        <f t="shared" si="12"/>
        <v>125711.509256626</v>
      </c>
      <c r="U27" s="2">
        <f t="shared" si="13"/>
        <v>5.2493374855265302E-3</v>
      </c>
      <c r="V27" s="14">
        <v>0.09</v>
      </c>
      <c r="W27" s="14">
        <f t="shared" si="14"/>
        <v>109000.00000000001</v>
      </c>
      <c r="X27" s="14">
        <f t="shared" si="15"/>
        <v>9.9335693069306945</v>
      </c>
      <c r="Y27" s="14">
        <f t="shared" si="16"/>
        <v>1.6035567669033726E-14</v>
      </c>
      <c r="Z27" s="14">
        <f t="shared" si="17"/>
        <v>9656618850.2921104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spans="1:77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89.821782178217831</v>
      </c>
      <c r="L28" s="2">
        <f t="shared" si="6"/>
        <v>8.9821782178217831E-5</v>
      </c>
      <c r="M28" s="3">
        <f t="shared" si="7"/>
        <v>4.7762865441819992E-3</v>
      </c>
      <c r="N28" s="26">
        <f t="shared" si="8"/>
        <v>3.784629803492495E-7</v>
      </c>
      <c r="O28" s="26">
        <f t="shared" si="9"/>
        <v>2.032E-3</v>
      </c>
      <c r="P28" s="26">
        <v>1.0571269522665299E-10</v>
      </c>
      <c r="Q28" s="2">
        <v>0.31</v>
      </c>
      <c r="R28" s="2">
        <f t="shared" si="10"/>
        <v>131000</v>
      </c>
      <c r="S28" s="2">
        <f t="shared" si="11"/>
        <v>125786.86483084747</v>
      </c>
      <c r="T28" s="2">
        <f t="shared" si="12"/>
        <v>125786.86483084747</v>
      </c>
      <c r="U28" s="2">
        <f t="shared" si="13"/>
        <v>5.2493374855265302E-3</v>
      </c>
      <c r="V28" s="14">
        <v>0.09</v>
      </c>
      <c r="W28" s="14">
        <f t="shared" si="14"/>
        <v>109000.00000000001</v>
      </c>
      <c r="X28" s="14">
        <f t="shared" si="15"/>
        <v>9.7905742574257442</v>
      </c>
      <c r="Y28" s="14">
        <f t="shared" si="16"/>
        <v>1.5795246640723278E-14</v>
      </c>
      <c r="Z28" s="14">
        <f t="shared" si="17"/>
        <v>9511897527.0435581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spans="1:77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86.777227722772281</v>
      </c>
      <c r="L29" s="2">
        <f t="shared" si="6"/>
        <v>8.6777227722772279E-5</v>
      </c>
      <c r="M29" s="3">
        <f t="shared" si="7"/>
        <v>4.7762865441819992E-3</v>
      </c>
      <c r="N29" s="26">
        <f t="shared" si="8"/>
        <v>3.6563478739759671E-7</v>
      </c>
      <c r="O29" s="26">
        <f t="shared" si="9"/>
        <v>2.032E-3</v>
      </c>
      <c r="P29" s="26">
        <v>1.0571269522665299E-10</v>
      </c>
      <c r="Q29" s="2">
        <v>0.31</v>
      </c>
      <c r="R29" s="2">
        <f t="shared" si="10"/>
        <v>131000</v>
      </c>
      <c r="S29" s="2">
        <f t="shared" si="11"/>
        <v>125961.83363765426</v>
      </c>
      <c r="T29" s="2">
        <f t="shared" si="12"/>
        <v>125961.83363765426</v>
      </c>
      <c r="U29" s="2">
        <f t="shared" si="13"/>
        <v>5.2493374855265302E-3</v>
      </c>
      <c r="V29" s="14">
        <v>0.09</v>
      </c>
      <c r="W29" s="14">
        <f t="shared" si="14"/>
        <v>109000.00000000001</v>
      </c>
      <c r="X29" s="14">
        <f t="shared" si="15"/>
        <v>9.4587178217821801</v>
      </c>
      <c r="Y29" s="14">
        <f t="shared" si="16"/>
        <v>1.5238620127015232E-14</v>
      </c>
      <c r="Z29" s="14">
        <f t="shared" si="17"/>
        <v>9176697040.4885731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 spans="1:77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87.569306930693074</v>
      </c>
      <c r="L30" s="2">
        <f t="shared" si="6"/>
        <v>8.7569306930693075E-5</v>
      </c>
      <c r="M30" s="3">
        <f t="shared" si="7"/>
        <v>4.7762865441819992E-3</v>
      </c>
      <c r="N30" s="26">
        <f t="shared" si="8"/>
        <v>3.689722034500592E-7</v>
      </c>
      <c r="O30" s="26">
        <f t="shared" si="9"/>
        <v>2.032E-3</v>
      </c>
      <c r="P30" s="26">
        <v>1.0571269522665299E-10</v>
      </c>
      <c r="Q30" s="2">
        <v>0.31</v>
      </c>
      <c r="R30" s="2">
        <f t="shared" si="10"/>
        <v>131000</v>
      </c>
      <c r="S30" s="2">
        <f t="shared" si="11"/>
        <v>125916.30159445571</v>
      </c>
      <c r="T30" s="2">
        <f t="shared" si="12"/>
        <v>125916.30159445571</v>
      </c>
      <c r="U30" s="2">
        <f t="shared" si="13"/>
        <v>5.2493374855265302E-3</v>
      </c>
      <c r="V30" s="14">
        <v>0.09</v>
      </c>
      <c r="W30" s="14">
        <f t="shared" si="14"/>
        <v>109000.00000000001</v>
      </c>
      <c r="X30" s="14">
        <f t="shared" si="15"/>
        <v>9.5450544554455465</v>
      </c>
      <c r="Y30" s="14">
        <f t="shared" si="16"/>
        <v>1.5383285789530934E-14</v>
      </c>
      <c r="Z30" s="14">
        <f t="shared" si="17"/>
        <v>9263814702.4555283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 spans="1:77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86.009900990099013</v>
      </c>
      <c r="L31" s="2">
        <f t="shared" si="6"/>
        <v>8.6009900990099012E-5</v>
      </c>
      <c r="M31" s="3">
        <f t="shared" si="7"/>
        <v>4.7762865441819992E-3</v>
      </c>
      <c r="N31" s="26">
        <f t="shared" si="8"/>
        <v>3.6240166559677364E-7</v>
      </c>
      <c r="O31" s="26">
        <f t="shared" si="9"/>
        <v>2.032E-3</v>
      </c>
      <c r="P31" s="26">
        <v>1.0571269522665299E-10</v>
      </c>
      <c r="Q31" s="2">
        <v>0.31</v>
      </c>
      <c r="R31" s="2">
        <f t="shared" si="10"/>
        <v>131000</v>
      </c>
      <c r="S31" s="2">
        <f t="shared" si="11"/>
        <v>126005.95065353489</v>
      </c>
      <c r="T31" s="2">
        <f t="shared" si="12"/>
        <v>126005.95065353489</v>
      </c>
      <c r="U31" s="2">
        <f t="shared" si="13"/>
        <v>5.2493374855265302E-3</v>
      </c>
      <c r="V31" s="14">
        <v>0.09</v>
      </c>
      <c r="W31" s="14">
        <f t="shared" si="14"/>
        <v>109000.00000000001</v>
      </c>
      <c r="X31" s="14">
        <f t="shared" si="15"/>
        <v>9.375079207920793</v>
      </c>
      <c r="Y31" s="14">
        <f t="shared" si="16"/>
        <v>1.5098574222060209E-14</v>
      </c>
      <c r="Z31" s="14">
        <f t="shared" si="17"/>
        <v>9092361396.5246582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spans="1:77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90.811881188118818</v>
      </c>
      <c r="L32" s="2">
        <f t="shared" si="6"/>
        <v>9.081188118811882E-5</v>
      </c>
      <c r="M32" s="3">
        <f t="shared" si="7"/>
        <v>4.7762865441819992E-3</v>
      </c>
      <c r="N32" s="26">
        <f t="shared" si="8"/>
        <v>3.8263475041482767E-7</v>
      </c>
      <c r="O32" s="26">
        <f t="shared" si="9"/>
        <v>2.032E-3</v>
      </c>
      <c r="P32" s="26">
        <v>1.0571269522665299E-10</v>
      </c>
      <c r="Q32" s="2">
        <v>0.31</v>
      </c>
      <c r="R32" s="2">
        <f t="shared" si="10"/>
        <v>131000</v>
      </c>
      <c r="S32" s="2">
        <f t="shared" si="11"/>
        <v>125729.99060949951</v>
      </c>
      <c r="T32" s="2">
        <f t="shared" si="12"/>
        <v>125729.99060949951</v>
      </c>
      <c r="U32" s="2">
        <f t="shared" si="13"/>
        <v>5.2493374855265302E-3</v>
      </c>
      <c r="V32" s="14">
        <v>0.09</v>
      </c>
      <c r="W32" s="14">
        <f t="shared" si="14"/>
        <v>109000.00000000001</v>
      </c>
      <c r="X32" s="14">
        <f t="shared" si="15"/>
        <v>9.8984950495049535</v>
      </c>
      <c r="Y32" s="14">
        <f t="shared" si="16"/>
        <v>1.5976594550926051E-14</v>
      </c>
      <c r="Z32" s="14">
        <f t="shared" si="17"/>
        <v>9621105238.5676689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spans="1:77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0">
        <v>93.06435643564356</v>
      </c>
      <c r="L33" s="2">
        <f t="shared" si="6"/>
        <v>9.3064356435643562E-5</v>
      </c>
      <c r="M33" s="3">
        <f t="shared" si="7"/>
        <v>4.7762865441819992E-3</v>
      </c>
      <c r="N33" s="26">
        <f t="shared" si="8"/>
        <v>3.9212552731401791E-7</v>
      </c>
      <c r="O33" s="26">
        <f t="shared" si="9"/>
        <v>2.032E-3</v>
      </c>
      <c r="P33" s="26">
        <v>1.0571269522665299E-10</v>
      </c>
      <c r="Q33" s="2">
        <v>0.31</v>
      </c>
      <c r="R33" s="2">
        <f t="shared" si="10"/>
        <v>131000</v>
      </c>
      <c r="S33" s="2">
        <f t="shared" si="11"/>
        <v>125600.64966597453</v>
      </c>
      <c r="T33" s="2">
        <f t="shared" si="12"/>
        <v>125600.64966597453</v>
      </c>
      <c r="U33" s="2">
        <f t="shared" si="13"/>
        <v>5.2493374855265302E-3</v>
      </c>
      <c r="V33" s="14">
        <v>0.09</v>
      </c>
      <c r="W33" s="14">
        <f t="shared" si="14"/>
        <v>109000.00000000001</v>
      </c>
      <c r="X33" s="14">
        <f t="shared" si="15"/>
        <v>10.144014851485149</v>
      </c>
      <c r="Y33" s="14">
        <f t="shared" si="16"/>
        <v>1.6389767832286175E-14</v>
      </c>
      <c r="Z33" s="14">
        <f t="shared" si="17"/>
        <v>9869918188.6027355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 spans="1:77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0">
        <v>93.361386138613867</v>
      </c>
      <c r="L34" s="2">
        <f t="shared" si="6"/>
        <v>9.3361386138613871E-5</v>
      </c>
      <c r="M34" s="3">
        <f t="shared" si="7"/>
        <v>4.7762865441819992E-3</v>
      </c>
      <c r="N34" s="26">
        <f t="shared" si="8"/>
        <v>3.9337705833369134E-7</v>
      </c>
      <c r="O34" s="26">
        <f t="shared" si="9"/>
        <v>2.032E-3</v>
      </c>
      <c r="P34" s="26">
        <v>1.0571269522665299E-10</v>
      </c>
      <c r="Q34" s="2">
        <v>0.31</v>
      </c>
      <c r="R34" s="2">
        <f t="shared" si="10"/>
        <v>131000</v>
      </c>
      <c r="S34" s="2">
        <f t="shared" si="11"/>
        <v>125583.59868481441</v>
      </c>
      <c r="T34" s="2">
        <f t="shared" si="12"/>
        <v>125583.59868481441</v>
      </c>
      <c r="U34" s="2">
        <f t="shared" si="13"/>
        <v>5.2493374855265302E-3</v>
      </c>
      <c r="V34" s="14">
        <v>0.09</v>
      </c>
      <c r="W34" s="14">
        <f t="shared" si="14"/>
        <v>109000.00000000001</v>
      </c>
      <c r="X34" s="14">
        <f t="shared" si="15"/>
        <v>10.176391089108913</v>
      </c>
      <c r="Y34" s="14">
        <f t="shared" si="16"/>
        <v>1.6444315210483718E-14</v>
      </c>
      <c r="Z34" s="14">
        <f t="shared" si="17"/>
        <v>9902766619.7532959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spans="1:77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5">
        <v>98.163366336633672</v>
      </c>
      <c r="L35" s="2">
        <f t="shared" si="6"/>
        <v>9.8163366336633678E-5</v>
      </c>
      <c r="M35" s="3">
        <f t="shared" si="7"/>
        <v>4.7762865441819992E-3</v>
      </c>
      <c r="N35" s="52">
        <f t="shared" si="8"/>
        <v>4.1361014315174547E-7</v>
      </c>
      <c r="O35" s="26">
        <f t="shared" si="9"/>
        <v>2.032E-3</v>
      </c>
      <c r="P35" s="26">
        <v>1.0571269522665299E-10</v>
      </c>
      <c r="Q35" s="2">
        <v>0.31</v>
      </c>
      <c r="R35" s="2">
        <f t="shared" si="10"/>
        <v>131000</v>
      </c>
      <c r="S35" s="2">
        <f t="shared" si="11"/>
        <v>125308.10176984186</v>
      </c>
      <c r="T35" s="2">
        <f t="shared" si="12"/>
        <v>125308.10176984186</v>
      </c>
      <c r="U35" s="2">
        <f t="shared" si="13"/>
        <v>5.2493374855265302E-3</v>
      </c>
      <c r="V35" s="14">
        <v>0.09</v>
      </c>
      <c r="W35" s="14">
        <f t="shared" si="14"/>
        <v>109000.00000000001</v>
      </c>
      <c r="X35" s="14">
        <f t="shared" si="15"/>
        <v>10.699806930693072</v>
      </c>
      <c r="Y35" s="16">
        <f t="shared" si="16"/>
        <v>1.7328206290208111E-14</v>
      </c>
      <c r="Z35" s="16">
        <f t="shared" si="17"/>
        <v>10435045827.963326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 spans="1:77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5">
        <v>95.292079207920793</v>
      </c>
      <c r="L36" s="2">
        <f t="shared" si="6"/>
        <v>9.5292079207920789E-5</v>
      </c>
      <c r="M36" s="3">
        <f t="shared" si="7"/>
        <v>4.7762865441819992E-3</v>
      </c>
      <c r="N36" s="52">
        <f t="shared" si="8"/>
        <v>4.0151200996156872E-7</v>
      </c>
      <c r="O36" s="26">
        <f t="shared" si="9"/>
        <v>2.032E-3</v>
      </c>
      <c r="P36" s="26">
        <v>1.0571269522665299E-10</v>
      </c>
      <c r="Q36" s="2">
        <v>0.31</v>
      </c>
      <c r="R36" s="2">
        <f t="shared" si="10"/>
        <v>131000</v>
      </c>
      <c r="S36" s="2">
        <f t="shared" si="11"/>
        <v>125472.79552038429</v>
      </c>
      <c r="T36" s="2">
        <f t="shared" si="12"/>
        <v>125472.79552038429</v>
      </c>
      <c r="U36" s="2">
        <f t="shared" si="13"/>
        <v>5.2493374855265302E-3</v>
      </c>
      <c r="V36" s="14">
        <v>0.09</v>
      </c>
      <c r="W36" s="14">
        <f t="shared" si="14"/>
        <v>109000.00000000001</v>
      </c>
      <c r="X36" s="14">
        <f t="shared" si="15"/>
        <v>10.386836633663368</v>
      </c>
      <c r="Y36" s="16">
        <f t="shared" si="16"/>
        <v>1.6799231474131116E-14</v>
      </c>
      <c r="Z36" s="16">
        <f t="shared" si="17"/>
        <v>10116497193.721758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spans="1:77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5">
        <v>91.579207920792086</v>
      </c>
      <c r="L37" s="2">
        <f t="shared" si="6"/>
        <v>9.1579207920792086E-5</v>
      </c>
      <c r="M37" s="3">
        <f t="shared" si="7"/>
        <v>4.7762865441819992E-3</v>
      </c>
      <c r="N37" s="52">
        <f t="shared" si="8"/>
        <v>3.8586787221565073E-7</v>
      </c>
      <c r="O37" s="26">
        <f t="shared" si="9"/>
        <v>2.032E-3</v>
      </c>
      <c r="P37" s="26">
        <v>1.0571269522665299E-10</v>
      </c>
      <c r="Q37" s="2">
        <v>0.31</v>
      </c>
      <c r="R37" s="2">
        <f t="shared" si="10"/>
        <v>131000</v>
      </c>
      <c r="S37" s="2">
        <f t="shared" si="11"/>
        <v>125685.9219336894</v>
      </c>
      <c r="T37" s="2">
        <f t="shared" si="12"/>
        <v>125685.9219336894</v>
      </c>
      <c r="U37" s="2">
        <f t="shared" si="13"/>
        <v>5.2493374855265302E-3</v>
      </c>
      <c r="V37" s="14">
        <v>0.09</v>
      </c>
      <c r="W37" s="14">
        <f t="shared" si="14"/>
        <v>109000.00000000001</v>
      </c>
      <c r="X37" s="14">
        <f t="shared" si="15"/>
        <v>9.9821336633663389</v>
      </c>
      <c r="Y37" s="16">
        <f t="shared" si="16"/>
        <v>1.6117251156466441E-14</v>
      </c>
      <c r="Z37" s="16">
        <f t="shared" si="17"/>
        <v>9705808646.4240913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</row>
    <row r="38" spans="1:77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5">
        <v>88.237623762376245</v>
      </c>
      <c r="L38" s="2">
        <f t="shared" si="6"/>
        <v>8.8237623762376239E-5</v>
      </c>
      <c r="M38" s="3">
        <f t="shared" si="7"/>
        <v>4.7762865441819992E-3</v>
      </c>
      <c r="N38" s="52">
        <f t="shared" si="8"/>
        <v>3.7178814824432446E-7</v>
      </c>
      <c r="O38" s="26">
        <f t="shared" si="9"/>
        <v>2.032E-3</v>
      </c>
      <c r="P38" s="26">
        <v>1.0571269522665299E-10</v>
      </c>
      <c r="Q38" s="2">
        <v>0.31</v>
      </c>
      <c r="R38" s="2">
        <f t="shared" si="10"/>
        <v>131000</v>
      </c>
      <c r="S38" s="2">
        <f t="shared" si="11"/>
        <v>125877.89033521283</v>
      </c>
      <c r="T38" s="2">
        <f t="shared" si="12"/>
        <v>125877.89033521283</v>
      </c>
      <c r="U38" s="2">
        <f t="shared" si="13"/>
        <v>5.2493374855265302E-3</v>
      </c>
      <c r="V38" s="14">
        <v>0.09</v>
      </c>
      <c r="W38" s="14">
        <f t="shared" si="14"/>
        <v>109000.00000000001</v>
      </c>
      <c r="X38" s="14">
        <f t="shared" si="15"/>
        <v>9.6179009900990113</v>
      </c>
      <c r="Y38" s="16">
        <f t="shared" si="16"/>
        <v>1.5505428218801778E-14</v>
      </c>
      <c r="Z38" s="16">
        <f t="shared" si="17"/>
        <v>9337368873.3624306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 spans="1:77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5">
        <v>98.138613861386133</v>
      </c>
      <c r="L39" s="2">
        <f t="shared" si="6"/>
        <v>9.8138613861386135E-5</v>
      </c>
      <c r="M39" s="3">
        <f t="shared" si="7"/>
        <v>4.7762865441819992E-3</v>
      </c>
      <c r="N39" s="52">
        <f t="shared" si="8"/>
        <v>4.1350584890010589E-7</v>
      </c>
      <c r="O39" s="26">
        <f t="shared" si="9"/>
        <v>2.032E-3</v>
      </c>
      <c r="P39" s="26">
        <v>1.0571269522665299E-10</v>
      </c>
      <c r="Q39" s="2">
        <v>0.31</v>
      </c>
      <c r="R39" s="2">
        <f t="shared" si="10"/>
        <v>131000</v>
      </c>
      <c r="S39" s="2">
        <f t="shared" si="11"/>
        <v>125309.52108137288</v>
      </c>
      <c r="T39" s="2">
        <f t="shared" si="12"/>
        <v>125309.52108137288</v>
      </c>
      <c r="U39" s="2">
        <f t="shared" si="13"/>
        <v>5.2493374855265302E-3</v>
      </c>
      <c r="V39" s="14">
        <v>0.09</v>
      </c>
      <c r="W39" s="14">
        <f t="shared" si="14"/>
        <v>109000.00000000001</v>
      </c>
      <c r="X39" s="14">
        <f t="shared" si="15"/>
        <v>10.697108910891091</v>
      </c>
      <c r="Y39" s="16">
        <f t="shared" si="16"/>
        <v>1.7323640272895566E-14</v>
      </c>
      <c r="Z39" s="16">
        <f t="shared" si="17"/>
        <v>10432296172.337709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</row>
    <row r="40" spans="1:77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5">
        <v>100.66336633663369</v>
      </c>
      <c r="L40" s="2">
        <f t="shared" si="6"/>
        <v>1.0066336633663368E-4</v>
      </c>
      <c r="M40" s="3">
        <f t="shared" si="7"/>
        <v>4.7762865441819992E-3</v>
      </c>
      <c r="N40" s="52">
        <f t="shared" si="8"/>
        <v>4.2414386256733025E-7</v>
      </c>
      <c r="O40" s="26">
        <f t="shared" si="9"/>
        <v>2.032E-3</v>
      </c>
      <c r="P40" s="26">
        <v>1.0571269522665299E-10</v>
      </c>
      <c r="Q40" s="2">
        <v>0.31</v>
      </c>
      <c r="R40" s="2">
        <f t="shared" si="10"/>
        <v>131000</v>
      </c>
      <c r="S40" s="2">
        <f t="shared" si="11"/>
        <v>125164.79270855516</v>
      </c>
      <c r="T40" s="2">
        <f t="shared" si="12"/>
        <v>125164.79270855516</v>
      </c>
      <c r="U40" s="2">
        <f t="shared" si="13"/>
        <v>5.2493374855265302E-3</v>
      </c>
      <c r="V40" s="14">
        <v>0.09</v>
      </c>
      <c r="W40" s="14">
        <f t="shared" si="14"/>
        <v>109000.00000000001</v>
      </c>
      <c r="X40" s="14">
        <f t="shared" si="15"/>
        <v>10.972306930693073</v>
      </c>
      <c r="Y40" s="16">
        <f t="shared" si="16"/>
        <v>1.7789902616522926E-14</v>
      </c>
      <c r="Z40" s="16">
        <f t="shared" si="17"/>
        <v>10713079355.670107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spans="1:77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5">
        <v>91.579207920792086</v>
      </c>
      <c r="L41" s="2">
        <f t="shared" si="6"/>
        <v>9.1579207920792086E-5</v>
      </c>
      <c r="M41" s="3">
        <f t="shared" si="7"/>
        <v>4.7762865441819992E-3</v>
      </c>
      <c r="N41" s="52">
        <f t="shared" si="8"/>
        <v>3.8586787221565073E-7</v>
      </c>
      <c r="O41" s="26">
        <f t="shared" si="9"/>
        <v>2.032E-3</v>
      </c>
      <c r="P41" s="26">
        <v>1.0571269522665299E-10</v>
      </c>
      <c r="Q41" s="2">
        <v>0.31</v>
      </c>
      <c r="R41" s="2">
        <f t="shared" si="10"/>
        <v>131000</v>
      </c>
      <c r="S41" s="2">
        <f t="shared" si="11"/>
        <v>125685.9219336894</v>
      </c>
      <c r="T41" s="2">
        <f t="shared" si="12"/>
        <v>125685.9219336894</v>
      </c>
      <c r="U41" s="2">
        <f t="shared" si="13"/>
        <v>5.2493374855265302E-3</v>
      </c>
      <c r="V41" s="14">
        <v>0.09</v>
      </c>
      <c r="W41" s="14">
        <f t="shared" si="14"/>
        <v>109000.00000000001</v>
      </c>
      <c r="X41" s="14">
        <f t="shared" si="15"/>
        <v>9.9821336633663389</v>
      </c>
      <c r="Y41" s="16">
        <f t="shared" si="16"/>
        <v>1.6117251156466441E-14</v>
      </c>
      <c r="Z41" s="16">
        <f t="shared" si="17"/>
        <v>9705808646.4240913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spans="1:77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5">
        <v>88.43564356435644</v>
      </c>
      <c r="L42" s="2">
        <f t="shared" si="6"/>
        <v>8.8435643564356445E-5</v>
      </c>
      <c r="M42" s="3">
        <f t="shared" si="7"/>
        <v>4.7762865441819992E-3</v>
      </c>
      <c r="N42" s="52">
        <f t="shared" si="8"/>
        <v>3.7262250225744013E-7</v>
      </c>
      <c r="O42" s="26">
        <f t="shared" si="9"/>
        <v>2.032E-3</v>
      </c>
      <c r="P42" s="26">
        <v>1.0571269522665299E-10</v>
      </c>
      <c r="Q42" s="2">
        <v>0.31</v>
      </c>
      <c r="R42" s="2">
        <f t="shared" si="10"/>
        <v>131000</v>
      </c>
      <c r="S42" s="2">
        <f t="shared" si="11"/>
        <v>125866.51034667237</v>
      </c>
      <c r="T42" s="2">
        <f t="shared" si="12"/>
        <v>125866.51034667237</v>
      </c>
      <c r="U42" s="2">
        <f t="shared" si="13"/>
        <v>5.2493374855265302E-3</v>
      </c>
      <c r="V42" s="14">
        <v>0.09</v>
      </c>
      <c r="W42" s="14">
        <f t="shared" si="14"/>
        <v>109000.00000000001</v>
      </c>
      <c r="X42" s="14">
        <f t="shared" si="15"/>
        <v>9.6394851485148543</v>
      </c>
      <c r="Y42" s="16">
        <f t="shared" si="16"/>
        <v>1.5541632774287071E-14</v>
      </c>
      <c r="Z42" s="16">
        <f t="shared" si="17"/>
        <v>9359171256.6756744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spans="1:77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5">
        <v>94.32673267326733</v>
      </c>
      <c r="L43" s="2">
        <f t="shared" si="6"/>
        <v>9.432673267326733E-5</v>
      </c>
      <c r="M43" s="3">
        <f t="shared" si="7"/>
        <v>4.7762865441819992E-3</v>
      </c>
      <c r="N43" s="52">
        <f t="shared" si="8"/>
        <v>3.9744453414763009E-7</v>
      </c>
      <c r="O43" s="26">
        <f t="shared" si="9"/>
        <v>2.032E-3</v>
      </c>
      <c r="P43" s="26">
        <v>1.0571269522665299E-10</v>
      </c>
      <c r="Q43" s="2">
        <v>0.31</v>
      </c>
      <c r="R43" s="2">
        <f t="shared" si="10"/>
        <v>131000</v>
      </c>
      <c r="S43" s="2">
        <f t="shared" si="11"/>
        <v>125528.1909897587</v>
      </c>
      <c r="T43" s="2">
        <f t="shared" si="12"/>
        <v>125528.1909897587</v>
      </c>
      <c r="U43" s="2">
        <f t="shared" si="13"/>
        <v>5.2493374855265302E-3</v>
      </c>
      <c r="V43" s="14">
        <v>0.09</v>
      </c>
      <c r="W43" s="14">
        <f t="shared" si="14"/>
        <v>109000.00000000001</v>
      </c>
      <c r="X43" s="14">
        <f t="shared" si="15"/>
        <v>10.281613861386141</v>
      </c>
      <c r="Y43" s="16">
        <f t="shared" si="16"/>
        <v>1.6621695675879471E-14</v>
      </c>
      <c r="Z43" s="16">
        <f t="shared" si="17"/>
        <v>10009585136.014618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spans="1:77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5">
        <v>101.72772277227725</v>
      </c>
      <c r="L44" s="2">
        <f t="shared" si="6"/>
        <v>1.0172772277227725E-4</v>
      </c>
      <c r="M44" s="3">
        <f t="shared" si="7"/>
        <v>4.7762865441819992E-3</v>
      </c>
      <c r="N44" s="52">
        <f t="shared" si="8"/>
        <v>4.286285153878268E-7</v>
      </c>
      <c r="O44" s="26">
        <f t="shared" si="9"/>
        <v>2.032E-3</v>
      </c>
      <c r="P44" s="26">
        <v>1.0571269522665299E-10</v>
      </c>
      <c r="Q44" s="2">
        <v>0.31</v>
      </c>
      <c r="R44" s="2">
        <f t="shared" si="10"/>
        <v>131000</v>
      </c>
      <c r="S44" s="2">
        <f t="shared" si="11"/>
        <v>125103.80482529898</v>
      </c>
      <c r="T44" s="2">
        <f t="shared" si="12"/>
        <v>125103.80482529898</v>
      </c>
      <c r="U44" s="2">
        <f t="shared" si="13"/>
        <v>5.2493374855265302E-3</v>
      </c>
      <c r="V44" s="14">
        <v>0.09</v>
      </c>
      <c r="W44" s="14">
        <f t="shared" si="14"/>
        <v>109000.00000000001</v>
      </c>
      <c r="X44" s="14">
        <f t="shared" si="15"/>
        <v>11.088321782178221</v>
      </c>
      <c r="Y44" s="16">
        <f t="shared" si="16"/>
        <v>1.7986784491386825E-14</v>
      </c>
      <c r="Z44" s="16">
        <f t="shared" si="17"/>
        <v>10831641620.713146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spans="1:77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5">
        <v>102.12376237623765</v>
      </c>
      <c r="L45" s="2">
        <f t="shared" si="6"/>
        <v>1.0212376237623764E-4</v>
      </c>
      <c r="M45" s="3">
        <f t="shared" si="7"/>
        <v>4.7762865441819992E-3</v>
      </c>
      <c r="N45" s="52">
        <f t="shared" si="8"/>
        <v>4.3029722341405805E-7</v>
      </c>
      <c r="O45" s="26">
        <f t="shared" si="9"/>
        <v>2.032E-3</v>
      </c>
      <c r="P45" s="26">
        <v>1.0571269522665299E-10</v>
      </c>
      <c r="Q45" s="2">
        <v>0.31</v>
      </c>
      <c r="R45" s="2">
        <f t="shared" si="10"/>
        <v>131000</v>
      </c>
      <c r="S45" s="2">
        <f t="shared" si="11"/>
        <v>125081.11545333597</v>
      </c>
      <c r="T45" s="2">
        <f t="shared" si="12"/>
        <v>125081.11545333597</v>
      </c>
      <c r="U45" s="2">
        <f t="shared" si="13"/>
        <v>5.2493374855265302E-3</v>
      </c>
      <c r="V45" s="14">
        <v>0.09</v>
      </c>
      <c r="W45" s="14">
        <f t="shared" si="14"/>
        <v>109000.00000000001</v>
      </c>
      <c r="X45" s="14">
        <f t="shared" si="15"/>
        <v>11.131490099009905</v>
      </c>
      <c r="Y45" s="16">
        <f t="shared" si="16"/>
        <v>1.8060091424088956E-14</v>
      </c>
      <c r="Z45" s="16">
        <f t="shared" si="17"/>
        <v>10875787055.58637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 spans="1:77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5">
        <v>95.836633663366342</v>
      </c>
      <c r="L46" s="2">
        <f t="shared" si="6"/>
        <v>9.5836633663366348E-5</v>
      </c>
      <c r="M46" s="3">
        <f t="shared" si="7"/>
        <v>4.7762865441819992E-3</v>
      </c>
      <c r="N46" s="52">
        <f t="shared" si="8"/>
        <v>4.0380648349763674E-7</v>
      </c>
      <c r="O46" s="26">
        <f t="shared" si="9"/>
        <v>2.032E-3</v>
      </c>
      <c r="P46" s="26">
        <v>1.0571269522665299E-10</v>
      </c>
      <c r="Q46" s="2">
        <v>0.31</v>
      </c>
      <c r="R46" s="2">
        <f t="shared" si="10"/>
        <v>131000</v>
      </c>
      <c r="S46" s="2">
        <f t="shared" si="11"/>
        <v>125441.55218751704</v>
      </c>
      <c r="T46" s="2">
        <f t="shared" si="12"/>
        <v>125441.55218751704</v>
      </c>
      <c r="U46" s="2">
        <f t="shared" si="13"/>
        <v>5.2493374855265302E-3</v>
      </c>
      <c r="V46" s="14">
        <v>0.09</v>
      </c>
      <c r="W46" s="14">
        <f t="shared" si="14"/>
        <v>109000.00000000001</v>
      </c>
      <c r="X46" s="14">
        <f t="shared" si="15"/>
        <v>10.446193069306933</v>
      </c>
      <c r="Y46" s="16">
        <f t="shared" si="16"/>
        <v>1.6899448457519182E-14</v>
      </c>
      <c r="Z46" s="16">
        <f t="shared" si="17"/>
        <v>10176847861.118052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 spans="1:77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5">
        <v>104.22772277227725</v>
      </c>
      <c r="L47" s="2">
        <f t="shared" si="6"/>
        <v>1.0422772277227725E-4</v>
      </c>
      <c r="M47" s="3">
        <f t="shared" si="7"/>
        <v>4.7762865441819992E-3</v>
      </c>
      <c r="N47" s="52">
        <f t="shared" si="8"/>
        <v>4.3916223480341168E-7</v>
      </c>
      <c r="O47" s="26">
        <f t="shared" si="9"/>
        <v>2.032E-3</v>
      </c>
      <c r="P47" s="26">
        <v>1.0571269522665299E-10</v>
      </c>
      <c r="Q47" s="2">
        <v>0.31</v>
      </c>
      <c r="R47" s="2">
        <f t="shared" si="10"/>
        <v>131000</v>
      </c>
      <c r="S47" s="2">
        <f t="shared" si="11"/>
        <v>124960.61266756825</v>
      </c>
      <c r="T47" s="2">
        <f t="shared" si="12"/>
        <v>124960.61266756825</v>
      </c>
      <c r="U47" s="2">
        <f t="shared" si="13"/>
        <v>5.2493374855265302E-3</v>
      </c>
      <c r="V47" s="14">
        <v>0.09</v>
      </c>
      <c r="W47" s="14">
        <f t="shared" si="14"/>
        <v>109000.00000000001</v>
      </c>
      <c r="X47" s="14">
        <f t="shared" si="15"/>
        <v>11.360821782178222</v>
      </c>
      <c r="Y47" s="16">
        <f t="shared" si="16"/>
        <v>1.844997666913921E-14</v>
      </c>
      <c r="Z47" s="16">
        <f t="shared" si="17"/>
        <v>11110575950.155632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</row>
    <row r="48" spans="1:77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5">
        <v>105.86138613861388</v>
      </c>
      <c r="L48" s="2">
        <f t="shared" si="6"/>
        <v>1.0586138613861388E-4</v>
      </c>
      <c r="M48" s="3">
        <f t="shared" si="7"/>
        <v>4.7762865441819992E-3</v>
      </c>
      <c r="N48" s="52">
        <f t="shared" si="8"/>
        <v>4.4604565541161557E-7</v>
      </c>
      <c r="O48" s="26">
        <f t="shared" si="9"/>
        <v>2.032E-3</v>
      </c>
      <c r="P48" s="26">
        <v>1.0571269522665299E-10</v>
      </c>
      <c r="Q48" s="2">
        <v>0.31</v>
      </c>
      <c r="R48" s="2">
        <f t="shared" si="10"/>
        <v>131000</v>
      </c>
      <c r="S48" s="2">
        <f t="shared" si="11"/>
        <v>124867.08585159086</v>
      </c>
      <c r="T48" s="2">
        <f t="shared" si="12"/>
        <v>124867.08585159086</v>
      </c>
      <c r="U48" s="2">
        <f t="shared" si="13"/>
        <v>5.2493374855265302E-3</v>
      </c>
      <c r="V48" s="14">
        <v>0.09</v>
      </c>
      <c r="W48" s="14">
        <f t="shared" si="14"/>
        <v>109000.00000000001</v>
      </c>
      <c r="X48" s="14">
        <f t="shared" si="15"/>
        <v>11.538891089108914</v>
      </c>
      <c r="Y48" s="16">
        <f t="shared" si="16"/>
        <v>1.8753225116615467E-14</v>
      </c>
      <c r="Z48" s="16">
        <f t="shared" si="17"/>
        <v>11293192165.225834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 spans="1:77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5">
        <v>100.61386138613864</v>
      </c>
      <c r="L49" s="2">
        <f t="shared" si="6"/>
        <v>1.0061386138613864E-4</v>
      </c>
      <c r="M49" s="3">
        <f t="shared" si="7"/>
        <v>4.7762865441819992E-3</v>
      </c>
      <c r="N49" s="52">
        <f t="shared" si="8"/>
        <v>4.2393527406405139E-7</v>
      </c>
      <c r="O49" s="26">
        <f t="shared" si="9"/>
        <v>2.032E-3</v>
      </c>
      <c r="P49" s="26">
        <v>1.0571269522665299E-10</v>
      </c>
      <c r="Q49" s="2">
        <v>0.31</v>
      </c>
      <c r="R49" s="2">
        <f t="shared" si="10"/>
        <v>131000</v>
      </c>
      <c r="S49" s="2">
        <f t="shared" si="11"/>
        <v>125167.62971599457</v>
      </c>
      <c r="T49" s="2">
        <f t="shared" si="12"/>
        <v>125167.62971599457</v>
      </c>
      <c r="U49" s="2">
        <f t="shared" si="13"/>
        <v>5.2493374855265302E-3</v>
      </c>
      <c r="V49" s="14">
        <v>0.09</v>
      </c>
      <c r="W49" s="14">
        <f t="shared" si="14"/>
        <v>109000.00000000001</v>
      </c>
      <c r="X49" s="14">
        <f t="shared" si="15"/>
        <v>10.966910891089114</v>
      </c>
      <c r="Y49" s="16">
        <f t="shared" si="16"/>
        <v>1.778074994734235E-14</v>
      </c>
      <c r="Z49" s="16">
        <f t="shared" si="17"/>
        <v>10707567618.289564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</row>
    <row r="50" spans="1:77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5">
        <v>104.15346534653467</v>
      </c>
      <c r="L50" s="2">
        <f t="shared" si="6"/>
        <v>1.0415346534653468E-4</v>
      </c>
      <c r="M50" s="3">
        <f t="shared" si="7"/>
        <v>4.7762865441819992E-3</v>
      </c>
      <c r="N50" s="52">
        <f t="shared" si="8"/>
        <v>4.3884935204849329E-7</v>
      </c>
      <c r="O50" s="26">
        <f t="shared" si="9"/>
        <v>2.032E-3</v>
      </c>
      <c r="P50" s="26">
        <v>1.0571269522665299E-10</v>
      </c>
      <c r="Q50" s="2">
        <v>0.31</v>
      </c>
      <c r="R50" s="2">
        <f t="shared" si="10"/>
        <v>131000</v>
      </c>
      <c r="S50" s="2">
        <f t="shared" si="11"/>
        <v>124964.86471840137</v>
      </c>
      <c r="T50" s="2">
        <f t="shared" si="12"/>
        <v>124964.86471840137</v>
      </c>
      <c r="U50" s="2">
        <f t="shared" si="13"/>
        <v>5.2493374855265302E-3</v>
      </c>
      <c r="V50" s="14">
        <v>0.09</v>
      </c>
      <c r="W50" s="14">
        <f t="shared" si="14"/>
        <v>109000.00000000001</v>
      </c>
      <c r="X50" s="14">
        <f t="shared" si="15"/>
        <v>11.352727722772281</v>
      </c>
      <c r="Y50" s="16">
        <f t="shared" si="16"/>
        <v>1.8436203332796571E-14</v>
      </c>
      <c r="Z50" s="16">
        <f t="shared" si="17"/>
        <v>11102281647.010096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 spans="1:77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5">
        <v>106.45544554455448</v>
      </c>
      <c r="L51" s="2">
        <f t="shared" si="6"/>
        <v>1.0645544554455448E-4</v>
      </c>
      <c r="M51" s="3">
        <f t="shared" si="7"/>
        <v>4.7762865441819992E-3</v>
      </c>
      <c r="N51" s="52">
        <f t="shared" si="8"/>
        <v>4.4854871745096249E-7</v>
      </c>
      <c r="O51" s="26">
        <f t="shared" si="9"/>
        <v>2.032E-3</v>
      </c>
      <c r="P51" s="26">
        <v>1.0571269522665299E-10</v>
      </c>
      <c r="Q51" s="2">
        <v>0.31</v>
      </c>
      <c r="R51" s="2">
        <f t="shared" si="10"/>
        <v>131000</v>
      </c>
      <c r="S51" s="2">
        <f t="shared" si="11"/>
        <v>124833.08478128347</v>
      </c>
      <c r="T51" s="2">
        <f t="shared" si="12"/>
        <v>124833.08478128347</v>
      </c>
      <c r="U51" s="2">
        <f t="shared" si="13"/>
        <v>5.2493374855265302E-3</v>
      </c>
      <c r="V51" s="14">
        <v>0.09</v>
      </c>
      <c r="W51" s="14">
        <f t="shared" si="14"/>
        <v>109000.00000000001</v>
      </c>
      <c r="X51" s="14">
        <f t="shared" si="15"/>
        <v>11.603643564356441</v>
      </c>
      <c r="Y51" s="16">
        <f t="shared" si="16"/>
        <v>1.8863608852728692E-14</v>
      </c>
      <c r="Z51" s="16">
        <f t="shared" si="17"/>
        <v>11359665251.113218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</row>
    <row r="52" spans="1:77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5">
        <v>96.727722772277232</v>
      </c>
      <c r="L52" s="2">
        <f t="shared" si="6"/>
        <v>9.6727722772277234E-5</v>
      </c>
      <c r="M52" s="3">
        <f t="shared" si="7"/>
        <v>4.7762865441819992E-3</v>
      </c>
      <c r="N52" s="52">
        <f t="shared" si="8"/>
        <v>4.075610765566571E-7</v>
      </c>
      <c r="O52" s="26">
        <f t="shared" si="9"/>
        <v>2.032E-3</v>
      </c>
      <c r="P52" s="26">
        <v>1.0571269522665299E-10</v>
      </c>
      <c r="Q52" s="2">
        <v>0.31</v>
      </c>
      <c r="R52" s="2">
        <f t="shared" si="10"/>
        <v>131000</v>
      </c>
      <c r="S52" s="2">
        <f t="shared" si="11"/>
        <v>125390.43512532614</v>
      </c>
      <c r="T52" s="2">
        <f t="shared" si="12"/>
        <v>125390.43512532614</v>
      </c>
      <c r="U52" s="2">
        <f t="shared" si="13"/>
        <v>5.2493374855265302E-3</v>
      </c>
      <c r="V52" s="14">
        <v>0.09</v>
      </c>
      <c r="W52" s="14">
        <f t="shared" si="14"/>
        <v>109000.00000000001</v>
      </c>
      <c r="X52" s="14">
        <f t="shared" si="15"/>
        <v>10.54332178217822</v>
      </c>
      <c r="Y52" s="16">
        <f t="shared" si="16"/>
        <v>1.7063546682291326E-14</v>
      </c>
      <c r="Z52" s="16">
        <f t="shared" si="17"/>
        <v>10275667812.075836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 spans="1:77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5">
        <v>102.32178217821784</v>
      </c>
      <c r="L53" s="2">
        <f t="shared" si="6"/>
        <v>1.0232178217821785E-4</v>
      </c>
      <c r="M53" s="3">
        <f t="shared" si="7"/>
        <v>4.7762865441819992E-3</v>
      </c>
      <c r="N53" s="52">
        <f t="shared" si="8"/>
        <v>4.3113157742717372E-7</v>
      </c>
      <c r="O53" s="26">
        <f t="shared" si="9"/>
        <v>2.032E-3</v>
      </c>
      <c r="P53" s="26">
        <v>1.0571269522665299E-10</v>
      </c>
      <c r="Q53" s="2">
        <v>0.31</v>
      </c>
      <c r="R53" s="2">
        <f t="shared" si="10"/>
        <v>131000</v>
      </c>
      <c r="S53" s="2">
        <f t="shared" si="11"/>
        <v>125069.77153899513</v>
      </c>
      <c r="T53" s="2">
        <f t="shared" si="12"/>
        <v>125069.77153899513</v>
      </c>
      <c r="U53" s="2">
        <f t="shared" si="13"/>
        <v>5.2493374855265302E-3</v>
      </c>
      <c r="V53" s="14">
        <v>0.09</v>
      </c>
      <c r="W53" s="14">
        <f t="shared" si="14"/>
        <v>109000.00000000001</v>
      </c>
      <c r="X53" s="14">
        <f t="shared" si="15"/>
        <v>11.153074257425747</v>
      </c>
      <c r="Y53" s="16">
        <f t="shared" si="16"/>
        <v>1.8096754772809038E-14</v>
      </c>
      <c r="Z53" s="16">
        <f t="shared" si="17"/>
        <v>10897865724.185602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</row>
    <row r="54" spans="1:77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100.71287128712872</v>
      </c>
      <c r="L54" s="2">
        <f t="shared" si="6"/>
        <v>1.0071287128712872E-4</v>
      </c>
      <c r="M54" s="3">
        <f t="shared" si="7"/>
        <v>4.7762865441819992E-3</v>
      </c>
      <c r="N54" s="52">
        <f t="shared" si="8"/>
        <v>4.2435245107060915E-7</v>
      </c>
      <c r="O54" s="26">
        <f t="shared" si="9"/>
        <v>2.032E-3</v>
      </c>
      <c r="P54" s="26">
        <v>1.0571269522665299E-10</v>
      </c>
      <c r="Q54" s="2">
        <v>0.31</v>
      </c>
      <c r="R54" s="2">
        <f t="shared" si="10"/>
        <v>131000</v>
      </c>
      <c r="S54" s="2">
        <f t="shared" si="11"/>
        <v>125161.95573326744</v>
      </c>
      <c r="T54" s="2">
        <f t="shared" si="12"/>
        <v>125161.95573326744</v>
      </c>
      <c r="U54" s="2">
        <f t="shared" si="13"/>
        <v>5.2493374855265302E-3</v>
      </c>
      <c r="V54" s="14">
        <v>0.09</v>
      </c>
      <c r="W54" s="14">
        <f t="shared" si="14"/>
        <v>109000.00000000001</v>
      </c>
      <c r="X54" s="14">
        <f t="shared" si="15"/>
        <v>10.977702970297031</v>
      </c>
      <c r="Y54" s="16">
        <f t="shared" si="16"/>
        <v>1.7799055696877982E-14</v>
      </c>
      <c r="Z54" s="16">
        <f t="shared" si="17"/>
        <v>10718591340.659922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 spans="1:77" s="4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20"/>
      <c r="L55" s="2"/>
      <c r="M55" s="3"/>
      <c r="N55" s="26"/>
      <c r="O55" s="26"/>
      <c r="P55" s="26"/>
      <c r="Q55" s="2"/>
      <c r="R55" s="2"/>
      <c r="S55" s="2"/>
      <c r="T55" s="2"/>
      <c r="U55" s="2"/>
      <c r="V55" s="14"/>
      <c r="W55" s="2"/>
      <c r="X55" s="14"/>
      <c r="Y55" s="14"/>
      <c r="Z55" s="14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</row>
    <row r="56" spans="1:77" s="4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20"/>
      <c r="L56" s="2"/>
      <c r="M56" s="3"/>
      <c r="N56" s="26"/>
      <c r="O56" s="26"/>
      <c r="P56" s="26"/>
      <c r="Q56" s="2"/>
      <c r="R56" s="2"/>
      <c r="S56" s="2"/>
      <c r="T56" s="2"/>
      <c r="U56" s="2"/>
      <c r="V56" s="14"/>
      <c r="W56" s="2"/>
      <c r="X56" s="14"/>
      <c r="Y56" s="14"/>
      <c r="Z56" s="14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 spans="1:77" s="4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20"/>
      <c r="L57" s="2"/>
      <c r="M57" s="3"/>
      <c r="N57" s="26"/>
      <c r="O57" s="26"/>
      <c r="P57" s="26"/>
      <c r="Q57" s="2"/>
      <c r="R57" s="2"/>
      <c r="S57" s="2"/>
      <c r="T57" s="2"/>
      <c r="U57" s="2"/>
      <c r="V57" s="14"/>
      <c r="W57" s="2"/>
      <c r="X57" s="14"/>
      <c r="Y57" s="14"/>
      <c r="Z57" s="14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</row>
    <row r="58" spans="1:77" s="4" customFormat="1" x14ac:dyDescent="0.25">
      <c r="L58" s="5"/>
      <c r="N58" s="26"/>
      <c r="O58" s="5"/>
      <c r="P58" s="26"/>
      <c r="Q58" s="5"/>
      <c r="R58" s="5"/>
      <c r="S58" s="5"/>
      <c r="T58" s="5"/>
      <c r="U58" s="5"/>
      <c r="V58" s="5"/>
      <c r="W58" s="5"/>
      <c r="X58" s="5"/>
      <c r="Y58" s="44">
        <f>AVERAGE(Y35:Y54)</f>
        <v>1.7366684253962724E-14</v>
      </c>
      <c r="Z58" s="44">
        <f>AVERAGE(Z35:Z54)</f>
        <v>10458217257.736353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</row>
    <row r="59" spans="1:77" s="4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20"/>
      <c r="L59" s="2"/>
      <c r="M59" s="3"/>
      <c r="N59" s="26"/>
      <c r="O59" s="26"/>
      <c r="P59" s="26"/>
      <c r="Q59" s="2"/>
      <c r="R59" s="2"/>
      <c r="S59" s="2"/>
      <c r="T59" s="2"/>
      <c r="U59" s="2"/>
      <c r="V59" s="14"/>
      <c r="W59" s="2"/>
      <c r="X59" s="14"/>
      <c r="Y59" s="14"/>
      <c r="Z59" s="14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</row>
    <row r="60" spans="1:77" s="4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0"/>
      <c r="L60" s="2"/>
      <c r="M60" s="3"/>
      <c r="N60" s="26"/>
      <c r="O60" s="26"/>
      <c r="P60" s="26"/>
      <c r="Q60" s="2"/>
      <c r="R60" s="2"/>
      <c r="S60" s="2"/>
      <c r="T60" s="2"/>
      <c r="U60" s="2"/>
      <c r="V60" s="14"/>
      <c r="W60" s="2"/>
      <c r="X60" s="14"/>
      <c r="Y60" s="14"/>
      <c r="Z60" s="14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</row>
    <row r="61" spans="1:77" s="4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0"/>
      <c r="L61" s="2"/>
      <c r="M61" s="3"/>
      <c r="N61" s="26"/>
      <c r="O61" s="26"/>
      <c r="P61" s="26"/>
      <c r="Q61" s="2"/>
      <c r="R61" s="2"/>
      <c r="S61" s="2"/>
      <c r="T61" s="2"/>
      <c r="U61" s="2"/>
      <c r="V61" s="14"/>
      <c r="W61" s="2"/>
      <c r="X61" s="14"/>
      <c r="Y61" s="14"/>
      <c r="Z61" s="14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</row>
    <row r="62" spans="1:77" s="4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0"/>
      <c r="L62" s="2"/>
      <c r="M62" s="3"/>
      <c r="N62" s="26"/>
      <c r="O62" s="26"/>
      <c r="P62" s="26"/>
      <c r="Q62" s="2"/>
      <c r="R62" s="2"/>
      <c r="S62" s="2"/>
      <c r="T62" s="2"/>
      <c r="U62" s="2"/>
      <c r="V62" s="14"/>
      <c r="W62" s="2"/>
      <c r="X62" s="14"/>
      <c r="Y62" s="14"/>
      <c r="Z62" s="14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</row>
    <row r="63" spans="1:77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0"/>
      <c r="L63" s="2"/>
      <c r="M63" s="3"/>
      <c r="N63" s="26"/>
      <c r="O63" s="26"/>
      <c r="P63" s="26"/>
      <c r="Q63" s="2"/>
      <c r="R63" s="2"/>
      <c r="S63" s="2"/>
      <c r="T63" s="2"/>
      <c r="U63" s="2"/>
      <c r="V63" s="14"/>
      <c r="W63" s="2"/>
      <c r="X63" s="14"/>
      <c r="Y63" s="14"/>
      <c r="Z63" s="14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</row>
    <row r="64" spans="1:77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0"/>
      <c r="L64" s="2"/>
      <c r="M64" s="3"/>
      <c r="N64" s="26"/>
      <c r="O64" s="26"/>
      <c r="P64" s="26"/>
      <c r="Q64" s="2"/>
      <c r="R64" s="2"/>
      <c r="S64" s="2"/>
      <c r="T64" s="2"/>
      <c r="U64" s="2"/>
      <c r="V64" s="14"/>
      <c r="W64" s="2"/>
      <c r="X64" s="14"/>
      <c r="Y64" s="14"/>
      <c r="Z64" s="14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 spans="1:77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0"/>
      <c r="L65" s="2"/>
      <c r="M65" s="3"/>
      <c r="N65" s="26"/>
      <c r="O65" s="26"/>
      <c r="P65" s="26"/>
      <c r="Q65" s="2"/>
      <c r="R65" s="2"/>
      <c r="S65" s="2"/>
      <c r="T65" s="2"/>
      <c r="U65" s="2"/>
      <c r="V65" s="14"/>
      <c r="W65" s="2"/>
      <c r="X65" s="14"/>
      <c r="Y65" s="14"/>
      <c r="Z65" s="14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</row>
    <row r="66" spans="1:77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0"/>
      <c r="L66" s="2"/>
      <c r="M66" s="3"/>
      <c r="N66" s="26"/>
      <c r="O66" s="26"/>
      <c r="P66" s="26"/>
      <c r="Q66" s="2"/>
      <c r="R66" s="2"/>
      <c r="S66" s="2"/>
      <c r="T66" s="2"/>
      <c r="U66" s="2"/>
      <c r="V66" s="14"/>
      <c r="W66" s="2"/>
      <c r="X66" s="14"/>
      <c r="Y66" s="14"/>
      <c r="Z66" s="14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 spans="1:77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0"/>
      <c r="L67" s="2"/>
      <c r="M67" s="3"/>
      <c r="N67" s="26"/>
      <c r="O67" s="26"/>
      <c r="P67" s="26"/>
      <c r="Q67" s="2"/>
      <c r="R67" s="2"/>
      <c r="S67" s="2"/>
      <c r="T67" s="2"/>
      <c r="U67" s="2"/>
      <c r="V67" s="14"/>
      <c r="W67" s="2"/>
      <c r="X67" s="14"/>
      <c r="Y67" s="14"/>
      <c r="Z67" s="14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</row>
    <row r="68" spans="1:77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0"/>
      <c r="L68" s="2"/>
      <c r="M68" s="3"/>
      <c r="N68" s="26"/>
      <c r="O68" s="26"/>
      <c r="P68" s="26"/>
      <c r="Q68" s="2"/>
      <c r="R68" s="2"/>
      <c r="S68" s="2"/>
      <c r="T68" s="2"/>
      <c r="U68" s="2"/>
      <c r="V68" s="14"/>
      <c r="W68" s="2"/>
      <c r="X68" s="14"/>
      <c r="Y68" s="14"/>
      <c r="Z68" s="14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 spans="1:77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0"/>
      <c r="L69" s="2"/>
      <c r="M69" s="3"/>
      <c r="N69" s="26"/>
      <c r="O69" s="26"/>
      <c r="P69" s="26"/>
      <c r="Q69" s="2"/>
      <c r="R69" s="2"/>
      <c r="S69" s="2"/>
      <c r="T69" s="2"/>
      <c r="U69" s="2"/>
      <c r="V69" s="14"/>
      <c r="W69" s="2"/>
      <c r="X69" s="14"/>
      <c r="Y69" s="14"/>
      <c r="Z69" s="14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 spans="1:77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0"/>
      <c r="L70" s="2"/>
      <c r="M70" s="3"/>
      <c r="N70" s="26"/>
      <c r="O70" s="26"/>
      <c r="P70" s="26"/>
      <c r="Q70" s="2"/>
      <c r="R70" s="2"/>
      <c r="S70" s="2"/>
      <c r="T70" s="2"/>
      <c r="U70" s="2"/>
      <c r="V70" s="14"/>
      <c r="W70" s="2"/>
      <c r="X70" s="14"/>
      <c r="Y70" s="14"/>
      <c r="Z70" s="14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 spans="1:77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0"/>
      <c r="L71" s="2"/>
      <c r="M71" s="3"/>
      <c r="N71" s="26"/>
      <c r="O71" s="26"/>
      <c r="P71" s="26"/>
      <c r="Q71" s="2"/>
      <c r="R71" s="2"/>
      <c r="S71" s="2"/>
      <c r="T71" s="2"/>
      <c r="U71" s="2"/>
      <c r="V71" s="14"/>
      <c r="W71" s="2"/>
      <c r="X71" s="14"/>
      <c r="Y71" s="14"/>
      <c r="Z71" s="14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</row>
    <row r="72" spans="1:77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0"/>
      <c r="L72" s="2"/>
      <c r="M72" s="3"/>
      <c r="N72" s="26"/>
      <c r="O72" s="26"/>
      <c r="P72" s="26"/>
      <c r="Q72" s="2"/>
      <c r="R72" s="2"/>
      <c r="S72" s="2"/>
      <c r="T72" s="2"/>
      <c r="U72" s="2"/>
      <c r="V72" s="14"/>
      <c r="W72" s="2"/>
      <c r="X72" s="14"/>
      <c r="Y72" s="14"/>
      <c r="Z72" s="14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 spans="1:77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0"/>
      <c r="L73" s="2"/>
      <c r="M73" s="3"/>
      <c r="N73" s="26"/>
      <c r="O73" s="26"/>
      <c r="P73" s="26"/>
      <c r="Q73" s="2"/>
      <c r="R73" s="2"/>
      <c r="S73" s="2"/>
      <c r="T73" s="2"/>
      <c r="U73" s="2"/>
      <c r="V73" s="14"/>
      <c r="W73" s="2"/>
      <c r="X73" s="14"/>
      <c r="Y73" s="14"/>
      <c r="Z73" s="14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 spans="1:77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0"/>
      <c r="L74" s="2"/>
      <c r="M74" s="3"/>
      <c r="N74" s="26"/>
      <c r="O74" s="26"/>
      <c r="P74" s="26"/>
      <c r="Q74" s="2"/>
      <c r="R74" s="2"/>
      <c r="S74" s="2"/>
      <c r="T74" s="2"/>
      <c r="U74" s="2"/>
      <c r="V74" s="14"/>
      <c r="W74" s="2"/>
      <c r="X74" s="14"/>
      <c r="Y74" s="14"/>
      <c r="Z74" s="14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 spans="1:77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0"/>
      <c r="L75" s="2"/>
      <c r="M75" s="3"/>
      <c r="N75" s="26"/>
      <c r="O75" s="26"/>
      <c r="P75" s="26"/>
      <c r="Q75" s="2"/>
      <c r="R75" s="2"/>
      <c r="S75" s="2"/>
      <c r="T75" s="2"/>
      <c r="U75" s="2"/>
      <c r="V75" s="14"/>
      <c r="W75" s="2"/>
      <c r="X75" s="14"/>
      <c r="Y75" s="14"/>
      <c r="Z75" s="14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 spans="1:77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0"/>
      <c r="L76" s="2"/>
      <c r="M76" s="3"/>
      <c r="N76" s="26"/>
      <c r="O76" s="26"/>
      <c r="P76" s="26"/>
      <c r="Q76" s="2"/>
      <c r="R76" s="2"/>
      <c r="S76" s="2"/>
      <c r="T76" s="2"/>
      <c r="U76" s="2"/>
      <c r="V76" s="14"/>
      <c r="W76" s="2"/>
      <c r="X76" s="14"/>
      <c r="Y76" s="14"/>
      <c r="Z76" s="14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 spans="1:77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0"/>
      <c r="L77" s="2"/>
      <c r="M77" s="3"/>
      <c r="N77" s="26"/>
      <c r="O77" s="26"/>
      <c r="P77" s="26"/>
      <c r="Q77" s="2"/>
      <c r="R77" s="2"/>
      <c r="S77" s="2"/>
      <c r="T77" s="2"/>
      <c r="U77" s="2"/>
      <c r="V77" s="14"/>
      <c r="W77" s="2"/>
      <c r="X77" s="14"/>
      <c r="Y77" s="14"/>
      <c r="Z77" s="14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 spans="1:77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0"/>
      <c r="L78" s="2"/>
      <c r="M78" s="3"/>
      <c r="N78" s="26"/>
      <c r="O78" s="26"/>
      <c r="P78" s="26"/>
      <c r="Q78" s="2"/>
      <c r="R78" s="2"/>
      <c r="S78" s="2"/>
      <c r="T78" s="2"/>
      <c r="U78" s="2"/>
      <c r="V78" s="14"/>
      <c r="W78" s="2"/>
      <c r="X78" s="14"/>
      <c r="Y78" s="14"/>
      <c r="Z78" s="14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 spans="1:77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0"/>
      <c r="L79" s="2"/>
      <c r="M79" s="3"/>
      <c r="N79" s="26"/>
      <c r="O79" s="26"/>
      <c r="P79" s="26"/>
      <c r="Q79" s="2"/>
      <c r="R79" s="2"/>
      <c r="S79" s="2"/>
      <c r="T79" s="2"/>
      <c r="U79" s="2"/>
      <c r="V79" s="14"/>
      <c r="W79" s="2"/>
      <c r="X79" s="14"/>
      <c r="Y79" s="14"/>
      <c r="Z79" s="14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 spans="1:77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0"/>
      <c r="L80" s="2"/>
      <c r="M80" s="3"/>
      <c r="N80" s="26"/>
      <c r="O80" s="26"/>
      <c r="P80" s="26"/>
      <c r="Q80" s="2"/>
      <c r="R80" s="2"/>
      <c r="S80" s="2"/>
      <c r="T80" s="2"/>
      <c r="U80" s="2"/>
      <c r="V80" s="14"/>
      <c r="W80" s="2"/>
      <c r="X80" s="14"/>
      <c r="Y80" s="14"/>
      <c r="Z80" s="14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 spans="1:77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0"/>
      <c r="L81" s="2"/>
      <c r="M81" s="3"/>
      <c r="N81" s="26"/>
      <c r="O81" s="26"/>
      <c r="P81" s="26"/>
      <c r="Q81" s="2"/>
      <c r="R81" s="2"/>
      <c r="S81" s="2"/>
      <c r="T81" s="2"/>
      <c r="U81" s="2"/>
      <c r="V81" s="14"/>
      <c r="W81" s="2"/>
      <c r="X81" s="14"/>
      <c r="Y81" s="14"/>
      <c r="Z81" s="14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</row>
    <row r="82" spans="1:77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0"/>
      <c r="L82" s="2"/>
      <c r="M82" s="3"/>
      <c r="N82" s="26"/>
      <c r="O82" s="26"/>
      <c r="P82" s="26"/>
      <c r="Q82" s="2"/>
      <c r="R82" s="2"/>
      <c r="S82" s="2"/>
      <c r="T82" s="2"/>
      <c r="U82" s="2"/>
      <c r="V82" s="14"/>
      <c r="W82" s="2"/>
      <c r="X82" s="14"/>
      <c r="Y82" s="14"/>
      <c r="Z82" s="14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 spans="1:77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0"/>
      <c r="L83" s="2"/>
      <c r="M83" s="3"/>
      <c r="N83" s="26"/>
      <c r="O83" s="26"/>
      <c r="P83" s="26"/>
      <c r="Q83" s="2"/>
      <c r="R83" s="2"/>
      <c r="S83" s="2"/>
      <c r="T83" s="2"/>
      <c r="U83" s="2"/>
      <c r="V83" s="14"/>
      <c r="W83" s="2"/>
      <c r="X83" s="14"/>
      <c r="Y83" s="14"/>
      <c r="Z83" s="14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</row>
    <row r="84" spans="1:77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0"/>
      <c r="L84" s="3"/>
      <c r="M84" s="3"/>
      <c r="N84" s="26"/>
      <c r="O84" s="26"/>
      <c r="P84" s="26"/>
      <c r="Q84" s="2"/>
      <c r="R84" s="2"/>
      <c r="S84" s="2"/>
      <c r="T84" s="2"/>
      <c r="U84" s="2"/>
      <c r="V84" s="14"/>
      <c r="W84" s="2"/>
      <c r="X84" s="14"/>
      <c r="Y84" s="14"/>
      <c r="Z84" s="14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 spans="1:77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0"/>
      <c r="L85" s="3"/>
      <c r="M85" s="3"/>
      <c r="N85" s="26"/>
      <c r="O85" s="26"/>
      <c r="P85" s="26"/>
      <c r="Q85" s="2"/>
      <c r="R85" s="2"/>
      <c r="S85" s="2"/>
      <c r="T85" s="2"/>
      <c r="U85" s="2"/>
      <c r="V85" s="14"/>
      <c r="W85" s="2"/>
      <c r="X85" s="14"/>
      <c r="Y85" s="14"/>
      <c r="Z85" s="14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</row>
    <row r="86" spans="1:77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0"/>
      <c r="L86" s="3"/>
      <c r="M86" s="3"/>
      <c r="N86" s="26"/>
      <c r="O86" s="26"/>
      <c r="P86" s="26"/>
      <c r="Q86" s="2"/>
      <c r="R86" s="2"/>
      <c r="S86" s="2"/>
      <c r="T86" s="2"/>
      <c r="U86" s="2"/>
      <c r="V86" s="14"/>
      <c r="W86" s="2"/>
      <c r="X86" s="14"/>
      <c r="Y86" s="14"/>
      <c r="Z86" s="14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 spans="1:77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0"/>
      <c r="L87" s="3"/>
      <c r="M87" s="3"/>
      <c r="N87" s="26"/>
      <c r="O87" s="26"/>
      <c r="P87" s="26"/>
      <c r="Q87" s="2"/>
      <c r="R87" s="2"/>
      <c r="S87" s="2"/>
      <c r="T87" s="2"/>
      <c r="U87" s="2"/>
      <c r="V87" s="14"/>
      <c r="W87" s="2"/>
      <c r="X87" s="14"/>
      <c r="Y87" s="14"/>
      <c r="Z87" s="14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</row>
    <row r="88" spans="1:77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0"/>
      <c r="L88" s="3"/>
      <c r="M88" s="3"/>
      <c r="N88" s="26"/>
      <c r="O88" s="26"/>
      <c r="P88" s="26"/>
      <c r="Q88" s="2"/>
      <c r="R88" s="2"/>
      <c r="S88" s="2"/>
      <c r="T88" s="2"/>
      <c r="U88" s="2"/>
      <c r="V88" s="14"/>
      <c r="W88" s="2"/>
      <c r="X88" s="14"/>
      <c r="Y88" s="14"/>
      <c r="Z88" s="14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 spans="1:77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0"/>
      <c r="L89" s="3"/>
      <c r="M89" s="3"/>
      <c r="N89" s="26"/>
      <c r="O89" s="26"/>
      <c r="P89" s="26"/>
      <c r="Q89" s="2"/>
      <c r="R89" s="2"/>
      <c r="S89" s="2"/>
      <c r="T89" s="2"/>
      <c r="U89" s="2"/>
      <c r="V89" s="14"/>
      <c r="W89" s="2"/>
      <c r="X89" s="14"/>
      <c r="Y89" s="14"/>
      <c r="Z89" s="14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</row>
    <row r="90" spans="1:77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3"/>
      <c r="M90" s="3"/>
      <c r="N90" s="26"/>
      <c r="O90" s="26"/>
      <c r="P90" s="26"/>
      <c r="Q90" s="2"/>
      <c r="R90" s="2"/>
      <c r="S90" s="2"/>
      <c r="T90" s="2"/>
      <c r="U90" s="2"/>
      <c r="V90" s="14"/>
      <c r="W90" s="2"/>
      <c r="X90" s="14"/>
      <c r="Y90" s="14"/>
      <c r="Z90" s="14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 spans="1:77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0"/>
      <c r="L91" s="3"/>
      <c r="M91" s="3"/>
      <c r="N91" s="26"/>
      <c r="O91" s="26"/>
      <c r="P91" s="26"/>
      <c r="Q91" s="2"/>
      <c r="R91" s="2"/>
      <c r="S91" s="2"/>
      <c r="T91" s="2"/>
      <c r="U91" s="2"/>
      <c r="V91" s="14"/>
      <c r="W91" s="2"/>
      <c r="X91" s="14"/>
      <c r="Y91" s="14"/>
      <c r="Z91" s="14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</row>
    <row r="92" spans="1:77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0"/>
      <c r="L92" s="3"/>
      <c r="M92" s="3"/>
      <c r="N92" s="26"/>
      <c r="O92" s="26"/>
      <c r="P92" s="26"/>
      <c r="Q92" s="2"/>
      <c r="R92" s="2"/>
      <c r="S92" s="2"/>
      <c r="T92" s="2"/>
      <c r="U92" s="2"/>
      <c r="V92" s="14"/>
      <c r="W92" s="2"/>
      <c r="X92" s="14"/>
      <c r="Y92" s="14"/>
      <c r="Z92" s="14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 spans="1:77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0"/>
      <c r="L93" s="3"/>
      <c r="M93" s="3"/>
      <c r="N93" s="26"/>
      <c r="O93" s="26"/>
      <c r="P93" s="26"/>
      <c r="Q93" s="2"/>
      <c r="R93" s="2"/>
      <c r="S93" s="2"/>
      <c r="T93" s="2"/>
      <c r="U93" s="2"/>
      <c r="V93" s="14"/>
      <c r="W93" s="2"/>
      <c r="X93" s="14"/>
      <c r="Y93" s="14"/>
      <c r="Z93" s="14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</row>
    <row r="94" spans="1:77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0"/>
      <c r="L94" s="3"/>
      <c r="M94" s="3"/>
      <c r="N94" s="26"/>
      <c r="O94" s="26"/>
      <c r="P94" s="26"/>
      <c r="Q94" s="2"/>
      <c r="R94" s="2"/>
      <c r="S94" s="2"/>
      <c r="T94" s="2"/>
      <c r="U94" s="2"/>
      <c r="V94" s="14"/>
      <c r="W94" s="2"/>
      <c r="X94" s="14"/>
      <c r="Y94" s="14"/>
      <c r="Z94" s="14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 spans="1:77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0"/>
      <c r="L95" s="3"/>
      <c r="M95" s="3"/>
      <c r="N95" s="26"/>
      <c r="O95" s="26"/>
      <c r="P95" s="26"/>
      <c r="Q95" s="2"/>
      <c r="R95" s="2"/>
      <c r="S95" s="2"/>
      <c r="T95" s="2"/>
      <c r="U95" s="2"/>
      <c r="V95" s="14"/>
      <c r="W95" s="2"/>
      <c r="X95" s="14"/>
      <c r="Y95" s="14"/>
      <c r="Z95" s="14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</row>
    <row r="96" spans="1:77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0"/>
      <c r="L96" s="3"/>
      <c r="M96" s="3"/>
      <c r="N96" s="26"/>
      <c r="O96" s="26"/>
      <c r="P96" s="26"/>
      <c r="Q96" s="2"/>
      <c r="R96" s="2"/>
      <c r="S96" s="2"/>
      <c r="T96" s="2"/>
      <c r="U96" s="2"/>
      <c r="V96" s="14"/>
      <c r="W96" s="2"/>
      <c r="X96" s="14"/>
      <c r="Y96" s="14"/>
      <c r="Z96" s="14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 spans="1:77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0"/>
      <c r="L97" s="3"/>
      <c r="M97" s="3"/>
      <c r="N97" s="26"/>
      <c r="O97" s="26"/>
      <c r="P97" s="26"/>
      <c r="Q97" s="2"/>
      <c r="R97" s="2"/>
      <c r="S97" s="2"/>
      <c r="T97" s="2"/>
      <c r="U97" s="2"/>
      <c r="V97" s="14"/>
      <c r="W97" s="2"/>
      <c r="X97" s="14"/>
      <c r="Y97" s="14"/>
      <c r="Z97" s="14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</row>
    <row r="98" spans="1:77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0"/>
      <c r="L98" s="3"/>
      <c r="M98" s="3"/>
      <c r="N98" s="26"/>
      <c r="O98" s="26"/>
      <c r="P98" s="26"/>
      <c r="Q98" s="2"/>
      <c r="R98" s="2"/>
      <c r="S98" s="2"/>
      <c r="T98" s="2"/>
      <c r="U98" s="2"/>
      <c r="V98" s="14"/>
      <c r="W98" s="2"/>
      <c r="X98" s="14"/>
      <c r="Y98" s="14"/>
      <c r="Z98" s="14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 spans="1:77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0"/>
      <c r="L99" s="3"/>
      <c r="M99" s="3"/>
      <c r="N99" s="26"/>
      <c r="O99" s="26"/>
      <c r="P99" s="26"/>
      <c r="Q99" s="2"/>
      <c r="R99" s="2"/>
      <c r="S99" s="2"/>
      <c r="T99" s="2"/>
      <c r="U99" s="2"/>
      <c r="V99" s="14"/>
      <c r="W99" s="2"/>
      <c r="X99" s="14"/>
      <c r="Y99" s="14"/>
      <c r="Z99" s="14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</row>
    <row r="100" spans="1:77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0"/>
      <c r="L100" s="3"/>
      <c r="M100" s="3"/>
      <c r="N100" s="26"/>
      <c r="O100" s="26"/>
      <c r="P100" s="26"/>
      <c r="Q100" s="2"/>
      <c r="R100" s="2"/>
      <c r="S100" s="2"/>
      <c r="T100" s="2"/>
      <c r="U100" s="2"/>
      <c r="V100" s="14"/>
      <c r="W100" s="2"/>
      <c r="X100" s="14"/>
      <c r="Y100" s="14"/>
      <c r="Z100" s="14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 spans="1:77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0"/>
      <c r="L101" s="3"/>
      <c r="M101" s="3"/>
      <c r="N101" s="26"/>
      <c r="O101" s="26"/>
      <c r="P101" s="26"/>
      <c r="Q101" s="2"/>
      <c r="R101" s="2"/>
      <c r="S101" s="2"/>
      <c r="T101" s="2"/>
      <c r="U101" s="2"/>
      <c r="V101" s="14"/>
      <c r="W101" s="2"/>
      <c r="X101" s="14"/>
      <c r="Y101" s="14"/>
      <c r="Z101" s="14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</row>
    <row r="102" spans="1:77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0"/>
      <c r="L102" s="3"/>
      <c r="M102" s="3"/>
      <c r="N102" s="26"/>
      <c r="O102" s="26"/>
      <c r="P102" s="26"/>
      <c r="Q102" s="2"/>
      <c r="R102" s="2"/>
      <c r="S102" s="2"/>
      <c r="T102" s="2"/>
      <c r="U102" s="2"/>
      <c r="V102" s="14"/>
      <c r="W102" s="2"/>
      <c r="X102" s="14"/>
      <c r="Y102" s="14"/>
      <c r="Z102" s="14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 spans="1:77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0"/>
      <c r="L103" s="3"/>
      <c r="M103" s="3"/>
      <c r="N103" s="26"/>
      <c r="O103" s="26"/>
      <c r="P103" s="26"/>
      <c r="Q103" s="2"/>
      <c r="R103" s="2"/>
      <c r="S103" s="2"/>
      <c r="T103" s="2"/>
      <c r="U103" s="2"/>
      <c r="V103" s="14"/>
      <c r="W103" s="2"/>
      <c r="X103" s="14"/>
      <c r="Y103" s="14"/>
      <c r="Z103" s="14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</row>
    <row r="104" spans="1:77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0"/>
      <c r="L104" s="3"/>
      <c r="M104" s="3"/>
      <c r="N104" s="26"/>
      <c r="O104" s="26"/>
      <c r="P104" s="26"/>
      <c r="Q104" s="2"/>
      <c r="R104" s="2"/>
      <c r="S104" s="2"/>
      <c r="T104" s="2"/>
      <c r="U104" s="2"/>
      <c r="V104" s="14"/>
      <c r="W104" s="2"/>
      <c r="X104" s="14"/>
      <c r="Y104" s="14"/>
      <c r="Z104" s="14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 spans="1:77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0"/>
      <c r="L105" s="3"/>
      <c r="M105" s="3"/>
      <c r="N105" s="26"/>
      <c r="O105" s="26"/>
      <c r="P105" s="26"/>
      <c r="Q105" s="2"/>
      <c r="R105" s="2"/>
      <c r="S105" s="2"/>
      <c r="T105" s="2"/>
      <c r="U105" s="2"/>
      <c r="V105" s="14"/>
      <c r="W105" s="2"/>
      <c r="X105" s="14"/>
      <c r="Y105" s="14"/>
      <c r="Z105" s="14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</row>
    <row r="106" spans="1:77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0"/>
      <c r="L106" s="3"/>
      <c r="M106" s="3"/>
      <c r="N106" s="26"/>
      <c r="O106" s="26"/>
      <c r="P106" s="26"/>
      <c r="Q106" s="2"/>
      <c r="R106" s="2"/>
      <c r="S106" s="2"/>
      <c r="T106" s="2"/>
      <c r="U106" s="2"/>
      <c r="V106" s="14"/>
      <c r="W106" s="2"/>
      <c r="X106" s="14"/>
      <c r="Y106" s="14"/>
      <c r="Z106" s="14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 spans="1:77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0"/>
      <c r="L107" s="3"/>
      <c r="M107" s="3"/>
      <c r="N107" s="26"/>
      <c r="O107" s="26"/>
      <c r="P107" s="26"/>
      <c r="Q107" s="2"/>
      <c r="R107" s="2"/>
      <c r="S107" s="2"/>
      <c r="T107" s="2"/>
      <c r="U107" s="2"/>
      <c r="V107" s="14"/>
      <c r="W107" s="2"/>
      <c r="X107" s="14"/>
      <c r="Y107" s="14"/>
      <c r="Z107" s="14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</row>
    <row r="108" spans="1:77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0"/>
      <c r="L108" s="3"/>
      <c r="M108" s="3"/>
      <c r="N108" s="26"/>
      <c r="O108" s="26"/>
      <c r="P108" s="26"/>
      <c r="Q108" s="2"/>
      <c r="R108" s="2"/>
      <c r="S108" s="2"/>
      <c r="T108" s="2"/>
      <c r="U108" s="2"/>
      <c r="V108" s="14"/>
      <c r="W108" s="2"/>
      <c r="X108" s="14"/>
      <c r="Y108" s="14"/>
      <c r="Z108" s="14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 spans="1:77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3"/>
      <c r="M109" s="3"/>
      <c r="N109" s="26"/>
      <c r="O109" s="26"/>
      <c r="P109" s="26"/>
      <c r="Q109" s="2"/>
      <c r="R109" s="2"/>
      <c r="S109" s="2"/>
      <c r="T109" s="2"/>
      <c r="U109" s="2"/>
      <c r="V109" s="14"/>
      <c r="W109" s="2"/>
      <c r="X109" s="14"/>
      <c r="Y109" s="14"/>
      <c r="Z109" s="14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</row>
    <row r="110" spans="1:77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0"/>
      <c r="L110" s="3"/>
      <c r="M110" s="3"/>
      <c r="N110" s="26"/>
      <c r="O110" s="26"/>
      <c r="P110" s="26"/>
      <c r="Q110" s="2"/>
      <c r="R110" s="2"/>
      <c r="S110" s="2"/>
      <c r="T110" s="2"/>
      <c r="U110" s="2"/>
      <c r="V110" s="14"/>
      <c r="W110" s="2"/>
      <c r="X110" s="14"/>
      <c r="Y110" s="14"/>
      <c r="Z110" s="14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 spans="1:77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0"/>
      <c r="L111" s="3"/>
      <c r="M111" s="3"/>
      <c r="N111" s="26"/>
      <c r="O111" s="26"/>
      <c r="P111" s="26"/>
      <c r="Q111" s="2"/>
      <c r="R111" s="2"/>
      <c r="S111" s="2"/>
      <c r="T111" s="2"/>
      <c r="U111" s="2"/>
      <c r="V111" s="14"/>
      <c r="W111" s="2"/>
      <c r="X111" s="14"/>
      <c r="Y111" s="14"/>
      <c r="Z111" s="14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</row>
    <row r="112" spans="1:77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3"/>
      <c r="M112" s="3"/>
      <c r="N112" s="26"/>
      <c r="O112" s="26"/>
      <c r="P112" s="26"/>
      <c r="Q112" s="2"/>
      <c r="R112" s="2"/>
      <c r="S112" s="2"/>
      <c r="T112" s="2"/>
      <c r="U112" s="2"/>
      <c r="V112" s="14"/>
      <c r="W112" s="2"/>
      <c r="X112" s="14"/>
      <c r="Y112" s="14"/>
      <c r="Z112" s="14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 spans="1:77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0"/>
      <c r="L113" s="3"/>
      <c r="M113" s="3"/>
      <c r="N113" s="26"/>
      <c r="O113" s="26"/>
      <c r="P113" s="26"/>
      <c r="Q113" s="2"/>
      <c r="R113" s="2"/>
      <c r="S113" s="2"/>
      <c r="T113" s="2"/>
      <c r="U113" s="2"/>
      <c r="V113" s="14"/>
      <c r="W113" s="2"/>
      <c r="X113" s="14"/>
      <c r="Y113" s="14"/>
      <c r="Z113" s="14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</row>
    <row r="114" spans="1:77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0"/>
      <c r="L114" s="3"/>
      <c r="M114" s="3"/>
      <c r="N114" s="52"/>
      <c r="O114" s="26"/>
      <c r="P114" s="26"/>
      <c r="Q114" s="2"/>
      <c r="R114" s="2"/>
      <c r="S114" s="2"/>
      <c r="T114" s="2"/>
      <c r="U114" s="2"/>
      <c r="V114" s="14"/>
      <c r="W114" s="2"/>
      <c r="X114" s="14"/>
      <c r="Y114" s="16"/>
      <c r="Z114" s="16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 spans="1:77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3"/>
      <c r="M115" s="3"/>
      <c r="N115" s="26"/>
      <c r="O115" s="26"/>
      <c r="P115" s="26"/>
      <c r="Q115" s="2"/>
      <c r="R115" s="2"/>
      <c r="S115" s="2"/>
      <c r="T115" s="2"/>
      <c r="U115" s="2"/>
      <c r="V115" s="14"/>
      <c r="W115" s="2"/>
      <c r="X115" s="14"/>
      <c r="Y115" s="14"/>
      <c r="Z115" s="14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</row>
    <row r="116" spans="1:77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3"/>
      <c r="M116" s="3"/>
      <c r="N116" s="26"/>
      <c r="O116" s="26"/>
      <c r="P116" s="26"/>
      <c r="Q116" s="2"/>
      <c r="R116" s="2"/>
      <c r="S116" s="2"/>
      <c r="T116" s="2"/>
      <c r="U116" s="2"/>
      <c r="V116" s="14"/>
      <c r="W116" s="2"/>
      <c r="X116" s="14"/>
      <c r="Y116" s="14"/>
      <c r="Z116" s="14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 spans="1:77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3"/>
      <c r="M117" s="3"/>
      <c r="N117" s="26"/>
      <c r="O117" s="26"/>
      <c r="P117" s="26"/>
      <c r="Q117" s="2"/>
      <c r="R117" s="2"/>
      <c r="S117" s="2"/>
      <c r="T117" s="2"/>
      <c r="U117" s="2"/>
      <c r="V117" s="14"/>
      <c r="W117" s="2"/>
      <c r="X117" s="14"/>
      <c r="Y117" s="14"/>
      <c r="Z117" s="14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</row>
    <row r="118" spans="1:77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3"/>
      <c r="M118" s="3"/>
      <c r="N118" s="26"/>
      <c r="O118" s="26"/>
      <c r="P118" s="26"/>
      <c r="Q118" s="2"/>
      <c r="R118" s="2"/>
      <c r="S118" s="2"/>
      <c r="T118" s="2"/>
      <c r="U118" s="2"/>
      <c r="V118" s="14"/>
      <c r="W118" s="2"/>
      <c r="X118" s="14"/>
      <c r="Y118" s="14"/>
      <c r="Z118" s="14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 spans="1:77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3"/>
      <c r="M119" s="3"/>
      <c r="N119" s="26"/>
      <c r="O119" s="26"/>
      <c r="P119" s="26"/>
      <c r="Q119" s="2"/>
      <c r="R119" s="2"/>
      <c r="S119" s="2"/>
      <c r="T119" s="2"/>
      <c r="U119" s="2"/>
      <c r="V119" s="14"/>
      <c r="W119" s="2"/>
      <c r="X119" s="14"/>
      <c r="Y119" s="14"/>
      <c r="Z119" s="14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</row>
    <row r="120" spans="1:77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3"/>
      <c r="M120" s="3"/>
      <c r="N120" s="26"/>
      <c r="O120" s="26"/>
      <c r="P120" s="26"/>
      <c r="Q120" s="2"/>
      <c r="R120" s="2"/>
      <c r="S120" s="2"/>
      <c r="T120" s="2"/>
      <c r="U120" s="2"/>
      <c r="V120" s="14"/>
      <c r="W120" s="2"/>
      <c r="X120" s="14"/>
      <c r="Y120" s="14"/>
      <c r="Z120" s="14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 spans="1:77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3"/>
      <c r="M121" s="3"/>
      <c r="N121" s="26"/>
      <c r="O121" s="26"/>
      <c r="P121" s="26"/>
      <c r="Q121" s="2"/>
      <c r="R121" s="2"/>
      <c r="S121" s="2"/>
      <c r="T121" s="2"/>
      <c r="U121" s="2"/>
      <c r="V121" s="14"/>
      <c r="W121" s="2"/>
      <c r="X121" s="14"/>
      <c r="Y121" s="14"/>
      <c r="Z121" s="14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</row>
    <row r="122" spans="1:77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3"/>
      <c r="M122" s="3"/>
      <c r="N122" s="26"/>
      <c r="O122" s="26"/>
      <c r="P122" s="26"/>
      <c r="Q122" s="2"/>
      <c r="R122" s="2"/>
      <c r="S122" s="2"/>
      <c r="T122" s="2"/>
      <c r="U122" s="2"/>
      <c r="V122" s="14"/>
      <c r="W122" s="2"/>
      <c r="X122" s="14"/>
      <c r="Y122" s="14"/>
      <c r="Z122" s="14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 spans="1:77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3"/>
      <c r="M123" s="3"/>
      <c r="N123" s="26"/>
      <c r="O123" s="26"/>
      <c r="P123" s="26"/>
      <c r="Q123" s="2"/>
      <c r="R123" s="2"/>
      <c r="S123" s="2"/>
      <c r="T123" s="2"/>
      <c r="U123" s="2"/>
      <c r="V123" s="14"/>
      <c r="W123" s="2"/>
      <c r="X123" s="14"/>
      <c r="Y123" s="14"/>
      <c r="Z123" s="14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</row>
    <row r="124" spans="1:77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0"/>
      <c r="L124" s="3"/>
      <c r="M124" s="3"/>
      <c r="N124" s="26"/>
      <c r="O124" s="26"/>
      <c r="P124" s="26"/>
      <c r="Q124" s="2"/>
      <c r="R124" s="2"/>
      <c r="S124" s="2"/>
      <c r="T124" s="2"/>
      <c r="U124" s="2"/>
      <c r="V124" s="14"/>
      <c r="W124" s="2"/>
      <c r="X124" s="14"/>
      <c r="Y124" s="14"/>
      <c r="Z124" s="14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 spans="1:77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0"/>
      <c r="L125" s="3"/>
      <c r="M125" s="3"/>
      <c r="N125" s="26"/>
      <c r="O125" s="26"/>
      <c r="P125" s="26"/>
      <c r="Q125" s="2"/>
      <c r="R125" s="2"/>
      <c r="S125" s="2"/>
      <c r="T125" s="2"/>
      <c r="U125" s="2"/>
      <c r="V125" s="14"/>
      <c r="W125" s="2"/>
      <c r="X125" s="14"/>
      <c r="Y125" s="14"/>
      <c r="Z125" s="14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</row>
    <row r="126" spans="1:77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0"/>
      <c r="L126" s="3"/>
      <c r="M126" s="3"/>
      <c r="N126" s="26"/>
      <c r="O126" s="26"/>
      <c r="P126" s="26"/>
      <c r="Q126" s="2"/>
      <c r="R126" s="2"/>
      <c r="S126" s="2"/>
      <c r="T126" s="2"/>
      <c r="U126" s="2"/>
      <c r="V126" s="14"/>
      <c r="W126" s="2"/>
      <c r="X126" s="14"/>
      <c r="Y126" s="14"/>
      <c r="Z126" s="14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 spans="1:77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0"/>
      <c r="L127" s="3"/>
      <c r="M127" s="3"/>
      <c r="N127" s="26"/>
      <c r="O127" s="26"/>
      <c r="P127" s="26"/>
      <c r="Q127" s="2"/>
      <c r="R127" s="2"/>
      <c r="S127" s="2"/>
      <c r="T127" s="2"/>
      <c r="U127" s="2"/>
      <c r="V127" s="14"/>
      <c r="W127" s="2"/>
      <c r="X127" s="14"/>
      <c r="Y127" s="14"/>
      <c r="Z127" s="14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</row>
    <row r="128" spans="1:77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0"/>
      <c r="L128" s="3"/>
      <c r="M128" s="3"/>
      <c r="N128" s="26"/>
      <c r="O128" s="26"/>
      <c r="P128" s="26"/>
      <c r="Q128" s="2"/>
      <c r="R128" s="2"/>
      <c r="S128" s="2"/>
      <c r="T128" s="2"/>
      <c r="U128" s="2"/>
      <c r="V128" s="14"/>
      <c r="W128" s="2"/>
      <c r="X128" s="14"/>
      <c r="Y128" s="14"/>
      <c r="Z128" s="14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 spans="1:77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0"/>
      <c r="L129" s="3"/>
      <c r="M129" s="3"/>
      <c r="N129" s="26"/>
      <c r="O129" s="26"/>
      <c r="P129" s="26"/>
      <c r="Q129" s="2"/>
      <c r="R129" s="2"/>
      <c r="S129" s="2"/>
      <c r="T129" s="2"/>
      <c r="U129" s="2"/>
      <c r="V129" s="14"/>
      <c r="W129" s="2"/>
      <c r="X129" s="14"/>
      <c r="Y129" s="14"/>
      <c r="Z129" s="14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</row>
    <row r="130" spans="1:77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0"/>
      <c r="L130" s="3"/>
      <c r="M130" s="3"/>
      <c r="N130" s="26"/>
      <c r="O130" s="26"/>
      <c r="P130" s="26"/>
      <c r="Q130" s="2"/>
      <c r="R130" s="2"/>
      <c r="S130" s="2"/>
      <c r="T130" s="2"/>
      <c r="U130" s="2"/>
      <c r="V130" s="14"/>
      <c r="W130" s="2"/>
      <c r="X130" s="14"/>
      <c r="Y130" s="14"/>
      <c r="Z130" s="14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 spans="1:77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0"/>
      <c r="L131" s="3"/>
      <c r="M131" s="3"/>
      <c r="N131" s="26"/>
      <c r="O131" s="26"/>
      <c r="P131" s="26"/>
      <c r="Q131" s="2"/>
      <c r="R131" s="2"/>
      <c r="S131" s="2"/>
      <c r="T131" s="2"/>
      <c r="U131" s="2"/>
      <c r="V131" s="14"/>
      <c r="W131" s="2"/>
      <c r="X131" s="14"/>
      <c r="Y131" s="14"/>
      <c r="Z131" s="14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</row>
    <row r="132" spans="1:77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0"/>
      <c r="L132" s="3"/>
      <c r="M132" s="3"/>
      <c r="N132" s="26"/>
      <c r="O132" s="26"/>
      <c r="P132" s="26"/>
      <c r="Q132" s="2"/>
      <c r="R132" s="2"/>
      <c r="S132" s="2"/>
      <c r="T132" s="2"/>
      <c r="U132" s="2"/>
      <c r="V132" s="14"/>
      <c r="W132" s="2"/>
      <c r="X132" s="14"/>
      <c r="Y132" s="14"/>
      <c r="Z132" s="14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 spans="1:77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0"/>
      <c r="L133" s="3"/>
      <c r="M133" s="3"/>
      <c r="N133" s="26"/>
      <c r="O133" s="26"/>
      <c r="P133" s="26"/>
      <c r="Q133" s="2"/>
      <c r="R133" s="2"/>
      <c r="S133" s="2"/>
      <c r="T133" s="2"/>
      <c r="U133" s="2"/>
      <c r="V133" s="14"/>
      <c r="W133" s="2"/>
      <c r="X133" s="14"/>
      <c r="Y133" s="14"/>
      <c r="Z133" s="14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</row>
    <row r="134" spans="1:77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0"/>
      <c r="L134" s="3"/>
      <c r="M134" s="3"/>
      <c r="N134" s="26"/>
      <c r="O134" s="26"/>
      <c r="P134" s="26"/>
      <c r="Q134" s="2"/>
      <c r="R134" s="2"/>
      <c r="S134" s="2"/>
      <c r="T134" s="2"/>
      <c r="U134" s="2"/>
      <c r="V134" s="14"/>
      <c r="W134" s="2"/>
      <c r="X134" s="14"/>
      <c r="Y134" s="14"/>
      <c r="Z134" s="14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 spans="1:77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0"/>
      <c r="L135" s="3"/>
      <c r="M135" s="3"/>
      <c r="N135" s="26"/>
      <c r="O135" s="26"/>
      <c r="P135" s="26"/>
      <c r="Q135" s="2"/>
      <c r="R135" s="2"/>
      <c r="S135" s="2"/>
      <c r="T135" s="2"/>
      <c r="U135" s="2"/>
      <c r="V135" s="14"/>
      <c r="W135" s="2"/>
      <c r="X135" s="14"/>
      <c r="Y135" s="14"/>
      <c r="Z135" s="14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</row>
    <row r="136" spans="1:77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0"/>
      <c r="L136" s="3"/>
      <c r="M136" s="3"/>
      <c r="N136" s="26"/>
      <c r="O136" s="26"/>
      <c r="P136" s="26"/>
      <c r="Q136" s="2"/>
      <c r="R136" s="2"/>
      <c r="S136" s="2"/>
      <c r="T136" s="2"/>
      <c r="U136" s="2"/>
      <c r="V136" s="14"/>
      <c r="W136" s="2"/>
      <c r="X136" s="14"/>
      <c r="Y136" s="14"/>
      <c r="Z136" s="14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 spans="1:77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0"/>
      <c r="L137" s="3"/>
      <c r="M137" s="3"/>
      <c r="N137" s="26"/>
      <c r="O137" s="26"/>
      <c r="P137" s="26"/>
      <c r="Q137" s="2"/>
      <c r="R137" s="2"/>
      <c r="S137" s="2"/>
      <c r="T137" s="2"/>
      <c r="U137" s="2"/>
      <c r="V137" s="14"/>
      <c r="W137" s="2"/>
      <c r="X137" s="14"/>
      <c r="Y137" s="14"/>
      <c r="Z137" s="14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</row>
    <row r="138" spans="1:77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0"/>
      <c r="L138" s="3"/>
      <c r="M138" s="3"/>
      <c r="N138" s="26"/>
      <c r="O138" s="26"/>
      <c r="P138" s="26"/>
      <c r="Q138" s="2"/>
      <c r="R138" s="2"/>
      <c r="S138" s="2"/>
      <c r="T138" s="2"/>
      <c r="U138" s="2"/>
      <c r="V138" s="14"/>
      <c r="W138" s="2"/>
      <c r="X138" s="14"/>
      <c r="Y138" s="14"/>
      <c r="Z138" s="14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 spans="1:77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0"/>
      <c r="L139" s="3"/>
      <c r="M139" s="3"/>
      <c r="N139" s="26"/>
      <c r="O139" s="26"/>
      <c r="P139" s="26"/>
      <c r="Q139" s="2"/>
      <c r="R139" s="2"/>
      <c r="S139" s="2"/>
      <c r="T139" s="2"/>
      <c r="U139" s="2"/>
      <c r="V139" s="14"/>
      <c r="W139" s="2"/>
      <c r="X139" s="14"/>
      <c r="Y139" s="14"/>
      <c r="Z139" s="14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</row>
    <row r="140" spans="1:77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0"/>
      <c r="L140" s="3"/>
      <c r="M140" s="3"/>
      <c r="N140" s="26"/>
      <c r="O140" s="26"/>
      <c r="P140" s="26"/>
      <c r="Q140" s="2"/>
      <c r="R140" s="2"/>
      <c r="S140" s="2"/>
      <c r="T140" s="2"/>
      <c r="U140" s="2"/>
      <c r="V140" s="14"/>
      <c r="W140" s="2"/>
      <c r="X140" s="14"/>
      <c r="Y140" s="14"/>
      <c r="Z140" s="14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 spans="1:77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0"/>
      <c r="L141" s="3"/>
      <c r="M141" s="3"/>
      <c r="N141" s="26"/>
      <c r="O141" s="26"/>
      <c r="P141" s="26"/>
      <c r="Q141" s="2"/>
      <c r="R141" s="2"/>
      <c r="S141" s="2"/>
      <c r="T141" s="2"/>
      <c r="U141" s="2"/>
      <c r="V141" s="14"/>
      <c r="W141" s="2"/>
      <c r="X141" s="14"/>
      <c r="Y141" s="14"/>
      <c r="Z141" s="14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</row>
    <row r="142" spans="1:77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0"/>
      <c r="L142" s="3"/>
      <c r="M142" s="3"/>
      <c r="N142" s="26"/>
      <c r="O142" s="26"/>
      <c r="P142" s="26"/>
      <c r="Q142" s="2"/>
      <c r="R142" s="2"/>
      <c r="S142" s="2"/>
      <c r="T142" s="2"/>
      <c r="U142" s="2"/>
      <c r="V142" s="14"/>
      <c r="W142" s="2"/>
      <c r="X142" s="14"/>
      <c r="Y142" s="14"/>
      <c r="Z142" s="14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 spans="1:77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0"/>
      <c r="L143" s="3"/>
      <c r="M143" s="3"/>
      <c r="N143" s="26"/>
      <c r="O143" s="26"/>
      <c r="P143" s="26"/>
      <c r="Q143" s="2"/>
      <c r="R143" s="2"/>
      <c r="S143" s="2"/>
      <c r="T143" s="2"/>
      <c r="U143" s="2"/>
      <c r="V143" s="14"/>
      <c r="W143" s="2"/>
      <c r="X143" s="14"/>
      <c r="Y143" s="14"/>
      <c r="Z143" s="14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</row>
    <row r="144" spans="1:77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0"/>
      <c r="L144" s="3"/>
      <c r="M144" s="3"/>
      <c r="N144" s="26"/>
      <c r="O144" s="26"/>
      <c r="P144" s="26"/>
      <c r="Q144" s="2"/>
      <c r="R144" s="2"/>
      <c r="S144" s="2"/>
      <c r="T144" s="2"/>
      <c r="U144" s="2"/>
      <c r="V144" s="14"/>
      <c r="W144" s="2"/>
      <c r="X144" s="14"/>
      <c r="Y144" s="14"/>
      <c r="Z144" s="14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 spans="1:77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0"/>
      <c r="L145" s="3"/>
      <c r="M145" s="3"/>
      <c r="N145" s="26"/>
      <c r="O145" s="26"/>
      <c r="P145" s="26"/>
      <c r="Q145" s="2"/>
      <c r="R145" s="2"/>
      <c r="S145" s="2"/>
      <c r="T145" s="2"/>
      <c r="U145" s="2"/>
      <c r="V145" s="14"/>
      <c r="W145" s="2"/>
      <c r="X145" s="14"/>
      <c r="Y145" s="14"/>
      <c r="Z145" s="14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</row>
    <row r="146" spans="1:77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0"/>
      <c r="L146" s="3"/>
      <c r="M146" s="3"/>
      <c r="N146" s="26"/>
      <c r="O146" s="26"/>
      <c r="P146" s="26"/>
      <c r="Q146" s="2"/>
      <c r="R146" s="2"/>
      <c r="S146" s="2"/>
      <c r="T146" s="2"/>
      <c r="U146" s="2"/>
      <c r="V146" s="14"/>
      <c r="W146" s="2"/>
      <c r="X146" s="14"/>
      <c r="Y146" s="14"/>
      <c r="Z146" s="14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 spans="1:77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0"/>
      <c r="L147" s="3"/>
      <c r="M147" s="3"/>
      <c r="N147" s="26"/>
      <c r="O147" s="26"/>
      <c r="P147" s="26"/>
      <c r="Q147" s="2"/>
      <c r="R147" s="2"/>
      <c r="S147" s="2"/>
      <c r="T147" s="2"/>
      <c r="U147" s="2"/>
      <c r="V147" s="14"/>
      <c r="W147" s="2"/>
      <c r="X147" s="14"/>
      <c r="Y147" s="14"/>
      <c r="Z147" s="14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</row>
    <row r="148" spans="1:77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0"/>
      <c r="L148" s="3"/>
      <c r="M148" s="3"/>
      <c r="N148" s="26"/>
      <c r="O148" s="26"/>
      <c r="P148" s="26"/>
      <c r="Q148" s="2"/>
      <c r="R148" s="2"/>
      <c r="S148" s="2"/>
      <c r="T148" s="2"/>
      <c r="U148" s="2"/>
      <c r="V148" s="14"/>
      <c r="W148" s="2"/>
      <c r="X148" s="14"/>
      <c r="Y148" s="14"/>
      <c r="Z148" s="14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 spans="1:77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0"/>
      <c r="L149" s="3"/>
      <c r="M149" s="3"/>
      <c r="N149" s="26"/>
      <c r="O149" s="26"/>
      <c r="P149" s="26"/>
      <c r="Q149" s="2"/>
      <c r="R149" s="2"/>
      <c r="S149" s="2"/>
      <c r="T149" s="2"/>
      <c r="U149" s="2"/>
      <c r="V149" s="14"/>
      <c r="W149" s="2"/>
      <c r="X149" s="14"/>
      <c r="Y149" s="14"/>
      <c r="Z149" s="14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</row>
    <row r="150" spans="1:77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0"/>
      <c r="L150" s="3"/>
      <c r="M150" s="3"/>
      <c r="N150" s="26"/>
      <c r="O150" s="26"/>
      <c r="P150" s="26"/>
      <c r="Q150" s="2"/>
      <c r="R150" s="2"/>
      <c r="S150" s="2"/>
      <c r="T150" s="2"/>
      <c r="U150" s="2"/>
      <c r="V150" s="14"/>
      <c r="W150" s="2"/>
      <c r="X150" s="14"/>
      <c r="Y150" s="14"/>
      <c r="Z150" s="14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 spans="1:77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3"/>
      <c r="M151" s="3"/>
      <c r="N151" s="26"/>
      <c r="O151" s="26"/>
      <c r="P151" s="26"/>
      <c r="Q151" s="2"/>
      <c r="R151" s="2"/>
      <c r="S151" s="2"/>
      <c r="T151" s="2"/>
      <c r="U151" s="2"/>
      <c r="V151" s="14"/>
      <c r="W151" s="2"/>
      <c r="X151" s="14"/>
      <c r="Y151" s="14"/>
      <c r="Z151" s="14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</row>
    <row r="152" spans="1:77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0"/>
      <c r="L152" s="3"/>
      <c r="M152" s="3"/>
      <c r="N152" s="26"/>
      <c r="O152" s="26"/>
      <c r="P152" s="26"/>
      <c r="Q152" s="2"/>
      <c r="R152" s="2"/>
      <c r="S152" s="2"/>
      <c r="T152" s="2"/>
      <c r="U152" s="2"/>
      <c r="V152" s="14"/>
      <c r="W152" s="2"/>
      <c r="X152" s="14"/>
      <c r="Y152" s="14"/>
      <c r="Z152" s="14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 spans="1:77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0"/>
      <c r="L153" s="3"/>
      <c r="M153" s="3"/>
      <c r="N153" s="26"/>
      <c r="O153" s="26"/>
      <c r="P153" s="26"/>
      <c r="Q153" s="2"/>
      <c r="R153" s="2"/>
      <c r="S153" s="2"/>
      <c r="T153" s="2"/>
      <c r="U153" s="2"/>
      <c r="V153" s="14"/>
      <c r="W153" s="2"/>
      <c r="X153" s="14"/>
      <c r="Y153" s="14"/>
      <c r="Z153" s="14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</row>
    <row r="154" spans="1:77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0"/>
      <c r="L154" s="3"/>
      <c r="M154" s="3"/>
      <c r="N154" s="26"/>
      <c r="O154" s="26"/>
      <c r="P154" s="26"/>
      <c r="Q154" s="2"/>
      <c r="R154" s="2"/>
      <c r="S154" s="2"/>
      <c r="T154" s="2"/>
      <c r="U154" s="2"/>
      <c r="V154" s="14"/>
      <c r="W154" s="2"/>
      <c r="X154" s="14"/>
      <c r="Y154" s="14"/>
      <c r="Z154" s="14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 spans="1:77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0"/>
      <c r="L155" s="3"/>
      <c r="M155" s="3"/>
      <c r="N155" s="26"/>
      <c r="O155" s="26"/>
      <c r="P155" s="26"/>
      <c r="Q155" s="2"/>
      <c r="R155" s="2"/>
      <c r="S155" s="2"/>
      <c r="T155" s="2"/>
      <c r="U155" s="2"/>
      <c r="V155" s="14"/>
      <c r="W155" s="2"/>
      <c r="X155" s="14"/>
      <c r="Y155" s="14"/>
      <c r="Z155" s="14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</row>
    <row r="156" spans="1:77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0"/>
      <c r="L156" s="3"/>
      <c r="M156" s="3"/>
      <c r="N156" s="26"/>
      <c r="O156" s="26"/>
      <c r="P156" s="26"/>
      <c r="Q156" s="2"/>
      <c r="R156" s="2"/>
      <c r="S156" s="2"/>
      <c r="T156" s="2"/>
      <c r="U156" s="2"/>
      <c r="V156" s="14"/>
      <c r="W156" s="2"/>
      <c r="X156" s="14"/>
      <c r="Y156" s="14"/>
      <c r="Z156" s="14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</row>
    <row r="157" spans="1:77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0"/>
      <c r="L157" s="3"/>
      <c r="M157" s="3"/>
      <c r="N157" s="26"/>
      <c r="O157" s="26"/>
      <c r="P157" s="26"/>
      <c r="Q157" s="2"/>
      <c r="R157" s="2"/>
      <c r="S157" s="2"/>
      <c r="T157" s="2"/>
      <c r="U157" s="2"/>
      <c r="V157" s="14"/>
      <c r="W157" s="2"/>
      <c r="X157" s="14"/>
      <c r="Y157" s="14"/>
      <c r="Z157" s="14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</row>
    <row r="158" spans="1:77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0"/>
      <c r="L158" s="3"/>
      <c r="M158" s="3"/>
      <c r="N158" s="26"/>
      <c r="O158" s="26"/>
      <c r="P158" s="26"/>
      <c r="Q158" s="2"/>
      <c r="R158" s="2"/>
      <c r="S158" s="2"/>
      <c r="T158" s="2"/>
      <c r="U158" s="2"/>
      <c r="V158" s="14"/>
      <c r="W158" s="2"/>
      <c r="X158" s="14"/>
      <c r="Y158" s="14"/>
      <c r="Z158" s="14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</row>
    <row r="159" spans="1:77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0"/>
      <c r="L159" s="3"/>
      <c r="M159" s="3"/>
      <c r="N159" s="26"/>
      <c r="O159" s="26"/>
      <c r="P159" s="26"/>
      <c r="Q159" s="2"/>
      <c r="R159" s="2"/>
      <c r="S159" s="2"/>
      <c r="T159" s="2"/>
      <c r="U159" s="2"/>
      <c r="V159" s="14"/>
      <c r="W159" s="2"/>
      <c r="X159" s="14"/>
      <c r="Y159" s="14"/>
      <c r="Z159" s="14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</row>
    <row r="160" spans="1:77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0"/>
      <c r="L160" s="3"/>
      <c r="M160" s="3"/>
      <c r="N160" s="26"/>
      <c r="O160" s="26"/>
      <c r="P160" s="26"/>
      <c r="Q160" s="2"/>
      <c r="R160" s="2"/>
      <c r="S160" s="2"/>
      <c r="T160" s="2"/>
      <c r="U160" s="2"/>
      <c r="V160" s="14"/>
      <c r="W160" s="2"/>
      <c r="X160" s="14"/>
      <c r="Y160" s="14"/>
      <c r="Z160" s="14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</row>
    <row r="161" spans="1:77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0"/>
      <c r="L161" s="3"/>
      <c r="M161" s="3"/>
      <c r="N161" s="26"/>
      <c r="O161" s="26"/>
      <c r="P161" s="26"/>
      <c r="Q161" s="2"/>
      <c r="R161" s="2"/>
      <c r="S161" s="2"/>
      <c r="T161" s="2"/>
      <c r="U161" s="2"/>
      <c r="V161" s="14"/>
      <c r="W161" s="2"/>
      <c r="X161" s="14"/>
      <c r="Y161" s="14"/>
      <c r="Z161" s="14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</row>
    <row r="162" spans="1:77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0"/>
      <c r="L162" s="3"/>
      <c r="M162" s="3"/>
      <c r="N162" s="26"/>
      <c r="O162" s="26"/>
      <c r="P162" s="26"/>
      <c r="Q162" s="2"/>
      <c r="R162" s="2"/>
      <c r="S162" s="2"/>
      <c r="T162" s="2"/>
      <c r="U162" s="2"/>
      <c r="V162" s="14"/>
      <c r="W162" s="2"/>
      <c r="X162" s="14"/>
      <c r="Y162" s="14"/>
      <c r="Z162" s="14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</row>
    <row r="163" spans="1:77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0"/>
      <c r="L163" s="3"/>
      <c r="M163" s="3"/>
      <c r="N163" s="26"/>
      <c r="O163" s="26"/>
      <c r="P163" s="26"/>
      <c r="Q163" s="2"/>
      <c r="R163" s="2"/>
      <c r="S163" s="2"/>
      <c r="T163" s="2"/>
      <c r="U163" s="2"/>
      <c r="V163" s="14"/>
      <c r="W163" s="2"/>
      <c r="X163" s="14"/>
      <c r="Y163" s="14"/>
      <c r="Z163" s="14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</row>
    <row r="164" spans="1:77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0"/>
      <c r="L164" s="3"/>
      <c r="M164" s="3"/>
      <c r="N164" s="26"/>
      <c r="O164" s="26"/>
      <c r="P164" s="26"/>
      <c r="Q164" s="2"/>
      <c r="R164" s="2"/>
      <c r="S164" s="2"/>
      <c r="T164" s="2"/>
      <c r="U164" s="2"/>
      <c r="V164" s="14"/>
      <c r="W164" s="2"/>
      <c r="X164" s="14"/>
      <c r="Y164" s="14"/>
      <c r="Z164" s="14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</row>
    <row r="165" spans="1:77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0"/>
      <c r="L165" s="3"/>
      <c r="M165" s="3"/>
      <c r="N165" s="26"/>
      <c r="O165" s="26"/>
      <c r="P165" s="26"/>
      <c r="Q165" s="2"/>
      <c r="R165" s="2"/>
      <c r="S165" s="2"/>
      <c r="T165" s="2"/>
      <c r="U165" s="2"/>
      <c r="V165" s="14"/>
      <c r="W165" s="2"/>
      <c r="X165" s="14"/>
      <c r="Y165" s="14"/>
      <c r="Z165" s="14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</row>
    <row r="166" spans="1:77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0"/>
      <c r="L166" s="3"/>
      <c r="M166" s="3"/>
      <c r="N166" s="26"/>
      <c r="O166" s="26"/>
      <c r="P166" s="26"/>
      <c r="Q166" s="2"/>
      <c r="R166" s="2"/>
      <c r="S166" s="2"/>
      <c r="T166" s="2"/>
      <c r="U166" s="2"/>
      <c r="V166" s="14"/>
      <c r="W166" s="2"/>
      <c r="X166" s="14"/>
      <c r="Y166" s="14"/>
      <c r="Z166" s="14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</row>
    <row r="167" spans="1:77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0"/>
      <c r="L167" s="3"/>
      <c r="M167" s="3"/>
      <c r="N167" s="26"/>
      <c r="O167" s="26"/>
      <c r="P167" s="26"/>
      <c r="Q167" s="2"/>
      <c r="R167" s="2"/>
      <c r="S167" s="2"/>
      <c r="T167" s="2"/>
      <c r="U167" s="2"/>
      <c r="V167" s="14"/>
      <c r="W167" s="2"/>
      <c r="X167" s="14"/>
      <c r="Y167" s="14"/>
      <c r="Z167" s="14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</row>
    <row r="168" spans="1:77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0"/>
      <c r="L168" s="3"/>
      <c r="M168" s="3"/>
      <c r="N168" s="26"/>
      <c r="O168" s="26"/>
      <c r="P168" s="26"/>
      <c r="Q168" s="2"/>
      <c r="R168" s="2"/>
      <c r="S168" s="2"/>
      <c r="T168" s="2"/>
      <c r="U168" s="2"/>
      <c r="V168" s="14"/>
      <c r="W168" s="2"/>
      <c r="X168" s="14"/>
      <c r="Y168" s="14"/>
      <c r="Z168" s="14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</row>
    <row r="169" spans="1:77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0"/>
      <c r="L169" s="3"/>
      <c r="M169" s="3"/>
      <c r="N169" s="26"/>
      <c r="O169" s="26"/>
      <c r="P169" s="26"/>
      <c r="Q169" s="2"/>
      <c r="R169" s="2"/>
      <c r="S169" s="2"/>
      <c r="T169" s="2"/>
      <c r="U169" s="2"/>
      <c r="V169" s="14"/>
      <c r="W169" s="2"/>
      <c r="X169" s="14"/>
      <c r="Y169" s="14"/>
      <c r="Z169" s="14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</row>
    <row r="170" spans="1:77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0"/>
      <c r="L170" s="3"/>
      <c r="M170" s="3"/>
      <c r="N170" s="26"/>
      <c r="O170" s="26"/>
      <c r="P170" s="26"/>
      <c r="Q170" s="2"/>
      <c r="R170" s="2"/>
      <c r="S170" s="2"/>
      <c r="T170" s="2"/>
      <c r="U170" s="2"/>
      <c r="V170" s="14"/>
      <c r="W170" s="2"/>
      <c r="X170" s="14"/>
      <c r="Y170" s="14"/>
      <c r="Z170" s="14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</row>
    <row r="171" spans="1:77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0"/>
      <c r="L171" s="3"/>
      <c r="M171" s="3"/>
      <c r="N171" s="26"/>
      <c r="O171" s="26"/>
      <c r="P171" s="26"/>
      <c r="Q171" s="2"/>
      <c r="R171" s="2"/>
      <c r="S171" s="2"/>
      <c r="T171" s="2"/>
      <c r="U171" s="2"/>
      <c r="V171" s="14"/>
      <c r="W171" s="2"/>
      <c r="X171" s="14"/>
      <c r="Y171" s="14"/>
      <c r="Z171" s="14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</row>
    <row r="172" spans="1:77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0"/>
      <c r="L172" s="3"/>
      <c r="M172" s="3"/>
      <c r="N172" s="26"/>
      <c r="O172" s="26"/>
      <c r="P172" s="26"/>
      <c r="Q172" s="2"/>
      <c r="R172" s="2"/>
      <c r="S172" s="2"/>
      <c r="T172" s="2"/>
      <c r="U172" s="2"/>
      <c r="V172" s="14"/>
      <c r="W172" s="2"/>
      <c r="X172" s="14"/>
      <c r="Y172" s="14"/>
      <c r="Z172" s="14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</row>
    <row r="173" spans="1:77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0"/>
      <c r="L173" s="3"/>
      <c r="M173" s="3"/>
      <c r="N173" s="26"/>
      <c r="O173" s="26"/>
      <c r="P173" s="26"/>
      <c r="Q173" s="2"/>
      <c r="R173" s="2"/>
      <c r="S173" s="2"/>
      <c r="T173" s="2"/>
      <c r="U173" s="2"/>
      <c r="V173" s="14"/>
      <c r="W173" s="2"/>
      <c r="X173" s="14"/>
      <c r="Y173" s="14"/>
      <c r="Z173" s="14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</row>
    <row r="174" spans="1:77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0"/>
      <c r="L174" s="3"/>
      <c r="M174" s="3"/>
      <c r="N174" s="26"/>
      <c r="O174" s="26"/>
      <c r="P174" s="26"/>
      <c r="Q174" s="2"/>
      <c r="R174" s="2"/>
      <c r="S174" s="2"/>
      <c r="T174" s="2"/>
      <c r="U174" s="2"/>
      <c r="V174" s="14"/>
      <c r="W174" s="2"/>
      <c r="X174" s="14"/>
      <c r="Y174" s="14"/>
      <c r="Z174" s="14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</row>
    <row r="175" spans="1:77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0"/>
      <c r="L175" s="3"/>
      <c r="M175" s="3"/>
      <c r="N175" s="26"/>
      <c r="O175" s="26"/>
      <c r="P175" s="26"/>
      <c r="Q175" s="2"/>
      <c r="R175" s="2"/>
      <c r="S175" s="2"/>
      <c r="T175" s="2"/>
      <c r="U175" s="2"/>
      <c r="V175" s="14"/>
      <c r="W175" s="2"/>
      <c r="X175" s="14"/>
      <c r="Y175" s="14"/>
      <c r="Z175" s="14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</row>
    <row r="176" spans="1:77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0"/>
      <c r="L176" s="3"/>
      <c r="M176" s="3"/>
      <c r="N176" s="26"/>
      <c r="O176" s="26"/>
      <c r="P176" s="26"/>
      <c r="Q176" s="2"/>
      <c r="R176" s="2"/>
      <c r="S176" s="2"/>
      <c r="T176" s="2"/>
      <c r="U176" s="2"/>
      <c r="V176" s="14"/>
      <c r="W176" s="2"/>
      <c r="X176" s="14"/>
      <c r="Y176" s="14"/>
      <c r="Z176" s="14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</row>
    <row r="177" spans="1:77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0"/>
      <c r="L177" s="3"/>
      <c r="M177" s="3"/>
      <c r="N177" s="26"/>
      <c r="O177" s="26"/>
      <c r="P177" s="26"/>
      <c r="Q177" s="2"/>
      <c r="R177" s="2"/>
      <c r="S177" s="2"/>
      <c r="T177" s="2"/>
      <c r="U177" s="2"/>
      <c r="V177" s="14"/>
      <c r="W177" s="2"/>
      <c r="X177" s="14"/>
      <c r="Y177" s="14"/>
      <c r="Z177" s="14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</row>
    <row r="178" spans="1:77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0"/>
      <c r="L178" s="3"/>
      <c r="M178" s="3"/>
      <c r="N178" s="26"/>
      <c r="O178" s="26"/>
      <c r="P178" s="26"/>
      <c r="Q178" s="2"/>
      <c r="R178" s="2"/>
      <c r="S178" s="2"/>
      <c r="T178" s="2"/>
      <c r="U178" s="2"/>
      <c r="V178" s="14"/>
      <c r="W178" s="2"/>
      <c r="X178" s="14"/>
      <c r="Y178" s="14"/>
      <c r="Z178" s="14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</row>
    <row r="179" spans="1:77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0"/>
      <c r="L179" s="3"/>
      <c r="M179" s="3"/>
      <c r="N179" s="26"/>
      <c r="O179" s="26"/>
      <c r="P179" s="26"/>
      <c r="Q179" s="2"/>
      <c r="R179" s="2"/>
      <c r="S179" s="2"/>
      <c r="T179" s="2"/>
      <c r="U179" s="2"/>
      <c r="V179" s="14"/>
      <c r="W179" s="2"/>
      <c r="X179" s="14"/>
      <c r="Y179" s="14"/>
      <c r="Z179" s="14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</row>
    <row r="180" spans="1:77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0"/>
      <c r="L180" s="3"/>
      <c r="M180" s="3"/>
      <c r="N180" s="26"/>
      <c r="O180" s="26"/>
      <c r="P180" s="26"/>
      <c r="Q180" s="2"/>
      <c r="R180" s="2"/>
      <c r="S180" s="2"/>
      <c r="T180" s="2"/>
      <c r="U180" s="2"/>
      <c r="V180" s="14"/>
      <c r="W180" s="2"/>
      <c r="X180" s="14"/>
      <c r="Y180" s="14"/>
      <c r="Z180" s="14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</row>
    <row r="181" spans="1:77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0"/>
      <c r="L181" s="3"/>
      <c r="M181" s="3"/>
      <c r="N181" s="26"/>
      <c r="O181" s="26"/>
      <c r="P181" s="26"/>
      <c r="Q181" s="2"/>
      <c r="R181" s="2"/>
      <c r="S181" s="2"/>
      <c r="T181" s="2"/>
      <c r="U181" s="2"/>
      <c r="V181" s="14"/>
      <c r="W181" s="2"/>
      <c r="X181" s="14"/>
      <c r="Y181" s="14"/>
      <c r="Z181" s="14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</row>
    <row r="182" spans="1:77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0"/>
      <c r="L182" s="3"/>
      <c r="M182" s="3"/>
      <c r="N182" s="26"/>
      <c r="O182" s="26"/>
      <c r="P182" s="26"/>
      <c r="Q182" s="2"/>
      <c r="R182" s="2"/>
      <c r="S182" s="2"/>
      <c r="T182" s="2"/>
      <c r="U182" s="2"/>
      <c r="V182" s="14"/>
      <c r="W182" s="2"/>
      <c r="X182" s="14"/>
      <c r="Y182" s="14"/>
      <c r="Z182" s="14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</row>
    <row r="183" spans="1:77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0"/>
      <c r="L183" s="3"/>
      <c r="M183" s="3"/>
      <c r="N183" s="52"/>
      <c r="O183" s="26"/>
      <c r="P183" s="26"/>
      <c r="Q183" s="2"/>
      <c r="R183" s="2"/>
      <c r="S183" s="2"/>
      <c r="T183" s="2"/>
      <c r="U183" s="2"/>
      <c r="V183" s="14"/>
      <c r="W183" s="2"/>
      <c r="X183" s="14"/>
      <c r="Y183" s="16"/>
      <c r="Z183" s="16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</row>
    <row r="184" spans="1:77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0"/>
      <c r="L184" s="3"/>
      <c r="M184" s="3"/>
      <c r="N184" s="26"/>
      <c r="O184" s="26"/>
      <c r="P184" s="26"/>
      <c r="Q184" s="2"/>
      <c r="R184" s="2"/>
      <c r="S184" s="2"/>
      <c r="T184" s="2"/>
      <c r="U184" s="2"/>
      <c r="V184" s="14"/>
      <c r="W184" s="2"/>
      <c r="X184" s="14"/>
      <c r="Y184" s="14"/>
      <c r="Z184" s="14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</row>
    <row r="185" spans="1:77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0"/>
      <c r="L185" s="3"/>
      <c r="M185" s="3"/>
      <c r="N185" s="26"/>
      <c r="O185" s="26"/>
      <c r="P185" s="26"/>
      <c r="Q185" s="2"/>
      <c r="R185" s="2"/>
      <c r="S185" s="2"/>
      <c r="T185" s="2"/>
      <c r="U185" s="2"/>
      <c r="V185" s="14"/>
      <c r="W185" s="2"/>
      <c r="X185" s="14"/>
      <c r="Y185" s="14"/>
      <c r="Z185" s="14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</row>
    <row r="186" spans="1:77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0"/>
      <c r="L186" s="3"/>
      <c r="M186" s="3"/>
      <c r="N186" s="26"/>
      <c r="O186" s="26"/>
      <c r="P186" s="26"/>
      <c r="Q186" s="2"/>
      <c r="R186" s="2"/>
      <c r="S186" s="2"/>
      <c r="T186" s="2"/>
      <c r="U186" s="2"/>
      <c r="V186" s="14"/>
      <c r="W186" s="2"/>
      <c r="X186" s="14"/>
      <c r="Y186" s="14"/>
      <c r="Z186" s="14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</row>
    <row r="187" spans="1:77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0"/>
      <c r="L187" s="3"/>
      <c r="M187" s="3"/>
      <c r="N187" s="26"/>
      <c r="O187" s="26"/>
      <c r="P187" s="26"/>
      <c r="Q187" s="2"/>
      <c r="R187" s="2"/>
      <c r="S187" s="2"/>
      <c r="T187" s="2"/>
      <c r="U187" s="2"/>
      <c r="V187" s="14"/>
      <c r="W187" s="2"/>
      <c r="X187" s="14"/>
      <c r="Y187" s="14"/>
      <c r="Z187" s="14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</row>
    <row r="188" spans="1:77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0"/>
      <c r="L188" s="3"/>
      <c r="M188" s="3"/>
      <c r="N188" s="26"/>
      <c r="O188" s="26"/>
      <c r="P188" s="26"/>
      <c r="Q188" s="2"/>
      <c r="R188" s="2"/>
      <c r="S188" s="2"/>
      <c r="T188" s="2"/>
      <c r="U188" s="2"/>
      <c r="V188" s="14"/>
      <c r="W188" s="2"/>
      <c r="X188" s="14"/>
      <c r="Y188" s="14"/>
      <c r="Z188" s="14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</row>
    <row r="189" spans="1:77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0"/>
      <c r="L189" s="3"/>
      <c r="M189" s="3"/>
      <c r="N189" s="26"/>
      <c r="O189" s="26"/>
      <c r="P189" s="26"/>
      <c r="Q189" s="2"/>
      <c r="R189" s="2"/>
      <c r="S189" s="2"/>
      <c r="T189" s="2"/>
      <c r="U189" s="2"/>
      <c r="V189" s="14"/>
      <c r="W189" s="2"/>
      <c r="X189" s="14"/>
      <c r="Y189" s="14"/>
      <c r="Z189" s="14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</row>
    <row r="190" spans="1:77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0"/>
      <c r="L190" s="3"/>
      <c r="M190" s="3"/>
      <c r="N190" s="26"/>
      <c r="O190" s="26"/>
      <c r="P190" s="26"/>
      <c r="Q190" s="2"/>
      <c r="R190" s="2"/>
      <c r="S190" s="2"/>
      <c r="T190" s="2"/>
      <c r="U190" s="2"/>
      <c r="V190" s="14"/>
      <c r="W190" s="2"/>
      <c r="X190" s="14"/>
      <c r="Y190" s="14"/>
      <c r="Z190" s="14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</row>
    <row r="191" spans="1:77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0"/>
      <c r="L191" s="3"/>
      <c r="M191" s="3"/>
      <c r="N191" s="26"/>
      <c r="O191" s="26"/>
      <c r="P191" s="26"/>
      <c r="Q191" s="2"/>
      <c r="R191" s="2"/>
      <c r="S191" s="2"/>
      <c r="T191" s="2"/>
      <c r="U191" s="2"/>
      <c r="V191" s="14"/>
      <c r="W191" s="2"/>
      <c r="X191" s="14"/>
      <c r="Y191" s="14"/>
      <c r="Z191" s="14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</row>
    <row r="192" spans="1:77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0"/>
      <c r="L192" s="3"/>
      <c r="M192" s="3"/>
      <c r="N192" s="26"/>
      <c r="O192" s="26"/>
      <c r="P192" s="26"/>
      <c r="Q192" s="2"/>
      <c r="R192" s="2"/>
      <c r="S192" s="2"/>
      <c r="T192" s="2"/>
      <c r="U192" s="2"/>
      <c r="V192" s="14"/>
      <c r="W192" s="2"/>
      <c r="X192" s="14"/>
      <c r="Y192" s="14"/>
      <c r="Z192" s="14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</row>
    <row r="193" spans="1:77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0"/>
      <c r="L193" s="3"/>
      <c r="M193" s="3"/>
      <c r="N193" s="26"/>
      <c r="O193" s="26"/>
      <c r="P193" s="26"/>
      <c r="Q193" s="2"/>
      <c r="R193" s="2"/>
      <c r="S193" s="2"/>
      <c r="T193" s="2"/>
      <c r="U193" s="2"/>
      <c r="V193" s="14"/>
      <c r="W193" s="2"/>
      <c r="X193" s="14"/>
      <c r="Y193" s="14"/>
      <c r="Z193" s="14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</row>
    <row r="194" spans="1:77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0"/>
      <c r="L194" s="3"/>
      <c r="M194" s="3"/>
      <c r="N194" s="26"/>
      <c r="O194" s="26"/>
      <c r="P194" s="26"/>
      <c r="Q194" s="2"/>
      <c r="R194" s="2"/>
      <c r="S194" s="2"/>
      <c r="T194" s="2"/>
      <c r="U194" s="2"/>
      <c r="V194" s="14"/>
      <c r="W194" s="2"/>
      <c r="X194" s="14"/>
      <c r="Y194" s="14"/>
      <c r="Z194" s="14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</row>
    <row r="195" spans="1:77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0"/>
      <c r="L195" s="3"/>
      <c r="M195" s="3"/>
      <c r="N195" s="26"/>
      <c r="O195" s="26"/>
      <c r="P195" s="26"/>
      <c r="Q195" s="2"/>
      <c r="R195" s="2"/>
      <c r="S195" s="2"/>
      <c r="T195" s="2"/>
      <c r="U195" s="2"/>
      <c r="V195" s="14"/>
      <c r="W195" s="2"/>
      <c r="X195" s="14"/>
      <c r="Y195" s="14"/>
      <c r="Z195" s="14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</row>
    <row r="196" spans="1:77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0"/>
      <c r="L196" s="3"/>
      <c r="M196" s="3"/>
      <c r="N196" s="26"/>
      <c r="O196" s="26"/>
      <c r="P196" s="26"/>
      <c r="Q196" s="2"/>
      <c r="R196" s="2"/>
      <c r="S196" s="2"/>
      <c r="T196" s="2"/>
      <c r="U196" s="2"/>
      <c r="V196" s="14"/>
      <c r="W196" s="2"/>
      <c r="X196" s="14"/>
      <c r="Y196" s="14"/>
      <c r="Z196" s="14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</row>
    <row r="197" spans="1:77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0"/>
      <c r="L197" s="3"/>
      <c r="M197" s="3"/>
      <c r="N197" s="26"/>
      <c r="O197" s="26"/>
      <c r="P197" s="26"/>
      <c r="Q197" s="2"/>
      <c r="R197" s="2"/>
      <c r="S197" s="2"/>
      <c r="T197" s="2"/>
      <c r="U197" s="2"/>
      <c r="V197" s="14"/>
      <c r="W197" s="2"/>
      <c r="X197" s="14"/>
      <c r="Y197" s="14"/>
      <c r="Z197" s="14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</row>
    <row r="198" spans="1:77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0"/>
      <c r="L198" s="3"/>
      <c r="M198" s="3"/>
      <c r="N198" s="26"/>
      <c r="O198" s="26"/>
      <c r="P198" s="26"/>
      <c r="Q198" s="2"/>
      <c r="R198" s="2"/>
      <c r="S198" s="2"/>
      <c r="T198" s="2"/>
      <c r="U198" s="2"/>
      <c r="V198" s="14"/>
      <c r="W198" s="2"/>
      <c r="X198" s="14"/>
      <c r="Y198" s="14"/>
      <c r="Z198" s="14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</row>
    <row r="199" spans="1:77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0"/>
      <c r="L199" s="3"/>
      <c r="M199" s="3"/>
      <c r="N199" s="26"/>
      <c r="O199" s="26"/>
      <c r="P199" s="26"/>
      <c r="Q199" s="2"/>
      <c r="R199" s="2"/>
      <c r="S199" s="2"/>
      <c r="T199" s="2"/>
      <c r="U199" s="2"/>
      <c r="V199" s="14"/>
      <c r="W199" s="2"/>
      <c r="X199" s="14"/>
      <c r="Y199" s="14"/>
      <c r="Z199" s="14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</row>
    <row r="200" spans="1:77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0"/>
      <c r="L200" s="3"/>
      <c r="M200" s="3"/>
      <c r="N200" s="26"/>
      <c r="O200" s="26"/>
      <c r="P200" s="26"/>
      <c r="Q200" s="2"/>
      <c r="R200" s="2"/>
      <c r="S200" s="2"/>
      <c r="T200" s="2"/>
      <c r="U200" s="2"/>
      <c r="V200" s="14"/>
      <c r="W200" s="2"/>
      <c r="X200" s="14"/>
      <c r="Y200" s="14"/>
      <c r="Z200" s="14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</row>
    <row r="201" spans="1:77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0"/>
      <c r="L201" s="3"/>
      <c r="M201" s="3"/>
      <c r="N201" s="26"/>
      <c r="O201" s="26"/>
      <c r="P201" s="26"/>
      <c r="Q201" s="2"/>
      <c r="R201" s="2"/>
      <c r="S201" s="2"/>
      <c r="T201" s="2"/>
      <c r="U201" s="2"/>
      <c r="V201" s="14"/>
      <c r="W201" s="2"/>
      <c r="X201" s="14"/>
      <c r="Y201" s="14"/>
      <c r="Z201" s="14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</row>
    <row r="202" spans="1:77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0"/>
      <c r="L202" s="3"/>
      <c r="M202" s="3"/>
      <c r="N202" s="26"/>
      <c r="O202" s="26"/>
      <c r="P202" s="26"/>
      <c r="Q202" s="2"/>
      <c r="R202" s="2"/>
      <c r="S202" s="2"/>
      <c r="T202" s="2"/>
      <c r="U202" s="2"/>
      <c r="V202" s="14"/>
      <c r="W202" s="2"/>
      <c r="X202" s="14"/>
      <c r="Y202" s="14"/>
      <c r="Z202" s="14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</row>
    <row r="203" spans="1:77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3"/>
      <c r="M203" s="3"/>
      <c r="N203" s="26"/>
      <c r="O203" s="26"/>
      <c r="P203" s="26"/>
      <c r="Q203" s="2"/>
      <c r="R203" s="2"/>
      <c r="S203" s="2"/>
      <c r="T203" s="2"/>
      <c r="U203" s="2"/>
      <c r="V203" s="14"/>
      <c r="W203" s="2"/>
      <c r="X203" s="14"/>
      <c r="Y203" s="14"/>
      <c r="Z203" s="14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</row>
    <row r="204" spans="1:77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0"/>
      <c r="L204" s="3"/>
      <c r="M204" s="3"/>
      <c r="N204" s="26"/>
      <c r="O204" s="26"/>
      <c r="P204" s="26"/>
      <c r="Q204" s="2"/>
      <c r="R204" s="2"/>
      <c r="S204" s="2"/>
      <c r="T204" s="2"/>
      <c r="U204" s="2"/>
      <c r="V204" s="14"/>
      <c r="W204" s="2"/>
      <c r="X204" s="14"/>
      <c r="Y204" s="14"/>
      <c r="Z204" s="14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</row>
    <row r="205" spans="1:77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0"/>
      <c r="L205" s="3"/>
      <c r="M205" s="3"/>
      <c r="N205" s="26"/>
      <c r="O205" s="26"/>
      <c r="P205" s="26"/>
      <c r="Q205" s="2"/>
      <c r="R205" s="2"/>
      <c r="S205" s="2"/>
      <c r="T205" s="2"/>
      <c r="U205" s="2"/>
      <c r="V205" s="14"/>
      <c r="W205" s="2"/>
      <c r="X205" s="14"/>
      <c r="Y205" s="14"/>
      <c r="Z205" s="14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</row>
    <row r="206" spans="1:77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0"/>
      <c r="L206" s="3"/>
      <c r="M206" s="3"/>
      <c r="N206" s="26"/>
      <c r="O206" s="26"/>
      <c r="P206" s="26"/>
      <c r="Q206" s="2"/>
      <c r="R206" s="2"/>
      <c r="S206" s="2"/>
      <c r="T206" s="2"/>
      <c r="U206" s="2"/>
      <c r="V206" s="14"/>
      <c r="W206" s="2"/>
      <c r="X206" s="14"/>
      <c r="Y206" s="14"/>
      <c r="Z206" s="14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</row>
    <row r="207" spans="1:77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0"/>
      <c r="L207" s="3"/>
      <c r="M207" s="3"/>
      <c r="N207" s="26"/>
      <c r="O207" s="26"/>
      <c r="P207" s="26"/>
      <c r="Q207" s="2"/>
      <c r="R207" s="2"/>
      <c r="S207" s="2"/>
      <c r="T207" s="2"/>
      <c r="U207" s="2"/>
      <c r="V207" s="14"/>
      <c r="W207" s="2"/>
      <c r="X207" s="14"/>
      <c r="Y207" s="14"/>
      <c r="Z207" s="14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</row>
    <row r="208" spans="1:77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0"/>
      <c r="L208" s="3"/>
      <c r="M208" s="3"/>
      <c r="N208" s="26"/>
      <c r="O208" s="26"/>
      <c r="P208" s="26"/>
      <c r="Q208" s="2"/>
      <c r="R208" s="2"/>
      <c r="S208" s="2"/>
      <c r="T208" s="2"/>
      <c r="U208" s="2"/>
      <c r="V208" s="14"/>
      <c r="W208" s="2"/>
      <c r="X208" s="14"/>
      <c r="Y208" s="14"/>
      <c r="Z208" s="14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</row>
    <row r="209" spans="1:77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0"/>
      <c r="L209" s="3"/>
      <c r="M209" s="3"/>
      <c r="N209" s="26"/>
      <c r="O209" s="26"/>
      <c r="P209" s="26"/>
      <c r="Q209" s="2"/>
      <c r="R209" s="2"/>
      <c r="S209" s="2"/>
      <c r="T209" s="2"/>
      <c r="U209" s="2"/>
      <c r="V209" s="14"/>
      <c r="W209" s="2"/>
      <c r="X209" s="14"/>
      <c r="Y209" s="14"/>
      <c r="Z209" s="14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</row>
    <row r="210" spans="1:77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0"/>
      <c r="L210" s="3"/>
      <c r="M210" s="3"/>
      <c r="N210" s="26"/>
      <c r="O210" s="26"/>
      <c r="P210" s="26"/>
      <c r="Q210" s="2"/>
      <c r="R210" s="2"/>
      <c r="S210" s="2"/>
      <c r="T210" s="2"/>
      <c r="U210" s="2"/>
      <c r="V210" s="14"/>
      <c r="W210" s="2"/>
      <c r="X210" s="14"/>
      <c r="Y210" s="14"/>
      <c r="Z210" s="14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</row>
    <row r="211" spans="1:77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0"/>
      <c r="L211" s="3"/>
      <c r="M211" s="3"/>
      <c r="N211" s="26"/>
      <c r="O211" s="26"/>
      <c r="P211" s="26"/>
      <c r="Q211" s="2"/>
      <c r="R211" s="2"/>
      <c r="S211" s="2"/>
      <c r="T211" s="2"/>
      <c r="U211" s="2"/>
      <c r="V211" s="14"/>
      <c r="W211" s="2"/>
      <c r="X211" s="14"/>
      <c r="Y211" s="14"/>
      <c r="Z211" s="14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</row>
    <row r="212" spans="1:77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0"/>
      <c r="L212" s="3"/>
      <c r="M212" s="3"/>
      <c r="N212" s="26"/>
      <c r="O212" s="26"/>
      <c r="P212" s="26"/>
      <c r="Q212" s="2"/>
      <c r="R212" s="2"/>
      <c r="S212" s="2"/>
      <c r="T212" s="2"/>
      <c r="U212" s="2"/>
      <c r="V212" s="14"/>
      <c r="W212" s="2"/>
      <c r="X212" s="14"/>
      <c r="Y212" s="14"/>
      <c r="Z212" s="14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</row>
    <row r="213" spans="1:77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0"/>
      <c r="L213" s="3"/>
      <c r="M213" s="3"/>
      <c r="N213" s="26"/>
      <c r="O213" s="26"/>
      <c r="P213" s="26"/>
      <c r="Q213" s="2"/>
      <c r="R213" s="2"/>
      <c r="S213" s="2"/>
      <c r="T213" s="2"/>
      <c r="U213" s="2"/>
      <c r="V213" s="14"/>
      <c r="W213" s="2"/>
      <c r="X213" s="14"/>
      <c r="Y213" s="14"/>
      <c r="Z213" s="14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</row>
    <row r="214" spans="1:77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0"/>
      <c r="L214" s="3"/>
      <c r="M214" s="3"/>
      <c r="N214" s="26"/>
      <c r="O214" s="26"/>
      <c r="P214" s="26"/>
      <c r="Q214" s="2"/>
      <c r="R214" s="2"/>
      <c r="S214" s="2"/>
      <c r="T214" s="2"/>
      <c r="U214" s="2"/>
      <c r="V214" s="14"/>
      <c r="W214" s="2"/>
      <c r="X214" s="14"/>
      <c r="Y214" s="14"/>
      <c r="Z214" s="14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</row>
    <row r="215" spans="1:77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0"/>
      <c r="L215" s="3"/>
      <c r="M215" s="3"/>
      <c r="N215" s="26"/>
      <c r="O215" s="26"/>
      <c r="P215" s="26"/>
      <c r="Q215" s="2"/>
      <c r="R215" s="2"/>
      <c r="S215" s="2"/>
      <c r="T215" s="2"/>
      <c r="U215" s="2"/>
      <c r="V215" s="14"/>
      <c r="W215" s="2"/>
      <c r="X215" s="14"/>
      <c r="Y215" s="14"/>
      <c r="Z215" s="14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</row>
    <row r="216" spans="1:77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0"/>
      <c r="L216" s="3"/>
      <c r="M216" s="3"/>
      <c r="N216" s="26"/>
      <c r="O216" s="26"/>
      <c r="P216" s="26"/>
      <c r="Q216" s="2"/>
      <c r="R216" s="2"/>
      <c r="S216" s="2"/>
      <c r="T216" s="2"/>
      <c r="U216" s="2"/>
      <c r="V216" s="14"/>
      <c r="W216" s="2"/>
      <c r="X216" s="14"/>
      <c r="Y216" s="14"/>
      <c r="Z216" s="14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</row>
    <row r="217" spans="1:77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0"/>
      <c r="L217" s="3"/>
      <c r="M217" s="3"/>
      <c r="N217" s="26"/>
      <c r="O217" s="26"/>
      <c r="P217" s="26"/>
      <c r="Q217" s="2"/>
      <c r="R217" s="2"/>
      <c r="S217" s="2"/>
      <c r="T217" s="2"/>
      <c r="U217" s="2"/>
      <c r="V217" s="14"/>
      <c r="W217" s="2"/>
      <c r="X217" s="14"/>
      <c r="Y217" s="14"/>
      <c r="Z217" s="14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</row>
    <row r="218" spans="1:77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0"/>
      <c r="L218" s="3"/>
      <c r="M218" s="3"/>
      <c r="N218" s="26"/>
      <c r="O218" s="26"/>
      <c r="P218" s="26"/>
      <c r="Q218" s="2"/>
      <c r="R218" s="2"/>
      <c r="S218" s="2"/>
      <c r="T218" s="2"/>
      <c r="U218" s="2"/>
      <c r="V218" s="14"/>
      <c r="W218" s="2"/>
      <c r="X218" s="14"/>
      <c r="Y218" s="14"/>
      <c r="Z218" s="14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</row>
    <row r="219" spans="1:77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0"/>
      <c r="L219" s="3"/>
      <c r="M219" s="3"/>
      <c r="N219" s="26"/>
      <c r="O219" s="26"/>
      <c r="P219" s="26"/>
      <c r="Q219" s="2"/>
      <c r="R219" s="2"/>
      <c r="S219" s="2"/>
      <c r="T219" s="2"/>
      <c r="U219" s="2"/>
      <c r="V219" s="14"/>
      <c r="W219" s="2"/>
      <c r="X219" s="14"/>
      <c r="Y219" s="14"/>
      <c r="Z219" s="14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</row>
    <row r="220" spans="1:77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0"/>
      <c r="L220" s="3"/>
      <c r="M220" s="3"/>
      <c r="N220" s="26"/>
      <c r="O220" s="26"/>
      <c r="P220" s="26"/>
      <c r="Q220" s="2"/>
      <c r="R220" s="2"/>
      <c r="S220" s="2"/>
      <c r="T220" s="2"/>
      <c r="U220" s="2"/>
      <c r="V220" s="14"/>
      <c r="W220" s="2"/>
      <c r="X220" s="14"/>
      <c r="Y220" s="14"/>
      <c r="Z220" s="14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</row>
    <row r="221" spans="1:77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0"/>
      <c r="L221" s="3"/>
      <c r="M221" s="3"/>
      <c r="N221" s="26"/>
      <c r="O221" s="26"/>
      <c r="P221" s="26"/>
      <c r="Q221" s="2"/>
      <c r="R221" s="2"/>
      <c r="S221" s="2"/>
      <c r="T221" s="2"/>
      <c r="U221" s="2"/>
      <c r="V221" s="14"/>
      <c r="W221" s="2"/>
      <c r="X221" s="14"/>
      <c r="Y221" s="14"/>
      <c r="Z221" s="14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</row>
    <row r="222" spans="1:77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0"/>
      <c r="L222" s="3"/>
      <c r="M222" s="3"/>
      <c r="N222" s="26"/>
      <c r="O222" s="26"/>
      <c r="P222" s="26"/>
      <c r="Q222" s="2"/>
      <c r="R222" s="2"/>
      <c r="S222" s="2"/>
      <c r="T222" s="2"/>
      <c r="U222" s="2"/>
      <c r="V222" s="14"/>
      <c r="W222" s="2"/>
      <c r="X222" s="14"/>
      <c r="Y222" s="14"/>
      <c r="Z222" s="14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</row>
    <row r="223" spans="1:77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0"/>
      <c r="L223" s="3"/>
      <c r="M223" s="3"/>
      <c r="N223" s="26"/>
      <c r="O223" s="26"/>
      <c r="P223" s="26"/>
      <c r="Q223" s="2"/>
      <c r="R223" s="2"/>
      <c r="S223" s="2"/>
      <c r="T223" s="2"/>
      <c r="U223" s="2"/>
      <c r="V223" s="14"/>
      <c r="W223" s="2"/>
      <c r="X223" s="14"/>
      <c r="Y223" s="14"/>
      <c r="Z223" s="14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</row>
    <row r="224" spans="1:77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0"/>
      <c r="L224" s="3"/>
      <c r="M224" s="3"/>
      <c r="N224" s="30"/>
      <c r="O224" s="30"/>
      <c r="P224" s="30"/>
      <c r="Q224" s="9"/>
      <c r="R224" s="9"/>
      <c r="S224" s="9"/>
      <c r="T224" s="9"/>
      <c r="U224" s="9"/>
      <c r="V224" s="17"/>
      <c r="W224" s="9"/>
      <c r="X224" s="17"/>
      <c r="Y224" s="17"/>
      <c r="Z224" s="17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</row>
    <row r="225" spans="1:77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0"/>
      <c r="L225" s="3"/>
      <c r="M225" s="3"/>
      <c r="N225" s="30"/>
      <c r="O225" s="30"/>
      <c r="P225" s="30"/>
      <c r="Q225" s="9"/>
      <c r="R225" s="9"/>
      <c r="S225" s="9"/>
      <c r="T225" s="9"/>
      <c r="U225" s="9"/>
      <c r="V225" s="17"/>
      <c r="W225" s="9"/>
      <c r="X225" s="17"/>
      <c r="Y225" s="17"/>
      <c r="Z225" s="17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</row>
    <row r="226" spans="1:77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0"/>
      <c r="L226" s="3"/>
      <c r="M226" s="3"/>
      <c r="N226" s="30"/>
      <c r="O226" s="30"/>
      <c r="P226" s="30"/>
      <c r="Q226" s="9"/>
      <c r="R226" s="9"/>
      <c r="S226" s="9"/>
      <c r="T226" s="9"/>
      <c r="U226" s="9"/>
      <c r="V226" s="17"/>
      <c r="W226" s="9"/>
      <c r="X226" s="17"/>
      <c r="Y226" s="17"/>
      <c r="Z226" s="17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</row>
    <row r="227" spans="1:77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0"/>
      <c r="L227" s="3"/>
      <c r="M227" s="3"/>
      <c r="N227" s="30"/>
      <c r="O227" s="30"/>
      <c r="P227" s="30"/>
      <c r="Q227" s="9"/>
      <c r="R227" s="9"/>
      <c r="S227" s="9"/>
      <c r="T227" s="9"/>
      <c r="U227" s="9"/>
      <c r="V227" s="17"/>
      <c r="W227" s="9"/>
      <c r="X227" s="17"/>
      <c r="Y227" s="17"/>
      <c r="Z227" s="17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</row>
    <row r="228" spans="1:77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0"/>
      <c r="L228" s="3"/>
      <c r="M228" s="3"/>
      <c r="N228" s="30"/>
      <c r="O228" s="30"/>
      <c r="P228" s="30"/>
      <c r="Q228" s="9"/>
      <c r="R228" s="9"/>
      <c r="S228" s="9"/>
      <c r="T228" s="9"/>
      <c r="U228" s="9"/>
      <c r="V228" s="17"/>
      <c r="W228" s="9"/>
      <c r="X228" s="17"/>
      <c r="Y228" s="17"/>
      <c r="Z228" s="17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</row>
    <row r="229" spans="1:77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0"/>
      <c r="L229" s="3"/>
      <c r="M229" s="3"/>
      <c r="N229" s="30"/>
      <c r="O229" s="30"/>
      <c r="P229" s="30"/>
      <c r="Q229" s="9"/>
      <c r="R229" s="9"/>
      <c r="S229" s="9"/>
      <c r="T229" s="9"/>
      <c r="U229" s="9"/>
      <c r="V229" s="17"/>
      <c r="W229" s="9"/>
      <c r="X229" s="17"/>
      <c r="Y229" s="17"/>
      <c r="Z229" s="17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</row>
    <row r="230" spans="1:77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0"/>
      <c r="L230" s="3"/>
      <c r="M230" s="3"/>
      <c r="N230" s="30"/>
      <c r="O230" s="30"/>
      <c r="P230" s="30"/>
      <c r="Q230" s="9"/>
      <c r="R230" s="9"/>
      <c r="S230" s="9"/>
      <c r="T230" s="9"/>
      <c r="U230" s="9"/>
      <c r="V230" s="17"/>
      <c r="W230" s="9"/>
      <c r="X230" s="17"/>
      <c r="Y230" s="17"/>
      <c r="Z230" s="17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</row>
    <row r="231" spans="1:77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0"/>
      <c r="L231" s="3"/>
      <c r="M231" s="3"/>
      <c r="N231" s="30"/>
      <c r="O231" s="30"/>
      <c r="P231" s="30"/>
      <c r="Q231" s="9"/>
      <c r="R231" s="9"/>
      <c r="S231" s="9"/>
      <c r="T231" s="9"/>
      <c r="U231" s="9"/>
      <c r="V231" s="17"/>
      <c r="W231" s="9"/>
      <c r="X231" s="17"/>
      <c r="Y231" s="17"/>
      <c r="Z231" s="17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</row>
    <row r="232" spans="1:77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0"/>
      <c r="L232" s="3"/>
      <c r="M232" s="3"/>
      <c r="N232" s="30"/>
      <c r="O232" s="30"/>
      <c r="P232" s="30"/>
      <c r="Q232" s="9"/>
      <c r="R232" s="9"/>
      <c r="S232" s="9"/>
      <c r="T232" s="9"/>
      <c r="U232" s="9"/>
      <c r="V232" s="17"/>
      <c r="W232" s="9"/>
      <c r="X232" s="17"/>
      <c r="Y232" s="17"/>
      <c r="Z232" s="17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</row>
    <row r="233" spans="1:77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0"/>
      <c r="L233" s="3"/>
      <c r="M233" s="3"/>
      <c r="N233" s="30"/>
      <c r="O233" s="30"/>
      <c r="P233" s="30"/>
      <c r="Q233" s="9"/>
      <c r="R233" s="9"/>
      <c r="S233" s="9"/>
      <c r="T233" s="9"/>
      <c r="U233" s="9"/>
      <c r="V233" s="17"/>
      <c r="W233" s="9"/>
      <c r="X233" s="17"/>
      <c r="Y233" s="17"/>
      <c r="Z233" s="17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</row>
    <row r="234" spans="1:77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0"/>
      <c r="L234" s="3"/>
      <c r="M234" s="3"/>
      <c r="N234" s="30"/>
      <c r="O234" s="30"/>
      <c r="P234" s="30"/>
      <c r="Q234" s="9"/>
      <c r="R234" s="9"/>
      <c r="S234" s="9"/>
      <c r="T234" s="9"/>
      <c r="U234" s="9"/>
      <c r="V234" s="17"/>
      <c r="W234" s="9"/>
      <c r="X234" s="17"/>
      <c r="Y234" s="17"/>
      <c r="Z234" s="17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</row>
    <row r="235" spans="1:77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0"/>
      <c r="L235" s="3"/>
      <c r="M235" s="3"/>
      <c r="N235" s="30"/>
      <c r="O235" s="30"/>
      <c r="P235" s="30"/>
      <c r="Q235" s="9"/>
      <c r="R235" s="9"/>
      <c r="S235" s="9"/>
      <c r="T235" s="9"/>
      <c r="U235" s="9"/>
      <c r="V235" s="17"/>
      <c r="W235" s="9"/>
      <c r="X235" s="17"/>
      <c r="Y235" s="17"/>
      <c r="Z235" s="17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</row>
    <row r="236" spans="1:77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0"/>
      <c r="L236" s="3"/>
      <c r="M236" s="3"/>
      <c r="N236" s="30"/>
      <c r="O236" s="30"/>
      <c r="P236" s="30"/>
      <c r="Q236" s="9"/>
      <c r="R236" s="9"/>
      <c r="S236" s="9"/>
      <c r="T236" s="9"/>
      <c r="U236" s="9"/>
      <c r="V236" s="17"/>
      <c r="W236" s="9"/>
      <c r="X236" s="17"/>
      <c r="Y236" s="17"/>
      <c r="Z236" s="17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</row>
    <row r="237" spans="1:77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0"/>
      <c r="L237" s="3"/>
      <c r="M237" s="3"/>
      <c r="N237" s="30"/>
      <c r="O237" s="30"/>
      <c r="P237" s="30"/>
      <c r="Q237" s="9"/>
      <c r="R237" s="9"/>
      <c r="S237" s="9"/>
      <c r="T237" s="9"/>
      <c r="U237" s="9"/>
      <c r="V237" s="17"/>
      <c r="W237" s="9"/>
      <c r="X237" s="17"/>
      <c r="Y237" s="17"/>
      <c r="Z237" s="17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</row>
    <row r="238" spans="1:77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0"/>
      <c r="L238" s="3"/>
      <c r="M238" s="3"/>
      <c r="N238" s="30"/>
      <c r="O238" s="30"/>
      <c r="P238" s="30"/>
      <c r="Q238" s="9"/>
      <c r="R238" s="9"/>
      <c r="S238" s="9"/>
      <c r="T238" s="9"/>
      <c r="U238" s="9"/>
      <c r="V238" s="17"/>
      <c r="W238" s="9"/>
      <c r="X238" s="17"/>
      <c r="Y238" s="17"/>
      <c r="Z238" s="17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</row>
    <row r="239" spans="1:77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0"/>
      <c r="L239" s="3"/>
      <c r="M239" s="3"/>
      <c r="N239" s="30"/>
      <c r="O239" s="30"/>
      <c r="P239" s="30"/>
      <c r="Q239" s="9"/>
      <c r="R239" s="9"/>
      <c r="S239" s="9"/>
      <c r="T239" s="9"/>
      <c r="U239" s="9"/>
      <c r="V239" s="17"/>
      <c r="W239" s="9"/>
      <c r="X239" s="17"/>
      <c r="Y239" s="17"/>
      <c r="Z239" s="17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</row>
    <row r="240" spans="1:77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0"/>
      <c r="L240" s="3"/>
      <c r="M240" s="3"/>
      <c r="N240" s="30"/>
      <c r="O240" s="30"/>
      <c r="P240" s="30"/>
      <c r="Q240" s="9"/>
      <c r="R240" s="9"/>
      <c r="S240" s="9"/>
      <c r="T240" s="9"/>
      <c r="U240" s="9"/>
      <c r="V240" s="17"/>
      <c r="W240" s="9"/>
      <c r="X240" s="17"/>
      <c r="Y240" s="17"/>
      <c r="Z240" s="17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</row>
    <row r="241" spans="1:77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0"/>
      <c r="L241" s="3"/>
      <c r="M241" s="3"/>
      <c r="N241" s="30"/>
      <c r="O241" s="30"/>
      <c r="P241" s="30"/>
      <c r="Q241" s="9"/>
      <c r="R241" s="9"/>
      <c r="S241" s="9"/>
      <c r="T241" s="9"/>
      <c r="U241" s="9"/>
      <c r="V241" s="17"/>
      <c r="W241" s="9"/>
      <c r="X241" s="17"/>
      <c r="Y241" s="17"/>
      <c r="Z241" s="17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</row>
    <row r="242" spans="1:77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0"/>
      <c r="L242" s="3"/>
      <c r="M242" s="3"/>
      <c r="N242" s="30"/>
      <c r="O242" s="30"/>
      <c r="P242" s="30"/>
      <c r="Q242" s="9"/>
      <c r="R242" s="9"/>
      <c r="S242" s="9"/>
      <c r="T242" s="9"/>
      <c r="U242" s="9"/>
      <c r="V242" s="17"/>
      <c r="W242" s="9"/>
      <c r="X242" s="17"/>
      <c r="Y242" s="17"/>
      <c r="Z242" s="17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</row>
    <row r="243" spans="1:77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0"/>
      <c r="L243" s="3"/>
      <c r="M243" s="3"/>
      <c r="N243" s="30"/>
      <c r="O243" s="30"/>
      <c r="P243" s="30"/>
      <c r="Q243" s="9"/>
      <c r="R243" s="9"/>
      <c r="S243" s="9"/>
      <c r="T243" s="9"/>
      <c r="U243" s="9"/>
      <c r="V243" s="17"/>
      <c r="W243" s="9"/>
      <c r="X243" s="17"/>
      <c r="Y243" s="17"/>
      <c r="Z243" s="17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</row>
    <row r="244" spans="1:77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0"/>
      <c r="L244" s="3"/>
      <c r="M244" s="3"/>
      <c r="N244" s="30"/>
      <c r="O244" s="30"/>
      <c r="P244" s="30"/>
      <c r="Q244" s="9"/>
      <c r="R244" s="9"/>
      <c r="S244" s="9"/>
      <c r="T244" s="9"/>
      <c r="U244" s="9"/>
      <c r="V244" s="17"/>
      <c r="W244" s="9"/>
      <c r="X244" s="17"/>
      <c r="Y244" s="17"/>
      <c r="Z244" s="17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</row>
    <row r="245" spans="1:77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3"/>
      <c r="M245" s="3"/>
      <c r="N245" s="30"/>
      <c r="O245" s="30"/>
      <c r="P245" s="30"/>
      <c r="Q245" s="9"/>
      <c r="R245" s="9"/>
      <c r="S245" s="9"/>
      <c r="T245" s="9"/>
      <c r="U245" s="9"/>
      <c r="V245" s="17"/>
      <c r="W245" s="9"/>
      <c r="X245" s="17"/>
      <c r="Y245" s="17"/>
      <c r="Z245" s="17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</row>
    <row r="246" spans="1:77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3"/>
      <c r="M246" s="3"/>
      <c r="N246" s="30"/>
      <c r="O246" s="30"/>
      <c r="P246" s="30"/>
      <c r="Q246" s="9"/>
      <c r="R246" s="9"/>
      <c r="S246" s="9"/>
      <c r="T246" s="9"/>
      <c r="U246" s="9"/>
      <c r="V246" s="17"/>
      <c r="W246" s="9"/>
      <c r="X246" s="17"/>
      <c r="Y246" s="17"/>
      <c r="Z246" s="17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</row>
    <row r="247" spans="1:77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0"/>
      <c r="L247" s="3"/>
      <c r="M247" s="3"/>
      <c r="N247" s="30"/>
      <c r="O247" s="30"/>
      <c r="P247" s="30"/>
      <c r="Q247" s="9"/>
      <c r="R247" s="9"/>
      <c r="S247" s="9"/>
      <c r="T247" s="9"/>
      <c r="U247" s="9"/>
      <c r="V247" s="17"/>
      <c r="W247" s="9"/>
      <c r="X247" s="17"/>
      <c r="Y247" s="17"/>
      <c r="Z247" s="17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</row>
    <row r="248" spans="1:77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0"/>
      <c r="L248" s="3"/>
      <c r="M248" s="3"/>
      <c r="N248" s="30"/>
      <c r="O248" s="30"/>
      <c r="P248" s="30"/>
      <c r="Q248" s="9"/>
      <c r="R248" s="9"/>
      <c r="S248" s="9"/>
      <c r="T248" s="9"/>
      <c r="U248" s="9"/>
      <c r="V248" s="17"/>
      <c r="W248" s="9"/>
      <c r="X248" s="17"/>
      <c r="Y248" s="17"/>
      <c r="Z248" s="17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</row>
    <row r="249" spans="1:77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0"/>
      <c r="L249" s="3"/>
      <c r="M249" s="3"/>
      <c r="N249" s="30"/>
      <c r="O249" s="30"/>
      <c r="P249" s="30"/>
      <c r="Q249" s="9"/>
      <c r="R249" s="9"/>
      <c r="S249" s="9"/>
      <c r="T249" s="9"/>
      <c r="U249" s="9"/>
      <c r="V249" s="17"/>
      <c r="W249" s="9"/>
      <c r="X249" s="17"/>
      <c r="Y249" s="17"/>
      <c r="Z249" s="17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</row>
    <row r="250" spans="1:77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0"/>
      <c r="L250" s="3"/>
      <c r="M250" s="3"/>
      <c r="N250" s="30"/>
      <c r="O250" s="30"/>
      <c r="P250" s="30"/>
      <c r="Q250" s="9"/>
      <c r="R250" s="9"/>
      <c r="S250" s="9"/>
      <c r="T250" s="9"/>
      <c r="U250" s="9"/>
      <c r="V250" s="17"/>
      <c r="W250" s="9"/>
      <c r="X250" s="17"/>
      <c r="Y250" s="17"/>
      <c r="Z250" s="17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</row>
    <row r="251" spans="1:77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0"/>
      <c r="L251" s="3"/>
      <c r="M251" s="3"/>
      <c r="N251" s="30"/>
      <c r="O251" s="30"/>
      <c r="P251" s="30"/>
      <c r="Q251" s="9"/>
      <c r="R251" s="9"/>
      <c r="S251" s="9"/>
      <c r="T251" s="9"/>
      <c r="U251" s="9"/>
      <c r="V251" s="17"/>
      <c r="W251" s="9"/>
      <c r="X251" s="17"/>
      <c r="Y251" s="17"/>
      <c r="Z251" s="17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</row>
    <row r="252" spans="1:77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0"/>
      <c r="L252" s="3"/>
      <c r="M252" s="3"/>
      <c r="N252" s="30"/>
      <c r="O252" s="30"/>
      <c r="P252" s="30"/>
      <c r="Q252" s="9"/>
      <c r="R252" s="9"/>
      <c r="S252" s="9"/>
      <c r="T252" s="9"/>
      <c r="U252" s="9"/>
      <c r="V252" s="17"/>
      <c r="W252" s="9"/>
      <c r="X252" s="17"/>
      <c r="Y252" s="17"/>
      <c r="Z252" s="17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</row>
    <row r="253" spans="1:77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0"/>
      <c r="L253" s="3"/>
      <c r="M253" s="3"/>
      <c r="N253" s="30"/>
      <c r="O253" s="30"/>
      <c r="P253" s="30"/>
      <c r="Q253" s="9"/>
      <c r="R253" s="9"/>
      <c r="S253" s="9"/>
      <c r="T253" s="9"/>
      <c r="U253" s="9"/>
      <c r="V253" s="17"/>
      <c r="W253" s="9"/>
      <c r="X253" s="17"/>
      <c r="Y253" s="17"/>
      <c r="Z253" s="17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</row>
    <row r="254" spans="1:77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0"/>
      <c r="L254" s="3"/>
      <c r="M254" s="3"/>
      <c r="N254" s="30"/>
      <c r="O254" s="30"/>
      <c r="P254" s="30"/>
      <c r="Q254" s="9"/>
      <c r="R254" s="9"/>
      <c r="S254" s="9"/>
      <c r="T254" s="9"/>
      <c r="U254" s="9"/>
      <c r="V254" s="17"/>
      <c r="W254" s="9"/>
      <c r="X254" s="17"/>
      <c r="Y254" s="17"/>
      <c r="Z254" s="17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</row>
    <row r="255" spans="1:77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0"/>
      <c r="L255" s="3"/>
      <c r="M255" s="3"/>
      <c r="N255" s="30"/>
      <c r="O255" s="30"/>
      <c r="P255" s="30"/>
      <c r="Q255" s="9"/>
      <c r="R255" s="9"/>
      <c r="S255" s="9"/>
      <c r="T255" s="9"/>
      <c r="U255" s="9"/>
      <c r="V255" s="17"/>
      <c r="W255" s="9"/>
      <c r="X255" s="17"/>
      <c r="Y255" s="17"/>
      <c r="Z255" s="17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</row>
    <row r="256" spans="1:77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0"/>
      <c r="L256" s="3"/>
      <c r="M256" s="3"/>
      <c r="N256" s="30"/>
      <c r="O256" s="30"/>
      <c r="P256" s="30"/>
      <c r="Q256" s="9"/>
      <c r="R256" s="9"/>
      <c r="S256" s="9"/>
      <c r="T256" s="9"/>
      <c r="U256" s="9"/>
      <c r="V256" s="17"/>
      <c r="W256" s="9"/>
      <c r="X256" s="17"/>
      <c r="Y256" s="17"/>
      <c r="Z256" s="17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</row>
    <row r="257" spans="1:77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0"/>
      <c r="L257" s="3"/>
      <c r="M257" s="3"/>
      <c r="N257" s="30"/>
      <c r="O257" s="30"/>
      <c r="P257" s="30"/>
      <c r="Q257" s="9"/>
      <c r="R257" s="9"/>
      <c r="S257" s="9"/>
      <c r="T257" s="9"/>
      <c r="U257" s="9"/>
      <c r="V257" s="17"/>
      <c r="W257" s="9"/>
      <c r="X257" s="17"/>
      <c r="Y257" s="17"/>
      <c r="Z257" s="17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</row>
    <row r="258" spans="1:77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0"/>
      <c r="L258" s="3"/>
      <c r="M258" s="3"/>
      <c r="N258" s="30"/>
      <c r="O258" s="30"/>
      <c r="P258" s="30"/>
      <c r="Q258" s="9"/>
      <c r="R258" s="9"/>
      <c r="S258" s="9"/>
      <c r="T258" s="9"/>
      <c r="U258" s="9"/>
      <c r="V258" s="17"/>
      <c r="W258" s="9"/>
      <c r="X258" s="17"/>
      <c r="Y258" s="17"/>
      <c r="Z258" s="17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</row>
    <row r="259" spans="1:77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0"/>
      <c r="L259" s="3"/>
      <c r="M259" s="3"/>
      <c r="N259" s="30"/>
      <c r="O259" s="30"/>
      <c r="P259" s="30"/>
      <c r="Q259" s="9"/>
      <c r="R259" s="9"/>
      <c r="S259" s="9"/>
      <c r="T259" s="9"/>
      <c r="U259" s="9"/>
      <c r="V259" s="17"/>
      <c r="W259" s="9"/>
      <c r="X259" s="17"/>
      <c r="Y259" s="17"/>
      <c r="Z259" s="17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</row>
    <row r="260" spans="1:77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0"/>
      <c r="L260" s="3"/>
      <c r="M260" s="3"/>
      <c r="N260" s="30"/>
      <c r="O260" s="30"/>
      <c r="P260" s="30"/>
      <c r="Q260" s="9"/>
      <c r="R260" s="9"/>
      <c r="S260" s="9"/>
      <c r="T260" s="9"/>
      <c r="U260" s="9"/>
      <c r="V260" s="17"/>
      <c r="W260" s="9"/>
      <c r="X260" s="17"/>
      <c r="Y260" s="17"/>
      <c r="Z260" s="17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</row>
    <row r="261" spans="1:77" s="4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0"/>
      <c r="L261" s="3"/>
      <c r="M261" s="3"/>
      <c r="N261" s="30"/>
      <c r="O261" s="30"/>
      <c r="P261" s="30"/>
      <c r="Q261" s="9"/>
      <c r="R261" s="9"/>
      <c r="S261" s="9"/>
      <c r="T261" s="9"/>
      <c r="U261" s="9"/>
      <c r="V261" s="17"/>
      <c r="W261" s="9"/>
      <c r="X261" s="17"/>
      <c r="Y261" s="17"/>
      <c r="Z261" s="17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</row>
    <row r="262" spans="1:77" s="4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0"/>
      <c r="L262" s="3"/>
      <c r="M262" s="3"/>
      <c r="N262" s="30"/>
      <c r="O262" s="30"/>
      <c r="P262" s="30"/>
      <c r="Q262" s="9"/>
      <c r="R262" s="9"/>
      <c r="S262" s="9"/>
      <c r="T262" s="9"/>
      <c r="U262" s="9"/>
      <c r="V262" s="17"/>
      <c r="W262" s="9"/>
      <c r="X262" s="17"/>
      <c r="Y262" s="17"/>
      <c r="Z262" s="17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</row>
    <row r="263" spans="1:77" s="4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0"/>
      <c r="L263" s="3"/>
      <c r="M263" s="3"/>
      <c r="N263" s="30"/>
      <c r="O263" s="30"/>
      <c r="P263" s="30"/>
      <c r="Q263" s="9"/>
      <c r="R263" s="9"/>
      <c r="S263" s="9"/>
      <c r="T263" s="9"/>
      <c r="U263" s="9"/>
      <c r="V263" s="17"/>
      <c r="W263" s="9"/>
      <c r="X263" s="17"/>
      <c r="Y263" s="17"/>
      <c r="Z263" s="17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</row>
    <row r="264" spans="1:77" s="4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0"/>
      <c r="L264" s="3"/>
      <c r="M264" s="3"/>
      <c r="N264" s="30"/>
      <c r="O264" s="30"/>
      <c r="P264" s="30"/>
      <c r="Q264" s="9"/>
      <c r="R264" s="9"/>
      <c r="S264" s="9"/>
      <c r="T264" s="9"/>
      <c r="U264" s="9"/>
      <c r="V264" s="17"/>
      <c r="W264" s="9"/>
      <c r="X264" s="17"/>
      <c r="Y264" s="17"/>
      <c r="Z264" s="17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</row>
    <row r="265" spans="1:77" s="4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0"/>
      <c r="L265" s="3"/>
      <c r="M265" s="3"/>
      <c r="N265" s="30"/>
      <c r="O265" s="30"/>
      <c r="P265" s="30"/>
      <c r="Q265" s="9"/>
      <c r="R265" s="9"/>
      <c r="S265" s="9"/>
      <c r="T265" s="9"/>
      <c r="U265" s="9"/>
      <c r="V265" s="17"/>
      <c r="W265" s="9"/>
      <c r="X265" s="17"/>
      <c r="Y265" s="17"/>
      <c r="Z265" s="17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</row>
    <row r="266" spans="1:77" s="4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0"/>
      <c r="L266" s="3"/>
      <c r="M266" s="3"/>
      <c r="N266" s="30"/>
      <c r="O266" s="30"/>
      <c r="P266" s="30"/>
      <c r="Q266" s="9"/>
      <c r="R266" s="9"/>
      <c r="S266" s="9"/>
      <c r="T266" s="9"/>
      <c r="U266" s="9"/>
      <c r="V266" s="17"/>
      <c r="W266" s="9"/>
      <c r="X266" s="17"/>
      <c r="Y266" s="17"/>
      <c r="Z266" s="17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</row>
    <row r="267" spans="1:77" s="4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0"/>
      <c r="L267" s="3"/>
      <c r="M267" s="3"/>
      <c r="N267" s="30"/>
      <c r="O267" s="30"/>
      <c r="P267" s="30"/>
      <c r="Q267" s="9"/>
      <c r="R267" s="9"/>
      <c r="S267" s="9"/>
      <c r="T267" s="9"/>
      <c r="U267" s="9"/>
      <c r="V267" s="17"/>
      <c r="W267" s="9"/>
      <c r="X267" s="17"/>
      <c r="Y267" s="17"/>
      <c r="Z267" s="17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</row>
    <row r="268" spans="1:77" s="4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0"/>
      <c r="L268" s="3"/>
      <c r="M268" s="3"/>
      <c r="N268" s="30"/>
      <c r="O268" s="30"/>
      <c r="P268" s="30"/>
      <c r="Q268" s="9"/>
      <c r="R268" s="9"/>
      <c r="S268" s="9"/>
      <c r="T268" s="9"/>
      <c r="U268" s="9"/>
      <c r="V268" s="17"/>
      <c r="W268" s="9"/>
      <c r="X268" s="17"/>
      <c r="Y268" s="17"/>
      <c r="Z268" s="17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7833-AE15-4EF6-BFFC-3688ADE4E817}">
  <dimension ref="A1:BU268"/>
  <sheetViews>
    <sheetView topLeftCell="M1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0" customWidth="1"/>
    <col min="12" max="12" width="20.88671875" style="3" customWidth="1"/>
    <col min="13" max="13" width="26.88671875" style="3" customWidth="1"/>
    <col min="14" max="15" width="20.6640625" style="30" customWidth="1"/>
    <col min="16" max="16" width="36.33203125" style="30" customWidth="1"/>
    <col min="17" max="17" width="23.21875" style="17" customWidth="1"/>
    <col min="18" max="18" width="30.88671875" style="17" customWidth="1"/>
    <col min="19" max="19" width="33.109375" style="17" customWidth="1"/>
    <col min="20" max="20" width="22.5546875" style="17" customWidth="1"/>
    <col min="21" max="24" width="20.6640625" style="17" customWidth="1"/>
    <col min="25" max="25" width="53.21875" style="17" customWidth="1"/>
    <col min="26" max="26" width="53" style="17" customWidth="1"/>
    <col min="27" max="16384" width="8.88671875" style="7"/>
  </cols>
  <sheetData>
    <row r="1" spans="1:26" s="6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22" t="s">
        <v>10</v>
      </c>
      <c r="M1" s="13" t="s">
        <v>41</v>
      </c>
      <c r="N1" s="29" t="s">
        <v>9</v>
      </c>
      <c r="O1" s="29" t="s">
        <v>34</v>
      </c>
      <c r="P1" s="29" t="s">
        <v>39</v>
      </c>
      <c r="Q1" s="18" t="s">
        <v>14</v>
      </c>
      <c r="R1" s="15" t="s">
        <v>23</v>
      </c>
      <c r="S1" s="15" t="s">
        <v>13</v>
      </c>
      <c r="T1" s="15" t="s">
        <v>24</v>
      </c>
      <c r="U1" s="15" t="s">
        <v>40</v>
      </c>
      <c r="V1" s="15" t="s">
        <v>15</v>
      </c>
      <c r="W1" s="15" t="s">
        <v>16</v>
      </c>
      <c r="X1" s="15" t="s">
        <v>25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19.450495049504951</v>
      </c>
      <c r="L2" s="2">
        <f>(K2/1000000)</f>
        <v>1.9450495049504952E-5</v>
      </c>
      <c r="M2" s="3">
        <f>(3.142*3.07*3.07*25.4*25.4)/(4*1000000)</f>
        <v>4.7762865441819992E-3</v>
      </c>
      <c r="N2" s="26">
        <f>(L2*J2)/M2</f>
        <v>8.1954422938282711E-8</v>
      </c>
      <c r="O2" s="26">
        <f>(2.032/1000)</f>
        <v>2.032E-3</v>
      </c>
      <c r="P2" s="26">
        <v>1.45111777225214E-10</v>
      </c>
      <c r="Q2" s="14">
        <v>0.05</v>
      </c>
      <c r="R2" s="14">
        <f>(1+Q2)*100000*1</f>
        <v>105000</v>
      </c>
      <c r="S2" s="14">
        <f>(SQRT(R2)-(N2*O2/P2))^2</f>
        <v>104257.58223516186</v>
      </c>
      <c r="T2" s="14">
        <f>(S2)</f>
        <v>104257.58223516186</v>
      </c>
      <c r="U2" s="14">
        <f>(5.3058450282772/1000)</f>
        <v>5.3058450282772E-3</v>
      </c>
      <c r="V2" s="14">
        <v>0.11</v>
      </c>
      <c r="W2" s="14">
        <f>(1+V2)*100000</f>
        <v>111000.00000000001</v>
      </c>
      <c r="X2" s="14">
        <f>(L2*W2)</f>
        <v>2.1590049504950497</v>
      </c>
      <c r="Y2" s="14">
        <f>(N2*U2)/(T2-X2)</f>
        <v>4.1708858303920451E-15</v>
      </c>
      <c r="Z2" s="14">
        <f>(Y2*6.022E+23)</f>
        <v>2511707447.0620894</v>
      </c>
    </row>
    <row r="3" spans="1:26" x14ac:dyDescent="0.25">
      <c r="A3" s="1">
        <v>3</v>
      </c>
      <c r="B3" s="1">
        <f t="shared" ref="B3:B66" si="1">(A3/60)</f>
        <v>0.05</v>
      </c>
      <c r="C3" s="1">
        <v>20</v>
      </c>
      <c r="D3" s="1">
        <f t="shared" si="0"/>
        <v>29.146000000000001</v>
      </c>
      <c r="E3" s="1">
        <f t="shared" ref="E3:E66" si="2">(D3/(1000000*60))</f>
        <v>4.8576666666666667E-7</v>
      </c>
      <c r="F3" s="1">
        <v>21.1</v>
      </c>
      <c r="G3" s="1">
        <f t="shared" ref="G3:G66" si="3">(273+F3)</f>
        <v>294.10000000000002</v>
      </c>
      <c r="H3" s="1">
        <v>101.3</v>
      </c>
      <c r="I3" s="1">
        <f t="shared" ref="I3:I66" si="4">(H3*1000)</f>
        <v>101300</v>
      </c>
      <c r="J3" s="1">
        <f t="shared" ref="J3:J66" si="5">((I3*E3)/(8.314*G3))</f>
        <v>2.0124824921938581E-5</v>
      </c>
      <c r="K3" s="20">
        <v>21.925742574257427</v>
      </c>
      <c r="L3" s="2">
        <f t="shared" ref="L3:L54" si="6">(K3/1000000)</f>
        <v>2.1925742574257426E-5</v>
      </c>
      <c r="M3" s="3">
        <f t="shared" ref="M3:M66" si="7">(3.142*3.07*3.07*25.4*25.4)/(4*1000000)</f>
        <v>4.7762865441819992E-3</v>
      </c>
      <c r="N3" s="26">
        <f t="shared" ref="N3:N54" si="8">(L3*J3)/M3</f>
        <v>9.2383848102228055E-8</v>
      </c>
      <c r="O3" s="26">
        <f t="shared" ref="O3:O66" si="9">(2.032/1000)</f>
        <v>2.032E-3</v>
      </c>
      <c r="P3" s="26">
        <v>1.45111777225214E-10</v>
      </c>
      <c r="Q3" s="14">
        <v>0.05</v>
      </c>
      <c r="R3" s="14">
        <f t="shared" ref="R3:R54" si="10">(1+Q3)*100000*1</f>
        <v>105000</v>
      </c>
      <c r="S3" s="14">
        <f t="shared" ref="S3:S54" si="11">(SQRT(R3)-(N3*O3/P3))^2</f>
        <v>104163.29193722754</v>
      </c>
      <c r="T3" s="14">
        <f t="shared" ref="T3:T54" si="12">(S3)</f>
        <v>104163.29193722754</v>
      </c>
      <c r="U3" s="14">
        <f t="shared" ref="U3:U66" si="13">(5.3058450282772/1000)</f>
        <v>5.3058450282772E-3</v>
      </c>
      <c r="V3" s="14">
        <v>0.11</v>
      </c>
      <c r="W3" s="14">
        <f t="shared" ref="W3:W54" si="14">(1+V3)*100000</f>
        <v>111000.00000000001</v>
      </c>
      <c r="X3" s="14">
        <f t="shared" ref="X3:X54" si="15">(L3*W3)</f>
        <v>2.4337574257425745</v>
      </c>
      <c r="Y3" s="14">
        <f t="shared" ref="Y3:Y54" si="16">(N3*U3)/(T3-X3)</f>
        <v>4.7059364689583004E-15</v>
      </c>
      <c r="Z3" s="14">
        <f t="shared" ref="Z3:Z54" si="17">(Y3*6.022E+23)</f>
        <v>2833914941.6066885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17</v>
      </c>
      <c r="L4" s="2">
        <f t="shared" si="6"/>
        <v>1.7E-5</v>
      </c>
      <c r="M4" s="3">
        <f t="shared" si="7"/>
        <v>4.7762865441819992E-3</v>
      </c>
      <c r="N4" s="26">
        <f t="shared" si="8"/>
        <v>7.1629292025976779E-8</v>
      </c>
      <c r="O4" s="26">
        <f t="shared" si="9"/>
        <v>2.032E-3</v>
      </c>
      <c r="P4" s="26">
        <v>1.45111777225214E-10</v>
      </c>
      <c r="Q4" s="14">
        <v>0.05</v>
      </c>
      <c r="R4" s="14">
        <f t="shared" si="10"/>
        <v>105000</v>
      </c>
      <c r="S4" s="14">
        <f t="shared" si="11"/>
        <v>104350.97164963813</v>
      </c>
      <c r="T4" s="14">
        <f t="shared" si="12"/>
        <v>104350.97164963813</v>
      </c>
      <c r="U4" s="14">
        <f t="shared" si="13"/>
        <v>5.3058450282772E-3</v>
      </c>
      <c r="V4" s="14">
        <v>0.11</v>
      </c>
      <c r="W4" s="14">
        <f t="shared" si="14"/>
        <v>111000.00000000001</v>
      </c>
      <c r="X4" s="14">
        <f t="shared" si="15"/>
        <v>1.8870000000000002</v>
      </c>
      <c r="Y4" s="14">
        <f t="shared" si="16"/>
        <v>3.6421394998443102E-15</v>
      </c>
      <c r="Z4" s="14">
        <f t="shared" si="17"/>
        <v>2193296406.8062439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18.188118811881189</v>
      </c>
      <c r="L5" s="2">
        <f t="shared" si="6"/>
        <v>1.8188118811881191E-5</v>
      </c>
      <c r="M5" s="3">
        <f t="shared" si="7"/>
        <v>4.7762865441819992E-3</v>
      </c>
      <c r="N5" s="26">
        <f t="shared" si="8"/>
        <v>7.6635416104670572E-8</v>
      </c>
      <c r="O5" s="26">
        <f t="shared" si="9"/>
        <v>2.032E-3</v>
      </c>
      <c r="P5" s="26">
        <v>1.45111777225214E-10</v>
      </c>
      <c r="Q5" s="14">
        <v>0.05</v>
      </c>
      <c r="R5" s="14">
        <f t="shared" si="10"/>
        <v>105000</v>
      </c>
      <c r="S5" s="14">
        <f t="shared" si="11"/>
        <v>104305.68671228136</v>
      </c>
      <c r="T5" s="14">
        <f t="shared" si="12"/>
        <v>104305.68671228136</v>
      </c>
      <c r="U5" s="14">
        <f t="shared" si="13"/>
        <v>5.3058450282772E-3</v>
      </c>
      <c r="V5" s="14">
        <v>0.11</v>
      </c>
      <c r="W5" s="14">
        <f t="shared" si="14"/>
        <v>111000.00000000001</v>
      </c>
      <c r="X5" s="14">
        <f t="shared" si="15"/>
        <v>2.0188811881188125</v>
      </c>
      <c r="Y5" s="14">
        <f t="shared" si="16"/>
        <v>3.8983829618281894E-15</v>
      </c>
      <c r="Z5" s="14">
        <f t="shared" si="17"/>
        <v>2347606219.6129355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14.524752475247524</v>
      </c>
      <c r="L6" s="2">
        <f t="shared" si="6"/>
        <v>1.4524752475247524E-5</v>
      </c>
      <c r="M6" s="3">
        <f t="shared" si="7"/>
        <v>4.7762865441819992E-3</v>
      </c>
      <c r="N6" s="26">
        <f t="shared" si="8"/>
        <v>6.1199866862031408E-8</v>
      </c>
      <c r="O6" s="26">
        <f t="shared" si="9"/>
        <v>2.032E-3</v>
      </c>
      <c r="P6" s="26">
        <v>1.45111777225214E-10</v>
      </c>
      <c r="Q6" s="14">
        <v>0.05</v>
      </c>
      <c r="R6" s="14">
        <f t="shared" si="10"/>
        <v>105000</v>
      </c>
      <c r="S6" s="14">
        <f t="shared" si="11"/>
        <v>104445.34683549427</v>
      </c>
      <c r="T6" s="14">
        <f t="shared" si="12"/>
        <v>104445.34683549427</v>
      </c>
      <c r="U6" s="14">
        <f t="shared" si="13"/>
        <v>5.3058450282772E-3</v>
      </c>
      <c r="V6" s="14">
        <v>0.11</v>
      </c>
      <c r="W6" s="14">
        <f t="shared" si="14"/>
        <v>111000.00000000001</v>
      </c>
      <c r="X6" s="14">
        <f t="shared" si="15"/>
        <v>1.6122475247524755</v>
      </c>
      <c r="Y6" s="14">
        <f t="shared" si="16"/>
        <v>3.1090137728428075E-15</v>
      </c>
      <c r="Z6" s="14">
        <f t="shared" si="17"/>
        <v>1872248094.0059388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21.579207920792079</v>
      </c>
      <c r="L7" s="2">
        <f t="shared" si="6"/>
        <v>2.1579207920792079E-5</v>
      </c>
      <c r="M7" s="3">
        <f t="shared" si="7"/>
        <v>4.7762865441819992E-3</v>
      </c>
      <c r="N7" s="26">
        <f t="shared" si="8"/>
        <v>9.0923728579275715E-8</v>
      </c>
      <c r="O7" s="26">
        <f t="shared" si="9"/>
        <v>2.032E-3</v>
      </c>
      <c r="P7" s="26">
        <v>1.45111777225214E-10</v>
      </c>
      <c r="Q7" s="14">
        <v>0.05</v>
      </c>
      <c r="R7" s="14">
        <f t="shared" si="10"/>
        <v>105000</v>
      </c>
      <c r="S7" s="14">
        <f t="shared" si="11"/>
        <v>104176.49001097205</v>
      </c>
      <c r="T7" s="14">
        <f t="shared" si="12"/>
        <v>104176.49001097205</v>
      </c>
      <c r="U7" s="14">
        <f t="shared" si="13"/>
        <v>5.3058450282772E-3</v>
      </c>
      <c r="V7" s="14">
        <v>0.11</v>
      </c>
      <c r="W7" s="14">
        <f t="shared" si="14"/>
        <v>111000.00000000001</v>
      </c>
      <c r="X7" s="14">
        <f t="shared" si="15"/>
        <v>2.3952920792079211</v>
      </c>
      <c r="Y7" s="14">
        <f t="shared" si="16"/>
        <v>4.6309710157460425E-15</v>
      </c>
      <c r="Z7" s="14">
        <f t="shared" si="17"/>
        <v>2788770745.6822667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14.202970297029703</v>
      </c>
      <c r="L8" s="2">
        <f t="shared" si="6"/>
        <v>1.4202970297029703E-5</v>
      </c>
      <c r="M8" s="3">
        <f t="shared" si="7"/>
        <v>4.7762865441819992E-3</v>
      </c>
      <c r="N8" s="26">
        <f t="shared" si="8"/>
        <v>5.984404159071852E-8</v>
      </c>
      <c r="O8" s="26">
        <f t="shared" si="9"/>
        <v>2.032E-3</v>
      </c>
      <c r="P8" s="26">
        <v>1.45111777225214E-10</v>
      </c>
      <c r="Q8" s="14">
        <v>0.05</v>
      </c>
      <c r="R8" s="14">
        <f t="shared" si="10"/>
        <v>105000</v>
      </c>
      <c r="S8" s="14">
        <f t="shared" si="11"/>
        <v>104457.61874283037</v>
      </c>
      <c r="T8" s="14">
        <f t="shared" si="12"/>
        <v>104457.61874283037</v>
      </c>
      <c r="U8" s="14">
        <f t="shared" si="13"/>
        <v>5.3058450282772E-3</v>
      </c>
      <c r="V8" s="14">
        <v>0.11</v>
      </c>
      <c r="W8" s="14">
        <f t="shared" si="14"/>
        <v>111000.00000000001</v>
      </c>
      <c r="X8" s="14">
        <f t="shared" si="15"/>
        <v>1.5765297029702974</v>
      </c>
      <c r="Y8" s="14">
        <f t="shared" si="16"/>
        <v>3.0397783011754151E-15</v>
      </c>
      <c r="Z8" s="14">
        <f t="shared" si="17"/>
        <v>1830554492.9678352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26.282178217821784</v>
      </c>
      <c r="L9" s="2">
        <f t="shared" si="6"/>
        <v>2.6282178217821784E-5</v>
      </c>
      <c r="M9" s="3">
        <f t="shared" si="7"/>
        <v>4.7762865441819992E-3</v>
      </c>
      <c r="N9" s="26">
        <f t="shared" si="8"/>
        <v>1.1073963639077191E-7</v>
      </c>
      <c r="O9" s="26">
        <f t="shared" si="9"/>
        <v>2.032E-3</v>
      </c>
      <c r="P9" s="26">
        <v>1.45111777225214E-10</v>
      </c>
      <c r="Q9" s="14">
        <v>0.05</v>
      </c>
      <c r="R9" s="14">
        <f t="shared" si="10"/>
        <v>105000</v>
      </c>
      <c r="S9" s="14">
        <f t="shared" si="11"/>
        <v>103997.444618785</v>
      </c>
      <c r="T9" s="14">
        <f t="shared" si="12"/>
        <v>103997.444618785</v>
      </c>
      <c r="U9" s="14">
        <f t="shared" si="13"/>
        <v>5.3058450282772E-3</v>
      </c>
      <c r="V9" s="14">
        <v>0.11</v>
      </c>
      <c r="W9" s="14">
        <f t="shared" si="14"/>
        <v>111000.00000000001</v>
      </c>
      <c r="X9" s="14">
        <f t="shared" si="15"/>
        <v>2.9173217821782185</v>
      </c>
      <c r="Y9" s="14">
        <f t="shared" si="16"/>
        <v>5.6499833640201185E-15</v>
      </c>
      <c r="Z9" s="14">
        <f t="shared" si="17"/>
        <v>3402419981.8129153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28.955445544554454</v>
      </c>
      <c r="L10" s="2">
        <f t="shared" si="6"/>
        <v>2.8955445544554453E-5</v>
      </c>
      <c r="M10" s="3">
        <f t="shared" si="7"/>
        <v>4.7762865441819992E-3</v>
      </c>
      <c r="N10" s="26">
        <f t="shared" si="8"/>
        <v>1.220034155678329E-7</v>
      </c>
      <c r="O10" s="26">
        <f t="shared" si="9"/>
        <v>2.032E-3</v>
      </c>
      <c r="P10" s="26">
        <v>1.45111777225214E-10</v>
      </c>
      <c r="Q10" s="14">
        <v>0.05</v>
      </c>
      <c r="R10" s="14">
        <f t="shared" si="10"/>
        <v>105000</v>
      </c>
      <c r="S10" s="14">
        <f t="shared" si="11"/>
        <v>103895.74009253125</v>
      </c>
      <c r="T10" s="14">
        <f t="shared" si="12"/>
        <v>103895.74009253125</v>
      </c>
      <c r="U10" s="14">
        <f t="shared" si="13"/>
        <v>5.3058450282772E-3</v>
      </c>
      <c r="V10" s="14">
        <v>0.11</v>
      </c>
      <c r="W10" s="14">
        <f t="shared" si="14"/>
        <v>111000.00000000001</v>
      </c>
      <c r="X10" s="14">
        <f t="shared" si="15"/>
        <v>3.2140544554455448</v>
      </c>
      <c r="Y10" s="14">
        <f t="shared" si="16"/>
        <v>6.2307775218227092E-15</v>
      </c>
      <c r="Z10" s="14">
        <f t="shared" si="17"/>
        <v>3752174223.6416354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51.430693069306926</v>
      </c>
      <c r="L11" s="2">
        <f t="shared" si="6"/>
        <v>5.1430693069306929E-5</v>
      </c>
      <c r="M11" s="3">
        <f t="shared" si="7"/>
        <v>4.7762865441819992E-3</v>
      </c>
      <c r="N11" s="26">
        <f t="shared" si="8"/>
        <v>2.1670259605645686E-7</v>
      </c>
      <c r="O11" s="26">
        <f t="shared" si="9"/>
        <v>2.032E-3</v>
      </c>
      <c r="P11" s="26">
        <v>1.45111777225214E-10</v>
      </c>
      <c r="Q11" s="14">
        <v>0.05</v>
      </c>
      <c r="R11" s="14">
        <f t="shared" si="10"/>
        <v>105000</v>
      </c>
      <c r="S11" s="14">
        <f t="shared" si="11"/>
        <v>103042.63633038364</v>
      </c>
      <c r="T11" s="14">
        <f t="shared" si="12"/>
        <v>103042.63633038364</v>
      </c>
      <c r="U11" s="14">
        <f t="shared" si="13"/>
        <v>5.3058450282772E-3</v>
      </c>
      <c r="V11" s="14">
        <v>0.11</v>
      </c>
      <c r="W11" s="14">
        <f t="shared" si="14"/>
        <v>111000.00000000001</v>
      </c>
      <c r="X11" s="14">
        <f t="shared" si="15"/>
        <v>5.7088069306930702</v>
      </c>
      <c r="Y11" s="14">
        <f t="shared" si="16"/>
        <v>1.1159012788295752E-14</v>
      </c>
      <c r="Z11" s="14">
        <f t="shared" si="17"/>
        <v>6719957501.111702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61.554455445544562</v>
      </c>
      <c r="L12" s="2">
        <f t="shared" si="6"/>
        <v>6.155445544554456E-5</v>
      </c>
      <c r="M12" s="3">
        <f t="shared" si="7"/>
        <v>4.7762865441819992E-3</v>
      </c>
      <c r="N12" s="26">
        <f t="shared" si="8"/>
        <v>2.5935894497699342E-7</v>
      </c>
      <c r="O12" s="26">
        <f t="shared" si="9"/>
        <v>2.032E-3</v>
      </c>
      <c r="P12" s="26">
        <v>1.45111777225214E-10</v>
      </c>
      <c r="Q12" s="14">
        <v>0.05</v>
      </c>
      <c r="R12" s="14">
        <f t="shared" si="10"/>
        <v>105000</v>
      </c>
      <c r="S12" s="14">
        <f t="shared" si="11"/>
        <v>102659.51269348919</v>
      </c>
      <c r="T12" s="14">
        <f t="shared" si="12"/>
        <v>102659.51269348919</v>
      </c>
      <c r="U12" s="14">
        <f t="shared" si="13"/>
        <v>5.3058450282772E-3</v>
      </c>
      <c r="V12" s="14">
        <v>0.11</v>
      </c>
      <c r="W12" s="14">
        <f t="shared" si="14"/>
        <v>111000.00000000001</v>
      </c>
      <c r="X12" s="14">
        <f t="shared" si="15"/>
        <v>6.8325445544554473</v>
      </c>
      <c r="Y12" s="14">
        <f t="shared" si="16"/>
        <v>1.3405576617666918E-14</v>
      </c>
      <c r="Z12" s="14">
        <f t="shared" si="17"/>
        <v>8072838239.1590185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77.693069306930695</v>
      </c>
      <c r="L13" s="2">
        <f t="shared" si="6"/>
        <v>7.7693069306930695E-5</v>
      </c>
      <c r="M13" s="3">
        <f t="shared" si="7"/>
        <v>4.7762865441819992E-3</v>
      </c>
      <c r="N13" s="26">
        <f t="shared" si="8"/>
        <v>3.273587970459172E-7</v>
      </c>
      <c r="O13" s="26">
        <f t="shared" si="9"/>
        <v>2.032E-3</v>
      </c>
      <c r="P13" s="26">
        <v>1.45111777225214E-10</v>
      </c>
      <c r="Q13" s="14">
        <v>0.05</v>
      </c>
      <c r="R13" s="14">
        <f t="shared" si="10"/>
        <v>105000</v>
      </c>
      <c r="S13" s="14">
        <f t="shared" si="11"/>
        <v>102050.23848717709</v>
      </c>
      <c r="T13" s="14">
        <f t="shared" si="12"/>
        <v>102050.23848717709</v>
      </c>
      <c r="U13" s="14">
        <f t="shared" si="13"/>
        <v>5.3058450282772E-3</v>
      </c>
      <c r="V13" s="14">
        <v>0.11</v>
      </c>
      <c r="W13" s="14">
        <f t="shared" si="14"/>
        <v>111000.00000000001</v>
      </c>
      <c r="X13" s="14">
        <f t="shared" si="15"/>
        <v>8.6239306930693083</v>
      </c>
      <c r="Y13" s="14">
        <f t="shared" si="16"/>
        <v>1.7021634294187243E-14</v>
      </c>
      <c r="Z13" s="14">
        <f t="shared" si="17"/>
        <v>10250428171.959558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85.836633663366342</v>
      </c>
      <c r="L14" s="2">
        <f t="shared" si="6"/>
        <v>8.5836633663366336E-5</v>
      </c>
      <c r="M14" s="3">
        <f t="shared" si="7"/>
        <v>4.7762865441819992E-3</v>
      </c>
      <c r="N14" s="26">
        <f t="shared" si="8"/>
        <v>3.6167160583529745E-7</v>
      </c>
      <c r="O14" s="26">
        <f t="shared" si="9"/>
        <v>2.032E-3</v>
      </c>
      <c r="P14" s="26">
        <v>1.45111777225214E-10</v>
      </c>
      <c r="Q14" s="14">
        <v>0.05</v>
      </c>
      <c r="R14" s="14">
        <f t="shared" si="10"/>
        <v>105000</v>
      </c>
      <c r="S14" s="14">
        <f t="shared" si="11"/>
        <v>101743.48635428924</v>
      </c>
      <c r="T14" s="14">
        <f t="shared" si="12"/>
        <v>101743.48635428924</v>
      </c>
      <c r="U14" s="14">
        <f t="shared" si="13"/>
        <v>5.3058450282772E-3</v>
      </c>
      <c r="V14" s="14">
        <v>0.11</v>
      </c>
      <c r="W14" s="14">
        <f t="shared" si="14"/>
        <v>111000.00000000001</v>
      </c>
      <c r="X14" s="14">
        <f t="shared" si="15"/>
        <v>9.5278663366336644</v>
      </c>
      <c r="Y14" s="14">
        <f t="shared" si="16"/>
        <v>1.8862664150805553E-14</v>
      </c>
      <c r="Z14" s="14">
        <f t="shared" si="17"/>
        <v>11359096351.615105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93.287128712871294</v>
      </c>
      <c r="L15" s="2">
        <f t="shared" si="6"/>
        <v>9.3287128712871297E-5</v>
      </c>
      <c r="M15" s="3">
        <f t="shared" si="7"/>
        <v>4.7762865441819992E-3</v>
      </c>
      <c r="N15" s="26">
        <f t="shared" si="8"/>
        <v>3.9306417557877301E-7</v>
      </c>
      <c r="O15" s="26">
        <f t="shared" si="9"/>
        <v>2.032E-3</v>
      </c>
      <c r="P15" s="26">
        <v>1.45111777225214E-10</v>
      </c>
      <c r="Q15" s="14">
        <v>0.05</v>
      </c>
      <c r="R15" s="14">
        <f t="shared" si="10"/>
        <v>105000</v>
      </c>
      <c r="S15" s="14">
        <f t="shared" si="11"/>
        <v>101463.24524059123</v>
      </c>
      <c r="T15" s="14">
        <f t="shared" si="12"/>
        <v>101463.24524059123</v>
      </c>
      <c r="U15" s="14">
        <f t="shared" si="13"/>
        <v>5.3058450282772E-3</v>
      </c>
      <c r="V15" s="14">
        <v>0.11</v>
      </c>
      <c r="W15" s="14">
        <f t="shared" si="14"/>
        <v>111000.00000000001</v>
      </c>
      <c r="X15" s="14">
        <f t="shared" si="15"/>
        <v>10.354871287128715</v>
      </c>
      <c r="Y15" s="14">
        <f t="shared" si="16"/>
        <v>2.055670956437842E-14</v>
      </c>
      <c r="Z15" s="14">
        <f t="shared" si="17"/>
        <v>12379250499.668686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94.227722772277232</v>
      </c>
      <c r="L16" s="2">
        <f t="shared" si="6"/>
        <v>9.4227722772277227E-5</v>
      </c>
      <c r="M16" s="3">
        <f t="shared" si="7"/>
        <v>4.7762865441819992E-3</v>
      </c>
      <c r="N16" s="26">
        <f t="shared" si="8"/>
        <v>3.9702735714107222E-7</v>
      </c>
      <c r="O16" s="26">
        <f t="shared" si="9"/>
        <v>2.032E-3</v>
      </c>
      <c r="P16" s="26">
        <v>1.45111777225214E-10</v>
      </c>
      <c r="Q16" s="14">
        <v>0.05</v>
      </c>
      <c r="R16" s="14">
        <f t="shared" si="10"/>
        <v>105000</v>
      </c>
      <c r="S16" s="14">
        <f t="shared" si="11"/>
        <v>101427.89343931174</v>
      </c>
      <c r="T16" s="14">
        <f t="shared" si="12"/>
        <v>101427.89343931174</v>
      </c>
      <c r="U16" s="14">
        <f t="shared" si="13"/>
        <v>5.3058450282772E-3</v>
      </c>
      <c r="V16" s="14">
        <v>0.11</v>
      </c>
      <c r="W16" s="14">
        <f t="shared" si="14"/>
        <v>111000.00000000001</v>
      </c>
      <c r="X16" s="14">
        <f t="shared" si="15"/>
        <v>10.459277227722774</v>
      </c>
      <c r="Y16" s="14">
        <f t="shared" si="16"/>
        <v>2.0771237671131658E-14</v>
      </c>
      <c r="Z16" s="14">
        <f t="shared" si="17"/>
        <v>12508439325.555485</v>
      </c>
    </row>
    <row r="17" spans="1:73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108.50990099009904</v>
      </c>
      <c r="L17" s="2">
        <f t="shared" si="6"/>
        <v>1.0850990099009904E-4</v>
      </c>
      <c r="M17" s="3">
        <f t="shared" si="7"/>
        <v>4.7762865441819992E-3</v>
      </c>
      <c r="N17" s="26">
        <f t="shared" si="8"/>
        <v>4.5720514033703716E-7</v>
      </c>
      <c r="O17" s="26">
        <f t="shared" si="9"/>
        <v>2.032E-3</v>
      </c>
      <c r="P17" s="26">
        <v>1.45111777225214E-10</v>
      </c>
      <c r="Q17" s="14">
        <v>0.05</v>
      </c>
      <c r="R17" s="14">
        <f t="shared" si="10"/>
        <v>105000</v>
      </c>
      <c r="S17" s="14">
        <f t="shared" si="11"/>
        <v>100891.86110307131</v>
      </c>
      <c r="T17" s="14">
        <f t="shared" si="12"/>
        <v>100891.86110307131</v>
      </c>
      <c r="U17" s="14">
        <f t="shared" si="13"/>
        <v>5.3058450282772E-3</v>
      </c>
      <c r="V17" s="14">
        <v>0.11</v>
      </c>
      <c r="W17" s="14">
        <f t="shared" si="14"/>
        <v>111000.00000000001</v>
      </c>
      <c r="X17" s="14">
        <f t="shared" si="15"/>
        <v>12.044599009900995</v>
      </c>
      <c r="Y17" s="14">
        <f t="shared" si="16"/>
        <v>2.4047026499719924E-14</v>
      </c>
      <c r="Z17" s="14">
        <f t="shared" si="17"/>
        <v>14481119358.131338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102.24752475247527</v>
      </c>
      <c r="L18" s="2">
        <f t="shared" si="6"/>
        <v>1.0224752475247528E-4</v>
      </c>
      <c r="M18" s="3">
        <f t="shared" si="7"/>
        <v>4.7762865441819992E-3</v>
      </c>
      <c r="N18" s="26">
        <f t="shared" si="8"/>
        <v>4.3081869467225534E-7</v>
      </c>
      <c r="O18" s="26">
        <f t="shared" si="9"/>
        <v>2.032E-3</v>
      </c>
      <c r="P18" s="26">
        <v>1.45111777225214E-10</v>
      </c>
      <c r="Q18" s="14">
        <v>0.05</v>
      </c>
      <c r="R18" s="14">
        <f t="shared" si="10"/>
        <v>105000</v>
      </c>
      <c r="S18" s="14">
        <f t="shared" si="11"/>
        <v>101126.72297703628</v>
      </c>
      <c r="T18" s="14">
        <f t="shared" si="12"/>
        <v>101126.72297703628</v>
      </c>
      <c r="U18" s="14">
        <f t="shared" si="13"/>
        <v>5.3058450282772E-3</v>
      </c>
      <c r="V18" s="14">
        <v>0.11</v>
      </c>
      <c r="W18" s="14">
        <f t="shared" si="14"/>
        <v>111000.00000000001</v>
      </c>
      <c r="X18" s="14">
        <f t="shared" si="15"/>
        <v>11.349475247524758</v>
      </c>
      <c r="Y18" s="14">
        <f t="shared" si="16"/>
        <v>2.2606426204569395E-14</v>
      </c>
      <c r="Z18" s="14">
        <f t="shared" si="17"/>
        <v>13613589860.391691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spans="1:73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107.8910891089109</v>
      </c>
      <c r="L19" s="2">
        <f t="shared" si="6"/>
        <v>1.078910891089109E-4</v>
      </c>
      <c r="M19" s="3">
        <f t="shared" si="7"/>
        <v>4.7762865441819992E-3</v>
      </c>
      <c r="N19" s="26">
        <f t="shared" si="8"/>
        <v>4.5459778404605066E-7</v>
      </c>
      <c r="O19" s="26">
        <f t="shared" si="9"/>
        <v>2.032E-3</v>
      </c>
      <c r="P19" s="26">
        <v>1.45111777225214E-10</v>
      </c>
      <c r="Q19" s="14">
        <v>0.05</v>
      </c>
      <c r="R19" s="14">
        <f t="shared" si="10"/>
        <v>105000</v>
      </c>
      <c r="S19" s="14">
        <f t="shared" si="11"/>
        <v>100915.05664081172</v>
      </c>
      <c r="T19" s="14">
        <f t="shared" si="12"/>
        <v>100915.05664081172</v>
      </c>
      <c r="U19" s="14">
        <f t="shared" si="13"/>
        <v>5.3058450282772E-3</v>
      </c>
      <c r="V19" s="14">
        <v>0.11</v>
      </c>
      <c r="W19" s="14">
        <f t="shared" si="14"/>
        <v>111000.00000000001</v>
      </c>
      <c r="X19" s="14">
        <f t="shared" si="15"/>
        <v>11.975910891089111</v>
      </c>
      <c r="Y19" s="14">
        <f t="shared" si="16"/>
        <v>2.3904378091315665E-14</v>
      </c>
      <c r="Z19" s="14">
        <f t="shared" si="17"/>
        <v>14395216486.590294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121.85148514851487</v>
      </c>
      <c r="L20" s="2">
        <f t="shared" si="6"/>
        <v>1.2185148514851486E-4</v>
      </c>
      <c r="M20" s="3">
        <f t="shared" si="7"/>
        <v>4.7762865441819992E-3</v>
      </c>
      <c r="N20" s="26">
        <f t="shared" si="8"/>
        <v>5.1341974197070258E-7</v>
      </c>
      <c r="O20" s="26">
        <f t="shared" si="9"/>
        <v>2.032E-3</v>
      </c>
      <c r="P20" s="26">
        <v>1.45111777225214E-10</v>
      </c>
      <c r="Q20" s="14">
        <v>0.05</v>
      </c>
      <c r="R20" s="14">
        <f t="shared" si="10"/>
        <v>105000</v>
      </c>
      <c r="S20" s="14">
        <f t="shared" si="11"/>
        <v>100392.41369101363</v>
      </c>
      <c r="T20" s="14">
        <f t="shared" si="12"/>
        <v>100392.41369101363</v>
      </c>
      <c r="U20" s="14">
        <f t="shared" si="13"/>
        <v>5.3058450282772E-3</v>
      </c>
      <c r="V20" s="14">
        <v>0.11</v>
      </c>
      <c r="W20" s="14">
        <f t="shared" si="14"/>
        <v>111000.00000000001</v>
      </c>
      <c r="X20" s="14">
        <f t="shared" si="15"/>
        <v>13.525514851485152</v>
      </c>
      <c r="Y20" s="14">
        <f t="shared" si="16"/>
        <v>2.7138431545225434E-14</v>
      </c>
      <c r="Z20" s="14">
        <f t="shared" si="17"/>
        <v>16342763476.534758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spans="1:73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116.20792079207924</v>
      </c>
      <c r="L21" s="2">
        <f t="shared" si="6"/>
        <v>1.1620792079207923E-4</v>
      </c>
      <c r="M21" s="3">
        <f t="shared" si="7"/>
        <v>4.7762865441819992E-3</v>
      </c>
      <c r="N21" s="26">
        <f t="shared" si="8"/>
        <v>4.8964065259690721E-7</v>
      </c>
      <c r="O21" s="26">
        <f t="shared" si="9"/>
        <v>2.032E-3</v>
      </c>
      <c r="P21" s="26">
        <v>1.45111777225214E-10</v>
      </c>
      <c r="Q21" s="14">
        <v>0.05</v>
      </c>
      <c r="R21" s="14">
        <f t="shared" si="10"/>
        <v>105000</v>
      </c>
      <c r="S21" s="14">
        <f t="shared" si="11"/>
        <v>100603.53148916576</v>
      </c>
      <c r="T21" s="14">
        <f t="shared" si="12"/>
        <v>100603.53148916576</v>
      </c>
      <c r="U21" s="14">
        <f t="shared" si="13"/>
        <v>5.3058450282772E-3</v>
      </c>
      <c r="V21" s="14">
        <v>0.11</v>
      </c>
      <c r="W21" s="14">
        <f t="shared" si="14"/>
        <v>111000.00000000001</v>
      </c>
      <c r="X21" s="14">
        <f t="shared" si="15"/>
        <v>12.899079207920796</v>
      </c>
      <c r="Y21" s="14">
        <f t="shared" si="16"/>
        <v>2.5827031404233646E-14</v>
      </c>
      <c r="Z21" s="14">
        <f t="shared" si="17"/>
        <v>15553038311.629503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122.69306930693071</v>
      </c>
      <c r="L22" s="2">
        <f t="shared" si="6"/>
        <v>1.2269306930693072E-4</v>
      </c>
      <c r="M22" s="3">
        <f t="shared" si="7"/>
        <v>4.7762865441819992E-3</v>
      </c>
      <c r="N22" s="26">
        <f t="shared" si="8"/>
        <v>5.1696574652644403E-7</v>
      </c>
      <c r="O22" s="26">
        <f t="shared" si="9"/>
        <v>2.032E-3</v>
      </c>
      <c r="P22" s="26">
        <v>1.45111777225214E-10</v>
      </c>
      <c r="Q22" s="14">
        <v>0.05</v>
      </c>
      <c r="R22" s="14">
        <f t="shared" si="10"/>
        <v>105000</v>
      </c>
      <c r="S22" s="14">
        <f t="shared" si="11"/>
        <v>100360.95021187971</v>
      </c>
      <c r="T22" s="14">
        <f t="shared" si="12"/>
        <v>100360.95021187971</v>
      </c>
      <c r="U22" s="14">
        <f t="shared" si="13"/>
        <v>5.3058450282772E-3</v>
      </c>
      <c r="V22" s="14">
        <v>0.11</v>
      </c>
      <c r="W22" s="14">
        <f t="shared" si="14"/>
        <v>111000.00000000001</v>
      </c>
      <c r="X22" s="14">
        <f t="shared" si="15"/>
        <v>13.618930693069311</v>
      </c>
      <c r="Y22" s="14">
        <f t="shared" si="16"/>
        <v>2.7334460229050428E-14</v>
      </c>
      <c r="Z22" s="14">
        <f t="shared" si="17"/>
        <v>16460811949.934168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spans="1:73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125.46534653465348</v>
      </c>
      <c r="L23" s="2">
        <f t="shared" si="6"/>
        <v>1.2546534653465349E-4</v>
      </c>
      <c r="M23" s="3">
        <f t="shared" si="7"/>
        <v>4.7762865441819992E-3</v>
      </c>
      <c r="N23" s="26">
        <f t="shared" si="8"/>
        <v>5.2864670271006286E-7</v>
      </c>
      <c r="O23" s="26">
        <f t="shared" si="9"/>
        <v>2.032E-3</v>
      </c>
      <c r="P23" s="26">
        <v>1.45111777225214E-10</v>
      </c>
      <c r="Q23" s="14">
        <v>0.05</v>
      </c>
      <c r="R23" s="14">
        <f t="shared" si="10"/>
        <v>105000</v>
      </c>
      <c r="S23" s="14">
        <f t="shared" si="11"/>
        <v>100257.34068659203</v>
      </c>
      <c r="T23" s="14">
        <f t="shared" si="12"/>
        <v>100257.34068659203</v>
      </c>
      <c r="U23" s="14">
        <f t="shared" si="13"/>
        <v>5.3058450282772E-3</v>
      </c>
      <c r="V23" s="14">
        <v>0.11</v>
      </c>
      <c r="W23" s="14">
        <f t="shared" si="14"/>
        <v>111000.00000000001</v>
      </c>
      <c r="X23" s="14">
        <f t="shared" si="15"/>
        <v>13.92665346534654</v>
      </c>
      <c r="Y23" s="14">
        <f t="shared" si="16"/>
        <v>2.7981064954176463E-14</v>
      </c>
      <c r="Z23" s="14">
        <f t="shared" si="17"/>
        <v>16850197315.405067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125.21782178217823</v>
      </c>
      <c r="L24" s="2">
        <f t="shared" si="6"/>
        <v>1.2521782178217823E-4</v>
      </c>
      <c r="M24" s="3">
        <f t="shared" si="7"/>
        <v>4.7762865441819992E-3</v>
      </c>
      <c r="N24" s="26">
        <f t="shared" si="8"/>
        <v>5.2760376019366828E-7</v>
      </c>
      <c r="O24" s="26">
        <f t="shared" si="9"/>
        <v>2.032E-3</v>
      </c>
      <c r="P24" s="26">
        <v>1.45111777225214E-10</v>
      </c>
      <c r="Q24" s="14">
        <v>0.05</v>
      </c>
      <c r="R24" s="14">
        <f t="shared" si="10"/>
        <v>105000</v>
      </c>
      <c r="S24" s="14">
        <f t="shared" si="11"/>
        <v>100266.58936154452</v>
      </c>
      <c r="T24" s="14">
        <f t="shared" si="12"/>
        <v>100266.58936154452</v>
      </c>
      <c r="U24" s="14">
        <f t="shared" si="13"/>
        <v>5.3058450282772E-3</v>
      </c>
      <c r="V24" s="14">
        <v>0.11</v>
      </c>
      <c r="W24" s="14">
        <f t="shared" si="14"/>
        <v>111000.00000000001</v>
      </c>
      <c r="X24" s="14">
        <f t="shared" si="15"/>
        <v>13.899178217821785</v>
      </c>
      <c r="Y24" s="14">
        <f t="shared" si="16"/>
        <v>2.7923278495617905E-14</v>
      </c>
      <c r="Z24" s="14">
        <f t="shared" si="17"/>
        <v>16815398310.061104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123.01485148514853</v>
      </c>
      <c r="L25" s="2">
        <f t="shared" si="6"/>
        <v>1.2301485148514851E-4</v>
      </c>
      <c r="M25" s="3">
        <f t="shared" si="7"/>
        <v>4.7762865441819992E-3</v>
      </c>
      <c r="N25" s="26">
        <f t="shared" si="8"/>
        <v>5.1832157179775689E-7</v>
      </c>
      <c r="O25" s="26">
        <f t="shared" si="9"/>
        <v>2.032E-3</v>
      </c>
      <c r="P25" s="26">
        <v>1.45111777225214E-10</v>
      </c>
      <c r="Q25" s="14">
        <v>0.05</v>
      </c>
      <c r="R25" s="14">
        <f t="shared" si="10"/>
        <v>105000</v>
      </c>
      <c r="S25" s="14">
        <f t="shared" si="11"/>
        <v>100348.92136127211</v>
      </c>
      <c r="T25" s="14">
        <f t="shared" si="12"/>
        <v>100348.92136127211</v>
      </c>
      <c r="U25" s="14">
        <f t="shared" si="13"/>
        <v>5.3058450282772E-3</v>
      </c>
      <c r="V25" s="14">
        <v>0.11</v>
      </c>
      <c r="W25" s="14">
        <f t="shared" si="14"/>
        <v>111000.00000000001</v>
      </c>
      <c r="X25" s="14">
        <f t="shared" si="15"/>
        <v>13.654648514851488</v>
      </c>
      <c r="Y25" s="14">
        <f t="shared" si="16"/>
        <v>2.7409444603811305E-14</v>
      </c>
      <c r="Z25" s="14">
        <f t="shared" si="17"/>
        <v>16505967540.415169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121.40594059405943</v>
      </c>
      <c r="L26" s="2">
        <f t="shared" si="6"/>
        <v>1.2140594059405943E-4</v>
      </c>
      <c r="M26" s="3">
        <f t="shared" si="7"/>
        <v>4.7762865441819992E-3</v>
      </c>
      <c r="N26" s="26">
        <f t="shared" si="8"/>
        <v>5.1154244544119248E-7</v>
      </c>
      <c r="O26" s="26">
        <f t="shared" si="9"/>
        <v>2.032E-3</v>
      </c>
      <c r="P26" s="26">
        <v>1.45111777225214E-10</v>
      </c>
      <c r="Q26" s="14">
        <v>0.05</v>
      </c>
      <c r="R26" s="14">
        <f t="shared" si="10"/>
        <v>105000</v>
      </c>
      <c r="S26" s="14">
        <f t="shared" si="11"/>
        <v>100409.07282338488</v>
      </c>
      <c r="T26" s="14">
        <f t="shared" si="12"/>
        <v>100409.07282338488</v>
      </c>
      <c r="U26" s="14">
        <f t="shared" si="13"/>
        <v>5.3058450282772E-3</v>
      </c>
      <c r="V26" s="14">
        <v>0.11</v>
      </c>
      <c r="W26" s="14">
        <f t="shared" si="14"/>
        <v>111000.00000000001</v>
      </c>
      <c r="X26" s="14">
        <f t="shared" si="15"/>
        <v>13.4760594059406</v>
      </c>
      <c r="Y26" s="14">
        <f t="shared" si="16"/>
        <v>2.7034701006635486E-14</v>
      </c>
      <c r="Z26" s="14">
        <f t="shared" si="17"/>
        <v>16280296946.19589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124.30198019801982</v>
      </c>
      <c r="L27" s="2">
        <f t="shared" si="6"/>
        <v>1.2430198019801981E-4</v>
      </c>
      <c r="M27" s="3">
        <f t="shared" si="7"/>
        <v>4.7762865441819992E-3</v>
      </c>
      <c r="N27" s="26">
        <f t="shared" si="8"/>
        <v>5.2374487288300844E-7</v>
      </c>
      <c r="O27" s="26">
        <f t="shared" si="9"/>
        <v>2.032E-3</v>
      </c>
      <c r="P27" s="26">
        <v>1.45111777225214E-10</v>
      </c>
      <c r="Q27" s="14">
        <v>0.05</v>
      </c>
      <c r="R27" s="14">
        <f t="shared" si="10"/>
        <v>105000</v>
      </c>
      <c r="S27" s="14">
        <f t="shared" si="11"/>
        <v>100300.81316791648</v>
      </c>
      <c r="T27" s="14">
        <f t="shared" si="12"/>
        <v>100300.81316791648</v>
      </c>
      <c r="U27" s="14">
        <f t="shared" si="13"/>
        <v>5.3058450282772E-3</v>
      </c>
      <c r="V27" s="14">
        <v>0.11</v>
      </c>
      <c r="W27" s="14">
        <f t="shared" si="14"/>
        <v>111000.00000000001</v>
      </c>
      <c r="X27" s="14">
        <f t="shared" si="15"/>
        <v>13.797519801980201</v>
      </c>
      <c r="Y27" s="14">
        <f t="shared" si="16"/>
        <v>2.7709560523992232E-14</v>
      </c>
      <c r="Z27" s="14">
        <f t="shared" si="17"/>
        <v>16686697347.548122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125.9851485148515</v>
      </c>
      <c r="L28" s="2">
        <f t="shared" si="6"/>
        <v>1.2598514851485149E-4</v>
      </c>
      <c r="M28" s="3">
        <f t="shared" si="7"/>
        <v>4.7762865441819992E-3</v>
      </c>
      <c r="N28" s="26">
        <f t="shared" si="8"/>
        <v>5.3083688199449135E-7</v>
      </c>
      <c r="O28" s="26">
        <f t="shared" si="9"/>
        <v>2.032E-3</v>
      </c>
      <c r="P28" s="26">
        <v>1.45111777225214E-10</v>
      </c>
      <c r="Q28" s="14">
        <v>0.05</v>
      </c>
      <c r="R28" s="14">
        <f t="shared" si="10"/>
        <v>105000</v>
      </c>
      <c r="S28" s="14">
        <f t="shared" si="11"/>
        <v>100237.91985768516</v>
      </c>
      <c r="T28" s="14">
        <f t="shared" si="12"/>
        <v>100237.91985768516</v>
      </c>
      <c r="U28" s="14">
        <f t="shared" si="13"/>
        <v>5.3058450282772E-3</v>
      </c>
      <c r="V28" s="14">
        <v>0.11</v>
      </c>
      <c r="W28" s="14">
        <f t="shared" si="14"/>
        <v>111000.00000000001</v>
      </c>
      <c r="X28" s="14">
        <f t="shared" si="15"/>
        <v>13.984351485148517</v>
      </c>
      <c r="Y28" s="14">
        <f t="shared" si="16"/>
        <v>2.8102450945786369E-14</v>
      </c>
      <c r="Z28" s="14">
        <f t="shared" si="17"/>
        <v>16923295959.552553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131.00990099009903</v>
      </c>
      <c r="L29" s="2">
        <f t="shared" si="6"/>
        <v>1.3100990099009904E-4</v>
      </c>
      <c r="M29" s="3">
        <f t="shared" si="7"/>
        <v>4.7762865441819992E-3</v>
      </c>
      <c r="N29" s="26">
        <f t="shared" si="8"/>
        <v>5.5200861507730053E-7</v>
      </c>
      <c r="O29" s="26">
        <f t="shared" si="9"/>
        <v>2.032E-3</v>
      </c>
      <c r="P29" s="26">
        <v>1.45111777225214E-10</v>
      </c>
      <c r="Q29" s="14">
        <v>0.05</v>
      </c>
      <c r="R29" s="14">
        <f t="shared" si="10"/>
        <v>105000</v>
      </c>
      <c r="S29" s="14">
        <f t="shared" si="11"/>
        <v>100050.28216376912</v>
      </c>
      <c r="T29" s="14">
        <f t="shared" si="12"/>
        <v>100050.28216376912</v>
      </c>
      <c r="U29" s="14">
        <f t="shared" si="13"/>
        <v>5.3058450282772E-3</v>
      </c>
      <c r="V29" s="14">
        <v>0.11</v>
      </c>
      <c r="W29" s="14">
        <f t="shared" si="14"/>
        <v>111000.00000000001</v>
      </c>
      <c r="X29" s="14">
        <f t="shared" si="15"/>
        <v>14.542099009900994</v>
      </c>
      <c r="Y29" s="14">
        <f t="shared" si="16"/>
        <v>2.9278257590517558E-14</v>
      </c>
      <c r="Z29" s="14">
        <f t="shared" si="17"/>
        <v>17631366721.009674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128.16336633663369</v>
      </c>
      <c r="L30" s="2">
        <f t="shared" si="6"/>
        <v>1.2816336633663368E-4</v>
      </c>
      <c r="M30" s="3">
        <f t="shared" si="7"/>
        <v>4.7762865441819992E-3</v>
      </c>
      <c r="N30" s="26">
        <f t="shared" si="8"/>
        <v>5.400147761387632E-7</v>
      </c>
      <c r="O30" s="26">
        <f t="shared" si="9"/>
        <v>2.032E-3</v>
      </c>
      <c r="P30" s="26">
        <v>1.45111777225214E-10</v>
      </c>
      <c r="Q30" s="14">
        <v>0.05</v>
      </c>
      <c r="R30" s="14">
        <f t="shared" si="10"/>
        <v>105000</v>
      </c>
      <c r="S30" s="14">
        <f t="shared" si="11"/>
        <v>100156.55779496733</v>
      </c>
      <c r="T30" s="14">
        <f t="shared" si="12"/>
        <v>100156.55779496733</v>
      </c>
      <c r="U30" s="14">
        <f t="shared" si="13"/>
        <v>5.3058450282772E-3</v>
      </c>
      <c r="V30" s="14">
        <v>0.11</v>
      </c>
      <c r="W30" s="14">
        <f t="shared" si="14"/>
        <v>111000.00000000001</v>
      </c>
      <c r="X30" s="14">
        <f t="shared" si="15"/>
        <v>14.22613366336634</v>
      </c>
      <c r="Y30" s="14">
        <f t="shared" si="16"/>
        <v>2.8611623752308116E-14</v>
      </c>
      <c r="Z30" s="14">
        <f t="shared" si="17"/>
        <v>17229919823.63995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128.53465346534654</v>
      </c>
      <c r="L31" s="2">
        <f t="shared" si="6"/>
        <v>1.2853465346534653E-4</v>
      </c>
      <c r="M31" s="3">
        <f t="shared" si="7"/>
        <v>4.7762865441819992E-3</v>
      </c>
      <c r="N31" s="26">
        <f t="shared" si="8"/>
        <v>5.4157918991335502E-7</v>
      </c>
      <c r="O31" s="26">
        <f t="shared" si="9"/>
        <v>2.032E-3</v>
      </c>
      <c r="P31" s="26">
        <v>1.45111777225214E-10</v>
      </c>
      <c r="Q31" s="14">
        <v>0.05</v>
      </c>
      <c r="R31" s="14">
        <f t="shared" si="10"/>
        <v>105000</v>
      </c>
      <c r="S31" s="14">
        <f t="shared" si="11"/>
        <v>100142.69255682184</v>
      </c>
      <c r="T31" s="14">
        <f t="shared" si="12"/>
        <v>100142.69255682184</v>
      </c>
      <c r="U31" s="14">
        <f t="shared" si="13"/>
        <v>5.3058450282772E-3</v>
      </c>
      <c r="V31" s="14">
        <v>0.11</v>
      </c>
      <c r="W31" s="14">
        <f t="shared" si="14"/>
        <v>111000.00000000001</v>
      </c>
      <c r="X31" s="14">
        <f t="shared" si="15"/>
        <v>14.267346534653466</v>
      </c>
      <c r="Y31" s="14">
        <f t="shared" si="16"/>
        <v>2.8698496417827827E-14</v>
      </c>
      <c r="Z31" s="14">
        <f t="shared" si="17"/>
        <v>17282234542.815918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129.87128712871288</v>
      </c>
      <c r="L32" s="2">
        <f t="shared" si="6"/>
        <v>1.2987128712871289E-4</v>
      </c>
      <c r="M32" s="3">
        <f t="shared" si="7"/>
        <v>4.7762865441819992E-3</v>
      </c>
      <c r="N32" s="26">
        <f t="shared" si="8"/>
        <v>5.4721107950188564E-7</v>
      </c>
      <c r="O32" s="26">
        <f t="shared" si="9"/>
        <v>2.032E-3</v>
      </c>
      <c r="P32" s="26">
        <v>1.45111777225214E-10</v>
      </c>
      <c r="Q32" s="14">
        <v>0.05</v>
      </c>
      <c r="R32" s="14">
        <f t="shared" si="10"/>
        <v>105000</v>
      </c>
      <c r="S32" s="14">
        <f t="shared" si="11"/>
        <v>100092.78564654331</v>
      </c>
      <c r="T32" s="14">
        <f t="shared" si="12"/>
        <v>100092.78564654331</v>
      </c>
      <c r="U32" s="14">
        <f t="shared" si="13"/>
        <v>5.3058450282772E-3</v>
      </c>
      <c r="V32" s="14">
        <v>0.11</v>
      </c>
      <c r="W32" s="14">
        <f t="shared" si="14"/>
        <v>111000.00000000001</v>
      </c>
      <c r="X32" s="14">
        <f t="shared" si="15"/>
        <v>14.415712871287132</v>
      </c>
      <c r="Y32" s="14">
        <f t="shared" si="16"/>
        <v>2.9011435613085519E-14</v>
      </c>
      <c r="Z32" s="14">
        <f t="shared" si="17"/>
        <v>17470686526.2001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0">
        <v>127.6683168316832</v>
      </c>
      <c r="L33" s="2">
        <f t="shared" si="6"/>
        <v>1.276683168316832E-4</v>
      </c>
      <c r="M33" s="3">
        <f t="shared" si="7"/>
        <v>4.7762865441819992E-3</v>
      </c>
      <c r="N33" s="26">
        <f t="shared" si="8"/>
        <v>5.3792889110597425E-7</v>
      </c>
      <c r="O33" s="26">
        <f t="shared" si="9"/>
        <v>2.032E-3</v>
      </c>
      <c r="P33" s="26">
        <v>1.45111777225214E-10</v>
      </c>
      <c r="Q33" s="14">
        <v>0.05</v>
      </c>
      <c r="R33" s="14">
        <f t="shared" si="10"/>
        <v>105000</v>
      </c>
      <c r="S33" s="14">
        <f t="shared" si="11"/>
        <v>100175.04627216494</v>
      </c>
      <c r="T33" s="14">
        <f t="shared" si="12"/>
        <v>100175.04627216494</v>
      </c>
      <c r="U33" s="14">
        <f t="shared" si="13"/>
        <v>5.3058450282772E-3</v>
      </c>
      <c r="V33" s="14">
        <v>0.11</v>
      </c>
      <c r="W33" s="14">
        <f t="shared" si="14"/>
        <v>111000.00000000001</v>
      </c>
      <c r="X33" s="14">
        <f t="shared" si="15"/>
        <v>14.171183168316837</v>
      </c>
      <c r="Y33" s="14">
        <f t="shared" si="16"/>
        <v>2.8495830631524218E-14</v>
      </c>
      <c r="Z33" s="14">
        <f t="shared" si="17"/>
        <v>17160189206.303885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0">
        <v>129.52475247524754</v>
      </c>
      <c r="L34" s="2">
        <f t="shared" si="6"/>
        <v>1.2952475247524753E-4</v>
      </c>
      <c r="M34" s="3">
        <f t="shared" si="7"/>
        <v>4.7762865441819992E-3</v>
      </c>
      <c r="N34" s="26">
        <f t="shared" si="8"/>
        <v>5.4575095997893314E-7</v>
      </c>
      <c r="O34" s="26">
        <f t="shared" si="9"/>
        <v>2.032E-3</v>
      </c>
      <c r="P34" s="26">
        <v>1.45111777225214E-10</v>
      </c>
      <c r="Q34" s="14">
        <v>0.05</v>
      </c>
      <c r="R34" s="14">
        <f t="shared" si="10"/>
        <v>105000</v>
      </c>
      <c r="S34" s="14">
        <f t="shared" si="11"/>
        <v>100105.72328073111</v>
      </c>
      <c r="T34" s="14">
        <f t="shared" si="12"/>
        <v>100105.72328073111</v>
      </c>
      <c r="U34" s="14">
        <f t="shared" si="13"/>
        <v>5.3058450282772E-3</v>
      </c>
      <c r="V34" s="14">
        <v>0.11</v>
      </c>
      <c r="W34" s="14">
        <f t="shared" si="14"/>
        <v>111000.00000000001</v>
      </c>
      <c r="X34" s="14">
        <f t="shared" si="15"/>
        <v>14.377247524752478</v>
      </c>
      <c r="Y34" s="14">
        <f t="shared" si="16"/>
        <v>2.8930273519561448E-14</v>
      </c>
      <c r="Z34" s="14">
        <f t="shared" si="17"/>
        <v>17421810713.479904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spans="1:73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0">
        <v>125.1683168316832</v>
      </c>
      <c r="L35" s="2">
        <f t="shared" si="6"/>
        <v>1.251683168316832E-4</v>
      </c>
      <c r="M35" s="3">
        <f t="shared" si="7"/>
        <v>4.7762865441819992E-3</v>
      </c>
      <c r="N35" s="26">
        <f t="shared" si="8"/>
        <v>5.2739517169038943E-7</v>
      </c>
      <c r="O35" s="26">
        <f t="shared" si="9"/>
        <v>2.032E-3</v>
      </c>
      <c r="P35" s="26">
        <v>1.45111777225214E-10</v>
      </c>
      <c r="Q35" s="14">
        <v>0.05</v>
      </c>
      <c r="R35" s="14">
        <f t="shared" si="10"/>
        <v>105000</v>
      </c>
      <c r="S35" s="14">
        <f t="shared" si="11"/>
        <v>100268.43914772374</v>
      </c>
      <c r="T35" s="14">
        <f t="shared" si="12"/>
        <v>100268.43914772374</v>
      </c>
      <c r="U35" s="14">
        <f t="shared" si="13"/>
        <v>5.3058450282772E-3</v>
      </c>
      <c r="V35" s="14">
        <v>0.11</v>
      </c>
      <c r="W35" s="14">
        <f t="shared" si="14"/>
        <v>111000.00000000001</v>
      </c>
      <c r="X35" s="14">
        <f t="shared" si="15"/>
        <v>13.893683168316837</v>
      </c>
      <c r="Y35" s="14">
        <f t="shared" si="16"/>
        <v>2.7911722472874535E-14</v>
      </c>
      <c r="Z35" s="14">
        <f t="shared" si="17"/>
        <v>16808439273.165047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0">
        <v>136.50495049504951</v>
      </c>
      <c r="L36" s="2">
        <f t="shared" si="6"/>
        <v>1.3650495049504952E-4</v>
      </c>
      <c r="M36" s="3">
        <f t="shared" si="7"/>
        <v>4.7762865441819992E-3</v>
      </c>
      <c r="N36" s="26">
        <f t="shared" si="8"/>
        <v>5.7516193894125923E-7</v>
      </c>
      <c r="O36" s="26">
        <f t="shared" si="9"/>
        <v>2.032E-3</v>
      </c>
      <c r="P36" s="26">
        <v>1.45111777225214E-10</v>
      </c>
      <c r="Q36" s="14">
        <v>0.05</v>
      </c>
      <c r="R36" s="14">
        <f t="shared" si="10"/>
        <v>105000</v>
      </c>
      <c r="S36" s="14">
        <f t="shared" si="11"/>
        <v>99845.283556724884</v>
      </c>
      <c r="T36" s="14">
        <f t="shared" si="12"/>
        <v>99845.283556724884</v>
      </c>
      <c r="U36" s="14">
        <f t="shared" si="13"/>
        <v>5.3058450282772E-3</v>
      </c>
      <c r="V36" s="14">
        <v>0.11</v>
      </c>
      <c r="W36" s="14">
        <f t="shared" si="14"/>
        <v>111000.00000000001</v>
      </c>
      <c r="X36" s="14">
        <f t="shared" si="15"/>
        <v>15.152049504950499</v>
      </c>
      <c r="Y36" s="14">
        <f t="shared" si="16"/>
        <v>3.0569128459627921E-14</v>
      </c>
      <c r="Z36" s="14">
        <f t="shared" si="17"/>
        <v>18408729158.387936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spans="1:73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0">
        <v>130.51485148514851</v>
      </c>
      <c r="L37" s="2">
        <f t="shared" si="6"/>
        <v>1.3051485148514851E-4</v>
      </c>
      <c r="M37" s="3">
        <f t="shared" si="7"/>
        <v>4.7762865441819992E-3</v>
      </c>
      <c r="N37" s="26">
        <f t="shared" si="8"/>
        <v>5.4992273004451126E-7</v>
      </c>
      <c r="O37" s="26">
        <f t="shared" si="9"/>
        <v>2.032E-3</v>
      </c>
      <c r="P37" s="26">
        <v>1.45111777225214E-10</v>
      </c>
      <c r="Q37" s="14">
        <v>0.05</v>
      </c>
      <c r="R37" s="14">
        <f t="shared" si="10"/>
        <v>105000</v>
      </c>
      <c r="S37" s="14">
        <f t="shared" si="11"/>
        <v>100068.76082979992</v>
      </c>
      <c r="T37" s="14">
        <f t="shared" si="12"/>
        <v>100068.76082979992</v>
      </c>
      <c r="U37" s="14">
        <f t="shared" si="13"/>
        <v>5.3058450282772E-3</v>
      </c>
      <c r="V37" s="14">
        <v>0.11</v>
      </c>
      <c r="W37" s="14">
        <f t="shared" si="14"/>
        <v>111000.00000000001</v>
      </c>
      <c r="X37" s="14">
        <f t="shared" si="15"/>
        <v>14.487148514851485</v>
      </c>
      <c r="Y37" s="14">
        <f t="shared" si="16"/>
        <v>2.9162220420866075E-14</v>
      </c>
      <c r="Z37" s="14">
        <f t="shared" si="17"/>
        <v>17561489137.445549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0">
        <v>134.69801980198022</v>
      </c>
      <c r="L38" s="2">
        <f t="shared" si="6"/>
        <v>1.3469801980198022E-4</v>
      </c>
      <c r="M38" s="3">
        <f t="shared" si="7"/>
        <v>4.7762865441819992E-3</v>
      </c>
      <c r="N38" s="26">
        <f t="shared" si="8"/>
        <v>5.6754845857157909E-7</v>
      </c>
      <c r="O38" s="26">
        <f t="shared" si="9"/>
        <v>2.032E-3</v>
      </c>
      <c r="P38" s="26">
        <v>1.45111777225214E-10</v>
      </c>
      <c r="Q38" s="14">
        <v>0.05</v>
      </c>
      <c r="R38" s="14">
        <f t="shared" si="10"/>
        <v>105000</v>
      </c>
      <c r="S38" s="14">
        <f t="shared" si="11"/>
        <v>99912.669809446947</v>
      </c>
      <c r="T38" s="14">
        <f t="shared" si="12"/>
        <v>99912.669809446947</v>
      </c>
      <c r="U38" s="14">
        <f t="shared" si="13"/>
        <v>5.3058450282772E-3</v>
      </c>
      <c r="V38" s="14">
        <v>0.11</v>
      </c>
      <c r="W38" s="14">
        <f t="shared" si="14"/>
        <v>111000.00000000001</v>
      </c>
      <c r="X38" s="14">
        <f t="shared" si="15"/>
        <v>14.951480198019807</v>
      </c>
      <c r="Y38" s="14">
        <f t="shared" si="16"/>
        <v>3.0144073534227255E-14</v>
      </c>
      <c r="Z38" s="14">
        <f t="shared" si="17"/>
        <v>18152761082.311653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spans="1:73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0">
        <v>131.25742574257427</v>
      </c>
      <c r="L39" s="2">
        <f t="shared" si="6"/>
        <v>1.3125742574257427E-4</v>
      </c>
      <c r="M39" s="3">
        <f t="shared" si="7"/>
        <v>4.7762865441819992E-3</v>
      </c>
      <c r="N39" s="26">
        <f t="shared" si="8"/>
        <v>5.53051557593695E-7</v>
      </c>
      <c r="O39" s="26">
        <f t="shared" si="9"/>
        <v>2.032E-3</v>
      </c>
      <c r="P39" s="26">
        <v>1.45111777225214E-10</v>
      </c>
      <c r="Q39" s="14">
        <v>0.05</v>
      </c>
      <c r="R39" s="14">
        <f t="shared" si="10"/>
        <v>105000</v>
      </c>
      <c r="S39" s="14">
        <f t="shared" si="11"/>
        <v>100041.04347061245</v>
      </c>
      <c r="T39" s="14">
        <f t="shared" si="12"/>
        <v>100041.04347061245</v>
      </c>
      <c r="U39" s="14">
        <f t="shared" si="13"/>
        <v>5.3058450282772E-3</v>
      </c>
      <c r="V39" s="14">
        <v>0.11</v>
      </c>
      <c r="W39" s="14">
        <f t="shared" si="14"/>
        <v>111000.00000000001</v>
      </c>
      <c r="X39" s="14">
        <f t="shared" si="15"/>
        <v>14.569574257425746</v>
      </c>
      <c r="Y39" s="14">
        <f t="shared" si="16"/>
        <v>2.9336292112826323E-14</v>
      </c>
      <c r="Z39" s="14">
        <f t="shared" si="17"/>
        <v>17666315110.344013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0">
        <v>127.74257425742574</v>
      </c>
      <c r="L40" s="2">
        <f t="shared" si="6"/>
        <v>1.2774257425742573E-4</v>
      </c>
      <c r="M40" s="3">
        <f t="shared" si="7"/>
        <v>4.7762865441819992E-3</v>
      </c>
      <c r="N40" s="26">
        <f t="shared" si="8"/>
        <v>5.3824177386089242E-7</v>
      </c>
      <c r="O40" s="26">
        <f t="shared" si="9"/>
        <v>2.032E-3</v>
      </c>
      <c r="P40" s="26">
        <v>1.45111777225214E-10</v>
      </c>
      <c r="Q40" s="14">
        <v>0.05</v>
      </c>
      <c r="R40" s="14">
        <f t="shared" si="10"/>
        <v>105000</v>
      </c>
      <c r="S40" s="14">
        <f t="shared" si="11"/>
        <v>100172.27289180931</v>
      </c>
      <c r="T40" s="14">
        <f t="shared" si="12"/>
        <v>100172.27289180931</v>
      </c>
      <c r="U40" s="14">
        <f t="shared" si="13"/>
        <v>5.3058450282772E-3</v>
      </c>
      <c r="V40" s="14">
        <v>0.11</v>
      </c>
      <c r="W40" s="14">
        <f t="shared" si="14"/>
        <v>111000.00000000001</v>
      </c>
      <c r="X40" s="14">
        <f t="shared" si="15"/>
        <v>14.179425742574258</v>
      </c>
      <c r="Y40" s="14">
        <f t="shared" si="16"/>
        <v>2.8513196897247884E-14</v>
      </c>
      <c r="Z40" s="14">
        <f t="shared" si="17"/>
        <v>17170647171.522676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spans="1:73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0">
        <v>132.71782178217825</v>
      </c>
      <c r="L41" s="2">
        <f t="shared" si="6"/>
        <v>1.3271782178217825E-4</v>
      </c>
      <c r="M41" s="3">
        <f t="shared" si="7"/>
        <v>4.7762865441819992E-3</v>
      </c>
      <c r="N41" s="26">
        <f t="shared" si="8"/>
        <v>5.5920491844042275E-7</v>
      </c>
      <c r="O41" s="26">
        <f t="shared" si="9"/>
        <v>2.032E-3</v>
      </c>
      <c r="P41" s="26">
        <v>1.45111777225214E-10</v>
      </c>
      <c r="Q41" s="14">
        <v>0.05</v>
      </c>
      <c r="R41" s="14">
        <f t="shared" si="10"/>
        <v>105000</v>
      </c>
      <c r="S41" s="14">
        <f t="shared" si="11"/>
        <v>99986.543863870713</v>
      </c>
      <c r="T41" s="14">
        <f t="shared" si="12"/>
        <v>99986.543863870713</v>
      </c>
      <c r="U41" s="14">
        <f t="shared" si="13"/>
        <v>5.3058450282772E-3</v>
      </c>
      <c r="V41" s="14">
        <v>0.11</v>
      </c>
      <c r="W41" s="14">
        <f t="shared" si="14"/>
        <v>111000.00000000001</v>
      </c>
      <c r="X41" s="14">
        <f t="shared" si="15"/>
        <v>14.731678217821788</v>
      </c>
      <c r="Y41" s="14">
        <f t="shared" si="16"/>
        <v>2.9678912199623814E-14</v>
      </c>
      <c r="Z41" s="14">
        <f t="shared" si="17"/>
        <v>17872640926.613461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0">
        <v>139.87128712871288</v>
      </c>
      <c r="L42" s="2">
        <f t="shared" si="6"/>
        <v>1.3987128712871289E-4</v>
      </c>
      <c r="M42" s="3">
        <f t="shared" si="7"/>
        <v>4.7762865441819992E-3</v>
      </c>
      <c r="N42" s="26">
        <f t="shared" si="8"/>
        <v>5.8934595716422483E-7</v>
      </c>
      <c r="O42" s="26">
        <f t="shared" si="9"/>
        <v>2.032E-3</v>
      </c>
      <c r="P42" s="26">
        <v>1.45111777225214E-10</v>
      </c>
      <c r="Q42" s="14">
        <v>0.05</v>
      </c>
      <c r="R42" s="14">
        <f t="shared" si="10"/>
        <v>105000</v>
      </c>
      <c r="S42" s="14">
        <f t="shared" si="11"/>
        <v>99719.802669283992</v>
      </c>
      <c r="T42" s="14">
        <f t="shared" si="12"/>
        <v>99719.802669283992</v>
      </c>
      <c r="U42" s="14">
        <f t="shared" si="13"/>
        <v>5.3058450282772E-3</v>
      </c>
      <c r="V42" s="14">
        <v>0.11</v>
      </c>
      <c r="W42" s="14">
        <f t="shared" si="14"/>
        <v>111000.00000000001</v>
      </c>
      <c r="X42" s="14">
        <f t="shared" si="15"/>
        <v>15.525712871287132</v>
      </c>
      <c r="Y42" s="14">
        <f t="shared" si="16"/>
        <v>3.1362529394020659E-14</v>
      </c>
      <c r="Z42" s="14">
        <f t="shared" si="17"/>
        <v>18886515201.079243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0">
        <v>132.94059405940595</v>
      </c>
      <c r="L43" s="2">
        <f t="shared" si="6"/>
        <v>1.3294059405940595E-4</v>
      </c>
      <c r="M43" s="3">
        <f t="shared" si="7"/>
        <v>4.7762865441819992E-3</v>
      </c>
      <c r="N43" s="26">
        <f t="shared" si="8"/>
        <v>5.6014356670517791E-7</v>
      </c>
      <c r="O43" s="26">
        <f t="shared" si="9"/>
        <v>2.032E-3</v>
      </c>
      <c r="P43" s="26">
        <v>1.45111777225214E-10</v>
      </c>
      <c r="Q43" s="14">
        <v>0.05</v>
      </c>
      <c r="R43" s="14">
        <f t="shared" si="10"/>
        <v>105000</v>
      </c>
      <c r="S43" s="14">
        <f t="shared" si="11"/>
        <v>99978.231669848989</v>
      </c>
      <c r="T43" s="14">
        <f t="shared" si="12"/>
        <v>99978.231669848989</v>
      </c>
      <c r="U43" s="14">
        <f t="shared" si="13"/>
        <v>5.3058450282772E-3</v>
      </c>
      <c r="V43" s="14">
        <v>0.11</v>
      </c>
      <c r="W43" s="14">
        <f t="shared" si="14"/>
        <v>111000.00000000001</v>
      </c>
      <c r="X43" s="14">
        <f t="shared" si="15"/>
        <v>14.756405940594062</v>
      </c>
      <c r="Y43" s="14">
        <f t="shared" si="16"/>
        <v>2.9731208830803561E-14</v>
      </c>
      <c r="Z43" s="14">
        <f t="shared" si="17"/>
        <v>17904133957.909904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spans="1:73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0">
        <v>127.96534653465348</v>
      </c>
      <c r="L44" s="2">
        <f t="shared" si="6"/>
        <v>1.2796534653465347E-4</v>
      </c>
      <c r="M44" s="3">
        <f t="shared" si="7"/>
        <v>4.7762865441819992E-3</v>
      </c>
      <c r="N44" s="26">
        <f t="shared" si="8"/>
        <v>5.3918042212564769E-7</v>
      </c>
      <c r="O44" s="26">
        <f t="shared" si="9"/>
        <v>2.032E-3</v>
      </c>
      <c r="P44" s="26">
        <v>1.45111777225214E-10</v>
      </c>
      <c r="Q44" s="14">
        <v>0.05</v>
      </c>
      <c r="R44" s="14">
        <f t="shared" si="10"/>
        <v>105000</v>
      </c>
      <c r="S44" s="14">
        <f t="shared" si="11"/>
        <v>100163.95298109157</v>
      </c>
      <c r="T44" s="14">
        <f t="shared" si="12"/>
        <v>100163.95298109157</v>
      </c>
      <c r="U44" s="14">
        <f t="shared" si="13"/>
        <v>5.3058450282772E-3</v>
      </c>
      <c r="V44" s="14">
        <v>0.11</v>
      </c>
      <c r="W44" s="14">
        <f t="shared" si="14"/>
        <v>111000.00000000001</v>
      </c>
      <c r="X44" s="14">
        <f t="shared" si="15"/>
        <v>14.204153465346536</v>
      </c>
      <c r="Y44" s="14">
        <f t="shared" si="16"/>
        <v>2.8565301416818116E-14</v>
      </c>
      <c r="Z44" s="14">
        <f t="shared" si="17"/>
        <v>17202024513.20787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spans="1:73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5">
        <v>140.46534653465349</v>
      </c>
      <c r="L45" s="2">
        <f t="shared" si="6"/>
        <v>1.404653465346535E-4</v>
      </c>
      <c r="M45" s="3">
        <f t="shared" si="7"/>
        <v>4.7762865441819992E-3</v>
      </c>
      <c r="N45" s="52">
        <f t="shared" si="8"/>
        <v>5.9184901920357181E-7</v>
      </c>
      <c r="O45" s="26">
        <f t="shared" si="9"/>
        <v>2.032E-3</v>
      </c>
      <c r="P45" s="26">
        <v>1.45111777225214E-10</v>
      </c>
      <c r="Q45" s="14">
        <v>0.05</v>
      </c>
      <c r="R45" s="14">
        <f t="shared" si="10"/>
        <v>105000</v>
      </c>
      <c r="S45" s="14">
        <f t="shared" si="11"/>
        <v>99697.667173456473</v>
      </c>
      <c r="T45" s="14">
        <f t="shared" si="12"/>
        <v>99697.667173456473</v>
      </c>
      <c r="U45" s="14">
        <f t="shared" si="13"/>
        <v>5.3058450282772E-3</v>
      </c>
      <c r="V45" s="14">
        <v>0.11</v>
      </c>
      <c r="W45" s="14">
        <f t="shared" si="14"/>
        <v>111000.00000000001</v>
      </c>
      <c r="X45" s="14">
        <f t="shared" si="15"/>
        <v>15.591653465346541</v>
      </c>
      <c r="Y45" s="16">
        <f t="shared" si="16"/>
        <v>3.1502746703967187E-14</v>
      </c>
      <c r="Z45" s="16">
        <f t="shared" si="17"/>
        <v>18970954065.12904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spans="1:73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5">
        <v>123.55940594059408</v>
      </c>
      <c r="L46" s="2">
        <f t="shared" si="6"/>
        <v>1.2355940594059407E-4</v>
      </c>
      <c r="M46" s="3">
        <f t="shared" si="7"/>
        <v>4.7762865441819992E-3</v>
      </c>
      <c r="N46" s="52">
        <f t="shared" si="8"/>
        <v>5.2061604533382491E-7</v>
      </c>
      <c r="O46" s="26">
        <f t="shared" si="9"/>
        <v>2.032E-3</v>
      </c>
      <c r="P46" s="26">
        <v>1.45111777225214E-10</v>
      </c>
      <c r="Q46" s="14">
        <v>0.05</v>
      </c>
      <c r="R46" s="14">
        <f t="shared" si="10"/>
        <v>105000</v>
      </c>
      <c r="S46" s="14">
        <f t="shared" si="11"/>
        <v>100328.56648716326</v>
      </c>
      <c r="T46" s="14">
        <f t="shared" si="12"/>
        <v>100328.56648716326</v>
      </c>
      <c r="U46" s="14">
        <f t="shared" si="13"/>
        <v>5.3058450282772E-3</v>
      </c>
      <c r="V46" s="14">
        <v>0.11</v>
      </c>
      <c r="W46" s="14">
        <f t="shared" si="14"/>
        <v>111000.00000000001</v>
      </c>
      <c r="X46" s="14">
        <f t="shared" si="15"/>
        <v>13.715094059405944</v>
      </c>
      <c r="Y46" s="16">
        <f t="shared" si="16"/>
        <v>2.7536381875811729E-14</v>
      </c>
      <c r="Z46" s="16">
        <f t="shared" si="17"/>
        <v>16582409165.613825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spans="1:73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5">
        <v>136.38118811881191</v>
      </c>
      <c r="L47" s="2">
        <f t="shared" si="6"/>
        <v>1.363811881188119E-4</v>
      </c>
      <c r="M47" s="3">
        <f t="shared" si="7"/>
        <v>4.7762865441819992E-3</v>
      </c>
      <c r="N47" s="52">
        <f t="shared" si="8"/>
        <v>5.74640467683062E-7</v>
      </c>
      <c r="O47" s="26">
        <f t="shared" si="9"/>
        <v>2.032E-3</v>
      </c>
      <c r="P47" s="26">
        <v>1.45111777225214E-10</v>
      </c>
      <c r="Q47" s="14">
        <v>0.05</v>
      </c>
      <c r="R47" s="14">
        <f t="shared" si="10"/>
        <v>105000</v>
      </c>
      <c r="S47" s="14">
        <f t="shared" si="11"/>
        <v>99849.898328313473</v>
      </c>
      <c r="T47" s="14">
        <f t="shared" si="12"/>
        <v>99849.898328313473</v>
      </c>
      <c r="U47" s="14">
        <f t="shared" si="13"/>
        <v>5.3058450282772E-3</v>
      </c>
      <c r="V47" s="14">
        <v>0.11</v>
      </c>
      <c r="W47" s="14">
        <f t="shared" si="14"/>
        <v>111000.00000000001</v>
      </c>
      <c r="X47" s="14">
        <f t="shared" si="15"/>
        <v>15.138311881188123</v>
      </c>
      <c r="Y47" s="16">
        <f t="shared" si="16"/>
        <v>3.0539996971007073E-14</v>
      </c>
      <c r="Z47" s="16">
        <f t="shared" si="17"/>
        <v>18391186175.94046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spans="1:73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5">
        <v>128.21287128712873</v>
      </c>
      <c r="L48" s="2">
        <f t="shared" si="6"/>
        <v>1.2821287128712873E-4</v>
      </c>
      <c r="M48" s="3">
        <f t="shared" si="7"/>
        <v>4.7762865441819992E-3</v>
      </c>
      <c r="N48" s="52">
        <f t="shared" si="8"/>
        <v>5.4022336464204227E-7</v>
      </c>
      <c r="O48" s="26">
        <f t="shared" si="9"/>
        <v>2.032E-3</v>
      </c>
      <c r="P48" s="26">
        <v>1.45111777225214E-10</v>
      </c>
      <c r="Q48" s="14">
        <v>0.05</v>
      </c>
      <c r="R48" s="14">
        <f t="shared" si="10"/>
        <v>105000</v>
      </c>
      <c r="S48" s="14">
        <f t="shared" si="11"/>
        <v>100154.70904109349</v>
      </c>
      <c r="T48" s="14">
        <f t="shared" si="12"/>
        <v>100154.70904109349</v>
      </c>
      <c r="U48" s="14">
        <f t="shared" si="13"/>
        <v>5.3058450282772E-3</v>
      </c>
      <c r="V48" s="14">
        <v>0.11</v>
      </c>
      <c r="W48" s="14">
        <f t="shared" si="14"/>
        <v>111000.00000000001</v>
      </c>
      <c r="X48" s="14">
        <f t="shared" si="15"/>
        <v>14.231628712871291</v>
      </c>
      <c r="Y48" s="16">
        <f t="shared" si="16"/>
        <v>2.8623205396170679E-14</v>
      </c>
      <c r="Z48" s="16">
        <f t="shared" si="17"/>
        <v>17236894289.573982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spans="1:73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5">
        <v>134.57425742574259</v>
      </c>
      <c r="L49" s="2">
        <f t="shared" si="6"/>
        <v>1.3457425742574258E-4</v>
      </c>
      <c r="M49" s="3">
        <f t="shared" si="7"/>
        <v>4.7762865441819992E-3</v>
      </c>
      <c r="N49" s="52">
        <f t="shared" si="8"/>
        <v>5.6702698731338175E-7</v>
      </c>
      <c r="O49" s="26">
        <f t="shared" si="9"/>
        <v>2.032E-3</v>
      </c>
      <c r="P49" s="26">
        <v>1.45111777225214E-10</v>
      </c>
      <c r="Q49" s="14">
        <v>0.05</v>
      </c>
      <c r="R49" s="14">
        <f t="shared" si="10"/>
        <v>105000</v>
      </c>
      <c r="S49" s="14">
        <f t="shared" si="11"/>
        <v>99917.286138025025</v>
      </c>
      <c r="T49" s="14">
        <f t="shared" si="12"/>
        <v>99917.286138025025</v>
      </c>
      <c r="U49" s="14">
        <f t="shared" si="13"/>
        <v>5.3058450282772E-3</v>
      </c>
      <c r="V49" s="14">
        <v>0.11</v>
      </c>
      <c r="W49" s="14">
        <f t="shared" si="14"/>
        <v>111000.00000000001</v>
      </c>
      <c r="X49" s="14">
        <f t="shared" si="15"/>
        <v>14.937742574257427</v>
      </c>
      <c r="Y49" s="16">
        <f t="shared" si="16"/>
        <v>3.0114980977491271E-14</v>
      </c>
      <c r="Z49" s="16">
        <f t="shared" si="17"/>
        <v>18135241544.645245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spans="1:73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5">
        <v>137.07425742574259</v>
      </c>
      <c r="L50" s="2">
        <f t="shared" si="6"/>
        <v>1.3707425742574258E-4</v>
      </c>
      <c r="M50" s="3">
        <f t="shared" si="7"/>
        <v>4.7762865441819992E-3</v>
      </c>
      <c r="N50" s="52">
        <f t="shared" si="8"/>
        <v>5.7756070672896668E-7</v>
      </c>
      <c r="O50" s="26">
        <f t="shared" si="9"/>
        <v>2.032E-3</v>
      </c>
      <c r="P50" s="26">
        <v>1.45111777225214E-10</v>
      </c>
      <c r="Q50" s="14">
        <v>0.05</v>
      </c>
      <c r="R50" s="14">
        <f t="shared" si="10"/>
        <v>105000</v>
      </c>
      <c r="S50" s="14">
        <f t="shared" si="11"/>
        <v>99824.056980980764</v>
      </c>
      <c r="T50" s="14">
        <f t="shared" si="12"/>
        <v>99824.056980980764</v>
      </c>
      <c r="U50" s="14">
        <f t="shared" si="13"/>
        <v>5.3058450282772E-3</v>
      </c>
      <c r="V50" s="14">
        <v>0.11</v>
      </c>
      <c r="W50" s="14">
        <f t="shared" si="14"/>
        <v>111000.00000000001</v>
      </c>
      <c r="X50" s="14">
        <f t="shared" si="15"/>
        <v>15.215242574257429</v>
      </c>
      <c r="Y50" s="16">
        <f t="shared" si="16"/>
        <v>3.0703167684862055E-14</v>
      </c>
      <c r="Z50" s="16">
        <f t="shared" si="17"/>
        <v>18489447579.823929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spans="1:73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5">
        <v>133.68316831683168</v>
      </c>
      <c r="L51" s="2">
        <f t="shared" si="6"/>
        <v>1.3368316831683169E-4</v>
      </c>
      <c r="M51" s="3">
        <f t="shared" si="7"/>
        <v>4.7762865441819992E-3</v>
      </c>
      <c r="N51" s="52">
        <f t="shared" si="8"/>
        <v>5.6327239425436144E-7</v>
      </c>
      <c r="O51" s="26">
        <f t="shared" si="9"/>
        <v>2.032E-3</v>
      </c>
      <c r="P51" s="26">
        <v>1.45111777225214E-10</v>
      </c>
      <c r="Q51" s="14">
        <v>0.05</v>
      </c>
      <c r="R51" s="14">
        <f t="shared" si="10"/>
        <v>105000</v>
      </c>
      <c r="S51" s="14">
        <f t="shared" si="11"/>
        <v>99950.526851892209</v>
      </c>
      <c r="T51" s="14">
        <f t="shared" si="12"/>
        <v>99950.526851892209</v>
      </c>
      <c r="U51" s="14">
        <f t="shared" si="13"/>
        <v>5.3058450282772E-3</v>
      </c>
      <c r="V51" s="14">
        <v>0.11</v>
      </c>
      <c r="W51" s="14">
        <f t="shared" si="14"/>
        <v>111000.00000000001</v>
      </c>
      <c r="X51" s="14">
        <f t="shared" si="15"/>
        <v>14.838831683168319</v>
      </c>
      <c r="Y51" s="16">
        <f t="shared" si="16"/>
        <v>2.990559320526152E-14</v>
      </c>
      <c r="Z51" s="16">
        <f t="shared" si="17"/>
        <v>18009148228.208488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spans="1:73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5">
        <v>138.06435643564359</v>
      </c>
      <c r="L52" s="2">
        <f t="shared" si="6"/>
        <v>1.3806435643564359E-4</v>
      </c>
      <c r="M52" s="3">
        <f t="shared" si="7"/>
        <v>4.7762865441819992E-3</v>
      </c>
      <c r="N52" s="52">
        <f t="shared" si="8"/>
        <v>5.8173247679454479E-7</v>
      </c>
      <c r="O52" s="26">
        <f t="shared" si="9"/>
        <v>2.032E-3</v>
      </c>
      <c r="P52" s="26">
        <v>1.45111777225214E-10</v>
      </c>
      <c r="Q52" s="14">
        <v>0.05</v>
      </c>
      <c r="R52" s="14">
        <f t="shared" si="10"/>
        <v>105000</v>
      </c>
      <c r="S52" s="14">
        <f t="shared" si="11"/>
        <v>99787.146571891091</v>
      </c>
      <c r="T52" s="14">
        <f t="shared" si="12"/>
        <v>99787.146571891091</v>
      </c>
      <c r="U52" s="14">
        <f t="shared" si="13"/>
        <v>5.3058450282772E-3</v>
      </c>
      <c r="V52" s="14">
        <v>0.11</v>
      </c>
      <c r="W52" s="14">
        <f t="shared" si="14"/>
        <v>111000.00000000001</v>
      </c>
      <c r="X52" s="14">
        <f t="shared" si="15"/>
        <v>15.32514356435644</v>
      </c>
      <c r="Y52" s="16">
        <f t="shared" si="16"/>
        <v>3.0936413965390331E-14</v>
      </c>
      <c r="Z52" s="16">
        <f t="shared" si="17"/>
        <v>18629908489.958057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spans="1:73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5">
        <v>127.47029702970299</v>
      </c>
      <c r="L53" s="2">
        <f t="shared" si="6"/>
        <v>1.27470297029703E-4</v>
      </c>
      <c r="M53" s="3">
        <f t="shared" si="7"/>
        <v>4.7762865441819992E-3</v>
      </c>
      <c r="N53" s="52">
        <f t="shared" si="8"/>
        <v>5.3709453709285863E-7</v>
      </c>
      <c r="O53" s="26">
        <f t="shared" si="9"/>
        <v>2.032E-3</v>
      </c>
      <c r="P53" s="26">
        <v>1.45111777225214E-10</v>
      </c>
      <c r="Q53" s="14">
        <v>0.05</v>
      </c>
      <c r="R53" s="14">
        <f t="shared" si="10"/>
        <v>105000</v>
      </c>
      <c r="S53" s="14">
        <f t="shared" si="11"/>
        <v>100182.44214080513</v>
      </c>
      <c r="T53" s="14">
        <f t="shared" si="12"/>
        <v>100182.44214080513</v>
      </c>
      <c r="U53" s="14">
        <f t="shared" si="13"/>
        <v>5.3058450282772E-3</v>
      </c>
      <c r="V53" s="14">
        <v>0.11</v>
      </c>
      <c r="W53" s="14">
        <f t="shared" si="14"/>
        <v>111000.00000000001</v>
      </c>
      <c r="X53" s="14">
        <f t="shared" si="15"/>
        <v>14.149202970297035</v>
      </c>
      <c r="Y53" s="16">
        <f t="shared" si="16"/>
        <v>2.8449525251643831E-14</v>
      </c>
      <c r="Z53" s="16">
        <f t="shared" si="17"/>
        <v>17132304106.539917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3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137.86633663366339</v>
      </c>
      <c r="L54" s="2">
        <f t="shared" si="6"/>
        <v>1.3786633663366341E-4</v>
      </c>
      <c r="M54" s="3">
        <f t="shared" si="7"/>
        <v>4.7762865441819992E-3</v>
      </c>
      <c r="N54" s="52">
        <f t="shared" si="8"/>
        <v>5.8089812278142928E-7</v>
      </c>
      <c r="O54" s="26">
        <f t="shared" si="9"/>
        <v>2.032E-3</v>
      </c>
      <c r="P54" s="26">
        <v>1.45111777225214E-10</v>
      </c>
      <c r="Q54" s="14">
        <v>0.05</v>
      </c>
      <c r="R54" s="14">
        <f t="shared" si="10"/>
        <v>105000</v>
      </c>
      <c r="S54" s="14">
        <f t="shared" si="11"/>
        <v>99794.528107696242</v>
      </c>
      <c r="T54" s="14">
        <f t="shared" si="12"/>
        <v>99794.528107696242</v>
      </c>
      <c r="U54" s="14">
        <f t="shared" si="13"/>
        <v>5.3058450282772E-3</v>
      </c>
      <c r="V54" s="14">
        <v>0.11</v>
      </c>
      <c r="W54" s="14">
        <f t="shared" si="14"/>
        <v>111000.00000000001</v>
      </c>
      <c r="X54" s="14">
        <f t="shared" si="15"/>
        <v>15.303163366336641</v>
      </c>
      <c r="Y54" s="16">
        <f t="shared" si="16"/>
        <v>3.0889751031991284E-14</v>
      </c>
      <c r="Z54" s="16">
        <f t="shared" si="17"/>
        <v>18601808071.465153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spans="1:73" s="4" customFormat="1" x14ac:dyDescent="0.25">
      <c r="A55" s="1">
        <v>159</v>
      </c>
      <c r="B55" s="1">
        <f t="shared" si="1"/>
        <v>2.65</v>
      </c>
      <c r="C55" s="1">
        <v>20</v>
      </c>
      <c r="D55" s="1">
        <f t="shared" si="0"/>
        <v>29.146000000000001</v>
      </c>
      <c r="E55" s="1">
        <f t="shared" si="2"/>
        <v>4.8576666666666667E-7</v>
      </c>
      <c r="F55" s="1">
        <v>21.1</v>
      </c>
      <c r="G55" s="1">
        <f t="shared" si="3"/>
        <v>294.10000000000002</v>
      </c>
      <c r="H55" s="1">
        <v>101.3</v>
      </c>
      <c r="I55" s="1">
        <f t="shared" si="4"/>
        <v>101300</v>
      </c>
      <c r="J55" s="1">
        <f t="shared" si="5"/>
        <v>2.0124824921938581E-5</v>
      </c>
      <c r="K55" s="25">
        <v>141.60396039603961</v>
      </c>
      <c r="L55" s="2">
        <f t="shared" ref="L55:L81" si="18">(K55/1000000)</f>
        <v>1.416039603960396E-4</v>
      </c>
      <c r="M55" s="3">
        <f t="shared" si="7"/>
        <v>4.7762865441819992E-3</v>
      </c>
      <c r="N55" s="52">
        <f t="shared" ref="N55:N81" si="19">(L55*J55)/M55</f>
        <v>5.9664655477898648E-7</v>
      </c>
      <c r="O55" s="26">
        <f t="shared" si="9"/>
        <v>2.032E-3</v>
      </c>
      <c r="P55" s="26">
        <v>1.45111777225214E-10</v>
      </c>
      <c r="Q55" s="14">
        <v>0.05</v>
      </c>
      <c r="R55" s="14">
        <f t="shared" ref="R55:R81" si="20">(1+Q55)*100000*1</f>
        <v>105000</v>
      </c>
      <c r="S55" s="14">
        <f t="shared" ref="S55:S81" si="21">(SQRT(R55)-(N55*O55/P55))^2</f>
        <v>99655.247674270504</v>
      </c>
      <c r="T55" s="14">
        <f t="shared" ref="T55:T81" si="22">(S55)</f>
        <v>99655.247674270504</v>
      </c>
      <c r="U55" s="14">
        <f t="shared" si="13"/>
        <v>5.3058450282772E-3</v>
      </c>
      <c r="V55" s="14">
        <v>0.11</v>
      </c>
      <c r="W55" s="14">
        <f t="shared" ref="W55:W81" si="23">(1+V55)*100000</f>
        <v>111000.00000000001</v>
      </c>
      <c r="X55" s="14">
        <f t="shared" ref="X55:X81" si="24">(L55*W55)</f>
        <v>15.718039603960397</v>
      </c>
      <c r="Y55" s="16">
        <f t="shared" ref="Y55:Y81" si="25">(N55*U55)/(T55-X55)</f>
        <v>3.1771669014497145E-14</v>
      </c>
      <c r="Z55" s="16">
        <f t="shared" ref="Z55:Z81" si="26">(Y55*6.022E+23)</f>
        <v>19132899080.530182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spans="1:73" s="4" customFormat="1" x14ac:dyDescent="0.25">
      <c r="A56" s="1">
        <v>162</v>
      </c>
      <c r="B56" s="1">
        <f t="shared" si="1"/>
        <v>2.7</v>
      </c>
      <c r="C56" s="1">
        <v>20</v>
      </c>
      <c r="D56" s="1">
        <f t="shared" si="0"/>
        <v>29.146000000000001</v>
      </c>
      <c r="E56" s="1">
        <f t="shared" si="2"/>
        <v>4.8576666666666667E-7</v>
      </c>
      <c r="F56" s="1">
        <v>21.1</v>
      </c>
      <c r="G56" s="1">
        <f t="shared" si="3"/>
        <v>294.10000000000002</v>
      </c>
      <c r="H56" s="1">
        <v>101.3</v>
      </c>
      <c r="I56" s="1">
        <f t="shared" si="4"/>
        <v>101300</v>
      </c>
      <c r="J56" s="1">
        <f t="shared" si="5"/>
        <v>2.0124824921938581E-5</v>
      </c>
      <c r="K56" s="25">
        <v>134.22772277227725</v>
      </c>
      <c r="L56" s="2">
        <f t="shared" si="18"/>
        <v>1.3422772277227725E-4</v>
      </c>
      <c r="M56" s="3">
        <f t="shared" si="7"/>
        <v>4.7762865441819992E-3</v>
      </c>
      <c r="N56" s="52">
        <f t="shared" si="19"/>
        <v>5.6556686779042946E-7</v>
      </c>
      <c r="O56" s="26">
        <f t="shared" si="9"/>
        <v>2.032E-3</v>
      </c>
      <c r="P56" s="26">
        <v>1.45111777225214E-10</v>
      </c>
      <c r="Q56" s="14">
        <v>0.05</v>
      </c>
      <c r="R56" s="14">
        <f t="shared" si="20"/>
        <v>105000</v>
      </c>
      <c r="S56" s="14">
        <f t="shared" si="21"/>
        <v>99930.212425385093</v>
      </c>
      <c r="T56" s="14">
        <f t="shared" si="22"/>
        <v>99930.212425385093</v>
      </c>
      <c r="U56" s="14">
        <f t="shared" si="13"/>
        <v>5.3058450282772E-3</v>
      </c>
      <c r="V56" s="14">
        <v>0.11</v>
      </c>
      <c r="W56" s="14">
        <f t="shared" si="23"/>
        <v>111000.00000000001</v>
      </c>
      <c r="X56" s="14">
        <f t="shared" si="24"/>
        <v>14.899277227722777</v>
      </c>
      <c r="Y56" s="16">
        <f t="shared" si="25"/>
        <v>3.0033535992370554E-14</v>
      </c>
      <c r="Z56" s="16">
        <f t="shared" si="26"/>
        <v>18086195374.605549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spans="1:73" s="4" customFormat="1" x14ac:dyDescent="0.25">
      <c r="A57" s="1">
        <v>165</v>
      </c>
      <c r="B57" s="1">
        <f t="shared" si="1"/>
        <v>2.75</v>
      </c>
      <c r="C57" s="1">
        <v>20</v>
      </c>
      <c r="D57" s="1">
        <f t="shared" si="0"/>
        <v>29.146000000000001</v>
      </c>
      <c r="E57" s="1">
        <f t="shared" si="2"/>
        <v>4.8576666666666667E-7</v>
      </c>
      <c r="F57" s="1">
        <v>21.1</v>
      </c>
      <c r="G57" s="1">
        <f t="shared" si="3"/>
        <v>294.10000000000002</v>
      </c>
      <c r="H57" s="1">
        <v>101.3</v>
      </c>
      <c r="I57" s="1">
        <f t="shared" si="4"/>
        <v>101300</v>
      </c>
      <c r="J57" s="1">
        <f t="shared" si="5"/>
        <v>2.0124824921938581E-5</v>
      </c>
      <c r="K57" s="25">
        <v>129.05445544554459</v>
      </c>
      <c r="L57" s="2">
        <f t="shared" si="18"/>
        <v>1.2905445544554459E-4</v>
      </c>
      <c r="M57" s="3">
        <f t="shared" si="7"/>
        <v>4.7762865441819992E-3</v>
      </c>
      <c r="N57" s="52">
        <f t="shared" si="19"/>
        <v>5.4376936919778372E-7</v>
      </c>
      <c r="O57" s="26">
        <f t="shared" si="9"/>
        <v>2.032E-3</v>
      </c>
      <c r="P57" s="26">
        <v>1.45111777225214E-10</v>
      </c>
      <c r="Q57" s="14">
        <v>0.05</v>
      </c>
      <c r="R57" s="14">
        <f t="shared" si="20"/>
        <v>105000</v>
      </c>
      <c r="S57" s="14">
        <f t="shared" si="21"/>
        <v>100123.28283586213</v>
      </c>
      <c r="T57" s="14">
        <f t="shared" si="22"/>
        <v>100123.28283586213</v>
      </c>
      <c r="U57" s="14">
        <f t="shared" si="13"/>
        <v>5.3058450282772E-3</v>
      </c>
      <c r="V57" s="14">
        <v>0.11</v>
      </c>
      <c r="W57" s="14">
        <f t="shared" si="23"/>
        <v>111000.00000000001</v>
      </c>
      <c r="X57" s="14">
        <f t="shared" si="24"/>
        <v>14.325044554455451</v>
      </c>
      <c r="Y57" s="16">
        <f t="shared" si="25"/>
        <v>2.8820158233012826E-14</v>
      </c>
      <c r="Z57" s="16">
        <f t="shared" si="26"/>
        <v>17355499287.920326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spans="1:73" s="4" customFormat="1" x14ac:dyDescent="0.25">
      <c r="A58" s="1">
        <v>168</v>
      </c>
      <c r="B58" s="1">
        <f t="shared" si="1"/>
        <v>2.8</v>
      </c>
      <c r="C58" s="1">
        <v>20</v>
      </c>
      <c r="D58" s="1">
        <f t="shared" si="0"/>
        <v>29.146000000000001</v>
      </c>
      <c r="E58" s="1">
        <f t="shared" si="2"/>
        <v>4.8576666666666667E-7</v>
      </c>
      <c r="F58" s="1">
        <v>21.1</v>
      </c>
      <c r="G58" s="1">
        <f t="shared" si="3"/>
        <v>294.10000000000002</v>
      </c>
      <c r="H58" s="1">
        <v>101.3</v>
      </c>
      <c r="I58" s="1">
        <f t="shared" si="4"/>
        <v>101300</v>
      </c>
      <c r="J58" s="1">
        <f t="shared" si="5"/>
        <v>2.0124824921938581E-5</v>
      </c>
      <c r="K58" s="25">
        <v>128.73267326732673</v>
      </c>
      <c r="L58" s="2">
        <f t="shared" si="18"/>
        <v>1.2873267326732674E-4</v>
      </c>
      <c r="M58" s="3">
        <f t="shared" si="7"/>
        <v>4.7762865441819992E-3</v>
      </c>
      <c r="N58" s="52">
        <f t="shared" si="19"/>
        <v>5.4241354392647065E-7</v>
      </c>
      <c r="O58" s="26">
        <f t="shared" si="9"/>
        <v>2.032E-3</v>
      </c>
      <c r="P58" s="26">
        <v>1.45111777225214E-10</v>
      </c>
      <c r="Q58" s="14">
        <v>0.05</v>
      </c>
      <c r="R58" s="14">
        <f t="shared" si="20"/>
        <v>105000</v>
      </c>
      <c r="S58" s="14">
        <f t="shared" si="21"/>
        <v>100135.29815559095</v>
      </c>
      <c r="T58" s="14">
        <f t="shared" si="22"/>
        <v>100135.29815559095</v>
      </c>
      <c r="U58" s="14">
        <f t="shared" si="13"/>
        <v>5.3058450282772E-3</v>
      </c>
      <c r="V58" s="14">
        <v>0.11</v>
      </c>
      <c r="W58" s="14">
        <f t="shared" si="23"/>
        <v>111000.00000000001</v>
      </c>
      <c r="X58" s="14">
        <f t="shared" si="24"/>
        <v>14.28932673267327</v>
      </c>
      <c r="Y58" s="16">
        <f t="shared" si="25"/>
        <v>2.8744838260987978E-14</v>
      </c>
      <c r="Z58" s="16">
        <f t="shared" si="26"/>
        <v>17310141600.76696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spans="1:73" s="4" customFormat="1" x14ac:dyDescent="0.25">
      <c r="A59" s="1">
        <v>171</v>
      </c>
      <c r="B59" s="1">
        <f t="shared" si="1"/>
        <v>2.85</v>
      </c>
      <c r="C59" s="1">
        <v>20</v>
      </c>
      <c r="D59" s="1">
        <f t="shared" si="0"/>
        <v>29.146000000000001</v>
      </c>
      <c r="E59" s="1">
        <f t="shared" si="2"/>
        <v>4.8576666666666667E-7</v>
      </c>
      <c r="F59" s="1">
        <v>21.1</v>
      </c>
      <c r="G59" s="1">
        <f t="shared" si="3"/>
        <v>294.10000000000002</v>
      </c>
      <c r="H59" s="1">
        <v>101.3</v>
      </c>
      <c r="I59" s="1">
        <f t="shared" si="4"/>
        <v>101300</v>
      </c>
      <c r="J59" s="1">
        <f t="shared" si="5"/>
        <v>2.0124824921938581E-5</v>
      </c>
      <c r="K59" s="25">
        <v>130.5891089108911</v>
      </c>
      <c r="L59" s="2">
        <f t="shared" si="18"/>
        <v>1.3058910891089109E-4</v>
      </c>
      <c r="M59" s="3">
        <f t="shared" si="7"/>
        <v>4.7762865441819992E-3</v>
      </c>
      <c r="N59" s="52">
        <f t="shared" si="19"/>
        <v>5.5023561279942975E-7</v>
      </c>
      <c r="O59" s="26">
        <f t="shared" si="9"/>
        <v>2.032E-3</v>
      </c>
      <c r="P59" s="26">
        <v>1.45111777225214E-10</v>
      </c>
      <c r="Q59" s="14">
        <v>0.05</v>
      </c>
      <c r="R59" s="14">
        <f t="shared" si="20"/>
        <v>105000</v>
      </c>
      <c r="S59" s="14">
        <f t="shared" si="21"/>
        <v>100065.98892111934</v>
      </c>
      <c r="T59" s="14">
        <f t="shared" si="22"/>
        <v>100065.98892111934</v>
      </c>
      <c r="U59" s="14">
        <f t="shared" si="13"/>
        <v>5.3058450282772E-3</v>
      </c>
      <c r="V59" s="14">
        <v>0.11</v>
      </c>
      <c r="W59" s="14">
        <f t="shared" si="23"/>
        <v>111000.00000000001</v>
      </c>
      <c r="X59" s="14">
        <f t="shared" si="24"/>
        <v>14.495391089108914</v>
      </c>
      <c r="Y59" s="16">
        <f t="shared" si="25"/>
        <v>2.9179623287448898E-14</v>
      </c>
      <c r="Z59" s="16">
        <f t="shared" si="26"/>
        <v>17571969143.701729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spans="1:73" s="4" customFormat="1" x14ac:dyDescent="0.25">
      <c r="A60" s="1">
        <v>174</v>
      </c>
      <c r="B60" s="1">
        <f t="shared" si="1"/>
        <v>2.9</v>
      </c>
      <c r="C60" s="1">
        <v>20</v>
      </c>
      <c r="D60" s="1">
        <f t="shared" si="0"/>
        <v>29.146000000000001</v>
      </c>
      <c r="E60" s="1">
        <f t="shared" si="2"/>
        <v>4.8576666666666667E-7</v>
      </c>
      <c r="F60" s="1">
        <v>21.1</v>
      </c>
      <c r="G60" s="1">
        <f t="shared" si="3"/>
        <v>294.10000000000002</v>
      </c>
      <c r="H60" s="1">
        <v>101.3</v>
      </c>
      <c r="I60" s="1">
        <f t="shared" si="4"/>
        <v>101300</v>
      </c>
      <c r="J60" s="1">
        <f t="shared" si="5"/>
        <v>2.0124824921938581E-5</v>
      </c>
      <c r="K60" s="25">
        <v>136.95049504950498</v>
      </c>
      <c r="L60" s="2">
        <f t="shared" si="18"/>
        <v>1.3695049504950499E-4</v>
      </c>
      <c r="M60" s="3">
        <f t="shared" si="7"/>
        <v>4.7762865441819992E-3</v>
      </c>
      <c r="N60" s="52">
        <f t="shared" si="19"/>
        <v>5.7703923547076944E-7</v>
      </c>
      <c r="O60" s="26">
        <f t="shared" si="9"/>
        <v>2.032E-3</v>
      </c>
      <c r="P60" s="26">
        <v>1.45111777225214E-10</v>
      </c>
      <c r="Q60" s="14">
        <v>0.05</v>
      </c>
      <c r="R60" s="14">
        <f t="shared" si="20"/>
        <v>105000</v>
      </c>
      <c r="S60" s="14">
        <f t="shared" si="21"/>
        <v>99828.671262010976</v>
      </c>
      <c r="T60" s="14">
        <f t="shared" si="22"/>
        <v>99828.671262010976</v>
      </c>
      <c r="U60" s="14">
        <f t="shared" si="13"/>
        <v>5.3058450282772E-3</v>
      </c>
      <c r="V60" s="14">
        <v>0.11</v>
      </c>
      <c r="W60" s="14">
        <f t="shared" si="23"/>
        <v>111000.00000000001</v>
      </c>
      <c r="X60" s="14">
        <f t="shared" si="24"/>
        <v>15.201504950495057</v>
      </c>
      <c r="Y60" s="16">
        <f t="shared" si="25"/>
        <v>3.0674023917767724E-14</v>
      </c>
      <c r="Z60" s="16">
        <f t="shared" si="26"/>
        <v>18471897203.279724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 s="4" customFormat="1" x14ac:dyDescent="0.25">
      <c r="A61" s="1">
        <v>177</v>
      </c>
      <c r="B61" s="1">
        <f t="shared" si="1"/>
        <v>2.95</v>
      </c>
      <c r="C61" s="1">
        <v>20</v>
      </c>
      <c r="D61" s="1">
        <f t="shared" si="0"/>
        <v>29.146000000000001</v>
      </c>
      <c r="E61" s="1">
        <f t="shared" si="2"/>
        <v>4.8576666666666667E-7</v>
      </c>
      <c r="F61" s="1">
        <v>21.1</v>
      </c>
      <c r="G61" s="1">
        <f t="shared" si="3"/>
        <v>294.10000000000002</v>
      </c>
      <c r="H61" s="1">
        <v>101.3</v>
      </c>
      <c r="I61" s="1">
        <f t="shared" si="4"/>
        <v>101300</v>
      </c>
      <c r="J61" s="1">
        <f t="shared" si="5"/>
        <v>2.0124824921938581E-5</v>
      </c>
      <c r="K61" s="25">
        <v>141.38118811881191</v>
      </c>
      <c r="L61" s="2">
        <f t="shared" si="18"/>
        <v>1.4138118811881192E-4</v>
      </c>
      <c r="M61" s="3">
        <f t="shared" si="7"/>
        <v>4.7762865441819992E-3</v>
      </c>
      <c r="N61" s="52">
        <f t="shared" si="19"/>
        <v>5.9570790651423164E-7</v>
      </c>
      <c r="O61" s="26">
        <f t="shared" si="9"/>
        <v>2.032E-3</v>
      </c>
      <c r="P61" s="26">
        <v>1.45111777225214E-10</v>
      </c>
      <c r="Q61" s="14">
        <v>0.05</v>
      </c>
      <c r="R61" s="14">
        <f t="shared" si="20"/>
        <v>105000</v>
      </c>
      <c r="S61" s="14">
        <f t="shared" si="21"/>
        <v>99663.546431259354</v>
      </c>
      <c r="T61" s="14">
        <f t="shared" si="22"/>
        <v>99663.546431259354</v>
      </c>
      <c r="U61" s="14">
        <f t="shared" si="13"/>
        <v>5.3058450282772E-3</v>
      </c>
      <c r="V61" s="14">
        <v>0.11</v>
      </c>
      <c r="W61" s="14">
        <f t="shared" si="23"/>
        <v>111000.00000000001</v>
      </c>
      <c r="X61" s="14">
        <f t="shared" si="24"/>
        <v>15.693311881188125</v>
      </c>
      <c r="Y61" s="16">
        <f t="shared" si="25"/>
        <v>3.1719035936453088E-14</v>
      </c>
      <c r="Z61" s="16">
        <f t="shared" si="26"/>
        <v>19101203440.932053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s="4" customFormat="1" x14ac:dyDescent="0.25">
      <c r="A62" s="1">
        <v>180</v>
      </c>
      <c r="B62" s="1">
        <f t="shared" si="1"/>
        <v>3</v>
      </c>
      <c r="C62" s="1">
        <v>20</v>
      </c>
      <c r="D62" s="1">
        <f t="shared" si="0"/>
        <v>29.146000000000001</v>
      </c>
      <c r="E62" s="1">
        <f t="shared" si="2"/>
        <v>4.8576666666666667E-7</v>
      </c>
      <c r="F62" s="1">
        <v>21.1</v>
      </c>
      <c r="G62" s="1">
        <f t="shared" si="3"/>
        <v>294.10000000000002</v>
      </c>
      <c r="H62" s="1">
        <v>101.3</v>
      </c>
      <c r="I62" s="1">
        <f t="shared" si="4"/>
        <v>101300</v>
      </c>
      <c r="J62" s="1">
        <f t="shared" si="5"/>
        <v>2.0124824921938581E-5</v>
      </c>
      <c r="K62" s="25">
        <v>145.73762376237624</v>
      </c>
      <c r="L62" s="2">
        <f t="shared" si="18"/>
        <v>1.4573762376237625E-4</v>
      </c>
      <c r="M62" s="3">
        <f t="shared" si="7"/>
        <v>4.7762865441819992E-3</v>
      </c>
      <c r="N62" s="52">
        <f t="shared" si="19"/>
        <v>6.1406369480277546E-7</v>
      </c>
      <c r="O62" s="26">
        <f t="shared" si="9"/>
        <v>2.032E-3</v>
      </c>
      <c r="P62" s="26">
        <v>1.45111777225214E-10</v>
      </c>
      <c r="Q62" s="14">
        <v>0.05</v>
      </c>
      <c r="R62" s="14">
        <f t="shared" si="20"/>
        <v>105000</v>
      </c>
      <c r="S62" s="14">
        <f t="shared" si="21"/>
        <v>99501.322317011785</v>
      </c>
      <c r="T62" s="14">
        <f t="shared" si="22"/>
        <v>99501.322317011785</v>
      </c>
      <c r="U62" s="14">
        <f t="shared" si="13"/>
        <v>5.3058450282772E-3</v>
      </c>
      <c r="V62" s="14">
        <v>0.11</v>
      </c>
      <c r="W62" s="14">
        <f t="shared" si="23"/>
        <v>111000.00000000001</v>
      </c>
      <c r="X62" s="14">
        <f t="shared" si="24"/>
        <v>16.176876237623766</v>
      </c>
      <c r="Y62" s="16">
        <f t="shared" si="25"/>
        <v>3.2749882283224619E-14</v>
      </c>
      <c r="Z62" s="16">
        <f t="shared" si="26"/>
        <v>19721979110.957867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 s="4" customFormat="1" x14ac:dyDescent="0.25">
      <c r="A63" s="1">
        <v>183</v>
      </c>
      <c r="B63" s="1">
        <f t="shared" si="1"/>
        <v>3.05</v>
      </c>
      <c r="C63" s="1">
        <v>20</v>
      </c>
      <c r="D63" s="1">
        <f t="shared" si="0"/>
        <v>29.146000000000001</v>
      </c>
      <c r="E63" s="1">
        <f t="shared" si="2"/>
        <v>4.8576666666666667E-7</v>
      </c>
      <c r="F63" s="1">
        <v>21.1</v>
      </c>
      <c r="G63" s="1">
        <f t="shared" si="3"/>
        <v>294.10000000000002</v>
      </c>
      <c r="H63" s="1">
        <v>101.3</v>
      </c>
      <c r="I63" s="1">
        <f t="shared" si="4"/>
        <v>101300</v>
      </c>
      <c r="J63" s="1">
        <f t="shared" si="5"/>
        <v>2.0124824921938581E-5</v>
      </c>
      <c r="K63" s="25">
        <v>133.43564356435644</v>
      </c>
      <c r="L63" s="2">
        <f t="shared" si="18"/>
        <v>1.3343564356435643E-4</v>
      </c>
      <c r="M63" s="3">
        <f t="shared" si="7"/>
        <v>4.7762865441819992E-3</v>
      </c>
      <c r="N63" s="52">
        <f t="shared" si="19"/>
        <v>5.6222945173796686E-7</v>
      </c>
      <c r="O63" s="26">
        <f t="shared" si="9"/>
        <v>2.032E-3</v>
      </c>
      <c r="P63" s="26">
        <v>1.45111777225214E-10</v>
      </c>
      <c r="Q63" s="14">
        <v>0.05</v>
      </c>
      <c r="R63" s="14">
        <f t="shared" si="20"/>
        <v>105000</v>
      </c>
      <c r="S63" s="14">
        <f t="shared" si="21"/>
        <v>99959.76136463866</v>
      </c>
      <c r="T63" s="14">
        <f t="shared" si="22"/>
        <v>99959.76136463866</v>
      </c>
      <c r="U63" s="14">
        <f t="shared" si="13"/>
        <v>5.3058450282772E-3</v>
      </c>
      <c r="V63" s="14">
        <v>0.11</v>
      </c>
      <c r="W63" s="14">
        <f t="shared" si="23"/>
        <v>111000.00000000001</v>
      </c>
      <c r="X63" s="14">
        <f t="shared" si="24"/>
        <v>14.811356435643566</v>
      </c>
      <c r="Y63" s="16">
        <f t="shared" si="25"/>
        <v>2.984745443376647E-14</v>
      </c>
      <c r="Z63" s="16">
        <f t="shared" si="26"/>
        <v>17974137060.014168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s="4" customFormat="1" x14ac:dyDescent="0.25">
      <c r="A64" s="1">
        <v>186</v>
      </c>
      <c r="B64" s="1">
        <f t="shared" si="1"/>
        <v>3.1</v>
      </c>
      <c r="C64" s="1">
        <v>20</v>
      </c>
      <c r="D64" s="1">
        <f t="shared" si="0"/>
        <v>29.146000000000001</v>
      </c>
      <c r="E64" s="1">
        <f t="shared" si="2"/>
        <v>4.8576666666666667E-7</v>
      </c>
      <c r="F64" s="1">
        <v>21.1</v>
      </c>
      <c r="G64" s="1">
        <f t="shared" si="3"/>
        <v>294.10000000000002</v>
      </c>
      <c r="H64" s="1">
        <v>101.3</v>
      </c>
      <c r="I64" s="1">
        <f t="shared" si="4"/>
        <v>101300</v>
      </c>
      <c r="J64" s="1">
        <f t="shared" si="5"/>
        <v>2.0124824921938581E-5</v>
      </c>
      <c r="K64" s="25">
        <v>138.50990099009903</v>
      </c>
      <c r="L64" s="2">
        <f t="shared" si="18"/>
        <v>1.3850990099009903E-4</v>
      </c>
      <c r="M64" s="3">
        <f t="shared" si="7"/>
        <v>4.7762865441819992E-3</v>
      </c>
      <c r="N64" s="52">
        <f t="shared" si="19"/>
        <v>5.8360977332405489E-7</v>
      </c>
      <c r="O64" s="26">
        <f t="shared" si="9"/>
        <v>2.032E-3</v>
      </c>
      <c r="P64" s="26">
        <v>1.45111777225214E-10</v>
      </c>
      <c r="Q64" s="14">
        <v>0.05</v>
      </c>
      <c r="R64" s="14">
        <f t="shared" si="20"/>
        <v>105000</v>
      </c>
      <c r="S64" s="14">
        <f t="shared" si="21"/>
        <v>99770.539114509011</v>
      </c>
      <c r="T64" s="14">
        <f t="shared" si="22"/>
        <v>99770.539114509011</v>
      </c>
      <c r="U64" s="14">
        <f t="shared" si="13"/>
        <v>5.3058450282772E-3</v>
      </c>
      <c r="V64" s="14">
        <v>0.11</v>
      </c>
      <c r="W64" s="14">
        <f t="shared" si="23"/>
        <v>111000.00000000001</v>
      </c>
      <c r="X64" s="14">
        <f t="shared" si="24"/>
        <v>15.374599009900994</v>
      </c>
      <c r="Y64" s="16">
        <f t="shared" si="25"/>
        <v>3.1041430579409305E-14</v>
      </c>
      <c r="Z64" s="16">
        <f t="shared" si="26"/>
        <v>18693149494.920284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spans="1:73" s="4" customFormat="1" x14ac:dyDescent="0.25">
      <c r="A65" s="1">
        <v>189</v>
      </c>
      <c r="B65" s="1">
        <f t="shared" si="1"/>
        <v>3.15</v>
      </c>
      <c r="C65" s="1">
        <v>20</v>
      </c>
      <c r="D65" s="1">
        <f t="shared" si="0"/>
        <v>29.146000000000001</v>
      </c>
      <c r="E65" s="1">
        <f t="shared" si="2"/>
        <v>4.8576666666666667E-7</v>
      </c>
      <c r="F65" s="1">
        <v>21.1</v>
      </c>
      <c r="G65" s="1">
        <f t="shared" si="3"/>
        <v>294.10000000000002</v>
      </c>
      <c r="H65" s="1">
        <v>101.3</v>
      </c>
      <c r="I65" s="1">
        <f t="shared" si="4"/>
        <v>101300</v>
      </c>
      <c r="J65" s="1">
        <f t="shared" si="5"/>
        <v>2.0124824921938581E-5</v>
      </c>
      <c r="K65" s="25">
        <v>133.70792079207922</v>
      </c>
      <c r="L65" s="2">
        <f t="shared" si="18"/>
        <v>1.3370792079207922E-4</v>
      </c>
      <c r="M65" s="3">
        <f t="shared" si="7"/>
        <v>4.7762865441819992E-3</v>
      </c>
      <c r="N65" s="52">
        <f t="shared" si="19"/>
        <v>5.6337668850600087E-7</v>
      </c>
      <c r="O65" s="26">
        <f t="shared" si="9"/>
        <v>2.032E-3</v>
      </c>
      <c r="P65" s="26">
        <v>1.45111777225214E-10</v>
      </c>
      <c r="Q65" s="14">
        <v>0.05</v>
      </c>
      <c r="R65" s="14">
        <f t="shared" si="20"/>
        <v>105000</v>
      </c>
      <c r="S65" s="14">
        <f t="shared" si="21"/>
        <v>99949.603424079061</v>
      </c>
      <c r="T65" s="14">
        <f t="shared" si="22"/>
        <v>99949.603424079061</v>
      </c>
      <c r="U65" s="14">
        <f t="shared" si="13"/>
        <v>5.3058450282772E-3</v>
      </c>
      <c r="V65" s="14">
        <v>0.11</v>
      </c>
      <c r="W65" s="14">
        <f t="shared" si="23"/>
        <v>111000.00000000001</v>
      </c>
      <c r="X65" s="14">
        <f t="shared" si="24"/>
        <v>14.841579207920795</v>
      </c>
      <c r="Y65" s="16">
        <f t="shared" si="25"/>
        <v>2.9911407668104117E-14</v>
      </c>
      <c r="Z65" s="16">
        <f t="shared" si="26"/>
        <v>18012649697.7323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spans="1:73" s="4" customFormat="1" x14ac:dyDescent="0.25">
      <c r="A66" s="1">
        <v>192</v>
      </c>
      <c r="B66" s="1">
        <f t="shared" si="1"/>
        <v>3.2</v>
      </c>
      <c r="C66" s="1">
        <v>20</v>
      </c>
      <c r="D66" s="1">
        <f t="shared" ref="D66:D81" si="27">(C66*1.4573)</f>
        <v>29.146000000000001</v>
      </c>
      <c r="E66" s="1">
        <f t="shared" si="2"/>
        <v>4.8576666666666667E-7</v>
      </c>
      <c r="F66" s="1">
        <v>21.1</v>
      </c>
      <c r="G66" s="1">
        <f t="shared" si="3"/>
        <v>294.10000000000002</v>
      </c>
      <c r="H66" s="1">
        <v>101.3</v>
      </c>
      <c r="I66" s="1">
        <f t="shared" si="4"/>
        <v>101300</v>
      </c>
      <c r="J66" s="1">
        <f t="shared" si="5"/>
        <v>2.0124824921938581E-5</v>
      </c>
      <c r="K66" s="25">
        <v>135.91089108910893</v>
      </c>
      <c r="L66" s="2">
        <f t="shared" si="18"/>
        <v>1.3591089108910893E-4</v>
      </c>
      <c r="M66" s="3">
        <f t="shared" si="7"/>
        <v>4.7762865441819992E-3</v>
      </c>
      <c r="N66" s="52">
        <f t="shared" si="19"/>
        <v>5.7265887690191236E-7</v>
      </c>
      <c r="O66" s="26">
        <f t="shared" si="9"/>
        <v>2.032E-3</v>
      </c>
      <c r="P66" s="26">
        <v>1.45111777225214E-10</v>
      </c>
      <c r="Q66" s="14">
        <v>0.05</v>
      </c>
      <c r="R66" s="14">
        <f t="shared" si="20"/>
        <v>105000</v>
      </c>
      <c r="S66" s="14">
        <f t="shared" si="21"/>
        <v>99867.435432935294</v>
      </c>
      <c r="T66" s="14">
        <f t="shared" si="22"/>
        <v>99867.435432935294</v>
      </c>
      <c r="U66" s="14">
        <f t="shared" si="13"/>
        <v>5.3058450282772E-3</v>
      </c>
      <c r="V66" s="14">
        <v>0.11</v>
      </c>
      <c r="W66" s="14">
        <f t="shared" si="23"/>
        <v>111000.00000000001</v>
      </c>
      <c r="X66" s="14">
        <f t="shared" si="24"/>
        <v>15.086108910891094</v>
      </c>
      <c r="Y66" s="16">
        <f t="shared" si="25"/>
        <v>3.0429321648196522E-14</v>
      </c>
      <c r="Z66" s="16">
        <f t="shared" si="26"/>
        <v>18324537496.543945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spans="1:73" s="4" customFormat="1" x14ac:dyDescent="0.25">
      <c r="A67" s="1">
        <v>195</v>
      </c>
      <c r="B67" s="1">
        <f t="shared" ref="B67:B81" si="28">(A67/60)</f>
        <v>3.25</v>
      </c>
      <c r="C67" s="1">
        <v>20</v>
      </c>
      <c r="D67" s="1">
        <f t="shared" si="27"/>
        <v>29.146000000000001</v>
      </c>
      <c r="E67" s="1">
        <f t="shared" ref="E67:E81" si="29">(D67/(1000000*60))</f>
        <v>4.8576666666666667E-7</v>
      </c>
      <c r="F67" s="1">
        <v>21.1</v>
      </c>
      <c r="G67" s="1">
        <f t="shared" ref="G67:G81" si="30">(273+F67)</f>
        <v>294.10000000000002</v>
      </c>
      <c r="H67" s="1">
        <v>101.3</v>
      </c>
      <c r="I67" s="1">
        <f t="shared" ref="I67:I81" si="31">(H67*1000)</f>
        <v>101300</v>
      </c>
      <c r="J67" s="1">
        <f t="shared" ref="J67:J81" si="32">((I67*E67)/(8.314*G67))</f>
        <v>2.0124824921938581E-5</v>
      </c>
      <c r="K67" s="25">
        <v>140.78712871287129</v>
      </c>
      <c r="L67" s="2">
        <f t="shared" si="18"/>
        <v>1.407871287128713E-4</v>
      </c>
      <c r="M67" s="3">
        <f t="shared" ref="M67:M81" si="33">(3.142*3.07*3.07*25.4*25.4)/(4*1000000)</f>
        <v>4.7762865441819992E-3</v>
      </c>
      <c r="N67" s="52">
        <f t="shared" si="19"/>
        <v>5.9320484447488467E-7</v>
      </c>
      <c r="O67" s="26">
        <f t="shared" ref="O67:O81" si="34">(2.032/1000)</f>
        <v>2.032E-3</v>
      </c>
      <c r="P67" s="26">
        <v>1.45111777225214E-10</v>
      </c>
      <c r="Q67" s="14">
        <v>0.05</v>
      </c>
      <c r="R67" s="14">
        <f t="shared" si="20"/>
        <v>105000</v>
      </c>
      <c r="S67" s="14">
        <f t="shared" si="21"/>
        <v>99685.678139123353</v>
      </c>
      <c r="T67" s="14">
        <f t="shared" si="22"/>
        <v>99685.678139123353</v>
      </c>
      <c r="U67" s="14">
        <f t="shared" ref="U67:U81" si="35">(5.3058450282772/1000)</f>
        <v>5.3058450282772E-3</v>
      </c>
      <c r="V67" s="14">
        <v>0.11</v>
      </c>
      <c r="W67" s="14">
        <f t="shared" si="23"/>
        <v>111000.00000000001</v>
      </c>
      <c r="X67" s="14">
        <f t="shared" si="24"/>
        <v>15.627371287128716</v>
      </c>
      <c r="Y67" s="16">
        <f t="shared" si="25"/>
        <v>3.1578723503798071E-14</v>
      </c>
      <c r="Z67" s="16">
        <f t="shared" si="26"/>
        <v>19016707293.987198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s="4" customFormat="1" x14ac:dyDescent="0.25">
      <c r="A68" s="1">
        <v>198</v>
      </c>
      <c r="B68" s="1">
        <f t="shared" si="28"/>
        <v>3.3</v>
      </c>
      <c r="C68" s="1">
        <v>20</v>
      </c>
      <c r="D68" s="1">
        <f t="shared" si="27"/>
        <v>29.146000000000001</v>
      </c>
      <c r="E68" s="1">
        <f t="shared" si="29"/>
        <v>4.8576666666666667E-7</v>
      </c>
      <c r="F68" s="1">
        <v>21.1</v>
      </c>
      <c r="G68" s="1">
        <f t="shared" si="30"/>
        <v>294.10000000000002</v>
      </c>
      <c r="H68" s="1">
        <v>101.3</v>
      </c>
      <c r="I68" s="1">
        <f t="shared" si="31"/>
        <v>101300</v>
      </c>
      <c r="J68" s="1">
        <f t="shared" si="32"/>
        <v>2.0124824921938581E-5</v>
      </c>
      <c r="K68" s="25">
        <v>136.72772277227725</v>
      </c>
      <c r="L68" s="2">
        <f t="shared" si="18"/>
        <v>1.3672772277227726E-4</v>
      </c>
      <c r="M68" s="3">
        <f t="shared" si="33"/>
        <v>4.7762865441819992E-3</v>
      </c>
      <c r="N68" s="52">
        <f t="shared" si="19"/>
        <v>5.7610058720601428E-7</v>
      </c>
      <c r="O68" s="26">
        <f t="shared" si="34"/>
        <v>2.032E-3</v>
      </c>
      <c r="P68" s="26">
        <v>1.45111777225214E-10</v>
      </c>
      <c r="Q68" s="14">
        <v>0.05</v>
      </c>
      <c r="R68" s="14">
        <f t="shared" si="20"/>
        <v>105000</v>
      </c>
      <c r="S68" s="14">
        <f t="shared" si="21"/>
        <v>99836.977236606079</v>
      </c>
      <c r="T68" s="14">
        <f t="shared" si="22"/>
        <v>99836.977236606079</v>
      </c>
      <c r="U68" s="14">
        <f t="shared" si="35"/>
        <v>5.3058450282772E-3</v>
      </c>
      <c r="V68" s="14">
        <v>0.11</v>
      </c>
      <c r="W68" s="14">
        <f t="shared" si="23"/>
        <v>111000.00000000001</v>
      </c>
      <c r="X68" s="14">
        <f t="shared" si="24"/>
        <v>15.176777227722777</v>
      </c>
      <c r="Y68" s="16">
        <f t="shared" si="25"/>
        <v>3.0621571864539797E-14</v>
      </c>
      <c r="Z68" s="16">
        <f t="shared" si="26"/>
        <v>18440310576.825867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spans="1:73" s="4" customFormat="1" x14ac:dyDescent="0.25">
      <c r="A69" s="1">
        <v>201</v>
      </c>
      <c r="B69" s="1">
        <f t="shared" si="28"/>
        <v>3.35</v>
      </c>
      <c r="C69" s="1">
        <v>20</v>
      </c>
      <c r="D69" s="1">
        <f t="shared" si="27"/>
        <v>29.146000000000001</v>
      </c>
      <c r="E69" s="1">
        <f t="shared" si="29"/>
        <v>4.8576666666666667E-7</v>
      </c>
      <c r="F69" s="1">
        <v>21.1</v>
      </c>
      <c r="G69" s="1">
        <f t="shared" si="30"/>
        <v>294.10000000000002</v>
      </c>
      <c r="H69" s="1">
        <v>101.3</v>
      </c>
      <c r="I69" s="1">
        <f t="shared" si="31"/>
        <v>101300</v>
      </c>
      <c r="J69" s="1">
        <f t="shared" si="32"/>
        <v>2.0124824921938581E-5</v>
      </c>
      <c r="K69" s="25">
        <v>139.25247524752479</v>
      </c>
      <c r="L69" s="2">
        <f t="shared" si="18"/>
        <v>1.3925247524752479E-4</v>
      </c>
      <c r="M69" s="3">
        <f t="shared" si="33"/>
        <v>4.7762865441819992E-3</v>
      </c>
      <c r="N69" s="52">
        <f t="shared" si="19"/>
        <v>5.8673860087323864E-7</v>
      </c>
      <c r="O69" s="26">
        <f t="shared" si="34"/>
        <v>2.032E-3</v>
      </c>
      <c r="P69" s="26">
        <v>1.45111777225214E-10</v>
      </c>
      <c r="Q69" s="14">
        <v>0.05</v>
      </c>
      <c r="R69" s="14">
        <f t="shared" si="20"/>
        <v>105000</v>
      </c>
      <c r="S69" s="14">
        <f t="shared" si="21"/>
        <v>99742.863090194063</v>
      </c>
      <c r="T69" s="14">
        <f t="shared" si="22"/>
        <v>99742.863090194063</v>
      </c>
      <c r="U69" s="14">
        <f t="shared" si="35"/>
        <v>5.3058450282772E-3</v>
      </c>
      <c r="V69" s="14">
        <v>0.11</v>
      </c>
      <c r="W69" s="14">
        <f t="shared" si="23"/>
        <v>111000.00000000001</v>
      </c>
      <c r="X69" s="14">
        <f t="shared" si="24"/>
        <v>15.457024752475254</v>
      </c>
      <c r="Y69" s="16">
        <f t="shared" si="25"/>
        <v>3.1216535265127963E-14</v>
      </c>
      <c r="Z69" s="16">
        <f t="shared" si="26"/>
        <v>18798597536.660061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spans="1:73" s="4" customFormat="1" x14ac:dyDescent="0.25">
      <c r="A70" s="1">
        <v>204</v>
      </c>
      <c r="B70" s="1">
        <f t="shared" si="28"/>
        <v>3.4</v>
      </c>
      <c r="C70" s="1">
        <v>20</v>
      </c>
      <c r="D70" s="1">
        <f t="shared" si="27"/>
        <v>29.146000000000001</v>
      </c>
      <c r="E70" s="1">
        <f t="shared" si="29"/>
        <v>4.8576666666666667E-7</v>
      </c>
      <c r="F70" s="1">
        <v>21.1</v>
      </c>
      <c r="G70" s="1">
        <f t="shared" si="30"/>
        <v>294.10000000000002</v>
      </c>
      <c r="H70" s="1">
        <v>101.3</v>
      </c>
      <c r="I70" s="1">
        <f t="shared" si="31"/>
        <v>101300</v>
      </c>
      <c r="J70" s="1">
        <f t="shared" si="32"/>
        <v>2.0124824921938581E-5</v>
      </c>
      <c r="K70" s="25">
        <v>134.50000000000003</v>
      </c>
      <c r="L70" s="2">
        <f t="shared" si="18"/>
        <v>1.3450000000000002E-4</v>
      </c>
      <c r="M70" s="3">
        <f t="shared" si="33"/>
        <v>4.7762865441819992E-3</v>
      </c>
      <c r="N70" s="52">
        <f t="shared" si="19"/>
        <v>5.6671410455846336E-7</v>
      </c>
      <c r="O70" s="26">
        <f t="shared" si="34"/>
        <v>2.032E-3</v>
      </c>
      <c r="P70" s="26">
        <v>1.45111777225214E-10</v>
      </c>
      <c r="Q70" s="14">
        <v>0.05</v>
      </c>
      <c r="R70" s="14">
        <f t="shared" si="20"/>
        <v>105000</v>
      </c>
      <c r="S70" s="14">
        <f t="shared" si="21"/>
        <v>99920.055986360589</v>
      </c>
      <c r="T70" s="14">
        <f t="shared" si="22"/>
        <v>99920.055986360589</v>
      </c>
      <c r="U70" s="14">
        <f t="shared" si="35"/>
        <v>5.3058450282772E-3</v>
      </c>
      <c r="V70" s="14">
        <v>0.11</v>
      </c>
      <c r="W70" s="14">
        <f t="shared" si="23"/>
        <v>111000.00000000001</v>
      </c>
      <c r="X70" s="14">
        <f t="shared" si="24"/>
        <v>14.929500000000004</v>
      </c>
      <c r="Y70" s="16">
        <f t="shared" si="25"/>
        <v>3.0097526722380962E-14</v>
      </c>
      <c r="Z70" s="16">
        <f t="shared" si="26"/>
        <v>18124730592.217815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spans="1:73" s="4" customFormat="1" x14ac:dyDescent="0.25">
      <c r="A71" s="1">
        <v>207</v>
      </c>
      <c r="B71" s="1">
        <f t="shared" si="28"/>
        <v>3.45</v>
      </c>
      <c r="C71" s="1">
        <v>20</v>
      </c>
      <c r="D71" s="1">
        <f t="shared" si="27"/>
        <v>29.146000000000001</v>
      </c>
      <c r="E71" s="1">
        <f t="shared" si="29"/>
        <v>4.8576666666666667E-7</v>
      </c>
      <c r="F71" s="1">
        <v>21.1</v>
      </c>
      <c r="G71" s="1">
        <f t="shared" si="30"/>
        <v>294.10000000000002</v>
      </c>
      <c r="H71" s="1">
        <v>101.3</v>
      </c>
      <c r="I71" s="1">
        <f t="shared" si="31"/>
        <v>101300</v>
      </c>
      <c r="J71" s="1">
        <f t="shared" si="32"/>
        <v>2.0124824921938581E-5</v>
      </c>
      <c r="K71" s="25">
        <v>137.12376237623764</v>
      </c>
      <c r="L71" s="2">
        <f t="shared" si="18"/>
        <v>1.3712376237623764E-4</v>
      </c>
      <c r="M71" s="3">
        <f t="shared" si="33"/>
        <v>4.7762865441819992E-3</v>
      </c>
      <c r="N71" s="52">
        <f t="shared" si="19"/>
        <v>5.7776929523224553E-7</v>
      </c>
      <c r="O71" s="26">
        <f t="shared" si="34"/>
        <v>2.032E-3</v>
      </c>
      <c r="P71" s="26">
        <v>1.45111777225214E-10</v>
      </c>
      <c r="Q71" s="14">
        <v>0.05</v>
      </c>
      <c r="R71" s="14">
        <f t="shared" si="20"/>
        <v>105000</v>
      </c>
      <c r="S71" s="14">
        <f t="shared" si="21"/>
        <v>99822.211298428723</v>
      </c>
      <c r="T71" s="14">
        <f t="shared" si="22"/>
        <v>99822.211298428723</v>
      </c>
      <c r="U71" s="14">
        <f t="shared" si="35"/>
        <v>5.3058450282772E-3</v>
      </c>
      <c r="V71" s="14">
        <v>0.11</v>
      </c>
      <c r="W71" s="14">
        <f t="shared" si="23"/>
        <v>111000.00000000001</v>
      </c>
      <c r="X71" s="14">
        <f t="shared" si="24"/>
        <v>15.22073762376238</v>
      </c>
      <c r="Y71" s="16">
        <f t="shared" si="25"/>
        <v>3.0714825939287471E-14</v>
      </c>
      <c r="Z71" s="16">
        <f t="shared" si="26"/>
        <v>18496468180.638916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spans="1:73" s="4" customFormat="1" x14ac:dyDescent="0.25">
      <c r="A72" s="1">
        <v>210</v>
      </c>
      <c r="B72" s="1">
        <f t="shared" si="28"/>
        <v>3.5</v>
      </c>
      <c r="C72" s="1">
        <v>20</v>
      </c>
      <c r="D72" s="1">
        <f t="shared" si="27"/>
        <v>29.146000000000001</v>
      </c>
      <c r="E72" s="1">
        <f t="shared" si="29"/>
        <v>4.8576666666666667E-7</v>
      </c>
      <c r="F72" s="1">
        <v>21.1</v>
      </c>
      <c r="G72" s="1">
        <f t="shared" si="30"/>
        <v>294.10000000000002</v>
      </c>
      <c r="H72" s="1">
        <v>101.3</v>
      </c>
      <c r="I72" s="1">
        <f t="shared" si="31"/>
        <v>101300</v>
      </c>
      <c r="J72" s="1">
        <f t="shared" si="32"/>
        <v>2.0124824921938581E-5</v>
      </c>
      <c r="K72" s="25">
        <v>145.53960396039605</v>
      </c>
      <c r="L72" s="2">
        <f t="shared" si="18"/>
        <v>1.4553960396039605E-4</v>
      </c>
      <c r="M72" s="3">
        <f t="shared" si="33"/>
        <v>4.7762865441819992E-3</v>
      </c>
      <c r="N72" s="52">
        <f t="shared" si="19"/>
        <v>6.1322934078965973E-7</v>
      </c>
      <c r="O72" s="26">
        <f t="shared" si="34"/>
        <v>2.032E-3</v>
      </c>
      <c r="P72" s="26">
        <v>1.45111777225214E-10</v>
      </c>
      <c r="Q72" s="14">
        <v>0.05</v>
      </c>
      <c r="R72" s="14">
        <f t="shared" si="20"/>
        <v>105000</v>
      </c>
      <c r="S72" s="14">
        <f t="shared" si="21"/>
        <v>99508.693273819692</v>
      </c>
      <c r="T72" s="14">
        <f t="shared" si="22"/>
        <v>99508.693273819692</v>
      </c>
      <c r="U72" s="14">
        <f t="shared" si="35"/>
        <v>5.3058450282772E-3</v>
      </c>
      <c r="V72" s="14">
        <v>0.11</v>
      </c>
      <c r="W72" s="14">
        <f t="shared" si="23"/>
        <v>111000.00000000001</v>
      </c>
      <c r="X72" s="14">
        <f t="shared" si="24"/>
        <v>16.154896039603962</v>
      </c>
      <c r="Y72" s="16">
        <f t="shared" si="25"/>
        <v>3.2702953428205804E-14</v>
      </c>
      <c r="Z72" s="16">
        <f t="shared" si="26"/>
        <v>19693718554.465538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1:73" s="4" customFormat="1" x14ac:dyDescent="0.25">
      <c r="A73" s="1">
        <v>213</v>
      </c>
      <c r="B73" s="1">
        <f t="shared" si="28"/>
        <v>3.55</v>
      </c>
      <c r="C73" s="1">
        <v>20</v>
      </c>
      <c r="D73" s="1">
        <f t="shared" si="27"/>
        <v>29.146000000000001</v>
      </c>
      <c r="E73" s="1">
        <f t="shared" si="29"/>
        <v>4.8576666666666667E-7</v>
      </c>
      <c r="F73" s="1">
        <v>21.1</v>
      </c>
      <c r="G73" s="1">
        <f t="shared" si="30"/>
        <v>294.10000000000002</v>
      </c>
      <c r="H73" s="1">
        <v>101.3</v>
      </c>
      <c r="I73" s="1">
        <f t="shared" si="31"/>
        <v>101300</v>
      </c>
      <c r="J73" s="1">
        <f t="shared" si="32"/>
        <v>2.0124824921938581E-5</v>
      </c>
      <c r="K73" s="25">
        <v>134.64851485148517</v>
      </c>
      <c r="L73" s="2">
        <f t="shared" si="18"/>
        <v>1.3464851485148516E-4</v>
      </c>
      <c r="M73" s="3">
        <f t="shared" si="33"/>
        <v>4.7762865441819992E-3</v>
      </c>
      <c r="N73" s="52">
        <f t="shared" si="19"/>
        <v>5.6733987006830013E-7</v>
      </c>
      <c r="O73" s="26">
        <f t="shared" si="34"/>
        <v>2.032E-3</v>
      </c>
      <c r="P73" s="26">
        <v>1.45111777225214E-10</v>
      </c>
      <c r="Q73" s="14">
        <v>0.05</v>
      </c>
      <c r="R73" s="14">
        <f t="shared" si="20"/>
        <v>105000</v>
      </c>
      <c r="S73" s="14">
        <f t="shared" si="21"/>
        <v>99914.516328080994</v>
      </c>
      <c r="T73" s="14">
        <f t="shared" si="22"/>
        <v>99914.516328080994</v>
      </c>
      <c r="U73" s="14">
        <f t="shared" si="35"/>
        <v>5.3058450282772E-3</v>
      </c>
      <c r="V73" s="14">
        <v>0.11</v>
      </c>
      <c r="W73" s="14">
        <f t="shared" si="23"/>
        <v>111000.00000000001</v>
      </c>
      <c r="X73" s="14">
        <f t="shared" si="24"/>
        <v>14.945985148514856</v>
      </c>
      <c r="Y73" s="16">
        <f t="shared" si="25"/>
        <v>3.0132436191786731E-14</v>
      </c>
      <c r="Z73" s="16">
        <f t="shared" si="26"/>
        <v>18145753074.69397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spans="1:73" s="4" customFormat="1" x14ac:dyDescent="0.25">
      <c r="A74" s="1">
        <v>216</v>
      </c>
      <c r="B74" s="1">
        <f t="shared" si="28"/>
        <v>3.6</v>
      </c>
      <c r="C74" s="1">
        <v>20</v>
      </c>
      <c r="D74" s="1">
        <f t="shared" si="27"/>
        <v>29.146000000000001</v>
      </c>
      <c r="E74" s="1">
        <f t="shared" si="29"/>
        <v>4.8576666666666667E-7</v>
      </c>
      <c r="F74" s="1">
        <v>21.1</v>
      </c>
      <c r="G74" s="1">
        <f t="shared" si="30"/>
        <v>294.10000000000002</v>
      </c>
      <c r="H74" s="1">
        <v>101.3</v>
      </c>
      <c r="I74" s="1">
        <f t="shared" si="31"/>
        <v>101300</v>
      </c>
      <c r="J74" s="1">
        <f t="shared" si="32"/>
        <v>2.0124824921938581E-5</v>
      </c>
      <c r="K74" s="25">
        <v>134.79702970297032</v>
      </c>
      <c r="L74" s="2">
        <f t="shared" si="18"/>
        <v>1.3479702970297031E-4</v>
      </c>
      <c r="M74" s="3">
        <f t="shared" si="33"/>
        <v>4.7762865441819992E-3</v>
      </c>
      <c r="N74" s="52">
        <f t="shared" si="19"/>
        <v>5.679656355781369E-7</v>
      </c>
      <c r="O74" s="26">
        <f t="shared" si="34"/>
        <v>2.032E-3</v>
      </c>
      <c r="P74" s="26">
        <v>1.45111777225214E-10</v>
      </c>
      <c r="Q74" s="14">
        <v>0.05</v>
      </c>
      <c r="R74" s="14">
        <f t="shared" si="20"/>
        <v>105000</v>
      </c>
      <c r="S74" s="14">
        <f t="shared" si="21"/>
        <v>99908.976823367484</v>
      </c>
      <c r="T74" s="14">
        <f t="shared" si="22"/>
        <v>99908.976823367484</v>
      </c>
      <c r="U74" s="14">
        <f t="shared" si="35"/>
        <v>5.3058450282772E-3</v>
      </c>
      <c r="V74" s="14">
        <v>0.11</v>
      </c>
      <c r="W74" s="14">
        <f t="shared" si="23"/>
        <v>111000.00000000001</v>
      </c>
      <c r="X74" s="14">
        <f t="shared" si="24"/>
        <v>14.962470297029707</v>
      </c>
      <c r="Y74" s="16">
        <f t="shared" si="25"/>
        <v>3.0167349498172714E-14</v>
      </c>
      <c r="Z74" s="16">
        <f t="shared" si="26"/>
        <v>18166777867.79961</v>
      </c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spans="1:73" s="4" customFormat="1" x14ac:dyDescent="0.25">
      <c r="A75" s="1">
        <v>219</v>
      </c>
      <c r="B75" s="1">
        <f t="shared" si="28"/>
        <v>3.65</v>
      </c>
      <c r="C75" s="1">
        <v>20</v>
      </c>
      <c r="D75" s="1">
        <f t="shared" si="27"/>
        <v>29.146000000000001</v>
      </c>
      <c r="E75" s="1">
        <f t="shared" si="29"/>
        <v>4.8576666666666667E-7</v>
      </c>
      <c r="F75" s="1">
        <v>21.1</v>
      </c>
      <c r="G75" s="1">
        <f t="shared" si="30"/>
        <v>294.10000000000002</v>
      </c>
      <c r="H75" s="1">
        <v>101.3</v>
      </c>
      <c r="I75" s="1">
        <f t="shared" si="31"/>
        <v>101300</v>
      </c>
      <c r="J75" s="1">
        <f t="shared" si="32"/>
        <v>2.0124824921938581E-5</v>
      </c>
      <c r="K75" s="25">
        <v>129.20297029702971</v>
      </c>
      <c r="L75" s="2">
        <f t="shared" si="18"/>
        <v>1.2920297029702971E-4</v>
      </c>
      <c r="M75" s="3">
        <f t="shared" si="33"/>
        <v>4.7762865441819992E-3</v>
      </c>
      <c r="N75" s="52">
        <f t="shared" si="19"/>
        <v>5.4439513470762039E-7</v>
      </c>
      <c r="O75" s="26">
        <f t="shared" si="34"/>
        <v>2.032E-3</v>
      </c>
      <c r="P75" s="26">
        <v>1.45111777225214E-10</v>
      </c>
      <c r="Q75" s="14">
        <v>0.05</v>
      </c>
      <c r="R75" s="14">
        <f t="shared" si="20"/>
        <v>105000</v>
      </c>
      <c r="S75" s="14">
        <f t="shared" si="21"/>
        <v>100117.73754682591</v>
      </c>
      <c r="T75" s="14">
        <f t="shared" si="22"/>
        <v>100117.73754682591</v>
      </c>
      <c r="U75" s="14">
        <f t="shared" si="35"/>
        <v>5.3058450282772E-3</v>
      </c>
      <c r="V75" s="14">
        <v>0.11</v>
      </c>
      <c r="W75" s="14">
        <f t="shared" si="23"/>
        <v>111000.00000000001</v>
      </c>
      <c r="X75" s="14">
        <f t="shared" si="24"/>
        <v>14.3415297029703</v>
      </c>
      <c r="Y75" s="16">
        <f t="shared" si="25"/>
        <v>2.8854927343450393E-14</v>
      </c>
      <c r="Z75" s="16">
        <f t="shared" si="26"/>
        <v>17376437246.225826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spans="1:73" s="4" customFormat="1" x14ac:dyDescent="0.25">
      <c r="A76" s="1">
        <v>222</v>
      </c>
      <c r="B76" s="1">
        <f t="shared" si="28"/>
        <v>3.7</v>
      </c>
      <c r="C76" s="1">
        <v>20</v>
      </c>
      <c r="D76" s="1">
        <f t="shared" si="27"/>
        <v>29.146000000000001</v>
      </c>
      <c r="E76" s="1">
        <f t="shared" si="29"/>
        <v>4.8576666666666667E-7</v>
      </c>
      <c r="F76" s="1">
        <v>21.1</v>
      </c>
      <c r="G76" s="1">
        <f t="shared" si="30"/>
        <v>294.10000000000002</v>
      </c>
      <c r="H76" s="1">
        <v>101.3</v>
      </c>
      <c r="I76" s="1">
        <f t="shared" si="31"/>
        <v>101300</v>
      </c>
      <c r="J76" s="1">
        <f t="shared" si="32"/>
        <v>2.0124824921938581E-5</v>
      </c>
      <c r="K76" s="25">
        <v>137.32178217821783</v>
      </c>
      <c r="L76" s="2">
        <f t="shared" si="18"/>
        <v>1.3732178217821782E-4</v>
      </c>
      <c r="M76" s="3">
        <f t="shared" si="33"/>
        <v>4.7762865441819992E-3</v>
      </c>
      <c r="N76" s="52">
        <f t="shared" si="19"/>
        <v>5.7860364924536115E-7</v>
      </c>
      <c r="O76" s="26">
        <f t="shared" si="34"/>
        <v>2.032E-3</v>
      </c>
      <c r="P76" s="26">
        <v>1.45111777225214E-10</v>
      </c>
      <c r="Q76" s="14">
        <v>0.05</v>
      </c>
      <c r="R76" s="14">
        <f t="shared" si="20"/>
        <v>105000</v>
      </c>
      <c r="S76" s="14">
        <f t="shared" si="21"/>
        <v>99814.828738849639</v>
      </c>
      <c r="T76" s="14">
        <f t="shared" si="22"/>
        <v>99814.828738849639</v>
      </c>
      <c r="U76" s="14">
        <f t="shared" si="35"/>
        <v>5.3058450282772E-3</v>
      </c>
      <c r="V76" s="14">
        <v>0.11</v>
      </c>
      <c r="W76" s="14">
        <f t="shared" si="23"/>
        <v>111000.00000000001</v>
      </c>
      <c r="X76" s="14">
        <f t="shared" si="24"/>
        <v>15.242717821782181</v>
      </c>
      <c r="Y76" s="16">
        <f t="shared" si="25"/>
        <v>3.0761463229363462E-14</v>
      </c>
      <c r="Z76" s="16">
        <f t="shared" si="26"/>
        <v>18524553156.722679</v>
      </c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spans="1:73" s="4" customFormat="1" x14ac:dyDescent="0.25">
      <c r="A77" s="1">
        <v>225</v>
      </c>
      <c r="B77" s="1">
        <f t="shared" si="28"/>
        <v>3.75</v>
      </c>
      <c r="C77" s="1">
        <v>20</v>
      </c>
      <c r="D77" s="1">
        <f t="shared" si="27"/>
        <v>29.146000000000001</v>
      </c>
      <c r="E77" s="1">
        <f t="shared" si="29"/>
        <v>4.8576666666666667E-7</v>
      </c>
      <c r="F77" s="1">
        <v>21.1</v>
      </c>
      <c r="G77" s="1">
        <f t="shared" si="30"/>
        <v>294.10000000000002</v>
      </c>
      <c r="H77" s="1">
        <v>101.3</v>
      </c>
      <c r="I77" s="1">
        <f t="shared" si="31"/>
        <v>101300</v>
      </c>
      <c r="J77" s="1">
        <f t="shared" si="32"/>
        <v>2.0124824921938581E-5</v>
      </c>
      <c r="K77" s="25">
        <v>141.35643564356437</v>
      </c>
      <c r="L77" s="2">
        <f t="shared" si="18"/>
        <v>1.4135643564356436E-4</v>
      </c>
      <c r="M77" s="3">
        <f t="shared" si="33"/>
        <v>4.7762865441819992E-3</v>
      </c>
      <c r="N77" s="52">
        <f t="shared" si="19"/>
        <v>5.9560361226259201E-7</v>
      </c>
      <c r="O77" s="26">
        <f t="shared" si="34"/>
        <v>2.032E-3</v>
      </c>
      <c r="P77" s="26">
        <v>1.45111777225214E-10</v>
      </c>
      <c r="Q77" s="14">
        <v>0.05</v>
      </c>
      <c r="R77" s="14">
        <f t="shared" si="20"/>
        <v>105000</v>
      </c>
      <c r="S77" s="14">
        <f t="shared" si="21"/>
        <v>99664.468536697867</v>
      </c>
      <c r="T77" s="14">
        <f t="shared" si="22"/>
        <v>99664.468536697867</v>
      </c>
      <c r="U77" s="14">
        <f t="shared" si="35"/>
        <v>5.3058450282772E-3</v>
      </c>
      <c r="V77" s="14">
        <v>0.11</v>
      </c>
      <c r="W77" s="14">
        <f t="shared" si="23"/>
        <v>111000.00000000001</v>
      </c>
      <c r="X77" s="14">
        <f t="shared" si="24"/>
        <v>15.690564356435646</v>
      </c>
      <c r="Y77" s="16">
        <f t="shared" si="25"/>
        <v>3.1713188352641479E-14</v>
      </c>
      <c r="Z77" s="16">
        <f t="shared" si="26"/>
        <v>19097682025.960701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spans="1:73" s="4" customFormat="1" x14ac:dyDescent="0.25">
      <c r="A78" s="1">
        <v>228</v>
      </c>
      <c r="B78" s="1">
        <f t="shared" si="28"/>
        <v>3.8</v>
      </c>
      <c r="C78" s="1">
        <v>20</v>
      </c>
      <c r="D78" s="1">
        <f t="shared" si="27"/>
        <v>29.146000000000001</v>
      </c>
      <c r="E78" s="1">
        <f t="shared" si="29"/>
        <v>4.8576666666666667E-7</v>
      </c>
      <c r="F78" s="1">
        <v>21.1</v>
      </c>
      <c r="G78" s="1">
        <f t="shared" si="30"/>
        <v>294.10000000000002</v>
      </c>
      <c r="H78" s="1">
        <v>101.3</v>
      </c>
      <c r="I78" s="1">
        <f t="shared" si="31"/>
        <v>101300</v>
      </c>
      <c r="J78" s="1">
        <f t="shared" si="32"/>
        <v>2.0124824921938581E-5</v>
      </c>
      <c r="K78" s="25">
        <v>147.84158415841586</v>
      </c>
      <c r="L78" s="2">
        <f t="shared" si="18"/>
        <v>1.4784158415841585E-4</v>
      </c>
      <c r="M78" s="3">
        <f t="shared" si="33"/>
        <v>4.7762865441819992E-3</v>
      </c>
      <c r="N78" s="52">
        <f t="shared" si="19"/>
        <v>6.2292870619212893E-7</v>
      </c>
      <c r="O78" s="26">
        <f t="shared" si="34"/>
        <v>2.032E-3</v>
      </c>
      <c r="P78" s="26">
        <v>1.45111777225214E-10</v>
      </c>
      <c r="Q78" s="14">
        <v>0.05</v>
      </c>
      <c r="R78" s="14">
        <f t="shared" si="20"/>
        <v>105000</v>
      </c>
      <c r="S78" s="14">
        <f t="shared" si="21"/>
        <v>99423.022761204993</v>
      </c>
      <c r="T78" s="14">
        <f t="shared" si="22"/>
        <v>99423.022761204993</v>
      </c>
      <c r="U78" s="14">
        <f t="shared" si="35"/>
        <v>5.3058450282772E-3</v>
      </c>
      <c r="V78" s="14">
        <v>0.11</v>
      </c>
      <c r="W78" s="14">
        <f t="shared" si="23"/>
        <v>111000.00000000001</v>
      </c>
      <c r="X78" s="14">
        <f t="shared" si="24"/>
        <v>16.410415841584161</v>
      </c>
      <c r="Y78" s="16">
        <f t="shared" si="25"/>
        <v>3.3248926814221301E-14</v>
      </c>
      <c r="Z78" s="16">
        <f t="shared" si="26"/>
        <v>20022503727.524067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spans="1:73" s="4" customFormat="1" x14ac:dyDescent="0.25">
      <c r="A79" s="1">
        <v>231</v>
      </c>
      <c r="B79" s="1">
        <f t="shared" si="28"/>
        <v>3.85</v>
      </c>
      <c r="C79" s="1">
        <v>20</v>
      </c>
      <c r="D79" s="1">
        <f t="shared" si="27"/>
        <v>29.146000000000001</v>
      </c>
      <c r="E79" s="1">
        <f t="shared" si="29"/>
        <v>4.8576666666666667E-7</v>
      </c>
      <c r="F79" s="1">
        <v>21.1</v>
      </c>
      <c r="G79" s="1">
        <f t="shared" si="30"/>
        <v>294.10000000000002</v>
      </c>
      <c r="H79" s="1">
        <v>101.3</v>
      </c>
      <c r="I79" s="1">
        <f t="shared" si="31"/>
        <v>101300</v>
      </c>
      <c r="J79" s="1">
        <f t="shared" si="32"/>
        <v>2.0124824921938581E-5</v>
      </c>
      <c r="K79" s="25">
        <v>137.44554455445547</v>
      </c>
      <c r="L79" s="2">
        <f t="shared" si="18"/>
        <v>1.3744554455445547E-4</v>
      </c>
      <c r="M79" s="3">
        <f t="shared" si="33"/>
        <v>4.7762865441819992E-3</v>
      </c>
      <c r="N79" s="52">
        <f t="shared" si="19"/>
        <v>5.791251205035585E-7</v>
      </c>
      <c r="O79" s="26">
        <f t="shared" si="34"/>
        <v>2.032E-3</v>
      </c>
      <c r="P79" s="26">
        <v>1.45111777225214E-10</v>
      </c>
      <c r="Q79" s="14">
        <v>0.05</v>
      </c>
      <c r="R79" s="14">
        <f t="shared" si="20"/>
        <v>105000</v>
      </c>
      <c r="S79" s="14">
        <f t="shared" si="21"/>
        <v>99810.214777748726</v>
      </c>
      <c r="T79" s="14">
        <f t="shared" si="22"/>
        <v>99810.214777748726</v>
      </c>
      <c r="U79" s="14">
        <f t="shared" si="35"/>
        <v>5.3058450282772E-3</v>
      </c>
      <c r="V79" s="14">
        <v>0.11</v>
      </c>
      <c r="W79" s="14">
        <f t="shared" si="23"/>
        <v>111000.00000000001</v>
      </c>
      <c r="X79" s="14">
        <f t="shared" si="24"/>
        <v>15.256455445544558</v>
      </c>
      <c r="Y79" s="16">
        <f t="shared" si="25"/>
        <v>3.0790615007326596E-14</v>
      </c>
      <c r="Z79" s="16">
        <f t="shared" si="26"/>
        <v>18542108357.412079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spans="1:73" s="4" customFormat="1" x14ac:dyDescent="0.25">
      <c r="A80" s="1">
        <v>234</v>
      </c>
      <c r="B80" s="1">
        <f t="shared" si="28"/>
        <v>3.9</v>
      </c>
      <c r="C80" s="1">
        <v>20</v>
      </c>
      <c r="D80" s="1">
        <f t="shared" si="27"/>
        <v>29.146000000000001</v>
      </c>
      <c r="E80" s="1">
        <f t="shared" si="29"/>
        <v>4.8576666666666667E-7</v>
      </c>
      <c r="F80" s="1">
        <v>21.1</v>
      </c>
      <c r="G80" s="1">
        <f t="shared" si="30"/>
        <v>294.10000000000002</v>
      </c>
      <c r="H80" s="1">
        <v>101.3</v>
      </c>
      <c r="I80" s="1">
        <f t="shared" si="31"/>
        <v>101300</v>
      </c>
      <c r="J80" s="1">
        <f t="shared" si="32"/>
        <v>2.0124824921938581E-5</v>
      </c>
      <c r="K80" s="25">
        <v>137.84158415841586</v>
      </c>
      <c r="L80" s="2">
        <f t="shared" si="18"/>
        <v>1.3784158415841585E-4</v>
      </c>
      <c r="M80" s="3">
        <f t="shared" si="33"/>
        <v>4.7762865441819992E-3</v>
      </c>
      <c r="N80" s="52">
        <f t="shared" si="19"/>
        <v>5.8079382852978964E-7</v>
      </c>
      <c r="O80" s="26">
        <f t="shared" si="34"/>
        <v>2.032E-3</v>
      </c>
      <c r="P80" s="26">
        <v>1.45111777225214E-10</v>
      </c>
      <c r="Q80" s="14">
        <v>0.05</v>
      </c>
      <c r="R80" s="14">
        <f t="shared" si="20"/>
        <v>105000</v>
      </c>
      <c r="S80" s="14">
        <f t="shared" si="21"/>
        <v>99795.450818867641</v>
      </c>
      <c r="T80" s="14">
        <f t="shared" si="22"/>
        <v>99795.450818867641</v>
      </c>
      <c r="U80" s="14">
        <f t="shared" si="35"/>
        <v>5.3058450282772E-3</v>
      </c>
      <c r="V80" s="14">
        <v>0.11</v>
      </c>
      <c r="W80" s="14">
        <f t="shared" si="23"/>
        <v>111000.00000000001</v>
      </c>
      <c r="X80" s="14">
        <f t="shared" si="24"/>
        <v>15.300415841584162</v>
      </c>
      <c r="Y80" s="16">
        <f t="shared" si="25"/>
        <v>3.0883918646262222E-14</v>
      </c>
      <c r="Z80" s="16">
        <f t="shared" si="26"/>
        <v>18598295808.77911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spans="1:73" s="4" customFormat="1" x14ac:dyDescent="0.25">
      <c r="A81" s="1">
        <v>237</v>
      </c>
      <c r="B81" s="1">
        <f t="shared" si="28"/>
        <v>3.95</v>
      </c>
      <c r="C81" s="1">
        <v>20</v>
      </c>
      <c r="D81" s="1">
        <f t="shared" si="27"/>
        <v>29.146000000000001</v>
      </c>
      <c r="E81" s="1">
        <f t="shared" si="29"/>
        <v>4.8576666666666667E-7</v>
      </c>
      <c r="F81" s="1">
        <v>21.1</v>
      </c>
      <c r="G81" s="1">
        <f t="shared" si="30"/>
        <v>294.10000000000002</v>
      </c>
      <c r="H81" s="1">
        <v>101.3</v>
      </c>
      <c r="I81" s="1">
        <f t="shared" si="31"/>
        <v>101300</v>
      </c>
      <c r="J81" s="1">
        <f t="shared" si="32"/>
        <v>2.0124824921938581E-5</v>
      </c>
      <c r="K81" s="25">
        <v>143.46039603960398</v>
      </c>
      <c r="L81" s="2">
        <f t="shared" si="18"/>
        <v>1.4346039603960398E-4</v>
      </c>
      <c r="M81" s="3">
        <f t="shared" si="33"/>
        <v>4.7762865441819992E-3</v>
      </c>
      <c r="N81" s="52">
        <f t="shared" si="19"/>
        <v>6.0446862365194569E-7</v>
      </c>
      <c r="O81" s="26">
        <f t="shared" si="34"/>
        <v>2.032E-3</v>
      </c>
      <c r="P81" s="26">
        <v>1.45111777225214E-10</v>
      </c>
      <c r="Q81" s="14">
        <v>0.05</v>
      </c>
      <c r="R81" s="14">
        <f t="shared" si="20"/>
        <v>105000</v>
      </c>
      <c r="S81" s="14">
        <f t="shared" si="21"/>
        <v>99586.104803062713</v>
      </c>
      <c r="T81" s="14">
        <f t="shared" si="22"/>
        <v>99586.104803062713</v>
      </c>
      <c r="U81" s="14">
        <f t="shared" si="35"/>
        <v>5.3058450282772E-3</v>
      </c>
      <c r="V81" s="14">
        <v>0.11</v>
      </c>
      <c r="W81" s="14">
        <f t="shared" si="23"/>
        <v>111000.00000000001</v>
      </c>
      <c r="X81" s="14">
        <f t="shared" si="24"/>
        <v>15.924103960396044</v>
      </c>
      <c r="Y81" s="16">
        <f t="shared" si="25"/>
        <v>3.2210615859434237E-14</v>
      </c>
      <c r="Z81" s="16">
        <f t="shared" si="26"/>
        <v>19397232870.5513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spans="1:73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0"/>
      <c r="L82" s="3"/>
      <c r="M82" s="3"/>
      <c r="N82" s="26"/>
      <c r="O82" s="26"/>
      <c r="P82" s="26"/>
      <c r="Q82" s="14"/>
      <c r="R82" s="14"/>
      <c r="S82" s="14"/>
      <c r="T82" s="14"/>
      <c r="U82" s="14"/>
      <c r="V82" s="14"/>
      <c r="W82" s="14"/>
      <c r="X82" s="14"/>
      <c r="Y82" s="14"/>
      <c r="Z82" s="43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spans="1:73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0"/>
      <c r="L83" s="3"/>
      <c r="M83" s="3"/>
      <c r="N83" s="26"/>
      <c r="O83" s="26"/>
      <c r="P83" s="26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spans="1:73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0"/>
      <c r="L84" s="3"/>
      <c r="M84" s="3"/>
      <c r="N84" s="26"/>
      <c r="O84" s="26"/>
      <c r="P84" s="26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spans="1:73" s="4" customFormat="1" x14ac:dyDescent="0.25">
      <c r="N85" s="26"/>
      <c r="O85" s="5"/>
      <c r="P85" s="5"/>
      <c r="Q85" s="5"/>
      <c r="R85" s="5"/>
      <c r="S85" s="5"/>
      <c r="T85" s="5"/>
      <c r="U85" s="5"/>
      <c r="V85" s="5"/>
      <c r="W85" s="5"/>
      <c r="X85" s="5"/>
      <c r="Y85" s="44">
        <f>AVERAGE(Y45:Y81)</f>
        <v>3.0535668161752305E-14</v>
      </c>
      <c r="Z85" s="44">
        <f>AVERAGE(Z45:Z81)</f>
        <v>18388579367.00724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0"/>
      <c r="L86" s="3"/>
      <c r="M86" s="3"/>
      <c r="N86" s="26"/>
      <c r="O86" s="26"/>
      <c r="P86" s="26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spans="1:73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0"/>
      <c r="L87" s="3"/>
      <c r="M87" s="3"/>
      <c r="N87" s="26"/>
      <c r="O87" s="26"/>
      <c r="P87" s="26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0"/>
      <c r="L88" s="3"/>
      <c r="M88" s="3"/>
      <c r="N88" s="26"/>
      <c r="O88" s="26"/>
      <c r="P88" s="26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spans="1:73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0"/>
      <c r="L89" s="3"/>
      <c r="M89" s="3"/>
      <c r="N89" s="26"/>
      <c r="O89" s="26"/>
      <c r="P89" s="26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spans="1:73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3"/>
      <c r="M90" s="3"/>
      <c r="N90" s="26"/>
      <c r="O90" s="26"/>
      <c r="P90" s="26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spans="1:73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0"/>
      <c r="L91" s="3"/>
      <c r="M91" s="3"/>
      <c r="N91" s="26"/>
      <c r="O91" s="26"/>
      <c r="P91" s="26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spans="1:73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0"/>
      <c r="L92" s="3"/>
      <c r="M92" s="3"/>
      <c r="N92" s="26"/>
      <c r="O92" s="26"/>
      <c r="P92" s="26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spans="1:73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0"/>
      <c r="L93" s="3"/>
      <c r="M93" s="3"/>
      <c r="N93" s="26"/>
      <c r="O93" s="26"/>
      <c r="P93" s="26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spans="1:73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0"/>
      <c r="L94" s="3"/>
      <c r="M94" s="3"/>
      <c r="N94" s="26"/>
      <c r="O94" s="26"/>
      <c r="P94" s="26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spans="1:73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0"/>
      <c r="L95" s="3"/>
      <c r="M95" s="3"/>
      <c r="N95" s="26"/>
      <c r="O95" s="26"/>
      <c r="P95" s="26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spans="1:73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0"/>
      <c r="L96" s="3"/>
      <c r="M96" s="3"/>
      <c r="N96" s="26"/>
      <c r="O96" s="26"/>
      <c r="P96" s="26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spans="1:73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0"/>
      <c r="L97" s="3"/>
      <c r="M97" s="3"/>
      <c r="N97" s="26"/>
      <c r="O97" s="26"/>
      <c r="P97" s="26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spans="1:73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0"/>
      <c r="L98" s="3"/>
      <c r="M98" s="3"/>
      <c r="N98" s="26"/>
      <c r="O98" s="26"/>
      <c r="P98" s="26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spans="1:73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0"/>
      <c r="L99" s="3"/>
      <c r="M99" s="3"/>
      <c r="N99" s="26"/>
      <c r="O99" s="26"/>
      <c r="P99" s="26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spans="1:73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0"/>
      <c r="L100" s="3"/>
      <c r="M100" s="3"/>
      <c r="N100" s="26"/>
      <c r="O100" s="26"/>
      <c r="P100" s="26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spans="1:73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0"/>
      <c r="L101" s="3"/>
      <c r="M101" s="3"/>
      <c r="N101" s="26"/>
      <c r="O101" s="26"/>
      <c r="P101" s="26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spans="1:73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0"/>
      <c r="L102" s="3"/>
      <c r="M102" s="3"/>
      <c r="N102" s="26"/>
      <c r="O102" s="26"/>
      <c r="P102" s="26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spans="1:73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0"/>
      <c r="L103" s="3"/>
      <c r="M103" s="3"/>
      <c r="N103" s="26"/>
      <c r="O103" s="26"/>
      <c r="P103" s="26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spans="1:73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0"/>
      <c r="L104" s="3"/>
      <c r="M104" s="3"/>
      <c r="N104" s="26"/>
      <c r="O104" s="26"/>
      <c r="P104" s="26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spans="1:73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0"/>
      <c r="L105" s="3"/>
      <c r="M105" s="3"/>
      <c r="N105" s="26"/>
      <c r="O105" s="26"/>
      <c r="P105" s="26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spans="1:73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0"/>
      <c r="L106" s="3"/>
      <c r="M106" s="3"/>
      <c r="N106" s="26"/>
      <c r="O106" s="26"/>
      <c r="P106" s="26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spans="1:73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0"/>
      <c r="L107" s="3"/>
      <c r="M107" s="3"/>
      <c r="N107" s="26"/>
      <c r="O107" s="26"/>
      <c r="P107" s="26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spans="1:73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0"/>
      <c r="L108" s="3"/>
      <c r="M108" s="3"/>
      <c r="N108" s="26"/>
      <c r="O108" s="26"/>
      <c r="P108" s="26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spans="1:73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3"/>
      <c r="M109" s="3"/>
      <c r="N109" s="26"/>
      <c r="O109" s="26"/>
      <c r="P109" s="26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spans="1:73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0"/>
      <c r="L110" s="3"/>
      <c r="M110" s="3"/>
      <c r="N110" s="26"/>
      <c r="O110" s="26"/>
      <c r="P110" s="26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spans="1:73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0"/>
      <c r="L111" s="3"/>
      <c r="M111" s="3"/>
      <c r="N111" s="26"/>
      <c r="O111" s="26"/>
      <c r="P111" s="26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spans="1:73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3"/>
      <c r="M112" s="3"/>
      <c r="N112" s="26"/>
      <c r="O112" s="26"/>
      <c r="P112" s="26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spans="1:73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0"/>
      <c r="L113" s="3"/>
      <c r="M113" s="3"/>
      <c r="N113" s="26"/>
      <c r="O113" s="26"/>
      <c r="P113" s="26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spans="1:73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0"/>
      <c r="L114" s="3"/>
      <c r="M114" s="3"/>
      <c r="N114" s="52"/>
      <c r="O114" s="26"/>
      <c r="P114" s="26"/>
      <c r="Q114" s="14"/>
      <c r="R114" s="14"/>
      <c r="S114" s="14"/>
      <c r="T114" s="14"/>
      <c r="U114" s="14"/>
      <c r="V114" s="14"/>
      <c r="W114" s="14"/>
      <c r="X114" s="14"/>
      <c r="Y114" s="16"/>
      <c r="Z114" s="16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spans="1:73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3"/>
      <c r="M115" s="3"/>
      <c r="N115" s="26"/>
      <c r="O115" s="26"/>
      <c r="P115" s="26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spans="1:73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3"/>
      <c r="M116" s="3"/>
      <c r="N116" s="26"/>
      <c r="O116" s="26"/>
      <c r="P116" s="26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spans="1:73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3"/>
      <c r="M117" s="3"/>
      <c r="N117" s="26"/>
      <c r="O117" s="26"/>
      <c r="P117" s="26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spans="1:73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3"/>
      <c r="M118" s="3"/>
      <c r="N118" s="26"/>
      <c r="O118" s="26"/>
      <c r="P118" s="26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spans="1:73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3"/>
      <c r="M119" s="3"/>
      <c r="N119" s="26"/>
      <c r="O119" s="26"/>
      <c r="P119" s="26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spans="1:73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3"/>
      <c r="M120" s="3"/>
      <c r="N120" s="26"/>
      <c r="O120" s="26"/>
      <c r="P120" s="26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spans="1:73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3"/>
      <c r="M121" s="3"/>
      <c r="N121" s="26"/>
      <c r="O121" s="26"/>
      <c r="P121" s="26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spans="1:73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3"/>
      <c r="M122" s="3"/>
      <c r="N122" s="26"/>
      <c r="O122" s="26"/>
      <c r="P122" s="26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spans="1:73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3"/>
      <c r="M123" s="3"/>
      <c r="N123" s="26"/>
      <c r="O123" s="26"/>
      <c r="P123" s="26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spans="1:73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0"/>
      <c r="L124" s="3"/>
      <c r="M124" s="3"/>
      <c r="N124" s="26"/>
      <c r="O124" s="26"/>
      <c r="P124" s="26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spans="1:73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0"/>
      <c r="L125" s="3"/>
      <c r="M125" s="3"/>
      <c r="N125" s="26"/>
      <c r="O125" s="26"/>
      <c r="P125" s="26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spans="1:73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0"/>
      <c r="L126" s="3"/>
      <c r="M126" s="3"/>
      <c r="N126" s="26"/>
      <c r="O126" s="26"/>
      <c r="P126" s="26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spans="1:73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0"/>
      <c r="L127" s="3"/>
      <c r="M127" s="3"/>
      <c r="N127" s="26"/>
      <c r="O127" s="26"/>
      <c r="P127" s="26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spans="1:73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0"/>
      <c r="L128" s="3"/>
      <c r="M128" s="3"/>
      <c r="N128" s="26"/>
      <c r="O128" s="26"/>
      <c r="P128" s="26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spans="1:73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0"/>
      <c r="L129" s="3"/>
      <c r="M129" s="3"/>
      <c r="N129" s="26"/>
      <c r="O129" s="26"/>
      <c r="P129" s="26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spans="1:73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0"/>
      <c r="L130" s="3"/>
      <c r="M130" s="3"/>
      <c r="N130" s="26"/>
      <c r="O130" s="26"/>
      <c r="P130" s="26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spans="1:73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0"/>
      <c r="L131" s="3"/>
      <c r="M131" s="3"/>
      <c r="N131" s="26"/>
      <c r="O131" s="26"/>
      <c r="P131" s="26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spans="1:73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0"/>
      <c r="L132" s="3"/>
      <c r="M132" s="3"/>
      <c r="N132" s="26"/>
      <c r="O132" s="26"/>
      <c r="P132" s="26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spans="1:73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0"/>
      <c r="L133" s="3"/>
      <c r="M133" s="3"/>
      <c r="N133" s="26"/>
      <c r="O133" s="26"/>
      <c r="P133" s="26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spans="1:73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0"/>
      <c r="L134" s="3"/>
      <c r="M134" s="3"/>
      <c r="N134" s="26"/>
      <c r="O134" s="26"/>
      <c r="P134" s="26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spans="1:73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0"/>
      <c r="L135" s="3"/>
      <c r="M135" s="3"/>
      <c r="N135" s="26"/>
      <c r="O135" s="26"/>
      <c r="P135" s="26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spans="1:73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0"/>
      <c r="L136" s="3"/>
      <c r="M136" s="3"/>
      <c r="N136" s="26"/>
      <c r="O136" s="26"/>
      <c r="P136" s="26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spans="1:73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0"/>
      <c r="L137" s="3"/>
      <c r="M137" s="3"/>
      <c r="N137" s="26"/>
      <c r="O137" s="26"/>
      <c r="P137" s="26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spans="1:73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0"/>
      <c r="L138" s="3"/>
      <c r="M138" s="3"/>
      <c r="N138" s="26"/>
      <c r="O138" s="26"/>
      <c r="P138" s="26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spans="1:73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0"/>
      <c r="L139" s="3"/>
      <c r="M139" s="3"/>
      <c r="N139" s="26"/>
      <c r="O139" s="26"/>
      <c r="P139" s="26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spans="1:73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0"/>
      <c r="L140" s="3"/>
      <c r="M140" s="3"/>
      <c r="N140" s="26"/>
      <c r="O140" s="26"/>
      <c r="P140" s="26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spans="1:73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0"/>
      <c r="L141" s="3"/>
      <c r="M141" s="3"/>
      <c r="N141" s="26"/>
      <c r="O141" s="26"/>
      <c r="P141" s="26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spans="1:73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0"/>
      <c r="L142" s="3"/>
      <c r="M142" s="3"/>
      <c r="N142" s="26"/>
      <c r="O142" s="26"/>
      <c r="P142" s="26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spans="1:73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0"/>
      <c r="L143" s="3"/>
      <c r="M143" s="3"/>
      <c r="N143" s="26"/>
      <c r="O143" s="26"/>
      <c r="P143" s="26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spans="1:73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0"/>
      <c r="L144" s="3"/>
      <c r="M144" s="3"/>
      <c r="N144" s="26"/>
      <c r="O144" s="26"/>
      <c r="P144" s="26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spans="1:73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0"/>
      <c r="L145" s="3"/>
      <c r="M145" s="3"/>
      <c r="N145" s="26"/>
      <c r="O145" s="26"/>
      <c r="P145" s="26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spans="1:73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0"/>
      <c r="L146" s="3"/>
      <c r="M146" s="3"/>
      <c r="N146" s="26"/>
      <c r="O146" s="26"/>
      <c r="P146" s="26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spans="1:73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0"/>
      <c r="L147" s="3"/>
      <c r="M147" s="3"/>
      <c r="N147" s="26"/>
      <c r="O147" s="26"/>
      <c r="P147" s="26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spans="1:73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0"/>
      <c r="L148" s="3"/>
      <c r="M148" s="3"/>
      <c r="N148" s="26"/>
      <c r="O148" s="26"/>
      <c r="P148" s="26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spans="1:73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0"/>
      <c r="L149" s="3"/>
      <c r="M149" s="3"/>
      <c r="N149" s="26"/>
      <c r="O149" s="26"/>
      <c r="P149" s="26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spans="1:73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0"/>
      <c r="L150" s="3"/>
      <c r="M150" s="3"/>
      <c r="N150" s="26"/>
      <c r="O150" s="26"/>
      <c r="P150" s="26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spans="1:73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3"/>
      <c r="M151" s="3"/>
      <c r="N151" s="26"/>
      <c r="O151" s="26"/>
      <c r="P151" s="26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spans="1:73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0"/>
      <c r="L152" s="3"/>
      <c r="M152" s="3"/>
      <c r="N152" s="26"/>
      <c r="O152" s="26"/>
      <c r="P152" s="26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spans="1:73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0"/>
      <c r="L153" s="3"/>
      <c r="M153" s="3"/>
      <c r="N153" s="26"/>
      <c r="O153" s="26"/>
      <c r="P153" s="26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spans="1:73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0"/>
      <c r="L154" s="3"/>
      <c r="M154" s="3"/>
      <c r="N154" s="26"/>
      <c r="O154" s="26"/>
      <c r="P154" s="26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spans="1:73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0"/>
      <c r="L155" s="3"/>
      <c r="M155" s="3"/>
      <c r="N155" s="26"/>
      <c r="O155" s="26"/>
      <c r="P155" s="26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spans="1:73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0"/>
      <c r="L156" s="3"/>
      <c r="M156" s="3"/>
      <c r="N156" s="26"/>
      <c r="O156" s="26"/>
      <c r="P156" s="26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spans="1:73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0"/>
      <c r="L157" s="3"/>
      <c r="M157" s="3"/>
      <c r="N157" s="26"/>
      <c r="O157" s="26"/>
      <c r="P157" s="26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spans="1:73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0"/>
      <c r="L158" s="3"/>
      <c r="M158" s="3"/>
      <c r="N158" s="26"/>
      <c r="O158" s="26"/>
      <c r="P158" s="26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spans="1:73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0"/>
      <c r="L159" s="3"/>
      <c r="M159" s="3"/>
      <c r="N159" s="26"/>
      <c r="O159" s="26"/>
      <c r="P159" s="26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spans="1:73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0"/>
      <c r="L160" s="3"/>
      <c r="M160" s="3"/>
      <c r="N160" s="26"/>
      <c r="O160" s="26"/>
      <c r="P160" s="26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spans="1:73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0"/>
      <c r="L161" s="3"/>
      <c r="M161" s="3"/>
      <c r="N161" s="26"/>
      <c r="O161" s="26"/>
      <c r="P161" s="26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spans="1:73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0"/>
      <c r="L162" s="3"/>
      <c r="M162" s="3"/>
      <c r="N162" s="26"/>
      <c r="O162" s="26"/>
      <c r="P162" s="26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spans="1:73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0"/>
      <c r="L163" s="3"/>
      <c r="M163" s="3"/>
      <c r="N163" s="26"/>
      <c r="O163" s="26"/>
      <c r="P163" s="26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spans="1:73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0"/>
      <c r="L164" s="3"/>
      <c r="M164" s="3"/>
      <c r="N164" s="26"/>
      <c r="O164" s="26"/>
      <c r="P164" s="26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spans="1:73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0"/>
      <c r="L165" s="3"/>
      <c r="M165" s="3"/>
      <c r="N165" s="26"/>
      <c r="O165" s="26"/>
      <c r="P165" s="26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spans="1:73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0"/>
      <c r="L166" s="3"/>
      <c r="M166" s="3"/>
      <c r="N166" s="26"/>
      <c r="O166" s="26"/>
      <c r="P166" s="26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spans="1:73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0"/>
      <c r="L167" s="3"/>
      <c r="M167" s="3"/>
      <c r="N167" s="26"/>
      <c r="O167" s="26"/>
      <c r="P167" s="26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spans="1:73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0"/>
      <c r="L168" s="3"/>
      <c r="M168" s="3"/>
      <c r="N168" s="26"/>
      <c r="O168" s="26"/>
      <c r="P168" s="26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spans="1:73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0"/>
      <c r="L169" s="3"/>
      <c r="M169" s="3"/>
      <c r="N169" s="26"/>
      <c r="O169" s="26"/>
      <c r="P169" s="26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spans="1:73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0"/>
      <c r="L170" s="3"/>
      <c r="M170" s="3"/>
      <c r="N170" s="26"/>
      <c r="O170" s="26"/>
      <c r="P170" s="26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spans="1:73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0"/>
      <c r="L171" s="3"/>
      <c r="M171" s="3"/>
      <c r="N171" s="26"/>
      <c r="O171" s="26"/>
      <c r="P171" s="26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spans="1:73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0"/>
      <c r="L172" s="3"/>
      <c r="M172" s="3"/>
      <c r="N172" s="26"/>
      <c r="O172" s="26"/>
      <c r="P172" s="26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spans="1:73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0"/>
      <c r="L173" s="3"/>
      <c r="M173" s="3"/>
      <c r="N173" s="26"/>
      <c r="O173" s="26"/>
      <c r="P173" s="26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spans="1:73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0"/>
      <c r="L174" s="3"/>
      <c r="M174" s="3"/>
      <c r="N174" s="26"/>
      <c r="O174" s="26"/>
      <c r="P174" s="26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spans="1:73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0"/>
      <c r="L175" s="3"/>
      <c r="M175" s="3"/>
      <c r="N175" s="26"/>
      <c r="O175" s="26"/>
      <c r="P175" s="26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spans="1:73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0"/>
      <c r="L176" s="3"/>
      <c r="M176" s="3"/>
      <c r="N176" s="26"/>
      <c r="O176" s="26"/>
      <c r="P176" s="26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spans="1:73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0"/>
      <c r="L177" s="3"/>
      <c r="M177" s="3"/>
      <c r="N177" s="26"/>
      <c r="O177" s="26"/>
      <c r="P177" s="26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spans="1:73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0"/>
      <c r="L178" s="3"/>
      <c r="M178" s="3"/>
      <c r="N178" s="26"/>
      <c r="O178" s="26"/>
      <c r="P178" s="26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spans="1:73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0"/>
      <c r="L179" s="3"/>
      <c r="M179" s="3"/>
      <c r="N179" s="26"/>
      <c r="O179" s="26"/>
      <c r="P179" s="26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spans="1:73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0"/>
      <c r="L180" s="3"/>
      <c r="M180" s="3"/>
      <c r="N180" s="26"/>
      <c r="O180" s="26"/>
      <c r="P180" s="26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spans="1:73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0"/>
      <c r="L181" s="3"/>
      <c r="M181" s="3"/>
      <c r="N181" s="26"/>
      <c r="O181" s="26"/>
      <c r="P181" s="26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spans="1:73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0"/>
      <c r="L182" s="3"/>
      <c r="M182" s="3"/>
      <c r="N182" s="26"/>
      <c r="O182" s="26"/>
      <c r="P182" s="26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spans="1:73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0"/>
      <c r="L183" s="3"/>
      <c r="M183" s="3"/>
      <c r="N183" s="52"/>
      <c r="O183" s="26"/>
      <c r="P183" s="26"/>
      <c r="Q183" s="14"/>
      <c r="R183" s="14"/>
      <c r="S183" s="14"/>
      <c r="T183" s="14"/>
      <c r="U183" s="14"/>
      <c r="V183" s="14"/>
      <c r="W183" s="14"/>
      <c r="X183" s="14"/>
      <c r="Y183" s="16"/>
      <c r="Z183" s="16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spans="1:73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0"/>
      <c r="L184" s="3"/>
      <c r="M184" s="3"/>
      <c r="N184" s="26"/>
      <c r="O184" s="26"/>
      <c r="P184" s="26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spans="1:73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0"/>
      <c r="L185" s="3"/>
      <c r="M185" s="3"/>
      <c r="N185" s="26"/>
      <c r="O185" s="26"/>
      <c r="P185" s="26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spans="1:73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0"/>
      <c r="L186" s="3"/>
      <c r="M186" s="3"/>
      <c r="N186" s="26"/>
      <c r="O186" s="26"/>
      <c r="P186" s="26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spans="1:73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0"/>
      <c r="L187" s="3"/>
      <c r="M187" s="3"/>
      <c r="N187" s="26"/>
      <c r="O187" s="26"/>
      <c r="P187" s="26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spans="1:73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0"/>
      <c r="L188" s="3"/>
      <c r="M188" s="3"/>
      <c r="N188" s="26"/>
      <c r="O188" s="26"/>
      <c r="P188" s="26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spans="1:73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0"/>
      <c r="L189" s="3"/>
      <c r="M189" s="3"/>
      <c r="N189" s="26"/>
      <c r="O189" s="26"/>
      <c r="P189" s="26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spans="1:73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0"/>
      <c r="L190" s="3"/>
      <c r="M190" s="3"/>
      <c r="N190" s="26"/>
      <c r="O190" s="26"/>
      <c r="P190" s="26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spans="1:73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0"/>
      <c r="L191" s="3"/>
      <c r="M191" s="3"/>
      <c r="N191" s="26"/>
      <c r="O191" s="26"/>
      <c r="P191" s="26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spans="1:73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0"/>
      <c r="L192" s="3"/>
      <c r="M192" s="3"/>
      <c r="N192" s="26"/>
      <c r="O192" s="26"/>
      <c r="P192" s="26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spans="1:73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0"/>
      <c r="L193" s="3"/>
      <c r="M193" s="3"/>
      <c r="N193" s="26"/>
      <c r="O193" s="26"/>
      <c r="P193" s="26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spans="1:73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0"/>
      <c r="L194" s="3"/>
      <c r="M194" s="3"/>
      <c r="N194" s="26"/>
      <c r="O194" s="26"/>
      <c r="P194" s="26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spans="1:73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0"/>
      <c r="L195" s="3"/>
      <c r="M195" s="3"/>
      <c r="N195" s="26"/>
      <c r="O195" s="26"/>
      <c r="P195" s="26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spans="1:73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0"/>
      <c r="L196" s="3"/>
      <c r="M196" s="3"/>
      <c r="N196" s="26"/>
      <c r="O196" s="26"/>
      <c r="P196" s="26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spans="1:73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0"/>
      <c r="L197" s="3"/>
      <c r="M197" s="3"/>
      <c r="N197" s="26"/>
      <c r="O197" s="26"/>
      <c r="P197" s="26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spans="1:73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0"/>
      <c r="L198" s="3"/>
      <c r="M198" s="3"/>
      <c r="N198" s="26"/>
      <c r="O198" s="26"/>
      <c r="P198" s="26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spans="1:73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0"/>
      <c r="L199" s="3"/>
      <c r="M199" s="3"/>
      <c r="N199" s="26"/>
      <c r="O199" s="26"/>
      <c r="P199" s="26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spans="1:73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0"/>
      <c r="L200" s="3"/>
      <c r="M200" s="3"/>
      <c r="N200" s="26"/>
      <c r="O200" s="26"/>
      <c r="P200" s="26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spans="1:73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0"/>
      <c r="L201" s="3"/>
      <c r="M201" s="3"/>
      <c r="N201" s="26"/>
      <c r="O201" s="26"/>
      <c r="P201" s="26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spans="1:73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0"/>
      <c r="L202" s="3"/>
      <c r="M202" s="3"/>
      <c r="N202" s="26"/>
      <c r="O202" s="26"/>
      <c r="P202" s="26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spans="1:73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3"/>
      <c r="M203" s="3"/>
      <c r="N203" s="26"/>
      <c r="O203" s="26"/>
      <c r="P203" s="26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spans="1:73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0"/>
      <c r="L204" s="3"/>
      <c r="M204" s="3"/>
      <c r="N204" s="26"/>
      <c r="O204" s="26"/>
      <c r="P204" s="26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spans="1:73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0"/>
      <c r="L205" s="3"/>
      <c r="M205" s="3"/>
      <c r="N205" s="26"/>
      <c r="O205" s="26"/>
      <c r="P205" s="26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spans="1:73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0"/>
      <c r="L206" s="3"/>
      <c r="M206" s="3"/>
      <c r="N206" s="26"/>
      <c r="O206" s="26"/>
      <c r="P206" s="26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spans="1:73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0"/>
      <c r="L207" s="3"/>
      <c r="M207" s="3"/>
      <c r="N207" s="26"/>
      <c r="O207" s="26"/>
      <c r="P207" s="26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spans="1:73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0"/>
      <c r="L208" s="3"/>
      <c r="M208" s="3"/>
      <c r="N208" s="26"/>
      <c r="O208" s="26"/>
      <c r="P208" s="26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spans="1:73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0"/>
      <c r="L209" s="3"/>
      <c r="M209" s="3"/>
      <c r="N209" s="26"/>
      <c r="O209" s="26"/>
      <c r="P209" s="26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spans="1:73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0"/>
      <c r="L210" s="3"/>
      <c r="M210" s="3"/>
      <c r="N210" s="26"/>
      <c r="O210" s="26"/>
      <c r="P210" s="26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spans="1:73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0"/>
      <c r="L211" s="3"/>
      <c r="M211" s="3"/>
      <c r="N211" s="26"/>
      <c r="O211" s="26"/>
      <c r="P211" s="26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spans="1:73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0"/>
      <c r="L212" s="3"/>
      <c r="M212" s="3"/>
      <c r="N212" s="26"/>
      <c r="O212" s="26"/>
      <c r="P212" s="26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spans="1:73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0"/>
      <c r="L213" s="3"/>
      <c r="M213" s="3"/>
      <c r="N213" s="26"/>
      <c r="O213" s="26"/>
      <c r="P213" s="26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spans="1:73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0"/>
      <c r="L214" s="3"/>
      <c r="M214" s="3"/>
      <c r="N214" s="26"/>
      <c r="O214" s="26"/>
      <c r="P214" s="26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spans="1:73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0"/>
      <c r="L215" s="3"/>
      <c r="M215" s="3"/>
      <c r="N215" s="26"/>
      <c r="O215" s="26"/>
      <c r="P215" s="26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spans="1:73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0"/>
      <c r="L216" s="3"/>
      <c r="M216" s="3"/>
      <c r="N216" s="26"/>
      <c r="O216" s="26"/>
      <c r="P216" s="26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spans="1:73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0"/>
      <c r="L217" s="3"/>
      <c r="M217" s="3"/>
      <c r="N217" s="26"/>
      <c r="O217" s="26"/>
      <c r="P217" s="26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spans="1:73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0"/>
      <c r="L218" s="3"/>
      <c r="M218" s="3"/>
      <c r="N218" s="26"/>
      <c r="O218" s="26"/>
      <c r="P218" s="26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spans="1:73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0"/>
      <c r="L219" s="3"/>
      <c r="M219" s="3"/>
      <c r="N219" s="26"/>
      <c r="O219" s="26"/>
      <c r="P219" s="26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spans="1:73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0"/>
      <c r="L220" s="3"/>
      <c r="M220" s="3"/>
      <c r="N220" s="26"/>
      <c r="O220" s="26"/>
      <c r="P220" s="26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spans="1:73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0"/>
      <c r="L221" s="3"/>
      <c r="M221" s="3"/>
      <c r="N221" s="26"/>
      <c r="O221" s="26"/>
      <c r="P221" s="26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spans="1:73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0"/>
      <c r="L222" s="3"/>
      <c r="M222" s="3"/>
      <c r="N222" s="26"/>
      <c r="O222" s="26"/>
      <c r="P222" s="26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spans="1:73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0"/>
      <c r="L223" s="3"/>
      <c r="M223" s="3"/>
      <c r="N223" s="26"/>
      <c r="O223" s="26"/>
      <c r="P223" s="26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spans="1:73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0"/>
      <c r="L224" s="3"/>
      <c r="M224" s="3"/>
      <c r="N224" s="30"/>
      <c r="O224" s="30"/>
      <c r="P224" s="30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spans="1:73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0"/>
      <c r="L225" s="3"/>
      <c r="M225" s="3"/>
      <c r="N225" s="30"/>
      <c r="O225" s="30"/>
      <c r="P225" s="30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spans="1:73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0"/>
      <c r="L226" s="3"/>
      <c r="M226" s="3"/>
      <c r="N226" s="30"/>
      <c r="O226" s="30"/>
      <c r="P226" s="30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spans="1:73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0"/>
      <c r="L227" s="3"/>
      <c r="M227" s="3"/>
      <c r="N227" s="30"/>
      <c r="O227" s="30"/>
      <c r="P227" s="30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spans="1:73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0"/>
      <c r="L228" s="3"/>
      <c r="M228" s="3"/>
      <c r="N228" s="30"/>
      <c r="O228" s="30"/>
      <c r="P228" s="30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spans="1:73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0"/>
      <c r="L229" s="3"/>
      <c r="M229" s="3"/>
      <c r="N229" s="30"/>
      <c r="O229" s="30"/>
      <c r="P229" s="30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spans="1:73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0"/>
      <c r="L230" s="3"/>
      <c r="M230" s="3"/>
      <c r="N230" s="30"/>
      <c r="O230" s="30"/>
      <c r="P230" s="30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spans="1:73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0"/>
      <c r="L231" s="3"/>
      <c r="M231" s="3"/>
      <c r="N231" s="30"/>
      <c r="O231" s="30"/>
      <c r="P231" s="30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spans="1:73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0"/>
      <c r="L232" s="3"/>
      <c r="M232" s="3"/>
      <c r="N232" s="30"/>
      <c r="O232" s="30"/>
      <c r="P232" s="30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spans="1:73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0"/>
      <c r="L233" s="3"/>
      <c r="M233" s="3"/>
      <c r="N233" s="30"/>
      <c r="O233" s="30"/>
      <c r="P233" s="30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spans="1:73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0"/>
      <c r="L234" s="3"/>
      <c r="M234" s="3"/>
      <c r="N234" s="30"/>
      <c r="O234" s="30"/>
      <c r="P234" s="30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spans="1:73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0"/>
      <c r="L235" s="3"/>
      <c r="M235" s="3"/>
      <c r="N235" s="30"/>
      <c r="O235" s="30"/>
      <c r="P235" s="30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spans="1:73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0"/>
      <c r="L236" s="3"/>
      <c r="M236" s="3"/>
      <c r="N236" s="30"/>
      <c r="O236" s="30"/>
      <c r="P236" s="30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spans="1:73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0"/>
      <c r="L237" s="3"/>
      <c r="M237" s="3"/>
      <c r="N237" s="30"/>
      <c r="O237" s="30"/>
      <c r="P237" s="30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spans="1:73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0"/>
      <c r="L238" s="3"/>
      <c r="M238" s="3"/>
      <c r="N238" s="30"/>
      <c r="O238" s="30"/>
      <c r="P238" s="30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spans="1:73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0"/>
      <c r="L239" s="3"/>
      <c r="M239" s="3"/>
      <c r="N239" s="30"/>
      <c r="O239" s="30"/>
      <c r="P239" s="30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spans="1:73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0"/>
      <c r="L240" s="3"/>
      <c r="M240" s="3"/>
      <c r="N240" s="30"/>
      <c r="O240" s="30"/>
      <c r="P240" s="30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spans="1:73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0"/>
      <c r="L241" s="3"/>
      <c r="M241" s="3"/>
      <c r="N241" s="30"/>
      <c r="O241" s="30"/>
      <c r="P241" s="30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spans="1:73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0"/>
      <c r="L242" s="3"/>
      <c r="M242" s="3"/>
      <c r="N242" s="30"/>
      <c r="O242" s="30"/>
      <c r="P242" s="30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spans="1:73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0"/>
      <c r="L243" s="3"/>
      <c r="M243" s="3"/>
      <c r="N243" s="30"/>
      <c r="O243" s="30"/>
      <c r="P243" s="30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spans="1:73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0"/>
      <c r="L244" s="3"/>
      <c r="M244" s="3"/>
      <c r="N244" s="30"/>
      <c r="O244" s="30"/>
      <c r="P244" s="30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spans="1:73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3"/>
      <c r="M245" s="3"/>
      <c r="N245" s="30"/>
      <c r="O245" s="30"/>
      <c r="P245" s="30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spans="1:73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3"/>
      <c r="M246" s="3"/>
      <c r="N246" s="30"/>
      <c r="O246" s="30"/>
      <c r="P246" s="30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spans="1:73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0"/>
      <c r="L247" s="3"/>
      <c r="M247" s="3"/>
      <c r="N247" s="30"/>
      <c r="O247" s="30"/>
      <c r="P247" s="30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spans="1:73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0"/>
      <c r="L248" s="3"/>
      <c r="M248" s="3"/>
      <c r="N248" s="30"/>
      <c r="O248" s="30"/>
      <c r="P248" s="30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spans="1:73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0"/>
      <c r="L249" s="3"/>
      <c r="M249" s="3"/>
      <c r="N249" s="30"/>
      <c r="O249" s="30"/>
      <c r="P249" s="30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spans="1:73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0"/>
      <c r="L250" s="3"/>
      <c r="M250" s="3"/>
      <c r="N250" s="30"/>
      <c r="O250" s="30"/>
      <c r="P250" s="30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spans="1:73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0"/>
      <c r="L251" s="3"/>
      <c r="M251" s="3"/>
      <c r="N251" s="30"/>
      <c r="O251" s="30"/>
      <c r="P251" s="30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spans="1:73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0"/>
      <c r="L252" s="3"/>
      <c r="M252" s="3"/>
      <c r="N252" s="30"/>
      <c r="O252" s="30"/>
      <c r="P252" s="30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spans="1:73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0"/>
      <c r="L253" s="3"/>
      <c r="M253" s="3"/>
      <c r="N253" s="30"/>
      <c r="O253" s="30"/>
      <c r="P253" s="30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spans="1:73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0"/>
      <c r="L254" s="3"/>
      <c r="M254" s="3"/>
      <c r="N254" s="30"/>
      <c r="O254" s="30"/>
      <c r="P254" s="30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spans="1:73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0"/>
      <c r="L255" s="3"/>
      <c r="M255" s="3"/>
      <c r="N255" s="30"/>
      <c r="O255" s="30"/>
      <c r="P255" s="30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spans="1:73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0"/>
      <c r="L256" s="3"/>
      <c r="M256" s="3"/>
      <c r="N256" s="30"/>
      <c r="O256" s="30"/>
      <c r="P256" s="30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spans="1:73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0"/>
      <c r="L257" s="3"/>
      <c r="M257" s="3"/>
      <c r="N257" s="30"/>
      <c r="O257" s="30"/>
      <c r="P257" s="30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spans="1:73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0"/>
      <c r="L258" s="3"/>
      <c r="M258" s="3"/>
      <c r="N258" s="30"/>
      <c r="O258" s="30"/>
      <c r="P258" s="30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spans="1:73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0"/>
      <c r="L259" s="3"/>
      <c r="M259" s="3"/>
      <c r="N259" s="30"/>
      <c r="O259" s="30"/>
      <c r="P259" s="30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spans="1:73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0"/>
      <c r="L260" s="3"/>
      <c r="M260" s="3"/>
      <c r="N260" s="30"/>
      <c r="O260" s="30"/>
      <c r="P260" s="30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  <row r="261" spans="1:73" s="4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0"/>
      <c r="L261" s="3"/>
      <c r="M261" s="3"/>
      <c r="N261" s="30"/>
      <c r="O261" s="30"/>
      <c r="P261" s="30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</row>
    <row r="262" spans="1:73" s="4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0"/>
      <c r="L262" s="3"/>
      <c r="M262" s="3"/>
      <c r="N262" s="30"/>
      <c r="O262" s="30"/>
      <c r="P262" s="30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</row>
    <row r="263" spans="1:73" s="4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0"/>
      <c r="L263" s="3"/>
      <c r="M263" s="3"/>
      <c r="N263" s="30"/>
      <c r="O263" s="30"/>
      <c r="P263" s="30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</row>
    <row r="264" spans="1:73" s="4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0"/>
      <c r="L264" s="3"/>
      <c r="M264" s="3"/>
      <c r="N264" s="30"/>
      <c r="O264" s="30"/>
      <c r="P264" s="30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</row>
    <row r="265" spans="1:73" s="4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0"/>
      <c r="L265" s="3"/>
      <c r="M265" s="3"/>
      <c r="N265" s="30"/>
      <c r="O265" s="30"/>
      <c r="P265" s="30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</row>
    <row r="266" spans="1:73" s="4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0"/>
      <c r="L266" s="3"/>
      <c r="M266" s="3"/>
      <c r="N266" s="30"/>
      <c r="O266" s="30"/>
      <c r="P266" s="30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</row>
    <row r="267" spans="1:73" s="4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0"/>
      <c r="L267" s="3"/>
      <c r="M267" s="3"/>
      <c r="N267" s="30"/>
      <c r="O267" s="30"/>
      <c r="P267" s="30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</row>
    <row r="268" spans="1:73" s="4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0"/>
      <c r="L268" s="3"/>
      <c r="M268" s="3"/>
      <c r="N268" s="30"/>
      <c r="O268" s="30"/>
      <c r="P268" s="30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8608-C6BE-461D-B102-71DFDB04F5AD}">
  <dimension ref="A1:BU260"/>
  <sheetViews>
    <sheetView topLeftCell="L1" zoomScale="120" zoomScaleNormal="120" workbookViewId="0">
      <selection activeCell="W2" sqref="W2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0" customWidth="1"/>
    <col min="12" max="12" width="20.88671875" style="3" customWidth="1"/>
    <col min="13" max="13" width="26.88671875" style="3" customWidth="1"/>
    <col min="14" max="15" width="20.6640625" style="30" customWidth="1"/>
    <col min="16" max="16" width="36.33203125" style="30" customWidth="1"/>
    <col min="17" max="17" width="23.21875" style="17" customWidth="1"/>
    <col min="18" max="18" width="30.88671875" style="17" customWidth="1"/>
    <col min="19" max="19" width="33.109375" style="17" customWidth="1"/>
    <col min="20" max="20" width="22.5546875" style="17" customWidth="1"/>
    <col min="21" max="24" width="20.6640625" style="17" customWidth="1"/>
    <col min="25" max="25" width="53.21875" style="9" customWidth="1"/>
    <col min="26" max="26" width="53" style="17" customWidth="1"/>
    <col min="27" max="16384" width="8.88671875" style="7"/>
  </cols>
  <sheetData>
    <row r="1" spans="1:26" s="41" customFormat="1" ht="53.4" customHeight="1" x14ac:dyDescent="0.3">
      <c r="A1" s="21" t="s">
        <v>7</v>
      </c>
      <c r="B1" s="22" t="s">
        <v>6</v>
      </c>
      <c r="C1" s="21" t="s">
        <v>2</v>
      </c>
      <c r="D1" s="21" t="s">
        <v>1</v>
      </c>
      <c r="E1" s="22" t="s">
        <v>0</v>
      </c>
      <c r="F1" s="21" t="s">
        <v>3</v>
      </c>
      <c r="G1" s="22" t="s">
        <v>11</v>
      </c>
      <c r="H1" s="21" t="s">
        <v>4</v>
      </c>
      <c r="I1" s="22" t="s">
        <v>12</v>
      </c>
      <c r="J1" s="22" t="s">
        <v>8</v>
      </c>
      <c r="K1" s="21" t="s">
        <v>5</v>
      </c>
      <c r="L1" s="22" t="s">
        <v>10</v>
      </c>
      <c r="M1" s="22" t="s">
        <v>41</v>
      </c>
      <c r="N1" s="54" t="s">
        <v>9</v>
      </c>
      <c r="O1" s="29" t="s">
        <v>34</v>
      </c>
      <c r="P1" s="29" t="s">
        <v>39</v>
      </c>
      <c r="Q1" s="24" t="s">
        <v>14</v>
      </c>
      <c r="R1" s="23" t="s">
        <v>26</v>
      </c>
      <c r="S1" s="23" t="s">
        <v>13</v>
      </c>
      <c r="T1" s="23" t="s">
        <v>27</v>
      </c>
      <c r="U1" s="23" t="s">
        <v>42</v>
      </c>
      <c r="V1" s="23" t="s">
        <v>15</v>
      </c>
      <c r="W1" s="23" t="s">
        <v>16</v>
      </c>
      <c r="X1" s="23" t="s">
        <v>29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17.792079207920793</v>
      </c>
      <c r="L2" s="2">
        <f>(K2/1000000)</f>
        <v>1.7792079207920793E-5</v>
      </c>
      <c r="M2" s="3">
        <f>(3.142*3.07*3.07*25.4*25.4)/(4*1000000)</f>
        <v>4.7762865441819992E-3</v>
      </c>
      <c r="N2" s="26">
        <f>(L2*J2)/M2</f>
        <v>7.4966708078439299E-8</v>
      </c>
      <c r="O2" s="26">
        <f>(2.032/1000)</f>
        <v>2.032E-3</v>
      </c>
      <c r="P2" s="26">
        <v>1.45111777225214E-10</v>
      </c>
      <c r="Q2" s="14">
        <v>0.04</v>
      </c>
      <c r="R2" s="14">
        <f>(1+Q2)*100000*1</f>
        <v>104000</v>
      </c>
      <c r="S2" s="14">
        <f>(SQRT(R2)-(N2*O2/P2))^2</f>
        <v>103324.02797540529</v>
      </c>
      <c r="T2" s="14">
        <f>(S2)</f>
        <v>103324.02797540529</v>
      </c>
      <c r="U2" s="14">
        <f>(5.3058450282772/1000)</f>
        <v>5.3058450282772E-3</v>
      </c>
      <c r="V2" s="14">
        <v>0.13</v>
      </c>
      <c r="W2" s="14">
        <f>(1+V2)*100000</f>
        <v>112999.99999999999</v>
      </c>
      <c r="X2" s="14">
        <f>(L2*W2)</f>
        <v>2.0105049504950494</v>
      </c>
      <c r="Y2" s="2">
        <f>(N2*U2)/(T2-X2)</f>
        <v>3.8497286936739924E-15</v>
      </c>
      <c r="Z2" s="14">
        <f>(Y2*6.022E+23)</f>
        <v>2318306619.3304782</v>
      </c>
    </row>
    <row r="3" spans="1:26" x14ac:dyDescent="0.25">
      <c r="A3" s="1">
        <v>3</v>
      </c>
      <c r="B3" s="1">
        <f t="shared" ref="B3:B66" si="1">(A3/60)</f>
        <v>0.05</v>
      </c>
      <c r="C3" s="1">
        <v>20</v>
      </c>
      <c r="D3" s="1">
        <f t="shared" si="0"/>
        <v>29.146000000000001</v>
      </c>
      <c r="E3" s="1">
        <f t="shared" ref="E3:E66" si="2">(D3/(1000000*60))</f>
        <v>4.8576666666666667E-7</v>
      </c>
      <c r="F3" s="1">
        <v>21.1</v>
      </c>
      <c r="G3" s="1">
        <f t="shared" ref="G3:G66" si="3">(273+F3)</f>
        <v>294.10000000000002</v>
      </c>
      <c r="H3" s="1">
        <v>101.3</v>
      </c>
      <c r="I3" s="1">
        <f t="shared" ref="I3:I66" si="4">(H3*1000)</f>
        <v>101300</v>
      </c>
      <c r="J3" s="1">
        <f t="shared" ref="J3:J66" si="5">((I3*E3)/(8.314*G3))</f>
        <v>2.0124824921938581E-5</v>
      </c>
      <c r="K3" s="20">
        <v>13.386138613861386</v>
      </c>
      <c r="L3" s="2">
        <f t="shared" ref="L3:L66" si="6">(K3/1000000)</f>
        <v>1.3386138613861385E-5</v>
      </c>
      <c r="M3" s="3">
        <f t="shared" ref="M3:M66" si="7">(3.142*3.07*3.07*25.4*25.4)/(4*1000000)</f>
        <v>4.7762865441819992E-3</v>
      </c>
      <c r="N3" s="26">
        <f t="shared" ref="N3:N66" si="8">(L3*J3)/M3</f>
        <v>5.6402331286616548E-8</v>
      </c>
      <c r="O3" s="26">
        <f t="shared" ref="O3:O66" si="9">(2.032/1000)</f>
        <v>2.032E-3</v>
      </c>
      <c r="P3" s="26">
        <v>1.45111777225214E-10</v>
      </c>
      <c r="Q3" s="14">
        <v>0.04</v>
      </c>
      <c r="R3" s="14">
        <f t="shared" ref="R3:R66" si="10">(1+Q3)*100000*1</f>
        <v>104000</v>
      </c>
      <c r="S3" s="14">
        <f t="shared" ref="S3:S66" si="11">(SQRT(R3)-(N3*O3/P3))^2</f>
        <v>103491.21695753056</v>
      </c>
      <c r="T3" s="14">
        <f t="shared" ref="T3:T66" si="12">(S3)</f>
        <v>103491.21695753056</v>
      </c>
      <c r="U3" s="14">
        <f t="shared" ref="U3:U66" si="13">(5.3058450282772/1000)</f>
        <v>5.3058450282772E-3</v>
      </c>
      <c r="V3" s="14">
        <v>0.13</v>
      </c>
      <c r="W3" s="14">
        <f t="shared" ref="W3:W66" si="14">(1+V3)*100000</f>
        <v>112999.99999999999</v>
      </c>
      <c r="X3" s="14">
        <f t="shared" ref="X3:X66" si="15">(L3*W3)</f>
        <v>1.5126336633663362</v>
      </c>
      <c r="Y3" s="2">
        <f t="shared" ref="Y3:Y66" si="16">(N3*U3)/(T3-X3)</f>
        <v>2.8917082234944701E-15</v>
      </c>
      <c r="Z3" s="14">
        <f t="shared" ref="Z3:Z66" si="17">(Y3*6.022E+23)</f>
        <v>1741386692.18837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17.371287128712872</v>
      </c>
      <c r="L4" s="2">
        <f t="shared" si="6"/>
        <v>1.7371287128712872E-5</v>
      </c>
      <c r="M4" s="3">
        <f t="shared" si="7"/>
        <v>4.7762865441819992E-3</v>
      </c>
      <c r="N4" s="26">
        <f t="shared" si="8"/>
        <v>7.3193705800568586E-8</v>
      </c>
      <c r="O4" s="26">
        <f t="shared" si="9"/>
        <v>2.032E-3</v>
      </c>
      <c r="P4" s="26">
        <v>1.45111777225214E-10</v>
      </c>
      <c r="Q4" s="14">
        <v>0.04</v>
      </c>
      <c r="R4" s="14">
        <f t="shared" si="10"/>
        <v>104000</v>
      </c>
      <c r="S4" s="14">
        <f t="shared" si="11"/>
        <v>103339.98962481794</v>
      </c>
      <c r="T4" s="14">
        <f t="shared" si="12"/>
        <v>103339.98962481794</v>
      </c>
      <c r="U4" s="14">
        <f t="shared" si="13"/>
        <v>5.3058450282772E-3</v>
      </c>
      <c r="V4" s="14">
        <v>0.13</v>
      </c>
      <c r="W4" s="14">
        <f t="shared" si="14"/>
        <v>112999.99999999999</v>
      </c>
      <c r="X4" s="14">
        <f t="shared" si="15"/>
        <v>1.9629554455445544</v>
      </c>
      <c r="Y4" s="2">
        <f t="shared" si="16"/>
        <v>3.7580982774681955E-15</v>
      </c>
      <c r="Z4" s="14">
        <f t="shared" si="17"/>
        <v>2263126782.6913476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19.970297029702969</v>
      </c>
      <c r="L5" s="2">
        <f t="shared" si="6"/>
        <v>1.9970297029702968E-5</v>
      </c>
      <c r="M5" s="3">
        <f t="shared" si="7"/>
        <v>4.7762865441819992E-3</v>
      </c>
      <c r="N5" s="26">
        <f t="shared" si="8"/>
        <v>8.4144602222711209E-8</v>
      </c>
      <c r="O5" s="26">
        <f t="shared" si="9"/>
        <v>2.032E-3</v>
      </c>
      <c r="P5" s="26">
        <v>1.45111777225214E-10</v>
      </c>
      <c r="Q5" s="14">
        <v>0.04</v>
      </c>
      <c r="R5" s="14">
        <f t="shared" si="10"/>
        <v>104000</v>
      </c>
      <c r="S5" s="14">
        <f t="shared" si="11"/>
        <v>103241.42267432924</v>
      </c>
      <c r="T5" s="14">
        <f t="shared" si="12"/>
        <v>103241.42267432924</v>
      </c>
      <c r="U5" s="14">
        <f t="shared" si="13"/>
        <v>5.3058450282772E-3</v>
      </c>
      <c r="V5" s="14">
        <v>0.13</v>
      </c>
      <c r="W5" s="14">
        <f t="shared" si="14"/>
        <v>112999.99999999999</v>
      </c>
      <c r="X5" s="14">
        <f t="shared" si="15"/>
        <v>2.2566435643564353</v>
      </c>
      <c r="Y5" s="2">
        <f t="shared" si="16"/>
        <v>4.3245043187068369E-15</v>
      </c>
      <c r="Z5" s="14">
        <f t="shared" si="17"/>
        <v>2604216500.7252574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18.658415841584159</v>
      </c>
      <c r="L6" s="2">
        <f t="shared" si="6"/>
        <v>1.8658415841584159E-5</v>
      </c>
      <c r="M6" s="3">
        <f t="shared" si="7"/>
        <v>4.7762865441819992E-3</v>
      </c>
      <c r="N6" s="26">
        <f t="shared" si="8"/>
        <v>7.8617006885820191E-8</v>
      </c>
      <c r="O6" s="26">
        <f t="shared" si="9"/>
        <v>2.032E-3</v>
      </c>
      <c r="P6" s="26">
        <v>1.45111777225214E-10</v>
      </c>
      <c r="Q6" s="14">
        <v>0.04</v>
      </c>
      <c r="R6" s="14">
        <f t="shared" si="10"/>
        <v>104000</v>
      </c>
      <c r="S6" s="14">
        <f t="shared" si="11"/>
        <v>103291.16963783585</v>
      </c>
      <c r="T6" s="14">
        <f t="shared" si="12"/>
        <v>103291.16963783585</v>
      </c>
      <c r="U6" s="14">
        <f t="shared" si="13"/>
        <v>5.3058450282772E-3</v>
      </c>
      <c r="V6" s="14">
        <v>0.13</v>
      </c>
      <c r="W6" s="14">
        <f t="shared" si="14"/>
        <v>112999.99999999999</v>
      </c>
      <c r="X6" s="14">
        <f t="shared" si="15"/>
        <v>2.1084009900990095</v>
      </c>
      <c r="Y6" s="2">
        <f t="shared" si="16"/>
        <v>4.0384688381150963E-15</v>
      </c>
      <c r="Z6" s="14">
        <f t="shared" si="17"/>
        <v>2431965934.312911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11.554455445544555</v>
      </c>
      <c r="L7" s="2">
        <f t="shared" si="6"/>
        <v>1.1554455445544554E-5</v>
      </c>
      <c r="M7" s="3">
        <f t="shared" si="7"/>
        <v>4.7762865441819992E-3</v>
      </c>
      <c r="N7" s="26">
        <f t="shared" si="8"/>
        <v>4.8684556665296972E-8</v>
      </c>
      <c r="O7" s="26">
        <f t="shared" si="9"/>
        <v>2.032E-3</v>
      </c>
      <c r="P7" s="26">
        <v>1.45111777225214E-10</v>
      </c>
      <c r="Q7" s="14">
        <v>0.04</v>
      </c>
      <c r="R7" s="14">
        <f t="shared" si="10"/>
        <v>104000</v>
      </c>
      <c r="S7" s="14">
        <f t="shared" si="11"/>
        <v>103560.76226304259</v>
      </c>
      <c r="T7" s="14">
        <f t="shared" si="12"/>
        <v>103560.76226304259</v>
      </c>
      <c r="U7" s="14">
        <f t="shared" si="13"/>
        <v>5.3058450282772E-3</v>
      </c>
      <c r="V7" s="14">
        <v>0.13</v>
      </c>
      <c r="W7" s="14">
        <f t="shared" si="14"/>
        <v>112999.99999999999</v>
      </c>
      <c r="X7" s="14">
        <f t="shared" si="15"/>
        <v>1.3056534653465344</v>
      </c>
      <c r="Y7" s="2">
        <f t="shared" si="16"/>
        <v>2.4943421044617245E-15</v>
      </c>
      <c r="Z7" s="14">
        <f t="shared" si="17"/>
        <v>1502092815.3068507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16.950495049504951</v>
      </c>
      <c r="L8" s="2">
        <f t="shared" si="6"/>
        <v>1.6950495049504952E-5</v>
      </c>
      <c r="M8" s="3">
        <f t="shared" si="7"/>
        <v>4.7762865441819992E-3</v>
      </c>
      <c r="N8" s="26">
        <f t="shared" si="8"/>
        <v>7.1420703522697887E-8</v>
      </c>
      <c r="O8" s="26">
        <f t="shared" si="9"/>
        <v>2.032E-3</v>
      </c>
      <c r="P8" s="26">
        <v>1.45111777225214E-10</v>
      </c>
      <c r="Q8" s="14">
        <v>0.04</v>
      </c>
      <c r="R8" s="14">
        <f t="shared" si="10"/>
        <v>104000</v>
      </c>
      <c r="S8" s="14">
        <f t="shared" si="11"/>
        <v>103355.95250702502</v>
      </c>
      <c r="T8" s="14">
        <f t="shared" si="12"/>
        <v>103355.95250702502</v>
      </c>
      <c r="U8" s="14">
        <f t="shared" si="13"/>
        <v>5.3058450282772E-3</v>
      </c>
      <c r="V8" s="14">
        <v>0.13</v>
      </c>
      <c r="W8" s="14">
        <f t="shared" si="14"/>
        <v>112999.99999999999</v>
      </c>
      <c r="X8" s="14">
        <f t="shared" si="15"/>
        <v>1.9154059405940593</v>
      </c>
      <c r="Y8" s="2">
        <f t="shared" si="16"/>
        <v>3.6664962040267553E-15</v>
      </c>
      <c r="Z8" s="14">
        <f t="shared" si="17"/>
        <v>2207964014.0649123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18.930693069306933</v>
      </c>
      <c r="L9" s="2">
        <f t="shared" si="6"/>
        <v>1.8930693069306932E-5</v>
      </c>
      <c r="M9" s="3">
        <f t="shared" si="7"/>
        <v>4.7762865441819992E-3</v>
      </c>
      <c r="N9" s="26">
        <f t="shared" si="8"/>
        <v>7.9764243653854173E-8</v>
      </c>
      <c r="O9" s="26">
        <f t="shared" si="9"/>
        <v>2.032E-3</v>
      </c>
      <c r="P9" s="26">
        <v>1.45111777225214E-10</v>
      </c>
      <c r="Q9" s="14">
        <v>0.04</v>
      </c>
      <c r="R9" s="14">
        <f t="shared" si="10"/>
        <v>104000</v>
      </c>
      <c r="S9" s="14">
        <f t="shared" si="11"/>
        <v>103280.84381097091</v>
      </c>
      <c r="T9" s="14">
        <f t="shared" si="12"/>
        <v>103280.84381097091</v>
      </c>
      <c r="U9" s="14">
        <f t="shared" si="13"/>
        <v>5.3058450282772E-3</v>
      </c>
      <c r="V9" s="14">
        <v>0.13</v>
      </c>
      <c r="W9" s="14">
        <f t="shared" si="14"/>
        <v>112999.99999999999</v>
      </c>
      <c r="X9" s="14">
        <f t="shared" si="15"/>
        <v>2.1391683168316828</v>
      </c>
      <c r="Y9" s="2">
        <f t="shared" si="16"/>
        <v>4.0978120038339924E-15</v>
      </c>
      <c r="Z9" s="14">
        <f t="shared" si="17"/>
        <v>2467702388.7088304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12.198019801980198</v>
      </c>
      <c r="L10" s="2">
        <f t="shared" si="6"/>
        <v>1.2198019801980198E-5</v>
      </c>
      <c r="M10" s="3">
        <f t="shared" si="7"/>
        <v>4.7762865441819992E-3</v>
      </c>
      <c r="N10" s="26">
        <f t="shared" si="8"/>
        <v>5.1396207207922768E-8</v>
      </c>
      <c r="O10" s="26">
        <f t="shared" si="9"/>
        <v>2.032E-3</v>
      </c>
      <c r="P10" s="26">
        <v>1.45111777225214E-10</v>
      </c>
      <c r="Q10" s="14">
        <v>0.04</v>
      </c>
      <c r="R10" s="14">
        <f t="shared" si="10"/>
        <v>104000</v>
      </c>
      <c r="S10" s="14">
        <f t="shared" si="11"/>
        <v>103536.32476415858</v>
      </c>
      <c r="T10" s="14">
        <f t="shared" si="12"/>
        <v>103536.32476415858</v>
      </c>
      <c r="U10" s="14">
        <f t="shared" si="13"/>
        <v>5.3058450282772E-3</v>
      </c>
      <c r="V10" s="14">
        <v>0.13</v>
      </c>
      <c r="W10" s="14">
        <f t="shared" si="14"/>
        <v>112999.99999999999</v>
      </c>
      <c r="X10" s="14">
        <f t="shared" si="15"/>
        <v>1.378376237623762</v>
      </c>
      <c r="Y10" s="2">
        <f t="shared" si="16"/>
        <v>2.6338962833352735E-15</v>
      </c>
      <c r="Z10" s="14">
        <f t="shared" si="17"/>
        <v>1586132341.8245018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16.727722772277229</v>
      </c>
      <c r="L11" s="2">
        <f t="shared" si="6"/>
        <v>1.672772277227723E-5</v>
      </c>
      <c r="M11" s="3">
        <f t="shared" si="7"/>
        <v>4.7762865441819992E-3</v>
      </c>
      <c r="N11" s="26">
        <f t="shared" si="8"/>
        <v>7.0482055257942797E-8</v>
      </c>
      <c r="O11" s="26">
        <f t="shared" si="9"/>
        <v>2.032E-3</v>
      </c>
      <c r="P11" s="26">
        <v>1.45111777225214E-10</v>
      </c>
      <c r="Q11" s="14">
        <v>0.04</v>
      </c>
      <c r="R11" s="14">
        <f t="shared" si="10"/>
        <v>104000</v>
      </c>
      <c r="S11" s="14">
        <f t="shared" si="11"/>
        <v>103364.40394375386</v>
      </c>
      <c r="T11" s="14">
        <f t="shared" si="12"/>
        <v>103364.40394375386</v>
      </c>
      <c r="U11" s="14">
        <f t="shared" si="13"/>
        <v>5.3058450282772E-3</v>
      </c>
      <c r="V11" s="14">
        <v>0.13</v>
      </c>
      <c r="W11" s="14">
        <f t="shared" si="14"/>
        <v>112999.99999999999</v>
      </c>
      <c r="X11" s="14">
        <f t="shared" si="15"/>
        <v>1.8902326732673267</v>
      </c>
      <c r="Y11" s="2">
        <f t="shared" si="16"/>
        <v>3.618012459704963E-15</v>
      </c>
      <c r="Z11" s="14">
        <f t="shared" si="17"/>
        <v>2178767103.2343287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18.386138613861387</v>
      </c>
      <c r="L12" s="2">
        <f t="shared" si="6"/>
        <v>1.8386138613861386E-5</v>
      </c>
      <c r="M12" s="3">
        <f t="shared" si="7"/>
        <v>4.7762865441819992E-3</v>
      </c>
      <c r="N12" s="26">
        <f t="shared" si="8"/>
        <v>7.7469770117786182E-8</v>
      </c>
      <c r="O12" s="26">
        <f t="shared" si="9"/>
        <v>2.032E-3</v>
      </c>
      <c r="P12" s="26">
        <v>1.45111777225214E-10</v>
      </c>
      <c r="Q12" s="14">
        <v>0.04</v>
      </c>
      <c r="R12" s="14">
        <f t="shared" si="10"/>
        <v>104000</v>
      </c>
      <c r="S12" s="14">
        <f t="shared" si="11"/>
        <v>103301.49598085343</v>
      </c>
      <c r="T12" s="14">
        <f t="shared" si="12"/>
        <v>103301.49598085343</v>
      </c>
      <c r="U12" s="14">
        <f t="shared" si="13"/>
        <v>5.3058450282772E-3</v>
      </c>
      <c r="V12" s="14">
        <v>0.13</v>
      </c>
      <c r="W12" s="14">
        <f t="shared" si="14"/>
        <v>112999.99999999999</v>
      </c>
      <c r="X12" s="14">
        <f t="shared" si="15"/>
        <v>2.0776336633663361</v>
      </c>
      <c r="Y12" s="2">
        <f t="shared" si="16"/>
        <v>3.9791375517693273E-15</v>
      </c>
      <c r="Z12" s="14">
        <f t="shared" si="17"/>
        <v>2396236633.6754889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8.6089108910891099</v>
      </c>
      <c r="L13" s="2">
        <f t="shared" si="6"/>
        <v>8.6089108910891101E-6</v>
      </c>
      <c r="M13" s="3">
        <f t="shared" si="7"/>
        <v>4.7762865441819992E-3</v>
      </c>
      <c r="N13" s="26">
        <f t="shared" si="8"/>
        <v>3.6273540720201996E-8</v>
      </c>
      <c r="O13" s="26">
        <f t="shared" si="9"/>
        <v>2.032E-3</v>
      </c>
      <c r="P13" s="26">
        <v>1.45111777225214E-10</v>
      </c>
      <c r="Q13" s="14">
        <v>0.04</v>
      </c>
      <c r="R13" s="14">
        <f t="shared" si="10"/>
        <v>104000</v>
      </c>
      <c r="S13" s="14">
        <f t="shared" si="11"/>
        <v>103672.64761816707</v>
      </c>
      <c r="T13" s="14">
        <f t="shared" si="12"/>
        <v>103672.64761816707</v>
      </c>
      <c r="U13" s="14">
        <f t="shared" si="13"/>
        <v>5.3058450282772E-3</v>
      </c>
      <c r="V13" s="14">
        <v>0.13</v>
      </c>
      <c r="W13" s="14">
        <f t="shared" si="14"/>
        <v>112999.99999999999</v>
      </c>
      <c r="X13" s="14">
        <f t="shared" si="15"/>
        <v>0.97280693069306934</v>
      </c>
      <c r="Y13" s="2">
        <f t="shared" si="16"/>
        <v>1.8564548710023779E-15</v>
      </c>
      <c r="Z13" s="14">
        <f t="shared" si="17"/>
        <v>1117957123.317632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16.232673267326732</v>
      </c>
      <c r="L14" s="2">
        <f t="shared" si="6"/>
        <v>1.6232673267326733E-5</v>
      </c>
      <c r="M14" s="3">
        <f t="shared" si="7"/>
        <v>4.7762865441819992E-3</v>
      </c>
      <c r="N14" s="26">
        <f t="shared" si="8"/>
        <v>6.8396170225153726E-8</v>
      </c>
      <c r="O14" s="26">
        <f t="shared" si="9"/>
        <v>2.032E-3</v>
      </c>
      <c r="P14" s="26">
        <v>1.45111777225214E-10</v>
      </c>
      <c r="Q14" s="14">
        <v>0.04</v>
      </c>
      <c r="R14" s="14">
        <f t="shared" si="10"/>
        <v>104000</v>
      </c>
      <c r="S14" s="14">
        <f t="shared" si="11"/>
        <v>103383.18615132254</v>
      </c>
      <c r="T14" s="14">
        <f t="shared" si="12"/>
        <v>103383.18615132254</v>
      </c>
      <c r="U14" s="14">
        <f t="shared" si="13"/>
        <v>5.3058450282772E-3</v>
      </c>
      <c r="V14" s="14">
        <v>0.13</v>
      </c>
      <c r="W14" s="14">
        <f t="shared" si="14"/>
        <v>112999.99999999999</v>
      </c>
      <c r="X14" s="14">
        <f t="shared" si="15"/>
        <v>1.8342920792079205</v>
      </c>
      <c r="Y14" s="2">
        <f t="shared" si="16"/>
        <v>3.510299229172694E-15</v>
      </c>
      <c r="Z14" s="14">
        <f t="shared" si="17"/>
        <v>2113902195.8077965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14.54950495049505</v>
      </c>
      <c r="L15" s="2">
        <f t="shared" si="6"/>
        <v>1.454950495049505E-5</v>
      </c>
      <c r="M15" s="3">
        <f t="shared" si="7"/>
        <v>4.7762865441819992E-3</v>
      </c>
      <c r="N15" s="26">
        <f t="shared" si="8"/>
        <v>6.1304161113670874E-8</v>
      </c>
      <c r="O15" s="26">
        <f t="shared" si="9"/>
        <v>2.032E-3</v>
      </c>
      <c r="P15" s="26">
        <v>1.45111777225214E-10</v>
      </c>
      <c r="Q15" s="14">
        <v>0.04</v>
      </c>
      <c r="R15" s="14">
        <f t="shared" si="10"/>
        <v>104000</v>
      </c>
      <c r="S15" s="14">
        <f t="shared" si="11"/>
        <v>103447.05842010443</v>
      </c>
      <c r="T15" s="14">
        <f t="shared" si="12"/>
        <v>103447.05842010443</v>
      </c>
      <c r="U15" s="14">
        <f t="shared" si="13"/>
        <v>5.3058450282772E-3</v>
      </c>
      <c r="V15" s="14">
        <v>0.13</v>
      </c>
      <c r="W15" s="14">
        <f t="shared" si="14"/>
        <v>112999.99999999999</v>
      </c>
      <c r="X15" s="14">
        <f t="shared" si="15"/>
        <v>1.6440940594059403</v>
      </c>
      <c r="Y15" s="2">
        <f t="shared" si="16"/>
        <v>3.1443673030538576E-15</v>
      </c>
      <c r="Z15" s="14">
        <f t="shared" si="17"/>
        <v>1893537989.8990331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15.044554455445546</v>
      </c>
      <c r="L16" s="2">
        <f t="shared" si="6"/>
        <v>1.5044554455445546E-5</v>
      </c>
      <c r="M16" s="3">
        <f t="shared" si="7"/>
        <v>4.7762865441819992E-3</v>
      </c>
      <c r="N16" s="26">
        <f t="shared" si="8"/>
        <v>6.3390046146459946E-8</v>
      </c>
      <c r="O16" s="26">
        <f t="shared" si="9"/>
        <v>2.032E-3</v>
      </c>
      <c r="P16" s="26">
        <v>1.45111777225214E-10</v>
      </c>
      <c r="Q16" s="14">
        <v>0.04</v>
      </c>
      <c r="R16" s="14">
        <f t="shared" si="10"/>
        <v>104000</v>
      </c>
      <c r="S16" s="14">
        <f t="shared" si="11"/>
        <v>103428.27041115012</v>
      </c>
      <c r="T16" s="14">
        <f t="shared" si="12"/>
        <v>103428.27041115012</v>
      </c>
      <c r="U16" s="14">
        <f t="shared" si="13"/>
        <v>5.3058450282772E-3</v>
      </c>
      <c r="V16" s="14">
        <v>0.13</v>
      </c>
      <c r="W16" s="14">
        <f t="shared" si="14"/>
        <v>112999.99999999999</v>
      </c>
      <c r="X16" s="14">
        <f t="shared" si="15"/>
        <v>1.7000346534653465</v>
      </c>
      <c r="Y16" s="2">
        <f t="shared" si="16"/>
        <v>3.2519473474186515E-15</v>
      </c>
      <c r="Z16" s="14">
        <f t="shared" si="17"/>
        <v>1958322692.6155119</v>
      </c>
    </row>
    <row r="17" spans="1:73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17.198019801980198</v>
      </c>
      <c r="L17" s="2">
        <f t="shared" si="6"/>
        <v>1.7198019801980199E-5</v>
      </c>
      <c r="M17" s="3">
        <f t="shared" si="7"/>
        <v>4.7762865441819992E-3</v>
      </c>
      <c r="N17" s="26">
        <f t="shared" si="8"/>
        <v>7.2463646039092416E-8</v>
      </c>
      <c r="O17" s="26">
        <f t="shared" si="9"/>
        <v>2.032E-3</v>
      </c>
      <c r="P17" s="26">
        <v>1.45111777225214E-10</v>
      </c>
      <c r="Q17" s="14">
        <v>0.04</v>
      </c>
      <c r="R17" s="14">
        <f t="shared" si="10"/>
        <v>104000</v>
      </c>
      <c r="S17" s="14">
        <f t="shared" si="11"/>
        <v>103346.56242701461</v>
      </c>
      <c r="T17" s="14">
        <f t="shared" si="12"/>
        <v>103346.56242701461</v>
      </c>
      <c r="U17" s="14">
        <f t="shared" si="13"/>
        <v>5.3058450282772E-3</v>
      </c>
      <c r="V17" s="14">
        <v>0.13</v>
      </c>
      <c r="W17" s="14">
        <f t="shared" si="14"/>
        <v>112999.99999999999</v>
      </c>
      <c r="X17" s="14">
        <f t="shared" si="15"/>
        <v>1.9433762376237622</v>
      </c>
      <c r="Y17" s="2">
        <f t="shared" si="16"/>
        <v>3.7203763446885212E-15</v>
      </c>
      <c r="Z17" s="14">
        <f t="shared" si="17"/>
        <v>2240410634.7714276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12.594059405940595</v>
      </c>
      <c r="L18" s="2">
        <f t="shared" si="6"/>
        <v>1.2594059405940594E-5</v>
      </c>
      <c r="M18" s="3">
        <f t="shared" si="7"/>
        <v>4.7762865441819992E-3</v>
      </c>
      <c r="N18" s="26">
        <f t="shared" si="8"/>
        <v>5.3064915234154028E-8</v>
      </c>
      <c r="O18" s="26">
        <f t="shared" si="9"/>
        <v>2.032E-3</v>
      </c>
      <c r="P18" s="26">
        <v>1.45111777225214E-10</v>
      </c>
      <c r="Q18" s="14">
        <v>0.04</v>
      </c>
      <c r="R18" s="14">
        <f t="shared" si="10"/>
        <v>104000</v>
      </c>
      <c r="S18" s="14">
        <f t="shared" si="11"/>
        <v>103521.28773659037</v>
      </c>
      <c r="T18" s="14">
        <f t="shared" si="12"/>
        <v>103521.28773659037</v>
      </c>
      <c r="U18" s="14">
        <f t="shared" si="13"/>
        <v>5.3058450282772E-3</v>
      </c>
      <c r="V18" s="14">
        <v>0.13</v>
      </c>
      <c r="W18" s="14">
        <f t="shared" si="14"/>
        <v>112999.99999999999</v>
      </c>
      <c r="X18" s="14">
        <f t="shared" si="15"/>
        <v>1.4231287128712868</v>
      </c>
      <c r="Y18" s="2">
        <f t="shared" si="16"/>
        <v>2.7198085868599744E-15</v>
      </c>
      <c r="Z18" s="14">
        <f t="shared" si="17"/>
        <v>1637868731.0070767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spans="1:73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19.747524752475247</v>
      </c>
      <c r="L19" s="2">
        <f t="shared" si="6"/>
        <v>1.9747524752475247E-5</v>
      </c>
      <c r="M19" s="3">
        <f t="shared" si="7"/>
        <v>4.7762865441819992E-3</v>
      </c>
      <c r="N19" s="26">
        <f t="shared" si="8"/>
        <v>8.3205953957956133E-8</v>
      </c>
      <c r="O19" s="26">
        <f t="shared" si="9"/>
        <v>2.032E-3</v>
      </c>
      <c r="P19" s="26">
        <v>1.45111777225214E-10</v>
      </c>
      <c r="Q19" s="14">
        <v>0.04</v>
      </c>
      <c r="R19" s="14">
        <f t="shared" si="10"/>
        <v>104000</v>
      </c>
      <c r="S19" s="14">
        <f t="shared" si="11"/>
        <v>103249.86942729233</v>
      </c>
      <c r="T19" s="14">
        <f t="shared" si="12"/>
        <v>103249.86942729233</v>
      </c>
      <c r="U19" s="14">
        <f t="shared" si="13"/>
        <v>5.3058450282772E-3</v>
      </c>
      <c r="V19" s="14">
        <v>0.13</v>
      </c>
      <c r="W19" s="14">
        <f t="shared" si="14"/>
        <v>112999.99999999999</v>
      </c>
      <c r="X19" s="14">
        <f t="shared" si="15"/>
        <v>2.2314702970297025</v>
      </c>
      <c r="Y19" s="2">
        <f t="shared" si="16"/>
        <v>4.2759128040756491E-15</v>
      </c>
      <c r="Z19" s="14">
        <f t="shared" si="17"/>
        <v>2574954690.614356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25.391089108910894</v>
      </c>
      <c r="L20" s="2">
        <f t="shared" si="6"/>
        <v>2.5391089108910895E-5</v>
      </c>
      <c r="M20" s="3">
        <f t="shared" si="7"/>
        <v>4.7762865441819992E-3</v>
      </c>
      <c r="N20" s="26">
        <f t="shared" si="8"/>
        <v>1.0698504333175161E-7</v>
      </c>
      <c r="O20" s="26">
        <f t="shared" si="9"/>
        <v>2.032E-3</v>
      </c>
      <c r="P20" s="26">
        <v>1.45111777225214E-10</v>
      </c>
      <c r="Q20" s="14">
        <v>0.04</v>
      </c>
      <c r="R20" s="14">
        <f t="shared" si="10"/>
        <v>104000</v>
      </c>
      <c r="S20" s="14">
        <f t="shared" si="11"/>
        <v>103035.99151697711</v>
      </c>
      <c r="T20" s="14">
        <f t="shared" si="12"/>
        <v>103035.99151697711</v>
      </c>
      <c r="U20" s="14">
        <f t="shared" si="13"/>
        <v>5.3058450282772E-3</v>
      </c>
      <c r="V20" s="14">
        <v>0.13</v>
      </c>
      <c r="W20" s="14">
        <f t="shared" si="14"/>
        <v>112999.99999999999</v>
      </c>
      <c r="X20" s="14">
        <f t="shared" si="15"/>
        <v>2.8691930693069305</v>
      </c>
      <c r="Y20" s="2">
        <f t="shared" si="16"/>
        <v>5.5093551224942198E-15</v>
      </c>
      <c r="Z20" s="14">
        <f t="shared" si="17"/>
        <v>3317733654.7660193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spans="1:73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42.544554455445542</v>
      </c>
      <c r="L21" s="2">
        <f t="shared" si="6"/>
        <v>4.2544554455445543E-5</v>
      </c>
      <c r="M21" s="3">
        <f t="shared" si="7"/>
        <v>4.7762865441819992E-3</v>
      </c>
      <c r="N21" s="26">
        <f t="shared" si="8"/>
        <v>1.7926095971789297E-7</v>
      </c>
      <c r="O21" s="26">
        <f t="shared" si="9"/>
        <v>2.032E-3</v>
      </c>
      <c r="P21" s="26">
        <v>1.45111777225214E-10</v>
      </c>
      <c r="Q21" s="14">
        <v>0.04</v>
      </c>
      <c r="R21" s="14">
        <f t="shared" si="10"/>
        <v>104000</v>
      </c>
      <c r="S21" s="14">
        <f t="shared" si="11"/>
        <v>102387.27654273804</v>
      </c>
      <c r="T21" s="14">
        <f t="shared" si="12"/>
        <v>102387.27654273804</v>
      </c>
      <c r="U21" s="14">
        <f t="shared" si="13"/>
        <v>5.3058450282772E-3</v>
      </c>
      <c r="V21" s="14">
        <v>0.13</v>
      </c>
      <c r="W21" s="14">
        <f t="shared" si="14"/>
        <v>112999.99999999999</v>
      </c>
      <c r="X21" s="14">
        <f t="shared" si="15"/>
        <v>4.8075346534653454</v>
      </c>
      <c r="Y21" s="2">
        <f t="shared" si="16"/>
        <v>9.2899778751016092E-15</v>
      </c>
      <c r="Z21" s="14">
        <f t="shared" si="17"/>
        <v>5594424676.3861895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58.707920792079207</v>
      </c>
      <c r="L22" s="2">
        <f t="shared" si="6"/>
        <v>5.8707920792079207E-5</v>
      </c>
      <c r="M22" s="3">
        <f t="shared" si="7"/>
        <v>4.7762865441819992E-3</v>
      </c>
      <c r="N22" s="26">
        <f t="shared" si="8"/>
        <v>2.473651060384562E-7</v>
      </c>
      <c r="O22" s="26">
        <f t="shared" si="9"/>
        <v>2.032E-3</v>
      </c>
      <c r="P22" s="26">
        <v>1.45111777225214E-10</v>
      </c>
      <c r="Q22" s="14">
        <v>0.04</v>
      </c>
      <c r="R22" s="14">
        <f t="shared" si="10"/>
        <v>104000</v>
      </c>
      <c r="S22" s="14">
        <f t="shared" si="11"/>
        <v>101777.88008803043</v>
      </c>
      <c r="T22" s="14">
        <f t="shared" si="12"/>
        <v>101777.88008803043</v>
      </c>
      <c r="U22" s="14">
        <f t="shared" si="13"/>
        <v>5.3058450282772E-3</v>
      </c>
      <c r="V22" s="14">
        <v>0.13</v>
      </c>
      <c r="W22" s="14">
        <f t="shared" si="14"/>
        <v>112999.99999999999</v>
      </c>
      <c r="X22" s="14">
        <f t="shared" si="15"/>
        <v>6.6339950495049491</v>
      </c>
      <c r="Y22" s="2">
        <f t="shared" si="16"/>
        <v>1.2896382509105642E-14</v>
      </c>
      <c r="Z22" s="14">
        <f t="shared" si="17"/>
        <v>7766201546.9834175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spans="1:73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67.594059405940598</v>
      </c>
      <c r="L23" s="2">
        <f t="shared" si="6"/>
        <v>6.7594059405940593E-5</v>
      </c>
      <c r="M23" s="3">
        <f t="shared" si="7"/>
        <v>4.7762865441819992E-3</v>
      </c>
      <c r="N23" s="26">
        <f t="shared" si="8"/>
        <v>2.8480674237702009E-7</v>
      </c>
      <c r="O23" s="26">
        <f t="shared" si="9"/>
        <v>2.032E-3</v>
      </c>
      <c r="P23" s="26">
        <v>1.45111777225214E-10</v>
      </c>
      <c r="Q23" s="14">
        <v>0.04</v>
      </c>
      <c r="R23" s="14">
        <f t="shared" si="10"/>
        <v>104000</v>
      </c>
      <c r="S23" s="14">
        <f t="shared" si="11"/>
        <v>101443.6269077702</v>
      </c>
      <c r="T23" s="14">
        <f t="shared" si="12"/>
        <v>101443.6269077702</v>
      </c>
      <c r="U23" s="14">
        <f t="shared" si="13"/>
        <v>5.3058450282772E-3</v>
      </c>
      <c r="V23" s="14">
        <v>0.13</v>
      </c>
      <c r="W23" s="14">
        <f t="shared" si="14"/>
        <v>112999.99999999999</v>
      </c>
      <c r="X23" s="14">
        <f t="shared" si="15"/>
        <v>7.6381287128712856</v>
      </c>
      <c r="Y23" s="2">
        <f t="shared" si="16"/>
        <v>1.4897478264370508E-14</v>
      </c>
      <c r="Z23" s="14">
        <f t="shared" si="17"/>
        <v>8971261410.8039207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84.945544554455452</v>
      </c>
      <c r="L24" s="2">
        <f t="shared" si="6"/>
        <v>8.494554455445545E-5</v>
      </c>
      <c r="M24" s="3">
        <f t="shared" si="7"/>
        <v>4.7762865441819992E-3</v>
      </c>
      <c r="N24" s="26">
        <f t="shared" si="8"/>
        <v>3.5791701277627714E-7</v>
      </c>
      <c r="O24" s="26">
        <f t="shared" si="9"/>
        <v>2.032E-3</v>
      </c>
      <c r="P24" s="26">
        <v>1.45111777225214E-10</v>
      </c>
      <c r="Q24" s="14">
        <v>0.04</v>
      </c>
      <c r="R24" s="14">
        <f t="shared" si="10"/>
        <v>104000</v>
      </c>
      <c r="S24" s="14">
        <f t="shared" si="11"/>
        <v>100792.53353697908</v>
      </c>
      <c r="T24" s="14">
        <f t="shared" si="12"/>
        <v>100792.53353697908</v>
      </c>
      <c r="U24" s="14">
        <f t="shared" si="13"/>
        <v>5.3058450282772E-3</v>
      </c>
      <c r="V24" s="14">
        <v>0.13</v>
      </c>
      <c r="W24" s="14">
        <f t="shared" si="14"/>
        <v>112999.99999999999</v>
      </c>
      <c r="X24" s="14">
        <f t="shared" si="15"/>
        <v>9.5988465346534646</v>
      </c>
      <c r="Y24" s="2">
        <f t="shared" si="16"/>
        <v>1.8842993693404453E-14</v>
      </c>
      <c r="Z24" s="14">
        <f t="shared" si="17"/>
        <v>11347250802.168161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82.990099009900987</v>
      </c>
      <c r="L25" s="2">
        <f t="shared" si="6"/>
        <v>8.2990099009900989E-5</v>
      </c>
      <c r="M25" s="3">
        <f t="shared" si="7"/>
        <v>4.7762865441819992E-3</v>
      </c>
      <c r="N25" s="26">
        <f t="shared" si="8"/>
        <v>3.4967776689676028E-7</v>
      </c>
      <c r="O25" s="26">
        <f t="shared" si="9"/>
        <v>2.032E-3</v>
      </c>
      <c r="P25" s="26">
        <v>1.45111777225214E-10</v>
      </c>
      <c r="Q25" s="14">
        <v>0.04</v>
      </c>
      <c r="R25" s="14">
        <f t="shared" si="10"/>
        <v>104000</v>
      </c>
      <c r="S25" s="14">
        <f t="shared" si="11"/>
        <v>100865.80444749912</v>
      </c>
      <c r="T25" s="14">
        <f t="shared" si="12"/>
        <v>100865.80444749912</v>
      </c>
      <c r="U25" s="14">
        <f t="shared" si="13"/>
        <v>5.3058450282772E-3</v>
      </c>
      <c r="V25" s="14">
        <v>0.13</v>
      </c>
      <c r="W25" s="14">
        <f t="shared" si="14"/>
        <v>112999.99999999999</v>
      </c>
      <c r="X25" s="14">
        <f t="shared" si="15"/>
        <v>9.3778811881188098</v>
      </c>
      <c r="Y25" s="2">
        <f t="shared" si="16"/>
        <v>1.8395813773635977E-14</v>
      </c>
      <c r="Z25" s="14">
        <f t="shared" si="17"/>
        <v>11077959054.483585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86.405940594059416</v>
      </c>
      <c r="L26" s="2">
        <f t="shared" si="6"/>
        <v>8.640594059405941E-5</v>
      </c>
      <c r="M26" s="3">
        <f t="shared" si="7"/>
        <v>4.7762865441819992E-3</v>
      </c>
      <c r="N26" s="26">
        <f t="shared" si="8"/>
        <v>3.6407037362300489E-7</v>
      </c>
      <c r="O26" s="26">
        <f t="shared" si="9"/>
        <v>2.032E-3</v>
      </c>
      <c r="P26" s="26">
        <v>1.45111777225214E-10</v>
      </c>
      <c r="Q26" s="14">
        <v>0.04</v>
      </c>
      <c r="R26" s="14">
        <f t="shared" si="10"/>
        <v>104000</v>
      </c>
      <c r="S26" s="14">
        <f t="shared" si="11"/>
        <v>100737.82958982437</v>
      </c>
      <c r="T26" s="14">
        <f t="shared" si="12"/>
        <v>100737.82958982437</v>
      </c>
      <c r="U26" s="14">
        <f t="shared" si="13"/>
        <v>5.3058450282772E-3</v>
      </c>
      <c r="V26" s="14">
        <v>0.13</v>
      </c>
      <c r="W26" s="14">
        <f t="shared" si="14"/>
        <v>112999.99999999999</v>
      </c>
      <c r="X26" s="14">
        <f t="shared" si="15"/>
        <v>9.7638712871287119</v>
      </c>
      <c r="Y26" s="2">
        <f t="shared" si="16"/>
        <v>1.9177385846248284E-14</v>
      </c>
      <c r="Z26" s="14">
        <f t="shared" si="17"/>
        <v>11548621756.610718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101.60396039603961</v>
      </c>
      <c r="L27" s="2">
        <f t="shared" si="6"/>
        <v>1.0160396039603961E-4</v>
      </c>
      <c r="M27" s="3">
        <f t="shared" si="7"/>
        <v>4.7762865441819992E-3</v>
      </c>
      <c r="N27" s="26">
        <f t="shared" si="8"/>
        <v>4.2810704412962951E-7</v>
      </c>
      <c r="O27" s="26">
        <f t="shared" si="9"/>
        <v>2.032E-3</v>
      </c>
      <c r="P27" s="26">
        <v>1.45111777225214E-10</v>
      </c>
      <c r="Q27" s="14">
        <v>0.04</v>
      </c>
      <c r="R27" s="14">
        <f t="shared" si="10"/>
        <v>104000</v>
      </c>
      <c r="S27" s="14">
        <f t="shared" si="11"/>
        <v>100169.41901084619</v>
      </c>
      <c r="T27" s="14">
        <f t="shared" si="12"/>
        <v>100169.41901084619</v>
      </c>
      <c r="U27" s="14">
        <f t="shared" si="13"/>
        <v>5.3058450282772E-3</v>
      </c>
      <c r="V27" s="14">
        <v>0.13</v>
      </c>
      <c r="W27" s="14">
        <f t="shared" si="14"/>
        <v>112999.99999999999</v>
      </c>
      <c r="X27" s="14">
        <f t="shared" si="15"/>
        <v>11.481247524752474</v>
      </c>
      <c r="Y27" s="2">
        <f t="shared" si="16"/>
        <v>2.2678877804305904E-14</v>
      </c>
      <c r="Z27" s="14">
        <f t="shared" si="17"/>
        <v>13657220213.753016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104.62376237623765</v>
      </c>
      <c r="L28" s="2">
        <f t="shared" si="6"/>
        <v>1.0462376237623765E-4</v>
      </c>
      <c r="M28" s="3">
        <f t="shared" si="7"/>
        <v>4.7762865441819992E-3</v>
      </c>
      <c r="N28" s="26">
        <f t="shared" si="8"/>
        <v>4.4083094282964287E-7</v>
      </c>
      <c r="O28" s="26">
        <f t="shared" si="9"/>
        <v>2.032E-3</v>
      </c>
      <c r="P28" s="26">
        <v>1.45111777225214E-10</v>
      </c>
      <c r="Q28" s="14">
        <v>0.04</v>
      </c>
      <c r="R28" s="14">
        <f t="shared" si="10"/>
        <v>104000</v>
      </c>
      <c r="S28" s="14">
        <f t="shared" si="11"/>
        <v>100056.66900913026</v>
      </c>
      <c r="T28" s="14">
        <f t="shared" si="12"/>
        <v>100056.66900913026</v>
      </c>
      <c r="U28" s="14">
        <f t="shared" si="13"/>
        <v>5.3058450282772E-3</v>
      </c>
      <c r="V28" s="14">
        <v>0.13</v>
      </c>
      <c r="W28" s="14">
        <f t="shared" si="14"/>
        <v>112999.99999999999</v>
      </c>
      <c r="X28" s="14">
        <f t="shared" si="15"/>
        <v>11.822485148514852</v>
      </c>
      <c r="Y28" s="2">
        <f t="shared" si="16"/>
        <v>2.3379321850053858E-14</v>
      </c>
      <c r="Z28" s="14">
        <f t="shared" si="17"/>
        <v>14079027618.102434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104.62376237623765</v>
      </c>
      <c r="L29" s="2">
        <f t="shared" si="6"/>
        <v>1.0462376237623765E-4</v>
      </c>
      <c r="M29" s="3">
        <f t="shared" si="7"/>
        <v>4.7762865441819992E-3</v>
      </c>
      <c r="N29" s="26">
        <f t="shared" si="8"/>
        <v>4.4083094282964287E-7</v>
      </c>
      <c r="O29" s="26">
        <f t="shared" si="9"/>
        <v>2.032E-3</v>
      </c>
      <c r="P29" s="26">
        <v>1.45111777225214E-10</v>
      </c>
      <c r="Q29" s="14">
        <v>0.04</v>
      </c>
      <c r="R29" s="14">
        <f t="shared" si="10"/>
        <v>104000</v>
      </c>
      <c r="S29" s="14">
        <f t="shared" si="11"/>
        <v>100056.66900913026</v>
      </c>
      <c r="T29" s="14">
        <f t="shared" si="12"/>
        <v>100056.66900913026</v>
      </c>
      <c r="U29" s="14">
        <f t="shared" si="13"/>
        <v>5.3058450282772E-3</v>
      </c>
      <c r="V29" s="14">
        <v>0.13</v>
      </c>
      <c r="W29" s="14">
        <f t="shared" si="14"/>
        <v>112999.99999999999</v>
      </c>
      <c r="X29" s="14">
        <f t="shared" si="15"/>
        <v>11.822485148514852</v>
      </c>
      <c r="Y29" s="2">
        <f t="shared" si="16"/>
        <v>2.3379321850053858E-14</v>
      </c>
      <c r="Z29" s="14">
        <f t="shared" si="17"/>
        <v>14079027618.102434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107.29702970297031</v>
      </c>
      <c r="L30" s="2">
        <f t="shared" si="6"/>
        <v>1.0729702970297031E-4</v>
      </c>
      <c r="M30" s="3">
        <f t="shared" si="7"/>
        <v>4.7762865441819992E-3</v>
      </c>
      <c r="N30" s="26">
        <f t="shared" si="8"/>
        <v>4.5209472200670384E-7</v>
      </c>
      <c r="O30" s="26">
        <f t="shared" si="9"/>
        <v>2.032E-3</v>
      </c>
      <c r="P30" s="26">
        <v>1.45111777225214E-10</v>
      </c>
      <c r="Q30" s="14">
        <v>0.04</v>
      </c>
      <c r="R30" s="14">
        <f t="shared" si="10"/>
        <v>104000</v>
      </c>
      <c r="S30" s="14">
        <f t="shared" si="11"/>
        <v>99956.910512502334</v>
      </c>
      <c r="T30" s="14">
        <f t="shared" si="12"/>
        <v>99956.910512502334</v>
      </c>
      <c r="U30" s="14">
        <f t="shared" si="13"/>
        <v>5.3058450282772E-3</v>
      </c>
      <c r="V30" s="14">
        <v>0.13</v>
      </c>
      <c r="W30" s="14">
        <f t="shared" si="14"/>
        <v>112999.99999999999</v>
      </c>
      <c r="X30" s="14">
        <f t="shared" si="15"/>
        <v>12.124564356435643</v>
      </c>
      <c r="Y30" s="2">
        <f t="shared" si="16"/>
        <v>2.4000697088031856E-14</v>
      </c>
      <c r="Z30" s="14">
        <f t="shared" si="17"/>
        <v>14453219786.412785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104.32673267326734</v>
      </c>
      <c r="L31" s="2">
        <f t="shared" si="6"/>
        <v>1.0432673267326734E-4</v>
      </c>
      <c r="M31" s="3">
        <f t="shared" si="7"/>
        <v>4.7762865441819992E-3</v>
      </c>
      <c r="N31" s="26">
        <f t="shared" si="8"/>
        <v>4.3957941180996944E-7</v>
      </c>
      <c r="O31" s="26">
        <f t="shared" si="9"/>
        <v>2.032E-3</v>
      </c>
      <c r="P31" s="26">
        <v>1.45111777225214E-10</v>
      </c>
      <c r="Q31" s="14">
        <v>0.04</v>
      </c>
      <c r="R31" s="14">
        <f t="shared" si="10"/>
        <v>104000</v>
      </c>
      <c r="S31" s="14">
        <f t="shared" si="11"/>
        <v>100067.75635785512</v>
      </c>
      <c r="T31" s="14">
        <f t="shared" si="12"/>
        <v>100067.75635785512</v>
      </c>
      <c r="U31" s="14">
        <f t="shared" si="13"/>
        <v>5.3058450282772E-3</v>
      </c>
      <c r="V31" s="14">
        <v>0.13</v>
      </c>
      <c r="W31" s="14">
        <f t="shared" si="14"/>
        <v>112999.99999999999</v>
      </c>
      <c r="X31" s="14">
        <f t="shared" si="15"/>
        <v>11.788920792079209</v>
      </c>
      <c r="Y31" s="2">
        <f t="shared" si="16"/>
        <v>2.3310356157937557E-14</v>
      </c>
      <c r="Z31" s="14">
        <f t="shared" si="17"/>
        <v>14037496478.309998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115.86138613861388</v>
      </c>
      <c r="L32" s="2">
        <f t="shared" si="6"/>
        <v>1.1586138613861388E-4</v>
      </c>
      <c r="M32" s="3">
        <f t="shared" si="7"/>
        <v>4.7762865441819992E-3</v>
      </c>
      <c r="N32" s="26">
        <f t="shared" si="8"/>
        <v>4.8818053307395481E-7</v>
      </c>
      <c r="O32" s="26">
        <f t="shared" si="9"/>
        <v>2.032E-3</v>
      </c>
      <c r="P32" s="26">
        <v>1.45111777225214E-10</v>
      </c>
      <c r="Q32" s="14">
        <v>0.04</v>
      </c>
      <c r="R32" s="14">
        <f t="shared" si="10"/>
        <v>104000</v>
      </c>
      <c r="S32" s="14">
        <f t="shared" si="11"/>
        <v>99637.648885930044</v>
      </c>
      <c r="T32" s="14">
        <f t="shared" si="12"/>
        <v>99637.648885930044</v>
      </c>
      <c r="U32" s="14">
        <f t="shared" si="13"/>
        <v>5.3058450282772E-3</v>
      </c>
      <c r="V32" s="14">
        <v>0.13</v>
      </c>
      <c r="W32" s="14">
        <f t="shared" si="14"/>
        <v>112999.99999999999</v>
      </c>
      <c r="X32" s="14">
        <f t="shared" si="15"/>
        <v>13.092336633663367</v>
      </c>
      <c r="Y32" s="2">
        <f t="shared" si="16"/>
        <v>2.5999716776962157E-14</v>
      </c>
      <c r="Z32" s="14">
        <f t="shared" si="17"/>
        <v>15657029443.086611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0">
        <v>111.45544554455448</v>
      </c>
      <c r="L33" s="2">
        <f t="shared" si="6"/>
        <v>1.1145544554455448E-4</v>
      </c>
      <c r="M33" s="3">
        <f t="shared" si="7"/>
        <v>4.7762865441819992E-3</v>
      </c>
      <c r="N33" s="26">
        <f t="shared" si="8"/>
        <v>4.6961615628213209E-7</v>
      </c>
      <c r="O33" s="26">
        <f t="shared" si="9"/>
        <v>2.032E-3</v>
      </c>
      <c r="P33" s="26">
        <v>1.45111777225214E-10</v>
      </c>
      <c r="Q33" s="14">
        <v>0.04</v>
      </c>
      <c r="R33" s="14">
        <f t="shared" si="10"/>
        <v>104000</v>
      </c>
      <c r="S33" s="14">
        <f t="shared" si="11"/>
        <v>99801.829525420675</v>
      </c>
      <c r="T33" s="14">
        <f t="shared" si="12"/>
        <v>99801.829525420675</v>
      </c>
      <c r="U33" s="14">
        <f t="shared" si="13"/>
        <v>5.3058450282772E-3</v>
      </c>
      <c r="V33" s="14">
        <v>0.13</v>
      </c>
      <c r="W33" s="14">
        <f t="shared" si="14"/>
        <v>112999.99999999999</v>
      </c>
      <c r="X33" s="14">
        <f t="shared" si="15"/>
        <v>12.594465346534655</v>
      </c>
      <c r="Y33" s="2">
        <f t="shared" si="16"/>
        <v>2.496973292267612E-14</v>
      </c>
      <c r="Z33" s="14">
        <f t="shared" si="17"/>
        <v>15036773166.035561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0">
        <v>113.28712871287131</v>
      </c>
      <c r="L34" s="2">
        <f t="shared" si="6"/>
        <v>1.1328712871287131E-4</v>
      </c>
      <c r="M34" s="3">
        <f t="shared" si="7"/>
        <v>4.7762865441819992E-3</v>
      </c>
      <c r="N34" s="26">
        <f t="shared" si="8"/>
        <v>4.7733393090345171E-7</v>
      </c>
      <c r="O34" s="26">
        <f t="shared" si="9"/>
        <v>2.032E-3</v>
      </c>
      <c r="P34" s="26">
        <v>1.45111777225214E-10</v>
      </c>
      <c r="Q34" s="14">
        <v>0.04</v>
      </c>
      <c r="R34" s="14">
        <f t="shared" si="10"/>
        <v>104000</v>
      </c>
      <c r="S34" s="14">
        <f t="shared" si="11"/>
        <v>99733.558238314741</v>
      </c>
      <c r="T34" s="14">
        <f t="shared" si="12"/>
        <v>99733.558238314741</v>
      </c>
      <c r="U34" s="14">
        <f t="shared" si="13"/>
        <v>5.3058450282772E-3</v>
      </c>
      <c r="V34" s="14">
        <v>0.13</v>
      </c>
      <c r="W34" s="14">
        <f t="shared" si="14"/>
        <v>112999.99999999999</v>
      </c>
      <c r="X34" s="14">
        <f t="shared" si="15"/>
        <v>12.801445544554456</v>
      </c>
      <c r="Y34" s="2">
        <f t="shared" si="16"/>
        <v>2.5397519489099097E-14</v>
      </c>
      <c r="Z34" s="14">
        <f t="shared" si="17"/>
        <v>15294386236.335476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spans="1:73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0">
        <v>108.21287128712872</v>
      </c>
      <c r="L35" s="2">
        <f t="shared" si="6"/>
        <v>1.0821287128712872E-4</v>
      </c>
      <c r="M35" s="3">
        <f t="shared" si="7"/>
        <v>4.7762865441819992E-3</v>
      </c>
      <c r="N35" s="26">
        <f t="shared" si="8"/>
        <v>4.5595360931736362E-7</v>
      </c>
      <c r="O35" s="26">
        <f t="shared" si="9"/>
        <v>2.032E-3</v>
      </c>
      <c r="P35" s="26">
        <v>1.45111777225214E-10</v>
      </c>
      <c r="Q35" s="14">
        <v>0.04</v>
      </c>
      <c r="R35" s="14">
        <f t="shared" si="10"/>
        <v>104000</v>
      </c>
      <c r="S35" s="14">
        <f t="shared" si="11"/>
        <v>99922.745433315969</v>
      </c>
      <c r="T35" s="14">
        <f t="shared" si="12"/>
        <v>99922.745433315969</v>
      </c>
      <c r="U35" s="14">
        <f t="shared" si="13"/>
        <v>5.3058450282772E-3</v>
      </c>
      <c r="V35" s="14">
        <v>0.13</v>
      </c>
      <c r="W35" s="14">
        <f t="shared" si="14"/>
        <v>112999.99999999999</v>
      </c>
      <c r="X35" s="14">
        <f t="shared" si="15"/>
        <v>12.228054455445545</v>
      </c>
      <c r="Y35" s="2">
        <f t="shared" si="16"/>
        <v>2.4213859107023773E-14</v>
      </c>
      <c r="Z35" s="14">
        <f t="shared" si="17"/>
        <v>14581585954.249716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0">
        <v>117.17326732673268</v>
      </c>
      <c r="L36" s="2">
        <f t="shared" si="6"/>
        <v>1.1717326732673269E-4</v>
      </c>
      <c r="M36" s="3">
        <f t="shared" si="7"/>
        <v>4.7762865441819992E-3</v>
      </c>
      <c r="N36" s="26">
        <f t="shared" si="8"/>
        <v>4.937081284108459E-7</v>
      </c>
      <c r="O36" s="26">
        <f t="shared" si="9"/>
        <v>2.032E-3</v>
      </c>
      <c r="P36" s="26">
        <v>1.45111777225214E-10</v>
      </c>
      <c r="Q36" s="14">
        <v>0.04</v>
      </c>
      <c r="R36" s="14">
        <f t="shared" si="10"/>
        <v>104000</v>
      </c>
      <c r="S36" s="14">
        <f t="shared" si="11"/>
        <v>99588.789751973993</v>
      </c>
      <c r="T36" s="14">
        <f t="shared" si="12"/>
        <v>99588.789751973993</v>
      </c>
      <c r="U36" s="14">
        <f t="shared" si="13"/>
        <v>5.3058450282772E-3</v>
      </c>
      <c r="V36" s="14">
        <v>0.13</v>
      </c>
      <c r="W36" s="14">
        <f t="shared" si="14"/>
        <v>112999.99999999999</v>
      </c>
      <c r="X36" s="14">
        <f t="shared" si="15"/>
        <v>13.240579207920792</v>
      </c>
      <c r="Y36" s="2">
        <f t="shared" si="16"/>
        <v>2.6307048671192991E-14</v>
      </c>
      <c r="Z36" s="14">
        <f t="shared" si="17"/>
        <v>15842104709.792419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spans="1:73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0">
        <v>124.1782178217822</v>
      </c>
      <c r="L37" s="2">
        <f t="shared" si="6"/>
        <v>1.2417821782178219E-4</v>
      </c>
      <c r="M37" s="3">
        <f t="shared" si="7"/>
        <v>4.7762865441819992E-3</v>
      </c>
      <c r="N37" s="26">
        <f t="shared" si="8"/>
        <v>5.232234016248112E-7</v>
      </c>
      <c r="O37" s="26">
        <f t="shared" si="9"/>
        <v>2.032E-3</v>
      </c>
      <c r="P37" s="26">
        <v>1.45111777225214E-10</v>
      </c>
      <c r="Q37" s="14">
        <v>0.04</v>
      </c>
      <c r="R37" s="14">
        <f t="shared" si="10"/>
        <v>104000</v>
      </c>
      <c r="S37" s="14">
        <f t="shared" si="11"/>
        <v>99328.103223673446</v>
      </c>
      <c r="T37" s="14">
        <f t="shared" si="12"/>
        <v>99328.103223673446</v>
      </c>
      <c r="U37" s="14">
        <f t="shared" si="13"/>
        <v>5.3058450282772E-3</v>
      </c>
      <c r="V37" s="14">
        <v>0.13</v>
      </c>
      <c r="W37" s="14">
        <f t="shared" si="14"/>
        <v>112999.99999999999</v>
      </c>
      <c r="X37" s="14">
        <f t="shared" si="15"/>
        <v>14.032138613861386</v>
      </c>
      <c r="Y37" s="2">
        <f t="shared" si="16"/>
        <v>2.7953161660361348E-14</v>
      </c>
      <c r="Z37" s="14">
        <f t="shared" si="17"/>
        <v>16833393951.869604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0">
        <v>116.55445544554456</v>
      </c>
      <c r="L38" s="2">
        <f t="shared" si="6"/>
        <v>1.1655445544554457E-4</v>
      </c>
      <c r="M38" s="3">
        <f t="shared" si="7"/>
        <v>4.7762865441819992E-3</v>
      </c>
      <c r="N38" s="26">
        <f t="shared" si="8"/>
        <v>4.9110077211985949E-7</v>
      </c>
      <c r="O38" s="26">
        <f t="shared" si="9"/>
        <v>2.032E-3</v>
      </c>
      <c r="P38" s="26">
        <v>1.45111777225214E-10</v>
      </c>
      <c r="Q38" s="14">
        <v>0.04</v>
      </c>
      <c r="R38" s="14">
        <f t="shared" si="10"/>
        <v>104000</v>
      </c>
      <c r="S38" s="14">
        <f t="shared" si="11"/>
        <v>99611.835020270344</v>
      </c>
      <c r="T38" s="14">
        <f t="shared" si="12"/>
        <v>99611.835020270344</v>
      </c>
      <c r="U38" s="14">
        <f t="shared" si="13"/>
        <v>5.3058450282772E-3</v>
      </c>
      <c r="V38" s="14">
        <v>0.13</v>
      </c>
      <c r="W38" s="14">
        <f t="shared" si="14"/>
        <v>112999.99999999999</v>
      </c>
      <c r="X38" s="14">
        <f t="shared" si="15"/>
        <v>13.170653465346534</v>
      </c>
      <c r="Y38" s="2">
        <f t="shared" si="16"/>
        <v>2.6162043504307272E-14</v>
      </c>
      <c r="Z38" s="14">
        <f t="shared" si="17"/>
        <v>15754782598.29384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spans="1:73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0">
        <v>121.6782178217822</v>
      </c>
      <c r="L39" s="2">
        <f t="shared" si="6"/>
        <v>1.216782178217822E-4</v>
      </c>
      <c r="M39" s="3">
        <f t="shared" si="7"/>
        <v>4.7762865441819992E-3</v>
      </c>
      <c r="N39" s="26">
        <f t="shared" si="8"/>
        <v>5.1268968220922649E-7</v>
      </c>
      <c r="O39" s="26">
        <f t="shared" si="9"/>
        <v>2.032E-3</v>
      </c>
      <c r="P39" s="26">
        <v>1.45111777225214E-10</v>
      </c>
      <c r="Q39" s="14">
        <v>0.04</v>
      </c>
      <c r="R39" s="14">
        <f t="shared" si="10"/>
        <v>104000</v>
      </c>
      <c r="S39" s="14">
        <f t="shared" si="11"/>
        <v>99421.100552232791</v>
      </c>
      <c r="T39" s="14">
        <f t="shared" si="12"/>
        <v>99421.100552232791</v>
      </c>
      <c r="U39" s="14">
        <f t="shared" si="13"/>
        <v>5.3058450282772E-3</v>
      </c>
      <c r="V39" s="14">
        <v>0.13</v>
      </c>
      <c r="W39" s="14">
        <f t="shared" si="14"/>
        <v>112999.99999999999</v>
      </c>
      <c r="X39" s="14">
        <f t="shared" si="15"/>
        <v>13.749638613861388</v>
      </c>
      <c r="Y39" s="2">
        <f t="shared" si="16"/>
        <v>2.7364696638608083E-14</v>
      </c>
      <c r="Z39" s="14">
        <f t="shared" si="17"/>
        <v>16479020315.769789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0">
        <v>118.28712871287131</v>
      </c>
      <c r="L40" s="2">
        <f t="shared" si="6"/>
        <v>1.1828712871287131E-4</v>
      </c>
      <c r="M40" s="3">
        <f t="shared" si="7"/>
        <v>4.7762865441819992E-3</v>
      </c>
      <c r="N40" s="26">
        <f t="shared" si="8"/>
        <v>4.9840136973462136E-7</v>
      </c>
      <c r="O40" s="26">
        <f t="shared" si="9"/>
        <v>2.032E-3</v>
      </c>
      <c r="P40" s="26">
        <v>1.45111777225214E-10</v>
      </c>
      <c r="Q40" s="14">
        <v>0.04</v>
      </c>
      <c r="R40" s="14">
        <f t="shared" si="10"/>
        <v>104000</v>
      </c>
      <c r="S40" s="14">
        <f t="shared" si="11"/>
        <v>99547.314987556936</v>
      </c>
      <c r="T40" s="14">
        <f t="shared" si="12"/>
        <v>99547.314987556936</v>
      </c>
      <c r="U40" s="14">
        <f t="shared" si="13"/>
        <v>5.3058450282772E-3</v>
      </c>
      <c r="V40" s="14">
        <v>0.13</v>
      </c>
      <c r="W40" s="14">
        <f t="shared" si="14"/>
        <v>112999.99999999999</v>
      </c>
      <c r="X40" s="14">
        <f t="shared" si="15"/>
        <v>13.366445544554455</v>
      </c>
      <c r="Y40" s="2">
        <f t="shared" si="16"/>
        <v>2.6568225901103409E-14</v>
      </c>
      <c r="Z40" s="14">
        <f t="shared" si="17"/>
        <v>15999385637.644474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spans="1:73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0">
        <v>122.51980198019804</v>
      </c>
      <c r="L41" s="2">
        <f t="shared" si="6"/>
        <v>1.2251980198019804E-4</v>
      </c>
      <c r="M41" s="3">
        <f t="shared" si="7"/>
        <v>4.7762865441819992E-3</v>
      </c>
      <c r="N41" s="26">
        <f t="shared" si="8"/>
        <v>5.1623568676496794E-7</v>
      </c>
      <c r="O41" s="26">
        <f t="shared" si="9"/>
        <v>2.032E-3</v>
      </c>
      <c r="P41" s="26">
        <v>1.45111777225214E-10</v>
      </c>
      <c r="Q41" s="14">
        <v>0.04</v>
      </c>
      <c r="R41" s="14">
        <f t="shared" si="10"/>
        <v>104000</v>
      </c>
      <c r="S41" s="14">
        <f t="shared" si="11"/>
        <v>99389.789662176117</v>
      </c>
      <c r="T41" s="14">
        <f t="shared" si="12"/>
        <v>99389.789662176117</v>
      </c>
      <c r="U41" s="14">
        <f t="shared" si="13"/>
        <v>5.3058450282772E-3</v>
      </c>
      <c r="V41" s="14">
        <v>0.13</v>
      </c>
      <c r="W41" s="14">
        <f t="shared" si="14"/>
        <v>112999.99999999999</v>
      </c>
      <c r="X41" s="14">
        <f t="shared" si="15"/>
        <v>13.844737623762377</v>
      </c>
      <c r="Y41" s="2">
        <f t="shared" si="16"/>
        <v>2.7562671772537202E-14</v>
      </c>
      <c r="Z41" s="14">
        <f t="shared" si="17"/>
        <v>16598240941.421904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0">
        <v>119.1782178217822</v>
      </c>
      <c r="L42" s="2">
        <f t="shared" si="6"/>
        <v>1.1917821782178219E-4</v>
      </c>
      <c r="M42" s="3">
        <f t="shared" si="7"/>
        <v>4.7762865441819992E-3</v>
      </c>
      <c r="N42" s="26">
        <f t="shared" si="8"/>
        <v>5.0215596279364156E-7</v>
      </c>
      <c r="O42" s="26">
        <f t="shared" si="9"/>
        <v>2.032E-3</v>
      </c>
      <c r="P42" s="26">
        <v>1.45111777225214E-10</v>
      </c>
      <c r="Q42" s="14">
        <v>0.04</v>
      </c>
      <c r="R42" s="14">
        <f t="shared" si="10"/>
        <v>104000</v>
      </c>
      <c r="S42" s="14">
        <f t="shared" si="11"/>
        <v>99514.141395449915</v>
      </c>
      <c r="T42" s="14">
        <f t="shared" si="12"/>
        <v>99514.141395449915</v>
      </c>
      <c r="U42" s="14">
        <f t="shared" si="13"/>
        <v>5.3058450282772E-3</v>
      </c>
      <c r="V42" s="14">
        <v>0.13</v>
      </c>
      <c r="W42" s="14">
        <f t="shared" si="14"/>
        <v>112999.99999999999</v>
      </c>
      <c r="X42" s="14">
        <f t="shared" si="15"/>
        <v>13.467138613861387</v>
      </c>
      <c r="Y42" s="2">
        <f t="shared" si="16"/>
        <v>2.6777323254423501E-14</v>
      </c>
      <c r="Z42" s="14">
        <f t="shared" si="17"/>
        <v>16125304063.813833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0">
        <v>117.56930693069309</v>
      </c>
      <c r="L43" s="2">
        <f t="shared" si="6"/>
        <v>1.1756930693069309E-4</v>
      </c>
      <c r="M43" s="3">
        <f t="shared" si="7"/>
        <v>4.7762865441819992E-3</v>
      </c>
      <c r="N43" s="26">
        <f t="shared" si="8"/>
        <v>4.9537683643707704E-7</v>
      </c>
      <c r="O43" s="26">
        <f t="shared" si="9"/>
        <v>2.032E-3</v>
      </c>
      <c r="P43" s="26">
        <v>1.45111777225214E-10</v>
      </c>
      <c r="Q43" s="14">
        <v>0.04</v>
      </c>
      <c r="R43" s="14">
        <f t="shared" si="10"/>
        <v>104000</v>
      </c>
      <c r="S43" s="14">
        <f t="shared" si="11"/>
        <v>99574.042179422016</v>
      </c>
      <c r="T43" s="14">
        <f t="shared" si="12"/>
        <v>99574.042179422016</v>
      </c>
      <c r="U43" s="14">
        <f t="shared" si="13"/>
        <v>5.3058450282772E-3</v>
      </c>
      <c r="V43" s="14">
        <v>0.13</v>
      </c>
      <c r="W43" s="14">
        <f t="shared" si="14"/>
        <v>112999.99999999999</v>
      </c>
      <c r="X43" s="14">
        <f t="shared" si="15"/>
        <v>13.285331683168318</v>
      </c>
      <c r="Y43" s="2">
        <f t="shared" si="16"/>
        <v>2.6399886942935059E-14</v>
      </c>
      <c r="Z43" s="14">
        <f t="shared" si="17"/>
        <v>15898011917.035494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spans="1:73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5">
        <v>128.68316831683168</v>
      </c>
      <c r="L44" s="2">
        <f t="shared" si="6"/>
        <v>1.2868316831683168E-4</v>
      </c>
      <c r="M44" s="3">
        <f t="shared" si="7"/>
        <v>4.7762865441819992E-3</v>
      </c>
      <c r="N44" s="52">
        <f t="shared" si="8"/>
        <v>5.4220495542319169E-7</v>
      </c>
      <c r="O44" s="26">
        <f t="shared" si="9"/>
        <v>2.032E-3</v>
      </c>
      <c r="P44" s="26">
        <v>1.45111777225214E-10</v>
      </c>
      <c r="Q44" s="14">
        <v>0.04</v>
      </c>
      <c r="R44" s="14">
        <f t="shared" si="10"/>
        <v>104000</v>
      </c>
      <c r="S44" s="14">
        <f t="shared" si="11"/>
        <v>99160.63373434938</v>
      </c>
      <c r="T44" s="14">
        <f t="shared" si="12"/>
        <v>99160.63373434938</v>
      </c>
      <c r="U44" s="14">
        <f t="shared" si="13"/>
        <v>5.3058450282772E-3</v>
      </c>
      <c r="V44" s="14">
        <v>0.13</v>
      </c>
      <c r="W44" s="14">
        <f t="shared" si="14"/>
        <v>112999.99999999999</v>
      </c>
      <c r="X44" s="14">
        <f t="shared" si="15"/>
        <v>14.541198019801978</v>
      </c>
      <c r="Y44" s="11">
        <f t="shared" si="16"/>
        <v>2.9016327254503262E-14</v>
      </c>
      <c r="Z44" s="16">
        <f t="shared" si="17"/>
        <v>17473632272.661865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spans="1:73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5">
        <v>124.42574257425744</v>
      </c>
      <c r="L45" s="2">
        <f t="shared" si="6"/>
        <v>1.2442574257425743E-4</v>
      </c>
      <c r="M45" s="3">
        <f t="shared" si="7"/>
        <v>4.7762865441819992E-3</v>
      </c>
      <c r="N45" s="52">
        <f t="shared" si="8"/>
        <v>5.2426634414120568E-7</v>
      </c>
      <c r="O45" s="26">
        <f t="shared" si="9"/>
        <v>2.032E-3</v>
      </c>
      <c r="P45" s="26">
        <v>1.45111777225214E-10</v>
      </c>
      <c r="Q45" s="14">
        <v>0.04</v>
      </c>
      <c r="R45" s="14">
        <f t="shared" si="10"/>
        <v>104000</v>
      </c>
      <c r="S45" s="14">
        <f t="shared" si="11"/>
        <v>99318.897934857669</v>
      </c>
      <c r="T45" s="14">
        <f t="shared" si="12"/>
        <v>99318.897934857669</v>
      </c>
      <c r="U45" s="14">
        <f t="shared" si="13"/>
        <v>5.3058450282772E-3</v>
      </c>
      <c r="V45" s="14">
        <v>0.13</v>
      </c>
      <c r="W45" s="14">
        <f t="shared" si="14"/>
        <v>112999.99999999999</v>
      </c>
      <c r="X45" s="14">
        <f t="shared" si="15"/>
        <v>14.060108910891088</v>
      </c>
      <c r="Y45" s="11">
        <f t="shared" si="16"/>
        <v>2.8011485003682996E-14</v>
      </c>
      <c r="Z45" s="16">
        <f t="shared" si="17"/>
        <v>16868516269.217901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spans="1:73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5">
        <v>123.980198019802</v>
      </c>
      <c r="L46" s="2">
        <f t="shared" si="6"/>
        <v>1.2398019801980201E-4</v>
      </c>
      <c r="M46" s="3">
        <f t="shared" si="7"/>
        <v>4.7762865441819992E-3</v>
      </c>
      <c r="N46" s="52">
        <f t="shared" si="8"/>
        <v>5.2238904761169569E-7</v>
      </c>
      <c r="O46" s="26">
        <f t="shared" si="9"/>
        <v>2.032E-3</v>
      </c>
      <c r="P46" s="26">
        <v>1.45111777225214E-10</v>
      </c>
      <c r="Q46" s="14">
        <v>0.04</v>
      </c>
      <c r="R46" s="14">
        <f t="shared" si="10"/>
        <v>104000</v>
      </c>
      <c r="S46" s="14">
        <f t="shared" si="11"/>
        <v>99335.467761858265</v>
      </c>
      <c r="T46" s="14">
        <f t="shared" si="12"/>
        <v>99335.467761858265</v>
      </c>
      <c r="U46" s="14">
        <f t="shared" si="13"/>
        <v>5.3058450282772E-3</v>
      </c>
      <c r="V46" s="14">
        <v>0.13</v>
      </c>
      <c r="W46" s="14">
        <f t="shared" si="14"/>
        <v>112999.99999999999</v>
      </c>
      <c r="X46" s="14">
        <f t="shared" si="15"/>
        <v>14.009762376237626</v>
      </c>
      <c r="Y46" s="11">
        <f t="shared" si="16"/>
        <v>2.7906510706995784E-14</v>
      </c>
      <c r="Z46" s="16">
        <f t="shared" si="17"/>
        <v>16805300747.752861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spans="1:73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5">
        <v>117.54455445544555</v>
      </c>
      <c r="L47" s="2">
        <f t="shared" si="6"/>
        <v>1.1754455445544554E-4</v>
      </c>
      <c r="M47" s="3">
        <f t="shared" si="7"/>
        <v>4.7762865441819992E-3</v>
      </c>
      <c r="N47" s="52">
        <f t="shared" si="8"/>
        <v>4.9527254218543761E-7</v>
      </c>
      <c r="O47" s="26">
        <f t="shared" si="9"/>
        <v>2.032E-3</v>
      </c>
      <c r="P47" s="26">
        <v>1.45111777225214E-10</v>
      </c>
      <c r="Q47" s="14">
        <v>0.04</v>
      </c>
      <c r="R47" s="14">
        <f t="shared" si="10"/>
        <v>104000</v>
      </c>
      <c r="S47" s="14">
        <f t="shared" si="11"/>
        <v>99574.963870713575</v>
      </c>
      <c r="T47" s="14">
        <f t="shared" si="12"/>
        <v>99574.963870713575</v>
      </c>
      <c r="U47" s="14">
        <f t="shared" si="13"/>
        <v>5.3058450282772E-3</v>
      </c>
      <c r="V47" s="14">
        <v>0.13</v>
      </c>
      <c r="W47" s="14">
        <f t="shared" si="14"/>
        <v>112999.99999999999</v>
      </c>
      <c r="X47" s="14">
        <f t="shared" si="15"/>
        <v>13.282534653465344</v>
      </c>
      <c r="Y47" s="11">
        <f t="shared" si="16"/>
        <v>2.6394083751225691E-14</v>
      </c>
      <c r="Z47" s="16">
        <f t="shared" si="17"/>
        <v>15894517234.988111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spans="1:73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5">
        <v>114.87128712871289</v>
      </c>
      <c r="L48" s="2">
        <f t="shared" si="6"/>
        <v>1.1487128712871289E-4</v>
      </c>
      <c r="M48" s="3">
        <f t="shared" si="7"/>
        <v>4.7762865441819992E-3</v>
      </c>
      <c r="N48" s="52">
        <f t="shared" si="8"/>
        <v>4.840087630083767E-7</v>
      </c>
      <c r="O48" s="26">
        <f t="shared" si="9"/>
        <v>2.032E-3</v>
      </c>
      <c r="P48" s="26">
        <v>1.45111777225214E-10</v>
      </c>
      <c r="Q48" s="14">
        <v>0.04</v>
      </c>
      <c r="R48" s="14">
        <f t="shared" si="10"/>
        <v>104000</v>
      </c>
      <c r="S48" s="14">
        <f t="shared" si="11"/>
        <v>99674.531638258049</v>
      </c>
      <c r="T48" s="14">
        <f t="shared" si="12"/>
        <v>99674.531638258049</v>
      </c>
      <c r="U48" s="14">
        <f t="shared" si="13"/>
        <v>5.3058450282772E-3</v>
      </c>
      <c r="V48" s="14">
        <v>0.13</v>
      </c>
      <c r="W48" s="14">
        <f t="shared" si="14"/>
        <v>112999.99999999999</v>
      </c>
      <c r="X48" s="14">
        <f t="shared" si="15"/>
        <v>12.980455445544555</v>
      </c>
      <c r="Y48" s="11">
        <f t="shared" si="16"/>
        <v>2.5767966265544938E-14</v>
      </c>
      <c r="Z48" s="16">
        <f t="shared" si="17"/>
        <v>15517469285.111162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spans="1:73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5">
        <v>124.97029702970299</v>
      </c>
      <c r="L49" s="2">
        <f t="shared" si="6"/>
        <v>1.2497029702970299E-4</v>
      </c>
      <c r="M49" s="3">
        <f t="shared" si="7"/>
        <v>4.7762865441819992E-3</v>
      </c>
      <c r="N49" s="52">
        <f t="shared" si="8"/>
        <v>5.265608176772738E-7</v>
      </c>
      <c r="O49" s="26">
        <f t="shared" si="9"/>
        <v>2.032E-3</v>
      </c>
      <c r="P49" s="26">
        <v>1.45111777225214E-10</v>
      </c>
      <c r="Q49" s="14">
        <v>0.04</v>
      </c>
      <c r="R49" s="14">
        <f t="shared" si="10"/>
        <v>104000</v>
      </c>
      <c r="S49" s="14">
        <f t="shared" si="11"/>
        <v>99298.647800998064</v>
      </c>
      <c r="T49" s="14">
        <f t="shared" si="12"/>
        <v>99298.647800998064</v>
      </c>
      <c r="U49" s="14">
        <f t="shared" si="13"/>
        <v>5.3058450282772E-3</v>
      </c>
      <c r="V49" s="14">
        <v>0.13</v>
      </c>
      <c r="W49" s="14">
        <f t="shared" si="14"/>
        <v>112999.99999999999</v>
      </c>
      <c r="X49" s="14">
        <f t="shared" si="15"/>
        <v>14.121643564356436</v>
      </c>
      <c r="Y49" s="11">
        <f t="shared" si="16"/>
        <v>2.8139834118041538E-14</v>
      </c>
      <c r="Z49" s="16">
        <f t="shared" si="17"/>
        <v>16945808105.884615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spans="1:73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5">
        <v>127.22277227722773</v>
      </c>
      <c r="L50" s="2">
        <f t="shared" si="6"/>
        <v>1.2722277227722773E-4</v>
      </c>
      <c r="M50" s="3">
        <f t="shared" si="7"/>
        <v>4.7762865441819992E-3</v>
      </c>
      <c r="N50" s="52">
        <f t="shared" si="8"/>
        <v>5.3605159457646405E-7</v>
      </c>
      <c r="O50" s="26">
        <f t="shared" si="9"/>
        <v>2.032E-3</v>
      </c>
      <c r="P50" s="26">
        <v>1.45111777225214E-10</v>
      </c>
      <c r="Q50" s="14">
        <v>0.04</v>
      </c>
      <c r="R50" s="14">
        <f t="shared" si="10"/>
        <v>104000</v>
      </c>
      <c r="S50" s="14">
        <f t="shared" si="11"/>
        <v>99214.907815893224</v>
      </c>
      <c r="T50" s="14">
        <f t="shared" si="12"/>
        <v>99214.907815893224</v>
      </c>
      <c r="U50" s="14">
        <f t="shared" si="13"/>
        <v>5.3058450282772E-3</v>
      </c>
      <c r="V50" s="14">
        <v>0.13</v>
      </c>
      <c r="W50" s="14">
        <f t="shared" si="14"/>
        <v>112999.99999999999</v>
      </c>
      <c r="X50" s="14">
        <f t="shared" si="15"/>
        <v>14.376173267326731</v>
      </c>
      <c r="Y50" s="11">
        <f t="shared" si="16"/>
        <v>2.8671284728896131E-14</v>
      </c>
      <c r="Z50" s="16">
        <f t="shared" si="17"/>
        <v>17265847663.741249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spans="1:73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5">
        <v>121.92574257425744</v>
      </c>
      <c r="L51" s="2">
        <f t="shared" si="6"/>
        <v>1.2192574257425744E-4</v>
      </c>
      <c r="M51" s="3">
        <f t="shared" si="7"/>
        <v>4.7762865441819992E-3</v>
      </c>
      <c r="N51" s="52">
        <f t="shared" si="8"/>
        <v>5.1373262472562096E-7</v>
      </c>
      <c r="O51" s="26">
        <f t="shared" si="9"/>
        <v>2.032E-3</v>
      </c>
      <c r="P51" s="26">
        <v>1.45111777225214E-10</v>
      </c>
      <c r="Q51" s="14">
        <v>0.04</v>
      </c>
      <c r="R51" s="14">
        <f t="shared" si="10"/>
        <v>104000</v>
      </c>
      <c r="S51" s="14">
        <f t="shared" si="11"/>
        <v>99411.890955035022</v>
      </c>
      <c r="T51" s="14">
        <f t="shared" si="12"/>
        <v>99411.890955035022</v>
      </c>
      <c r="U51" s="14">
        <f t="shared" si="13"/>
        <v>5.3058450282772E-3</v>
      </c>
      <c r="V51" s="14">
        <v>0.13</v>
      </c>
      <c r="W51" s="14">
        <f t="shared" si="14"/>
        <v>112999.99999999999</v>
      </c>
      <c r="X51" s="14">
        <f t="shared" si="15"/>
        <v>13.777608910891088</v>
      </c>
      <c r="Y51" s="11">
        <f t="shared" si="16"/>
        <v>2.7422911773712455E-14</v>
      </c>
      <c r="Z51" s="16">
        <f t="shared" si="17"/>
        <v>16514077470.129641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spans="1:73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5">
        <v>119.47524752475249</v>
      </c>
      <c r="L52" s="2">
        <f t="shared" si="6"/>
        <v>1.1947524752475249E-4</v>
      </c>
      <c r="M52" s="3">
        <f t="shared" si="7"/>
        <v>4.7762865441819992E-3</v>
      </c>
      <c r="N52" s="52">
        <f t="shared" si="8"/>
        <v>5.0340749381331499E-7</v>
      </c>
      <c r="O52" s="26">
        <f t="shared" si="9"/>
        <v>2.032E-3</v>
      </c>
      <c r="P52" s="26">
        <v>1.45111777225214E-10</v>
      </c>
      <c r="Q52" s="14">
        <v>0.04</v>
      </c>
      <c r="R52" s="14">
        <f t="shared" si="10"/>
        <v>104000</v>
      </c>
      <c r="S52" s="14">
        <f t="shared" si="11"/>
        <v>99503.084759942954</v>
      </c>
      <c r="T52" s="14">
        <f t="shared" si="12"/>
        <v>99503.084759942954</v>
      </c>
      <c r="U52" s="14">
        <f t="shared" si="13"/>
        <v>5.3058450282772E-3</v>
      </c>
      <c r="V52" s="14">
        <v>0.13</v>
      </c>
      <c r="W52" s="14">
        <f t="shared" si="14"/>
        <v>112999.99999999999</v>
      </c>
      <c r="X52" s="14">
        <f t="shared" si="15"/>
        <v>13.500702970297029</v>
      </c>
      <c r="Y52" s="11">
        <f t="shared" si="16"/>
        <v>2.6847053121835494E-14</v>
      </c>
      <c r="Z52" s="16">
        <f t="shared" si="17"/>
        <v>16167295389.969336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spans="1:73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5">
        <v>121.87623762376241</v>
      </c>
      <c r="L53" s="2">
        <f t="shared" si="6"/>
        <v>1.2187623762376241E-4</v>
      </c>
      <c r="M53" s="3">
        <f t="shared" si="7"/>
        <v>4.7762865441819992E-3</v>
      </c>
      <c r="N53" s="52">
        <f t="shared" si="8"/>
        <v>5.1352403622234211E-7</v>
      </c>
      <c r="O53" s="26">
        <f t="shared" si="9"/>
        <v>2.032E-3</v>
      </c>
      <c r="P53" s="26">
        <v>1.45111777225214E-10</v>
      </c>
      <c r="Q53" s="14">
        <v>0.04</v>
      </c>
      <c r="R53" s="14">
        <f t="shared" si="10"/>
        <v>104000</v>
      </c>
      <c r="S53" s="14">
        <f t="shared" si="11"/>
        <v>99413.732840348777</v>
      </c>
      <c r="T53" s="14">
        <f t="shared" si="12"/>
        <v>99413.732840348777</v>
      </c>
      <c r="U53" s="14">
        <f t="shared" si="13"/>
        <v>5.3058450282772E-3</v>
      </c>
      <c r="V53" s="14">
        <v>0.13</v>
      </c>
      <c r="W53" s="14">
        <f t="shared" si="14"/>
        <v>112999.99999999999</v>
      </c>
      <c r="X53" s="14">
        <f t="shared" si="15"/>
        <v>13.772014851485149</v>
      </c>
      <c r="Y53" s="11">
        <f t="shared" si="16"/>
        <v>2.741126789048232E-14</v>
      </c>
      <c r="Z53" s="16">
        <f t="shared" si="17"/>
        <v>16507065523.648453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3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127.8910891089109</v>
      </c>
      <c r="L54" s="2">
        <f t="shared" si="6"/>
        <v>1.2789108910891091E-4</v>
      </c>
      <c r="M54" s="3">
        <f t="shared" si="7"/>
        <v>4.7762865441819992E-3</v>
      </c>
      <c r="N54" s="52">
        <f t="shared" si="8"/>
        <v>5.388675393707293E-7</v>
      </c>
      <c r="O54" s="26">
        <f t="shared" si="9"/>
        <v>2.032E-3</v>
      </c>
      <c r="P54" s="26">
        <v>1.45111777225214E-10</v>
      </c>
      <c r="Q54" s="14">
        <v>0.04</v>
      </c>
      <c r="R54" s="14">
        <f t="shared" si="10"/>
        <v>104000</v>
      </c>
      <c r="S54" s="14">
        <f t="shared" si="11"/>
        <v>99190.068681546167</v>
      </c>
      <c r="T54" s="14">
        <f t="shared" si="12"/>
        <v>99190.068681546167</v>
      </c>
      <c r="U54" s="14">
        <f t="shared" si="13"/>
        <v>5.3058450282772E-3</v>
      </c>
      <c r="V54" s="14">
        <v>0.13</v>
      </c>
      <c r="W54" s="14">
        <f t="shared" si="14"/>
        <v>112999.99999999999</v>
      </c>
      <c r="X54" s="14">
        <f t="shared" si="15"/>
        <v>14.451693069306931</v>
      </c>
      <c r="Y54" s="11">
        <f t="shared" si="16"/>
        <v>2.8829139071575974E-14</v>
      </c>
      <c r="Z54" s="16">
        <f t="shared" si="17"/>
        <v>17360907548.903053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spans="1:73" s="4" customFormat="1" x14ac:dyDescent="0.25">
      <c r="A55" s="1">
        <v>159</v>
      </c>
      <c r="B55" s="1">
        <f t="shared" si="1"/>
        <v>2.65</v>
      </c>
      <c r="C55" s="1">
        <v>20</v>
      </c>
      <c r="D55" s="1">
        <f t="shared" si="0"/>
        <v>29.146000000000001</v>
      </c>
      <c r="E55" s="1">
        <f t="shared" si="2"/>
        <v>4.8576666666666667E-7</v>
      </c>
      <c r="F55" s="1">
        <v>21.1</v>
      </c>
      <c r="G55" s="1">
        <f t="shared" si="3"/>
        <v>294.10000000000002</v>
      </c>
      <c r="H55" s="1">
        <v>101.3</v>
      </c>
      <c r="I55" s="1">
        <f t="shared" si="4"/>
        <v>101300</v>
      </c>
      <c r="J55" s="1">
        <f t="shared" si="5"/>
        <v>2.0124824921938581E-5</v>
      </c>
      <c r="K55" s="25">
        <v>122.14851485148516</v>
      </c>
      <c r="L55" s="2">
        <f t="shared" si="6"/>
        <v>1.2214851485148516E-4</v>
      </c>
      <c r="M55" s="3">
        <f t="shared" si="7"/>
        <v>4.7762865441819992E-3</v>
      </c>
      <c r="N55" s="52">
        <f t="shared" si="8"/>
        <v>5.1467127299037601E-7</v>
      </c>
      <c r="O55" s="26">
        <f t="shared" si="9"/>
        <v>2.032E-3</v>
      </c>
      <c r="P55" s="26">
        <v>1.45111777225214E-10</v>
      </c>
      <c r="Q55" s="14">
        <v>0.04</v>
      </c>
      <c r="R55" s="14">
        <f t="shared" si="10"/>
        <v>104000</v>
      </c>
      <c r="S55" s="14">
        <f t="shared" si="11"/>
        <v>99403.602682276527</v>
      </c>
      <c r="T55" s="14">
        <f t="shared" si="12"/>
        <v>99403.602682276527</v>
      </c>
      <c r="U55" s="14">
        <f t="shared" si="13"/>
        <v>5.3058450282772E-3</v>
      </c>
      <c r="V55" s="14">
        <v>0.13</v>
      </c>
      <c r="W55" s="14">
        <f t="shared" si="14"/>
        <v>112999.99999999999</v>
      </c>
      <c r="X55" s="14">
        <f t="shared" si="15"/>
        <v>13.802782178217821</v>
      </c>
      <c r="Y55" s="11">
        <f t="shared" si="16"/>
        <v>2.7475314546743373E-14</v>
      </c>
      <c r="Z55" s="16">
        <f t="shared" si="17"/>
        <v>16545634420.048861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spans="1:73" s="4" customFormat="1" x14ac:dyDescent="0.25">
      <c r="A56" s="1">
        <v>162</v>
      </c>
      <c r="B56" s="1">
        <f t="shared" si="1"/>
        <v>2.7</v>
      </c>
      <c r="C56" s="1">
        <v>20</v>
      </c>
      <c r="D56" s="1">
        <f t="shared" si="0"/>
        <v>29.146000000000001</v>
      </c>
      <c r="E56" s="1">
        <f t="shared" si="2"/>
        <v>4.8576666666666667E-7</v>
      </c>
      <c r="F56" s="1">
        <v>21.1</v>
      </c>
      <c r="G56" s="1">
        <f t="shared" si="3"/>
        <v>294.10000000000002</v>
      </c>
      <c r="H56" s="1">
        <v>101.3</v>
      </c>
      <c r="I56" s="1">
        <f t="shared" si="4"/>
        <v>101300</v>
      </c>
      <c r="J56" s="1">
        <f t="shared" si="5"/>
        <v>2.0124824921938581E-5</v>
      </c>
      <c r="K56" s="25">
        <v>131.20792079207922</v>
      </c>
      <c r="L56" s="2">
        <f t="shared" si="6"/>
        <v>1.3120792079207921E-4</v>
      </c>
      <c r="M56" s="3">
        <f t="shared" si="7"/>
        <v>4.7762865441819992E-3</v>
      </c>
      <c r="N56" s="52">
        <f t="shared" si="8"/>
        <v>5.5284296909041604E-7</v>
      </c>
      <c r="O56" s="26">
        <f t="shared" si="9"/>
        <v>2.032E-3</v>
      </c>
      <c r="P56" s="26">
        <v>1.45111777225214E-10</v>
      </c>
      <c r="Q56" s="14">
        <v>0.04</v>
      </c>
      <c r="R56" s="14">
        <f t="shared" si="10"/>
        <v>104000</v>
      </c>
      <c r="S56" s="14">
        <f t="shared" si="11"/>
        <v>99066.838992122342</v>
      </c>
      <c r="T56" s="14">
        <f t="shared" si="12"/>
        <v>99066.838992122342</v>
      </c>
      <c r="U56" s="14">
        <f t="shared" si="13"/>
        <v>5.3058450282772E-3</v>
      </c>
      <c r="V56" s="14">
        <v>0.13</v>
      </c>
      <c r="W56" s="14">
        <f t="shared" si="14"/>
        <v>112999.99999999999</v>
      </c>
      <c r="X56" s="14">
        <f t="shared" si="15"/>
        <v>14.826495049504949</v>
      </c>
      <c r="Y56" s="11">
        <f t="shared" si="16"/>
        <v>2.9613725607574848E-14</v>
      </c>
      <c r="Z56" s="16">
        <f t="shared" si="17"/>
        <v>17833385560.881573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spans="1:73" s="4" customFormat="1" x14ac:dyDescent="0.25">
      <c r="A57" s="1">
        <v>165</v>
      </c>
      <c r="B57" s="1">
        <f t="shared" si="1"/>
        <v>2.75</v>
      </c>
      <c r="C57" s="1">
        <v>20</v>
      </c>
      <c r="D57" s="1">
        <f t="shared" si="0"/>
        <v>29.146000000000001</v>
      </c>
      <c r="E57" s="1">
        <f t="shared" si="2"/>
        <v>4.8576666666666667E-7</v>
      </c>
      <c r="F57" s="1">
        <v>21.1</v>
      </c>
      <c r="G57" s="1">
        <f t="shared" si="3"/>
        <v>294.10000000000002</v>
      </c>
      <c r="H57" s="1">
        <v>101.3</v>
      </c>
      <c r="I57" s="1">
        <f t="shared" si="4"/>
        <v>101300</v>
      </c>
      <c r="J57" s="1">
        <f t="shared" si="5"/>
        <v>2.0124824921938581E-5</v>
      </c>
      <c r="K57" s="25">
        <v>117.66831683168317</v>
      </c>
      <c r="L57" s="2">
        <f t="shared" si="6"/>
        <v>1.1766831683168318E-4</v>
      </c>
      <c r="M57" s="3">
        <f t="shared" si="7"/>
        <v>4.7762865441819992E-3</v>
      </c>
      <c r="N57" s="52">
        <f t="shared" si="8"/>
        <v>4.9579401344363496E-7</v>
      </c>
      <c r="O57" s="26">
        <f t="shared" si="9"/>
        <v>2.032E-3</v>
      </c>
      <c r="P57" s="26">
        <v>1.45111777225214E-10</v>
      </c>
      <c r="Q57" s="14">
        <v>0.04</v>
      </c>
      <c r="R57" s="14">
        <f t="shared" si="10"/>
        <v>104000</v>
      </c>
      <c r="S57" s="14">
        <f t="shared" si="11"/>
        <v>99570.355456912977</v>
      </c>
      <c r="T57" s="14">
        <f t="shared" si="12"/>
        <v>99570.355456912977</v>
      </c>
      <c r="U57" s="14">
        <f t="shared" si="13"/>
        <v>5.3058450282772E-3</v>
      </c>
      <c r="V57" s="14">
        <v>0.13</v>
      </c>
      <c r="W57" s="14">
        <f t="shared" si="14"/>
        <v>112999.99999999999</v>
      </c>
      <c r="X57" s="14">
        <f t="shared" si="15"/>
        <v>13.296519801980198</v>
      </c>
      <c r="Y57" s="11">
        <f t="shared" si="16"/>
        <v>2.6423100776221526E-14</v>
      </c>
      <c r="Z57" s="16">
        <f t="shared" si="17"/>
        <v>15911991287.440603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spans="1:73" s="4" customFormat="1" x14ac:dyDescent="0.25">
      <c r="A58" s="1">
        <v>168</v>
      </c>
      <c r="B58" s="1">
        <f t="shared" si="1"/>
        <v>2.8</v>
      </c>
      <c r="C58" s="1">
        <v>20</v>
      </c>
      <c r="D58" s="1">
        <f t="shared" si="0"/>
        <v>29.146000000000001</v>
      </c>
      <c r="E58" s="1">
        <f t="shared" si="2"/>
        <v>4.8576666666666667E-7</v>
      </c>
      <c r="F58" s="1">
        <v>21.1</v>
      </c>
      <c r="G58" s="1">
        <f t="shared" si="3"/>
        <v>294.10000000000002</v>
      </c>
      <c r="H58" s="1">
        <v>101.3</v>
      </c>
      <c r="I58" s="1">
        <f t="shared" si="4"/>
        <v>101300</v>
      </c>
      <c r="J58" s="1">
        <f t="shared" si="5"/>
        <v>2.0124824921938581E-5</v>
      </c>
      <c r="K58" s="25">
        <v>125.53960396039606</v>
      </c>
      <c r="L58" s="2">
        <f t="shared" si="6"/>
        <v>1.2553960396039608E-4</v>
      </c>
      <c r="M58" s="3">
        <f t="shared" si="7"/>
        <v>4.7762865441819992E-3</v>
      </c>
      <c r="N58" s="52">
        <f t="shared" si="8"/>
        <v>5.2895958546498135E-7</v>
      </c>
      <c r="O58" s="26">
        <f t="shared" si="9"/>
        <v>2.032E-3</v>
      </c>
      <c r="P58" s="26">
        <v>1.45111777225214E-10</v>
      </c>
      <c r="Q58" s="14">
        <v>0.04</v>
      </c>
      <c r="R58" s="14">
        <f t="shared" si="10"/>
        <v>104000</v>
      </c>
      <c r="S58" s="14">
        <f t="shared" si="11"/>
        <v>99277.479414020956</v>
      </c>
      <c r="T58" s="14">
        <f t="shared" si="12"/>
        <v>99277.479414020956</v>
      </c>
      <c r="U58" s="14">
        <f t="shared" si="13"/>
        <v>5.3058450282772E-3</v>
      </c>
      <c r="V58" s="14">
        <v>0.13</v>
      </c>
      <c r="W58" s="14">
        <f t="shared" si="14"/>
        <v>112999.99999999999</v>
      </c>
      <c r="X58" s="14">
        <f t="shared" si="15"/>
        <v>14.185975247524755</v>
      </c>
      <c r="Y58" s="11">
        <f t="shared" si="16"/>
        <v>2.8274072816554938E-14</v>
      </c>
      <c r="Z58" s="16">
        <f t="shared" si="17"/>
        <v>17026646650.129385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spans="1:73" s="4" customFormat="1" x14ac:dyDescent="0.25">
      <c r="A59" s="1">
        <v>171</v>
      </c>
      <c r="B59" s="1">
        <f t="shared" si="1"/>
        <v>2.85</v>
      </c>
      <c r="C59" s="1">
        <v>20</v>
      </c>
      <c r="D59" s="1">
        <f t="shared" si="0"/>
        <v>29.146000000000001</v>
      </c>
      <c r="E59" s="1">
        <f t="shared" si="2"/>
        <v>4.8576666666666667E-7</v>
      </c>
      <c r="F59" s="1">
        <v>21.1</v>
      </c>
      <c r="G59" s="1">
        <f t="shared" si="3"/>
        <v>294.10000000000002</v>
      </c>
      <c r="H59" s="1">
        <v>101.3</v>
      </c>
      <c r="I59" s="1">
        <f t="shared" si="4"/>
        <v>101300</v>
      </c>
      <c r="J59" s="1">
        <f t="shared" si="5"/>
        <v>2.0124824921938581E-5</v>
      </c>
      <c r="K59" s="25">
        <v>123.18811881188121</v>
      </c>
      <c r="L59" s="2">
        <f t="shared" si="6"/>
        <v>1.2318811881188122E-4</v>
      </c>
      <c r="M59" s="3">
        <f t="shared" si="7"/>
        <v>4.7762865441819992E-3</v>
      </c>
      <c r="N59" s="52">
        <f t="shared" si="8"/>
        <v>5.1905163155923319E-7</v>
      </c>
      <c r="O59" s="26">
        <f t="shared" si="9"/>
        <v>2.032E-3</v>
      </c>
      <c r="P59" s="26">
        <v>1.45111777225214E-10</v>
      </c>
      <c r="Q59" s="14">
        <v>0.04</v>
      </c>
      <c r="R59" s="14">
        <f t="shared" si="10"/>
        <v>104000</v>
      </c>
      <c r="S59" s="14">
        <f t="shared" si="11"/>
        <v>99364.928644661326</v>
      </c>
      <c r="T59" s="14">
        <f t="shared" si="12"/>
        <v>99364.928644661326</v>
      </c>
      <c r="U59" s="14">
        <f t="shared" si="13"/>
        <v>5.3058450282772E-3</v>
      </c>
      <c r="V59" s="14">
        <v>0.13</v>
      </c>
      <c r="W59" s="14">
        <f t="shared" si="14"/>
        <v>112999.99999999999</v>
      </c>
      <c r="X59" s="14">
        <f t="shared" si="15"/>
        <v>13.920257425742577</v>
      </c>
      <c r="Y59" s="11">
        <f t="shared" si="16"/>
        <v>2.7719975503354384E-14</v>
      </c>
      <c r="Z59" s="16">
        <f t="shared" si="17"/>
        <v>16692969248.12001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spans="1:73" s="4" customFormat="1" x14ac:dyDescent="0.25">
      <c r="A60" s="1">
        <v>174</v>
      </c>
      <c r="B60" s="1">
        <f t="shared" si="1"/>
        <v>2.9</v>
      </c>
      <c r="C60" s="1">
        <v>20</v>
      </c>
      <c r="D60" s="1">
        <f t="shared" si="0"/>
        <v>29.146000000000001</v>
      </c>
      <c r="E60" s="1">
        <f t="shared" si="2"/>
        <v>4.8576666666666667E-7</v>
      </c>
      <c r="F60" s="1">
        <v>21.1</v>
      </c>
      <c r="G60" s="1">
        <f t="shared" si="3"/>
        <v>294.10000000000002</v>
      </c>
      <c r="H60" s="1">
        <v>101.3</v>
      </c>
      <c r="I60" s="1">
        <f t="shared" si="4"/>
        <v>101300</v>
      </c>
      <c r="J60" s="1">
        <f t="shared" si="5"/>
        <v>2.0124824921938581E-5</v>
      </c>
      <c r="K60" s="25">
        <v>118.88118811881189</v>
      </c>
      <c r="L60" s="2">
        <f t="shared" si="6"/>
        <v>1.1888118811881189E-4</v>
      </c>
      <c r="M60" s="3">
        <f t="shared" si="7"/>
        <v>4.7762865441819992E-3</v>
      </c>
      <c r="N60" s="52">
        <f t="shared" si="8"/>
        <v>5.0090443177396812E-7</v>
      </c>
      <c r="O60" s="26">
        <f t="shared" si="9"/>
        <v>2.032E-3</v>
      </c>
      <c r="P60" s="26">
        <v>1.45111777225214E-10</v>
      </c>
      <c r="Q60" s="14">
        <v>0.04</v>
      </c>
      <c r="R60" s="14">
        <f t="shared" si="10"/>
        <v>104000</v>
      </c>
      <c r="S60" s="14">
        <f t="shared" si="11"/>
        <v>99525.198645221215</v>
      </c>
      <c r="T60" s="14">
        <f t="shared" si="12"/>
        <v>99525.198645221215</v>
      </c>
      <c r="U60" s="14">
        <f t="shared" si="13"/>
        <v>5.3058450282772E-3</v>
      </c>
      <c r="V60" s="14">
        <v>0.13</v>
      </c>
      <c r="W60" s="14">
        <f t="shared" si="14"/>
        <v>112999.99999999999</v>
      </c>
      <c r="X60" s="14">
        <f t="shared" si="15"/>
        <v>13.433574257425741</v>
      </c>
      <c r="Y60" s="11">
        <f t="shared" si="16"/>
        <v>2.6707608764397371E-14</v>
      </c>
      <c r="Z60" s="16">
        <f t="shared" si="17"/>
        <v>16083321997.920097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 s="4" customFormat="1" x14ac:dyDescent="0.25">
      <c r="A61" s="1">
        <v>177</v>
      </c>
      <c r="B61" s="1">
        <f t="shared" si="1"/>
        <v>2.95</v>
      </c>
      <c r="C61" s="1">
        <v>20</v>
      </c>
      <c r="D61" s="1">
        <f t="shared" si="0"/>
        <v>29.146000000000001</v>
      </c>
      <c r="E61" s="1">
        <f t="shared" si="2"/>
        <v>4.8576666666666667E-7</v>
      </c>
      <c r="F61" s="1">
        <v>21.1</v>
      </c>
      <c r="G61" s="1">
        <f t="shared" si="3"/>
        <v>294.10000000000002</v>
      </c>
      <c r="H61" s="1">
        <v>101.3</v>
      </c>
      <c r="I61" s="1">
        <f t="shared" si="4"/>
        <v>101300</v>
      </c>
      <c r="J61" s="1">
        <f t="shared" si="5"/>
        <v>2.0124824921938581E-5</v>
      </c>
      <c r="K61" s="25">
        <v>123.58415841584161</v>
      </c>
      <c r="L61" s="2">
        <f t="shared" si="6"/>
        <v>1.235841584158416E-4</v>
      </c>
      <c r="M61" s="3">
        <f t="shared" si="7"/>
        <v>4.7762865441819992E-3</v>
      </c>
      <c r="N61" s="52">
        <f t="shared" si="8"/>
        <v>5.2072033958546444E-7</v>
      </c>
      <c r="O61" s="26">
        <f t="shared" si="9"/>
        <v>2.032E-3</v>
      </c>
      <c r="P61" s="26">
        <v>1.45111777225214E-10</v>
      </c>
      <c r="Q61" s="14">
        <v>0.04</v>
      </c>
      <c r="R61" s="14">
        <f t="shared" si="10"/>
        <v>104000</v>
      </c>
      <c r="S61" s="14">
        <f t="shared" si="11"/>
        <v>99350.19765724703</v>
      </c>
      <c r="T61" s="14">
        <f t="shared" si="12"/>
        <v>99350.19765724703</v>
      </c>
      <c r="U61" s="14">
        <f t="shared" si="13"/>
        <v>5.3058450282772E-3</v>
      </c>
      <c r="V61" s="14">
        <v>0.13</v>
      </c>
      <c r="W61" s="14">
        <f t="shared" si="14"/>
        <v>112999.99999999999</v>
      </c>
      <c r="X61" s="14">
        <f t="shared" si="15"/>
        <v>13.965009900990099</v>
      </c>
      <c r="Y61" s="11">
        <f t="shared" si="16"/>
        <v>2.7813229385503245E-14</v>
      </c>
      <c r="Z61" s="16">
        <f t="shared" si="17"/>
        <v>16749126735.950054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s="4" customFormat="1" x14ac:dyDescent="0.25">
      <c r="A62" s="1">
        <v>180</v>
      </c>
      <c r="B62" s="1">
        <f t="shared" si="1"/>
        <v>3</v>
      </c>
      <c r="C62" s="1">
        <v>20</v>
      </c>
      <c r="D62" s="1">
        <f t="shared" si="0"/>
        <v>29.146000000000001</v>
      </c>
      <c r="E62" s="1">
        <f t="shared" si="2"/>
        <v>4.8576666666666667E-7</v>
      </c>
      <c r="F62" s="1">
        <v>21.1</v>
      </c>
      <c r="G62" s="1">
        <f t="shared" si="3"/>
        <v>294.10000000000002</v>
      </c>
      <c r="H62" s="1">
        <v>101.3</v>
      </c>
      <c r="I62" s="1">
        <f t="shared" si="4"/>
        <v>101300</v>
      </c>
      <c r="J62" s="1">
        <f t="shared" si="5"/>
        <v>2.0124824921938581E-5</v>
      </c>
      <c r="K62" s="25">
        <v>124.54950495049506</v>
      </c>
      <c r="L62" s="2">
        <f t="shared" si="6"/>
        <v>1.2454950495049508E-4</v>
      </c>
      <c r="M62" s="3">
        <f t="shared" si="7"/>
        <v>4.7762865441819992E-3</v>
      </c>
      <c r="N62" s="52">
        <f t="shared" si="8"/>
        <v>5.2478781539940313E-7</v>
      </c>
      <c r="O62" s="26">
        <f t="shared" si="9"/>
        <v>2.032E-3</v>
      </c>
      <c r="P62" s="26">
        <v>1.45111777225214E-10</v>
      </c>
      <c r="Q62" s="14">
        <v>0.04</v>
      </c>
      <c r="R62" s="14">
        <f t="shared" si="10"/>
        <v>104000</v>
      </c>
      <c r="S62" s="14">
        <f t="shared" si="11"/>
        <v>99314.295450414458</v>
      </c>
      <c r="T62" s="14">
        <f t="shared" si="12"/>
        <v>99314.295450414458</v>
      </c>
      <c r="U62" s="14">
        <f t="shared" si="13"/>
        <v>5.3058450282772E-3</v>
      </c>
      <c r="V62" s="14">
        <v>0.13</v>
      </c>
      <c r="W62" s="14">
        <f t="shared" si="14"/>
        <v>112999.99999999999</v>
      </c>
      <c r="X62" s="14">
        <f t="shared" si="15"/>
        <v>14.074094059405942</v>
      </c>
      <c r="Y62" s="11">
        <f t="shared" si="16"/>
        <v>2.8040650697493905E-14</v>
      </c>
      <c r="Z62" s="16">
        <f t="shared" si="17"/>
        <v>16886079850.03083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 s="4" customFormat="1" x14ac:dyDescent="0.25">
      <c r="A63" s="1">
        <v>183</v>
      </c>
      <c r="B63" s="1">
        <f t="shared" si="1"/>
        <v>3.05</v>
      </c>
      <c r="C63" s="1">
        <v>20</v>
      </c>
      <c r="D63" s="1">
        <f t="shared" si="0"/>
        <v>29.146000000000001</v>
      </c>
      <c r="E63" s="1">
        <f t="shared" si="2"/>
        <v>4.8576666666666667E-7</v>
      </c>
      <c r="F63" s="1">
        <v>21.1</v>
      </c>
      <c r="G63" s="1">
        <f t="shared" si="3"/>
        <v>294.10000000000002</v>
      </c>
      <c r="H63" s="1">
        <v>101.3</v>
      </c>
      <c r="I63" s="1">
        <f t="shared" si="4"/>
        <v>101300</v>
      </c>
      <c r="J63" s="1">
        <f t="shared" si="5"/>
        <v>2.0124824921938581E-5</v>
      </c>
      <c r="K63" s="25">
        <v>119.87128712871289</v>
      </c>
      <c r="L63" s="2">
        <f t="shared" si="6"/>
        <v>1.1987128712871289E-4</v>
      </c>
      <c r="M63" s="3">
        <f t="shared" si="7"/>
        <v>4.7762865441819992E-3</v>
      </c>
      <c r="N63" s="52">
        <f t="shared" si="8"/>
        <v>5.0507620183954634E-7</v>
      </c>
      <c r="O63" s="26">
        <f t="shared" si="9"/>
        <v>2.032E-3</v>
      </c>
      <c r="P63" s="26">
        <v>1.45111777225214E-10</v>
      </c>
      <c r="Q63" s="14">
        <v>0.04</v>
      </c>
      <c r="R63" s="14">
        <f t="shared" si="10"/>
        <v>104000</v>
      </c>
      <c r="S63" s="14">
        <f t="shared" si="11"/>
        <v>99488.343534789354</v>
      </c>
      <c r="T63" s="14">
        <f t="shared" si="12"/>
        <v>99488.343534789354</v>
      </c>
      <c r="U63" s="14">
        <f t="shared" si="13"/>
        <v>5.3058450282772E-3</v>
      </c>
      <c r="V63" s="14">
        <v>0.13</v>
      </c>
      <c r="W63" s="14">
        <f t="shared" si="14"/>
        <v>112999.99999999999</v>
      </c>
      <c r="X63" s="14">
        <f t="shared" si="15"/>
        <v>13.545455445544555</v>
      </c>
      <c r="Y63" s="11">
        <f t="shared" si="16"/>
        <v>2.6940050205419491E-14</v>
      </c>
      <c r="Z63" s="16">
        <f t="shared" si="17"/>
        <v>16223298233.703617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s="4" customFormat="1" x14ac:dyDescent="0.25">
      <c r="A64" s="1">
        <v>186</v>
      </c>
      <c r="B64" s="1">
        <f t="shared" si="1"/>
        <v>3.1</v>
      </c>
      <c r="C64" s="1">
        <v>20</v>
      </c>
      <c r="D64" s="1">
        <f t="shared" si="0"/>
        <v>29.146000000000001</v>
      </c>
      <c r="E64" s="1">
        <f t="shared" si="2"/>
        <v>4.8576666666666667E-7</v>
      </c>
      <c r="F64" s="1">
        <v>21.1</v>
      </c>
      <c r="G64" s="1">
        <f t="shared" si="3"/>
        <v>294.10000000000002</v>
      </c>
      <c r="H64" s="1">
        <v>101.3</v>
      </c>
      <c r="I64" s="1">
        <f t="shared" si="4"/>
        <v>101300</v>
      </c>
      <c r="J64" s="1">
        <f t="shared" si="5"/>
        <v>2.0124824921938581E-5</v>
      </c>
      <c r="K64" s="25">
        <v>124.62376237623765</v>
      </c>
      <c r="L64" s="2">
        <f t="shared" si="6"/>
        <v>1.2462376237623766E-4</v>
      </c>
      <c r="M64" s="3">
        <f t="shared" si="7"/>
        <v>4.7762865441819992E-3</v>
      </c>
      <c r="N64" s="52">
        <f t="shared" si="8"/>
        <v>5.2510069815432152E-7</v>
      </c>
      <c r="O64" s="26">
        <f t="shared" si="9"/>
        <v>2.032E-3</v>
      </c>
      <c r="P64" s="26">
        <v>1.45111777225214E-10</v>
      </c>
      <c r="Q64" s="14">
        <v>0.04</v>
      </c>
      <c r="R64" s="14">
        <f t="shared" si="10"/>
        <v>104000</v>
      </c>
      <c r="S64" s="14">
        <f t="shared" si="11"/>
        <v>99311.534010937234</v>
      </c>
      <c r="T64" s="14">
        <f t="shared" si="12"/>
        <v>99311.534010937234</v>
      </c>
      <c r="U64" s="14">
        <f t="shared" si="13"/>
        <v>5.3058450282772E-3</v>
      </c>
      <c r="V64" s="14">
        <v>0.13</v>
      </c>
      <c r="W64" s="14">
        <f t="shared" si="14"/>
        <v>112999.99999999999</v>
      </c>
      <c r="X64" s="14">
        <f t="shared" si="15"/>
        <v>14.082485148514854</v>
      </c>
      <c r="Y64" s="11">
        <f t="shared" si="16"/>
        <v>2.8058151401029761E-14</v>
      </c>
      <c r="Z64" s="16">
        <f t="shared" si="17"/>
        <v>16896618773.700123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spans="1:73" s="4" customFormat="1" x14ac:dyDescent="0.25">
      <c r="A65" s="1">
        <v>189</v>
      </c>
      <c r="B65" s="1">
        <f t="shared" si="1"/>
        <v>3.15</v>
      </c>
      <c r="C65" s="1">
        <v>20</v>
      </c>
      <c r="D65" s="1">
        <f t="shared" si="0"/>
        <v>29.146000000000001</v>
      </c>
      <c r="E65" s="1">
        <f t="shared" si="2"/>
        <v>4.8576666666666667E-7</v>
      </c>
      <c r="F65" s="1">
        <v>21.1</v>
      </c>
      <c r="G65" s="1">
        <f t="shared" si="3"/>
        <v>294.10000000000002</v>
      </c>
      <c r="H65" s="1">
        <v>101.3</v>
      </c>
      <c r="I65" s="1">
        <f t="shared" si="4"/>
        <v>101300</v>
      </c>
      <c r="J65" s="1">
        <f t="shared" si="5"/>
        <v>2.0124824921938581E-5</v>
      </c>
      <c r="K65" s="25">
        <v>128.23762376237624</v>
      </c>
      <c r="L65" s="2">
        <f t="shared" si="6"/>
        <v>1.2823762376237624E-4</v>
      </c>
      <c r="M65" s="3">
        <f t="shared" si="7"/>
        <v>4.7762865441819992E-3</v>
      </c>
      <c r="N65" s="52">
        <f t="shared" si="8"/>
        <v>5.4032765889368159E-7</v>
      </c>
      <c r="O65" s="26">
        <f t="shared" si="9"/>
        <v>2.032E-3</v>
      </c>
      <c r="P65" s="26">
        <v>1.45111777225214E-10</v>
      </c>
      <c r="Q65" s="14">
        <v>0.04</v>
      </c>
      <c r="R65" s="14">
        <f t="shared" si="10"/>
        <v>104000</v>
      </c>
      <c r="S65" s="14">
        <f t="shared" si="11"/>
        <v>99177.19035466628</v>
      </c>
      <c r="T65" s="14">
        <f t="shared" si="12"/>
        <v>99177.19035466628</v>
      </c>
      <c r="U65" s="14">
        <f t="shared" si="13"/>
        <v>5.3058450282772E-3</v>
      </c>
      <c r="V65" s="14">
        <v>0.13</v>
      </c>
      <c r="W65" s="14">
        <f t="shared" si="14"/>
        <v>112999.99999999999</v>
      </c>
      <c r="X65" s="14">
        <f t="shared" si="15"/>
        <v>14.490851485148513</v>
      </c>
      <c r="Y65" s="11">
        <f t="shared" si="16"/>
        <v>2.8911020342782511E-14</v>
      </c>
      <c r="Z65" s="16">
        <f t="shared" si="17"/>
        <v>17410216450.42363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spans="1:73" s="4" customFormat="1" x14ac:dyDescent="0.25">
      <c r="A66" s="1">
        <v>192</v>
      </c>
      <c r="B66" s="1">
        <f t="shared" si="1"/>
        <v>3.2</v>
      </c>
      <c r="C66" s="1">
        <v>20</v>
      </c>
      <c r="D66" s="1">
        <f t="shared" ref="D66:D73" si="18">(C66*1.4573)</f>
        <v>29.146000000000001</v>
      </c>
      <c r="E66" s="1">
        <f t="shared" si="2"/>
        <v>4.8576666666666667E-7</v>
      </c>
      <c r="F66" s="1">
        <v>21.1</v>
      </c>
      <c r="G66" s="1">
        <f t="shared" si="3"/>
        <v>294.10000000000002</v>
      </c>
      <c r="H66" s="1">
        <v>101.3</v>
      </c>
      <c r="I66" s="1">
        <f t="shared" si="4"/>
        <v>101300</v>
      </c>
      <c r="J66" s="1">
        <f t="shared" si="5"/>
        <v>2.0124824921938581E-5</v>
      </c>
      <c r="K66" s="25">
        <v>120.88613861386141</v>
      </c>
      <c r="L66" s="2">
        <f t="shared" si="6"/>
        <v>1.208861386138614E-4</v>
      </c>
      <c r="M66" s="3">
        <f t="shared" si="7"/>
        <v>4.7762865441819992E-3</v>
      </c>
      <c r="N66" s="52">
        <f t="shared" si="8"/>
        <v>5.0935226615676399E-7</v>
      </c>
      <c r="O66" s="26">
        <f t="shared" si="9"/>
        <v>2.032E-3</v>
      </c>
      <c r="P66" s="26">
        <v>1.45111777225214E-10</v>
      </c>
      <c r="Q66" s="14">
        <v>0.04</v>
      </c>
      <c r="R66" s="14">
        <f t="shared" si="10"/>
        <v>104000</v>
      </c>
      <c r="S66" s="14">
        <f t="shared" si="11"/>
        <v>99450.574129832559</v>
      </c>
      <c r="T66" s="14">
        <f t="shared" si="12"/>
        <v>99450.574129832559</v>
      </c>
      <c r="U66" s="14">
        <f t="shared" si="13"/>
        <v>5.3058450282772E-3</v>
      </c>
      <c r="V66" s="14">
        <v>0.13</v>
      </c>
      <c r="W66" s="14">
        <f t="shared" si="14"/>
        <v>112999.99999999999</v>
      </c>
      <c r="X66" s="14">
        <f t="shared" si="15"/>
        <v>13.660133663366336</v>
      </c>
      <c r="Y66" s="11">
        <f t="shared" si="16"/>
        <v>2.7178480107837084E-14</v>
      </c>
      <c r="Z66" s="16">
        <f t="shared" si="17"/>
        <v>16366880720.939493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spans="1:73" s="4" customFormat="1" x14ac:dyDescent="0.25">
      <c r="A67" s="1">
        <v>195</v>
      </c>
      <c r="B67" s="1">
        <f t="shared" ref="B67:B73" si="19">(A67/60)</f>
        <v>3.25</v>
      </c>
      <c r="C67" s="1">
        <v>20</v>
      </c>
      <c r="D67" s="1">
        <f t="shared" si="18"/>
        <v>29.146000000000001</v>
      </c>
      <c r="E67" s="1">
        <f t="shared" ref="E67:E73" si="20">(D67/(1000000*60))</f>
        <v>4.8576666666666667E-7</v>
      </c>
      <c r="F67" s="1">
        <v>21.1</v>
      </c>
      <c r="G67" s="1">
        <f t="shared" ref="G67:G73" si="21">(273+F67)</f>
        <v>294.10000000000002</v>
      </c>
      <c r="H67" s="1">
        <v>101.3</v>
      </c>
      <c r="I67" s="1">
        <f t="shared" ref="I67:I73" si="22">(H67*1000)</f>
        <v>101300</v>
      </c>
      <c r="J67" s="1">
        <f t="shared" ref="J67:J73" si="23">((I67*E67)/(8.314*G67))</f>
        <v>2.0124824921938581E-5</v>
      </c>
      <c r="K67" s="25">
        <v>125.88613861386141</v>
      </c>
      <c r="L67" s="2">
        <f t="shared" ref="L67:L73" si="24">(K67/1000000)</f>
        <v>1.258861386138614E-4</v>
      </c>
      <c r="M67" s="3">
        <f t="shared" ref="M67:M73" si="25">(3.142*3.07*3.07*25.4*25.4)/(4*1000000)</f>
        <v>4.7762865441819992E-3</v>
      </c>
      <c r="N67" s="52">
        <f t="shared" ref="N67:N73" si="26">(L67*J67)/M67</f>
        <v>5.3041970498793354E-7</v>
      </c>
      <c r="O67" s="26">
        <f t="shared" ref="O67:O73" si="27">(2.032/1000)</f>
        <v>2.032E-3</v>
      </c>
      <c r="P67" s="26">
        <v>1.45111777225214E-10</v>
      </c>
      <c r="Q67" s="14">
        <v>0.04</v>
      </c>
      <c r="R67" s="14">
        <f t="shared" ref="R67:R73" si="28">(1+Q67)*100000*1</f>
        <v>104000</v>
      </c>
      <c r="S67" s="14">
        <f t="shared" ref="S67:S73" si="29">(SQRT(R67)-(N67*O67/P67))^2</f>
        <v>99264.595413727191</v>
      </c>
      <c r="T67" s="14">
        <f t="shared" ref="T67:T73" si="30">(S67)</f>
        <v>99264.595413727191</v>
      </c>
      <c r="U67" s="14">
        <f t="shared" ref="U67:U73" si="31">(5.3058450282772/1000)</f>
        <v>5.3058450282772E-3</v>
      </c>
      <c r="V67" s="14">
        <v>0.13</v>
      </c>
      <c r="W67" s="14">
        <f t="shared" ref="W67:W73" si="32">(1+V67)*100000</f>
        <v>112999.99999999999</v>
      </c>
      <c r="X67" s="14">
        <f t="shared" ref="X67:X73" si="33">(L67*W67)</f>
        <v>14.225133663366337</v>
      </c>
      <c r="Y67" s="11">
        <f t="shared" ref="Y67:Y73" si="34">(N67*U67)/(T67-X67)</f>
        <v>2.8355811133691989E-14</v>
      </c>
      <c r="Z67" s="16">
        <f t="shared" ref="Z67:Z73" si="35">(Y67*6.022E+23)</f>
        <v>17075869464.709316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s="4" customFormat="1" x14ac:dyDescent="0.25">
      <c r="A68" s="1">
        <v>198</v>
      </c>
      <c r="B68" s="1">
        <f t="shared" si="19"/>
        <v>3.3</v>
      </c>
      <c r="C68" s="1">
        <v>20</v>
      </c>
      <c r="D68" s="1">
        <f t="shared" si="18"/>
        <v>29.146000000000001</v>
      </c>
      <c r="E68" s="1">
        <f t="shared" si="20"/>
        <v>4.8576666666666667E-7</v>
      </c>
      <c r="F68" s="1">
        <v>21.1</v>
      </c>
      <c r="G68" s="1">
        <f t="shared" si="21"/>
        <v>294.10000000000002</v>
      </c>
      <c r="H68" s="1">
        <v>101.3</v>
      </c>
      <c r="I68" s="1">
        <f t="shared" si="22"/>
        <v>101300</v>
      </c>
      <c r="J68" s="1">
        <f t="shared" si="23"/>
        <v>2.0124824921938581E-5</v>
      </c>
      <c r="K68" s="25">
        <v>125.1683168316832</v>
      </c>
      <c r="L68" s="2">
        <f t="shared" si="24"/>
        <v>1.251683168316832E-4</v>
      </c>
      <c r="M68" s="3">
        <f t="shared" si="25"/>
        <v>4.7762865441819992E-3</v>
      </c>
      <c r="N68" s="52">
        <f t="shared" si="26"/>
        <v>5.2739517169038943E-7</v>
      </c>
      <c r="O68" s="26">
        <f t="shared" si="27"/>
        <v>2.032E-3</v>
      </c>
      <c r="P68" s="26">
        <v>1.45111777225214E-10</v>
      </c>
      <c r="Q68" s="14">
        <v>0.04</v>
      </c>
      <c r="R68" s="14">
        <f t="shared" si="28"/>
        <v>104000</v>
      </c>
      <c r="S68" s="14">
        <f t="shared" si="29"/>
        <v>99291.284627845147</v>
      </c>
      <c r="T68" s="14">
        <f t="shared" si="30"/>
        <v>99291.284627845147</v>
      </c>
      <c r="U68" s="14">
        <f t="shared" si="31"/>
        <v>5.3058450282772E-3</v>
      </c>
      <c r="V68" s="14">
        <v>0.13</v>
      </c>
      <c r="W68" s="14">
        <f t="shared" si="32"/>
        <v>112999.99999999999</v>
      </c>
      <c r="X68" s="14">
        <f t="shared" si="33"/>
        <v>14.1440198019802</v>
      </c>
      <c r="Y68" s="11">
        <f t="shared" si="34"/>
        <v>2.8186519399251759E-14</v>
      </c>
      <c r="Z68" s="16">
        <f t="shared" si="35"/>
        <v>16973921982.22941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spans="1:73" s="4" customFormat="1" x14ac:dyDescent="0.25">
      <c r="A69" s="1">
        <v>201</v>
      </c>
      <c r="B69" s="1">
        <f t="shared" si="19"/>
        <v>3.35</v>
      </c>
      <c r="C69" s="1">
        <v>20</v>
      </c>
      <c r="D69" s="1">
        <f t="shared" si="18"/>
        <v>29.146000000000001</v>
      </c>
      <c r="E69" s="1">
        <f t="shared" si="20"/>
        <v>4.8576666666666667E-7</v>
      </c>
      <c r="F69" s="1">
        <v>21.1</v>
      </c>
      <c r="G69" s="1">
        <f t="shared" si="21"/>
        <v>294.10000000000002</v>
      </c>
      <c r="H69" s="1">
        <v>101.3</v>
      </c>
      <c r="I69" s="1">
        <f t="shared" si="22"/>
        <v>101300</v>
      </c>
      <c r="J69" s="1">
        <f t="shared" si="23"/>
        <v>2.0124824921938581E-5</v>
      </c>
      <c r="K69" s="25">
        <v>126.10891089108912</v>
      </c>
      <c r="L69" s="2">
        <f t="shared" si="24"/>
        <v>1.2610891089108911E-4</v>
      </c>
      <c r="M69" s="3">
        <f t="shared" si="25"/>
        <v>4.7762865441819992E-3</v>
      </c>
      <c r="N69" s="52">
        <f t="shared" si="26"/>
        <v>5.3135835325268859E-7</v>
      </c>
      <c r="O69" s="26">
        <f t="shared" si="27"/>
        <v>2.032E-3</v>
      </c>
      <c r="P69" s="26">
        <v>1.45111777225214E-10</v>
      </c>
      <c r="Q69" s="14">
        <v>0.04</v>
      </c>
      <c r="R69" s="14">
        <f t="shared" si="28"/>
        <v>104000</v>
      </c>
      <c r="S69" s="14">
        <f t="shared" si="29"/>
        <v>99256.313283612268</v>
      </c>
      <c r="T69" s="14">
        <f t="shared" si="30"/>
        <v>99256.313283612268</v>
      </c>
      <c r="U69" s="14">
        <f t="shared" si="31"/>
        <v>5.3058450282772E-3</v>
      </c>
      <c r="V69" s="14">
        <v>0.13</v>
      </c>
      <c r="W69" s="14">
        <f t="shared" si="32"/>
        <v>112999.99999999999</v>
      </c>
      <c r="X69" s="14">
        <f t="shared" si="33"/>
        <v>14.250306930693068</v>
      </c>
      <c r="Y69" s="11">
        <f t="shared" si="34"/>
        <v>2.8408368309531982E-14</v>
      </c>
      <c r="Z69" s="16">
        <f t="shared" si="35"/>
        <v>17107519396.00016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spans="1:73" s="4" customFormat="1" x14ac:dyDescent="0.25">
      <c r="A70" s="1">
        <v>204</v>
      </c>
      <c r="B70" s="1">
        <f t="shared" si="19"/>
        <v>3.4</v>
      </c>
      <c r="C70" s="1">
        <v>20</v>
      </c>
      <c r="D70" s="1">
        <f t="shared" si="18"/>
        <v>29.146000000000001</v>
      </c>
      <c r="E70" s="1">
        <f t="shared" si="20"/>
        <v>4.8576666666666667E-7</v>
      </c>
      <c r="F70" s="1">
        <v>21.1</v>
      </c>
      <c r="G70" s="1">
        <f t="shared" si="21"/>
        <v>294.10000000000002</v>
      </c>
      <c r="H70" s="1">
        <v>101.3</v>
      </c>
      <c r="I70" s="1">
        <f t="shared" si="22"/>
        <v>101300</v>
      </c>
      <c r="J70" s="1">
        <f t="shared" si="23"/>
        <v>2.0124824921938581E-5</v>
      </c>
      <c r="K70" s="25">
        <v>124.40099009900992</v>
      </c>
      <c r="L70" s="2">
        <f t="shared" si="24"/>
        <v>1.2440099009900993E-4</v>
      </c>
      <c r="M70" s="3">
        <f t="shared" si="25"/>
        <v>4.7762865441819992E-3</v>
      </c>
      <c r="N70" s="52">
        <f t="shared" si="26"/>
        <v>5.2416204988956636E-7</v>
      </c>
      <c r="O70" s="26">
        <f t="shared" si="27"/>
        <v>2.032E-3</v>
      </c>
      <c r="P70" s="26">
        <v>1.45111777225214E-10</v>
      </c>
      <c r="Q70" s="14">
        <v>0.04</v>
      </c>
      <c r="R70" s="14">
        <f t="shared" si="28"/>
        <v>104000</v>
      </c>
      <c r="S70" s="14">
        <f t="shared" si="29"/>
        <v>99319.818444543504</v>
      </c>
      <c r="T70" s="14">
        <f t="shared" si="30"/>
        <v>99319.818444543504</v>
      </c>
      <c r="U70" s="14">
        <f t="shared" si="31"/>
        <v>5.3058450282772E-3</v>
      </c>
      <c r="V70" s="14">
        <v>0.13</v>
      </c>
      <c r="W70" s="14">
        <f t="shared" si="32"/>
        <v>112999.99999999999</v>
      </c>
      <c r="X70" s="14">
        <f t="shared" si="33"/>
        <v>14.05731188118812</v>
      </c>
      <c r="Y70" s="11">
        <f t="shared" si="34"/>
        <v>2.8005652186712984E-14</v>
      </c>
      <c r="Z70" s="16">
        <f t="shared" si="35"/>
        <v>16865003746.83856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spans="1:73" s="4" customFormat="1" x14ac:dyDescent="0.25">
      <c r="A71" s="1">
        <v>207</v>
      </c>
      <c r="B71" s="1">
        <f t="shared" si="19"/>
        <v>3.45</v>
      </c>
      <c r="C71" s="1">
        <v>20</v>
      </c>
      <c r="D71" s="1">
        <f t="shared" si="18"/>
        <v>29.146000000000001</v>
      </c>
      <c r="E71" s="1">
        <f t="shared" si="20"/>
        <v>4.8576666666666667E-7</v>
      </c>
      <c r="F71" s="1">
        <v>21.1</v>
      </c>
      <c r="G71" s="1">
        <f t="shared" si="21"/>
        <v>294.10000000000002</v>
      </c>
      <c r="H71" s="1">
        <v>101.3</v>
      </c>
      <c r="I71" s="1">
        <f t="shared" si="22"/>
        <v>101300</v>
      </c>
      <c r="J71" s="1">
        <f t="shared" si="23"/>
        <v>2.0124824921938581E-5</v>
      </c>
      <c r="K71" s="25">
        <v>132.59405940594061</v>
      </c>
      <c r="L71" s="2">
        <f t="shared" si="24"/>
        <v>1.325940594059406E-4</v>
      </c>
      <c r="M71" s="3">
        <f t="shared" si="25"/>
        <v>4.7762865441819992E-3</v>
      </c>
      <c r="N71" s="52">
        <f t="shared" si="26"/>
        <v>5.5868344718222541E-7</v>
      </c>
      <c r="O71" s="26">
        <f t="shared" si="27"/>
        <v>2.032E-3</v>
      </c>
      <c r="P71" s="26">
        <v>1.45111777225214E-10</v>
      </c>
      <c r="Q71" s="14">
        <v>0.04</v>
      </c>
      <c r="R71" s="14">
        <f t="shared" si="28"/>
        <v>104000</v>
      </c>
      <c r="S71" s="14">
        <f t="shared" si="29"/>
        <v>99015.362711093243</v>
      </c>
      <c r="T71" s="14">
        <f t="shared" si="30"/>
        <v>99015.362711093243</v>
      </c>
      <c r="U71" s="14">
        <f t="shared" si="31"/>
        <v>5.3058450282772E-3</v>
      </c>
      <c r="V71" s="14">
        <v>0.13</v>
      </c>
      <c r="W71" s="14">
        <f t="shared" si="32"/>
        <v>112999.99999999999</v>
      </c>
      <c r="X71" s="14">
        <f t="shared" si="33"/>
        <v>14.983128712871286</v>
      </c>
      <c r="Y71" s="11">
        <f t="shared" si="34"/>
        <v>2.9942186111982832E-14</v>
      </c>
      <c r="Z71" s="16">
        <f t="shared" si="35"/>
        <v>18031184476.636063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spans="1:73" s="4" customFormat="1" x14ac:dyDescent="0.25">
      <c r="A72" s="1">
        <v>210</v>
      </c>
      <c r="B72" s="1">
        <f t="shared" si="19"/>
        <v>3.5</v>
      </c>
      <c r="C72" s="1">
        <v>20</v>
      </c>
      <c r="D72" s="1">
        <f t="shared" si="18"/>
        <v>29.146000000000001</v>
      </c>
      <c r="E72" s="1">
        <f t="shared" si="20"/>
        <v>4.8576666666666667E-7</v>
      </c>
      <c r="F72" s="1">
        <v>21.1</v>
      </c>
      <c r="G72" s="1">
        <f t="shared" si="21"/>
        <v>294.10000000000002</v>
      </c>
      <c r="H72" s="1">
        <v>101.3</v>
      </c>
      <c r="I72" s="1">
        <f t="shared" si="22"/>
        <v>101300</v>
      </c>
      <c r="J72" s="1">
        <f t="shared" si="23"/>
        <v>2.0124824921938581E-5</v>
      </c>
      <c r="K72" s="25">
        <v>121.62871287128714</v>
      </c>
      <c r="L72" s="2">
        <f t="shared" si="24"/>
        <v>1.2162871287128713E-4</v>
      </c>
      <c r="M72" s="3">
        <f t="shared" si="25"/>
        <v>4.7762865441819992E-3</v>
      </c>
      <c r="N72" s="52">
        <f t="shared" si="26"/>
        <v>5.1248109370594753E-7</v>
      </c>
      <c r="O72" s="26">
        <f t="shared" si="27"/>
        <v>2.032E-3</v>
      </c>
      <c r="P72" s="26">
        <v>1.45111777225214E-10</v>
      </c>
      <c r="Q72" s="14">
        <v>0.04</v>
      </c>
      <c r="R72" s="14">
        <f t="shared" si="28"/>
        <v>104000</v>
      </c>
      <c r="S72" s="14">
        <f t="shared" si="29"/>
        <v>99422.94252286102</v>
      </c>
      <c r="T72" s="14">
        <f t="shared" si="30"/>
        <v>99422.94252286102</v>
      </c>
      <c r="U72" s="14">
        <f t="shared" si="31"/>
        <v>5.3058450282772E-3</v>
      </c>
      <c r="V72" s="14">
        <v>0.13</v>
      </c>
      <c r="W72" s="14">
        <f t="shared" si="32"/>
        <v>112999.99999999999</v>
      </c>
      <c r="X72" s="14">
        <f t="shared" si="33"/>
        <v>13.744044554455444</v>
      </c>
      <c r="Y72" s="11">
        <f t="shared" si="34"/>
        <v>2.735305489581173E-14</v>
      </c>
      <c r="Z72" s="16">
        <f t="shared" si="35"/>
        <v>16472009658.257824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1:73" s="4" customFormat="1" x14ac:dyDescent="0.25">
      <c r="A73" s="1">
        <v>213</v>
      </c>
      <c r="B73" s="1">
        <f t="shared" si="19"/>
        <v>3.55</v>
      </c>
      <c r="C73" s="1">
        <v>20</v>
      </c>
      <c r="D73" s="1">
        <f t="shared" si="18"/>
        <v>29.146000000000001</v>
      </c>
      <c r="E73" s="1">
        <f t="shared" si="20"/>
        <v>4.8576666666666667E-7</v>
      </c>
      <c r="F73" s="1">
        <v>21.1</v>
      </c>
      <c r="G73" s="1">
        <f t="shared" si="21"/>
        <v>294.10000000000002</v>
      </c>
      <c r="H73" s="1">
        <v>101.3</v>
      </c>
      <c r="I73" s="1">
        <f t="shared" si="22"/>
        <v>101300</v>
      </c>
      <c r="J73" s="1">
        <f t="shared" si="23"/>
        <v>2.0124824921938581E-5</v>
      </c>
      <c r="K73" s="25">
        <v>125.31683168316833</v>
      </c>
      <c r="L73" s="2">
        <f t="shared" si="24"/>
        <v>1.2531683168316834E-4</v>
      </c>
      <c r="M73" s="3">
        <f t="shared" si="25"/>
        <v>4.7762865441819992E-3</v>
      </c>
      <c r="N73" s="52">
        <f t="shared" si="26"/>
        <v>5.280209372002262E-7</v>
      </c>
      <c r="O73" s="26">
        <f t="shared" si="27"/>
        <v>2.032E-3</v>
      </c>
      <c r="P73" s="26">
        <v>1.45111777225214E-10</v>
      </c>
      <c r="Q73" s="14">
        <v>0.04</v>
      </c>
      <c r="R73" s="14">
        <f t="shared" si="28"/>
        <v>104000</v>
      </c>
      <c r="S73" s="14">
        <f t="shared" si="29"/>
        <v>99285.7624271409</v>
      </c>
      <c r="T73" s="14">
        <f t="shared" si="30"/>
        <v>99285.7624271409</v>
      </c>
      <c r="U73" s="14">
        <f t="shared" si="31"/>
        <v>5.3058450282772E-3</v>
      </c>
      <c r="V73" s="14">
        <v>0.13</v>
      </c>
      <c r="W73" s="14">
        <f t="shared" si="32"/>
        <v>112999.99999999999</v>
      </c>
      <c r="X73" s="14">
        <f t="shared" si="33"/>
        <v>14.160801980198022</v>
      </c>
      <c r="Y73" s="11">
        <f t="shared" si="34"/>
        <v>2.822153786788521E-14</v>
      </c>
      <c r="Z73" s="16">
        <f t="shared" si="35"/>
        <v>16995010104.040474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spans="1:73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0"/>
      <c r="L74" s="3"/>
      <c r="M74" s="3"/>
      <c r="N74" s="26"/>
      <c r="O74" s="26"/>
      <c r="P74" s="26"/>
      <c r="Q74" s="14"/>
      <c r="R74" s="14"/>
      <c r="S74" s="14"/>
      <c r="T74" s="14"/>
      <c r="U74" s="14"/>
      <c r="V74" s="14"/>
      <c r="W74" s="14"/>
      <c r="X74" s="14"/>
      <c r="Y74" s="2"/>
      <c r="Z74" s="43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spans="1:73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0"/>
      <c r="L75" s="3"/>
      <c r="M75" s="3"/>
      <c r="N75" s="26"/>
      <c r="O75" s="26"/>
      <c r="P75" s="26"/>
      <c r="Q75" s="14"/>
      <c r="R75" s="14"/>
      <c r="S75" s="14"/>
      <c r="T75" s="14"/>
      <c r="U75" s="14"/>
      <c r="V75" s="14"/>
      <c r="W75" s="14"/>
      <c r="X75" s="14"/>
      <c r="Y75" s="2"/>
      <c r="Z75" s="14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spans="1:73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0"/>
      <c r="L76" s="3"/>
      <c r="M76" s="3"/>
      <c r="N76" s="26"/>
      <c r="O76" s="26"/>
      <c r="P76" s="26"/>
      <c r="Q76" s="14"/>
      <c r="R76" s="14"/>
      <c r="S76" s="14"/>
      <c r="T76" s="14"/>
      <c r="U76" s="14"/>
      <c r="V76" s="14"/>
      <c r="W76" s="14"/>
      <c r="X76" s="14"/>
      <c r="Y76" s="2"/>
      <c r="Z76" s="14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spans="1:73" s="4" customFormat="1" x14ac:dyDescent="0.25">
      <c r="N77" s="26"/>
      <c r="O77" s="5"/>
      <c r="P77" s="5"/>
      <c r="Q77" s="5"/>
      <c r="R77" s="5"/>
      <c r="S77" s="5"/>
      <c r="T77" s="5"/>
      <c r="U77" s="5"/>
      <c r="V77" s="5"/>
      <c r="W77" s="5"/>
      <c r="X77" s="5"/>
      <c r="Y77" s="44">
        <f>AVERAGE(Y44:Y73)</f>
        <v>2.7868212458209253E-14</v>
      </c>
      <c r="Z77" s="44">
        <f>AVERAGE(Z44:Z73)</f>
        <v>16782237542.333612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spans="1:73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0"/>
      <c r="L78" s="3"/>
      <c r="M78" s="3"/>
      <c r="N78" s="26"/>
      <c r="O78" s="26"/>
      <c r="P78" s="26"/>
      <c r="Q78" s="14"/>
      <c r="R78" s="14"/>
      <c r="S78" s="14"/>
      <c r="T78" s="14"/>
      <c r="U78" s="14"/>
      <c r="V78" s="14"/>
      <c r="W78" s="14"/>
      <c r="X78" s="14"/>
      <c r="Y78" s="2"/>
      <c r="Z78" s="14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spans="1:73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0"/>
      <c r="L79" s="3"/>
      <c r="M79" s="3"/>
      <c r="N79" s="26"/>
      <c r="O79" s="26"/>
      <c r="P79" s="26"/>
      <c r="Q79" s="14"/>
      <c r="R79" s="14"/>
      <c r="S79" s="14"/>
      <c r="T79" s="14"/>
      <c r="U79" s="14"/>
      <c r="V79" s="14"/>
      <c r="W79" s="14"/>
      <c r="X79" s="14"/>
      <c r="Y79" s="2"/>
      <c r="Z79" s="14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spans="1:73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0"/>
      <c r="L80" s="3"/>
      <c r="M80" s="3"/>
      <c r="N80" s="26"/>
      <c r="O80" s="26"/>
      <c r="P80" s="26"/>
      <c r="Q80" s="14"/>
      <c r="R80" s="14"/>
      <c r="S80" s="14"/>
      <c r="T80" s="14"/>
      <c r="U80" s="14"/>
      <c r="V80" s="14"/>
      <c r="W80" s="14"/>
      <c r="X80" s="14"/>
      <c r="Y80" s="2"/>
      <c r="Z80" s="14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spans="1:73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0"/>
      <c r="L81" s="3"/>
      <c r="M81" s="3"/>
      <c r="N81" s="26"/>
      <c r="O81" s="26"/>
      <c r="P81" s="26"/>
      <c r="Q81" s="14"/>
      <c r="R81" s="14"/>
      <c r="S81" s="14"/>
      <c r="T81" s="14"/>
      <c r="U81" s="14"/>
      <c r="V81" s="14"/>
      <c r="W81" s="14"/>
      <c r="X81" s="14"/>
      <c r="Y81" s="2"/>
      <c r="Z81" s="14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spans="1:73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0"/>
      <c r="L82" s="3"/>
      <c r="M82" s="3"/>
      <c r="N82" s="26"/>
      <c r="O82" s="26"/>
      <c r="P82" s="26"/>
      <c r="Q82" s="14"/>
      <c r="R82" s="14"/>
      <c r="S82" s="14"/>
      <c r="T82" s="14"/>
      <c r="U82" s="14"/>
      <c r="V82" s="14"/>
      <c r="W82" s="14"/>
      <c r="X82" s="14"/>
      <c r="Y82" s="2"/>
      <c r="Z82" s="14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spans="1:73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0"/>
      <c r="L83" s="3"/>
      <c r="M83" s="3"/>
      <c r="N83" s="26"/>
      <c r="O83" s="26"/>
      <c r="P83" s="26"/>
      <c r="Q83" s="14"/>
      <c r="R83" s="14"/>
      <c r="S83" s="14"/>
      <c r="T83" s="14"/>
      <c r="U83" s="14"/>
      <c r="V83" s="14"/>
      <c r="W83" s="14"/>
      <c r="X83" s="14"/>
      <c r="Y83" s="2"/>
      <c r="Z83" s="14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spans="1:73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0"/>
      <c r="L84" s="3"/>
      <c r="M84" s="3"/>
      <c r="N84" s="26"/>
      <c r="O84" s="26"/>
      <c r="P84" s="26"/>
      <c r="Q84" s="14"/>
      <c r="R84" s="14"/>
      <c r="S84" s="14"/>
      <c r="T84" s="14"/>
      <c r="U84" s="14"/>
      <c r="V84" s="14"/>
      <c r="W84" s="14"/>
      <c r="X84" s="14"/>
      <c r="Y84" s="2"/>
      <c r="Z84" s="14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spans="1:73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0"/>
      <c r="L85" s="3"/>
      <c r="M85" s="3"/>
      <c r="N85" s="26"/>
      <c r="O85" s="26"/>
      <c r="P85" s="26"/>
      <c r="Q85" s="14"/>
      <c r="R85" s="14"/>
      <c r="S85" s="14"/>
      <c r="T85" s="14"/>
      <c r="U85" s="14"/>
      <c r="V85" s="14"/>
      <c r="W85" s="14"/>
      <c r="X85" s="14"/>
      <c r="Y85" s="2"/>
      <c r="Z85" s="14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0"/>
      <c r="L86" s="3"/>
      <c r="M86" s="3"/>
      <c r="N86" s="26"/>
      <c r="O86" s="26"/>
      <c r="P86" s="26"/>
      <c r="Q86" s="14"/>
      <c r="R86" s="14"/>
      <c r="S86" s="14"/>
      <c r="T86" s="14"/>
      <c r="U86" s="14"/>
      <c r="V86" s="14"/>
      <c r="W86" s="14"/>
      <c r="X86" s="14"/>
      <c r="Y86" s="2"/>
      <c r="Z86" s="14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spans="1:73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0"/>
      <c r="L87" s="3"/>
      <c r="M87" s="3"/>
      <c r="N87" s="26"/>
      <c r="O87" s="26"/>
      <c r="P87" s="26"/>
      <c r="Q87" s="14"/>
      <c r="R87" s="14"/>
      <c r="S87" s="14"/>
      <c r="T87" s="14"/>
      <c r="U87" s="14"/>
      <c r="V87" s="14"/>
      <c r="W87" s="14"/>
      <c r="X87" s="14"/>
      <c r="Y87" s="2"/>
      <c r="Z87" s="14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0"/>
      <c r="L88" s="3"/>
      <c r="M88" s="3"/>
      <c r="N88" s="26"/>
      <c r="O88" s="26"/>
      <c r="P88" s="26"/>
      <c r="Q88" s="14"/>
      <c r="R88" s="14"/>
      <c r="S88" s="14"/>
      <c r="T88" s="14"/>
      <c r="U88" s="14"/>
      <c r="V88" s="14"/>
      <c r="W88" s="14"/>
      <c r="X88" s="14"/>
      <c r="Y88" s="2"/>
      <c r="Z88" s="14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spans="1:73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0"/>
      <c r="L89" s="3"/>
      <c r="M89" s="3"/>
      <c r="N89" s="26"/>
      <c r="O89" s="26"/>
      <c r="P89" s="26"/>
      <c r="Q89" s="14"/>
      <c r="R89" s="14"/>
      <c r="S89" s="14"/>
      <c r="T89" s="14"/>
      <c r="U89" s="14"/>
      <c r="V89" s="14"/>
      <c r="W89" s="14"/>
      <c r="X89" s="14"/>
      <c r="Y89" s="2"/>
      <c r="Z89" s="14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spans="1:73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3"/>
      <c r="M90" s="3"/>
      <c r="N90" s="26"/>
      <c r="O90" s="26"/>
      <c r="P90" s="26"/>
      <c r="Q90" s="14"/>
      <c r="R90" s="14"/>
      <c r="S90" s="14"/>
      <c r="T90" s="14"/>
      <c r="U90" s="14"/>
      <c r="V90" s="14"/>
      <c r="W90" s="14"/>
      <c r="X90" s="14"/>
      <c r="Y90" s="2"/>
      <c r="Z90" s="14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spans="1:73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0"/>
      <c r="L91" s="3"/>
      <c r="M91" s="3"/>
      <c r="N91" s="26"/>
      <c r="O91" s="26"/>
      <c r="P91" s="26"/>
      <c r="Q91" s="14"/>
      <c r="R91" s="14"/>
      <c r="S91" s="14"/>
      <c r="T91" s="14"/>
      <c r="U91" s="14"/>
      <c r="V91" s="14"/>
      <c r="W91" s="14"/>
      <c r="X91" s="14"/>
      <c r="Y91" s="2"/>
      <c r="Z91" s="14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spans="1:73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0"/>
      <c r="L92" s="3"/>
      <c r="M92" s="3"/>
      <c r="N92" s="26"/>
      <c r="O92" s="26"/>
      <c r="P92" s="26"/>
      <c r="Q92" s="14"/>
      <c r="R92" s="14"/>
      <c r="S92" s="14"/>
      <c r="T92" s="14"/>
      <c r="U92" s="14"/>
      <c r="V92" s="14"/>
      <c r="W92" s="14"/>
      <c r="X92" s="14"/>
      <c r="Y92" s="2"/>
      <c r="Z92" s="14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spans="1:73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0"/>
      <c r="L93" s="3"/>
      <c r="M93" s="3"/>
      <c r="N93" s="26"/>
      <c r="O93" s="26"/>
      <c r="P93" s="26"/>
      <c r="Q93" s="14"/>
      <c r="R93" s="14"/>
      <c r="S93" s="14"/>
      <c r="T93" s="14"/>
      <c r="U93" s="14"/>
      <c r="V93" s="14"/>
      <c r="W93" s="14"/>
      <c r="X93" s="14"/>
      <c r="Y93" s="2"/>
      <c r="Z93" s="14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spans="1:73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0"/>
      <c r="L94" s="3"/>
      <c r="M94" s="3"/>
      <c r="N94" s="26"/>
      <c r="O94" s="26"/>
      <c r="P94" s="26"/>
      <c r="Q94" s="14"/>
      <c r="R94" s="14"/>
      <c r="S94" s="14"/>
      <c r="T94" s="14"/>
      <c r="U94" s="14"/>
      <c r="V94" s="14"/>
      <c r="W94" s="14"/>
      <c r="X94" s="14"/>
      <c r="Y94" s="2"/>
      <c r="Z94" s="14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spans="1:73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0"/>
      <c r="L95" s="3"/>
      <c r="M95" s="3"/>
      <c r="N95" s="26"/>
      <c r="O95" s="26"/>
      <c r="P95" s="26"/>
      <c r="Q95" s="14"/>
      <c r="R95" s="14"/>
      <c r="S95" s="14"/>
      <c r="T95" s="14"/>
      <c r="U95" s="14"/>
      <c r="V95" s="14"/>
      <c r="W95" s="14"/>
      <c r="X95" s="14"/>
      <c r="Y95" s="2"/>
      <c r="Z95" s="14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spans="1:73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0"/>
      <c r="L96" s="3"/>
      <c r="M96" s="3"/>
      <c r="N96" s="26"/>
      <c r="O96" s="26"/>
      <c r="P96" s="26"/>
      <c r="Q96" s="14"/>
      <c r="R96" s="14"/>
      <c r="S96" s="14"/>
      <c r="T96" s="14"/>
      <c r="U96" s="14"/>
      <c r="V96" s="14"/>
      <c r="W96" s="14"/>
      <c r="X96" s="14"/>
      <c r="Y96" s="2"/>
      <c r="Z96" s="14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spans="1:73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0"/>
      <c r="L97" s="3"/>
      <c r="M97" s="3"/>
      <c r="N97" s="26"/>
      <c r="O97" s="26"/>
      <c r="P97" s="26"/>
      <c r="Q97" s="14"/>
      <c r="R97" s="14"/>
      <c r="S97" s="14"/>
      <c r="T97" s="14"/>
      <c r="U97" s="14"/>
      <c r="V97" s="14"/>
      <c r="W97" s="14"/>
      <c r="X97" s="14"/>
      <c r="Y97" s="2"/>
      <c r="Z97" s="14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spans="1:73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0"/>
      <c r="L98" s="3"/>
      <c r="M98" s="3"/>
      <c r="N98" s="26"/>
      <c r="O98" s="26"/>
      <c r="P98" s="26"/>
      <c r="Q98" s="14"/>
      <c r="R98" s="14"/>
      <c r="S98" s="14"/>
      <c r="T98" s="14"/>
      <c r="U98" s="14"/>
      <c r="V98" s="14"/>
      <c r="W98" s="14"/>
      <c r="X98" s="14"/>
      <c r="Y98" s="2"/>
      <c r="Z98" s="14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spans="1:73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0"/>
      <c r="L99" s="3"/>
      <c r="M99" s="3"/>
      <c r="N99" s="26"/>
      <c r="O99" s="26"/>
      <c r="P99" s="26"/>
      <c r="Q99" s="14"/>
      <c r="R99" s="14"/>
      <c r="S99" s="14"/>
      <c r="T99" s="14"/>
      <c r="U99" s="14"/>
      <c r="V99" s="14"/>
      <c r="W99" s="14"/>
      <c r="X99" s="14"/>
      <c r="Y99" s="2"/>
      <c r="Z99" s="14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spans="1:73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0"/>
      <c r="L100" s="3"/>
      <c r="M100" s="3"/>
      <c r="N100" s="26"/>
      <c r="O100" s="26"/>
      <c r="P100" s="26"/>
      <c r="Q100" s="14"/>
      <c r="R100" s="14"/>
      <c r="S100" s="14"/>
      <c r="T100" s="14"/>
      <c r="U100" s="14"/>
      <c r="V100" s="14"/>
      <c r="W100" s="14"/>
      <c r="X100" s="14"/>
      <c r="Y100" s="2"/>
      <c r="Z100" s="14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spans="1:73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0"/>
      <c r="L101" s="3"/>
      <c r="M101" s="3"/>
      <c r="N101" s="26"/>
      <c r="O101" s="26"/>
      <c r="P101" s="26"/>
      <c r="Q101" s="14"/>
      <c r="R101" s="14"/>
      <c r="S101" s="14"/>
      <c r="T101" s="14"/>
      <c r="U101" s="14"/>
      <c r="V101" s="14"/>
      <c r="W101" s="14"/>
      <c r="X101" s="14"/>
      <c r="Y101" s="2"/>
      <c r="Z101" s="14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spans="1:73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0"/>
      <c r="L102" s="3"/>
      <c r="M102" s="3"/>
      <c r="N102" s="26"/>
      <c r="O102" s="26"/>
      <c r="P102" s="26"/>
      <c r="Q102" s="14"/>
      <c r="R102" s="14"/>
      <c r="S102" s="14"/>
      <c r="T102" s="14"/>
      <c r="U102" s="14"/>
      <c r="V102" s="14"/>
      <c r="W102" s="14"/>
      <c r="X102" s="14"/>
      <c r="Y102" s="2"/>
      <c r="Z102" s="14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spans="1:73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0"/>
      <c r="L103" s="3"/>
      <c r="M103" s="3"/>
      <c r="N103" s="26"/>
      <c r="O103" s="26"/>
      <c r="P103" s="26"/>
      <c r="Q103" s="14"/>
      <c r="R103" s="14"/>
      <c r="S103" s="14"/>
      <c r="T103" s="14"/>
      <c r="U103" s="14"/>
      <c r="V103" s="14"/>
      <c r="W103" s="14"/>
      <c r="X103" s="14"/>
      <c r="Y103" s="2"/>
      <c r="Z103" s="14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spans="1:73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0"/>
      <c r="L104" s="3"/>
      <c r="M104" s="3"/>
      <c r="N104" s="26"/>
      <c r="O104" s="26"/>
      <c r="P104" s="26"/>
      <c r="Q104" s="14"/>
      <c r="R104" s="14"/>
      <c r="S104" s="14"/>
      <c r="T104" s="14"/>
      <c r="U104" s="14"/>
      <c r="V104" s="14"/>
      <c r="W104" s="14"/>
      <c r="X104" s="14"/>
      <c r="Y104" s="2"/>
      <c r="Z104" s="14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spans="1:73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0"/>
      <c r="L105" s="3"/>
      <c r="M105" s="3"/>
      <c r="N105" s="26"/>
      <c r="O105" s="26"/>
      <c r="P105" s="26"/>
      <c r="Q105" s="14"/>
      <c r="R105" s="14"/>
      <c r="S105" s="14"/>
      <c r="T105" s="14"/>
      <c r="U105" s="14"/>
      <c r="V105" s="14"/>
      <c r="W105" s="14"/>
      <c r="X105" s="14"/>
      <c r="Y105" s="2"/>
      <c r="Z105" s="14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spans="1:73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0"/>
      <c r="L106" s="3"/>
      <c r="M106" s="3"/>
      <c r="N106" s="26"/>
      <c r="O106" s="26"/>
      <c r="P106" s="26"/>
      <c r="Q106" s="14"/>
      <c r="R106" s="14"/>
      <c r="S106" s="14"/>
      <c r="T106" s="14"/>
      <c r="U106" s="14"/>
      <c r="V106" s="14"/>
      <c r="W106" s="14"/>
      <c r="X106" s="14"/>
      <c r="Y106" s="2"/>
      <c r="Z106" s="14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spans="1:73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0"/>
      <c r="L107" s="3"/>
      <c r="M107" s="3"/>
      <c r="N107" s="26"/>
      <c r="O107" s="26"/>
      <c r="P107" s="26"/>
      <c r="Q107" s="14"/>
      <c r="R107" s="14"/>
      <c r="S107" s="14"/>
      <c r="T107" s="14"/>
      <c r="U107" s="14"/>
      <c r="V107" s="14"/>
      <c r="W107" s="14"/>
      <c r="X107" s="14"/>
      <c r="Y107" s="2"/>
      <c r="Z107" s="14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spans="1:73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0"/>
      <c r="L108" s="3"/>
      <c r="M108" s="3"/>
      <c r="N108" s="26"/>
      <c r="O108" s="26"/>
      <c r="P108" s="26"/>
      <c r="Q108" s="14"/>
      <c r="R108" s="14"/>
      <c r="S108" s="14"/>
      <c r="T108" s="14"/>
      <c r="U108" s="14"/>
      <c r="V108" s="14"/>
      <c r="W108" s="14"/>
      <c r="X108" s="14"/>
      <c r="Y108" s="2"/>
      <c r="Z108" s="14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spans="1:73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3"/>
      <c r="M109" s="3"/>
      <c r="N109" s="26"/>
      <c r="O109" s="26"/>
      <c r="P109" s="26"/>
      <c r="Q109" s="14"/>
      <c r="R109" s="14"/>
      <c r="S109" s="14"/>
      <c r="T109" s="14"/>
      <c r="U109" s="14"/>
      <c r="V109" s="14"/>
      <c r="W109" s="14"/>
      <c r="X109" s="14"/>
      <c r="Y109" s="2"/>
      <c r="Z109" s="14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spans="1:73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0"/>
      <c r="L110" s="3"/>
      <c r="M110" s="3"/>
      <c r="N110" s="26"/>
      <c r="O110" s="26"/>
      <c r="P110" s="26"/>
      <c r="Q110" s="14"/>
      <c r="R110" s="14"/>
      <c r="S110" s="14"/>
      <c r="T110" s="14"/>
      <c r="U110" s="14"/>
      <c r="V110" s="14"/>
      <c r="W110" s="14"/>
      <c r="X110" s="14"/>
      <c r="Y110" s="2"/>
      <c r="Z110" s="14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spans="1:73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0"/>
      <c r="L111" s="3"/>
      <c r="M111" s="3"/>
      <c r="N111" s="26"/>
      <c r="O111" s="26"/>
      <c r="P111" s="26"/>
      <c r="Q111" s="14"/>
      <c r="R111" s="14"/>
      <c r="S111" s="14"/>
      <c r="T111" s="14"/>
      <c r="U111" s="14"/>
      <c r="V111" s="14"/>
      <c r="W111" s="14"/>
      <c r="X111" s="14"/>
      <c r="Y111" s="2"/>
      <c r="Z111" s="14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spans="1:73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3"/>
      <c r="M112" s="3"/>
      <c r="N112" s="26"/>
      <c r="O112" s="26"/>
      <c r="P112" s="26"/>
      <c r="Q112" s="14"/>
      <c r="R112" s="14"/>
      <c r="S112" s="14"/>
      <c r="T112" s="14"/>
      <c r="U112" s="14"/>
      <c r="V112" s="14"/>
      <c r="W112" s="14"/>
      <c r="X112" s="14"/>
      <c r="Y112" s="2"/>
      <c r="Z112" s="14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spans="1:73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0"/>
      <c r="L113" s="3"/>
      <c r="M113" s="3"/>
      <c r="N113" s="26"/>
      <c r="O113" s="26"/>
      <c r="P113" s="26"/>
      <c r="Q113" s="14"/>
      <c r="R113" s="14"/>
      <c r="S113" s="14"/>
      <c r="T113" s="14"/>
      <c r="U113" s="14"/>
      <c r="V113" s="14"/>
      <c r="W113" s="14"/>
      <c r="X113" s="14"/>
      <c r="Y113" s="2"/>
      <c r="Z113" s="14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spans="1:73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0"/>
      <c r="L114" s="3"/>
      <c r="M114" s="3"/>
      <c r="N114" s="26"/>
      <c r="O114" s="26"/>
      <c r="P114" s="26"/>
      <c r="Q114" s="14"/>
      <c r="R114" s="14"/>
      <c r="S114" s="14"/>
      <c r="T114" s="14"/>
      <c r="U114" s="14"/>
      <c r="V114" s="14"/>
      <c r="W114" s="14"/>
      <c r="X114" s="14"/>
      <c r="Y114" s="2"/>
      <c r="Z114" s="14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spans="1:73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3"/>
      <c r="M115" s="3"/>
      <c r="N115" s="26"/>
      <c r="O115" s="26"/>
      <c r="P115" s="26"/>
      <c r="Q115" s="14"/>
      <c r="R115" s="14"/>
      <c r="S115" s="14"/>
      <c r="T115" s="14"/>
      <c r="U115" s="14"/>
      <c r="V115" s="14"/>
      <c r="W115" s="14"/>
      <c r="X115" s="14"/>
      <c r="Y115" s="2"/>
      <c r="Z115" s="14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spans="1:73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3"/>
      <c r="M116" s="3"/>
      <c r="N116" s="26"/>
      <c r="O116" s="26"/>
      <c r="P116" s="26"/>
      <c r="Q116" s="14"/>
      <c r="R116" s="14"/>
      <c r="S116" s="14"/>
      <c r="T116" s="14"/>
      <c r="U116" s="14"/>
      <c r="V116" s="14"/>
      <c r="W116" s="14"/>
      <c r="X116" s="14"/>
      <c r="Y116" s="2"/>
      <c r="Z116" s="14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spans="1:73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3"/>
      <c r="M117" s="3"/>
      <c r="N117" s="26"/>
      <c r="O117" s="26"/>
      <c r="P117" s="26"/>
      <c r="Q117" s="14"/>
      <c r="R117" s="14"/>
      <c r="S117" s="14"/>
      <c r="T117" s="14"/>
      <c r="U117" s="14"/>
      <c r="V117" s="14"/>
      <c r="W117" s="14"/>
      <c r="X117" s="14"/>
      <c r="Y117" s="2"/>
      <c r="Z117" s="14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spans="1:73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3"/>
      <c r="M118" s="3"/>
      <c r="N118" s="26"/>
      <c r="O118" s="26"/>
      <c r="P118" s="26"/>
      <c r="Q118" s="14"/>
      <c r="R118" s="14"/>
      <c r="S118" s="14"/>
      <c r="T118" s="14"/>
      <c r="U118" s="14"/>
      <c r="V118" s="14"/>
      <c r="W118" s="14"/>
      <c r="X118" s="14"/>
      <c r="Y118" s="2"/>
      <c r="Z118" s="14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spans="1:73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3"/>
      <c r="M119" s="3"/>
      <c r="N119" s="26"/>
      <c r="O119" s="26"/>
      <c r="P119" s="26"/>
      <c r="Q119" s="14"/>
      <c r="R119" s="14"/>
      <c r="S119" s="14"/>
      <c r="T119" s="14"/>
      <c r="U119" s="14"/>
      <c r="V119" s="14"/>
      <c r="W119" s="14"/>
      <c r="X119" s="14"/>
      <c r="Y119" s="2"/>
      <c r="Z119" s="14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spans="1:73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3"/>
      <c r="M120" s="3"/>
      <c r="N120" s="26"/>
      <c r="O120" s="26"/>
      <c r="P120" s="26"/>
      <c r="Q120" s="14"/>
      <c r="R120" s="14"/>
      <c r="S120" s="14"/>
      <c r="T120" s="14"/>
      <c r="U120" s="14"/>
      <c r="V120" s="14"/>
      <c r="W120" s="14"/>
      <c r="X120" s="14"/>
      <c r="Y120" s="2"/>
      <c r="Z120" s="14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spans="1:73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3"/>
      <c r="M121" s="3"/>
      <c r="N121" s="26"/>
      <c r="O121" s="26"/>
      <c r="P121" s="26"/>
      <c r="Q121" s="14"/>
      <c r="R121" s="14"/>
      <c r="S121" s="14"/>
      <c r="T121" s="14"/>
      <c r="U121" s="14"/>
      <c r="V121" s="14"/>
      <c r="W121" s="14"/>
      <c r="X121" s="14"/>
      <c r="Y121" s="2"/>
      <c r="Z121" s="14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spans="1:73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3"/>
      <c r="M122" s="3"/>
      <c r="N122" s="26"/>
      <c r="O122" s="26"/>
      <c r="P122" s="26"/>
      <c r="Q122" s="14"/>
      <c r="R122" s="14"/>
      <c r="S122" s="14"/>
      <c r="T122" s="14"/>
      <c r="U122" s="14"/>
      <c r="V122" s="14"/>
      <c r="W122" s="14"/>
      <c r="X122" s="14"/>
      <c r="Y122" s="2"/>
      <c r="Z122" s="14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spans="1:73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3"/>
      <c r="M123" s="3"/>
      <c r="N123" s="26"/>
      <c r="O123" s="26"/>
      <c r="P123" s="26"/>
      <c r="Q123" s="14"/>
      <c r="R123" s="14"/>
      <c r="S123" s="14"/>
      <c r="T123" s="14"/>
      <c r="U123" s="14"/>
      <c r="V123" s="14"/>
      <c r="W123" s="14"/>
      <c r="X123" s="14"/>
      <c r="Y123" s="2"/>
      <c r="Z123" s="14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spans="1:73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0"/>
      <c r="L124" s="3"/>
      <c r="M124" s="3"/>
      <c r="N124" s="26"/>
      <c r="O124" s="26"/>
      <c r="P124" s="26"/>
      <c r="Q124" s="14"/>
      <c r="R124" s="14"/>
      <c r="S124" s="14"/>
      <c r="T124" s="14"/>
      <c r="U124" s="14"/>
      <c r="V124" s="14"/>
      <c r="W124" s="14"/>
      <c r="X124" s="14"/>
      <c r="Y124" s="2"/>
      <c r="Z124" s="14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spans="1:73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0"/>
      <c r="L125" s="3"/>
      <c r="M125" s="3"/>
      <c r="N125" s="26"/>
      <c r="O125" s="26"/>
      <c r="P125" s="26"/>
      <c r="Q125" s="14"/>
      <c r="R125" s="14"/>
      <c r="S125" s="14"/>
      <c r="T125" s="14"/>
      <c r="U125" s="14"/>
      <c r="V125" s="14"/>
      <c r="W125" s="14"/>
      <c r="X125" s="14"/>
      <c r="Y125" s="2"/>
      <c r="Z125" s="14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spans="1:73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0"/>
      <c r="L126" s="3"/>
      <c r="M126" s="3"/>
      <c r="N126" s="26"/>
      <c r="O126" s="26"/>
      <c r="P126" s="26"/>
      <c r="Q126" s="14"/>
      <c r="R126" s="14"/>
      <c r="S126" s="14"/>
      <c r="T126" s="14"/>
      <c r="U126" s="14"/>
      <c r="V126" s="14"/>
      <c r="W126" s="14"/>
      <c r="X126" s="14"/>
      <c r="Y126" s="2"/>
      <c r="Z126" s="14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spans="1:73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0"/>
      <c r="L127" s="3"/>
      <c r="M127" s="3"/>
      <c r="N127" s="26"/>
      <c r="O127" s="26"/>
      <c r="P127" s="26"/>
      <c r="Q127" s="14"/>
      <c r="R127" s="14"/>
      <c r="S127" s="14"/>
      <c r="T127" s="14"/>
      <c r="U127" s="14"/>
      <c r="V127" s="14"/>
      <c r="W127" s="14"/>
      <c r="X127" s="14"/>
      <c r="Y127" s="2"/>
      <c r="Z127" s="14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spans="1:73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0"/>
      <c r="L128" s="3"/>
      <c r="M128" s="3"/>
      <c r="N128" s="26"/>
      <c r="O128" s="26"/>
      <c r="P128" s="26"/>
      <c r="Q128" s="14"/>
      <c r="R128" s="14"/>
      <c r="S128" s="14"/>
      <c r="T128" s="14"/>
      <c r="U128" s="14"/>
      <c r="V128" s="14"/>
      <c r="W128" s="14"/>
      <c r="X128" s="14"/>
      <c r="Y128" s="2"/>
      <c r="Z128" s="14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spans="1:73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0"/>
      <c r="L129" s="3"/>
      <c r="M129" s="3"/>
      <c r="N129" s="26"/>
      <c r="O129" s="26"/>
      <c r="P129" s="26"/>
      <c r="Q129" s="14"/>
      <c r="R129" s="14"/>
      <c r="S129" s="14"/>
      <c r="T129" s="14"/>
      <c r="U129" s="14"/>
      <c r="V129" s="14"/>
      <c r="W129" s="14"/>
      <c r="X129" s="14"/>
      <c r="Y129" s="2"/>
      <c r="Z129" s="14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spans="1:73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0"/>
      <c r="L130" s="3"/>
      <c r="M130" s="3"/>
      <c r="N130" s="26"/>
      <c r="O130" s="26"/>
      <c r="P130" s="26"/>
      <c r="Q130" s="14"/>
      <c r="R130" s="14"/>
      <c r="S130" s="14"/>
      <c r="T130" s="14"/>
      <c r="U130" s="14"/>
      <c r="V130" s="14"/>
      <c r="W130" s="14"/>
      <c r="X130" s="14"/>
      <c r="Y130" s="2"/>
      <c r="Z130" s="14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spans="1:73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0"/>
      <c r="L131" s="3"/>
      <c r="M131" s="3"/>
      <c r="N131" s="26"/>
      <c r="O131" s="26"/>
      <c r="P131" s="26"/>
      <c r="Q131" s="14"/>
      <c r="R131" s="14"/>
      <c r="S131" s="14"/>
      <c r="T131" s="14"/>
      <c r="U131" s="14"/>
      <c r="V131" s="14"/>
      <c r="W131" s="14"/>
      <c r="X131" s="14"/>
      <c r="Y131" s="2"/>
      <c r="Z131" s="14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spans="1:73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0"/>
      <c r="L132" s="3"/>
      <c r="M132" s="3"/>
      <c r="N132" s="26"/>
      <c r="O132" s="26"/>
      <c r="P132" s="26"/>
      <c r="Q132" s="14"/>
      <c r="R132" s="14"/>
      <c r="S132" s="14"/>
      <c r="T132" s="14"/>
      <c r="U132" s="14"/>
      <c r="V132" s="14"/>
      <c r="W132" s="14"/>
      <c r="X132" s="14"/>
      <c r="Y132" s="2"/>
      <c r="Z132" s="14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spans="1:73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0"/>
      <c r="L133" s="3"/>
      <c r="M133" s="3"/>
      <c r="N133" s="26"/>
      <c r="O133" s="26"/>
      <c r="P133" s="26"/>
      <c r="Q133" s="14"/>
      <c r="R133" s="14"/>
      <c r="S133" s="14"/>
      <c r="T133" s="14"/>
      <c r="U133" s="14"/>
      <c r="V133" s="14"/>
      <c r="W133" s="14"/>
      <c r="X133" s="14"/>
      <c r="Y133" s="2"/>
      <c r="Z133" s="14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spans="1:73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0"/>
      <c r="L134" s="3"/>
      <c r="M134" s="3"/>
      <c r="N134" s="26"/>
      <c r="O134" s="26"/>
      <c r="P134" s="26"/>
      <c r="Q134" s="14"/>
      <c r="R134" s="14"/>
      <c r="S134" s="14"/>
      <c r="T134" s="14"/>
      <c r="U134" s="14"/>
      <c r="V134" s="14"/>
      <c r="W134" s="14"/>
      <c r="X134" s="14"/>
      <c r="Y134" s="2"/>
      <c r="Z134" s="14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spans="1:73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0"/>
      <c r="L135" s="3"/>
      <c r="M135" s="3"/>
      <c r="N135" s="26"/>
      <c r="O135" s="26"/>
      <c r="P135" s="26"/>
      <c r="Q135" s="14"/>
      <c r="R135" s="14"/>
      <c r="S135" s="14"/>
      <c r="T135" s="14"/>
      <c r="U135" s="14"/>
      <c r="V135" s="14"/>
      <c r="W135" s="14"/>
      <c r="X135" s="14"/>
      <c r="Y135" s="2"/>
      <c r="Z135" s="14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spans="1:73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0"/>
      <c r="L136" s="3"/>
      <c r="M136" s="3"/>
      <c r="N136" s="26"/>
      <c r="O136" s="26"/>
      <c r="P136" s="26"/>
      <c r="Q136" s="14"/>
      <c r="R136" s="14"/>
      <c r="S136" s="14"/>
      <c r="T136" s="14"/>
      <c r="U136" s="14"/>
      <c r="V136" s="14"/>
      <c r="W136" s="14"/>
      <c r="X136" s="14"/>
      <c r="Y136" s="2"/>
      <c r="Z136" s="14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spans="1:73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0"/>
      <c r="L137" s="3"/>
      <c r="M137" s="3"/>
      <c r="N137" s="26"/>
      <c r="O137" s="26"/>
      <c r="P137" s="26"/>
      <c r="Q137" s="14"/>
      <c r="R137" s="14"/>
      <c r="S137" s="14"/>
      <c r="T137" s="14"/>
      <c r="U137" s="14"/>
      <c r="V137" s="14"/>
      <c r="W137" s="14"/>
      <c r="X137" s="14"/>
      <c r="Y137" s="2"/>
      <c r="Z137" s="14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spans="1:73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0"/>
      <c r="L138" s="3"/>
      <c r="M138" s="3"/>
      <c r="N138" s="26"/>
      <c r="O138" s="26"/>
      <c r="P138" s="26"/>
      <c r="Q138" s="14"/>
      <c r="R138" s="14"/>
      <c r="S138" s="14"/>
      <c r="T138" s="14"/>
      <c r="U138" s="14"/>
      <c r="V138" s="14"/>
      <c r="W138" s="14"/>
      <c r="X138" s="14"/>
      <c r="Y138" s="2"/>
      <c r="Z138" s="14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spans="1:73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0"/>
      <c r="L139" s="3"/>
      <c r="M139" s="3"/>
      <c r="N139" s="26"/>
      <c r="O139" s="26"/>
      <c r="P139" s="26"/>
      <c r="Q139" s="14"/>
      <c r="R139" s="14"/>
      <c r="S139" s="14"/>
      <c r="T139" s="14"/>
      <c r="U139" s="14"/>
      <c r="V139" s="14"/>
      <c r="W139" s="14"/>
      <c r="X139" s="14"/>
      <c r="Y139" s="2"/>
      <c r="Z139" s="14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spans="1:73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0"/>
      <c r="L140" s="3"/>
      <c r="M140" s="3"/>
      <c r="N140" s="26"/>
      <c r="O140" s="26"/>
      <c r="P140" s="26"/>
      <c r="Q140" s="14"/>
      <c r="R140" s="14"/>
      <c r="S140" s="14"/>
      <c r="T140" s="14"/>
      <c r="U140" s="14"/>
      <c r="V140" s="14"/>
      <c r="W140" s="14"/>
      <c r="X140" s="14"/>
      <c r="Y140" s="2"/>
      <c r="Z140" s="14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spans="1:73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0"/>
      <c r="L141" s="3"/>
      <c r="M141" s="3"/>
      <c r="N141" s="26"/>
      <c r="O141" s="26"/>
      <c r="P141" s="26"/>
      <c r="Q141" s="14"/>
      <c r="R141" s="14"/>
      <c r="S141" s="14"/>
      <c r="T141" s="14"/>
      <c r="U141" s="14"/>
      <c r="V141" s="14"/>
      <c r="W141" s="14"/>
      <c r="X141" s="14"/>
      <c r="Y141" s="2"/>
      <c r="Z141" s="14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spans="1:73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0"/>
      <c r="L142" s="3"/>
      <c r="M142" s="3"/>
      <c r="N142" s="26"/>
      <c r="O142" s="26"/>
      <c r="P142" s="26"/>
      <c r="Q142" s="14"/>
      <c r="R142" s="14"/>
      <c r="S142" s="14"/>
      <c r="T142" s="14"/>
      <c r="U142" s="14"/>
      <c r="V142" s="14"/>
      <c r="W142" s="14"/>
      <c r="X142" s="14"/>
      <c r="Y142" s="2"/>
      <c r="Z142" s="14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spans="1:73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0"/>
      <c r="L143" s="3"/>
      <c r="M143" s="3"/>
      <c r="N143" s="26"/>
      <c r="O143" s="26"/>
      <c r="P143" s="26"/>
      <c r="Q143" s="14"/>
      <c r="R143" s="14"/>
      <c r="S143" s="14"/>
      <c r="T143" s="14"/>
      <c r="U143" s="14"/>
      <c r="V143" s="14"/>
      <c r="W143" s="14"/>
      <c r="X143" s="14"/>
      <c r="Y143" s="2"/>
      <c r="Z143" s="14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spans="1:73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0"/>
      <c r="L144" s="3"/>
      <c r="M144" s="3"/>
      <c r="N144" s="26"/>
      <c r="O144" s="26"/>
      <c r="P144" s="26"/>
      <c r="Q144" s="14"/>
      <c r="R144" s="14"/>
      <c r="S144" s="14"/>
      <c r="T144" s="14"/>
      <c r="U144" s="14"/>
      <c r="V144" s="14"/>
      <c r="W144" s="14"/>
      <c r="X144" s="14"/>
      <c r="Y144" s="2"/>
      <c r="Z144" s="14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spans="1:73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0"/>
      <c r="L145" s="3"/>
      <c r="M145" s="3"/>
      <c r="N145" s="26"/>
      <c r="O145" s="26"/>
      <c r="P145" s="26"/>
      <c r="Q145" s="14"/>
      <c r="R145" s="14"/>
      <c r="S145" s="14"/>
      <c r="T145" s="14"/>
      <c r="U145" s="14"/>
      <c r="V145" s="14"/>
      <c r="W145" s="14"/>
      <c r="X145" s="14"/>
      <c r="Y145" s="2"/>
      <c r="Z145" s="14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spans="1:73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0"/>
      <c r="L146" s="3"/>
      <c r="M146" s="3"/>
      <c r="N146" s="26"/>
      <c r="O146" s="26"/>
      <c r="P146" s="26"/>
      <c r="Q146" s="14"/>
      <c r="R146" s="14"/>
      <c r="S146" s="14"/>
      <c r="T146" s="14"/>
      <c r="U146" s="14"/>
      <c r="V146" s="14"/>
      <c r="W146" s="14"/>
      <c r="X146" s="14"/>
      <c r="Y146" s="2"/>
      <c r="Z146" s="14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spans="1:73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0"/>
      <c r="L147" s="3"/>
      <c r="M147" s="3"/>
      <c r="N147" s="26"/>
      <c r="O147" s="26"/>
      <c r="P147" s="26"/>
      <c r="Q147" s="14"/>
      <c r="R147" s="14"/>
      <c r="S147" s="14"/>
      <c r="T147" s="14"/>
      <c r="U147" s="14"/>
      <c r="V147" s="14"/>
      <c r="W147" s="14"/>
      <c r="X147" s="14"/>
      <c r="Y147" s="2"/>
      <c r="Z147" s="14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spans="1:73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0"/>
      <c r="L148" s="3"/>
      <c r="M148" s="3"/>
      <c r="N148" s="26"/>
      <c r="O148" s="26"/>
      <c r="P148" s="26"/>
      <c r="Q148" s="14"/>
      <c r="R148" s="14"/>
      <c r="S148" s="14"/>
      <c r="T148" s="14"/>
      <c r="U148" s="14"/>
      <c r="V148" s="14"/>
      <c r="W148" s="14"/>
      <c r="X148" s="14"/>
      <c r="Y148" s="2"/>
      <c r="Z148" s="14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spans="1:73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0"/>
      <c r="L149" s="3"/>
      <c r="M149" s="3"/>
      <c r="N149" s="26"/>
      <c r="O149" s="26"/>
      <c r="P149" s="26"/>
      <c r="Q149" s="14"/>
      <c r="R149" s="14"/>
      <c r="S149" s="14"/>
      <c r="T149" s="14"/>
      <c r="U149" s="14"/>
      <c r="V149" s="14"/>
      <c r="W149" s="14"/>
      <c r="X149" s="14"/>
      <c r="Y149" s="2"/>
      <c r="Z149" s="14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spans="1:73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0"/>
      <c r="L150" s="3"/>
      <c r="M150" s="3"/>
      <c r="N150" s="26"/>
      <c r="O150" s="26"/>
      <c r="P150" s="26"/>
      <c r="Q150" s="14"/>
      <c r="R150" s="14"/>
      <c r="S150" s="14"/>
      <c r="T150" s="14"/>
      <c r="U150" s="14"/>
      <c r="V150" s="14"/>
      <c r="W150" s="14"/>
      <c r="X150" s="14"/>
      <c r="Y150" s="2"/>
      <c r="Z150" s="14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spans="1:73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3"/>
      <c r="M151" s="3"/>
      <c r="N151" s="26"/>
      <c r="O151" s="26"/>
      <c r="P151" s="26"/>
      <c r="Q151" s="14"/>
      <c r="R151" s="14"/>
      <c r="S151" s="14"/>
      <c r="T151" s="14"/>
      <c r="U151" s="14"/>
      <c r="V151" s="14"/>
      <c r="W151" s="14"/>
      <c r="X151" s="14"/>
      <c r="Y151" s="2"/>
      <c r="Z151" s="14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spans="1:73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0"/>
      <c r="L152" s="3"/>
      <c r="M152" s="3"/>
      <c r="N152" s="26"/>
      <c r="O152" s="26"/>
      <c r="P152" s="26"/>
      <c r="Q152" s="14"/>
      <c r="R152" s="14"/>
      <c r="S152" s="14"/>
      <c r="T152" s="14"/>
      <c r="U152" s="14"/>
      <c r="V152" s="14"/>
      <c r="W152" s="14"/>
      <c r="X152" s="14"/>
      <c r="Y152" s="2"/>
      <c r="Z152" s="14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spans="1:73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0"/>
      <c r="L153" s="3"/>
      <c r="M153" s="3"/>
      <c r="N153" s="26"/>
      <c r="O153" s="26"/>
      <c r="P153" s="26"/>
      <c r="Q153" s="14"/>
      <c r="R153" s="14"/>
      <c r="S153" s="14"/>
      <c r="T153" s="14"/>
      <c r="U153" s="14"/>
      <c r="V153" s="14"/>
      <c r="W153" s="14"/>
      <c r="X153" s="14"/>
      <c r="Y153" s="2"/>
      <c r="Z153" s="14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spans="1:73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0"/>
      <c r="L154" s="3"/>
      <c r="M154" s="3"/>
      <c r="N154" s="26"/>
      <c r="O154" s="26"/>
      <c r="P154" s="26"/>
      <c r="Q154" s="14"/>
      <c r="R154" s="14"/>
      <c r="S154" s="14"/>
      <c r="T154" s="14"/>
      <c r="U154" s="14"/>
      <c r="V154" s="14"/>
      <c r="W154" s="14"/>
      <c r="X154" s="14"/>
      <c r="Y154" s="2"/>
      <c r="Z154" s="14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spans="1:73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0"/>
      <c r="L155" s="3"/>
      <c r="M155" s="3"/>
      <c r="N155" s="26"/>
      <c r="O155" s="26"/>
      <c r="P155" s="26"/>
      <c r="Q155" s="14"/>
      <c r="R155" s="14"/>
      <c r="S155" s="14"/>
      <c r="T155" s="14"/>
      <c r="U155" s="14"/>
      <c r="V155" s="14"/>
      <c r="W155" s="14"/>
      <c r="X155" s="14"/>
      <c r="Y155" s="2"/>
      <c r="Z155" s="14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spans="1:73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0"/>
      <c r="L156" s="3"/>
      <c r="M156" s="3"/>
      <c r="N156" s="26"/>
      <c r="O156" s="26"/>
      <c r="P156" s="26"/>
      <c r="Q156" s="14"/>
      <c r="R156" s="14"/>
      <c r="S156" s="14"/>
      <c r="T156" s="14"/>
      <c r="U156" s="14"/>
      <c r="V156" s="14"/>
      <c r="W156" s="14"/>
      <c r="X156" s="14"/>
      <c r="Y156" s="2"/>
      <c r="Z156" s="14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spans="1:73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0"/>
      <c r="L157" s="3"/>
      <c r="M157" s="3"/>
      <c r="N157" s="26"/>
      <c r="O157" s="26"/>
      <c r="P157" s="26"/>
      <c r="Q157" s="14"/>
      <c r="R157" s="14"/>
      <c r="S157" s="14"/>
      <c r="T157" s="14"/>
      <c r="U157" s="14"/>
      <c r="V157" s="14"/>
      <c r="W157" s="14"/>
      <c r="X157" s="14"/>
      <c r="Y157" s="2"/>
      <c r="Z157" s="14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spans="1:73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0"/>
      <c r="L158" s="3"/>
      <c r="M158" s="3"/>
      <c r="N158" s="26"/>
      <c r="O158" s="26"/>
      <c r="P158" s="26"/>
      <c r="Q158" s="14"/>
      <c r="R158" s="14"/>
      <c r="S158" s="14"/>
      <c r="T158" s="14"/>
      <c r="U158" s="14"/>
      <c r="V158" s="14"/>
      <c r="W158" s="14"/>
      <c r="X158" s="14"/>
      <c r="Y158" s="2"/>
      <c r="Z158" s="14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spans="1:73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0"/>
      <c r="L159" s="3"/>
      <c r="M159" s="3"/>
      <c r="N159" s="26"/>
      <c r="O159" s="26"/>
      <c r="P159" s="26"/>
      <c r="Q159" s="14"/>
      <c r="R159" s="14"/>
      <c r="S159" s="14"/>
      <c r="T159" s="14"/>
      <c r="U159" s="14"/>
      <c r="V159" s="14"/>
      <c r="W159" s="14"/>
      <c r="X159" s="14"/>
      <c r="Y159" s="2"/>
      <c r="Z159" s="14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spans="1:73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0"/>
      <c r="L160" s="3"/>
      <c r="M160" s="3"/>
      <c r="N160" s="26"/>
      <c r="O160" s="26"/>
      <c r="P160" s="26"/>
      <c r="Q160" s="14"/>
      <c r="R160" s="14"/>
      <c r="S160" s="14"/>
      <c r="T160" s="14"/>
      <c r="U160" s="14"/>
      <c r="V160" s="14"/>
      <c r="W160" s="14"/>
      <c r="X160" s="14"/>
      <c r="Y160" s="2"/>
      <c r="Z160" s="14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spans="1:73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0"/>
      <c r="L161" s="3"/>
      <c r="M161" s="3"/>
      <c r="N161" s="26"/>
      <c r="O161" s="26"/>
      <c r="P161" s="26"/>
      <c r="Q161" s="14"/>
      <c r="R161" s="14"/>
      <c r="S161" s="14"/>
      <c r="T161" s="14"/>
      <c r="U161" s="14"/>
      <c r="V161" s="14"/>
      <c r="W161" s="14"/>
      <c r="X161" s="14"/>
      <c r="Y161" s="2"/>
      <c r="Z161" s="14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spans="1:73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0"/>
      <c r="L162" s="3"/>
      <c r="M162" s="3"/>
      <c r="N162" s="26"/>
      <c r="O162" s="26"/>
      <c r="P162" s="26"/>
      <c r="Q162" s="14"/>
      <c r="R162" s="14"/>
      <c r="S162" s="14"/>
      <c r="T162" s="14"/>
      <c r="U162" s="14"/>
      <c r="V162" s="14"/>
      <c r="W162" s="14"/>
      <c r="X162" s="14"/>
      <c r="Y162" s="2"/>
      <c r="Z162" s="14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spans="1:73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0"/>
      <c r="L163" s="3"/>
      <c r="M163" s="3"/>
      <c r="N163" s="26"/>
      <c r="O163" s="26"/>
      <c r="P163" s="26"/>
      <c r="Q163" s="14"/>
      <c r="R163" s="14"/>
      <c r="S163" s="14"/>
      <c r="T163" s="14"/>
      <c r="U163" s="14"/>
      <c r="V163" s="14"/>
      <c r="W163" s="14"/>
      <c r="X163" s="14"/>
      <c r="Y163" s="2"/>
      <c r="Z163" s="14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spans="1:73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0"/>
      <c r="L164" s="3"/>
      <c r="M164" s="3"/>
      <c r="N164" s="26"/>
      <c r="O164" s="26"/>
      <c r="P164" s="26"/>
      <c r="Q164" s="14"/>
      <c r="R164" s="14"/>
      <c r="S164" s="14"/>
      <c r="T164" s="14"/>
      <c r="U164" s="14"/>
      <c r="V164" s="14"/>
      <c r="W164" s="14"/>
      <c r="X164" s="14"/>
      <c r="Y164" s="2"/>
      <c r="Z164" s="14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spans="1:73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0"/>
      <c r="L165" s="3"/>
      <c r="M165" s="3"/>
      <c r="N165" s="26"/>
      <c r="O165" s="26"/>
      <c r="P165" s="26"/>
      <c r="Q165" s="14"/>
      <c r="R165" s="14"/>
      <c r="S165" s="14"/>
      <c r="T165" s="14"/>
      <c r="U165" s="14"/>
      <c r="V165" s="14"/>
      <c r="W165" s="14"/>
      <c r="X165" s="14"/>
      <c r="Y165" s="2"/>
      <c r="Z165" s="14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spans="1:73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0"/>
      <c r="L166" s="3"/>
      <c r="M166" s="3"/>
      <c r="N166" s="26"/>
      <c r="O166" s="26"/>
      <c r="P166" s="26"/>
      <c r="Q166" s="14"/>
      <c r="R166" s="14"/>
      <c r="S166" s="14"/>
      <c r="T166" s="14"/>
      <c r="U166" s="14"/>
      <c r="V166" s="14"/>
      <c r="W166" s="14"/>
      <c r="X166" s="14"/>
      <c r="Y166" s="2"/>
      <c r="Z166" s="14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spans="1:73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0"/>
      <c r="L167" s="3"/>
      <c r="M167" s="3"/>
      <c r="N167" s="26"/>
      <c r="O167" s="26"/>
      <c r="P167" s="26"/>
      <c r="Q167" s="14"/>
      <c r="R167" s="14"/>
      <c r="S167" s="14"/>
      <c r="T167" s="14"/>
      <c r="U167" s="14"/>
      <c r="V167" s="14"/>
      <c r="W167" s="14"/>
      <c r="X167" s="14"/>
      <c r="Y167" s="2"/>
      <c r="Z167" s="14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spans="1:73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0"/>
      <c r="L168" s="3"/>
      <c r="M168" s="3"/>
      <c r="N168" s="26"/>
      <c r="O168" s="26"/>
      <c r="P168" s="26"/>
      <c r="Q168" s="14"/>
      <c r="R168" s="14"/>
      <c r="S168" s="14"/>
      <c r="T168" s="14"/>
      <c r="U168" s="14"/>
      <c r="V168" s="14"/>
      <c r="W168" s="14"/>
      <c r="X168" s="14"/>
      <c r="Y168" s="2"/>
      <c r="Z168" s="14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spans="1:73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0"/>
      <c r="L169" s="3"/>
      <c r="M169" s="3"/>
      <c r="N169" s="26"/>
      <c r="O169" s="26"/>
      <c r="P169" s="26"/>
      <c r="Q169" s="14"/>
      <c r="R169" s="14"/>
      <c r="S169" s="14"/>
      <c r="T169" s="14"/>
      <c r="U169" s="14"/>
      <c r="V169" s="14"/>
      <c r="W169" s="14"/>
      <c r="X169" s="14"/>
      <c r="Y169" s="2"/>
      <c r="Z169" s="14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spans="1:73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0"/>
      <c r="L170" s="3"/>
      <c r="M170" s="3"/>
      <c r="N170" s="26"/>
      <c r="O170" s="26"/>
      <c r="P170" s="26"/>
      <c r="Q170" s="14"/>
      <c r="R170" s="14"/>
      <c r="S170" s="14"/>
      <c r="T170" s="14"/>
      <c r="U170" s="14"/>
      <c r="V170" s="14"/>
      <c r="W170" s="14"/>
      <c r="X170" s="14"/>
      <c r="Y170" s="2"/>
      <c r="Z170" s="14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spans="1:73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0"/>
      <c r="L171" s="3"/>
      <c r="M171" s="3"/>
      <c r="N171" s="26"/>
      <c r="O171" s="26"/>
      <c r="P171" s="26"/>
      <c r="Q171" s="14"/>
      <c r="R171" s="14"/>
      <c r="S171" s="14"/>
      <c r="T171" s="14"/>
      <c r="U171" s="14"/>
      <c r="V171" s="14"/>
      <c r="W171" s="14"/>
      <c r="X171" s="14"/>
      <c r="Y171" s="2"/>
      <c r="Z171" s="14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spans="1:73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0"/>
      <c r="L172" s="3"/>
      <c r="M172" s="3"/>
      <c r="N172" s="26"/>
      <c r="O172" s="26"/>
      <c r="P172" s="26"/>
      <c r="Q172" s="14"/>
      <c r="R172" s="14"/>
      <c r="S172" s="14"/>
      <c r="T172" s="14"/>
      <c r="U172" s="14"/>
      <c r="V172" s="14"/>
      <c r="W172" s="14"/>
      <c r="X172" s="14"/>
      <c r="Y172" s="2"/>
      <c r="Z172" s="14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spans="1:73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0"/>
      <c r="L173" s="3"/>
      <c r="M173" s="3"/>
      <c r="N173" s="26"/>
      <c r="O173" s="26"/>
      <c r="P173" s="26"/>
      <c r="Q173" s="14"/>
      <c r="R173" s="14"/>
      <c r="S173" s="14"/>
      <c r="T173" s="14"/>
      <c r="U173" s="14"/>
      <c r="V173" s="14"/>
      <c r="W173" s="14"/>
      <c r="X173" s="14"/>
      <c r="Y173" s="2"/>
      <c r="Z173" s="14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spans="1:73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0"/>
      <c r="L174" s="3"/>
      <c r="M174" s="3"/>
      <c r="N174" s="26"/>
      <c r="O174" s="26"/>
      <c r="P174" s="26"/>
      <c r="Q174" s="14"/>
      <c r="R174" s="14"/>
      <c r="S174" s="14"/>
      <c r="T174" s="14"/>
      <c r="U174" s="14"/>
      <c r="V174" s="14"/>
      <c r="W174" s="14"/>
      <c r="X174" s="14"/>
      <c r="Y174" s="2"/>
      <c r="Z174" s="14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spans="1:73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0"/>
      <c r="L175" s="3"/>
      <c r="M175" s="3"/>
      <c r="N175" s="26"/>
      <c r="O175" s="26"/>
      <c r="P175" s="26"/>
      <c r="Q175" s="14"/>
      <c r="R175" s="14"/>
      <c r="S175" s="14"/>
      <c r="T175" s="14"/>
      <c r="U175" s="14"/>
      <c r="V175" s="14"/>
      <c r="W175" s="14"/>
      <c r="X175" s="14"/>
      <c r="Y175" s="2"/>
      <c r="Z175" s="14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spans="1:73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0"/>
      <c r="L176" s="3"/>
      <c r="M176" s="3"/>
      <c r="N176" s="26"/>
      <c r="O176" s="26"/>
      <c r="P176" s="26"/>
      <c r="Q176" s="14"/>
      <c r="R176" s="14"/>
      <c r="S176" s="14"/>
      <c r="T176" s="14"/>
      <c r="U176" s="14"/>
      <c r="V176" s="14"/>
      <c r="W176" s="14"/>
      <c r="X176" s="14"/>
      <c r="Y176" s="2"/>
      <c r="Z176" s="14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spans="1:73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0"/>
      <c r="L177" s="3"/>
      <c r="M177" s="3"/>
      <c r="N177" s="26"/>
      <c r="O177" s="26"/>
      <c r="P177" s="26"/>
      <c r="Q177" s="14"/>
      <c r="R177" s="14"/>
      <c r="S177" s="14"/>
      <c r="T177" s="14"/>
      <c r="U177" s="14"/>
      <c r="V177" s="14"/>
      <c r="W177" s="14"/>
      <c r="X177" s="14"/>
      <c r="Y177" s="2"/>
      <c r="Z177" s="14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spans="1:73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0"/>
      <c r="L178" s="3"/>
      <c r="M178" s="3"/>
      <c r="N178" s="26"/>
      <c r="O178" s="26"/>
      <c r="P178" s="26"/>
      <c r="Q178" s="14"/>
      <c r="R178" s="14"/>
      <c r="S178" s="14"/>
      <c r="T178" s="14"/>
      <c r="U178" s="14"/>
      <c r="V178" s="14"/>
      <c r="W178" s="14"/>
      <c r="X178" s="14"/>
      <c r="Y178" s="2"/>
      <c r="Z178" s="14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spans="1:73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0"/>
      <c r="L179" s="3"/>
      <c r="M179" s="3"/>
      <c r="N179" s="26"/>
      <c r="O179" s="26"/>
      <c r="P179" s="26"/>
      <c r="Q179" s="14"/>
      <c r="R179" s="14"/>
      <c r="S179" s="14"/>
      <c r="T179" s="14"/>
      <c r="U179" s="14"/>
      <c r="V179" s="14"/>
      <c r="W179" s="14"/>
      <c r="X179" s="14"/>
      <c r="Y179" s="2"/>
      <c r="Z179" s="14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spans="1:73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0"/>
      <c r="L180" s="3"/>
      <c r="M180" s="3"/>
      <c r="N180" s="26"/>
      <c r="O180" s="26"/>
      <c r="P180" s="26"/>
      <c r="Q180" s="14"/>
      <c r="R180" s="14"/>
      <c r="S180" s="14"/>
      <c r="T180" s="14"/>
      <c r="U180" s="14"/>
      <c r="V180" s="14"/>
      <c r="W180" s="14"/>
      <c r="X180" s="14"/>
      <c r="Y180" s="2"/>
      <c r="Z180" s="14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spans="1:73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0"/>
      <c r="L181" s="3"/>
      <c r="M181" s="3"/>
      <c r="N181" s="26"/>
      <c r="O181" s="26"/>
      <c r="P181" s="26"/>
      <c r="Q181" s="14"/>
      <c r="R181" s="14"/>
      <c r="S181" s="14"/>
      <c r="T181" s="14"/>
      <c r="U181" s="14"/>
      <c r="V181" s="14"/>
      <c r="W181" s="14"/>
      <c r="X181" s="14"/>
      <c r="Y181" s="2"/>
      <c r="Z181" s="14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spans="1:73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0"/>
      <c r="L182" s="3"/>
      <c r="M182" s="3"/>
      <c r="N182" s="26"/>
      <c r="O182" s="26"/>
      <c r="P182" s="26"/>
      <c r="Q182" s="14"/>
      <c r="R182" s="14"/>
      <c r="S182" s="14"/>
      <c r="T182" s="14"/>
      <c r="U182" s="14"/>
      <c r="V182" s="14"/>
      <c r="W182" s="14"/>
      <c r="X182" s="14"/>
      <c r="Y182" s="2"/>
      <c r="Z182" s="14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spans="1:73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0"/>
      <c r="L183" s="3"/>
      <c r="M183" s="3"/>
      <c r="N183" s="26"/>
      <c r="O183" s="26"/>
      <c r="P183" s="26"/>
      <c r="Q183" s="14"/>
      <c r="R183" s="14"/>
      <c r="S183" s="14"/>
      <c r="T183" s="14"/>
      <c r="U183" s="14"/>
      <c r="V183" s="14"/>
      <c r="W183" s="14"/>
      <c r="X183" s="14"/>
      <c r="Y183" s="2"/>
      <c r="Z183" s="14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spans="1:73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0"/>
      <c r="L184" s="3"/>
      <c r="M184" s="3"/>
      <c r="N184" s="26"/>
      <c r="O184" s="26"/>
      <c r="P184" s="26"/>
      <c r="Q184" s="14"/>
      <c r="R184" s="14"/>
      <c r="S184" s="14"/>
      <c r="T184" s="14"/>
      <c r="U184" s="14"/>
      <c r="V184" s="14"/>
      <c r="W184" s="14"/>
      <c r="X184" s="14"/>
      <c r="Y184" s="2"/>
      <c r="Z184" s="14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spans="1:73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0"/>
      <c r="L185" s="3"/>
      <c r="M185" s="3"/>
      <c r="N185" s="26"/>
      <c r="O185" s="26"/>
      <c r="P185" s="26"/>
      <c r="Q185" s="14"/>
      <c r="R185" s="14"/>
      <c r="S185" s="14"/>
      <c r="T185" s="14"/>
      <c r="U185" s="14"/>
      <c r="V185" s="14"/>
      <c r="W185" s="14"/>
      <c r="X185" s="14"/>
      <c r="Y185" s="2"/>
      <c r="Z185" s="14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spans="1:73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0"/>
      <c r="L186" s="3"/>
      <c r="M186" s="3"/>
      <c r="N186" s="26"/>
      <c r="O186" s="26"/>
      <c r="P186" s="26"/>
      <c r="Q186" s="14"/>
      <c r="R186" s="14"/>
      <c r="S186" s="14"/>
      <c r="T186" s="14"/>
      <c r="U186" s="14"/>
      <c r="V186" s="14"/>
      <c r="W186" s="14"/>
      <c r="X186" s="14"/>
      <c r="Y186" s="2"/>
      <c r="Z186" s="14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spans="1:73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0"/>
      <c r="L187" s="3"/>
      <c r="M187" s="3"/>
      <c r="N187" s="26"/>
      <c r="O187" s="26"/>
      <c r="P187" s="26"/>
      <c r="Q187" s="14"/>
      <c r="R187" s="14"/>
      <c r="S187" s="14"/>
      <c r="T187" s="14"/>
      <c r="U187" s="14"/>
      <c r="V187" s="14"/>
      <c r="W187" s="14"/>
      <c r="X187" s="14"/>
      <c r="Y187" s="2"/>
      <c r="Z187" s="14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spans="1:73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0"/>
      <c r="L188" s="3"/>
      <c r="M188" s="3"/>
      <c r="N188" s="26"/>
      <c r="O188" s="26"/>
      <c r="P188" s="26"/>
      <c r="Q188" s="14"/>
      <c r="R188" s="14"/>
      <c r="S188" s="14"/>
      <c r="T188" s="14"/>
      <c r="U188" s="14"/>
      <c r="V188" s="14"/>
      <c r="W188" s="14"/>
      <c r="X188" s="14"/>
      <c r="Y188" s="2"/>
      <c r="Z188" s="14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spans="1:73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0"/>
      <c r="L189" s="3"/>
      <c r="M189" s="3"/>
      <c r="N189" s="26"/>
      <c r="O189" s="26"/>
      <c r="P189" s="26"/>
      <c r="Q189" s="14"/>
      <c r="R189" s="14"/>
      <c r="S189" s="14"/>
      <c r="T189" s="14"/>
      <c r="U189" s="14"/>
      <c r="V189" s="14"/>
      <c r="W189" s="14"/>
      <c r="X189" s="14"/>
      <c r="Y189" s="2"/>
      <c r="Z189" s="14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spans="1:73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0"/>
      <c r="L190" s="3"/>
      <c r="M190" s="3"/>
      <c r="N190" s="26"/>
      <c r="O190" s="26"/>
      <c r="P190" s="26"/>
      <c r="Q190" s="14"/>
      <c r="R190" s="14"/>
      <c r="S190" s="14"/>
      <c r="T190" s="14"/>
      <c r="U190" s="14"/>
      <c r="V190" s="14"/>
      <c r="W190" s="14"/>
      <c r="X190" s="14"/>
      <c r="Y190" s="2"/>
      <c r="Z190" s="14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spans="1:73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0"/>
      <c r="L191" s="3"/>
      <c r="M191" s="3"/>
      <c r="N191" s="26"/>
      <c r="O191" s="26"/>
      <c r="P191" s="26"/>
      <c r="Q191" s="14"/>
      <c r="R191" s="14"/>
      <c r="S191" s="14"/>
      <c r="T191" s="14"/>
      <c r="U191" s="14"/>
      <c r="V191" s="14"/>
      <c r="W191" s="14"/>
      <c r="X191" s="14"/>
      <c r="Y191" s="2"/>
      <c r="Z191" s="14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spans="1:73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0"/>
      <c r="L192" s="3"/>
      <c r="M192" s="3"/>
      <c r="N192" s="26"/>
      <c r="O192" s="26"/>
      <c r="P192" s="26"/>
      <c r="Q192" s="14"/>
      <c r="R192" s="14"/>
      <c r="S192" s="14"/>
      <c r="T192" s="14"/>
      <c r="U192" s="14"/>
      <c r="V192" s="14"/>
      <c r="W192" s="14"/>
      <c r="X192" s="14"/>
      <c r="Y192" s="2"/>
      <c r="Z192" s="14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spans="1:73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0"/>
      <c r="L193" s="3"/>
      <c r="M193" s="3"/>
      <c r="N193" s="26"/>
      <c r="O193" s="26"/>
      <c r="P193" s="26"/>
      <c r="Q193" s="14"/>
      <c r="R193" s="14"/>
      <c r="S193" s="14"/>
      <c r="T193" s="14"/>
      <c r="U193" s="14"/>
      <c r="V193" s="14"/>
      <c r="W193" s="14"/>
      <c r="X193" s="14"/>
      <c r="Y193" s="2"/>
      <c r="Z193" s="14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spans="1:73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0"/>
      <c r="L194" s="3"/>
      <c r="M194" s="3"/>
      <c r="N194" s="26"/>
      <c r="O194" s="26"/>
      <c r="P194" s="26"/>
      <c r="Q194" s="14"/>
      <c r="R194" s="14"/>
      <c r="S194" s="14"/>
      <c r="T194" s="14"/>
      <c r="U194" s="14"/>
      <c r="V194" s="14"/>
      <c r="W194" s="14"/>
      <c r="X194" s="14"/>
      <c r="Y194" s="2"/>
      <c r="Z194" s="14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spans="1:73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0"/>
      <c r="L195" s="3"/>
      <c r="M195" s="3"/>
      <c r="N195" s="26"/>
      <c r="O195" s="26"/>
      <c r="P195" s="26"/>
      <c r="Q195" s="14"/>
      <c r="R195" s="14"/>
      <c r="S195" s="14"/>
      <c r="T195" s="14"/>
      <c r="U195" s="14"/>
      <c r="V195" s="14"/>
      <c r="W195" s="14"/>
      <c r="X195" s="14"/>
      <c r="Y195" s="2"/>
      <c r="Z195" s="14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spans="1:73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0"/>
      <c r="L196" s="3"/>
      <c r="M196" s="3"/>
      <c r="N196" s="26"/>
      <c r="O196" s="26"/>
      <c r="P196" s="26"/>
      <c r="Q196" s="14"/>
      <c r="R196" s="14"/>
      <c r="S196" s="14"/>
      <c r="T196" s="14"/>
      <c r="U196" s="14"/>
      <c r="V196" s="14"/>
      <c r="W196" s="14"/>
      <c r="X196" s="14"/>
      <c r="Y196" s="2"/>
      <c r="Z196" s="14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spans="1:73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0"/>
      <c r="L197" s="3"/>
      <c r="M197" s="3"/>
      <c r="N197" s="26"/>
      <c r="O197" s="26"/>
      <c r="P197" s="26"/>
      <c r="Q197" s="14"/>
      <c r="R197" s="14"/>
      <c r="S197" s="14"/>
      <c r="T197" s="14"/>
      <c r="U197" s="14"/>
      <c r="V197" s="14"/>
      <c r="W197" s="14"/>
      <c r="X197" s="14"/>
      <c r="Y197" s="2"/>
      <c r="Z197" s="14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spans="1:73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0"/>
      <c r="L198" s="3"/>
      <c r="M198" s="3"/>
      <c r="N198" s="26"/>
      <c r="O198" s="26"/>
      <c r="P198" s="26"/>
      <c r="Q198" s="14"/>
      <c r="R198" s="14"/>
      <c r="S198" s="14"/>
      <c r="T198" s="14"/>
      <c r="U198" s="14"/>
      <c r="V198" s="14"/>
      <c r="W198" s="14"/>
      <c r="X198" s="14"/>
      <c r="Y198" s="2"/>
      <c r="Z198" s="14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spans="1:73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0"/>
      <c r="L199" s="3"/>
      <c r="M199" s="3"/>
      <c r="N199" s="26"/>
      <c r="O199" s="26"/>
      <c r="P199" s="26"/>
      <c r="Q199" s="14"/>
      <c r="R199" s="14"/>
      <c r="S199" s="14"/>
      <c r="T199" s="14"/>
      <c r="U199" s="14"/>
      <c r="V199" s="14"/>
      <c r="W199" s="14"/>
      <c r="X199" s="14"/>
      <c r="Y199" s="2"/>
      <c r="Z199" s="14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spans="1:73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0"/>
      <c r="L200" s="3"/>
      <c r="M200" s="3"/>
      <c r="N200" s="26"/>
      <c r="O200" s="26"/>
      <c r="P200" s="26"/>
      <c r="Q200" s="14"/>
      <c r="R200" s="14"/>
      <c r="S200" s="14"/>
      <c r="T200" s="14"/>
      <c r="U200" s="14"/>
      <c r="V200" s="14"/>
      <c r="W200" s="14"/>
      <c r="X200" s="14"/>
      <c r="Y200" s="2"/>
      <c r="Z200" s="14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spans="1:73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0"/>
      <c r="L201" s="3"/>
      <c r="M201" s="3"/>
      <c r="N201" s="26"/>
      <c r="O201" s="26"/>
      <c r="P201" s="26"/>
      <c r="Q201" s="14"/>
      <c r="R201" s="14"/>
      <c r="S201" s="14"/>
      <c r="T201" s="14"/>
      <c r="U201" s="14"/>
      <c r="V201" s="14"/>
      <c r="W201" s="14"/>
      <c r="X201" s="14"/>
      <c r="Y201" s="2"/>
      <c r="Z201" s="14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spans="1:73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0"/>
      <c r="L202" s="3"/>
      <c r="M202" s="3"/>
      <c r="N202" s="26"/>
      <c r="O202" s="26"/>
      <c r="P202" s="26"/>
      <c r="Q202" s="14"/>
      <c r="R202" s="14"/>
      <c r="S202" s="14"/>
      <c r="T202" s="14"/>
      <c r="U202" s="14"/>
      <c r="V202" s="14"/>
      <c r="W202" s="14"/>
      <c r="X202" s="14"/>
      <c r="Y202" s="2"/>
      <c r="Z202" s="14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spans="1:73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3"/>
      <c r="M203" s="3"/>
      <c r="N203" s="26"/>
      <c r="O203" s="26"/>
      <c r="P203" s="26"/>
      <c r="Q203" s="14"/>
      <c r="R203" s="14"/>
      <c r="S203" s="14"/>
      <c r="T203" s="14"/>
      <c r="U203" s="14"/>
      <c r="V203" s="14"/>
      <c r="W203" s="14"/>
      <c r="X203" s="14"/>
      <c r="Y203" s="2"/>
      <c r="Z203" s="14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spans="1:73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0"/>
      <c r="L204" s="3"/>
      <c r="M204" s="3"/>
      <c r="N204" s="26"/>
      <c r="O204" s="26"/>
      <c r="P204" s="26"/>
      <c r="Q204" s="14"/>
      <c r="R204" s="14"/>
      <c r="S204" s="14"/>
      <c r="T204" s="14"/>
      <c r="U204" s="14"/>
      <c r="V204" s="14"/>
      <c r="W204" s="14"/>
      <c r="X204" s="14"/>
      <c r="Y204" s="2"/>
      <c r="Z204" s="14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spans="1:73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0"/>
      <c r="L205" s="3"/>
      <c r="M205" s="3"/>
      <c r="N205" s="26"/>
      <c r="O205" s="26"/>
      <c r="P205" s="26"/>
      <c r="Q205" s="14"/>
      <c r="R205" s="14"/>
      <c r="S205" s="14"/>
      <c r="T205" s="14"/>
      <c r="U205" s="14"/>
      <c r="V205" s="14"/>
      <c r="W205" s="14"/>
      <c r="X205" s="14"/>
      <c r="Y205" s="2"/>
      <c r="Z205" s="14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spans="1:73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0"/>
      <c r="L206" s="3"/>
      <c r="M206" s="3"/>
      <c r="N206" s="26"/>
      <c r="O206" s="26"/>
      <c r="P206" s="26"/>
      <c r="Q206" s="14"/>
      <c r="R206" s="14"/>
      <c r="S206" s="14"/>
      <c r="T206" s="14"/>
      <c r="U206" s="14"/>
      <c r="V206" s="14"/>
      <c r="W206" s="14"/>
      <c r="X206" s="14"/>
      <c r="Y206" s="2"/>
      <c r="Z206" s="14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spans="1:73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0"/>
      <c r="L207" s="3"/>
      <c r="M207" s="3"/>
      <c r="N207" s="26"/>
      <c r="O207" s="26"/>
      <c r="P207" s="26"/>
      <c r="Q207" s="14"/>
      <c r="R207" s="14"/>
      <c r="S207" s="14"/>
      <c r="T207" s="14"/>
      <c r="U207" s="14"/>
      <c r="V207" s="14"/>
      <c r="W207" s="14"/>
      <c r="X207" s="14"/>
      <c r="Y207" s="2"/>
      <c r="Z207" s="14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spans="1:73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0"/>
      <c r="L208" s="3"/>
      <c r="M208" s="3"/>
      <c r="N208" s="26"/>
      <c r="O208" s="26"/>
      <c r="P208" s="26"/>
      <c r="Q208" s="14"/>
      <c r="R208" s="14"/>
      <c r="S208" s="14"/>
      <c r="T208" s="14"/>
      <c r="U208" s="14"/>
      <c r="V208" s="14"/>
      <c r="W208" s="14"/>
      <c r="X208" s="14"/>
      <c r="Y208" s="2"/>
      <c r="Z208" s="14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spans="1:73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0"/>
      <c r="L209" s="3"/>
      <c r="M209" s="3"/>
      <c r="N209" s="26"/>
      <c r="O209" s="26"/>
      <c r="P209" s="26"/>
      <c r="Q209" s="14"/>
      <c r="R209" s="14"/>
      <c r="S209" s="14"/>
      <c r="T209" s="14"/>
      <c r="U209" s="14"/>
      <c r="V209" s="14"/>
      <c r="W209" s="14"/>
      <c r="X209" s="14"/>
      <c r="Y209" s="2"/>
      <c r="Z209" s="14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spans="1:73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0"/>
      <c r="L210" s="3"/>
      <c r="M210" s="3"/>
      <c r="N210" s="26"/>
      <c r="O210" s="26"/>
      <c r="P210" s="26"/>
      <c r="Q210" s="14"/>
      <c r="R210" s="14"/>
      <c r="S210" s="14"/>
      <c r="T210" s="14"/>
      <c r="U210" s="14"/>
      <c r="V210" s="14"/>
      <c r="W210" s="14"/>
      <c r="X210" s="14"/>
      <c r="Y210" s="2"/>
      <c r="Z210" s="14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spans="1:73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0"/>
      <c r="L211" s="3"/>
      <c r="M211" s="3"/>
      <c r="N211" s="26"/>
      <c r="O211" s="26"/>
      <c r="P211" s="26"/>
      <c r="Q211" s="14"/>
      <c r="R211" s="14"/>
      <c r="S211" s="14"/>
      <c r="T211" s="14"/>
      <c r="U211" s="14"/>
      <c r="V211" s="14"/>
      <c r="W211" s="14"/>
      <c r="X211" s="14"/>
      <c r="Y211" s="2"/>
      <c r="Z211" s="14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spans="1:73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0"/>
      <c r="L212" s="3"/>
      <c r="M212" s="3"/>
      <c r="N212" s="26"/>
      <c r="O212" s="26"/>
      <c r="P212" s="26"/>
      <c r="Q212" s="14"/>
      <c r="R212" s="14"/>
      <c r="S212" s="14"/>
      <c r="T212" s="14"/>
      <c r="U212" s="14"/>
      <c r="V212" s="14"/>
      <c r="W212" s="14"/>
      <c r="X212" s="14"/>
      <c r="Y212" s="2"/>
      <c r="Z212" s="14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spans="1:73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0"/>
      <c r="L213" s="3"/>
      <c r="M213" s="3"/>
      <c r="N213" s="26"/>
      <c r="O213" s="26"/>
      <c r="P213" s="26"/>
      <c r="Q213" s="14"/>
      <c r="R213" s="14"/>
      <c r="S213" s="14"/>
      <c r="T213" s="14"/>
      <c r="U213" s="14"/>
      <c r="V213" s="14"/>
      <c r="W213" s="14"/>
      <c r="X213" s="14"/>
      <c r="Y213" s="2"/>
      <c r="Z213" s="14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spans="1:73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0"/>
      <c r="L214" s="3"/>
      <c r="M214" s="3"/>
      <c r="N214" s="26"/>
      <c r="O214" s="26"/>
      <c r="P214" s="26"/>
      <c r="Q214" s="14"/>
      <c r="R214" s="14"/>
      <c r="S214" s="14"/>
      <c r="T214" s="14"/>
      <c r="U214" s="14"/>
      <c r="V214" s="14"/>
      <c r="W214" s="14"/>
      <c r="X214" s="14"/>
      <c r="Y214" s="2"/>
      <c r="Z214" s="14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spans="1:73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0"/>
      <c r="L215" s="3"/>
      <c r="M215" s="3"/>
      <c r="N215" s="26"/>
      <c r="O215" s="26"/>
      <c r="P215" s="26"/>
      <c r="Q215" s="14"/>
      <c r="R215" s="14"/>
      <c r="S215" s="14"/>
      <c r="T215" s="14"/>
      <c r="U215" s="14"/>
      <c r="V215" s="14"/>
      <c r="W215" s="14"/>
      <c r="X215" s="14"/>
      <c r="Y215" s="2"/>
      <c r="Z215" s="14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spans="1:73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0"/>
      <c r="L216" s="3"/>
      <c r="M216" s="3"/>
      <c r="N216" s="30"/>
      <c r="O216" s="30"/>
      <c r="P216" s="30"/>
      <c r="Q216" s="17"/>
      <c r="R216" s="17"/>
      <c r="S216" s="17"/>
      <c r="T216" s="17"/>
      <c r="U216" s="17"/>
      <c r="V216" s="17"/>
      <c r="W216" s="17"/>
      <c r="X216" s="17"/>
      <c r="Y216" s="9"/>
      <c r="Z216" s="17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spans="1:73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0"/>
      <c r="L217" s="3"/>
      <c r="M217" s="3"/>
      <c r="N217" s="30"/>
      <c r="O217" s="30"/>
      <c r="P217" s="30"/>
      <c r="Q217" s="17"/>
      <c r="R217" s="17"/>
      <c r="S217" s="17"/>
      <c r="T217" s="17"/>
      <c r="U217" s="17"/>
      <c r="V217" s="17"/>
      <c r="W217" s="17"/>
      <c r="X217" s="17"/>
      <c r="Y217" s="9"/>
      <c r="Z217" s="17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spans="1:73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0"/>
      <c r="L218" s="3"/>
      <c r="M218" s="3"/>
      <c r="N218" s="30"/>
      <c r="O218" s="30"/>
      <c r="P218" s="30"/>
      <c r="Q218" s="17"/>
      <c r="R218" s="17"/>
      <c r="S218" s="17"/>
      <c r="T218" s="17"/>
      <c r="U218" s="17"/>
      <c r="V218" s="17"/>
      <c r="W218" s="17"/>
      <c r="X218" s="17"/>
      <c r="Y218" s="9"/>
      <c r="Z218" s="17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spans="1:73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0"/>
      <c r="L219" s="3"/>
      <c r="M219" s="3"/>
      <c r="N219" s="30"/>
      <c r="O219" s="30"/>
      <c r="P219" s="30"/>
      <c r="Q219" s="17"/>
      <c r="R219" s="17"/>
      <c r="S219" s="17"/>
      <c r="T219" s="17"/>
      <c r="U219" s="17"/>
      <c r="V219" s="17"/>
      <c r="W219" s="17"/>
      <c r="X219" s="17"/>
      <c r="Y219" s="9"/>
      <c r="Z219" s="17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spans="1:73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0"/>
      <c r="L220" s="3"/>
      <c r="M220" s="3"/>
      <c r="N220" s="30"/>
      <c r="O220" s="30"/>
      <c r="P220" s="30"/>
      <c r="Q220" s="17"/>
      <c r="R220" s="17"/>
      <c r="S220" s="17"/>
      <c r="T220" s="17"/>
      <c r="U220" s="17"/>
      <c r="V220" s="17"/>
      <c r="W220" s="17"/>
      <c r="X220" s="17"/>
      <c r="Y220" s="9"/>
      <c r="Z220" s="17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spans="1:73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0"/>
      <c r="L221" s="3"/>
      <c r="M221" s="3"/>
      <c r="N221" s="30"/>
      <c r="O221" s="30"/>
      <c r="P221" s="30"/>
      <c r="Q221" s="17"/>
      <c r="R221" s="17"/>
      <c r="S221" s="17"/>
      <c r="T221" s="17"/>
      <c r="U221" s="17"/>
      <c r="V221" s="17"/>
      <c r="W221" s="17"/>
      <c r="X221" s="17"/>
      <c r="Y221" s="9"/>
      <c r="Z221" s="17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spans="1:73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0"/>
      <c r="L222" s="3"/>
      <c r="M222" s="3"/>
      <c r="N222" s="30"/>
      <c r="O222" s="30"/>
      <c r="P222" s="30"/>
      <c r="Q222" s="17"/>
      <c r="R222" s="17"/>
      <c r="S222" s="17"/>
      <c r="T222" s="17"/>
      <c r="U222" s="17"/>
      <c r="V222" s="17"/>
      <c r="W222" s="17"/>
      <c r="X222" s="17"/>
      <c r="Y222" s="9"/>
      <c r="Z222" s="17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spans="1:73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0"/>
      <c r="L223" s="3"/>
      <c r="M223" s="3"/>
      <c r="N223" s="30"/>
      <c r="O223" s="30"/>
      <c r="P223" s="30"/>
      <c r="Q223" s="17"/>
      <c r="R223" s="17"/>
      <c r="S223" s="17"/>
      <c r="T223" s="17"/>
      <c r="U223" s="17"/>
      <c r="V223" s="17"/>
      <c r="W223" s="17"/>
      <c r="X223" s="17"/>
      <c r="Y223" s="9"/>
      <c r="Z223" s="17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spans="1:73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0"/>
      <c r="L224" s="3"/>
      <c r="M224" s="3"/>
      <c r="N224" s="30"/>
      <c r="O224" s="30"/>
      <c r="P224" s="30"/>
      <c r="Q224" s="17"/>
      <c r="R224" s="17"/>
      <c r="S224" s="17"/>
      <c r="T224" s="17"/>
      <c r="U224" s="17"/>
      <c r="V224" s="17"/>
      <c r="W224" s="17"/>
      <c r="X224" s="17"/>
      <c r="Y224" s="9"/>
      <c r="Z224" s="17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spans="1:73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0"/>
      <c r="L225" s="3"/>
      <c r="M225" s="3"/>
      <c r="N225" s="30"/>
      <c r="O225" s="30"/>
      <c r="P225" s="30"/>
      <c r="Q225" s="17"/>
      <c r="R225" s="17"/>
      <c r="S225" s="17"/>
      <c r="T225" s="17"/>
      <c r="U225" s="17"/>
      <c r="V225" s="17"/>
      <c r="W225" s="17"/>
      <c r="X225" s="17"/>
      <c r="Y225" s="9"/>
      <c r="Z225" s="17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spans="1:73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0"/>
      <c r="L226" s="3"/>
      <c r="M226" s="3"/>
      <c r="N226" s="30"/>
      <c r="O226" s="30"/>
      <c r="P226" s="30"/>
      <c r="Q226" s="17"/>
      <c r="R226" s="17"/>
      <c r="S226" s="17"/>
      <c r="T226" s="17"/>
      <c r="U226" s="17"/>
      <c r="V226" s="17"/>
      <c r="W226" s="17"/>
      <c r="X226" s="17"/>
      <c r="Y226" s="9"/>
      <c r="Z226" s="17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spans="1:73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0"/>
      <c r="L227" s="3"/>
      <c r="M227" s="3"/>
      <c r="N227" s="30"/>
      <c r="O227" s="30"/>
      <c r="P227" s="30"/>
      <c r="Q227" s="17"/>
      <c r="R227" s="17"/>
      <c r="S227" s="17"/>
      <c r="T227" s="17"/>
      <c r="U227" s="17"/>
      <c r="V227" s="17"/>
      <c r="W227" s="17"/>
      <c r="X227" s="17"/>
      <c r="Y227" s="9"/>
      <c r="Z227" s="17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spans="1:73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0"/>
      <c r="L228" s="3"/>
      <c r="M228" s="3"/>
      <c r="N228" s="30"/>
      <c r="O228" s="30"/>
      <c r="P228" s="30"/>
      <c r="Q228" s="17"/>
      <c r="R228" s="17"/>
      <c r="S228" s="17"/>
      <c r="T228" s="17"/>
      <c r="U228" s="17"/>
      <c r="V228" s="17"/>
      <c r="W228" s="17"/>
      <c r="X228" s="17"/>
      <c r="Y228" s="9"/>
      <c r="Z228" s="17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spans="1:73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0"/>
      <c r="L229" s="3"/>
      <c r="M229" s="3"/>
      <c r="N229" s="30"/>
      <c r="O229" s="30"/>
      <c r="P229" s="30"/>
      <c r="Q229" s="17"/>
      <c r="R229" s="17"/>
      <c r="S229" s="17"/>
      <c r="T229" s="17"/>
      <c r="U229" s="17"/>
      <c r="V229" s="17"/>
      <c r="W229" s="17"/>
      <c r="X229" s="17"/>
      <c r="Y229" s="9"/>
      <c r="Z229" s="17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spans="1:73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0"/>
      <c r="L230" s="3"/>
      <c r="M230" s="3"/>
      <c r="N230" s="30"/>
      <c r="O230" s="30"/>
      <c r="P230" s="30"/>
      <c r="Q230" s="17"/>
      <c r="R230" s="17"/>
      <c r="S230" s="17"/>
      <c r="T230" s="17"/>
      <c r="U230" s="17"/>
      <c r="V230" s="17"/>
      <c r="W230" s="17"/>
      <c r="X230" s="17"/>
      <c r="Y230" s="9"/>
      <c r="Z230" s="17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spans="1:73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0"/>
      <c r="L231" s="3"/>
      <c r="M231" s="3"/>
      <c r="N231" s="30"/>
      <c r="O231" s="30"/>
      <c r="P231" s="30"/>
      <c r="Q231" s="17"/>
      <c r="R231" s="17"/>
      <c r="S231" s="17"/>
      <c r="T231" s="17"/>
      <c r="U231" s="17"/>
      <c r="V231" s="17"/>
      <c r="W231" s="17"/>
      <c r="X231" s="17"/>
      <c r="Y231" s="9"/>
      <c r="Z231" s="17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spans="1:73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0"/>
      <c r="L232" s="3"/>
      <c r="M232" s="3"/>
      <c r="N232" s="30"/>
      <c r="O232" s="30"/>
      <c r="P232" s="30"/>
      <c r="Q232" s="17"/>
      <c r="R232" s="17"/>
      <c r="S232" s="17"/>
      <c r="T232" s="17"/>
      <c r="U232" s="17"/>
      <c r="V232" s="17"/>
      <c r="W232" s="17"/>
      <c r="X232" s="17"/>
      <c r="Y232" s="9"/>
      <c r="Z232" s="17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spans="1:73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0"/>
      <c r="L233" s="3"/>
      <c r="M233" s="3"/>
      <c r="N233" s="30"/>
      <c r="O233" s="30"/>
      <c r="P233" s="30"/>
      <c r="Q233" s="17"/>
      <c r="R233" s="17"/>
      <c r="S233" s="17"/>
      <c r="T233" s="17"/>
      <c r="U233" s="17"/>
      <c r="V233" s="17"/>
      <c r="W233" s="17"/>
      <c r="X233" s="17"/>
      <c r="Y233" s="9"/>
      <c r="Z233" s="17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spans="1:73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0"/>
      <c r="L234" s="3"/>
      <c r="M234" s="3"/>
      <c r="N234" s="30"/>
      <c r="O234" s="30"/>
      <c r="P234" s="30"/>
      <c r="Q234" s="17"/>
      <c r="R234" s="17"/>
      <c r="S234" s="17"/>
      <c r="T234" s="17"/>
      <c r="U234" s="17"/>
      <c r="V234" s="17"/>
      <c r="W234" s="17"/>
      <c r="X234" s="17"/>
      <c r="Y234" s="9"/>
      <c r="Z234" s="17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spans="1:73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0"/>
      <c r="L235" s="3"/>
      <c r="M235" s="3"/>
      <c r="N235" s="30"/>
      <c r="O235" s="30"/>
      <c r="P235" s="30"/>
      <c r="Q235" s="17"/>
      <c r="R235" s="17"/>
      <c r="S235" s="17"/>
      <c r="T235" s="17"/>
      <c r="U235" s="17"/>
      <c r="V235" s="17"/>
      <c r="W235" s="17"/>
      <c r="X235" s="17"/>
      <c r="Y235" s="9"/>
      <c r="Z235" s="17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spans="1:73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0"/>
      <c r="L236" s="3"/>
      <c r="M236" s="3"/>
      <c r="N236" s="30"/>
      <c r="O236" s="30"/>
      <c r="P236" s="30"/>
      <c r="Q236" s="17"/>
      <c r="R236" s="17"/>
      <c r="S236" s="17"/>
      <c r="T236" s="17"/>
      <c r="U236" s="17"/>
      <c r="V236" s="17"/>
      <c r="W236" s="17"/>
      <c r="X236" s="17"/>
      <c r="Y236" s="9"/>
      <c r="Z236" s="17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spans="1:73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0"/>
      <c r="L237" s="3"/>
      <c r="M237" s="3"/>
      <c r="N237" s="30"/>
      <c r="O237" s="30"/>
      <c r="P237" s="30"/>
      <c r="Q237" s="17"/>
      <c r="R237" s="17"/>
      <c r="S237" s="17"/>
      <c r="T237" s="17"/>
      <c r="U237" s="17"/>
      <c r="V237" s="17"/>
      <c r="W237" s="17"/>
      <c r="X237" s="17"/>
      <c r="Y237" s="9"/>
      <c r="Z237" s="17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spans="1:73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0"/>
      <c r="L238" s="3"/>
      <c r="M238" s="3"/>
      <c r="N238" s="30"/>
      <c r="O238" s="30"/>
      <c r="P238" s="30"/>
      <c r="Q238" s="17"/>
      <c r="R238" s="17"/>
      <c r="S238" s="17"/>
      <c r="T238" s="17"/>
      <c r="U238" s="17"/>
      <c r="V238" s="17"/>
      <c r="W238" s="17"/>
      <c r="X238" s="17"/>
      <c r="Y238" s="9"/>
      <c r="Z238" s="17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spans="1:73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0"/>
      <c r="L239" s="3"/>
      <c r="M239" s="3"/>
      <c r="N239" s="30"/>
      <c r="O239" s="30"/>
      <c r="P239" s="30"/>
      <c r="Q239" s="17"/>
      <c r="R239" s="17"/>
      <c r="S239" s="17"/>
      <c r="T239" s="17"/>
      <c r="U239" s="17"/>
      <c r="V239" s="17"/>
      <c r="W239" s="17"/>
      <c r="X239" s="17"/>
      <c r="Y239" s="9"/>
      <c r="Z239" s="17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spans="1:73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0"/>
      <c r="L240" s="3"/>
      <c r="M240" s="3"/>
      <c r="N240" s="30"/>
      <c r="O240" s="30"/>
      <c r="P240" s="30"/>
      <c r="Q240" s="17"/>
      <c r="R240" s="17"/>
      <c r="S240" s="17"/>
      <c r="T240" s="17"/>
      <c r="U240" s="17"/>
      <c r="V240" s="17"/>
      <c r="W240" s="17"/>
      <c r="X240" s="17"/>
      <c r="Y240" s="9"/>
      <c r="Z240" s="17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spans="1:73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0"/>
      <c r="L241" s="3"/>
      <c r="M241" s="3"/>
      <c r="N241" s="30"/>
      <c r="O241" s="30"/>
      <c r="P241" s="30"/>
      <c r="Q241" s="17"/>
      <c r="R241" s="17"/>
      <c r="S241" s="17"/>
      <c r="T241" s="17"/>
      <c r="U241" s="17"/>
      <c r="V241" s="17"/>
      <c r="W241" s="17"/>
      <c r="X241" s="17"/>
      <c r="Y241" s="9"/>
      <c r="Z241" s="17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spans="1:73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0"/>
      <c r="L242" s="3"/>
      <c r="M242" s="3"/>
      <c r="N242" s="30"/>
      <c r="O242" s="30"/>
      <c r="P242" s="30"/>
      <c r="Q242" s="17"/>
      <c r="R242" s="17"/>
      <c r="S242" s="17"/>
      <c r="T242" s="17"/>
      <c r="U242" s="17"/>
      <c r="V242" s="17"/>
      <c r="W242" s="17"/>
      <c r="X242" s="17"/>
      <c r="Y242" s="9"/>
      <c r="Z242" s="17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spans="1:73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0"/>
      <c r="L243" s="3"/>
      <c r="M243" s="3"/>
      <c r="N243" s="30"/>
      <c r="O243" s="30"/>
      <c r="P243" s="30"/>
      <c r="Q243" s="17"/>
      <c r="R243" s="17"/>
      <c r="S243" s="17"/>
      <c r="T243" s="17"/>
      <c r="U243" s="17"/>
      <c r="V243" s="17"/>
      <c r="W243" s="17"/>
      <c r="X243" s="17"/>
      <c r="Y243" s="9"/>
      <c r="Z243" s="17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spans="1:73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0"/>
      <c r="L244" s="3"/>
      <c r="M244" s="3"/>
      <c r="N244" s="30"/>
      <c r="O244" s="30"/>
      <c r="P244" s="30"/>
      <c r="Q244" s="17"/>
      <c r="R244" s="17"/>
      <c r="S244" s="17"/>
      <c r="T244" s="17"/>
      <c r="U244" s="17"/>
      <c r="V244" s="17"/>
      <c r="W244" s="17"/>
      <c r="X244" s="17"/>
      <c r="Y244" s="9"/>
      <c r="Z244" s="17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spans="1:73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3"/>
      <c r="M245" s="3"/>
      <c r="N245" s="30"/>
      <c r="O245" s="30"/>
      <c r="P245" s="30"/>
      <c r="Q245" s="17"/>
      <c r="R245" s="17"/>
      <c r="S245" s="17"/>
      <c r="T245" s="17"/>
      <c r="U245" s="17"/>
      <c r="V245" s="17"/>
      <c r="W245" s="17"/>
      <c r="X245" s="17"/>
      <c r="Y245" s="9"/>
      <c r="Z245" s="17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spans="1:73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3"/>
      <c r="M246" s="3"/>
      <c r="N246" s="30"/>
      <c r="O246" s="30"/>
      <c r="P246" s="30"/>
      <c r="Q246" s="17"/>
      <c r="R246" s="17"/>
      <c r="S246" s="17"/>
      <c r="T246" s="17"/>
      <c r="U246" s="17"/>
      <c r="V246" s="17"/>
      <c r="W246" s="17"/>
      <c r="X246" s="17"/>
      <c r="Y246" s="9"/>
      <c r="Z246" s="17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spans="1:73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0"/>
      <c r="L247" s="3"/>
      <c r="M247" s="3"/>
      <c r="N247" s="30"/>
      <c r="O247" s="30"/>
      <c r="P247" s="30"/>
      <c r="Q247" s="17"/>
      <c r="R247" s="17"/>
      <c r="S247" s="17"/>
      <c r="T247" s="17"/>
      <c r="U247" s="17"/>
      <c r="V247" s="17"/>
      <c r="W247" s="17"/>
      <c r="X247" s="17"/>
      <c r="Y247" s="9"/>
      <c r="Z247" s="17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spans="1:73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0"/>
      <c r="L248" s="3"/>
      <c r="M248" s="3"/>
      <c r="N248" s="30"/>
      <c r="O248" s="30"/>
      <c r="P248" s="30"/>
      <c r="Q248" s="17"/>
      <c r="R248" s="17"/>
      <c r="S248" s="17"/>
      <c r="T248" s="17"/>
      <c r="U248" s="17"/>
      <c r="V248" s="17"/>
      <c r="W248" s="17"/>
      <c r="X248" s="17"/>
      <c r="Y248" s="9"/>
      <c r="Z248" s="17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spans="1:73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0"/>
      <c r="L249" s="3"/>
      <c r="M249" s="3"/>
      <c r="N249" s="30"/>
      <c r="O249" s="30"/>
      <c r="P249" s="30"/>
      <c r="Q249" s="17"/>
      <c r="R249" s="17"/>
      <c r="S249" s="17"/>
      <c r="T249" s="17"/>
      <c r="U249" s="17"/>
      <c r="V249" s="17"/>
      <c r="W249" s="17"/>
      <c r="X249" s="17"/>
      <c r="Y249" s="9"/>
      <c r="Z249" s="17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spans="1:73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0"/>
      <c r="L250" s="3"/>
      <c r="M250" s="3"/>
      <c r="N250" s="30"/>
      <c r="O250" s="30"/>
      <c r="P250" s="30"/>
      <c r="Q250" s="17"/>
      <c r="R250" s="17"/>
      <c r="S250" s="17"/>
      <c r="T250" s="17"/>
      <c r="U250" s="17"/>
      <c r="V250" s="17"/>
      <c r="W250" s="17"/>
      <c r="X250" s="17"/>
      <c r="Y250" s="9"/>
      <c r="Z250" s="17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spans="1:73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0"/>
      <c r="L251" s="3"/>
      <c r="M251" s="3"/>
      <c r="N251" s="30"/>
      <c r="O251" s="30"/>
      <c r="P251" s="30"/>
      <c r="Q251" s="17"/>
      <c r="R251" s="17"/>
      <c r="S251" s="17"/>
      <c r="T251" s="17"/>
      <c r="U251" s="17"/>
      <c r="V251" s="17"/>
      <c r="W251" s="17"/>
      <c r="X251" s="17"/>
      <c r="Y251" s="9"/>
      <c r="Z251" s="17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spans="1:73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0"/>
      <c r="L252" s="3"/>
      <c r="M252" s="3"/>
      <c r="N252" s="30"/>
      <c r="O252" s="30"/>
      <c r="P252" s="30"/>
      <c r="Q252" s="17"/>
      <c r="R252" s="17"/>
      <c r="S252" s="17"/>
      <c r="T252" s="17"/>
      <c r="U252" s="17"/>
      <c r="V252" s="17"/>
      <c r="W252" s="17"/>
      <c r="X252" s="17"/>
      <c r="Y252" s="9"/>
      <c r="Z252" s="17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spans="1:73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0"/>
      <c r="L253" s="3"/>
      <c r="M253" s="3"/>
      <c r="N253" s="30"/>
      <c r="O253" s="30"/>
      <c r="P253" s="30"/>
      <c r="Q253" s="17"/>
      <c r="R253" s="17"/>
      <c r="S253" s="17"/>
      <c r="T253" s="17"/>
      <c r="U253" s="17"/>
      <c r="V253" s="17"/>
      <c r="W253" s="17"/>
      <c r="X253" s="17"/>
      <c r="Y253" s="9"/>
      <c r="Z253" s="17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spans="1:73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0"/>
      <c r="L254" s="3"/>
      <c r="M254" s="3"/>
      <c r="N254" s="30"/>
      <c r="O254" s="30"/>
      <c r="P254" s="30"/>
      <c r="Q254" s="17"/>
      <c r="R254" s="17"/>
      <c r="S254" s="17"/>
      <c r="T254" s="17"/>
      <c r="U254" s="17"/>
      <c r="V254" s="17"/>
      <c r="W254" s="17"/>
      <c r="X254" s="17"/>
      <c r="Y254" s="9"/>
      <c r="Z254" s="17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spans="1:73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0"/>
      <c r="L255" s="3"/>
      <c r="M255" s="3"/>
      <c r="N255" s="30"/>
      <c r="O255" s="30"/>
      <c r="P255" s="30"/>
      <c r="Q255" s="17"/>
      <c r="R255" s="17"/>
      <c r="S255" s="17"/>
      <c r="T255" s="17"/>
      <c r="U255" s="17"/>
      <c r="V255" s="17"/>
      <c r="W255" s="17"/>
      <c r="X255" s="17"/>
      <c r="Y255" s="9"/>
      <c r="Z255" s="17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spans="1:73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0"/>
      <c r="L256" s="3"/>
      <c r="M256" s="3"/>
      <c r="N256" s="30"/>
      <c r="O256" s="30"/>
      <c r="P256" s="30"/>
      <c r="Q256" s="17"/>
      <c r="R256" s="17"/>
      <c r="S256" s="17"/>
      <c r="T256" s="17"/>
      <c r="U256" s="17"/>
      <c r="V256" s="17"/>
      <c r="W256" s="17"/>
      <c r="X256" s="17"/>
      <c r="Y256" s="9"/>
      <c r="Z256" s="17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spans="1:73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0"/>
      <c r="L257" s="3"/>
      <c r="M257" s="3"/>
      <c r="N257" s="30"/>
      <c r="O257" s="30"/>
      <c r="P257" s="30"/>
      <c r="Q257" s="17"/>
      <c r="R257" s="17"/>
      <c r="S257" s="17"/>
      <c r="T257" s="17"/>
      <c r="U257" s="17"/>
      <c r="V257" s="17"/>
      <c r="W257" s="17"/>
      <c r="X257" s="17"/>
      <c r="Y257" s="9"/>
      <c r="Z257" s="17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spans="1:73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0"/>
      <c r="L258" s="3"/>
      <c r="M258" s="3"/>
      <c r="N258" s="30"/>
      <c r="O258" s="30"/>
      <c r="P258" s="30"/>
      <c r="Q258" s="17"/>
      <c r="R258" s="17"/>
      <c r="S258" s="17"/>
      <c r="T258" s="17"/>
      <c r="U258" s="17"/>
      <c r="V258" s="17"/>
      <c r="W258" s="17"/>
      <c r="X258" s="17"/>
      <c r="Y258" s="9"/>
      <c r="Z258" s="17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spans="1:73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0"/>
      <c r="L259" s="3"/>
      <c r="M259" s="3"/>
      <c r="N259" s="30"/>
      <c r="O259" s="30"/>
      <c r="P259" s="30"/>
      <c r="Q259" s="17"/>
      <c r="R259" s="17"/>
      <c r="S259" s="17"/>
      <c r="T259" s="17"/>
      <c r="U259" s="17"/>
      <c r="V259" s="17"/>
      <c r="W259" s="17"/>
      <c r="X259" s="17"/>
      <c r="Y259" s="9"/>
      <c r="Z259" s="17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spans="1:73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0"/>
      <c r="L260" s="3"/>
      <c r="M260" s="3"/>
      <c r="N260" s="30"/>
      <c r="O260" s="30"/>
      <c r="P260" s="30"/>
      <c r="Q260" s="17"/>
      <c r="R260" s="17"/>
      <c r="S260" s="17"/>
      <c r="T260" s="17"/>
      <c r="U260" s="17"/>
      <c r="V260" s="17"/>
      <c r="W260" s="17"/>
      <c r="X260" s="17"/>
      <c r="Y260" s="9"/>
      <c r="Z260" s="17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7590-8D59-4DD3-8A03-2627B781B6E4}">
  <dimension ref="A1:BU246"/>
  <sheetViews>
    <sheetView topLeftCell="M1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0" customWidth="1"/>
    <col min="12" max="12" width="20.88671875" style="3" customWidth="1"/>
    <col min="13" max="13" width="26.88671875" style="3" customWidth="1"/>
    <col min="14" max="15" width="20.6640625" style="30" customWidth="1"/>
    <col min="16" max="16" width="36.33203125" style="30" customWidth="1"/>
    <col min="17" max="17" width="23.21875" style="17" customWidth="1"/>
    <col min="18" max="18" width="30.88671875" style="17" customWidth="1"/>
    <col min="19" max="19" width="33.109375" style="17" customWidth="1"/>
    <col min="20" max="20" width="22.5546875" style="17" customWidth="1"/>
    <col min="21" max="24" width="20.6640625" style="17" customWidth="1"/>
    <col min="25" max="25" width="53.21875" style="17" customWidth="1"/>
    <col min="26" max="26" width="53" style="17" customWidth="1"/>
    <col min="27" max="16384" width="8.88671875" style="7"/>
  </cols>
  <sheetData>
    <row r="1" spans="1:26" s="41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22" t="s">
        <v>10</v>
      </c>
      <c r="M1" s="22" t="s">
        <v>41</v>
      </c>
      <c r="N1" s="54" t="s">
        <v>9</v>
      </c>
      <c r="O1" s="29" t="s">
        <v>34</v>
      </c>
      <c r="P1" s="29" t="s">
        <v>44</v>
      </c>
      <c r="Q1" s="18" t="s">
        <v>14</v>
      </c>
      <c r="R1" s="15" t="s">
        <v>23</v>
      </c>
      <c r="S1" s="15" t="s">
        <v>13</v>
      </c>
      <c r="T1" s="15" t="s">
        <v>24</v>
      </c>
      <c r="U1" s="15" t="s">
        <v>45</v>
      </c>
      <c r="V1" s="15" t="s">
        <v>15</v>
      </c>
      <c r="W1" s="15" t="s">
        <v>16</v>
      </c>
      <c r="X1" s="15" t="s">
        <v>25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59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16.10891089108911</v>
      </c>
      <c r="L2" s="2">
        <f>(K2/1000000)</f>
        <v>1.6108910891089111E-5</v>
      </c>
      <c r="M2" s="3">
        <f>(3.142*3.07*3.07*25.4*25.4)/(4*1000000)</f>
        <v>4.7762865441819992E-3</v>
      </c>
      <c r="N2" s="26">
        <f>(L2*J2)/M2</f>
        <v>6.7874698966956461E-8</v>
      </c>
      <c r="O2" s="26">
        <f>(2.032/1000)</f>
        <v>2.032E-3</v>
      </c>
      <c r="P2" s="26">
        <v>1.9414958079189685E-10</v>
      </c>
      <c r="Q2" s="14">
        <v>0.03</v>
      </c>
      <c r="R2" s="14">
        <f>(1+Q2)*100000*1</f>
        <v>103000</v>
      </c>
      <c r="S2" s="14">
        <f>(SQRT(R2)-(N2*O2/P2))^2</f>
        <v>102544.52677440018</v>
      </c>
      <c r="T2" s="14">
        <f>(S2)</f>
        <v>102544.52677440018</v>
      </c>
      <c r="U2" s="14">
        <f>(5.36358238306597/1000)</f>
        <v>5.36358238306597E-3</v>
      </c>
      <c r="V2" s="14">
        <v>0.1</v>
      </c>
      <c r="W2" s="14">
        <f>(1+V2)*100000</f>
        <v>110000.00000000001</v>
      </c>
      <c r="X2" s="14">
        <f>(L2*W2)</f>
        <v>1.7719801980198024</v>
      </c>
      <c r="Y2" s="14">
        <f>(N2*U2)/(T2-X2)</f>
        <v>3.5502414613856011E-15</v>
      </c>
      <c r="Z2" s="14">
        <f>(Y2*6.022E+23)</f>
        <v>2137955408.0464091</v>
      </c>
    </row>
    <row r="3" spans="1:26" x14ac:dyDescent="0.25">
      <c r="A3" s="1">
        <v>3</v>
      </c>
      <c r="B3" s="1">
        <f t="shared" ref="B3:B59" si="1">(A3/60)</f>
        <v>0.05</v>
      </c>
      <c r="C3" s="1">
        <v>20</v>
      </c>
      <c r="D3" s="1">
        <f t="shared" si="0"/>
        <v>29.146000000000001</v>
      </c>
      <c r="E3" s="1">
        <f t="shared" ref="E3:E59" si="2">(D3/(1000000*60))</f>
        <v>4.8576666666666667E-7</v>
      </c>
      <c r="F3" s="1">
        <v>21.1</v>
      </c>
      <c r="G3" s="1">
        <f t="shared" ref="G3:G59" si="3">(273+F3)</f>
        <v>294.10000000000002</v>
      </c>
      <c r="H3" s="1">
        <v>101.3</v>
      </c>
      <c r="I3" s="1">
        <f t="shared" ref="I3:I59" si="4">(H3*1000)</f>
        <v>101300</v>
      </c>
      <c r="J3" s="1">
        <f t="shared" ref="J3:J59" si="5">((I3*E3)/(8.314*G3))</f>
        <v>2.0124824921938581E-5</v>
      </c>
      <c r="K3" s="20">
        <v>14.64851485148515</v>
      </c>
      <c r="L3" s="2">
        <f t="shared" ref="L3:L59" si="6">(K3/1000000)</f>
        <v>1.4648514851485149E-5</v>
      </c>
      <c r="M3" s="3">
        <f t="shared" ref="M3:M59" si="7">(3.142*3.07*3.07*25.4*25.4)/(4*1000000)</f>
        <v>4.7762865441819992E-3</v>
      </c>
      <c r="N3" s="26">
        <f t="shared" ref="N3:N59" si="8">(L3*J3)/M3</f>
        <v>6.1721338120228686E-8</v>
      </c>
      <c r="O3" s="26">
        <f t="shared" ref="O3:O59" si="9">(2.032/1000)</f>
        <v>2.032E-3</v>
      </c>
      <c r="P3" s="26">
        <v>1.9414958079189685E-10</v>
      </c>
      <c r="Q3" s="14">
        <v>0.03</v>
      </c>
      <c r="R3" s="14">
        <f t="shared" ref="R3:R59" si="10">(1+Q3)*100000*1</f>
        <v>103000</v>
      </c>
      <c r="S3" s="14">
        <f t="shared" ref="S3:S59" si="11">(SQRT(R3)-(N3*O3/P3))^2</f>
        <v>102585.77730487044</v>
      </c>
      <c r="T3" s="14">
        <f t="shared" ref="T3:T59" si="12">(S3)</f>
        <v>102585.77730487044</v>
      </c>
      <c r="U3" s="14">
        <f t="shared" ref="U3:U59" si="13">(5.36358238306597/1000)</f>
        <v>5.36358238306597E-3</v>
      </c>
      <c r="V3" s="14">
        <v>0.1</v>
      </c>
      <c r="W3" s="14">
        <f t="shared" ref="W3:W59" si="14">(1+V3)*100000</f>
        <v>110000.00000000001</v>
      </c>
      <c r="X3" s="14">
        <f t="shared" ref="X3:X59" si="15">(L3*W3)</f>
        <v>1.6113366336633665</v>
      </c>
      <c r="Y3" s="14">
        <f t="shared" ref="Y3:Y59" si="16">(N3*U3)/(T3-X3)</f>
        <v>3.2270816716823453E-15</v>
      </c>
      <c r="Z3" s="14">
        <f t="shared" ref="Z3:Z59" si="17">(Y3*6.022E+23)</f>
        <v>1943348582.6871085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12.816831683168319</v>
      </c>
      <c r="L4" s="2">
        <f t="shared" si="6"/>
        <v>1.2816831683168319E-5</v>
      </c>
      <c r="M4" s="3">
        <f t="shared" si="7"/>
        <v>4.7762865441819992E-3</v>
      </c>
      <c r="N4" s="26">
        <f t="shared" si="8"/>
        <v>5.4003563498909124E-8</v>
      </c>
      <c r="O4" s="26">
        <f t="shared" si="9"/>
        <v>2.032E-3</v>
      </c>
      <c r="P4" s="26">
        <v>1.9414958079189685E-10</v>
      </c>
      <c r="Q4" s="14">
        <v>0.03</v>
      </c>
      <c r="R4" s="14">
        <f t="shared" si="10"/>
        <v>103000</v>
      </c>
      <c r="S4" s="14">
        <f t="shared" si="11"/>
        <v>102637.52698511678</v>
      </c>
      <c r="T4" s="14">
        <f t="shared" si="12"/>
        <v>102637.52698511678</v>
      </c>
      <c r="U4" s="14">
        <f t="shared" si="13"/>
        <v>5.36358238306597E-3</v>
      </c>
      <c r="V4" s="14">
        <v>0.1</v>
      </c>
      <c r="W4" s="14">
        <f t="shared" si="14"/>
        <v>110000.00000000001</v>
      </c>
      <c r="X4" s="14">
        <f t="shared" si="15"/>
        <v>1.4098514851485153</v>
      </c>
      <c r="Y4" s="14">
        <f t="shared" si="16"/>
        <v>2.8221309407916075E-15</v>
      </c>
      <c r="Z4" s="14">
        <f t="shared" si="17"/>
        <v>1699487252.5447061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7.3712871287128721</v>
      </c>
      <c r="L5" s="2">
        <f t="shared" si="6"/>
        <v>7.3712871287128722E-6</v>
      </c>
      <c r="M5" s="3">
        <f t="shared" si="7"/>
        <v>4.7762865441819992E-3</v>
      </c>
      <c r="N5" s="26">
        <f t="shared" si="8"/>
        <v>3.1058828138229304E-8</v>
      </c>
      <c r="O5" s="26">
        <f t="shared" si="9"/>
        <v>2.032E-3</v>
      </c>
      <c r="P5" s="26">
        <v>1.9414958079189685E-10</v>
      </c>
      <c r="Q5" s="14">
        <v>0.03</v>
      </c>
      <c r="R5" s="14">
        <f t="shared" si="10"/>
        <v>103000</v>
      </c>
      <c r="S5" s="14">
        <f t="shared" si="11"/>
        <v>102791.45445228035</v>
      </c>
      <c r="T5" s="14">
        <f t="shared" si="12"/>
        <v>102791.45445228035</v>
      </c>
      <c r="U5" s="14">
        <f t="shared" si="13"/>
        <v>5.36358238306597E-3</v>
      </c>
      <c r="V5" s="14">
        <v>0.1</v>
      </c>
      <c r="W5" s="14">
        <f t="shared" si="14"/>
        <v>110000.00000000001</v>
      </c>
      <c r="X5" s="14">
        <f t="shared" si="15"/>
        <v>0.81084158415841601</v>
      </c>
      <c r="Y5" s="14">
        <f t="shared" si="16"/>
        <v>1.6206395600732054E-15</v>
      </c>
      <c r="Z5" s="14">
        <f t="shared" si="17"/>
        <v>975949143.07608438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15.415841584158416</v>
      </c>
      <c r="L6" s="2">
        <f t="shared" si="6"/>
        <v>1.5415841584158415E-5</v>
      </c>
      <c r="M6" s="3">
        <f t="shared" si="7"/>
        <v>4.7762865441819992E-3</v>
      </c>
      <c r="N6" s="26">
        <f t="shared" si="8"/>
        <v>6.495445992105174E-8</v>
      </c>
      <c r="O6" s="26">
        <f t="shared" si="9"/>
        <v>2.032E-3</v>
      </c>
      <c r="P6" s="26">
        <v>1.9414958079189685E-10</v>
      </c>
      <c r="Q6" s="14">
        <v>0.03</v>
      </c>
      <c r="R6" s="14">
        <f t="shared" si="10"/>
        <v>103000</v>
      </c>
      <c r="S6" s="14">
        <f t="shared" si="11"/>
        <v>102564.10226311038</v>
      </c>
      <c r="T6" s="14">
        <f t="shared" si="12"/>
        <v>102564.10226311038</v>
      </c>
      <c r="U6" s="14">
        <f t="shared" si="13"/>
        <v>5.36358238306597E-3</v>
      </c>
      <c r="V6" s="14">
        <v>0.1</v>
      </c>
      <c r="W6" s="14">
        <f t="shared" si="14"/>
        <v>110000.00000000001</v>
      </c>
      <c r="X6" s="14">
        <f t="shared" si="15"/>
        <v>1.6957425742574259</v>
      </c>
      <c r="Y6" s="14">
        <f t="shared" si="16"/>
        <v>3.3968449917793188E-15</v>
      </c>
      <c r="Z6" s="14">
        <f t="shared" si="17"/>
        <v>2045580054.0495059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18.212871287128714</v>
      </c>
      <c r="L7" s="2">
        <f t="shared" si="6"/>
        <v>1.8212871287128713E-5</v>
      </c>
      <c r="M7" s="3">
        <f t="shared" si="7"/>
        <v>4.7762865441819992E-3</v>
      </c>
      <c r="N7" s="26">
        <f t="shared" si="8"/>
        <v>7.6739710356310012E-8</v>
      </c>
      <c r="O7" s="26">
        <f t="shared" si="9"/>
        <v>2.032E-3</v>
      </c>
      <c r="P7" s="26">
        <v>1.9414958079189685E-10</v>
      </c>
      <c r="Q7" s="14">
        <v>0.03</v>
      </c>
      <c r="R7" s="14">
        <f t="shared" si="10"/>
        <v>103000</v>
      </c>
      <c r="S7" s="14">
        <f t="shared" si="11"/>
        <v>102485.11262806166</v>
      </c>
      <c r="T7" s="14">
        <f t="shared" si="12"/>
        <v>102485.11262806166</v>
      </c>
      <c r="U7" s="14">
        <f t="shared" si="13"/>
        <v>5.36358238306597E-3</v>
      </c>
      <c r="V7" s="14">
        <v>0.1</v>
      </c>
      <c r="W7" s="14">
        <f t="shared" si="14"/>
        <v>110000.00000000001</v>
      </c>
      <c r="X7" s="14">
        <f t="shared" si="15"/>
        <v>2.0034158415841588</v>
      </c>
      <c r="Y7" s="14">
        <f t="shared" si="16"/>
        <v>4.0162692341462492E-15</v>
      </c>
      <c r="Z7" s="14">
        <f t="shared" si="17"/>
        <v>2418597332.8028712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7.7178217821782171</v>
      </c>
      <c r="L8" s="2">
        <f t="shared" si="6"/>
        <v>7.7178217821782179E-6</v>
      </c>
      <c r="M8" s="3">
        <f t="shared" si="7"/>
        <v>4.7762865441819992E-3</v>
      </c>
      <c r="N8" s="26">
        <f t="shared" si="8"/>
        <v>3.2518947661181658E-8</v>
      </c>
      <c r="O8" s="26">
        <f t="shared" si="9"/>
        <v>2.032E-3</v>
      </c>
      <c r="P8" s="26">
        <v>1.9414958079189685E-10</v>
      </c>
      <c r="Q8" s="14">
        <v>0.03</v>
      </c>
      <c r="R8" s="14">
        <f t="shared" si="10"/>
        <v>103000</v>
      </c>
      <c r="S8" s="14">
        <f t="shared" si="11"/>
        <v>102781.65563171089</v>
      </c>
      <c r="T8" s="14">
        <f t="shared" si="12"/>
        <v>102781.65563171089</v>
      </c>
      <c r="U8" s="14">
        <f t="shared" si="13"/>
        <v>5.36358238306597E-3</v>
      </c>
      <c r="V8" s="14">
        <v>0.1</v>
      </c>
      <c r="W8" s="14">
        <f t="shared" si="14"/>
        <v>110000.00000000001</v>
      </c>
      <c r="X8" s="14">
        <f t="shared" si="15"/>
        <v>0.84896039603960405</v>
      </c>
      <c r="Y8" s="14">
        <f t="shared" si="16"/>
        <v>1.696990522259023E-15</v>
      </c>
      <c r="Z8" s="14">
        <f t="shared" si="17"/>
        <v>1021927692.5043837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26.282178217821784</v>
      </c>
      <c r="L9" s="2">
        <f t="shared" si="6"/>
        <v>2.6282178217821784E-5</v>
      </c>
      <c r="M9" s="3">
        <f t="shared" si="7"/>
        <v>4.7762865441819992E-3</v>
      </c>
      <c r="N9" s="26">
        <f t="shared" si="8"/>
        <v>1.1073963639077191E-7</v>
      </c>
      <c r="O9" s="26">
        <f t="shared" si="9"/>
        <v>2.032E-3</v>
      </c>
      <c r="P9" s="26">
        <v>1.9414958079189685E-10</v>
      </c>
      <c r="Q9" s="14">
        <v>0.03</v>
      </c>
      <c r="R9" s="14">
        <f t="shared" si="10"/>
        <v>103000</v>
      </c>
      <c r="S9" s="14">
        <f t="shared" si="11"/>
        <v>102257.40154686115</v>
      </c>
      <c r="T9" s="14">
        <f t="shared" si="12"/>
        <v>102257.40154686115</v>
      </c>
      <c r="U9" s="14">
        <f t="shared" si="13"/>
        <v>5.36358238306597E-3</v>
      </c>
      <c r="V9" s="14">
        <v>0.1</v>
      </c>
      <c r="W9" s="14">
        <f t="shared" si="14"/>
        <v>110000.00000000001</v>
      </c>
      <c r="X9" s="14">
        <f t="shared" si="15"/>
        <v>2.8910396039603965</v>
      </c>
      <c r="Y9" s="14">
        <f t="shared" si="16"/>
        <v>5.808654893619787E-15</v>
      </c>
      <c r="Z9" s="14">
        <f t="shared" si="17"/>
        <v>3497971976.9378357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42.866336633663366</v>
      </c>
      <c r="L10" s="2">
        <f t="shared" si="6"/>
        <v>4.2866336633663367E-5</v>
      </c>
      <c r="M10" s="3">
        <f t="shared" si="7"/>
        <v>4.7762865441819992E-3</v>
      </c>
      <c r="N10" s="26">
        <f t="shared" si="8"/>
        <v>1.8061678498920588E-7</v>
      </c>
      <c r="O10" s="26">
        <f t="shared" si="9"/>
        <v>2.032E-3</v>
      </c>
      <c r="P10" s="26">
        <v>1.9414958079189685E-10</v>
      </c>
      <c r="Q10" s="14">
        <v>0.03</v>
      </c>
      <c r="R10" s="14">
        <f t="shared" si="10"/>
        <v>103000</v>
      </c>
      <c r="S10" s="14">
        <f t="shared" si="11"/>
        <v>101790.20149393639</v>
      </c>
      <c r="T10" s="14">
        <f t="shared" si="12"/>
        <v>101790.20149393639</v>
      </c>
      <c r="U10" s="14">
        <f t="shared" si="13"/>
        <v>5.36358238306597E-3</v>
      </c>
      <c r="V10" s="14">
        <v>0.1</v>
      </c>
      <c r="W10" s="14">
        <f t="shared" si="14"/>
        <v>110000.00000000001</v>
      </c>
      <c r="X10" s="14">
        <f t="shared" si="15"/>
        <v>4.7152970297029713</v>
      </c>
      <c r="Y10" s="14">
        <f t="shared" si="16"/>
        <v>9.5175947205286307E-15</v>
      </c>
      <c r="Z10" s="14">
        <f t="shared" si="17"/>
        <v>5731495540.702342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78.237623762376245</v>
      </c>
      <c r="L11" s="2">
        <f t="shared" si="6"/>
        <v>7.823762376237624E-5</v>
      </c>
      <c r="M11" s="3">
        <f t="shared" si="7"/>
        <v>4.7762865441819992E-3</v>
      </c>
      <c r="N11" s="26">
        <f t="shared" si="8"/>
        <v>3.2965327058198521E-7</v>
      </c>
      <c r="O11" s="26">
        <f t="shared" si="9"/>
        <v>2.032E-3</v>
      </c>
      <c r="P11" s="26">
        <v>1.9414958079189685E-10</v>
      </c>
      <c r="Q11" s="14">
        <v>0.03</v>
      </c>
      <c r="R11" s="14">
        <f t="shared" si="10"/>
        <v>103000</v>
      </c>
      <c r="S11" s="14">
        <f t="shared" si="11"/>
        <v>100797.31436502836</v>
      </c>
      <c r="T11" s="14">
        <f t="shared" si="12"/>
        <v>100797.31436502836</v>
      </c>
      <c r="U11" s="14">
        <f t="shared" si="13"/>
        <v>5.36358238306597E-3</v>
      </c>
      <c r="V11" s="14">
        <v>0.1</v>
      </c>
      <c r="W11" s="14">
        <f t="shared" si="14"/>
        <v>110000.00000000001</v>
      </c>
      <c r="X11" s="14">
        <f t="shared" si="15"/>
        <v>8.606138613861388</v>
      </c>
      <c r="Y11" s="14">
        <f t="shared" si="16"/>
        <v>1.7542862744521507E-14</v>
      </c>
      <c r="Z11" s="14">
        <f t="shared" si="17"/>
        <v>10564311944.750853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97.346534653465341</v>
      </c>
      <c r="L12" s="2">
        <f t="shared" si="6"/>
        <v>9.7346534653465339E-5</v>
      </c>
      <c r="M12" s="3">
        <f t="shared" si="7"/>
        <v>4.7762865441819992E-3</v>
      </c>
      <c r="N12" s="26">
        <f t="shared" si="8"/>
        <v>4.101684328476434E-7</v>
      </c>
      <c r="O12" s="26">
        <f t="shared" si="9"/>
        <v>2.032E-3</v>
      </c>
      <c r="P12" s="26">
        <v>1.9414958079189685E-10</v>
      </c>
      <c r="Q12" s="14">
        <v>0.03</v>
      </c>
      <c r="R12" s="14">
        <f t="shared" si="10"/>
        <v>103000</v>
      </c>
      <c r="S12" s="14">
        <f t="shared" si="11"/>
        <v>100262.9436481405</v>
      </c>
      <c r="T12" s="14">
        <f t="shared" si="12"/>
        <v>100262.9436481405</v>
      </c>
      <c r="U12" s="14">
        <f t="shared" si="13"/>
        <v>5.36358238306597E-3</v>
      </c>
      <c r="V12" s="14">
        <v>0.1</v>
      </c>
      <c r="W12" s="14">
        <f t="shared" si="14"/>
        <v>110000.00000000001</v>
      </c>
      <c r="X12" s="14">
        <f t="shared" si="15"/>
        <v>10.708118811881189</v>
      </c>
      <c r="Y12" s="14">
        <f t="shared" si="16"/>
        <v>2.1944370306513506E-14</v>
      </c>
      <c r="Z12" s="14">
        <f t="shared" si="17"/>
        <v>13214899798.582434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116.35643564356437</v>
      </c>
      <c r="L13" s="2">
        <f t="shared" si="6"/>
        <v>1.1635643564356436E-4</v>
      </c>
      <c r="M13" s="3">
        <f t="shared" si="7"/>
        <v>4.7762865441819992E-3</v>
      </c>
      <c r="N13" s="26">
        <f t="shared" si="8"/>
        <v>4.9026641810674387E-7</v>
      </c>
      <c r="O13" s="26">
        <f t="shared" si="9"/>
        <v>2.032E-3</v>
      </c>
      <c r="P13" s="26">
        <v>1.9414958079189685E-10</v>
      </c>
      <c r="Q13" s="14">
        <v>0.03</v>
      </c>
      <c r="R13" s="14">
        <f t="shared" si="10"/>
        <v>103000</v>
      </c>
      <c r="S13" s="14">
        <f t="shared" si="11"/>
        <v>99732.750906187081</v>
      </c>
      <c r="T13" s="14">
        <f t="shared" si="12"/>
        <v>99732.750906187081</v>
      </c>
      <c r="U13" s="14">
        <f t="shared" si="13"/>
        <v>5.36358238306597E-3</v>
      </c>
      <c r="V13" s="14">
        <v>0.1</v>
      </c>
      <c r="W13" s="14">
        <f t="shared" si="14"/>
        <v>110000.00000000001</v>
      </c>
      <c r="X13" s="14">
        <f t="shared" si="15"/>
        <v>12.799207920792082</v>
      </c>
      <c r="Y13" s="14">
        <f t="shared" si="16"/>
        <v>2.6369691103770399E-14</v>
      </c>
      <c r="Z13" s="14">
        <f t="shared" si="17"/>
        <v>15879827982.690535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131.62871287128715</v>
      </c>
      <c r="L14" s="2">
        <f t="shared" si="6"/>
        <v>1.3162871287128715E-4</v>
      </c>
      <c r="M14" s="3">
        <f t="shared" si="7"/>
        <v>4.7762865441819992E-3</v>
      </c>
      <c r="N14" s="26">
        <f t="shared" si="8"/>
        <v>5.5461597136828682E-7</v>
      </c>
      <c r="O14" s="26">
        <f t="shared" si="9"/>
        <v>2.032E-3</v>
      </c>
      <c r="P14" s="26">
        <v>1.9414958079189685E-10</v>
      </c>
      <c r="Q14" s="14">
        <v>0.03</v>
      </c>
      <c r="R14" s="14">
        <f t="shared" si="10"/>
        <v>103000</v>
      </c>
      <c r="S14" s="14">
        <f t="shared" si="11"/>
        <v>99307.819982438014</v>
      </c>
      <c r="T14" s="14">
        <f t="shared" si="12"/>
        <v>99307.819982438014</v>
      </c>
      <c r="U14" s="14">
        <f t="shared" si="13"/>
        <v>5.36358238306597E-3</v>
      </c>
      <c r="V14" s="14">
        <v>0.1</v>
      </c>
      <c r="W14" s="14">
        <f t="shared" si="14"/>
        <v>110000.00000000001</v>
      </c>
      <c r="X14" s="14">
        <f t="shared" si="15"/>
        <v>14.479158415841589</v>
      </c>
      <c r="Y14" s="14">
        <f t="shared" si="16"/>
        <v>2.9958992503536382E-14</v>
      </c>
      <c r="Z14" s="14">
        <f t="shared" si="17"/>
        <v>18041305285.629612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138.46039603960398</v>
      </c>
      <c r="L15" s="2">
        <f t="shared" si="6"/>
        <v>1.3846039603960397E-4</v>
      </c>
      <c r="M15" s="3">
        <f t="shared" si="7"/>
        <v>4.7762865441819992E-3</v>
      </c>
      <c r="N15" s="26">
        <f t="shared" si="8"/>
        <v>5.8340118482077593E-7</v>
      </c>
      <c r="O15" s="26">
        <f t="shared" si="9"/>
        <v>2.032E-3</v>
      </c>
      <c r="P15" s="26">
        <v>1.9414958079189685E-10</v>
      </c>
      <c r="Q15" s="14">
        <v>0.03</v>
      </c>
      <c r="R15" s="14">
        <f t="shared" si="10"/>
        <v>103000</v>
      </c>
      <c r="S15" s="14">
        <f t="shared" si="11"/>
        <v>99118.031097264218</v>
      </c>
      <c r="T15" s="14">
        <f t="shared" si="12"/>
        <v>99118.031097264218</v>
      </c>
      <c r="U15" s="14">
        <f t="shared" si="13"/>
        <v>5.36358238306597E-3</v>
      </c>
      <c r="V15" s="14">
        <v>0.1</v>
      </c>
      <c r="W15" s="14">
        <f t="shared" si="14"/>
        <v>110000.00000000001</v>
      </c>
      <c r="X15" s="14">
        <f t="shared" si="15"/>
        <v>15.23064356435644</v>
      </c>
      <c r="Y15" s="14">
        <f t="shared" si="16"/>
        <v>3.1574489346811455E-14</v>
      </c>
      <c r="Z15" s="14">
        <f t="shared" si="17"/>
        <v>19014157484.64986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147.71782178217825</v>
      </c>
      <c r="L16" s="2">
        <f t="shared" si="6"/>
        <v>1.4771782178217826E-4</v>
      </c>
      <c r="M16" s="3">
        <f t="shared" si="7"/>
        <v>4.7762865441819992E-3</v>
      </c>
      <c r="N16" s="26">
        <f t="shared" si="8"/>
        <v>6.224072349339318E-7</v>
      </c>
      <c r="O16" s="26">
        <f t="shared" si="9"/>
        <v>2.032E-3</v>
      </c>
      <c r="P16" s="26">
        <v>1.9414958079189685E-10</v>
      </c>
      <c r="Q16" s="14">
        <v>0.03</v>
      </c>
      <c r="R16" s="14">
        <f t="shared" si="10"/>
        <v>103000</v>
      </c>
      <c r="S16" s="14">
        <f t="shared" si="11"/>
        <v>98861.143059480033</v>
      </c>
      <c r="T16" s="14">
        <f t="shared" si="12"/>
        <v>98861.143059480033</v>
      </c>
      <c r="U16" s="14">
        <f t="shared" si="13"/>
        <v>5.36358238306597E-3</v>
      </c>
      <c r="V16" s="14">
        <v>0.1</v>
      </c>
      <c r="W16" s="14">
        <f t="shared" si="14"/>
        <v>110000.00000000001</v>
      </c>
      <c r="X16" s="14">
        <f t="shared" si="15"/>
        <v>16.24896039603961</v>
      </c>
      <c r="Y16" s="14">
        <f t="shared" si="16"/>
        <v>3.3773443846659711E-14</v>
      </c>
      <c r="Z16" s="14">
        <f t="shared" si="17"/>
        <v>20338367884.458481</v>
      </c>
    </row>
    <row r="17" spans="1:73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149.94554455445547</v>
      </c>
      <c r="L17" s="2">
        <f t="shared" si="6"/>
        <v>1.4994554455445547E-4</v>
      </c>
      <c r="M17" s="3">
        <f t="shared" si="7"/>
        <v>4.7762865441819992E-3</v>
      </c>
      <c r="N17" s="26">
        <f t="shared" si="8"/>
        <v>6.3179371758148262E-7</v>
      </c>
      <c r="O17" s="26">
        <f t="shared" si="9"/>
        <v>2.032E-3</v>
      </c>
      <c r="P17" s="26">
        <v>1.9414958079189685E-10</v>
      </c>
      <c r="Q17" s="14">
        <v>0.03</v>
      </c>
      <c r="R17" s="14">
        <f t="shared" si="10"/>
        <v>103000</v>
      </c>
      <c r="S17" s="14">
        <f t="shared" si="11"/>
        <v>98799.37483964955</v>
      </c>
      <c r="T17" s="14">
        <f t="shared" si="12"/>
        <v>98799.37483964955</v>
      </c>
      <c r="U17" s="14">
        <f t="shared" si="13"/>
        <v>5.36358238306597E-3</v>
      </c>
      <c r="V17" s="14">
        <v>0.1</v>
      </c>
      <c r="W17" s="14">
        <f t="shared" si="14"/>
        <v>110000.00000000001</v>
      </c>
      <c r="X17" s="14">
        <f t="shared" si="15"/>
        <v>16.494009900990104</v>
      </c>
      <c r="Y17" s="14">
        <f t="shared" si="16"/>
        <v>3.4304300754218266E-14</v>
      </c>
      <c r="Z17" s="14">
        <f t="shared" si="17"/>
        <v>20658049914.190243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166.55445544554456</v>
      </c>
      <c r="L18" s="2">
        <f t="shared" si="6"/>
        <v>1.6655445544554455E-4</v>
      </c>
      <c r="M18" s="3">
        <f t="shared" si="7"/>
        <v>4.7762865441819992E-3</v>
      </c>
      <c r="N18" s="26">
        <f t="shared" si="8"/>
        <v>7.0177516043155587E-7</v>
      </c>
      <c r="O18" s="26">
        <f t="shared" si="9"/>
        <v>2.032E-3</v>
      </c>
      <c r="P18" s="26">
        <v>1.9414958079189685E-10</v>
      </c>
      <c r="Q18" s="14">
        <v>0.03</v>
      </c>
      <c r="R18" s="14">
        <f t="shared" si="10"/>
        <v>103000</v>
      </c>
      <c r="S18" s="14">
        <f t="shared" si="11"/>
        <v>98339.466863640075</v>
      </c>
      <c r="T18" s="14">
        <f t="shared" si="12"/>
        <v>98339.466863640075</v>
      </c>
      <c r="U18" s="14">
        <f t="shared" si="13"/>
        <v>5.36358238306597E-3</v>
      </c>
      <c r="V18" s="14">
        <v>0.1</v>
      </c>
      <c r="W18" s="14">
        <f t="shared" si="14"/>
        <v>110000.00000000001</v>
      </c>
      <c r="X18" s="14">
        <f t="shared" si="15"/>
        <v>18.320990099009904</v>
      </c>
      <c r="Y18" s="14">
        <f t="shared" si="16"/>
        <v>3.8283004677398858E-14</v>
      </c>
      <c r="Z18" s="14">
        <f t="shared" si="17"/>
        <v>23054025416.729595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spans="1:73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161.55445544554456</v>
      </c>
      <c r="L19" s="2">
        <f t="shared" si="6"/>
        <v>1.6155445544554456E-4</v>
      </c>
      <c r="M19" s="3">
        <f t="shared" si="7"/>
        <v>4.7762865441819992E-3</v>
      </c>
      <c r="N19" s="26">
        <f t="shared" si="8"/>
        <v>6.8070772160038622E-7</v>
      </c>
      <c r="O19" s="26">
        <f t="shared" si="9"/>
        <v>2.032E-3</v>
      </c>
      <c r="P19" s="26">
        <v>1.9414958079189685E-10</v>
      </c>
      <c r="Q19" s="14">
        <v>0.03</v>
      </c>
      <c r="R19" s="14">
        <f t="shared" si="10"/>
        <v>103000</v>
      </c>
      <c r="S19" s="14">
        <f t="shared" si="11"/>
        <v>98477.80616058025</v>
      </c>
      <c r="T19" s="14">
        <f t="shared" si="12"/>
        <v>98477.80616058025</v>
      </c>
      <c r="U19" s="14">
        <f t="shared" si="13"/>
        <v>5.36358238306597E-3</v>
      </c>
      <c r="V19" s="14">
        <v>0.1</v>
      </c>
      <c r="W19" s="14">
        <f t="shared" si="14"/>
        <v>110000.00000000001</v>
      </c>
      <c r="X19" s="14">
        <f t="shared" si="15"/>
        <v>17.770990099009904</v>
      </c>
      <c r="Y19" s="14">
        <f t="shared" si="16"/>
        <v>3.7081359327884967E-14</v>
      </c>
      <c r="Z19" s="14">
        <f t="shared" si="17"/>
        <v>22330394587.252327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154.02970297029705</v>
      </c>
      <c r="L20" s="2">
        <f t="shared" si="6"/>
        <v>1.5402970297029704E-4</v>
      </c>
      <c r="M20" s="3">
        <f t="shared" si="7"/>
        <v>4.7762865441819992E-3</v>
      </c>
      <c r="N20" s="26">
        <f t="shared" si="8"/>
        <v>6.4900226910199232E-7</v>
      </c>
      <c r="O20" s="26">
        <f t="shared" si="9"/>
        <v>2.032E-3</v>
      </c>
      <c r="P20" s="26">
        <v>1.9414958079189685E-10</v>
      </c>
      <c r="Q20" s="14">
        <v>0.03</v>
      </c>
      <c r="R20" s="14">
        <f t="shared" si="10"/>
        <v>103000</v>
      </c>
      <c r="S20" s="14">
        <f t="shared" si="11"/>
        <v>98686.183235793607</v>
      </c>
      <c r="T20" s="14">
        <f t="shared" si="12"/>
        <v>98686.183235793607</v>
      </c>
      <c r="U20" s="14">
        <f t="shared" si="13"/>
        <v>5.36358238306597E-3</v>
      </c>
      <c r="V20" s="14">
        <v>0.1</v>
      </c>
      <c r="W20" s="14">
        <f t="shared" si="14"/>
        <v>110000.00000000001</v>
      </c>
      <c r="X20" s="14">
        <f t="shared" si="15"/>
        <v>16.943267326732677</v>
      </c>
      <c r="Y20" s="14">
        <f t="shared" si="16"/>
        <v>3.5279253577282552E-14</v>
      </c>
      <c r="Z20" s="14">
        <f t="shared" si="17"/>
        <v>21245166504.239555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spans="1:73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161.75247524752479</v>
      </c>
      <c r="L21" s="2">
        <f t="shared" si="6"/>
        <v>1.617524752475248E-4</v>
      </c>
      <c r="M21" s="3">
        <f t="shared" si="7"/>
        <v>4.7762865441819992E-3</v>
      </c>
      <c r="N21" s="26">
        <f t="shared" si="8"/>
        <v>6.8154207561350206E-7</v>
      </c>
      <c r="O21" s="26">
        <f t="shared" si="9"/>
        <v>2.032E-3</v>
      </c>
      <c r="P21" s="26">
        <v>1.9414958079189685E-10</v>
      </c>
      <c r="Q21" s="14">
        <v>0.03</v>
      </c>
      <c r="R21" s="14">
        <f t="shared" si="10"/>
        <v>103000</v>
      </c>
      <c r="S21" s="14">
        <f t="shared" si="11"/>
        <v>98472.325527329929</v>
      </c>
      <c r="T21" s="14">
        <f t="shared" si="12"/>
        <v>98472.325527329929</v>
      </c>
      <c r="U21" s="14">
        <f t="shared" si="13"/>
        <v>5.36358238306597E-3</v>
      </c>
      <c r="V21" s="14">
        <v>0.1</v>
      </c>
      <c r="W21" s="14">
        <f t="shared" si="14"/>
        <v>110000.00000000001</v>
      </c>
      <c r="X21" s="14">
        <f t="shared" si="15"/>
        <v>17.79277227722773</v>
      </c>
      <c r="Y21" s="14">
        <f t="shared" si="16"/>
        <v>3.7128885464048823E-14</v>
      </c>
      <c r="Z21" s="14">
        <f t="shared" si="17"/>
        <v>22359014826.450203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173.31188118811883</v>
      </c>
      <c r="L22" s="2">
        <f t="shared" si="6"/>
        <v>1.7331188118811883E-4</v>
      </c>
      <c r="M22" s="3">
        <f t="shared" si="7"/>
        <v>4.7762865441819992E-3</v>
      </c>
      <c r="N22" s="26">
        <f t="shared" si="8"/>
        <v>7.3024749112912681E-7</v>
      </c>
      <c r="O22" s="26">
        <f t="shared" si="9"/>
        <v>2.032E-3</v>
      </c>
      <c r="P22" s="26">
        <v>1.9414958079189685E-10</v>
      </c>
      <c r="Q22" s="14">
        <v>0.03</v>
      </c>
      <c r="R22" s="14">
        <f t="shared" si="10"/>
        <v>103000</v>
      </c>
      <c r="S22" s="14">
        <f t="shared" si="11"/>
        <v>98152.657866555543</v>
      </c>
      <c r="T22" s="14">
        <f t="shared" si="12"/>
        <v>98152.657866555543</v>
      </c>
      <c r="U22" s="14">
        <f t="shared" si="13"/>
        <v>5.36358238306597E-3</v>
      </c>
      <c r="V22" s="14">
        <v>0.1</v>
      </c>
      <c r="W22" s="14">
        <f t="shared" si="14"/>
        <v>110000.00000000001</v>
      </c>
      <c r="X22" s="14">
        <f t="shared" si="15"/>
        <v>19.064306930693075</v>
      </c>
      <c r="Y22" s="14">
        <f t="shared" si="16"/>
        <v>3.9912352504634816E-14</v>
      </c>
      <c r="Z22" s="14">
        <f t="shared" si="17"/>
        <v>24035218678.291088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spans="1:73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164.64851485148517</v>
      </c>
      <c r="L23" s="2">
        <f t="shared" si="6"/>
        <v>1.6464851485148516E-4</v>
      </c>
      <c r="M23" s="3">
        <f t="shared" si="7"/>
        <v>4.7762865441819992E-3</v>
      </c>
      <c r="N23" s="26">
        <f t="shared" si="8"/>
        <v>6.9374450305531802E-7</v>
      </c>
      <c r="O23" s="26">
        <f t="shared" si="9"/>
        <v>2.032E-3</v>
      </c>
      <c r="P23" s="26">
        <v>1.9414958079189685E-10</v>
      </c>
      <c r="Q23" s="14">
        <v>0.03</v>
      </c>
      <c r="R23" s="14">
        <f t="shared" si="10"/>
        <v>103000</v>
      </c>
      <c r="S23" s="14">
        <f t="shared" si="11"/>
        <v>98392.188691779535</v>
      </c>
      <c r="T23" s="14">
        <f t="shared" si="12"/>
        <v>98392.188691779535</v>
      </c>
      <c r="U23" s="14">
        <f t="shared" si="13"/>
        <v>5.36358238306597E-3</v>
      </c>
      <c r="V23" s="14">
        <v>0.1</v>
      </c>
      <c r="W23" s="14">
        <f t="shared" si="14"/>
        <v>110000.00000000001</v>
      </c>
      <c r="X23" s="14">
        <f t="shared" si="15"/>
        <v>18.11133663366337</v>
      </c>
      <c r="Y23" s="14">
        <f t="shared" si="16"/>
        <v>3.782455597019858E-14</v>
      </c>
      <c r="Z23" s="14">
        <f t="shared" si="17"/>
        <v>22777947605.253586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171.5792079207921</v>
      </c>
      <c r="L24" s="2">
        <f t="shared" si="6"/>
        <v>1.7157920792079209E-4</v>
      </c>
      <c r="M24" s="3">
        <f t="shared" si="7"/>
        <v>4.7762865441819992E-3</v>
      </c>
      <c r="N24" s="26">
        <f t="shared" si="8"/>
        <v>7.2294689351436505E-7</v>
      </c>
      <c r="O24" s="26">
        <f t="shared" si="9"/>
        <v>2.032E-3</v>
      </c>
      <c r="P24" s="26">
        <v>1.9414958079189685E-10</v>
      </c>
      <c r="Q24" s="14">
        <v>0.03</v>
      </c>
      <c r="R24" s="14">
        <f t="shared" si="10"/>
        <v>103000</v>
      </c>
      <c r="S24" s="14">
        <f t="shared" si="11"/>
        <v>98200.540678136313</v>
      </c>
      <c r="T24" s="14">
        <f t="shared" si="12"/>
        <v>98200.540678136313</v>
      </c>
      <c r="U24" s="14">
        <f t="shared" si="13"/>
        <v>5.36358238306597E-3</v>
      </c>
      <c r="V24" s="14">
        <v>0.1</v>
      </c>
      <c r="W24" s="14">
        <f t="shared" si="14"/>
        <v>110000.00000000001</v>
      </c>
      <c r="X24" s="14">
        <f t="shared" si="15"/>
        <v>18.873712871287132</v>
      </c>
      <c r="Y24" s="14">
        <f t="shared" si="16"/>
        <v>3.9493984384251092E-14</v>
      </c>
      <c r="Z24" s="14">
        <f t="shared" si="17"/>
        <v>23783277396.196011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173.95544554455446</v>
      </c>
      <c r="L25" s="2">
        <f t="shared" si="6"/>
        <v>1.7395544554455445E-4</v>
      </c>
      <c r="M25" s="3">
        <f t="shared" si="7"/>
        <v>4.7762865441819992E-3</v>
      </c>
      <c r="N25" s="26">
        <f t="shared" si="8"/>
        <v>7.3295914167175253E-7</v>
      </c>
      <c r="O25" s="26">
        <f t="shared" si="9"/>
        <v>2.032E-3</v>
      </c>
      <c r="P25" s="26">
        <v>1.9414958079189685E-10</v>
      </c>
      <c r="Q25" s="14">
        <v>0.03</v>
      </c>
      <c r="R25" s="14">
        <f t="shared" si="10"/>
        <v>103000</v>
      </c>
      <c r="S25" s="14">
        <f t="shared" si="11"/>
        <v>98134.875796246255</v>
      </c>
      <c r="T25" s="14">
        <f t="shared" si="12"/>
        <v>98134.875796246255</v>
      </c>
      <c r="U25" s="14">
        <f t="shared" si="13"/>
        <v>5.36358238306597E-3</v>
      </c>
      <c r="V25" s="14">
        <v>0.1</v>
      </c>
      <c r="W25" s="14">
        <f t="shared" si="14"/>
        <v>110000.00000000001</v>
      </c>
      <c r="X25" s="14">
        <f t="shared" si="15"/>
        <v>19.135099009900994</v>
      </c>
      <c r="Y25" s="14">
        <f t="shared" si="16"/>
        <v>4.0067849580923566E-14</v>
      </c>
      <c r="Z25" s="14">
        <f t="shared" si="17"/>
        <v>24128859017.632172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173.93069306930695</v>
      </c>
      <c r="L26" s="2">
        <f t="shared" si="6"/>
        <v>1.7393069306930695E-4</v>
      </c>
      <c r="M26" s="3">
        <f t="shared" si="7"/>
        <v>4.7762865441819992E-3</v>
      </c>
      <c r="N26" s="26">
        <f t="shared" si="8"/>
        <v>7.3285484742011321E-7</v>
      </c>
      <c r="O26" s="26">
        <f t="shared" si="9"/>
        <v>2.032E-3</v>
      </c>
      <c r="P26" s="26">
        <v>1.9414958079189685E-10</v>
      </c>
      <c r="Q26" s="14">
        <v>0.03</v>
      </c>
      <c r="R26" s="14">
        <f t="shared" si="10"/>
        <v>103000</v>
      </c>
      <c r="S26" s="14">
        <f t="shared" si="11"/>
        <v>98135.559692239796</v>
      </c>
      <c r="T26" s="14">
        <f t="shared" si="12"/>
        <v>98135.559692239796</v>
      </c>
      <c r="U26" s="14">
        <f t="shared" si="13"/>
        <v>5.36358238306597E-3</v>
      </c>
      <c r="V26" s="14">
        <v>0.1</v>
      </c>
      <c r="W26" s="14">
        <f t="shared" si="14"/>
        <v>110000.00000000001</v>
      </c>
      <c r="X26" s="14">
        <f t="shared" si="15"/>
        <v>19.132376237623767</v>
      </c>
      <c r="Y26" s="14">
        <f t="shared" si="16"/>
        <v>4.0061867889944481E-14</v>
      </c>
      <c r="Z26" s="14">
        <f t="shared" si="17"/>
        <v>24125256843.32457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163.31188118811883</v>
      </c>
      <c r="L27" s="2">
        <f t="shared" si="6"/>
        <v>1.6331188118811883E-4</v>
      </c>
      <c r="M27" s="3">
        <f t="shared" si="7"/>
        <v>4.7762865441819992E-3</v>
      </c>
      <c r="N27" s="26">
        <f t="shared" si="8"/>
        <v>6.8811261346678751E-7</v>
      </c>
      <c r="O27" s="26">
        <f t="shared" si="9"/>
        <v>2.032E-3</v>
      </c>
      <c r="P27" s="26">
        <v>1.9414958079189685E-10</v>
      </c>
      <c r="Q27" s="14">
        <v>0.03</v>
      </c>
      <c r="R27" s="14">
        <f t="shared" si="10"/>
        <v>103000</v>
      </c>
      <c r="S27" s="14">
        <f t="shared" si="11"/>
        <v>98429.170870077927</v>
      </c>
      <c r="T27" s="14">
        <f t="shared" si="12"/>
        <v>98429.170870077927</v>
      </c>
      <c r="U27" s="14">
        <f t="shared" si="13"/>
        <v>5.36358238306597E-3</v>
      </c>
      <c r="V27" s="14">
        <v>0.1</v>
      </c>
      <c r="W27" s="14">
        <f t="shared" si="14"/>
        <v>110000.00000000001</v>
      </c>
      <c r="X27" s="14">
        <f t="shared" si="15"/>
        <v>17.964306930693073</v>
      </c>
      <c r="Y27" s="14">
        <f t="shared" si="16"/>
        <v>3.7503337475978542E-14</v>
      </c>
      <c r="Z27" s="14">
        <f t="shared" si="17"/>
        <v>22584509828.034279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181.35643564356437</v>
      </c>
      <c r="L28" s="2">
        <f t="shared" si="6"/>
        <v>1.8135643564356436E-4</v>
      </c>
      <c r="M28" s="3">
        <f t="shared" si="7"/>
        <v>4.7762865441819992E-3</v>
      </c>
      <c r="N28" s="26">
        <f t="shared" si="8"/>
        <v>7.6414312291194919E-7</v>
      </c>
      <c r="O28" s="26">
        <f t="shared" si="9"/>
        <v>2.032E-3</v>
      </c>
      <c r="P28" s="26">
        <v>1.9414958079189685E-10</v>
      </c>
      <c r="Q28" s="14">
        <v>0.03</v>
      </c>
      <c r="R28" s="14">
        <f t="shared" si="10"/>
        <v>103000</v>
      </c>
      <c r="S28" s="14">
        <f t="shared" si="11"/>
        <v>97930.497772019487</v>
      </c>
      <c r="T28" s="14">
        <f t="shared" si="12"/>
        <v>97930.497772019487</v>
      </c>
      <c r="U28" s="14">
        <f t="shared" si="13"/>
        <v>5.36358238306597E-3</v>
      </c>
      <c r="V28" s="14">
        <v>0.1</v>
      </c>
      <c r="W28" s="14">
        <f t="shared" si="14"/>
        <v>110000.00000000001</v>
      </c>
      <c r="X28" s="14">
        <f t="shared" si="15"/>
        <v>19.94920792079208</v>
      </c>
      <c r="Y28" s="14">
        <f t="shared" si="16"/>
        <v>4.1860092219873192E-14</v>
      </c>
      <c r="Z28" s="14">
        <f t="shared" si="17"/>
        <v>25208147534.807636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178.55940594059408</v>
      </c>
      <c r="L29" s="2">
        <f t="shared" si="6"/>
        <v>1.7855940594059408E-4</v>
      </c>
      <c r="M29" s="3">
        <f t="shared" si="7"/>
        <v>4.7762865441819992E-3</v>
      </c>
      <c r="N29" s="26">
        <f t="shared" si="8"/>
        <v>7.5235787247669104E-7</v>
      </c>
      <c r="O29" s="26">
        <f t="shared" si="9"/>
        <v>2.032E-3</v>
      </c>
      <c r="P29" s="26">
        <v>1.9414958079189685E-10</v>
      </c>
      <c r="Q29" s="14">
        <v>0.03</v>
      </c>
      <c r="R29" s="14">
        <f t="shared" si="10"/>
        <v>103000</v>
      </c>
      <c r="S29" s="14">
        <f t="shared" si="11"/>
        <v>98007.712584313616</v>
      </c>
      <c r="T29" s="14">
        <f t="shared" si="12"/>
        <v>98007.712584313616</v>
      </c>
      <c r="U29" s="14">
        <f t="shared" si="13"/>
        <v>5.36358238306597E-3</v>
      </c>
      <c r="V29" s="14">
        <v>0.1</v>
      </c>
      <c r="W29" s="14">
        <f t="shared" si="14"/>
        <v>110000.00000000001</v>
      </c>
      <c r="X29" s="14">
        <f t="shared" si="15"/>
        <v>19.641534653465353</v>
      </c>
      <c r="Y29" s="14">
        <f t="shared" si="16"/>
        <v>4.1181884563600345E-14</v>
      </c>
      <c r="Z29" s="14">
        <f t="shared" si="17"/>
        <v>24799730884.20013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177.17326732673271</v>
      </c>
      <c r="L30" s="2">
        <f t="shared" si="6"/>
        <v>1.7717326732673272E-4</v>
      </c>
      <c r="M30" s="3">
        <f t="shared" si="7"/>
        <v>4.7762865441819992E-3</v>
      </c>
      <c r="N30" s="26">
        <f t="shared" si="8"/>
        <v>7.4651739438488167E-7</v>
      </c>
      <c r="O30" s="26">
        <f t="shared" si="9"/>
        <v>2.032E-3</v>
      </c>
      <c r="P30" s="26">
        <v>1.9414958079189685E-10</v>
      </c>
      <c r="Q30" s="14">
        <v>0.03</v>
      </c>
      <c r="R30" s="14">
        <f t="shared" si="10"/>
        <v>103000</v>
      </c>
      <c r="S30" s="14">
        <f t="shared" si="11"/>
        <v>98045.989608386124</v>
      </c>
      <c r="T30" s="14">
        <f t="shared" si="12"/>
        <v>98045.989608386124</v>
      </c>
      <c r="U30" s="14">
        <f t="shared" si="13"/>
        <v>5.36358238306597E-3</v>
      </c>
      <c r="V30" s="14">
        <v>0.1</v>
      </c>
      <c r="W30" s="14">
        <f t="shared" si="14"/>
        <v>110000.00000000001</v>
      </c>
      <c r="X30" s="14">
        <f t="shared" si="15"/>
        <v>19.489059405940601</v>
      </c>
      <c r="Y30" s="14">
        <f t="shared" si="16"/>
        <v>4.0846174480893652E-14</v>
      </c>
      <c r="Z30" s="14">
        <f t="shared" si="17"/>
        <v>24597566272.394157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167.74257425742576</v>
      </c>
      <c r="L31" s="2">
        <f t="shared" si="6"/>
        <v>1.6774257425742576E-4</v>
      </c>
      <c r="M31" s="3">
        <f t="shared" si="7"/>
        <v>4.7762865441819992E-3</v>
      </c>
      <c r="N31" s="26">
        <f t="shared" si="8"/>
        <v>7.0678128451024971E-7</v>
      </c>
      <c r="O31" s="26">
        <f t="shared" si="9"/>
        <v>2.032E-3</v>
      </c>
      <c r="P31" s="26">
        <v>1.9414958079189685E-10</v>
      </c>
      <c r="Q31" s="14">
        <v>0.03</v>
      </c>
      <c r="R31" s="14">
        <f t="shared" si="10"/>
        <v>103000</v>
      </c>
      <c r="S31" s="14">
        <f t="shared" si="11"/>
        <v>98306.608457455892</v>
      </c>
      <c r="T31" s="14">
        <f t="shared" si="12"/>
        <v>98306.608457455892</v>
      </c>
      <c r="U31" s="14">
        <f t="shared" si="13"/>
        <v>5.36358238306597E-3</v>
      </c>
      <c r="V31" s="14">
        <v>0.1</v>
      </c>
      <c r="W31" s="14">
        <f t="shared" si="14"/>
        <v>110000.00000000001</v>
      </c>
      <c r="X31" s="14">
        <f t="shared" si="15"/>
        <v>18.451683168316837</v>
      </c>
      <c r="Y31" s="14">
        <f t="shared" si="16"/>
        <v>3.8569037925753595E-14</v>
      </c>
      <c r="Z31" s="14">
        <f t="shared" si="17"/>
        <v>23226274638.888817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178.980198019802</v>
      </c>
      <c r="L32" s="2">
        <f t="shared" si="6"/>
        <v>1.78980198019802E-4</v>
      </c>
      <c r="M32" s="3">
        <f t="shared" si="7"/>
        <v>4.7762865441819992E-3</v>
      </c>
      <c r="N32" s="26">
        <f t="shared" si="8"/>
        <v>7.5413087475456171E-7</v>
      </c>
      <c r="O32" s="26">
        <f t="shared" si="9"/>
        <v>2.032E-3</v>
      </c>
      <c r="P32" s="26">
        <v>1.9414958079189685E-10</v>
      </c>
      <c r="Q32" s="14">
        <v>0.03</v>
      </c>
      <c r="R32" s="14">
        <f t="shared" si="10"/>
        <v>103000</v>
      </c>
      <c r="S32" s="14">
        <f t="shared" si="11"/>
        <v>97996.094252090028</v>
      </c>
      <c r="T32" s="14">
        <f t="shared" si="12"/>
        <v>97996.094252090028</v>
      </c>
      <c r="U32" s="14">
        <f t="shared" si="13"/>
        <v>5.36358238306597E-3</v>
      </c>
      <c r="V32" s="14">
        <v>0.1</v>
      </c>
      <c r="W32" s="14">
        <f t="shared" si="14"/>
        <v>110000.00000000001</v>
      </c>
      <c r="X32" s="14">
        <f t="shared" si="15"/>
        <v>19.687821782178222</v>
      </c>
      <c r="Y32" s="14">
        <f t="shared" si="16"/>
        <v>4.1283848037811602E-14</v>
      </c>
      <c r="Z32" s="14">
        <f t="shared" si="17"/>
        <v>24861133288.370148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5">
        <v>184.00495049504954</v>
      </c>
      <c r="L33" s="2">
        <f t="shared" si="6"/>
        <v>1.8400495049504954E-4</v>
      </c>
      <c r="M33" s="3">
        <f t="shared" si="7"/>
        <v>4.7762865441819992E-3</v>
      </c>
      <c r="N33" s="52">
        <f t="shared" si="8"/>
        <v>7.7530260783737078E-7</v>
      </c>
      <c r="O33" s="26">
        <f t="shared" si="9"/>
        <v>2.032E-3</v>
      </c>
      <c r="P33" s="26">
        <v>1.9414958079189685E-10</v>
      </c>
      <c r="Q33" s="14">
        <v>0.03</v>
      </c>
      <c r="R33" s="14">
        <f t="shared" si="10"/>
        <v>103000</v>
      </c>
      <c r="S33" s="14">
        <f t="shared" si="11"/>
        <v>97857.410909250015</v>
      </c>
      <c r="T33" s="14">
        <f t="shared" si="12"/>
        <v>97857.410909250015</v>
      </c>
      <c r="U33" s="14">
        <f t="shared" si="13"/>
        <v>5.36358238306597E-3</v>
      </c>
      <c r="V33" s="14">
        <v>0.1</v>
      </c>
      <c r="W33" s="14">
        <f t="shared" si="14"/>
        <v>110000.00000000001</v>
      </c>
      <c r="X33" s="14">
        <f t="shared" si="15"/>
        <v>20.24054455445545</v>
      </c>
      <c r="Y33" s="16">
        <f t="shared" si="16"/>
        <v>4.2503267351670879E-14</v>
      </c>
      <c r="Z33" s="16">
        <f t="shared" si="17"/>
        <v>25595467599.176205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5">
        <v>175.76237623762378</v>
      </c>
      <c r="L34" s="2">
        <f t="shared" si="6"/>
        <v>1.7576237623762378E-4</v>
      </c>
      <c r="M34" s="3">
        <f t="shared" si="7"/>
        <v>4.7762865441819992E-3</v>
      </c>
      <c r="N34" s="52">
        <f t="shared" si="8"/>
        <v>7.4057262204143267E-7</v>
      </c>
      <c r="O34" s="26">
        <f t="shared" si="9"/>
        <v>2.032E-3</v>
      </c>
      <c r="P34" s="26">
        <v>1.9414958079189685E-10</v>
      </c>
      <c r="Q34" s="14">
        <v>0.03</v>
      </c>
      <c r="R34" s="14">
        <f t="shared" si="10"/>
        <v>103000</v>
      </c>
      <c r="S34" s="14">
        <f t="shared" si="11"/>
        <v>98084.957825218167</v>
      </c>
      <c r="T34" s="14">
        <f t="shared" si="12"/>
        <v>98084.957825218167</v>
      </c>
      <c r="U34" s="14">
        <f t="shared" si="13"/>
        <v>5.36358238306597E-3</v>
      </c>
      <c r="V34" s="14">
        <v>0.1</v>
      </c>
      <c r="W34" s="14">
        <f t="shared" si="14"/>
        <v>110000.00000000001</v>
      </c>
      <c r="X34" s="14">
        <f t="shared" si="15"/>
        <v>19.333861386138619</v>
      </c>
      <c r="Y34" s="16">
        <f t="shared" si="16"/>
        <v>4.0504736608083745E-14</v>
      </c>
      <c r="Z34" s="16">
        <f t="shared" si="17"/>
        <v>24391952385.388031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spans="1:73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5">
        <v>179.77227722772278</v>
      </c>
      <c r="L35" s="2">
        <f t="shared" si="6"/>
        <v>1.7977227722772279E-4</v>
      </c>
      <c r="M35" s="3">
        <f t="shared" si="7"/>
        <v>4.7762865441819992E-3</v>
      </c>
      <c r="N35" s="52">
        <f t="shared" si="8"/>
        <v>7.574682908070242E-7</v>
      </c>
      <c r="O35" s="26">
        <f t="shared" si="9"/>
        <v>2.032E-3</v>
      </c>
      <c r="P35" s="26">
        <v>1.9414958079189685E-10</v>
      </c>
      <c r="Q35" s="14">
        <v>0.03</v>
      </c>
      <c r="R35" s="14">
        <f t="shared" si="10"/>
        <v>103000</v>
      </c>
      <c r="S35" s="14">
        <f t="shared" si="11"/>
        <v>97974.226318534478</v>
      </c>
      <c r="T35" s="14">
        <f t="shared" si="12"/>
        <v>97974.226318534478</v>
      </c>
      <c r="U35" s="14">
        <f t="shared" si="13"/>
        <v>5.36358238306597E-3</v>
      </c>
      <c r="V35" s="14">
        <v>0.1</v>
      </c>
      <c r="W35" s="14">
        <f t="shared" si="14"/>
        <v>110000.00000000001</v>
      </c>
      <c r="X35" s="14">
        <f t="shared" si="15"/>
        <v>19.774950495049509</v>
      </c>
      <c r="Y35" s="16">
        <f t="shared" si="16"/>
        <v>4.1475844370144032E-14</v>
      </c>
      <c r="Z35" s="16">
        <f t="shared" si="17"/>
        <v>24976753479.700737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5">
        <v>174.02970297029705</v>
      </c>
      <c r="L36" s="2">
        <f t="shared" si="6"/>
        <v>1.7402970297029704E-4</v>
      </c>
      <c r="M36" s="3">
        <f t="shared" si="7"/>
        <v>4.7762865441819992E-3</v>
      </c>
      <c r="N36" s="52">
        <f t="shared" si="8"/>
        <v>7.3327202442667091E-7</v>
      </c>
      <c r="O36" s="26">
        <f t="shared" si="9"/>
        <v>2.032E-3</v>
      </c>
      <c r="P36" s="26">
        <v>1.9414958079189685E-10</v>
      </c>
      <c r="Q36" s="14">
        <v>0.03</v>
      </c>
      <c r="R36" s="14">
        <f t="shared" si="10"/>
        <v>103000</v>
      </c>
      <c r="S36" s="14">
        <f t="shared" si="11"/>
        <v>98132.824122563674</v>
      </c>
      <c r="T36" s="14">
        <f t="shared" si="12"/>
        <v>98132.824122563674</v>
      </c>
      <c r="U36" s="14">
        <f t="shared" si="13"/>
        <v>5.36358238306597E-3</v>
      </c>
      <c r="V36" s="14">
        <v>0.1</v>
      </c>
      <c r="W36" s="14">
        <f t="shared" si="14"/>
        <v>110000.00000000001</v>
      </c>
      <c r="X36" s="14">
        <f t="shared" si="15"/>
        <v>19.143267326732676</v>
      </c>
      <c r="Y36" s="16">
        <f t="shared" si="16"/>
        <v>4.0085795150351703E-14</v>
      </c>
      <c r="Z36" s="16">
        <f t="shared" si="17"/>
        <v>24139665839.541798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spans="1:73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5">
        <v>182.32178217821783</v>
      </c>
      <c r="L37" s="2">
        <f t="shared" si="6"/>
        <v>1.8232178217821783E-4</v>
      </c>
      <c r="M37" s="3">
        <f t="shared" si="7"/>
        <v>4.7762865441819992E-3</v>
      </c>
      <c r="N37" s="52">
        <f t="shared" si="8"/>
        <v>7.6821059872588788E-7</v>
      </c>
      <c r="O37" s="26">
        <f t="shared" si="9"/>
        <v>2.032E-3</v>
      </c>
      <c r="P37" s="26">
        <v>1.9414958079189685E-10</v>
      </c>
      <c r="Q37" s="14">
        <v>0.03</v>
      </c>
      <c r="R37" s="14">
        <f t="shared" si="10"/>
        <v>103000</v>
      </c>
      <c r="S37" s="14">
        <f t="shared" si="11"/>
        <v>97903.855475255521</v>
      </c>
      <c r="T37" s="14">
        <f t="shared" si="12"/>
        <v>97903.855475255521</v>
      </c>
      <c r="U37" s="14">
        <f t="shared" si="13"/>
        <v>5.36358238306597E-3</v>
      </c>
      <c r="V37" s="14">
        <v>0.1</v>
      </c>
      <c r="W37" s="14">
        <f t="shared" si="14"/>
        <v>110000.00000000001</v>
      </c>
      <c r="X37" s="14">
        <f t="shared" si="15"/>
        <v>20.055396039603963</v>
      </c>
      <c r="Y37" s="16">
        <f t="shared" si="16"/>
        <v>4.2094410213704276E-14</v>
      </c>
      <c r="Z37" s="16">
        <f t="shared" si="17"/>
        <v>25349253830.692715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5">
        <v>169.45049504950498</v>
      </c>
      <c r="L38" s="2">
        <f t="shared" si="6"/>
        <v>1.6945049504950497E-4</v>
      </c>
      <c r="M38" s="3">
        <f t="shared" si="7"/>
        <v>4.7762865441819992E-3</v>
      </c>
      <c r="N38" s="52">
        <f t="shared" si="8"/>
        <v>7.1397758787337205E-7</v>
      </c>
      <c r="O38" s="26">
        <f t="shared" si="9"/>
        <v>2.032E-3</v>
      </c>
      <c r="P38" s="26">
        <v>1.9414958079189685E-10</v>
      </c>
      <c r="Q38" s="14">
        <v>0.03</v>
      </c>
      <c r="R38" s="14">
        <f t="shared" si="10"/>
        <v>103000</v>
      </c>
      <c r="S38" s="14">
        <f t="shared" si="11"/>
        <v>98259.384117571928</v>
      </c>
      <c r="T38" s="14">
        <f t="shared" si="12"/>
        <v>98259.384117571928</v>
      </c>
      <c r="U38" s="14">
        <f t="shared" si="13"/>
        <v>5.36358238306597E-3</v>
      </c>
      <c r="V38" s="14">
        <v>0.1</v>
      </c>
      <c r="W38" s="14">
        <f t="shared" si="14"/>
        <v>110000.00000000001</v>
      </c>
      <c r="X38" s="14">
        <f t="shared" si="15"/>
        <v>18.639554455445548</v>
      </c>
      <c r="Y38" s="16">
        <f t="shared" si="16"/>
        <v>3.8980543452225556E-14</v>
      </c>
      <c r="Z38" s="16">
        <f t="shared" si="17"/>
        <v>23474083266.930233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spans="1:73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5">
        <v>179.74752475247524</v>
      </c>
      <c r="L39" s="2">
        <f t="shared" si="6"/>
        <v>1.7974752475247524E-4</v>
      </c>
      <c r="M39" s="3">
        <f t="shared" si="7"/>
        <v>4.7762865441819992E-3</v>
      </c>
      <c r="N39" s="52">
        <f t="shared" si="8"/>
        <v>7.5736399655538467E-7</v>
      </c>
      <c r="O39" s="26">
        <f t="shared" si="9"/>
        <v>2.032E-3</v>
      </c>
      <c r="P39" s="26">
        <v>1.9414958079189685E-10</v>
      </c>
      <c r="Q39" s="14">
        <v>0.03</v>
      </c>
      <c r="R39" s="14">
        <f t="shared" si="10"/>
        <v>103000</v>
      </c>
      <c r="S39" s="14">
        <f t="shared" si="11"/>
        <v>97974.909654521514</v>
      </c>
      <c r="T39" s="14">
        <f t="shared" si="12"/>
        <v>97974.909654521514</v>
      </c>
      <c r="U39" s="14">
        <f t="shared" si="13"/>
        <v>5.36358238306597E-3</v>
      </c>
      <c r="V39" s="14">
        <v>0.1</v>
      </c>
      <c r="W39" s="14">
        <f t="shared" si="14"/>
        <v>110000.00000000001</v>
      </c>
      <c r="X39" s="14">
        <f t="shared" si="15"/>
        <v>19.772227722772278</v>
      </c>
      <c r="Y39" s="16">
        <f t="shared" si="16"/>
        <v>4.1469843197642816E-14</v>
      </c>
      <c r="Z39" s="16">
        <f t="shared" si="17"/>
        <v>24973139573.620506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5">
        <v>173.88118811881191</v>
      </c>
      <c r="L40" s="2">
        <f t="shared" si="6"/>
        <v>1.7388118811881189E-4</v>
      </c>
      <c r="M40" s="3">
        <f t="shared" si="7"/>
        <v>4.7762865441819992E-3</v>
      </c>
      <c r="N40" s="52">
        <f t="shared" si="8"/>
        <v>7.3264625891683425E-7</v>
      </c>
      <c r="O40" s="26">
        <f t="shared" si="9"/>
        <v>2.032E-3</v>
      </c>
      <c r="P40" s="26">
        <v>1.9414958079189685E-10</v>
      </c>
      <c r="Q40" s="14">
        <v>0.03</v>
      </c>
      <c r="R40" s="14">
        <f t="shared" si="10"/>
        <v>103000</v>
      </c>
      <c r="S40" s="14">
        <f t="shared" si="11"/>
        <v>98136.9274913759</v>
      </c>
      <c r="T40" s="14">
        <f t="shared" si="12"/>
        <v>98136.9274913759</v>
      </c>
      <c r="U40" s="14">
        <f t="shared" si="13"/>
        <v>5.36358238306597E-3</v>
      </c>
      <c r="V40" s="14">
        <v>0.1</v>
      </c>
      <c r="W40" s="14">
        <f t="shared" si="14"/>
        <v>110000.00000000001</v>
      </c>
      <c r="X40" s="14">
        <f t="shared" si="15"/>
        <v>19.126930693069312</v>
      </c>
      <c r="Y40" s="16">
        <f t="shared" si="16"/>
        <v>4.0049904756223914E-14</v>
      </c>
      <c r="Z40" s="16">
        <f t="shared" si="17"/>
        <v>24118052644.198044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spans="1:73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5">
        <v>178.80693069306932</v>
      </c>
      <c r="L41" s="2">
        <f t="shared" si="6"/>
        <v>1.7880693069306932E-4</v>
      </c>
      <c r="M41" s="3">
        <f t="shared" si="7"/>
        <v>4.7762865441819992E-3</v>
      </c>
      <c r="N41" s="52">
        <f t="shared" si="8"/>
        <v>7.5340081499308551E-7</v>
      </c>
      <c r="O41" s="26">
        <f t="shared" si="9"/>
        <v>2.032E-3</v>
      </c>
      <c r="P41" s="26">
        <v>1.9414958079189685E-10</v>
      </c>
      <c r="Q41" s="14">
        <v>0.03</v>
      </c>
      <c r="R41" s="14">
        <f t="shared" si="10"/>
        <v>103000</v>
      </c>
      <c r="S41" s="14">
        <f t="shared" si="11"/>
        <v>98000.878187835697</v>
      </c>
      <c r="T41" s="14">
        <f t="shared" si="12"/>
        <v>98000.878187835697</v>
      </c>
      <c r="U41" s="14">
        <f t="shared" si="13"/>
        <v>5.36358238306597E-3</v>
      </c>
      <c r="V41" s="14">
        <v>0.1</v>
      </c>
      <c r="W41" s="14">
        <f t="shared" si="14"/>
        <v>110000.00000000001</v>
      </c>
      <c r="X41" s="14">
        <f t="shared" si="15"/>
        <v>19.668762376237627</v>
      </c>
      <c r="Y41" s="16">
        <f t="shared" si="16"/>
        <v>4.1241860172777801E-14</v>
      </c>
      <c r="Z41" s="16">
        <f t="shared" si="17"/>
        <v>24835848196.046791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5">
        <v>180.78712871287132</v>
      </c>
      <c r="L42" s="2">
        <f t="shared" si="6"/>
        <v>1.8078712871287132E-4</v>
      </c>
      <c r="M42" s="3">
        <f t="shared" si="7"/>
        <v>4.7762865441819992E-3</v>
      </c>
      <c r="N42" s="52">
        <f t="shared" si="8"/>
        <v>7.6174435512424185E-7</v>
      </c>
      <c r="O42" s="26">
        <f t="shared" si="9"/>
        <v>2.032E-3</v>
      </c>
      <c r="P42" s="26">
        <v>1.9414958079189685E-10</v>
      </c>
      <c r="Q42" s="14">
        <v>0.03</v>
      </c>
      <c r="R42" s="14">
        <f t="shared" si="10"/>
        <v>103000</v>
      </c>
      <c r="S42" s="14">
        <f t="shared" si="11"/>
        <v>97946.211594835739</v>
      </c>
      <c r="T42" s="14">
        <f t="shared" si="12"/>
        <v>97946.211594835739</v>
      </c>
      <c r="U42" s="14">
        <f t="shared" si="13"/>
        <v>5.36358238306597E-3</v>
      </c>
      <c r="V42" s="14">
        <v>0.1</v>
      </c>
      <c r="W42" s="14">
        <f t="shared" si="14"/>
        <v>110000.00000000001</v>
      </c>
      <c r="X42" s="14">
        <f t="shared" si="15"/>
        <v>19.886584158415847</v>
      </c>
      <c r="Y42" s="16">
        <f t="shared" si="16"/>
        <v>4.1721963967287173E-14</v>
      </c>
      <c r="Z42" s="16">
        <f t="shared" si="17"/>
        <v>25124966701.100338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5">
        <v>173.60891089108912</v>
      </c>
      <c r="L43" s="2">
        <f t="shared" si="6"/>
        <v>1.7360891089108913E-4</v>
      </c>
      <c r="M43" s="3">
        <f t="shared" si="7"/>
        <v>4.7762865441819992E-3</v>
      </c>
      <c r="N43" s="52">
        <f t="shared" si="8"/>
        <v>7.3149902214880024E-7</v>
      </c>
      <c r="O43" s="26">
        <f t="shared" si="9"/>
        <v>2.032E-3</v>
      </c>
      <c r="P43" s="26">
        <v>1.9414958079189685E-10</v>
      </c>
      <c r="Q43" s="14">
        <v>0.03</v>
      </c>
      <c r="R43" s="14">
        <f t="shared" si="10"/>
        <v>103000</v>
      </c>
      <c r="S43" s="14">
        <f t="shared" si="11"/>
        <v>98144.450557009477</v>
      </c>
      <c r="T43" s="14">
        <f t="shared" si="12"/>
        <v>98144.450557009477</v>
      </c>
      <c r="U43" s="14">
        <f t="shared" si="13"/>
        <v>5.36358238306597E-3</v>
      </c>
      <c r="V43" s="14">
        <v>0.1</v>
      </c>
      <c r="W43" s="14">
        <f t="shared" si="14"/>
        <v>110000.00000000001</v>
      </c>
      <c r="X43" s="14">
        <f t="shared" si="15"/>
        <v>19.096980198019807</v>
      </c>
      <c r="Y43" s="16">
        <f t="shared" si="16"/>
        <v>3.9984113436656828E-14</v>
      </c>
      <c r="Z43" s="16">
        <f t="shared" si="17"/>
        <v>24078433111.554741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spans="1:73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5">
        <v>174.99504950495052</v>
      </c>
      <c r="L44" s="2">
        <f t="shared" si="6"/>
        <v>1.7499504950495051E-4</v>
      </c>
      <c r="M44" s="3">
        <f t="shared" si="7"/>
        <v>4.7762865441819992E-3</v>
      </c>
      <c r="N44" s="52">
        <f t="shared" si="8"/>
        <v>7.3733950024060971E-7</v>
      </c>
      <c r="O44" s="26">
        <f t="shared" si="9"/>
        <v>2.032E-3</v>
      </c>
      <c r="P44" s="26">
        <v>1.9414958079189685E-10</v>
      </c>
      <c r="Q44" s="14">
        <v>0.03</v>
      </c>
      <c r="R44" s="14">
        <f t="shared" si="10"/>
        <v>103000</v>
      </c>
      <c r="S44" s="14">
        <f t="shared" si="11"/>
        <v>98106.154316372296</v>
      </c>
      <c r="T44" s="14">
        <f t="shared" si="12"/>
        <v>98106.154316372296</v>
      </c>
      <c r="U44" s="14">
        <f t="shared" si="13"/>
        <v>5.36358238306597E-3</v>
      </c>
      <c r="V44" s="14">
        <v>0.1</v>
      </c>
      <c r="W44" s="14">
        <f t="shared" si="14"/>
        <v>110000.00000000001</v>
      </c>
      <c r="X44" s="14">
        <f t="shared" si="15"/>
        <v>19.249455445544559</v>
      </c>
      <c r="Y44" s="16">
        <f t="shared" si="16"/>
        <v>4.0319155339201663E-14</v>
      </c>
      <c r="Z44" s="16">
        <f t="shared" si="17"/>
        <v>24280195345.267242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spans="1:73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5">
        <v>174.47524752475249</v>
      </c>
      <c r="L45" s="2">
        <f t="shared" si="6"/>
        <v>1.7447524752475248E-4</v>
      </c>
      <c r="M45" s="3">
        <f t="shared" si="7"/>
        <v>4.7762865441819992E-3</v>
      </c>
      <c r="N45" s="52">
        <f t="shared" si="8"/>
        <v>7.3514932095618101E-7</v>
      </c>
      <c r="O45" s="26">
        <f t="shared" si="9"/>
        <v>2.032E-3</v>
      </c>
      <c r="P45" s="26">
        <v>1.9414958079189685E-10</v>
      </c>
      <c r="Q45" s="14">
        <v>0.03</v>
      </c>
      <c r="R45" s="14">
        <f t="shared" si="10"/>
        <v>103000</v>
      </c>
      <c r="S45" s="14">
        <f t="shared" si="11"/>
        <v>98120.514530856337</v>
      </c>
      <c r="T45" s="14">
        <f t="shared" si="12"/>
        <v>98120.514530856337</v>
      </c>
      <c r="U45" s="14">
        <f t="shared" si="13"/>
        <v>5.36358238306597E-3</v>
      </c>
      <c r="V45" s="14">
        <v>0.1</v>
      </c>
      <c r="W45" s="14">
        <f t="shared" si="14"/>
        <v>110000.00000000001</v>
      </c>
      <c r="X45" s="14">
        <f t="shared" si="15"/>
        <v>19.192277227722776</v>
      </c>
      <c r="Y45" s="16">
        <f t="shared" si="16"/>
        <v>4.019348420818697E-14</v>
      </c>
      <c r="Z45" s="16">
        <f t="shared" si="17"/>
        <v>24204516190.170193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spans="1:73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5">
        <v>189.89603960396042</v>
      </c>
      <c r="L46" s="2">
        <f t="shared" si="6"/>
        <v>1.8989603960396041E-4</v>
      </c>
      <c r="M46" s="3">
        <f t="shared" si="7"/>
        <v>4.7762865441819992E-3</v>
      </c>
      <c r="N46" s="52">
        <f t="shared" si="8"/>
        <v>8.0012463972756084E-7</v>
      </c>
      <c r="O46" s="26">
        <f t="shared" si="9"/>
        <v>2.032E-3</v>
      </c>
      <c r="P46" s="26">
        <v>1.9414958079189685E-10</v>
      </c>
      <c r="Q46" s="14">
        <v>0.03</v>
      </c>
      <c r="R46" s="14">
        <f t="shared" si="10"/>
        <v>103000</v>
      </c>
      <c r="S46" s="14">
        <f t="shared" si="11"/>
        <v>97694.941703030519</v>
      </c>
      <c r="T46" s="14">
        <f t="shared" si="12"/>
        <v>97694.941703030519</v>
      </c>
      <c r="U46" s="14">
        <f t="shared" si="13"/>
        <v>5.36358238306597E-3</v>
      </c>
      <c r="V46" s="14">
        <v>0.1</v>
      </c>
      <c r="W46" s="14">
        <f t="shared" si="14"/>
        <v>110000.00000000001</v>
      </c>
      <c r="X46" s="14">
        <f t="shared" si="15"/>
        <v>20.888564356435648</v>
      </c>
      <c r="Y46" s="16">
        <f t="shared" si="16"/>
        <v>4.393730252810116E-14</v>
      </c>
      <c r="Z46" s="16">
        <f t="shared" si="17"/>
        <v>26459043582.42252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spans="1:73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5">
        <v>179.00495049504954</v>
      </c>
      <c r="L47" s="2">
        <f t="shared" si="6"/>
        <v>1.7900495049504955E-4</v>
      </c>
      <c r="M47" s="3">
        <f t="shared" si="7"/>
        <v>4.7762865441819992E-3</v>
      </c>
      <c r="N47" s="52">
        <f t="shared" si="8"/>
        <v>7.5423516900620124E-7</v>
      </c>
      <c r="O47" s="26">
        <f t="shared" si="9"/>
        <v>2.032E-3</v>
      </c>
      <c r="P47" s="26">
        <v>1.9414958079189685E-10</v>
      </c>
      <c r="Q47" s="14">
        <v>0.03</v>
      </c>
      <c r="R47" s="14">
        <f t="shared" si="10"/>
        <v>103000</v>
      </c>
      <c r="S47" s="14">
        <f t="shared" si="11"/>
        <v>97995.410842229801</v>
      </c>
      <c r="T47" s="14">
        <f t="shared" si="12"/>
        <v>97995.410842229801</v>
      </c>
      <c r="U47" s="14">
        <f t="shared" si="13"/>
        <v>5.36358238306597E-3</v>
      </c>
      <c r="V47" s="14">
        <v>0.1</v>
      </c>
      <c r="W47" s="14">
        <f t="shared" si="14"/>
        <v>110000.00000000001</v>
      </c>
      <c r="X47" s="14">
        <f t="shared" si="15"/>
        <v>19.690544554455453</v>
      </c>
      <c r="Y47" s="16">
        <f t="shared" si="16"/>
        <v>4.1289846636283723E-14</v>
      </c>
      <c r="Z47" s="16">
        <f t="shared" si="17"/>
        <v>24864745644.37006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spans="1:73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5">
        <v>185.63861386138615</v>
      </c>
      <c r="L48" s="2">
        <f t="shared" si="6"/>
        <v>1.8563861386138613E-4</v>
      </c>
      <c r="M48" s="3">
        <f t="shared" si="7"/>
        <v>4.7762865441819992E-3</v>
      </c>
      <c r="N48" s="52">
        <f t="shared" si="8"/>
        <v>7.8218602844557473E-7</v>
      </c>
      <c r="O48" s="26">
        <f t="shared" si="9"/>
        <v>2.032E-3</v>
      </c>
      <c r="P48" s="26">
        <v>1.9414958079189685E-10</v>
      </c>
      <c r="Q48" s="14">
        <v>0.03</v>
      </c>
      <c r="R48" s="14">
        <f t="shared" si="10"/>
        <v>103000</v>
      </c>
      <c r="S48" s="14">
        <f t="shared" si="11"/>
        <v>97812.342897546579</v>
      </c>
      <c r="T48" s="14">
        <f t="shared" si="12"/>
        <v>97812.342897546579</v>
      </c>
      <c r="U48" s="14">
        <f t="shared" si="13"/>
        <v>5.36358238306597E-3</v>
      </c>
      <c r="V48" s="14">
        <v>0.1</v>
      </c>
      <c r="W48" s="14">
        <f t="shared" si="14"/>
        <v>110000.00000000001</v>
      </c>
      <c r="X48" s="14">
        <f t="shared" si="15"/>
        <v>20.420247524752476</v>
      </c>
      <c r="Y48" s="16">
        <f t="shared" si="16"/>
        <v>4.2900467531099169E-14</v>
      </c>
      <c r="Z48" s="16">
        <f t="shared" si="17"/>
        <v>25834661547.227921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spans="1:73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5">
        <v>179.99504950495052</v>
      </c>
      <c r="L49" s="2">
        <f t="shared" si="6"/>
        <v>1.7999504950495053E-4</v>
      </c>
      <c r="M49" s="3">
        <f t="shared" si="7"/>
        <v>4.7762865441819992E-3</v>
      </c>
      <c r="N49" s="52">
        <f t="shared" si="8"/>
        <v>7.5840693907177936E-7</v>
      </c>
      <c r="O49" s="26">
        <f t="shared" si="9"/>
        <v>2.032E-3</v>
      </c>
      <c r="P49" s="26">
        <v>1.9414958079189685E-10</v>
      </c>
      <c r="Q49" s="14">
        <v>0.03</v>
      </c>
      <c r="R49" s="14">
        <f t="shared" si="10"/>
        <v>103000</v>
      </c>
      <c r="S49" s="14">
        <f t="shared" si="11"/>
        <v>97968.07640188669</v>
      </c>
      <c r="T49" s="14">
        <f t="shared" si="12"/>
        <v>97968.07640188669</v>
      </c>
      <c r="U49" s="14">
        <f t="shared" si="13"/>
        <v>5.36358238306597E-3</v>
      </c>
      <c r="V49" s="14">
        <v>0.1</v>
      </c>
      <c r="W49" s="14">
        <f t="shared" si="14"/>
        <v>110000.00000000001</v>
      </c>
      <c r="X49" s="14">
        <f t="shared" si="15"/>
        <v>19.799455445544559</v>
      </c>
      <c r="Y49" s="16">
        <f t="shared" si="16"/>
        <v>4.1529858660246507E-14</v>
      </c>
      <c r="Z49" s="16">
        <f t="shared" si="17"/>
        <v>25009280885.200447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spans="1:73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5">
        <v>178.06435643564359</v>
      </c>
      <c r="L50" s="2">
        <f t="shared" si="6"/>
        <v>1.7806435643564358E-4</v>
      </c>
      <c r="M50" s="3">
        <f t="shared" si="7"/>
        <v>4.7762865441819992E-3</v>
      </c>
      <c r="N50" s="52">
        <f t="shared" si="8"/>
        <v>7.5027198744390187E-7</v>
      </c>
      <c r="O50" s="26">
        <f t="shared" si="9"/>
        <v>2.032E-3</v>
      </c>
      <c r="P50" s="26">
        <v>1.9414958079189685E-10</v>
      </c>
      <c r="Q50" s="14">
        <v>0.03</v>
      </c>
      <c r="R50" s="14">
        <f t="shared" si="10"/>
        <v>103000</v>
      </c>
      <c r="S50" s="14">
        <f t="shared" si="11"/>
        <v>98021.382092171465</v>
      </c>
      <c r="T50" s="14">
        <f t="shared" si="12"/>
        <v>98021.382092171465</v>
      </c>
      <c r="U50" s="14">
        <f t="shared" si="13"/>
        <v>5.36358238306597E-3</v>
      </c>
      <c r="V50" s="14">
        <v>0.1</v>
      </c>
      <c r="W50" s="14">
        <f t="shared" si="14"/>
        <v>110000.00000000001</v>
      </c>
      <c r="X50" s="14">
        <f t="shared" si="15"/>
        <v>19.587079207920798</v>
      </c>
      <c r="Y50" s="16">
        <f t="shared" si="16"/>
        <v>4.1061958240965854E-14</v>
      </c>
      <c r="Z50" s="16">
        <f t="shared" si="17"/>
        <v>24727511252.709641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spans="1:73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5">
        <v>179.99504950495052</v>
      </c>
      <c r="L51" s="2">
        <f t="shared" si="6"/>
        <v>1.7999504950495053E-4</v>
      </c>
      <c r="M51" s="3">
        <f t="shared" si="7"/>
        <v>4.7762865441819992E-3</v>
      </c>
      <c r="N51" s="52">
        <f t="shared" si="8"/>
        <v>7.5840693907177936E-7</v>
      </c>
      <c r="O51" s="26">
        <f t="shared" si="9"/>
        <v>2.032E-3</v>
      </c>
      <c r="P51" s="26">
        <v>1.9414958079189685E-10</v>
      </c>
      <c r="Q51" s="14">
        <v>0.03</v>
      </c>
      <c r="R51" s="14">
        <f t="shared" si="10"/>
        <v>103000</v>
      </c>
      <c r="S51" s="14">
        <f t="shared" si="11"/>
        <v>97968.07640188669</v>
      </c>
      <c r="T51" s="14">
        <f>(S51)</f>
        <v>97968.07640188669</v>
      </c>
      <c r="U51" s="14">
        <f t="shared" si="13"/>
        <v>5.36358238306597E-3</v>
      </c>
      <c r="V51" s="14">
        <v>0.1</v>
      </c>
      <c r="W51" s="14">
        <f t="shared" si="14"/>
        <v>110000.00000000001</v>
      </c>
      <c r="X51" s="14">
        <f t="shared" si="15"/>
        <v>19.799455445544559</v>
      </c>
      <c r="Y51" s="16">
        <f t="shared" si="16"/>
        <v>4.1529858660246507E-14</v>
      </c>
      <c r="Z51" s="16">
        <f t="shared" si="17"/>
        <v>25009280885.200447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spans="1:73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5">
        <v>174.72277227722773</v>
      </c>
      <c r="L52" s="2">
        <f t="shared" si="6"/>
        <v>1.7472277227722772E-4</v>
      </c>
      <c r="M52" s="3">
        <f t="shared" si="7"/>
        <v>4.7762865441819992E-3</v>
      </c>
      <c r="N52" s="52">
        <f t="shared" si="8"/>
        <v>7.361922634725756E-7</v>
      </c>
      <c r="O52" s="26">
        <f t="shared" si="9"/>
        <v>2.032E-3</v>
      </c>
      <c r="P52" s="26">
        <v>1.9414958079189685E-10</v>
      </c>
      <c r="Q52" s="14">
        <v>0.03</v>
      </c>
      <c r="R52" s="14">
        <f t="shared" si="10"/>
        <v>103000</v>
      </c>
      <c r="S52" s="14">
        <f t="shared" si="11"/>
        <v>98113.676202417628</v>
      </c>
      <c r="T52" s="14">
        <f t="shared" si="12"/>
        <v>98113.676202417628</v>
      </c>
      <c r="U52" s="14">
        <f t="shared" si="13"/>
        <v>5.36358238306597E-3</v>
      </c>
      <c r="V52" s="14">
        <v>0.1</v>
      </c>
      <c r="W52" s="14">
        <f t="shared" si="14"/>
        <v>110000.00000000001</v>
      </c>
      <c r="X52" s="14">
        <f t="shared" si="15"/>
        <v>19.21950495049505</v>
      </c>
      <c r="Y52" s="16">
        <f t="shared" si="16"/>
        <v>4.0253323050546275E-14</v>
      </c>
      <c r="Z52" s="16">
        <f t="shared" si="17"/>
        <v>24240551141.038967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spans="1:73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5">
        <v>180.29207920792081</v>
      </c>
      <c r="L53" s="2">
        <f t="shared" si="6"/>
        <v>1.802920792079208E-4</v>
      </c>
      <c r="M53" s="3">
        <f t="shared" si="7"/>
        <v>4.7762865441819992E-3</v>
      </c>
      <c r="N53" s="52">
        <f t="shared" si="8"/>
        <v>7.5965847009145269E-7</v>
      </c>
      <c r="O53" s="26">
        <f t="shared" si="9"/>
        <v>2.032E-3</v>
      </c>
      <c r="P53" s="26">
        <v>1.9414958079189685E-10</v>
      </c>
      <c r="Q53" s="14">
        <v>0.03</v>
      </c>
      <c r="R53" s="14">
        <f t="shared" si="10"/>
        <v>103000</v>
      </c>
      <c r="S53" s="14">
        <f t="shared" si="11"/>
        <v>97959.876813281793</v>
      </c>
      <c r="T53" s="14">
        <f t="shared" si="12"/>
        <v>97959.876813281793</v>
      </c>
      <c r="U53" s="14">
        <f t="shared" si="13"/>
        <v>5.36358238306597E-3</v>
      </c>
      <c r="V53" s="14">
        <v>0.1</v>
      </c>
      <c r="W53" s="14">
        <f t="shared" si="14"/>
        <v>110000.00000000001</v>
      </c>
      <c r="X53" s="14">
        <f t="shared" si="15"/>
        <v>19.832128712871292</v>
      </c>
      <c r="Y53" s="16">
        <f t="shared" si="16"/>
        <v>4.1601888180180963E-14</v>
      </c>
      <c r="Z53" s="16">
        <f t="shared" si="17"/>
        <v>25052657062.104977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3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177.49504950495052</v>
      </c>
      <c r="L54" s="2">
        <f t="shared" si="6"/>
        <v>1.7749504950495052E-4</v>
      </c>
      <c r="M54" s="3">
        <f t="shared" si="7"/>
        <v>4.7762865441819992E-3</v>
      </c>
      <c r="N54" s="52">
        <f t="shared" si="8"/>
        <v>7.4787321965619453E-7</v>
      </c>
      <c r="O54" s="26">
        <f t="shared" si="9"/>
        <v>2.032E-3</v>
      </c>
      <c r="P54" s="26">
        <v>1.9414958079189685E-10</v>
      </c>
      <c r="Q54" s="14">
        <v>0.03</v>
      </c>
      <c r="R54" s="14">
        <f t="shared" si="10"/>
        <v>103000</v>
      </c>
      <c r="S54" s="14">
        <f t="shared" si="11"/>
        <v>98037.10320460466</v>
      </c>
      <c r="T54" s="14">
        <f t="shared" si="12"/>
        <v>98037.10320460466</v>
      </c>
      <c r="U54" s="14">
        <f t="shared" si="13"/>
        <v>5.36358238306597E-3</v>
      </c>
      <c r="V54" s="14">
        <v>0.1</v>
      </c>
      <c r="W54" s="14">
        <f t="shared" si="14"/>
        <v>110000.00000000001</v>
      </c>
      <c r="X54" s="14">
        <f t="shared" si="15"/>
        <v>19.524455445544561</v>
      </c>
      <c r="Y54" s="16">
        <f t="shared" si="16"/>
        <v>4.0924083994976295E-14</v>
      </c>
      <c r="Z54" s="16">
        <f t="shared" si="17"/>
        <v>24644483381.774727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spans="1:73" s="4" customFormat="1" x14ac:dyDescent="0.25">
      <c r="A55" s="1">
        <v>159</v>
      </c>
      <c r="B55" s="1">
        <f t="shared" si="1"/>
        <v>2.65</v>
      </c>
      <c r="C55" s="1">
        <v>20</v>
      </c>
      <c r="D55" s="1">
        <f t="shared" si="0"/>
        <v>29.146000000000001</v>
      </c>
      <c r="E55" s="1">
        <f t="shared" si="2"/>
        <v>4.8576666666666667E-7</v>
      </c>
      <c r="F55" s="1">
        <v>21.1</v>
      </c>
      <c r="G55" s="1">
        <f t="shared" si="3"/>
        <v>294.10000000000002</v>
      </c>
      <c r="H55" s="1">
        <v>101.3</v>
      </c>
      <c r="I55" s="1">
        <f t="shared" si="4"/>
        <v>101300</v>
      </c>
      <c r="J55" s="1">
        <f t="shared" si="5"/>
        <v>2.0124824921938581E-5</v>
      </c>
      <c r="K55" s="25">
        <v>179.57425742574259</v>
      </c>
      <c r="L55" s="2">
        <f t="shared" si="6"/>
        <v>1.7957425742574259E-4</v>
      </c>
      <c r="M55" s="3">
        <f t="shared" si="7"/>
        <v>4.7762865441819992E-3</v>
      </c>
      <c r="N55" s="52">
        <f t="shared" si="8"/>
        <v>7.5663393679390858E-7</v>
      </c>
      <c r="O55" s="26">
        <f t="shared" si="9"/>
        <v>2.032E-3</v>
      </c>
      <c r="P55" s="26">
        <v>1.9414958079189685E-10</v>
      </c>
      <c r="Q55" s="14">
        <v>0.03</v>
      </c>
      <c r="R55" s="14">
        <f t="shared" si="10"/>
        <v>103000</v>
      </c>
      <c r="S55" s="14">
        <f t="shared" si="11"/>
        <v>97979.693073154762</v>
      </c>
      <c r="T55" s="14">
        <f t="shared" si="12"/>
        <v>97979.693073154762</v>
      </c>
      <c r="U55" s="14">
        <f t="shared" si="13"/>
        <v>5.36358238306597E-3</v>
      </c>
      <c r="V55" s="14">
        <v>0.1</v>
      </c>
      <c r="W55" s="14">
        <f t="shared" si="14"/>
        <v>110000.00000000001</v>
      </c>
      <c r="X55" s="14">
        <f t="shared" si="15"/>
        <v>19.753168316831687</v>
      </c>
      <c r="Y55" s="16">
        <f t="shared" si="16"/>
        <v>4.142783731553957E-14</v>
      </c>
      <c r="Z55" s="16">
        <f t="shared" si="17"/>
        <v>24947843631.417931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spans="1:73" s="4" customFormat="1" x14ac:dyDescent="0.25">
      <c r="A56" s="1">
        <v>162</v>
      </c>
      <c r="B56" s="1">
        <f t="shared" si="1"/>
        <v>2.7</v>
      </c>
      <c r="C56" s="1">
        <v>20</v>
      </c>
      <c r="D56" s="1">
        <f t="shared" si="0"/>
        <v>29.146000000000001</v>
      </c>
      <c r="E56" s="1">
        <f t="shared" si="2"/>
        <v>4.8576666666666667E-7</v>
      </c>
      <c r="F56" s="1">
        <v>21.1</v>
      </c>
      <c r="G56" s="1">
        <f t="shared" si="3"/>
        <v>294.10000000000002</v>
      </c>
      <c r="H56" s="1">
        <v>101.3</v>
      </c>
      <c r="I56" s="1">
        <f t="shared" si="4"/>
        <v>101300</v>
      </c>
      <c r="J56" s="1">
        <f t="shared" si="5"/>
        <v>2.0124824921938581E-5</v>
      </c>
      <c r="K56" s="25">
        <v>178.26237623762378</v>
      </c>
      <c r="L56" s="2">
        <f t="shared" si="6"/>
        <v>1.7826237623762379E-4</v>
      </c>
      <c r="M56" s="3">
        <f t="shared" si="7"/>
        <v>4.7762865441819992E-3</v>
      </c>
      <c r="N56" s="52">
        <f t="shared" si="8"/>
        <v>7.511063414570176E-7</v>
      </c>
      <c r="O56" s="26">
        <f t="shared" si="9"/>
        <v>2.032E-3</v>
      </c>
      <c r="P56" s="26">
        <v>1.9414958079189685E-10</v>
      </c>
      <c r="Q56" s="14">
        <v>0.03</v>
      </c>
      <c r="R56" s="14">
        <f t="shared" si="10"/>
        <v>103000</v>
      </c>
      <c r="S56" s="14">
        <f t="shared" si="11"/>
        <v>98015.914174644</v>
      </c>
      <c r="T56" s="14">
        <f t="shared" si="12"/>
        <v>98015.914174644</v>
      </c>
      <c r="U56" s="14">
        <f t="shared" si="13"/>
        <v>5.36358238306597E-3</v>
      </c>
      <c r="V56" s="14">
        <v>0.1</v>
      </c>
      <c r="W56" s="14">
        <f t="shared" si="14"/>
        <v>110000.00000000001</v>
      </c>
      <c r="X56" s="14">
        <f t="shared" si="15"/>
        <v>19.608861386138621</v>
      </c>
      <c r="Y56" s="16">
        <f t="shared" si="16"/>
        <v>4.1109924787164017E-14</v>
      </c>
      <c r="Z56" s="16">
        <f t="shared" si="17"/>
        <v>24756396706.830173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spans="1:73" s="4" customFormat="1" x14ac:dyDescent="0.25">
      <c r="A57" s="1">
        <v>165</v>
      </c>
      <c r="B57" s="1">
        <f t="shared" si="1"/>
        <v>2.75</v>
      </c>
      <c r="C57" s="1">
        <v>20</v>
      </c>
      <c r="D57" s="1">
        <f t="shared" si="0"/>
        <v>29.146000000000001</v>
      </c>
      <c r="E57" s="1">
        <f t="shared" si="2"/>
        <v>4.8576666666666667E-7</v>
      </c>
      <c r="F57" s="1">
        <v>21.1</v>
      </c>
      <c r="G57" s="1">
        <f t="shared" si="3"/>
        <v>294.10000000000002</v>
      </c>
      <c r="H57" s="1">
        <v>101.3</v>
      </c>
      <c r="I57" s="1">
        <f t="shared" si="4"/>
        <v>101300</v>
      </c>
      <c r="J57" s="1">
        <f t="shared" si="5"/>
        <v>2.0124824921938581E-5</v>
      </c>
      <c r="K57" s="25">
        <v>184.77227722772278</v>
      </c>
      <c r="L57" s="2">
        <f t="shared" si="6"/>
        <v>1.8477227722772278E-4</v>
      </c>
      <c r="M57" s="3">
        <f t="shared" si="7"/>
        <v>4.7762865441819992E-3</v>
      </c>
      <c r="N57" s="52">
        <f t="shared" si="8"/>
        <v>7.7853572963819385E-7</v>
      </c>
      <c r="O57" s="26">
        <f t="shared" si="9"/>
        <v>2.032E-3</v>
      </c>
      <c r="P57" s="26">
        <v>1.9414958079189685E-10</v>
      </c>
      <c r="Q57" s="14">
        <v>0.03</v>
      </c>
      <c r="R57" s="14">
        <f t="shared" si="10"/>
        <v>103000</v>
      </c>
      <c r="S57" s="14">
        <f t="shared" si="11"/>
        <v>97836.241307941571</v>
      </c>
      <c r="T57" s="14">
        <f t="shared" si="12"/>
        <v>97836.241307941571</v>
      </c>
      <c r="U57" s="14">
        <f t="shared" si="13"/>
        <v>5.36358238306597E-3</v>
      </c>
      <c r="V57" s="14">
        <v>0.1</v>
      </c>
      <c r="W57" s="14">
        <f t="shared" si="14"/>
        <v>110000.00000000001</v>
      </c>
      <c r="X57" s="14">
        <f t="shared" si="15"/>
        <v>20.324950495049507</v>
      </c>
      <c r="Y57" s="16">
        <f t="shared" si="16"/>
        <v>4.2689785870997847E-14</v>
      </c>
      <c r="Z57" s="16">
        <f t="shared" si="17"/>
        <v>25707789051.514904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spans="1:73" s="4" customFormat="1" x14ac:dyDescent="0.25">
      <c r="A58" s="1">
        <v>168</v>
      </c>
      <c r="B58" s="1">
        <f t="shared" si="1"/>
        <v>2.8</v>
      </c>
      <c r="C58" s="1">
        <v>20</v>
      </c>
      <c r="D58" s="1">
        <f t="shared" si="0"/>
        <v>29.146000000000001</v>
      </c>
      <c r="E58" s="1">
        <f t="shared" si="2"/>
        <v>4.8576666666666667E-7</v>
      </c>
      <c r="F58" s="1">
        <v>21.1</v>
      </c>
      <c r="G58" s="1">
        <f t="shared" si="3"/>
        <v>294.10000000000002</v>
      </c>
      <c r="H58" s="1">
        <v>101.3</v>
      </c>
      <c r="I58" s="1">
        <f t="shared" si="4"/>
        <v>101300</v>
      </c>
      <c r="J58" s="1">
        <f t="shared" si="5"/>
        <v>2.0124824921938581E-5</v>
      </c>
      <c r="K58" s="25">
        <v>178.33663366336637</v>
      </c>
      <c r="L58" s="2">
        <f t="shared" si="6"/>
        <v>1.7833663366336637E-4</v>
      </c>
      <c r="M58" s="3">
        <f t="shared" si="7"/>
        <v>4.7762865441819992E-3</v>
      </c>
      <c r="N58" s="52">
        <f t="shared" si="8"/>
        <v>7.5141922421193599E-7</v>
      </c>
      <c r="O58" s="26">
        <f t="shared" si="9"/>
        <v>2.032E-3</v>
      </c>
      <c r="P58" s="26">
        <v>1.9414958079189685E-10</v>
      </c>
      <c r="Q58" s="14">
        <v>0.03</v>
      </c>
      <c r="R58" s="14">
        <f t="shared" si="10"/>
        <v>103000</v>
      </c>
      <c r="S58" s="14">
        <f t="shared" si="11"/>
        <v>98013.863744890827</v>
      </c>
      <c r="T58" s="14">
        <f t="shared" si="12"/>
        <v>98013.863744890827</v>
      </c>
      <c r="U58" s="14">
        <f t="shared" si="13"/>
        <v>5.36358238306597E-3</v>
      </c>
      <c r="V58" s="14">
        <v>0.1</v>
      </c>
      <c r="W58" s="14">
        <f t="shared" si="14"/>
        <v>110000.00000000001</v>
      </c>
      <c r="X58" s="14">
        <f t="shared" si="15"/>
        <v>19.617029702970303</v>
      </c>
      <c r="Y58" s="16">
        <f t="shared" si="16"/>
        <v>4.1127913611030321E-14</v>
      </c>
      <c r="Z58" s="16">
        <f t="shared" si="17"/>
        <v>24767229576.562462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spans="1:73" s="4" customFormat="1" x14ac:dyDescent="0.25">
      <c r="A59" s="1">
        <v>171</v>
      </c>
      <c r="B59" s="1">
        <f t="shared" si="1"/>
        <v>2.85</v>
      </c>
      <c r="C59" s="1">
        <v>20</v>
      </c>
      <c r="D59" s="1">
        <f t="shared" si="0"/>
        <v>29.146000000000001</v>
      </c>
      <c r="E59" s="1">
        <f t="shared" si="2"/>
        <v>4.8576666666666667E-7</v>
      </c>
      <c r="F59" s="1">
        <v>21.1</v>
      </c>
      <c r="G59" s="1">
        <f t="shared" si="3"/>
        <v>294.10000000000002</v>
      </c>
      <c r="H59" s="1">
        <v>101.3</v>
      </c>
      <c r="I59" s="1">
        <f t="shared" si="4"/>
        <v>101300</v>
      </c>
      <c r="J59" s="1">
        <f t="shared" si="5"/>
        <v>2.0124824921938581E-5</v>
      </c>
      <c r="K59" s="25">
        <v>186.35643564356437</v>
      </c>
      <c r="L59" s="2">
        <f t="shared" si="6"/>
        <v>1.8635643564356437E-4</v>
      </c>
      <c r="M59" s="3">
        <f t="shared" si="7"/>
        <v>4.7762865441819992E-3</v>
      </c>
      <c r="N59" s="52">
        <f t="shared" si="8"/>
        <v>7.8521056174311884E-7</v>
      </c>
      <c r="O59" s="26">
        <f t="shared" si="9"/>
        <v>2.032E-3</v>
      </c>
      <c r="P59" s="26">
        <v>1.9414958079189685E-10</v>
      </c>
      <c r="Q59" s="14">
        <v>0.03</v>
      </c>
      <c r="R59" s="14">
        <f t="shared" si="10"/>
        <v>103000</v>
      </c>
      <c r="S59" s="14">
        <f t="shared" si="11"/>
        <v>97792.543568935042</v>
      </c>
      <c r="T59" s="14">
        <f t="shared" si="12"/>
        <v>97792.543568935042</v>
      </c>
      <c r="U59" s="14">
        <f t="shared" si="13"/>
        <v>5.36358238306597E-3</v>
      </c>
      <c r="V59" s="14">
        <v>0.1</v>
      </c>
      <c r="W59" s="14">
        <f t="shared" si="14"/>
        <v>110000.00000000001</v>
      </c>
      <c r="X59" s="14">
        <f t="shared" si="15"/>
        <v>20.499207920792085</v>
      </c>
      <c r="Y59" s="16">
        <f t="shared" si="16"/>
        <v>4.3075109695078049E-14</v>
      </c>
      <c r="Z59" s="16">
        <f t="shared" si="17"/>
        <v>25939831058.376003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spans="1:73" s="4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0"/>
      <c r="L60" s="3"/>
      <c r="M60" s="3"/>
      <c r="N60" s="26"/>
      <c r="O60" s="26"/>
      <c r="P60" s="26"/>
      <c r="Q60" s="14"/>
      <c r="R60" s="14"/>
      <c r="S60" s="14"/>
      <c r="T60" s="14"/>
      <c r="U60" s="14"/>
      <c r="V60" s="14"/>
      <c r="W60" s="14"/>
      <c r="X60" s="14"/>
      <c r="Y60" s="14"/>
      <c r="Z60" s="43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 s="4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0"/>
      <c r="L61" s="3"/>
      <c r="M61" s="3"/>
      <c r="N61" s="26"/>
      <c r="O61" s="26"/>
      <c r="P61" s="26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s="4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0"/>
      <c r="L62" s="3"/>
      <c r="M62" s="3"/>
      <c r="N62" s="26"/>
      <c r="O62" s="26"/>
      <c r="P62" s="26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0"/>
      <c r="L63" s="3"/>
      <c r="M63" s="3"/>
      <c r="N63" s="26"/>
      <c r="O63" s="26"/>
      <c r="P63" s="26"/>
      <c r="Q63" s="14"/>
      <c r="R63" s="14"/>
      <c r="S63" s="14"/>
      <c r="T63" s="14"/>
      <c r="U63" s="14"/>
      <c r="V63" s="14"/>
      <c r="W63" s="14"/>
      <c r="X63" s="14"/>
      <c r="Y63" s="45">
        <f>AVERAGE(Y33:Y59)</f>
        <v>4.1299410406911605E-14</v>
      </c>
      <c r="Z63" s="45">
        <f>AVERAGE(Z33:Z59)</f>
        <v>24870504947.042179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0"/>
      <c r="L64" s="3"/>
      <c r="M64" s="3"/>
      <c r="N64" s="26"/>
      <c r="O64" s="26"/>
      <c r="P64" s="26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spans="1:73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0"/>
      <c r="L65" s="3"/>
      <c r="M65" s="3"/>
      <c r="N65" s="26"/>
      <c r="O65" s="26"/>
      <c r="P65" s="26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spans="1:73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0"/>
      <c r="L66" s="3"/>
      <c r="M66" s="3"/>
      <c r="N66" s="26"/>
      <c r="O66" s="26"/>
      <c r="P66" s="26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spans="1:73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0"/>
      <c r="L67" s="3"/>
      <c r="M67" s="3"/>
      <c r="N67" s="26"/>
      <c r="O67" s="26"/>
      <c r="P67" s="26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0"/>
      <c r="L68" s="3"/>
      <c r="M68" s="3"/>
      <c r="N68" s="26"/>
      <c r="O68" s="26"/>
      <c r="P68" s="26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spans="1:73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0"/>
      <c r="L69" s="3"/>
      <c r="M69" s="3"/>
      <c r="N69" s="26"/>
      <c r="O69" s="26"/>
      <c r="P69" s="26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spans="1:73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0"/>
      <c r="L70" s="3"/>
      <c r="M70" s="3"/>
      <c r="N70" s="26"/>
      <c r="O70" s="26"/>
      <c r="P70" s="26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spans="1:73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0"/>
      <c r="L71" s="3"/>
      <c r="M71" s="3"/>
      <c r="N71" s="26"/>
      <c r="O71" s="26"/>
      <c r="P71" s="26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spans="1:73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0"/>
      <c r="L72" s="3"/>
      <c r="M72" s="3"/>
      <c r="N72" s="26"/>
      <c r="O72" s="26"/>
      <c r="P72" s="26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1:73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0"/>
      <c r="L73" s="3"/>
      <c r="M73" s="3"/>
      <c r="N73" s="26"/>
      <c r="O73" s="26"/>
      <c r="P73" s="26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spans="1:73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0"/>
      <c r="L74" s="3"/>
      <c r="M74" s="3"/>
      <c r="N74" s="26"/>
      <c r="O74" s="26"/>
      <c r="P74" s="26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spans="1:73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0"/>
      <c r="L75" s="3"/>
      <c r="M75" s="3"/>
      <c r="N75" s="26"/>
      <c r="O75" s="26"/>
      <c r="P75" s="26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spans="1:73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0"/>
      <c r="L76" s="3"/>
      <c r="M76" s="3"/>
      <c r="N76" s="26"/>
      <c r="O76" s="26"/>
      <c r="P76" s="26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spans="1:73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0"/>
      <c r="L77" s="3"/>
      <c r="M77" s="3"/>
      <c r="N77" s="26"/>
      <c r="O77" s="26"/>
      <c r="P77" s="26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spans="1:73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0"/>
      <c r="L78" s="3"/>
      <c r="M78" s="3"/>
      <c r="N78" s="26"/>
      <c r="O78" s="26"/>
      <c r="P78" s="26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spans="1:73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0"/>
      <c r="L79" s="3"/>
      <c r="M79" s="3"/>
      <c r="N79" s="26"/>
      <c r="O79" s="26"/>
      <c r="P79" s="26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spans="1:73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0"/>
      <c r="L80" s="3"/>
      <c r="M80" s="3"/>
      <c r="N80" s="26"/>
      <c r="O80" s="26"/>
      <c r="P80" s="26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spans="1:73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0"/>
      <c r="L81" s="3"/>
      <c r="M81" s="3"/>
      <c r="N81" s="26"/>
      <c r="O81" s="26"/>
      <c r="P81" s="26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spans="1:73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0"/>
      <c r="L82" s="3"/>
      <c r="M82" s="3"/>
      <c r="N82" s="26"/>
      <c r="O82" s="26"/>
      <c r="P82" s="26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spans="1:73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0"/>
      <c r="L83" s="3"/>
      <c r="M83" s="3"/>
      <c r="N83" s="26"/>
      <c r="O83" s="26"/>
      <c r="P83" s="26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spans="1:73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0"/>
      <c r="L84" s="3"/>
      <c r="M84" s="3"/>
      <c r="N84" s="26"/>
      <c r="O84" s="26"/>
      <c r="P84" s="26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spans="1:73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0"/>
      <c r="L85" s="3"/>
      <c r="M85" s="3"/>
      <c r="N85" s="26"/>
      <c r="O85" s="26"/>
      <c r="P85" s="26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0"/>
      <c r="L86" s="3"/>
      <c r="M86" s="3"/>
      <c r="N86" s="26"/>
      <c r="O86" s="26"/>
      <c r="P86" s="26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spans="1:73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0"/>
      <c r="L87" s="3"/>
      <c r="M87" s="3"/>
      <c r="N87" s="26"/>
      <c r="O87" s="26"/>
      <c r="P87" s="26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0"/>
      <c r="L88" s="3"/>
      <c r="M88" s="3"/>
      <c r="N88" s="26"/>
      <c r="O88" s="26"/>
      <c r="P88" s="26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spans="1:73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0"/>
      <c r="L89" s="3"/>
      <c r="M89" s="3"/>
      <c r="N89" s="26"/>
      <c r="O89" s="26"/>
      <c r="P89" s="26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spans="1:73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3"/>
      <c r="M90" s="3"/>
      <c r="N90" s="26"/>
      <c r="O90" s="26"/>
      <c r="P90" s="26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spans="1:73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0"/>
      <c r="L91" s="3"/>
      <c r="M91" s="3"/>
      <c r="N91" s="26"/>
      <c r="O91" s="26"/>
      <c r="P91" s="26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spans="1:73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0"/>
      <c r="L92" s="3"/>
      <c r="M92" s="3"/>
      <c r="N92" s="26"/>
      <c r="O92" s="26"/>
      <c r="P92" s="26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spans="1:73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0"/>
      <c r="L93" s="3"/>
      <c r="M93" s="3"/>
      <c r="N93" s="26"/>
      <c r="O93" s="26"/>
      <c r="P93" s="26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spans="1:73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0"/>
      <c r="L94" s="3"/>
      <c r="M94" s="3"/>
      <c r="N94" s="26"/>
      <c r="O94" s="26"/>
      <c r="P94" s="26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spans="1:73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0"/>
      <c r="L95" s="3"/>
      <c r="M95" s="3"/>
      <c r="N95" s="26"/>
      <c r="O95" s="26"/>
      <c r="P95" s="26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spans="1:73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0"/>
      <c r="L96" s="3"/>
      <c r="M96" s="3"/>
      <c r="N96" s="26"/>
      <c r="O96" s="26"/>
      <c r="P96" s="26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spans="1:73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0"/>
      <c r="L97" s="3"/>
      <c r="M97" s="3"/>
      <c r="N97" s="26"/>
      <c r="O97" s="26"/>
      <c r="P97" s="26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spans="1:73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0"/>
      <c r="L98" s="3"/>
      <c r="M98" s="3"/>
      <c r="N98" s="26"/>
      <c r="O98" s="26"/>
      <c r="P98" s="26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spans="1:73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0"/>
      <c r="L99" s="3"/>
      <c r="M99" s="3"/>
      <c r="N99" s="26"/>
      <c r="O99" s="26"/>
      <c r="P99" s="26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spans="1:73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0"/>
      <c r="L100" s="3"/>
      <c r="M100" s="3"/>
      <c r="N100" s="26"/>
      <c r="O100" s="26"/>
      <c r="P100" s="26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spans="1:73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0"/>
      <c r="L101" s="3"/>
      <c r="M101" s="3"/>
      <c r="N101" s="26"/>
      <c r="O101" s="26"/>
      <c r="P101" s="26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spans="1:73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0"/>
      <c r="L102" s="3"/>
      <c r="M102" s="3"/>
      <c r="N102" s="26"/>
      <c r="O102" s="26"/>
      <c r="P102" s="26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spans="1:73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0"/>
      <c r="L103" s="3"/>
      <c r="M103" s="3"/>
      <c r="N103" s="26"/>
      <c r="O103" s="26"/>
      <c r="P103" s="26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spans="1:73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0"/>
      <c r="L104" s="3"/>
      <c r="M104" s="3"/>
      <c r="N104" s="26"/>
      <c r="O104" s="26"/>
      <c r="P104" s="26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spans="1:73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0"/>
      <c r="L105" s="3"/>
      <c r="M105" s="3"/>
      <c r="N105" s="26"/>
      <c r="O105" s="26"/>
      <c r="P105" s="26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spans="1:73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0"/>
      <c r="L106" s="3"/>
      <c r="M106" s="3"/>
      <c r="N106" s="26"/>
      <c r="O106" s="26"/>
      <c r="P106" s="26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spans="1:73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0"/>
      <c r="L107" s="3"/>
      <c r="M107" s="3"/>
      <c r="N107" s="26"/>
      <c r="O107" s="26"/>
      <c r="P107" s="26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spans="1:73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0"/>
      <c r="L108" s="3"/>
      <c r="M108" s="3"/>
      <c r="N108" s="26"/>
      <c r="O108" s="26"/>
      <c r="P108" s="26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spans="1:73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3"/>
      <c r="M109" s="3"/>
      <c r="N109" s="26"/>
      <c r="O109" s="26"/>
      <c r="P109" s="26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spans="1:73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0"/>
      <c r="L110" s="3"/>
      <c r="M110" s="3"/>
      <c r="N110" s="26"/>
      <c r="O110" s="26"/>
      <c r="P110" s="26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spans="1:73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0"/>
      <c r="L111" s="3"/>
      <c r="M111" s="3"/>
      <c r="N111" s="26"/>
      <c r="O111" s="26"/>
      <c r="P111" s="26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spans="1:73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3"/>
      <c r="M112" s="3"/>
      <c r="N112" s="26"/>
      <c r="O112" s="26"/>
      <c r="P112" s="26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spans="1:73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0"/>
      <c r="L113" s="3"/>
      <c r="M113" s="3"/>
      <c r="N113" s="26"/>
      <c r="O113" s="26"/>
      <c r="P113" s="26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spans="1:73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0"/>
      <c r="L114" s="3"/>
      <c r="M114" s="3"/>
      <c r="N114" s="26"/>
      <c r="O114" s="26"/>
      <c r="P114" s="26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spans="1:73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3"/>
      <c r="M115" s="3"/>
      <c r="N115" s="26"/>
      <c r="O115" s="26"/>
      <c r="P115" s="26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spans="1:73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3"/>
      <c r="M116" s="3"/>
      <c r="N116" s="26"/>
      <c r="O116" s="26"/>
      <c r="P116" s="26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spans="1:73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3"/>
      <c r="M117" s="3"/>
      <c r="N117" s="26"/>
      <c r="O117" s="26"/>
      <c r="P117" s="26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spans="1:73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3"/>
      <c r="M118" s="3"/>
      <c r="N118" s="26"/>
      <c r="O118" s="26"/>
      <c r="P118" s="26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spans="1:73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3"/>
      <c r="M119" s="3"/>
      <c r="N119" s="26"/>
      <c r="O119" s="26"/>
      <c r="P119" s="26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spans="1:73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3"/>
      <c r="M120" s="3"/>
      <c r="N120" s="26"/>
      <c r="O120" s="26"/>
      <c r="P120" s="26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spans="1:73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3"/>
      <c r="M121" s="3"/>
      <c r="N121" s="26"/>
      <c r="O121" s="26"/>
      <c r="P121" s="26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spans="1:73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3"/>
      <c r="M122" s="3"/>
      <c r="N122" s="26"/>
      <c r="O122" s="26"/>
      <c r="P122" s="26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spans="1:73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3"/>
      <c r="M123" s="3"/>
      <c r="N123" s="26"/>
      <c r="O123" s="26"/>
      <c r="P123" s="26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spans="1:73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0"/>
      <c r="L124" s="3"/>
      <c r="M124" s="3"/>
      <c r="N124" s="26"/>
      <c r="O124" s="26"/>
      <c r="P124" s="26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spans="1:73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0"/>
      <c r="L125" s="3"/>
      <c r="M125" s="3"/>
      <c r="N125" s="26"/>
      <c r="O125" s="26"/>
      <c r="P125" s="26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spans="1:73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0"/>
      <c r="L126" s="3"/>
      <c r="M126" s="3"/>
      <c r="N126" s="26"/>
      <c r="O126" s="26"/>
      <c r="P126" s="26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spans="1:73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0"/>
      <c r="L127" s="3"/>
      <c r="M127" s="3"/>
      <c r="N127" s="26"/>
      <c r="O127" s="26"/>
      <c r="P127" s="26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spans="1:73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0"/>
      <c r="L128" s="3"/>
      <c r="M128" s="3"/>
      <c r="N128" s="26"/>
      <c r="O128" s="26"/>
      <c r="P128" s="26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spans="1:73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0"/>
      <c r="L129" s="3"/>
      <c r="M129" s="3"/>
      <c r="N129" s="26"/>
      <c r="O129" s="26"/>
      <c r="P129" s="26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spans="1:73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0"/>
      <c r="L130" s="3"/>
      <c r="M130" s="3"/>
      <c r="N130" s="26"/>
      <c r="O130" s="26"/>
      <c r="P130" s="26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spans="1:73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0"/>
      <c r="L131" s="3"/>
      <c r="M131" s="3"/>
      <c r="N131" s="26"/>
      <c r="O131" s="26"/>
      <c r="P131" s="26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spans="1:73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0"/>
      <c r="L132" s="3"/>
      <c r="M132" s="3"/>
      <c r="N132" s="26"/>
      <c r="O132" s="26"/>
      <c r="P132" s="26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spans="1:73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0"/>
      <c r="L133" s="3"/>
      <c r="M133" s="3"/>
      <c r="N133" s="26"/>
      <c r="O133" s="26"/>
      <c r="P133" s="26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spans="1:73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0"/>
      <c r="L134" s="3"/>
      <c r="M134" s="3"/>
      <c r="N134" s="26"/>
      <c r="O134" s="26"/>
      <c r="P134" s="26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spans="1:73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0"/>
      <c r="L135" s="3"/>
      <c r="M135" s="3"/>
      <c r="N135" s="26"/>
      <c r="O135" s="26"/>
      <c r="P135" s="26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spans="1:73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0"/>
      <c r="L136" s="3"/>
      <c r="M136" s="3"/>
      <c r="N136" s="26"/>
      <c r="O136" s="26"/>
      <c r="P136" s="26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spans="1:73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0"/>
      <c r="L137" s="3"/>
      <c r="M137" s="3"/>
      <c r="N137" s="26"/>
      <c r="O137" s="26"/>
      <c r="P137" s="26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spans="1:73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0"/>
      <c r="L138" s="3"/>
      <c r="M138" s="3"/>
      <c r="N138" s="26"/>
      <c r="O138" s="26"/>
      <c r="P138" s="26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spans="1:73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0"/>
      <c r="L139" s="3"/>
      <c r="M139" s="3"/>
      <c r="N139" s="26"/>
      <c r="O139" s="26"/>
      <c r="P139" s="26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spans="1:73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0"/>
      <c r="L140" s="3"/>
      <c r="M140" s="3"/>
      <c r="N140" s="26"/>
      <c r="O140" s="26"/>
      <c r="P140" s="26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spans="1:73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0"/>
      <c r="L141" s="3"/>
      <c r="M141" s="3"/>
      <c r="N141" s="26"/>
      <c r="O141" s="26"/>
      <c r="P141" s="26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spans="1:73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0"/>
      <c r="L142" s="3"/>
      <c r="M142" s="3"/>
      <c r="N142" s="26"/>
      <c r="O142" s="26"/>
      <c r="P142" s="26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spans="1:73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0"/>
      <c r="L143" s="3"/>
      <c r="M143" s="3"/>
      <c r="N143" s="26"/>
      <c r="O143" s="26"/>
      <c r="P143" s="26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spans="1:73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0"/>
      <c r="L144" s="3"/>
      <c r="M144" s="3"/>
      <c r="N144" s="26"/>
      <c r="O144" s="26"/>
      <c r="P144" s="26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spans="1:73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0"/>
      <c r="L145" s="3"/>
      <c r="M145" s="3"/>
      <c r="N145" s="26"/>
      <c r="O145" s="26"/>
      <c r="P145" s="26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spans="1:73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0"/>
      <c r="L146" s="3"/>
      <c r="M146" s="3"/>
      <c r="N146" s="26"/>
      <c r="O146" s="26"/>
      <c r="P146" s="26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spans="1:73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0"/>
      <c r="L147" s="3"/>
      <c r="M147" s="3"/>
      <c r="N147" s="26"/>
      <c r="O147" s="26"/>
      <c r="P147" s="26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spans="1:73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0"/>
      <c r="L148" s="3"/>
      <c r="M148" s="3"/>
      <c r="N148" s="26"/>
      <c r="O148" s="26"/>
      <c r="P148" s="26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spans="1:73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0"/>
      <c r="L149" s="3"/>
      <c r="M149" s="3"/>
      <c r="N149" s="26"/>
      <c r="O149" s="26"/>
      <c r="P149" s="26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spans="1:73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0"/>
      <c r="L150" s="3"/>
      <c r="M150" s="3"/>
      <c r="N150" s="26"/>
      <c r="O150" s="26"/>
      <c r="P150" s="26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spans="1:73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3"/>
      <c r="M151" s="3"/>
      <c r="N151" s="26"/>
      <c r="O151" s="26"/>
      <c r="P151" s="26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spans="1:73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0"/>
      <c r="L152" s="3"/>
      <c r="M152" s="3"/>
      <c r="N152" s="26"/>
      <c r="O152" s="26"/>
      <c r="P152" s="26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spans="1:73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0"/>
      <c r="L153" s="3"/>
      <c r="M153" s="3"/>
      <c r="N153" s="26"/>
      <c r="O153" s="26"/>
      <c r="P153" s="26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spans="1:73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0"/>
      <c r="L154" s="3"/>
      <c r="M154" s="3"/>
      <c r="N154" s="26"/>
      <c r="O154" s="26"/>
      <c r="P154" s="26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spans="1:73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0"/>
      <c r="L155" s="3"/>
      <c r="M155" s="3"/>
      <c r="N155" s="26"/>
      <c r="O155" s="26"/>
      <c r="P155" s="26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spans="1:73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0"/>
      <c r="L156" s="3"/>
      <c r="M156" s="3"/>
      <c r="N156" s="26"/>
      <c r="O156" s="26"/>
      <c r="P156" s="26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spans="1:73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0"/>
      <c r="L157" s="3"/>
      <c r="M157" s="3"/>
      <c r="N157" s="26"/>
      <c r="O157" s="26"/>
      <c r="P157" s="26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spans="1:73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0"/>
      <c r="L158" s="3"/>
      <c r="M158" s="3"/>
      <c r="N158" s="26"/>
      <c r="O158" s="26"/>
      <c r="P158" s="26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spans="1:73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0"/>
      <c r="L159" s="3"/>
      <c r="M159" s="3"/>
      <c r="N159" s="26"/>
      <c r="O159" s="26"/>
      <c r="P159" s="26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spans="1:73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0"/>
      <c r="L160" s="3"/>
      <c r="M160" s="3"/>
      <c r="N160" s="26"/>
      <c r="O160" s="26"/>
      <c r="P160" s="26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spans="1:73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0"/>
      <c r="L161" s="3"/>
      <c r="M161" s="3"/>
      <c r="N161" s="26"/>
      <c r="O161" s="26"/>
      <c r="P161" s="26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spans="1:73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0"/>
      <c r="L162" s="3"/>
      <c r="M162" s="3"/>
      <c r="N162" s="26"/>
      <c r="O162" s="26"/>
      <c r="P162" s="26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spans="1:73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0"/>
      <c r="L163" s="3"/>
      <c r="M163" s="3"/>
      <c r="N163" s="26"/>
      <c r="O163" s="26"/>
      <c r="P163" s="26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spans="1:73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0"/>
      <c r="L164" s="3"/>
      <c r="M164" s="3"/>
      <c r="N164" s="26"/>
      <c r="O164" s="26"/>
      <c r="P164" s="26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spans="1:73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0"/>
      <c r="L165" s="3"/>
      <c r="M165" s="3"/>
      <c r="N165" s="26"/>
      <c r="O165" s="26"/>
      <c r="P165" s="26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spans="1:73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0"/>
      <c r="L166" s="3"/>
      <c r="M166" s="3"/>
      <c r="N166" s="26"/>
      <c r="O166" s="26"/>
      <c r="P166" s="26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spans="1:73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0"/>
      <c r="L167" s="3"/>
      <c r="M167" s="3"/>
      <c r="N167" s="26"/>
      <c r="O167" s="26"/>
      <c r="P167" s="26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spans="1:73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0"/>
      <c r="L168" s="3"/>
      <c r="M168" s="3"/>
      <c r="N168" s="26"/>
      <c r="O168" s="26"/>
      <c r="P168" s="26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spans="1:73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0"/>
      <c r="L169" s="3"/>
      <c r="M169" s="3"/>
      <c r="N169" s="26"/>
      <c r="O169" s="26"/>
      <c r="P169" s="26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spans="1:73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0"/>
      <c r="L170" s="3"/>
      <c r="M170" s="3"/>
      <c r="N170" s="26"/>
      <c r="O170" s="26"/>
      <c r="P170" s="26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spans="1:73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0"/>
      <c r="L171" s="3"/>
      <c r="M171" s="3"/>
      <c r="N171" s="26"/>
      <c r="O171" s="26"/>
      <c r="P171" s="26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spans="1:73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0"/>
      <c r="L172" s="3"/>
      <c r="M172" s="3"/>
      <c r="N172" s="26"/>
      <c r="O172" s="26"/>
      <c r="P172" s="26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spans="1:73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0"/>
      <c r="L173" s="3"/>
      <c r="M173" s="3"/>
      <c r="N173" s="26"/>
      <c r="O173" s="26"/>
      <c r="P173" s="26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spans="1:73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0"/>
      <c r="L174" s="3"/>
      <c r="M174" s="3"/>
      <c r="N174" s="26"/>
      <c r="O174" s="26"/>
      <c r="P174" s="26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spans="1:73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0"/>
      <c r="L175" s="3"/>
      <c r="M175" s="3"/>
      <c r="N175" s="26"/>
      <c r="O175" s="26"/>
      <c r="P175" s="26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spans="1:73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0"/>
      <c r="L176" s="3"/>
      <c r="M176" s="3"/>
      <c r="N176" s="26"/>
      <c r="O176" s="26"/>
      <c r="P176" s="26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spans="1:73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0"/>
      <c r="L177" s="3"/>
      <c r="M177" s="3"/>
      <c r="N177" s="26"/>
      <c r="O177" s="26"/>
      <c r="P177" s="26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spans="1:73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0"/>
      <c r="L178" s="3"/>
      <c r="M178" s="3"/>
      <c r="N178" s="26"/>
      <c r="O178" s="26"/>
      <c r="P178" s="26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spans="1:73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0"/>
      <c r="L179" s="3"/>
      <c r="M179" s="3"/>
      <c r="N179" s="26"/>
      <c r="O179" s="26"/>
      <c r="P179" s="26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spans="1:73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0"/>
      <c r="L180" s="3"/>
      <c r="M180" s="3"/>
      <c r="N180" s="26"/>
      <c r="O180" s="26"/>
      <c r="P180" s="26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spans="1:73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0"/>
      <c r="L181" s="3"/>
      <c r="M181" s="3"/>
      <c r="N181" s="26"/>
      <c r="O181" s="26"/>
      <c r="P181" s="26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spans="1:73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0"/>
      <c r="L182" s="3"/>
      <c r="M182" s="3"/>
      <c r="N182" s="26"/>
      <c r="O182" s="26"/>
      <c r="P182" s="26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spans="1:73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0"/>
      <c r="L183" s="3"/>
      <c r="M183" s="3"/>
      <c r="N183" s="26"/>
      <c r="O183" s="26"/>
      <c r="P183" s="26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spans="1:73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0"/>
      <c r="L184" s="3"/>
      <c r="M184" s="3"/>
      <c r="N184" s="26"/>
      <c r="O184" s="26"/>
      <c r="P184" s="26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spans="1:73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0"/>
      <c r="L185" s="3"/>
      <c r="M185" s="3"/>
      <c r="N185" s="26"/>
      <c r="O185" s="26"/>
      <c r="P185" s="26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spans="1:73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0"/>
      <c r="L186" s="3"/>
      <c r="M186" s="3"/>
      <c r="N186" s="26"/>
      <c r="O186" s="26"/>
      <c r="P186" s="26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spans="1:73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0"/>
      <c r="L187" s="3"/>
      <c r="M187" s="3"/>
      <c r="N187" s="26"/>
      <c r="O187" s="26"/>
      <c r="P187" s="26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spans="1:73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0"/>
      <c r="L188" s="3"/>
      <c r="M188" s="3"/>
      <c r="N188" s="26"/>
      <c r="O188" s="26"/>
      <c r="P188" s="26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spans="1:73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0"/>
      <c r="L189" s="3"/>
      <c r="M189" s="3"/>
      <c r="N189" s="26"/>
      <c r="O189" s="26"/>
      <c r="P189" s="26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spans="1:73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0"/>
      <c r="L190" s="3"/>
      <c r="M190" s="3"/>
      <c r="N190" s="26"/>
      <c r="O190" s="26"/>
      <c r="P190" s="26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spans="1:73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0"/>
      <c r="L191" s="3"/>
      <c r="M191" s="3"/>
      <c r="N191" s="26"/>
      <c r="O191" s="26"/>
      <c r="P191" s="26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spans="1:73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0"/>
      <c r="L192" s="3"/>
      <c r="M192" s="3"/>
      <c r="N192" s="26"/>
      <c r="O192" s="26"/>
      <c r="P192" s="26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spans="1:73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0"/>
      <c r="L193" s="3"/>
      <c r="M193" s="3"/>
      <c r="N193" s="26"/>
      <c r="O193" s="26"/>
      <c r="P193" s="26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spans="1:73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0"/>
      <c r="L194" s="3"/>
      <c r="M194" s="3"/>
      <c r="N194" s="26"/>
      <c r="O194" s="26"/>
      <c r="P194" s="26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spans="1:73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0"/>
      <c r="L195" s="3"/>
      <c r="M195" s="3"/>
      <c r="N195" s="26"/>
      <c r="O195" s="26"/>
      <c r="P195" s="26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spans="1:73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0"/>
      <c r="L196" s="3"/>
      <c r="M196" s="3"/>
      <c r="N196" s="26"/>
      <c r="O196" s="26"/>
      <c r="P196" s="26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spans="1:73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0"/>
      <c r="L197" s="3"/>
      <c r="M197" s="3"/>
      <c r="N197" s="26"/>
      <c r="O197" s="26"/>
      <c r="P197" s="26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spans="1:73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0"/>
      <c r="L198" s="3"/>
      <c r="M198" s="3"/>
      <c r="N198" s="26"/>
      <c r="O198" s="26"/>
      <c r="P198" s="26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spans="1:73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0"/>
      <c r="L199" s="3"/>
      <c r="M199" s="3"/>
      <c r="N199" s="26"/>
      <c r="O199" s="26"/>
      <c r="P199" s="26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spans="1:73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0"/>
      <c r="L200" s="3"/>
      <c r="M200" s="3"/>
      <c r="N200" s="26"/>
      <c r="O200" s="26"/>
      <c r="P200" s="26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spans="1:73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0"/>
      <c r="L201" s="3"/>
      <c r="M201" s="3"/>
      <c r="N201" s="26"/>
      <c r="O201" s="26"/>
      <c r="P201" s="26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spans="1:73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0"/>
      <c r="L202" s="3"/>
      <c r="M202" s="3"/>
      <c r="N202" s="30"/>
      <c r="O202" s="30"/>
      <c r="P202" s="30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spans="1:73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3"/>
      <c r="M203" s="3"/>
      <c r="N203" s="30"/>
      <c r="O203" s="30"/>
      <c r="P203" s="30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spans="1:73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0"/>
      <c r="L204" s="3"/>
      <c r="M204" s="3"/>
      <c r="N204" s="30"/>
      <c r="O204" s="30"/>
      <c r="P204" s="30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spans="1:73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0"/>
      <c r="L205" s="3"/>
      <c r="M205" s="3"/>
      <c r="N205" s="30"/>
      <c r="O205" s="30"/>
      <c r="P205" s="30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spans="1:73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0"/>
      <c r="L206" s="3"/>
      <c r="M206" s="3"/>
      <c r="N206" s="30"/>
      <c r="O206" s="30"/>
      <c r="P206" s="30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spans="1:73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0"/>
      <c r="L207" s="3"/>
      <c r="M207" s="3"/>
      <c r="N207" s="30"/>
      <c r="O207" s="30"/>
      <c r="P207" s="30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spans="1:73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0"/>
      <c r="L208" s="3"/>
      <c r="M208" s="3"/>
      <c r="N208" s="30"/>
      <c r="O208" s="30"/>
      <c r="P208" s="30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spans="1:73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0"/>
      <c r="L209" s="3"/>
      <c r="M209" s="3"/>
      <c r="N209" s="30"/>
      <c r="O209" s="30"/>
      <c r="P209" s="30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spans="1:73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0"/>
      <c r="L210" s="3"/>
      <c r="M210" s="3"/>
      <c r="N210" s="30"/>
      <c r="O210" s="30"/>
      <c r="P210" s="30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spans="1:73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0"/>
      <c r="L211" s="3"/>
      <c r="M211" s="3"/>
      <c r="N211" s="30"/>
      <c r="O211" s="30"/>
      <c r="P211" s="30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spans="1:73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0"/>
      <c r="L212" s="3"/>
      <c r="M212" s="3"/>
      <c r="N212" s="30"/>
      <c r="O212" s="30"/>
      <c r="P212" s="30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spans="1:73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0"/>
      <c r="L213" s="3"/>
      <c r="M213" s="3"/>
      <c r="N213" s="30"/>
      <c r="O213" s="30"/>
      <c r="P213" s="30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spans="1:73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0"/>
      <c r="L214" s="3"/>
      <c r="M214" s="3"/>
      <c r="N214" s="30"/>
      <c r="O214" s="30"/>
      <c r="P214" s="30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spans="1:73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0"/>
      <c r="L215" s="3"/>
      <c r="M215" s="3"/>
      <c r="N215" s="30"/>
      <c r="O215" s="30"/>
      <c r="P215" s="30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spans="1:73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0"/>
      <c r="L216" s="3"/>
      <c r="M216" s="3"/>
      <c r="N216" s="30"/>
      <c r="O216" s="30"/>
      <c r="P216" s="30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spans="1:73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0"/>
      <c r="L217" s="3"/>
      <c r="M217" s="3"/>
      <c r="N217" s="30"/>
      <c r="O217" s="30"/>
      <c r="P217" s="30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spans="1:73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0"/>
      <c r="L218" s="3"/>
      <c r="M218" s="3"/>
      <c r="N218" s="30"/>
      <c r="O218" s="30"/>
      <c r="P218" s="30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spans="1:73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0"/>
      <c r="L219" s="3"/>
      <c r="M219" s="3"/>
      <c r="N219" s="30"/>
      <c r="O219" s="30"/>
      <c r="P219" s="30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spans="1:73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0"/>
      <c r="L220" s="3"/>
      <c r="M220" s="3"/>
      <c r="N220" s="30"/>
      <c r="O220" s="30"/>
      <c r="P220" s="30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spans="1:73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0"/>
      <c r="L221" s="3"/>
      <c r="M221" s="3"/>
      <c r="N221" s="30"/>
      <c r="O221" s="30"/>
      <c r="P221" s="30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spans="1:73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0"/>
      <c r="L222" s="3"/>
      <c r="M222" s="3"/>
      <c r="N222" s="30"/>
      <c r="O222" s="30"/>
      <c r="P222" s="30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spans="1:73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0"/>
      <c r="L223" s="3"/>
      <c r="M223" s="3"/>
      <c r="N223" s="30"/>
      <c r="O223" s="30"/>
      <c r="P223" s="30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spans="1:73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0"/>
      <c r="L224" s="3"/>
      <c r="M224" s="3"/>
      <c r="N224" s="30"/>
      <c r="O224" s="30"/>
      <c r="P224" s="30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spans="1:73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0"/>
      <c r="L225" s="3"/>
      <c r="M225" s="3"/>
      <c r="N225" s="30"/>
      <c r="O225" s="30"/>
      <c r="P225" s="30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spans="1:73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0"/>
      <c r="L226" s="3"/>
      <c r="M226" s="3"/>
      <c r="N226" s="30"/>
      <c r="O226" s="30"/>
      <c r="P226" s="30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spans="1:73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0"/>
      <c r="L227" s="3"/>
      <c r="M227" s="3"/>
      <c r="N227" s="30"/>
      <c r="O227" s="30"/>
      <c r="P227" s="30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spans="1:73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0"/>
      <c r="L228" s="3"/>
      <c r="M228" s="3"/>
      <c r="N228" s="30"/>
      <c r="O228" s="30"/>
      <c r="P228" s="30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spans="1:73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0"/>
      <c r="L229" s="3"/>
      <c r="M229" s="3"/>
      <c r="N229" s="30"/>
      <c r="O229" s="30"/>
      <c r="P229" s="30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spans="1:73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0"/>
      <c r="L230" s="3"/>
      <c r="M230" s="3"/>
      <c r="N230" s="30"/>
      <c r="O230" s="30"/>
      <c r="P230" s="30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spans="1:73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0"/>
      <c r="L231" s="3"/>
      <c r="M231" s="3"/>
      <c r="N231" s="30"/>
      <c r="O231" s="30"/>
      <c r="P231" s="30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spans="1:73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0"/>
      <c r="L232" s="3"/>
      <c r="M232" s="3"/>
      <c r="N232" s="30"/>
      <c r="O232" s="30"/>
      <c r="P232" s="30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spans="1:73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0"/>
      <c r="L233" s="3"/>
      <c r="M233" s="3"/>
      <c r="N233" s="30"/>
      <c r="O233" s="30"/>
      <c r="P233" s="30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spans="1:73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0"/>
      <c r="L234" s="3"/>
      <c r="M234" s="3"/>
      <c r="N234" s="30"/>
      <c r="O234" s="30"/>
      <c r="P234" s="30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spans="1:73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0"/>
      <c r="L235" s="3"/>
      <c r="M235" s="3"/>
      <c r="N235" s="30"/>
      <c r="O235" s="30"/>
      <c r="P235" s="30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spans="1:73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0"/>
      <c r="L236" s="3"/>
      <c r="M236" s="3"/>
      <c r="N236" s="30"/>
      <c r="O236" s="30"/>
      <c r="P236" s="30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spans="1:73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0"/>
      <c r="L237" s="3"/>
      <c r="M237" s="3"/>
      <c r="N237" s="30"/>
      <c r="O237" s="30"/>
      <c r="P237" s="30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spans="1:73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0"/>
      <c r="L238" s="3"/>
      <c r="M238" s="3"/>
      <c r="N238" s="30"/>
      <c r="O238" s="30"/>
      <c r="P238" s="30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spans="1:73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0"/>
      <c r="L239" s="3"/>
      <c r="M239" s="3"/>
      <c r="N239" s="30"/>
      <c r="O239" s="30"/>
      <c r="P239" s="30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spans="1:73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0"/>
      <c r="L240" s="3"/>
      <c r="M240" s="3"/>
      <c r="N240" s="30"/>
      <c r="O240" s="30"/>
      <c r="P240" s="30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spans="1:73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0"/>
      <c r="L241" s="3"/>
      <c r="M241" s="3"/>
      <c r="N241" s="30"/>
      <c r="O241" s="30"/>
      <c r="P241" s="30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spans="1:73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0"/>
      <c r="L242" s="3"/>
      <c r="M242" s="3"/>
      <c r="N242" s="30"/>
      <c r="O242" s="30"/>
      <c r="P242" s="30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spans="1:73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0"/>
      <c r="L243" s="3"/>
      <c r="M243" s="3"/>
      <c r="N243" s="30"/>
      <c r="O243" s="30"/>
      <c r="P243" s="30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spans="1:73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0"/>
      <c r="L244" s="3"/>
      <c r="M244" s="3"/>
      <c r="N244" s="30"/>
      <c r="O244" s="30"/>
      <c r="P244" s="30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spans="1:73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3"/>
      <c r="M245" s="3"/>
      <c r="N245" s="30"/>
      <c r="O245" s="30"/>
      <c r="P245" s="30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spans="1:73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3"/>
      <c r="M246" s="3"/>
      <c r="N246" s="30"/>
      <c r="O246" s="30"/>
      <c r="P246" s="30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B0F7-5302-4A1E-8705-9A605D0AA997}">
  <dimension ref="A1:BU246"/>
  <sheetViews>
    <sheetView tabSelected="1" topLeftCell="M1" zoomScale="120" zoomScaleNormal="120" workbookViewId="0">
      <selection activeCell="X2" sqref="X2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20" customWidth="1"/>
    <col min="12" max="12" width="20.88671875" style="3" customWidth="1"/>
    <col min="13" max="13" width="26.88671875" style="3" customWidth="1"/>
    <col min="14" max="15" width="20.6640625" style="30" customWidth="1"/>
    <col min="16" max="16" width="36.33203125" style="30" customWidth="1"/>
    <col min="17" max="17" width="23.21875" style="17" customWidth="1"/>
    <col min="18" max="18" width="30.88671875" style="17" customWidth="1"/>
    <col min="19" max="19" width="33.109375" style="17" customWidth="1"/>
    <col min="20" max="20" width="22.5546875" style="17" customWidth="1"/>
    <col min="21" max="24" width="20.6640625" style="17" customWidth="1"/>
    <col min="25" max="25" width="53.21875" style="17" customWidth="1"/>
    <col min="26" max="26" width="53" style="17" customWidth="1"/>
    <col min="27" max="16384" width="8.88671875" style="7"/>
  </cols>
  <sheetData>
    <row r="1" spans="1:26" s="41" customFormat="1" ht="53.4" customHeight="1" x14ac:dyDescent="0.3">
      <c r="A1" s="12" t="s">
        <v>7</v>
      </c>
      <c r="B1" s="13" t="s">
        <v>6</v>
      </c>
      <c r="C1" s="12" t="s">
        <v>2</v>
      </c>
      <c r="D1" s="12" t="s">
        <v>1</v>
      </c>
      <c r="E1" s="13" t="s">
        <v>0</v>
      </c>
      <c r="F1" s="12" t="s">
        <v>3</v>
      </c>
      <c r="G1" s="13" t="s">
        <v>11</v>
      </c>
      <c r="H1" s="12" t="s">
        <v>4</v>
      </c>
      <c r="I1" s="13" t="s">
        <v>12</v>
      </c>
      <c r="J1" s="13" t="s">
        <v>8</v>
      </c>
      <c r="K1" s="19" t="s">
        <v>5</v>
      </c>
      <c r="L1" s="22" t="s">
        <v>10</v>
      </c>
      <c r="M1" s="22" t="s">
        <v>41</v>
      </c>
      <c r="N1" s="54" t="s">
        <v>9</v>
      </c>
      <c r="O1" s="29" t="s">
        <v>34</v>
      </c>
      <c r="P1" s="29" t="s">
        <v>44</v>
      </c>
      <c r="Q1" s="18" t="s">
        <v>14</v>
      </c>
      <c r="R1" s="15" t="s">
        <v>23</v>
      </c>
      <c r="S1" s="15" t="s">
        <v>13</v>
      </c>
      <c r="T1" s="15" t="s">
        <v>24</v>
      </c>
      <c r="U1" s="15" t="s">
        <v>45</v>
      </c>
      <c r="V1" s="15" t="s">
        <v>15</v>
      </c>
      <c r="W1" s="15" t="s">
        <v>16</v>
      </c>
      <c r="X1" s="15" t="s">
        <v>25</v>
      </c>
      <c r="Y1" s="22" t="s">
        <v>46</v>
      </c>
      <c r="Z1" s="22" t="s">
        <v>47</v>
      </c>
    </row>
    <row r="2" spans="1:26" x14ac:dyDescent="0.25">
      <c r="A2" s="1">
        <v>0</v>
      </c>
      <c r="B2" s="1">
        <f>(A2/60)</f>
        <v>0</v>
      </c>
      <c r="C2" s="1">
        <v>20</v>
      </c>
      <c r="D2" s="1">
        <f t="shared" ref="D2:D59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0">
        <v>15.143564356435645</v>
      </c>
      <c r="L2" s="2">
        <f>(K2/1000000)</f>
        <v>1.5143564356435645E-5</v>
      </c>
      <c r="M2" s="3">
        <f>(3.142*3.07*3.07*25.4*25.4)/(4*1000000)</f>
        <v>4.7762865441819992E-3</v>
      </c>
      <c r="N2" s="26">
        <f>(L2*J2)/M2</f>
        <v>6.3807223153017758E-8</v>
      </c>
      <c r="O2" s="26">
        <f>(2.032/1000)</f>
        <v>2.032E-3</v>
      </c>
      <c r="P2" s="26">
        <v>1.9414958079189685E-10</v>
      </c>
      <c r="Q2" s="14">
        <v>0.02</v>
      </c>
      <c r="R2" s="14">
        <f>(1+Q2)*100000*1</f>
        <v>102000</v>
      </c>
      <c r="S2" s="14">
        <f>(SQRT(R2)-(N2*O2/P2))^2</f>
        <v>101573.87905907702</v>
      </c>
      <c r="T2" s="14">
        <f>(S2)</f>
        <v>101573.87905907702</v>
      </c>
      <c r="U2" s="14">
        <f>(5.36358238306597/1000)</f>
        <v>5.36358238306597E-3</v>
      </c>
      <c r="V2" s="14">
        <v>0.13</v>
      </c>
      <c r="W2" s="14">
        <f>(1+V2)*100000</f>
        <v>112999.99999999999</v>
      </c>
      <c r="X2" s="14">
        <f>(L2*W2)</f>
        <v>1.7112227722772277</v>
      </c>
      <c r="Y2" s="14">
        <f>(N2*U2)/(T2-X2)</f>
        <v>3.3693806611220192E-15</v>
      </c>
      <c r="Z2" s="14">
        <f>(Y2*6.022E+23)</f>
        <v>2029041034.1276801</v>
      </c>
    </row>
    <row r="3" spans="1:26" x14ac:dyDescent="0.25">
      <c r="A3" s="1">
        <v>3</v>
      </c>
      <c r="B3" s="1">
        <f t="shared" ref="B3:B59" si="1">(A3/60)</f>
        <v>0.05</v>
      </c>
      <c r="C3" s="1">
        <v>20</v>
      </c>
      <c r="D3" s="1">
        <f t="shared" si="0"/>
        <v>29.146000000000001</v>
      </c>
      <c r="E3" s="1">
        <f t="shared" ref="E3:E59" si="2">(D3/(1000000*60))</f>
        <v>4.8576666666666667E-7</v>
      </c>
      <c r="F3" s="1">
        <v>21.1</v>
      </c>
      <c r="G3" s="1">
        <f t="shared" ref="G3:G59" si="3">(273+F3)</f>
        <v>294.10000000000002</v>
      </c>
      <c r="H3" s="1">
        <v>101.3</v>
      </c>
      <c r="I3" s="1">
        <f t="shared" ref="I3:I59" si="4">(H3*1000)</f>
        <v>101300</v>
      </c>
      <c r="J3" s="1">
        <f t="shared" ref="J3:J59" si="5">((I3*E3)/(8.314*G3))</f>
        <v>2.0124824921938581E-5</v>
      </c>
      <c r="K3" s="20">
        <v>15.663366336633665</v>
      </c>
      <c r="L3" s="2">
        <f t="shared" ref="L3:L59" si="6">(K3/1000000)</f>
        <v>1.5663366336633665E-5</v>
      </c>
      <c r="M3" s="3">
        <f t="shared" ref="M3:M66" si="7">(3.142*3.07*3.07*25.4*25.4)/(4*1000000)</f>
        <v>4.7762865441819992E-3</v>
      </c>
      <c r="N3" s="26">
        <f t="shared" ref="N3:N59" si="8">(L3*J3)/M3</f>
        <v>6.5997402437446295E-8</v>
      </c>
      <c r="O3" s="26">
        <f t="shared" ref="O3:O66" si="9">(2.032/1000)</f>
        <v>2.032E-3</v>
      </c>
      <c r="P3" s="26">
        <v>1.9414958079189685E-10</v>
      </c>
      <c r="Q3" s="14">
        <v>0.02</v>
      </c>
      <c r="R3" s="14">
        <f t="shared" ref="R3:R59" si="10">(1+Q3)*100000*1</f>
        <v>102000</v>
      </c>
      <c r="S3" s="14">
        <f t="shared" ref="S3:S59" si="11">(SQRT(R3)-(N3*O3/P3))^2</f>
        <v>101559.26831580607</v>
      </c>
      <c r="T3" s="14">
        <f t="shared" ref="T3:T59" si="12">(S3)</f>
        <v>101559.26831580607</v>
      </c>
      <c r="U3" s="14">
        <f t="shared" ref="U3:U66" si="13">(5.36358238306597/1000)</f>
        <v>5.36358238306597E-3</v>
      </c>
      <c r="V3" s="14">
        <v>0.13</v>
      </c>
      <c r="W3" s="14">
        <f t="shared" ref="W3:W59" si="14">(1+V3)*100000</f>
        <v>112999.99999999999</v>
      </c>
      <c r="X3" s="14">
        <f t="shared" ref="X3:X59" si="15">(L3*W3)</f>
        <v>1.769960396039604</v>
      </c>
      <c r="Y3" s="14">
        <f t="shared" ref="Y3:Y59" si="16">(N3*U3)/(T3-X3)</f>
        <v>3.485537855637276E-15</v>
      </c>
      <c r="Z3" s="14">
        <f t="shared" ref="Z3:Z59" si="17">(Y3*6.022E+23)</f>
        <v>2098990896.6647677</v>
      </c>
    </row>
    <row r="4" spans="1:26" x14ac:dyDescent="0.25">
      <c r="A4" s="1">
        <v>6</v>
      </c>
      <c r="B4" s="1">
        <f t="shared" si="1"/>
        <v>0.1</v>
      </c>
      <c r="C4" s="1">
        <v>20</v>
      </c>
      <c r="D4" s="1">
        <f t="shared" si="0"/>
        <v>29.146000000000001</v>
      </c>
      <c r="E4" s="1">
        <f t="shared" si="2"/>
        <v>4.8576666666666667E-7</v>
      </c>
      <c r="F4" s="1">
        <v>21.1</v>
      </c>
      <c r="G4" s="1">
        <f t="shared" si="3"/>
        <v>294.10000000000002</v>
      </c>
      <c r="H4" s="1">
        <v>101.3</v>
      </c>
      <c r="I4" s="1">
        <f t="shared" si="4"/>
        <v>101300</v>
      </c>
      <c r="J4" s="1">
        <f t="shared" si="5"/>
        <v>2.0124824921938581E-5</v>
      </c>
      <c r="K4" s="20">
        <v>16.628712871287128</v>
      </c>
      <c r="L4" s="2">
        <f t="shared" si="6"/>
        <v>1.6628712871287128E-5</v>
      </c>
      <c r="M4" s="3">
        <f t="shared" si="7"/>
        <v>4.7762865441819992E-3</v>
      </c>
      <c r="N4" s="26">
        <f t="shared" si="8"/>
        <v>7.0064878251384972E-8</v>
      </c>
      <c r="O4" s="26">
        <f t="shared" si="9"/>
        <v>2.032E-3</v>
      </c>
      <c r="P4" s="26">
        <v>1.9414958079189685E-10</v>
      </c>
      <c r="Q4" s="14">
        <v>0.02</v>
      </c>
      <c r="R4" s="14">
        <f t="shared" si="10"/>
        <v>102000</v>
      </c>
      <c r="S4" s="14">
        <f t="shared" si="11"/>
        <v>101532.13686642051</v>
      </c>
      <c r="T4" s="14">
        <f t="shared" si="12"/>
        <v>101532.13686642051</v>
      </c>
      <c r="U4" s="14">
        <f t="shared" si="13"/>
        <v>5.36358238306597E-3</v>
      </c>
      <c r="V4" s="14">
        <v>0.13</v>
      </c>
      <c r="W4" s="14">
        <f t="shared" si="14"/>
        <v>112999.99999999999</v>
      </c>
      <c r="X4" s="14">
        <f t="shared" si="15"/>
        <v>1.8790445544554453</v>
      </c>
      <c r="Y4" s="14">
        <f t="shared" si="16"/>
        <v>3.7013473098839765E-15</v>
      </c>
      <c r="Z4" s="14">
        <f t="shared" si="17"/>
        <v>2228951350.0121307</v>
      </c>
    </row>
    <row r="5" spans="1:26" x14ac:dyDescent="0.25">
      <c r="A5" s="1">
        <v>9</v>
      </c>
      <c r="B5" s="1">
        <f t="shared" si="1"/>
        <v>0.15</v>
      </c>
      <c r="C5" s="1">
        <v>20</v>
      </c>
      <c r="D5" s="1">
        <f t="shared" si="0"/>
        <v>29.146000000000001</v>
      </c>
      <c r="E5" s="1">
        <f t="shared" si="2"/>
        <v>4.8576666666666667E-7</v>
      </c>
      <c r="F5" s="1">
        <v>21.1</v>
      </c>
      <c r="G5" s="1">
        <f t="shared" si="3"/>
        <v>294.10000000000002</v>
      </c>
      <c r="H5" s="1">
        <v>101.3</v>
      </c>
      <c r="I5" s="1">
        <f t="shared" si="4"/>
        <v>101300</v>
      </c>
      <c r="J5" s="1">
        <f t="shared" si="5"/>
        <v>2.0124824921938581E-5</v>
      </c>
      <c r="K5" s="20">
        <v>14.004950495049505</v>
      </c>
      <c r="L5" s="2">
        <f t="shared" si="6"/>
        <v>1.4004950495049504E-5</v>
      </c>
      <c r="M5" s="3">
        <f t="shared" si="7"/>
        <v>4.7762865441819992E-3</v>
      </c>
      <c r="N5" s="26">
        <f t="shared" si="8"/>
        <v>5.900968757760289E-8</v>
      </c>
      <c r="O5" s="26">
        <f t="shared" si="9"/>
        <v>2.032E-3</v>
      </c>
      <c r="P5" s="26">
        <v>1.9414958079189685E-10</v>
      </c>
      <c r="Q5" s="14">
        <v>0.02</v>
      </c>
      <c r="R5" s="14">
        <f t="shared" si="10"/>
        <v>102000</v>
      </c>
      <c r="S5" s="14">
        <f t="shared" si="11"/>
        <v>101605.88721655024</v>
      </c>
      <c r="T5" s="14">
        <f t="shared" si="12"/>
        <v>101605.88721655024</v>
      </c>
      <c r="U5" s="14">
        <f t="shared" si="13"/>
        <v>5.36358238306597E-3</v>
      </c>
      <c r="V5" s="14">
        <v>0.13</v>
      </c>
      <c r="W5" s="14">
        <f t="shared" si="14"/>
        <v>112999.99999999999</v>
      </c>
      <c r="X5" s="14">
        <f t="shared" si="15"/>
        <v>1.5825594059405939</v>
      </c>
      <c r="Y5" s="14">
        <f t="shared" si="16"/>
        <v>3.1150581837007115E-15</v>
      </c>
      <c r="Z5" s="14">
        <f t="shared" si="17"/>
        <v>1875888038.2245686</v>
      </c>
    </row>
    <row r="6" spans="1:26" x14ac:dyDescent="0.25">
      <c r="A6" s="1">
        <v>12</v>
      </c>
      <c r="B6" s="1">
        <f t="shared" si="1"/>
        <v>0.2</v>
      </c>
      <c r="C6" s="1">
        <v>20</v>
      </c>
      <c r="D6" s="1">
        <f t="shared" si="0"/>
        <v>29.146000000000001</v>
      </c>
      <c r="E6" s="1">
        <f t="shared" si="2"/>
        <v>4.8576666666666667E-7</v>
      </c>
      <c r="F6" s="1">
        <v>21.1</v>
      </c>
      <c r="G6" s="1">
        <f t="shared" si="3"/>
        <v>294.10000000000002</v>
      </c>
      <c r="H6" s="1">
        <v>101.3</v>
      </c>
      <c r="I6" s="1">
        <f t="shared" si="4"/>
        <v>101300</v>
      </c>
      <c r="J6" s="1">
        <f t="shared" si="5"/>
        <v>2.0124824921938581E-5</v>
      </c>
      <c r="K6" s="20">
        <v>8.3118811881188126</v>
      </c>
      <c r="L6" s="2">
        <f t="shared" si="6"/>
        <v>8.3118811881188132E-6</v>
      </c>
      <c r="M6" s="3">
        <f t="shared" si="7"/>
        <v>4.7762865441819992E-3</v>
      </c>
      <c r="N6" s="26">
        <f t="shared" si="8"/>
        <v>3.5022009700528548E-8</v>
      </c>
      <c r="O6" s="26">
        <f t="shared" si="9"/>
        <v>2.032E-3</v>
      </c>
      <c r="P6" s="26">
        <v>1.9414958079189685E-10</v>
      </c>
      <c r="Q6" s="14">
        <v>0.02</v>
      </c>
      <c r="R6" s="14">
        <f t="shared" si="10"/>
        <v>102000</v>
      </c>
      <c r="S6" s="14">
        <f t="shared" si="11"/>
        <v>101766.00364054379</v>
      </c>
      <c r="T6" s="14">
        <f t="shared" si="12"/>
        <v>101766.00364054379</v>
      </c>
      <c r="U6" s="14">
        <f t="shared" si="13"/>
        <v>5.36358238306597E-3</v>
      </c>
      <c r="V6" s="14">
        <v>0.13</v>
      </c>
      <c r="W6" s="14">
        <f t="shared" si="14"/>
        <v>112999.99999999999</v>
      </c>
      <c r="X6" s="14">
        <f t="shared" si="15"/>
        <v>0.93924257425742574</v>
      </c>
      <c r="Y6" s="14">
        <f t="shared" si="16"/>
        <v>1.8458538336371196E-15</v>
      </c>
      <c r="Z6" s="14">
        <f t="shared" si="17"/>
        <v>1111573178.6162734</v>
      </c>
    </row>
    <row r="7" spans="1:26" x14ac:dyDescent="0.25">
      <c r="A7" s="1">
        <v>15</v>
      </c>
      <c r="B7" s="1">
        <f t="shared" si="1"/>
        <v>0.25</v>
      </c>
      <c r="C7" s="1">
        <v>20</v>
      </c>
      <c r="D7" s="1">
        <f t="shared" si="0"/>
        <v>29.146000000000001</v>
      </c>
      <c r="E7" s="1">
        <f t="shared" si="2"/>
        <v>4.8576666666666667E-7</v>
      </c>
      <c r="F7" s="1">
        <v>21.1</v>
      </c>
      <c r="G7" s="1">
        <f t="shared" si="3"/>
        <v>294.10000000000002</v>
      </c>
      <c r="H7" s="1">
        <v>101.3</v>
      </c>
      <c r="I7" s="1">
        <f t="shared" si="4"/>
        <v>101300</v>
      </c>
      <c r="J7" s="1">
        <f t="shared" si="5"/>
        <v>2.0124824921938581E-5</v>
      </c>
      <c r="K7" s="20">
        <v>8.782178217821782</v>
      </c>
      <c r="L7" s="2">
        <f t="shared" si="6"/>
        <v>8.7821782178217817E-6</v>
      </c>
      <c r="M7" s="3">
        <f t="shared" si="7"/>
        <v>4.7762865441819992E-3</v>
      </c>
      <c r="N7" s="26">
        <f t="shared" si="8"/>
        <v>3.700360048167816E-8</v>
      </c>
      <c r="O7" s="26">
        <f t="shared" si="9"/>
        <v>2.032E-3</v>
      </c>
      <c r="P7" s="26">
        <v>1.9414958079189685E-10</v>
      </c>
      <c r="Q7" s="14">
        <v>0.02</v>
      </c>
      <c r="R7" s="14">
        <f t="shared" si="10"/>
        <v>102000</v>
      </c>
      <c r="S7" s="14">
        <f t="shared" si="11"/>
        <v>101752.7718548686</v>
      </c>
      <c r="T7" s="14">
        <f t="shared" si="12"/>
        <v>101752.7718548686</v>
      </c>
      <c r="U7" s="14">
        <f t="shared" si="13"/>
        <v>5.36358238306597E-3</v>
      </c>
      <c r="V7" s="14">
        <v>0.13</v>
      </c>
      <c r="W7" s="14">
        <f t="shared" si="14"/>
        <v>112999.99999999999</v>
      </c>
      <c r="X7" s="14">
        <f t="shared" si="15"/>
        <v>0.99238613861386116</v>
      </c>
      <c r="Y7" s="14">
        <f t="shared" si="16"/>
        <v>1.9505492748117899E-15</v>
      </c>
      <c r="Z7" s="14">
        <f t="shared" si="17"/>
        <v>1174620773.2916598</v>
      </c>
    </row>
    <row r="8" spans="1:26" x14ac:dyDescent="0.25">
      <c r="A8" s="1">
        <v>18</v>
      </c>
      <c r="B8" s="1">
        <f t="shared" si="1"/>
        <v>0.3</v>
      </c>
      <c r="C8" s="1">
        <v>20</v>
      </c>
      <c r="D8" s="1">
        <f t="shared" si="0"/>
        <v>29.146000000000001</v>
      </c>
      <c r="E8" s="1">
        <f t="shared" si="2"/>
        <v>4.8576666666666667E-7</v>
      </c>
      <c r="F8" s="1">
        <v>21.1</v>
      </c>
      <c r="G8" s="1">
        <f t="shared" si="3"/>
        <v>294.10000000000002</v>
      </c>
      <c r="H8" s="1">
        <v>101.3</v>
      </c>
      <c r="I8" s="1">
        <f t="shared" si="4"/>
        <v>101300</v>
      </c>
      <c r="J8" s="1">
        <f t="shared" si="5"/>
        <v>2.0124824921938581E-5</v>
      </c>
      <c r="K8" s="20">
        <v>20.490099009900991</v>
      </c>
      <c r="L8" s="2">
        <f t="shared" si="6"/>
        <v>2.0490099009900991E-5</v>
      </c>
      <c r="M8" s="3">
        <f t="shared" si="7"/>
        <v>4.7762865441819992E-3</v>
      </c>
      <c r="N8" s="26">
        <f t="shared" si="8"/>
        <v>8.633478150713976E-8</v>
      </c>
      <c r="O8" s="26">
        <f t="shared" si="9"/>
        <v>2.032E-3</v>
      </c>
      <c r="P8" s="26">
        <v>1.9414958079189685E-10</v>
      </c>
      <c r="Q8" s="14">
        <v>0.02</v>
      </c>
      <c r="R8" s="14">
        <f t="shared" si="10"/>
        <v>102000</v>
      </c>
      <c r="S8" s="14">
        <f t="shared" si="11"/>
        <v>101423.64731440772</v>
      </c>
      <c r="T8" s="14">
        <f t="shared" si="12"/>
        <v>101423.64731440772</v>
      </c>
      <c r="U8" s="14">
        <f t="shared" si="13"/>
        <v>5.36358238306597E-3</v>
      </c>
      <c r="V8" s="14">
        <v>0.13</v>
      </c>
      <c r="W8" s="14">
        <f t="shared" si="14"/>
        <v>112999.99999999999</v>
      </c>
      <c r="X8" s="14">
        <f t="shared" si="15"/>
        <v>2.3153811881188116</v>
      </c>
      <c r="Y8" s="14">
        <f t="shared" si="16"/>
        <v>4.5657427713771952E-15</v>
      </c>
      <c r="Z8" s="14">
        <f t="shared" si="17"/>
        <v>2749490296.923347</v>
      </c>
    </row>
    <row r="9" spans="1:26" x14ac:dyDescent="0.25">
      <c r="A9" s="1">
        <v>21</v>
      </c>
      <c r="B9" s="1">
        <f t="shared" si="1"/>
        <v>0.35</v>
      </c>
      <c r="C9" s="1">
        <v>20</v>
      </c>
      <c r="D9" s="1">
        <f t="shared" si="0"/>
        <v>29.146000000000001</v>
      </c>
      <c r="E9" s="1">
        <f t="shared" si="2"/>
        <v>4.8576666666666667E-7</v>
      </c>
      <c r="F9" s="1">
        <v>21.1</v>
      </c>
      <c r="G9" s="1">
        <f t="shared" si="3"/>
        <v>294.10000000000002</v>
      </c>
      <c r="H9" s="1">
        <v>101.3</v>
      </c>
      <c r="I9" s="1">
        <f t="shared" si="4"/>
        <v>101300</v>
      </c>
      <c r="J9" s="1">
        <f t="shared" si="5"/>
        <v>2.0124824921938581E-5</v>
      </c>
      <c r="K9" s="20">
        <v>26.084158415841586</v>
      </c>
      <c r="L9" s="2">
        <f t="shared" si="6"/>
        <v>2.6084158415841585E-5</v>
      </c>
      <c r="M9" s="3">
        <f t="shared" si="7"/>
        <v>4.7762865441819992E-3</v>
      </c>
      <c r="N9" s="26">
        <f t="shared" si="8"/>
        <v>1.0990528237765629E-7</v>
      </c>
      <c r="O9" s="26">
        <f t="shared" si="9"/>
        <v>2.032E-3</v>
      </c>
      <c r="P9" s="26">
        <v>1.9414958079189685E-10</v>
      </c>
      <c r="Q9" s="14">
        <v>0.02</v>
      </c>
      <c r="R9" s="14">
        <f t="shared" si="10"/>
        <v>102000</v>
      </c>
      <c r="S9" s="14">
        <f t="shared" si="11"/>
        <v>101266.57941801839</v>
      </c>
      <c r="T9" s="14">
        <f t="shared" si="12"/>
        <v>101266.57941801839</v>
      </c>
      <c r="U9" s="14">
        <f t="shared" si="13"/>
        <v>5.36358238306597E-3</v>
      </c>
      <c r="V9" s="14">
        <v>0.13</v>
      </c>
      <c r="W9" s="14">
        <f t="shared" si="14"/>
        <v>112999.99999999999</v>
      </c>
      <c r="X9" s="14">
        <f t="shared" si="15"/>
        <v>2.9475099009900987</v>
      </c>
      <c r="Y9" s="14">
        <f t="shared" si="16"/>
        <v>5.8213005524190988E-15</v>
      </c>
      <c r="Z9" s="14">
        <f t="shared" si="17"/>
        <v>3505587192.6667814</v>
      </c>
    </row>
    <row r="10" spans="1:26" x14ac:dyDescent="0.25">
      <c r="A10" s="1">
        <v>24</v>
      </c>
      <c r="B10" s="1">
        <f t="shared" si="1"/>
        <v>0.4</v>
      </c>
      <c r="C10" s="1">
        <v>20</v>
      </c>
      <c r="D10" s="1">
        <f t="shared" si="0"/>
        <v>29.146000000000001</v>
      </c>
      <c r="E10" s="1">
        <f t="shared" si="2"/>
        <v>4.8576666666666667E-7</v>
      </c>
      <c r="F10" s="1">
        <v>21.1</v>
      </c>
      <c r="G10" s="1">
        <f t="shared" si="3"/>
        <v>294.10000000000002</v>
      </c>
      <c r="H10" s="1">
        <v>101.3</v>
      </c>
      <c r="I10" s="1">
        <f t="shared" si="4"/>
        <v>101300</v>
      </c>
      <c r="J10" s="1">
        <f t="shared" si="5"/>
        <v>2.0124824921938581E-5</v>
      </c>
      <c r="K10" s="20">
        <v>42.099009900990104</v>
      </c>
      <c r="L10" s="2">
        <f t="shared" si="6"/>
        <v>4.2099009900990107E-5</v>
      </c>
      <c r="M10" s="3">
        <f t="shared" si="7"/>
        <v>4.7762865441819992E-3</v>
      </c>
      <c r="N10" s="26">
        <f t="shared" si="8"/>
        <v>1.7738366318838284E-7</v>
      </c>
      <c r="O10" s="26">
        <f t="shared" si="9"/>
        <v>2.032E-3</v>
      </c>
      <c r="P10" s="26">
        <v>1.9414958079189685E-10</v>
      </c>
      <c r="Q10" s="14">
        <v>0.02</v>
      </c>
      <c r="R10" s="14">
        <f t="shared" si="10"/>
        <v>102000</v>
      </c>
      <c r="S10" s="14">
        <f t="shared" si="11"/>
        <v>100817.59343828354</v>
      </c>
      <c r="T10" s="14">
        <f t="shared" si="12"/>
        <v>100817.59343828354</v>
      </c>
      <c r="U10" s="14">
        <f t="shared" si="13"/>
        <v>5.36358238306597E-3</v>
      </c>
      <c r="V10" s="14">
        <v>0.13</v>
      </c>
      <c r="W10" s="14">
        <f t="shared" si="14"/>
        <v>112999.99999999999</v>
      </c>
      <c r="X10" s="14">
        <f t="shared" si="15"/>
        <v>4.7571881188118814</v>
      </c>
      <c r="Y10" s="14">
        <f t="shared" si="16"/>
        <v>9.4374082340071373E-15</v>
      </c>
      <c r="Z10" s="14">
        <f t="shared" si="17"/>
        <v>5683207238.5190983</v>
      </c>
    </row>
    <row r="11" spans="1:26" x14ac:dyDescent="0.25">
      <c r="A11" s="1">
        <v>27</v>
      </c>
      <c r="B11" s="1">
        <f t="shared" si="1"/>
        <v>0.45</v>
      </c>
      <c r="C11" s="1">
        <v>20</v>
      </c>
      <c r="D11" s="1">
        <f t="shared" si="0"/>
        <v>29.146000000000001</v>
      </c>
      <c r="E11" s="1">
        <f t="shared" si="2"/>
        <v>4.8576666666666667E-7</v>
      </c>
      <c r="F11" s="1">
        <v>21.1</v>
      </c>
      <c r="G11" s="1">
        <f t="shared" si="3"/>
        <v>294.10000000000002</v>
      </c>
      <c r="H11" s="1">
        <v>101.3</v>
      </c>
      <c r="I11" s="1">
        <f t="shared" si="4"/>
        <v>101300</v>
      </c>
      <c r="J11" s="1">
        <f t="shared" si="5"/>
        <v>2.0124824921938581E-5</v>
      </c>
      <c r="K11" s="20">
        <v>63.85643564356436</v>
      </c>
      <c r="L11" s="2">
        <f t="shared" si="6"/>
        <v>6.3856435643564361E-5</v>
      </c>
      <c r="M11" s="3">
        <f t="shared" si="7"/>
        <v>4.7762865441819992E-3</v>
      </c>
      <c r="N11" s="26">
        <f t="shared" si="8"/>
        <v>2.6905831037946262E-7</v>
      </c>
      <c r="O11" s="26">
        <f t="shared" si="9"/>
        <v>2.032E-3</v>
      </c>
      <c r="P11" s="26">
        <v>1.9414958079189685E-10</v>
      </c>
      <c r="Q11" s="14">
        <v>0.02</v>
      </c>
      <c r="R11" s="14">
        <f t="shared" si="10"/>
        <v>102000</v>
      </c>
      <c r="S11" s="14">
        <f t="shared" si="11"/>
        <v>100209.20916798551</v>
      </c>
      <c r="T11" s="14">
        <f t="shared" si="12"/>
        <v>100209.20916798551</v>
      </c>
      <c r="U11" s="14">
        <f t="shared" si="13"/>
        <v>5.36358238306597E-3</v>
      </c>
      <c r="V11" s="14">
        <v>0.13</v>
      </c>
      <c r="W11" s="14">
        <f t="shared" si="14"/>
        <v>112999.99999999999</v>
      </c>
      <c r="X11" s="14">
        <f t="shared" si="15"/>
        <v>7.2157772277227714</v>
      </c>
      <c r="Y11" s="14">
        <f t="shared" si="16"/>
        <v>1.4402072900297097E-14</v>
      </c>
      <c r="Z11" s="14">
        <f t="shared" si="17"/>
        <v>8672928300.5589123</v>
      </c>
    </row>
    <row r="12" spans="1:26" x14ac:dyDescent="0.25">
      <c r="A12" s="1">
        <v>30</v>
      </c>
      <c r="B12" s="1">
        <f t="shared" si="1"/>
        <v>0.5</v>
      </c>
      <c r="C12" s="1">
        <v>20</v>
      </c>
      <c r="D12" s="1">
        <f t="shared" si="0"/>
        <v>29.146000000000001</v>
      </c>
      <c r="E12" s="1">
        <f t="shared" si="2"/>
        <v>4.8576666666666667E-7</v>
      </c>
      <c r="F12" s="1">
        <v>21.1</v>
      </c>
      <c r="G12" s="1">
        <f t="shared" si="3"/>
        <v>294.10000000000002</v>
      </c>
      <c r="H12" s="1">
        <v>101.3</v>
      </c>
      <c r="I12" s="1">
        <f t="shared" si="4"/>
        <v>101300</v>
      </c>
      <c r="J12" s="1">
        <f t="shared" si="5"/>
        <v>2.0124824921938581E-5</v>
      </c>
      <c r="K12" s="20">
        <v>91.059405940594061</v>
      </c>
      <c r="L12" s="2">
        <f t="shared" si="6"/>
        <v>9.1059405940594056E-5</v>
      </c>
      <c r="M12" s="3">
        <f t="shared" si="7"/>
        <v>4.7762865441819992E-3</v>
      </c>
      <c r="N12" s="26">
        <f t="shared" si="8"/>
        <v>3.8367769293122214E-7</v>
      </c>
      <c r="O12" s="26">
        <f t="shared" si="9"/>
        <v>2.032E-3</v>
      </c>
      <c r="P12" s="26">
        <v>1.9414958079189685E-10</v>
      </c>
      <c r="Q12" s="14">
        <v>0.02</v>
      </c>
      <c r="R12" s="14">
        <f t="shared" si="10"/>
        <v>102000</v>
      </c>
      <c r="S12" s="14">
        <f t="shared" si="11"/>
        <v>99451.145913057742</v>
      </c>
      <c r="T12" s="14">
        <f t="shared" si="12"/>
        <v>99451.145913057742</v>
      </c>
      <c r="U12" s="14">
        <f t="shared" si="13"/>
        <v>5.36358238306597E-3</v>
      </c>
      <c r="V12" s="14">
        <v>0.13</v>
      </c>
      <c r="W12" s="14">
        <f t="shared" si="14"/>
        <v>112999.99999999999</v>
      </c>
      <c r="X12" s="14">
        <f t="shared" si="15"/>
        <v>10.289712871287128</v>
      </c>
      <c r="Y12" s="14">
        <f t="shared" si="16"/>
        <v>2.0694581615815165E-14</v>
      </c>
      <c r="Z12" s="14">
        <f t="shared" si="17"/>
        <v>12462277049.043894</v>
      </c>
    </row>
    <row r="13" spans="1:26" x14ac:dyDescent="0.25">
      <c r="A13" s="1">
        <v>33</v>
      </c>
      <c r="B13" s="1">
        <f t="shared" si="1"/>
        <v>0.55000000000000004</v>
      </c>
      <c r="C13" s="1">
        <v>20</v>
      </c>
      <c r="D13" s="1">
        <f t="shared" si="0"/>
        <v>29.146000000000001</v>
      </c>
      <c r="E13" s="1">
        <f t="shared" si="2"/>
        <v>4.8576666666666667E-7</v>
      </c>
      <c r="F13" s="1">
        <v>21.1</v>
      </c>
      <c r="G13" s="1">
        <f t="shared" si="3"/>
        <v>294.10000000000002</v>
      </c>
      <c r="H13" s="1">
        <v>101.3</v>
      </c>
      <c r="I13" s="1">
        <f t="shared" si="4"/>
        <v>101300</v>
      </c>
      <c r="J13" s="1">
        <f t="shared" si="5"/>
        <v>2.0124824921938581E-5</v>
      </c>
      <c r="K13" s="20">
        <v>116.10891089108912</v>
      </c>
      <c r="L13" s="2">
        <f t="shared" si="6"/>
        <v>1.1610891089108913E-4</v>
      </c>
      <c r="M13" s="3">
        <f t="shared" si="7"/>
        <v>4.7762865441819992E-3</v>
      </c>
      <c r="N13" s="26">
        <f t="shared" si="8"/>
        <v>4.892234755903494E-7</v>
      </c>
      <c r="O13" s="26">
        <f t="shared" si="9"/>
        <v>2.032E-3</v>
      </c>
      <c r="P13" s="26">
        <v>1.9414958079189685E-10</v>
      </c>
      <c r="Q13" s="14">
        <v>0.02</v>
      </c>
      <c r="R13" s="14">
        <f t="shared" si="10"/>
        <v>102000</v>
      </c>
      <c r="S13" s="14">
        <f t="shared" si="11"/>
        <v>98755.638571636853</v>
      </c>
      <c r="T13" s="14">
        <f t="shared" si="12"/>
        <v>98755.638571636853</v>
      </c>
      <c r="U13" s="14">
        <f t="shared" si="13"/>
        <v>5.36358238306597E-3</v>
      </c>
      <c r="V13" s="14">
        <v>0.13</v>
      </c>
      <c r="W13" s="14">
        <f t="shared" si="14"/>
        <v>112999.99999999999</v>
      </c>
      <c r="X13" s="14">
        <f t="shared" si="15"/>
        <v>13.12030693069307</v>
      </c>
      <c r="Y13" s="14">
        <f t="shared" si="16"/>
        <v>2.65740682045842E-14</v>
      </c>
      <c r="Z13" s="14">
        <f t="shared" si="17"/>
        <v>16002903872.800606</v>
      </c>
    </row>
    <row r="14" spans="1:26" x14ac:dyDescent="0.25">
      <c r="A14" s="1">
        <v>36</v>
      </c>
      <c r="B14" s="1">
        <f t="shared" si="1"/>
        <v>0.6</v>
      </c>
      <c r="C14" s="1">
        <v>20</v>
      </c>
      <c r="D14" s="1">
        <f t="shared" si="0"/>
        <v>29.146000000000001</v>
      </c>
      <c r="E14" s="1">
        <f t="shared" si="2"/>
        <v>4.8576666666666667E-7</v>
      </c>
      <c r="F14" s="1">
        <v>21.1</v>
      </c>
      <c r="G14" s="1">
        <f t="shared" si="3"/>
        <v>294.10000000000002</v>
      </c>
      <c r="H14" s="1">
        <v>101.3</v>
      </c>
      <c r="I14" s="1">
        <f t="shared" si="4"/>
        <v>101300</v>
      </c>
      <c r="J14" s="1">
        <f t="shared" si="5"/>
        <v>2.0124824921938581E-5</v>
      </c>
      <c r="K14" s="20">
        <v>121.72772277227725</v>
      </c>
      <c r="L14" s="2">
        <f t="shared" si="6"/>
        <v>1.2172772277227724E-4</v>
      </c>
      <c r="M14" s="3">
        <f t="shared" si="7"/>
        <v>4.7762865441819992E-3</v>
      </c>
      <c r="N14" s="26">
        <f t="shared" si="8"/>
        <v>5.1289827071250534E-7</v>
      </c>
      <c r="O14" s="26">
        <f t="shared" si="9"/>
        <v>2.032E-3</v>
      </c>
      <c r="P14" s="26">
        <v>1.9414958079189685E-10</v>
      </c>
      <c r="Q14" s="14">
        <v>0.02</v>
      </c>
      <c r="R14" s="14">
        <f t="shared" si="10"/>
        <v>102000</v>
      </c>
      <c r="S14" s="14">
        <f t="shared" si="11"/>
        <v>98599.965615838475</v>
      </c>
      <c r="T14" s="14">
        <f t="shared" si="12"/>
        <v>98599.965615838475</v>
      </c>
      <c r="U14" s="14">
        <f t="shared" si="13"/>
        <v>5.36358238306597E-3</v>
      </c>
      <c r="V14" s="14">
        <v>0.13</v>
      </c>
      <c r="W14" s="14">
        <f t="shared" si="14"/>
        <v>112999.99999999999</v>
      </c>
      <c r="X14" s="14">
        <f t="shared" si="15"/>
        <v>13.755232673267328</v>
      </c>
      <c r="Y14" s="14">
        <f t="shared" si="16"/>
        <v>2.7904228374401093E-14</v>
      </c>
      <c r="Z14" s="14">
        <f t="shared" si="17"/>
        <v>16803926327.064339</v>
      </c>
    </row>
    <row r="15" spans="1:26" x14ac:dyDescent="0.25">
      <c r="A15" s="1">
        <v>39</v>
      </c>
      <c r="B15" s="1">
        <f t="shared" si="1"/>
        <v>0.65</v>
      </c>
      <c r="C15" s="1">
        <v>20</v>
      </c>
      <c r="D15" s="1">
        <f t="shared" si="0"/>
        <v>29.146000000000001</v>
      </c>
      <c r="E15" s="1">
        <f t="shared" si="2"/>
        <v>4.8576666666666667E-7</v>
      </c>
      <c r="F15" s="1">
        <v>21.1</v>
      </c>
      <c r="G15" s="1">
        <f t="shared" si="3"/>
        <v>294.10000000000002</v>
      </c>
      <c r="H15" s="1">
        <v>101.3</v>
      </c>
      <c r="I15" s="1">
        <f t="shared" si="4"/>
        <v>101300</v>
      </c>
      <c r="J15" s="1">
        <f t="shared" si="5"/>
        <v>2.0124824921938581E-5</v>
      </c>
      <c r="K15" s="20">
        <v>133.80693069306932</v>
      </c>
      <c r="L15" s="2">
        <f t="shared" si="6"/>
        <v>1.3380693069306931E-4</v>
      </c>
      <c r="M15" s="3">
        <f t="shared" si="7"/>
        <v>4.7762865441819992E-3</v>
      </c>
      <c r="N15" s="26">
        <f t="shared" si="8"/>
        <v>5.6379386551255868E-7</v>
      </c>
      <c r="O15" s="26">
        <f t="shared" si="9"/>
        <v>2.032E-3</v>
      </c>
      <c r="P15" s="26">
        <v>1.9414958079189685E-10</v>
      </c>
      <c r="Q15" s="14">
        <v>0.02</v>
      </c>
      <c r="R15" s="14">
        <f t="shared" si="10"/>
        <v>102000</v>
      </c>
      <c r="S15" s="14">
        <f t="shared" si="11"/>
        <v>98265.71878938908</v>
      </c>
      <c r="T15" s="14">
        <f t="shared" si="12"/>
        <v>98265.71878938908</v>
      </c>
      <c r="U15" s="14">
        <f t="shared" si="13"/>
        <v>5.36358238306597E-3</v>
      </c>
      <c r="V15" s="14">
        <v>0.13</v>
      </c>
      <c r="W15" s="14">
        <f t="shared" si="14"/>
        <v>112999.99999999999</v>
      </c>
      <c r="X15" s="14">
        <f t="shared" si="15"/>
        <v>15.12018316831683</v>
      </c>
      <c r="Y15" s="14">
        <f t="shared" si="16"/>
        <v>3.0777978838210984E-14</v>
      </c>
      <c r="Z15" s="14">
        <f t="shared" si="17"/>
        <v>18534498856.370655</v>
      </c>
    </row>
    <row r="16" spans="1:26" x14ac:dyDescent="0.25">
      <c r="A16" s="1">
        <v>42</v>
      </c>
      <c r="B16" s="1">
        <f t="shared" si="1"/>
        <v>0.7</v>
      </c>
      <c r="C16" s="1">
        <v>20</v>
      </c>
      <c r="D16" s="1">
        <f t="shared" si="0"/>
        <v>29.146000000000001</v>
      </c>
      <c r="E16" s="1">
        <f t="shared" si="2"/>
        <v>4.8576666666666667E-7</v>
      </c>
      <c r="F16" s="1">
        <v>21.1</v>
      </c>
      <c r="G16" s="1">
        <f t="shared" si="3"/>
        <v>294.10000000000002</v>
      </c>
      <c r="H16" s="1">
        <v>101.3</v>
      </c>
      <c r="I16" s="1">
        <f t="shared" si="4"/>
        <v>101300</v>
      </c>
      <c r="J16" s="1">
        <f t="shared" si="5"/>
        <v>2.0124824921938581E-5</v>
      </c>
      <c r="K16" s="20">
        <v>153.38613861386142</v>
      </c>
      <c r="L16" s="2">
        <f t="shared" si="6"/>
        <v>1.5338613861386142E-4</v>
      </c>
      <c r="M16" s="3">
        <f t="shared" si="7"/>
        <v>4.7762865441819992E-3</v>
      </c>
      <c r="N16" s="26">
        <f t="shared" si="8"/>
        <v>6.4629061855936671E-7</v>
      </c>
      <c r="O16" s="26">
        <f t="shared" si="9"/>
        <v>2.032E-3</v>
      </c>
      <c r="P16" s="26">
        <v>1.9414958079189685E-10</v>
      </c>
      <c r="Q16" s="14">
        <v>0.02</v>
      </c>
      <c r="R16" s="14">
        <f t="shared" si="10"/>
        <v>102000</v>
      </c>
      <c r="S16" s="14">
        <f t="shared" si="11"/>
        <v>97725.142991199769</v>
      </c>
      <c r="T16" s="14">
        <f t="shared" si="12"/>
        <v>97725.142991199769</v>
      </c>
      <c r="U16" s="14">
        <f t="shared" si="13"/>
        <v>5.36358238306597E-3</v>
      </c>
      <c r="V16" s="14">
        <v>0.13</v>
      </c>
      <c r="W16" s="14">
        <f t="shared" si="14"/>
        <v>112999.99999999999</v>
      </c>
      <c r="X16" s="14">
        <f t="shared" si="15"/>
        <v>17.332633663366337</v>
      </c>
      <c r="Y16" s="14">
        <f t="shared" si="16"/>
        <v>3.5477542310704894E-14</v>
      </c>
      <c r="Z16" s="14">
        <f t="shared" si="17"/>
        <v>21364575979.506489</v>
      </c>
    </row>
    <row r="17" spans="1:73" s="4" customFormat="1" x14ac:dyDescent="0.25">
      <c r="A17" s="1">
        <v>45</v>
      </c>
      <c r="B17" s="1">
        <f t="shared" si="1"/>
        <v>0.75</v>
      </c>
      <c r="C17" s="1">
        <v>20</v>
      </c>
      <c r="D17" s="1">
        <f t="shared" si="0"/>
        <v>29.146000000000001</v>
      </c>
      <c r="E17" s="1">
        <f t="shared" si="2"/>
        <v>4.8576666666666667E-7</v>
      </c>
      <c r="F17" s="1">
        <v>21.1</v>
      </c>
      <c r="G17" s="1">
        <f t="shared" si="3"/>
        <v>294.10000000000002</v>
      </c>
      <c r="H17" s="1">
        <v>101.3</v>
      </c>
      <c r="I17" s="1">
        <f t="shared" si="4"/>
        <v>101300</v>
      </c>
      <c r="J17" s="1">
        <f t="shared" si="5"/>
        <v>2.0124824921938581E-5</v>
      </c>
      <c r="K17" s="20">
        <v>150.26732673267327</v>
      </c>
      <c r="L17" s="2">
        <f t="shared" si="6"/>
        <v>1.5026732673267327E-4</v>
      </c>
      <c r="M17" s="3">
        <f t="shared" si="7"/>
        <v>4.7762865441819992E-3</v>
      </c>
      <c r="N17" s="26">
        <f t="shared" si="8"/>
        <v>6.3314954285279537E-7</v>
      </c>
      <c r="O17" s="26">
        <f t="shared" si="9"/>
        <v>2.032E-3</v>
      </c>
      <c r="P17" s="26">
        <v>1.9414958079189685E-10</v>
      </c>
      <c r="Q17" s="14">
        <v>0.02</v>
      </c>
      <c r="R17" s="14">
        <f t="shared" si="10"/>
        <v>102000</v>
      </c>
      <c r="S17" s="14">
        <f t="shared" si="11"/>
        <v>97811.152574321648</v>
      </c>
      <c r="T17" s="14">
        <f t="shared" si="12"/>
        <v>97811.152574321648</v>
      </c>
      <c r="U17" s="14">
        <f t="shared" si="13"/>
        <v>5.36358238306597E-3</v>
      </c>
      <c r="V17" s="14">
        <v>0.13</v>
      </c>
      <c r="W17" s="14">
        <f t="shared" si="14"/>
        <v>112999.99999999999</v>
      </c>
      <c r="X17" s="14">
        <f t="shared" si="15"/>
        <v>16.980207920792076</v>
      </c>
      <c r="Y17" s="14">
        <f t="shared" si="16"/>
        <v>3.4725481608127722E-14</v>
      </c>
      <c r="Z17" s="14">
        <f t="shared" si="17"/>
        <v>20911685024.414516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 s="4" customFormat="1" x14ac:dyDescent="0.25">
      <c r="A18" s="1">
        <v>48</v>
      </c>
      <c r="B18" s="1">
        <f t="shared" si="1"/>
        <v>0.8</v>
      </c>
      <c r="C18" s="1">
        <v>20</v>
      </c>
      <c r="D18" s="1">
        <f t="shared" si="0"/>
        <v>29.146000000000001</v>
      </c>
      <c r="E18" s="1">
        <f t="shared" si="2"/>
        <v>4.8576666666666667E-7</v>
      </c>
      <c r="F18" s="1">
        <v>21.1</v>
      </c>
      <c r="G18" s="1">
        <f t="shared" si="3"/>
        <v>294.10000000000002</v>
      </c>
      <c r="H18" s="1">
        <v>101.3</v>
      </c>
      <c r="I18" s="1">
        <f t="shared" si="4"/>
        <v>101300</v>
      </c>
      <c r="J18" s="1">
        <f t="shared" si="5"/>
        <v>2.0124824921938581E-5</v>
      </c>
      <c r="K18" s="20">
        <v>153.50990099009903</v>
      </c>
      <c r="L18" s="2">
        <f t="shared" si="6"/>
        <v>1.5350990099009904E-4</v>
      </c>
      <c r="M18" s="3">
        <f t="shared" si="7"/>
        <v>4.7762865441819992E-3</v>
      </c>
      <c r="N18" s="26">
        <f t="shared" si="8"/>
        <v>6.4681208981756394E-7</v>
      </c>
      <c r="O18" s="26">
        <f t="shared" si="9"/>
        <v>2.032E-3</v>
      </c>
      <c r="P18" s="26">
        <v>1.9414958079189685E-10</v>
      </c>
      <c r="Q18" s="14">
        <v>0.02</v>
      </c>
      <c r="R18" s="14">
        <f t="shared" si="10"/>
        <v>102000</v>
      </c>
      <c r="S18" s="14">
        <f t="shared" si="11"/>
        <v>97721.730692939091</v>
      </c>
      <c r="T18" s="14">
        <f t="shared" si="12"/>
        <v>97721.730692939091</v>
      </c>
      <c r="U18" s="14">
        <f t="shared" si="13"/>
        <v>5.36358238306597E-3</v>
      </c>
      <c r="V18" s="14">
        <v>0.13</v>
      </c>
      <c r="W18" s="14">
        <f t="shared" si="14"/>
        <v>112999.99999999999</v>
      </c>
      <c r="X18" s="14">
        <f t="shared" si="15"/>
        <v>17.346618811881189</v>
      </c>
      <c r="Y18" s="14">
        <f t="shared" si="16"/>
        <v>3.5507413131712739E-14</v>
      </c>
      <c r="Z18" s="14">
        <f t="shared" si="17"/>
        <v>21382564187.917412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spans="1:73" s="4" customFormat="1" x14ac:dyDescent="0.25">
      <c r="A19" s="1">
        <v>51</v>
      </c>
      <c r="B19" s="1">
        <f t="shared" si="1"/>
        <v>0.85</v>
      </c>
      <c r="C19" s="1">
        <v>20</v>
      </c>
      <c r="D19" s="1">
        <f t="shared" si="0"/>
        <v>29.146000000000001</v>
      </c>
      <c r="E19" s="1">
        <f t="shared" si="2"/>
        <v>4.8576666666666667E-7</v>
      </c>
      <c r="F19" s="1">
        <v>21.1</v>
      </c>
      <c r="G19" s="1">
        <f t="shared" si="3"/>
        <v>294.10000000000002</v>
      </c>
      <c r="H19" s="1">
        <v>101.3</v>
      </c>
      <c r="I19" s="1">
        <f t="shared" si="4"/>
        <v>101300</v>
      </c>
      <c r="J19" s="1">
        <f t="shared" si="5"/>
        <v>2.0124824921938581E-5</v>
      </c>
      <c r="K19" s="20">
        <v>156.92574257425744</v>
      </c>
      <c r="L19" s="2">
        <f t="shared" si="6"/>
        <v>1.5692574257425743E-4</v>
      </c>
      <c r="M19" s="3">
        <f t="shared" si="7"/>
        <v>4.7762865441819992E-3</v>
      </c>
      <c r="N19" s="26">
        <f t="shared" si="8"/>
        <v>6.6120469654380839E-7</v>
      </c>
      <c r="O19" s="26">
        <f t="shared" si="9"/>
        <v>2.032E-3</v>
      </c>
      <c r="P19" s="26">
        <v>1.9414958079189685E-10</v>
      </c>
      <c r="Q19" s="14">
        <v>0.02</v>
      </c>
      <c r="R19" s="14">
        <f t="shared" si="10"/>
        <v>102000</v>
      </c>
      <c r="S19" s="14">
        <f t="shared" si="11"/>
        <v>97627.574774069944</v>
      </c>
      <c r="T19" s="14">
        <f t="shared" si="12"/>
        <v>97627.574774069944</v>
      </c>
      <c r="U19" s="14">
        <f t="shared" si="13"/>
        <v>5.36358238306597E-3</v>
      </c>
      <c r="V19" s="14">
        <v>0.13</v>
      </c>
      <c r="W19" s="14">
        <f t="shared" si="14"/>
        <v>112999.99999999999</v>
      </c>
      <c r="X19" s="14">
        <f t="shared" si="15"/>
        <v>17.732608910891088</v>
      </c>
      <c r="Y19" s="14">
        <f t="shared" si="16"/>
        <v>3.6332666699554569E-14</v>
      </c>
      <c r="Z19" s="14">
        <f t="shared" si="17"/>
        <v>21879531886.471764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 s="4" customFormat="1" x14ac:dyDescent="0.25">
      <c r="A20" s="1">
        <v>54</v>
      </c>
      <c r="B20" s="1">
        <f t="shared" si="1"/>
        <v>0.9</v>
      </c>
      <c r="C20" s="1">
        <v>20</v>
      </c>
      <c r="D20" s="1">
        <f t="shared" si="0"/>
        <v>29.146000000000001</v>
      </c>
      <c r="E20" s="1">
        <f t="shared" si="2"/>
        <v>4.8576666666666667E-7</v>
      </c>
      <c r="F20" s="1">
        <v>21.1</v>
      </c>
      <c r="G20" s="1">
        <f t="shared" si="3"/>
        <v>294.10000000000002</v>
      </c>
      <c r="H20" s="1">
        <v>101.3</v>
      </c>
      <c r="I20" s="1">
        <f t="shared" si="4"/>
        <v>101300</v>
      </c>
      <c r="J20" s="1">
        <f t="shared" si="5"/>
        <v>2.0124824921938581E-5</v>
      </c>
      <c r="K20" s="20">
        <v>165.01980198019803</v>
      </c>
      <c r="L20" s="2">
        <f t="shared" si="6"/>
        <v>1.6501980198019802E-4</v>
      </c>
      <c r="M20" s="3">
        <f t="shared" si="7"/>
        <v>4.7762865441819992E-3</v>
      </c>
      <c r="N20" s="26">
        <f t="shared" si="8"/>
        <v>6.9530891682990974E-7</v>
      </c>
      <c r="O20" s="26">
        <f t="shared" si="9"/>
        <v>2.032E-3</v>
      </c>
      <c r="P20" s="26">
        <v>1.9414958079189685E-10</v>
      </c>
      <c r="Q20" s="14">
        <v>0.02</v>
      </c>
      <c r="R20" s="14">
        <f t="shared" si="10"/>
        <v>102000</v>
      </c>
      <c r="S20" s="14">
        <f t="shared" si="11"/>
        <v>97404.647357735274</v>
      </c>
      <c r="T20" s="14">
        <f t="shared" si="12"/>
        <v>97404.647357735274</v>
      </c>
      <c r="U20" s="14">
        <f t="shared" si="13"/>
        <v>5.36358238306597E-3</v>
      </c>
      <c r="V20" s="14">
        <v>0.13</v>
      </c>
      <c r="W20" s="14">
        <f t="shared" si="14"/>
        <v>112999.99999999999</v>
      </c>
      <c r="X20" s="14">
        <f t="shared" si="15"/>
        <v>18.647237623762372</v>
      </c>
      <c r="Y20" s="14">
        <f t="shared" si="16"/>
        <v>3.8294484345778423E-14</v>
      </c>
      <c r="Z20" s="14">
        <f t="shared" si="17"/>
        <v>23060938473.027767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spans="1:73" s="4" customFormat="1" x14ac:dyDescent="0.25">
      <c r="A21" s="1">
        <v>57</v>
      </c>
      <c r="B21" s="1">
        <f t="shared" si="1"/>
        <v>0.95</v>
      </c>
      <c r="C21" s="1">
        <v>20</v>
      </c>
      <c r="D21" s="1">
        <f t="shared" si="0"/>
        <v>29.146000000000001</v>
      </c>
      <c r="E21" s="1">
        <f t="shared" si="2"/>
        <v>4.8576666666666667E-7</v>
      </c>
      <c r="F21" s="1">
        <v>21.1</v>
      </c>
      <c r="G21" s="1">
        <f t="shared" si="3"/>
        <v>294.10000000000002</v>
      </c>
      <c r="H21" s="1">
        <v>101.3</v>
      </c>
      <c r="I21" s="1">
        <f t="shared" si="4"/>
        <v>101300</v>
      </c>
      <c r="J21" s="1">
        <f t="shared" si="5"/>
        <v>2.0124824921938581E-5</v>
      </c>
      <c r="K21" s="20">
        <v>165.73762376237624</v>
      </c>
      <c r="L21" s="2">
        <f t="shared" si="6"/>
        <v>1.6573762376237625E-4</v>
      </c>
      <c r="M21" s="3">
        <f t="shared" si="7"/>
        <v>4.7762865441819992E-3</v>
      </c>
      <c r="N21" s="26">
        <f t="shared" si="8"/>
        <v>6.9833345012745395E-7</v>
      </c>
      <c r="O21" s="26">
        <f t="shared" si="9"/>
        <v>2.032E-3</v>
      </c>
      <c r="P21" s="26">
        <v>1.9414958079189685E-10</v>
      </c>
      <c r="Q21" s="14">
        <v>0.02</v>
      </c>
      <c r="R21" s="14">
        <f t="shared" si="10"/>
        <v>102000</v>
      </c>
      <c r="S21" s="14">
        <f t="shared" si="11"/>
        <v>97384.889337488697</v>
      </c>
      <c r="T21" s="14">
        <f t="shared" si="12"/>
        <v>97384.889337488697</v>
      </c>
      <c r="U21" s="14">
        <f t="shared" si="13"/>
        <v>5.36358238306597E-3</v>
      </c>
      <c r="V21" s="14">
        <v>0.13</v>
      </c>
      <c r="W21" s="14">
        <f t="shared" si="14"/>
        <v>112999.99999999999</v>
      </c>
      <c r="X21" s="14">
        <f t="shared" si="15"/>
        <v>18.728351485148515</v>
      </c>
      <c r="Y21" s="14">
        <f t="shared" si="16"/>
        <v>3.8468898770156068E-14</v>
      </c>
      <c r="Z21" s="14">
        <f t="shared" si="17"/>
        <v>23165970839.387985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 s="4" customFormat="1" x14ac:dyDescent="0.25">
      <c r="A22" s="1">
        <v>60</v>
      </c>
      <c r="B22" s="1">
        <f t="shared" si="1"/>
        <v>1</v>
      </c>
      <c r="C22" s="1">
        <v>20</v>
      </c>
      <c r="D22" s="1">
        <f t="shared" si="0"/>
        <v>29.146000000000001</v>
      </c>
      <c r="E22" s="1">
        <f t="shared" si="2"/>
        <v>4.8576666666666667E-7</v>
      </c>
      <c r="F22" s="1">
        <v>21.1</v>
      </c>
      <c r="G22" s="1">
        <f t="shared" si="3"/>
        <v>294.10000000000002</v>
      </c>
      <c r="H22" s="1">
        <v>101.3</v>
      </c>
      <c r="I22" s="1">
        <f t="shared" si="4"/>
        <v>101300</v>
      </c>
      <c r="J22" s="1">
        <f t="shared" si="5"/>
        <v>2.0124824921938581E-5</v>
      </c>
      <c r="K22" s="20">
        <v>169.42574257425744</v>
      </c>
      <c r="L22" s="2">
        <f t="shared" si="6"/>
        <v>1.6942574257425744E-4</v>
      </c>
      <c r="M22" s="3">
        <f t="shared" si="7"/>
        <v>4.7762865441819992E-3</v>
      </c>
      <c r="N22" s="26">
        <f t="shared" si="8"/>
        <v>7.1387329362173251E-7</v>
      </c>
      <c r="O22" s="26">
        <f t="shared" si="9"/>
        <v>2.032E-3</v>
      </c>
      <c r="P22" s="26">
        <v>1.9414958079189685E-10</v>
      </c>
      <c r="Q22" s="14">
        <v>0.02</v>
      </c>
      <c r="R22" s="14">
        <f t="shared" si="10"/>
        <v>102000</v>
      </c>
      <c r="S22" s="14">
        <f t="shared" si="11"/>
        <v>97283.40559313343</v>
      </c>
      <c r="T22" s="14">
        <f t="shared" si="12"/>
        <v>97283.40559313343</v>
      </c>
      <c r="U22" s="14">
        <f t="shared" si="13"/>
        <v>5.36358238306597E-3</v>
      </c>
      <c r="V22" s="14">
        <v>0.13</v>
      </c>
      <c r="W22" s="14">
        <f t="shared" si="14"/>
        <v>112999.99999999999</v>
      </c>
      <c r="X22" s="14">
        <f t="shared" si="15"/>
        <v>19.145108910891089</v>
      </c>
      <c r="Y22" s="14">
        <f t="shared" si="16"/>
        <v>3.9366137184910822E-14</v>
      </c>
      <c r="Z22" s="14">
        <f t="shared" si="17"/>
        <v>23706287812.7533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spans="1:73" s="4" customFormat="1" x14ac:dyDescent="0.25">
      <c r="A23" s="1">
        <v>63</v>
      </c>
      <c r="B23" s="1">
        <f t="shared" si="1"/>
        <v>1.05</v>
      </c>
      <c r="C23" s="1">
        <v>20</v>
      </c>
      <c r="D23" s="1">
        <f t="shared" si="0"/>
        <v>29.146000000000001</v>
      </c>
      <c r="E23" s="1">
        <f t="shared" si="2"/>
        <v>4.8576666666666667E-7</v>
      </c>
      <c r="F23" s="1">
        <v>21.1</v>
      </c>
      <c r="G23" s="1">
        <f t="shared" si="3"/>
        <v>294.10000000000002</v>
      </c>
      <c r="H23" s="1">
        <v>101.3</v>
      </c>
      <c r="I23" s="1">
        <f t="shared" si="4"/>
        <v>101300</v>
      </c>
      <c r="J23" s="1">
        <f t="shared" si="5"/>
        <v>2.0124824921938581E-5</v>
      </c>
      <c r="K23" s="20">
        <v>168.80693069306932</v>
      </c>
      <c r="L23" s="2">
        <f t="shared" si="6"/>
        <v>1.6880693069306932E-4</v>
      </c>
      <c r="M23" s="3">
        <f t="shared" si="7"/>
        <v>4.7762865441819992E-3</v>
      </c>
      <c r="N23" s="26">
        <f t="shared" si="8"/>
        <v>7.1126593733074622E-7</v>
      </c>
      <c r="O23" s="26">
        <f t="shared" si="9"/>
        <v>2.032E-3</v>
      </c>
      <c r="P23" s="26">
        <v>1.9414958079189685E-10</v>
      </c>
      <c r="Q23" s="14">
        <v>0.02</v>
      </c>
      <c r="R23" s="14">
        <f t="shared" si="10"/>
        <v>102000</v>
      </c>
      <c r="S23" s="14">
        <f t="shared" si="11"/>
        <v>97300.429373358391</v>
      </c>
      <c r="T23" s="14">
        <f t="shared" si="12"/>
        <v>97300.429373358391</v>
      </c>
      <c r="U23" s="14">
        <f t="shared" si="13"/>
        <v>5.36358238306597E-3</v>
      </c>
      <c r="V23" s="14">
        <v>0.13</v>
      </c>
      <c r="W23" s="14">
        <f t="shared" si="14"/>
        <v>112999.99999999999</v>
      </c>
      <c r="X23" s="14">
        <f t="shared" si="15"/>
        <v>19.07518316831683</v>
      </c>
      <c r="Y23" s="14">
        <f t="shared" si="16"/>
        <v>3.921546408249728E-14</v>
      </c>
      <c r="Z23" s="14">
        <f t="shared" si="17"/>
        <v>23615552470.479862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 s="4" customFormat="1" x14ac:dyDescent="0.25">
      <c r="A24" s="1">
        <v>66</v>
      </c>
      <c r="B24" s="1">
        <f t="shared" si="1"/>
        <v>1.1000000000000001</v>
      </c>
      <c r="C24" s="1">
        <v>20</v>
      </c>
      <c r="D24" s="1">
        <f t="shared" si="0"/>
        <v>29.146000000000001</v>
      </c>
      <c r="E24" s="1">
        <f t="shared" si="2"/>
        <v>4.8576666666666667E-7</v>
      </c>
      <c r="F24" s="1">
        <v>21.1</v>
      </c>
      <c r="G24" s="1">
        <f t="shared" si="3"/>
        <v>294.10000000000002</v>
      </c>
      <c r="H24" s="1">
        <v>101.3</v>
      </c>
      <c r="I24" s="1">
        <f t="shared" si="4"/>
        <v>101300</v>
      </c>
      <c r="J24" s="1">
        <f t="shared" si="5"/>
        <v>2.0124824921938581E-5</v>
      </c>
      <c r="K24" s="20">
        <v>162.09900990099013</v>
      </c>
      <c r="L24" s="2">
        <f t="shared" si="6"/>
        <v>1.6209900990099012E-4</v>
      </c>
      <c r="M24" s="3">
        <f t="shared" si="7"/>
        <v>4.7762865441819992E-3</v>
      </c>
      <c r="N24" s="26">
        <f t="shared" si="8"/>
        <v>6.8300219513645434E-7</v>
      </c>
      <c r="O24" s="26">
        <f t="shared" si="9"/>
        <v>2.032E-3</v>
      </c>
      <c r="P24" s="26">
        <v>1.9414958079189685E-10</v>
      </c>
      <c r="Q24" s="14">
        <v>0.02</v>
      </c>
      <c r="R24" s="14">
        <f t="shared" si="10"/>
        <v>102000</v>
      </c>
      <c r="S24" s="14">
        <f t="shared" si="11"/>
        <v>97485.062728623278</v>
      </c>
      <c r="T24" s="14">
        <f t="shared" si="12"/>
        <v>97485.062728623278</v>
      </c>
      <c r="U24" s="14">
        <f t="shared" si="13"/>
        <v>5.36358238306597E-3</v>
      </c>
      <c r="V24" s="14">
        <v>0.13</v>
      </c>
      <c r="W24" s="14">
        <f t="shared" si="14"/>
        <v>112999.99999999999</v>
      </c>
      <c r="X24" s="14">
        <f t="shared" si="15"/>
        <v>18.317188118811881</v>
      </c>
      <c r="Y24" s="14">
        <f t="shared" si="16"/>
        <v>3.7585522334967997E-14</v>
      </c>
      <c r="Z24" s="14">
        <f t="shared" si="17"/>
        <v>22634001550.117729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 s="4" customFormat="1" x14ac:dyDescent="0.25">
      <c r="A25" s="1">
        <v>69</v>
      </c>
      <c r="B25" s="1">
        <f t="shared" si="1"/>
        <v>1.1499999999999999</v>
      </c>
      <c r="C25" s="1">
        <v>20</v>
      </c>
      <c r="D25" s="1">
        <f t="shared" si="0"/>
        <v>29.146000000000001</v>
      </c>
      <c r="E25" s="1">
        <f t="shared" si="2"/>
        <v>4.8576666666666667E-7</v>
      </c>
      <c r="F25" s="1">
        <v>21.1</v>
      </c>
      <c r="G25" s="1">
        <f t="shared" si="3"/>
        <v>294.10000000000002</v>
      </c>
      <c r="H25" s="1">
        <v>101.3</v>
      </c>
      <c r="I25" s="1">
        <f t="shared" si="4"/>
        <v>101300</v>
      </c>
      <c r="J25" s="1">
        <f t="shared" si="5"/>
        <v>2.0124824921938581E-5</v>
      </c>
      <c r="K25" s="20">
        <v>166.70297029702974</v>
      </c>
      <c r="L25" s="2">
        <f t="shared" si="6"/>
        <v>1.6670297029702973E-4</v>
      </c>
      <c r="M25" s="3">
        <f t="shared" si="7"/>
        <v>4.7762865441819992E-3</v>
      </c>
      <c r="N25" s="26">
        <f t="shared" si="8"/>
        <v>7.0240092594139264E-7</v>
      </c>
      <c r="O25" s="26">
        <f t="shared" si="9"/>
        <v>2.032E-3</v>
      </c>
      <c r="P25" s="26">
        <v>1.9414958079189685E-10</v>
      </c>
      <c r="Q25" s="14">
        <v>0.02</v>
      </c>
      <c r="R25" s="14">
        <f t="shared" si="10"/>
        <v>102000</v>
      </c>
      <c r="S25" s="14">
        <f t="shared" si="11"/>
        <v>97358.321366678894</v>
      </c>
      <c r="T25" s="14">
        <f t="shared" si="12"/>
        <v>97358.321366678894</v>
      </c>
      <c r="U25" s="14">
        <f t="shared" si="13"/>
        <v>5.36358238306597E-3</v>
      </c>
      <c r="V25" s="14">
        <v>0.13</v>
      </c>
      <c r="W25" s="14">
        <f t="shared" si="14"/>
        <v>112999.99999999999</v>
      </c>
      <c r="X25" s="14">
        <f t="shared" si="15"/>
        <v>18.837435643564355</v>
      </c>
      <c r="Y25" s="14">
        <f t="shared" si="16"/>
        <v>3.8703566939985605E-14</v>
      </c>
      <c r="Z25" s="14">
        <f t="shared" si="17"/>
        <v>23307288011.259331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s="4" customFormat="1" x14ac:dyDescent="0.25">
      <c r="A26" s="1">
        <v>72</v>
      </c>
      <c r="B26" s="1">
        <f t="shared" si="1"/>
        <v>1.2</v>
      </c>
      <c r="C26" s="1">
        <v>20</v>
      </c>
      <c r="D26" s="1">
        <f t="shared" si="0"/>
        <v>29.146000000000001</v>
      </c>
      <c r="E26" s="1">
        <f t="shared" si="2"/>
        <v>4.8576666666666667E-7</v>
      </c>
      <c r="F26" s="1">
        <v>21.1</v>
      </c>
      <c r="G26" s="1">
        <f t="shared" si="3"/>
        <v>294.10000000000002</v>
      </c>
      <c r="H26" s="1">
        <v>101.3</v>
      </c>
      <c r="I26" s="1">
        <f t="shared" si="4"/>
        <v>101300</v>
      </c>
      <c r="J26" s="1">
        <f t="shared" si="5"/>
        <v>2.0124824921938581E-5</v>
      </c>
      <c r="K26" s="20">
        <v>175.19306930693071</v>
      </c>
      <c r="L26" s="2">
        <f t="shared" si="6"/>
        <v>1.7519306930693072E-4</v>
      </c>
      <c r="M26" s="3">
        <f t="shared" si="7"/>
        <v>4.7762865441819992E-3</v>
      </c>
      <c r="N26" s="26">
        <f t="shared" si="8"/>
        <v>7.3817385425372533E-7</v>
      </c>
      <c r="O26" s="26">
        <f t="shared" si="9"/>
        <v>2.032E-3</v>
      </c>
      <c r="P26" s="26">
        <v>1.9414958079189685E-10</v>
      </c>
      <c r="Q26" s="14">
        <v>0.02</v>
      </c>
      <c r="R26" s="14">
        <f t="shared" si="10"/>
        <v>102000</v>
      </c>
      <c r="S26" s="14">
        <f t="shared" si="11"/>
        <v>97124.815587463905</v>
      </c>
      <c r="T26" s="14">
        <f t="shared" si="12"/>
        <v>97124.815587463905</v>
      </c>
      <c r="U26" s="14">
        <f t="shared" si="13"/>
        <v>5.36358238306597E-3</v>
      </c>
      <c r="V26" s="14">
        <v>0.13</v>
      </c>
      <c r="W26" s="14">
        <f t="shared" si="14"/>
        <v>112999.99999999999</v>
      </c>
      <c r="X26" s="14">
        <f t="shared" si="15"/>
        <v>19.79681683168317</v>
      </c>
      <c r="Y26" s="14">
        <f t="shared" si="16"/>
        <v>4.0772931517238932E-14</v>
      </c>
      <c r="Z26" s="14">
        <f t="shared" si="17"/>
        <v>24553459359.681286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 s="4" customFormat="1" x14ac:dyDescent="0.25">
      <c r="A27" s="1">
        <v>75</v>
      </c>
      <c r="B27" s="1">
        <f t="shared" si="1"/>
        <v>1.25</v>
      </c>
      <c r="C27" s="1">
        <v>20</v>
      </c>
      <c r="D27" s="1">
        <f t="shared" si="0"/>
        <v>29.146000000000001</v>
      </c>
      <c r="E27" s="1">
        <f t="shared" si="2"/>
        <v>4.8576666666666667E-7</v>
      </c>
      <c r="F27" s="1">
        <v>21.1</v>
      </c>
      <c r="G27" s="1">
        <f t="shared" si="3"/>
        <v>294.10000000000002</v>
      </c>
      <c r="H27" s="1">
        <v>101.3</v>
      </c>
      <c r="I27" s="1">
        <f t="shared" si="4"/>
        <v>101300</v>
      </c>
      <c r="J27" s="1">
        <f t="shared" si="5"/>
        <v>2.0124824921938581E-5</v>
      </c>
      <c r="K27" s="20">
        <v>181.23267326732676</v>
      </c>
      <c r="L27" s="2">
        <f t="shared" si="6"/>
        <v>1.8123267326732677E-4</v>
      </c>
      <c r="M27" s="3">
        <f t="shared" si="7"/>
        <v>4.7762865441819992E-3</v>
      </c>
      <c r="N27" s="26">
        <f t="shared" si="8"/>
        <v>7.6362165165375206E-7</v>
      </c>
      <c r="O27" s="26">
        <f t="shared" si="9"/>
        <v>2.032E-3</v>
      </c>
      <c r="P27" s="26">
        <v>1.9414958079189685E-10</v>
      </c>
      <c r="Q27" s="14">
        <v>0.02</v>
      </c>
      <c r="R27" s="14">
        <f t="shared" si="10"/>
        <v>102000</v>
      </c>
      <c r="S27" s="14">
        <f t="shared" si="11"/>
        <v>96958.877176663838</v>
      </c>
      <c r="T27" s="14">
        <f t="shared" si="12"/>
        <v>96958.877176663838</v>
      </c>
      <c r="U27" s="14">
        <f t="shared" si="13"/>
        <v>5.36358238306597E-3</v>
      </c>
      <c r="V27" s="14">
        <v>0.13</v>
      </c>
      <c r="W27" s="14">
        <f t="shared" si="14"/>
        <v>112999.99999999999</v>
      </c>
      <c r="X27" s="14">
        <f t="shared" si="15"/>
        <v>20.479292079207923</v>
      </c>
      <c r="Y27" s="14">
        <f t="shared" si="16"/>
        <v>4.2251034961545605E-14</v>
      </c>
      <c r="Z27" s="14">
        <f t="shared" si="17"/>
        <v>25443573253.842766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s="4" customFormat="1" x14ac:dyDescent="0.25">
      <c r="A28" s="1">
        <v>78</v>
      </c>
      <c r="B28" s="1">
        <f t="shared" si="1"/>
        <v>1.3</v>
      </c>
      <c r="C28" s="1">
        <v>20</v>
      </c>
      <c r="D28" s="1">
        <f t="shared" si="0"/>
        <v>29.146000000000001</v>
      </c>
      <c r="E28" s="1">
        <f t="shared" si="2"/>
        <v>4.8576666666666667E-7</v>
      </c>
      <c r="F28" s="1">
        <v>21.1</v>
      </c>
      <c r="G28" s="1">
        <f t="shared" si="3"/>
        <v>294.10000000000002</v>
      </c>
      <c r="H28" s="1">
        <v>101.3</v>
      </c>
      <c r="I28" s="1">
        <f t="shared" si="4"/>
        <v>101300</v>
      </c>
      <c r="J28" s="1">
        <f t="shared" si="5"/>
        <v>2.0124824921938581E-5</v>
      </c>
      <c r="K28" s="20">
        <v>174.2772277227723</v>
      </c>
      <c r="L28" s="2">
        <f t="shared" si="6"/>
        <v>1.7427722772277231E-4</v>
      </c>
      <c r="M28" s="3">
        <f t="shared" si="7"/>
        <v>4.7762865441819992E-3</v>
      </c>
      <c r="N28" s="26">
        <f t="shared" si="8"/>
        <v>7.343149669430655E-7</v>
      </c>
      <c r="O28" s="26">
        <f t="shared" si="9"/>
        <v>2.032E-3</v>
      </c>
      <c r="P28" s="26">
        <v>1.9414958079189685E-10</v>
      </c>
      <c r="Q28" s="14">
        <v>0.02</v>
      </c>
      <c r="R28" s="14">
        <f t="shared" si="10"/>
        <v>102000</v>
      </c>
      <c r="S28" s="14">
        <f t="shared" si="11"/>
        <v>97149.990767325027</v>
      </c>
      <c r="T28" s="14">
        <f t="shared" si="12"/>
        <v>97149.990767325027</v>
      </c>
      <c r="U28" s="14">
        <f t="shared" si="13"/>
        <v>5.36358238306597E-3</v>
      </c>
      <c r="V28" s="14">
        <v>0.13</v>
      </c>
      <c r="W28" s="14">
        <f t="shared" si="14"/>
        <v>112999.99999999999</v>
      </c>
      <c r="X28" s="14">
        <f t="shared" si="15"/>
        <v>19.693326732673267</v>
      </c>
      <c r="Y28" s="14">
        <f t="shared" si="16"/>
        <v>4.0549230508909235E-14</v>
      </c>
      <c r="Z28" s="14">
        <f t="shared" si="17"/>
        <v>24418746612.465141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 s="4" customFormat="1" x14ac:dyDescent="0.25">
      <c r="A29" s="1">
        <v>81</v>
      </c>
      <c r="B29" s="1">
        <f t="shared" si="1"/>
        <v>1.35</v>
      </c>
      <c r="C29" s="1">
        <v>20</v>
      </c>
      <c r="D29" s="1">
        <f t="shared" si="0"/>
        <v>29.146000000000001</v>
      </c>
      <c r="E29" s="1">
        <f t="shared" si="2"/>
        <v>4.8576666666666667E-7</v>
      </c>
      <c r="F29" s="1">
        <v>21.1</v>
      </c>
      <c r="G29" s="1">
        <f t="shared" si="3"/>
        <v>294.10000000000002</v>
      </c>
      <c r="H29" s="1">
        <v>101.3</v>
      </c>
      <c r="I29" s="1">
        <f t="shared" si="4"/>
        <v>101300</v>
      </c>
      <c r="J29" s="1">
        <f t="shared" si="5"/>
        <v>2.0124824921938581E-5</v>
      </c>
      <c r="K29" s="20">
        <v>177.7673267326733</v>
      </c>
      <c r="L29" s="2">
        <f t="shared" si="6"/>
        <v>1.7776732673267329E-4</v>
      </c>
      <c r="M29" s="3">
        <f t="shared" si="7"/>
        <v>4.7762865441819992E-3</v>
      </c>
      <c r="N29" s="26">
        <f t="shared" si="8"/>
        <v>7.4902045642422854E-7</v>
      </c>
      <c r="O29" s="26">
        <f t="shared" si="9"/>
        <v>2.032E-3</v>
      </c>
      <c r="P29" s="26">
        <v>1.9414958079189685E-10</v>
      </c>
      <c r="Q29" s="14">
        <v>0.02</v>
      </c>
      <c r="R29" s="14">
        <f t="shared" si="10"/>
        <v>102000</v>
      </c>
      <c r="S29" s="14">
        <f t="shared" si="11"/>
        <v>97054.070391950096</v>
      </c>
      <c r="T29" s="14">
        <f t="shared" si="12"/>
        <v>97054.070391950096</v>
      </c>
      <c r="U29" s="14">
        <f t="shared" si="13"/>
        <v>5.36358238306597E-3</v>
      </c>
      <c r="V29" s="14">
        <v>0.13</v>
      </c>
      <c r="W29" s="14">
        <f t="shared" si="14"/>
        <v>112999.99999999999</v>
      </c>
      <c r="X29" s="14">
        <f t="shared" si="15"/>
        <v>20.087707920792077</v>
      </c>
      <c r="Y29" s="14">
        <f t="shared" si="16"/>
        <v>4.140232950877578E-14</v>
      </c>
      <c r="Z29" s="14">
        <f t="shared" si="17"/>
        <v>24932482830.184776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s="4" customFormat="1" x14ac:dyDescent="0.25">
      <c r="A30" s="1">
        <v>84</v>
      </c>
      <c r="B30" s="1">
        <f t="shared" si="1"/>
        <v>1.4</v>
      </c>
      <c r="C30" s="1">
        <v>20</v>
      </c>
      <c r="D30" s="1">
        <f t="shared" si="0"/>
        <v>29.146000000000001</v>
      </c>
      <c r="E30" s="1">
        <f t="shared" si="2"/>
        <v>4.8576666666666667E-7</v>
      </c>
      <c r="F30" s="1">
        <v>21.1</v>
      </c>
      <c r="G30" s="1">
        <f t="shared" si="3"/>
        <v>294.10000000000002</v>
      </c>
      <c r="H30" s="1">
        <v>101.3</v>
      </c>
      <c r="I30" s="1">
        <f t="shared" si="4"/>
        <v>101300</v>
      </c>
      <c r="J30" s="1">
        <f t="shared" si="5"/>
        <v>2.0124824921938581E-5</v>
      </c>
      <c r="K30" s="20">
        <v>184.20297029702974</v>
      </c>
      <c r="L30" s="2">
        <f t="shared" si="6"/>
        <v>1.8420297029702974E-4</v>
      </c>
      <c r="M30" s="3">
        <f t="shared" si="7"/>
        <v>4.7762865441819992E-3</v>
      </c>
      <c r="N30" s="26">
        <f t="shared" si="8"/>
        <v>7.7613696185048651E-7</v>
      </c>
      <c r="O30" s="26">
        <f t="shared" si="9"/>
        <v>2.032E-3</v>
      </c>
      <c r="P30" s="26">
        <v>1.9414958079189685E-10</v>
      </c>
      <c r="Q30" s="14">
        <v>0.02</v>
      </c>
      <c r="R30" s="14">
        <f t="shared" si="10"/>
        <v>102000</v>
      </c>
      <c r="S30" s="14">
        <f t="shared" si="11"/>
        <v>96877.320167034675</v>
      </c>
      <c r="T30" s="14">
        <f t="shared" si="12"/>
        <v>96877.320167034675</v>
      </c>
      <c r="U30" s="14">
        <f t="shared" si="13"/>
        <v>5.36358238306597E-3</v>
      </c>
      <c r="V30" s="14">
        <v>0.13</v>
      </c>
      <c r="W30" s="14">
        <f t="shared" si="14"/>
        <v>112999.99999999999</v>
      </c>
      <c r="X30" s="14">
        <f t="shared" si="15"/>
        <v>20.814935643564358</v>
      </c>
      <c r="Y30" s="14">
        <f t="shared" si="16"/>
        <v>4.2979813544608767E-14</v>
      </c>
      <c r="Z30" s="14">
        <f t="shared" si="17"/>
        <v>25882443716.5634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s="4" customFormat="1" x14ac:dyDescent="0.25">
      <c r="A31" s="1">
        <v>87</v>
      </c>
      <c r="B31" s="1">
        <f t="shared" si="1"/>
        <v>1.45</v>
      </c>
      <c r="C31" s="1">
        <v>20</v>
      </c>
      <c r="D31" s="1">
        <f t="shared" si="0"/>
        <v>29.146000000000001</v>
      </c>
      <c r="E31" s="1">
        <f t="shared" si="2"/>
        <v>4.8576666666666667E-7</v>
      </c>
      <c r="F31" s="1">
        <v>21.1</v>
      </c>
      <c r="G31" s="1">
        <f t="shared" si="3"/>
        <v>294.10000000000002</v>
      </c>
      <c r="H31" s="1">
        <v>101.3</v>
      </c>
      <c r="I31" s="1">
        <f t="shared" si="4"/>
        <v>101300</v>
      </c>
      <c r="J31" s="1">
        <f t="shared" si="5"/>
        <v>2.0124824921938581E-5</v>
      </c>
      <c r="K31" s="20">
        <v>174.89603960396042</v>
      </c>
      <c r="L31" s="2">
        <f t="shared" si="6"/>
        <v>1.7489603960396042E-4</v>
      </c>
      <c r="M31" s="3">
        <f t="shared" si="7"/>
        <v>4.7762865441819992E-3</v>
      </c>
      <c r="N31" s="26">
        <f t="shared" si="8"/>
        <v>7.369223232340519E-7</v>
      </c>
      <c r="O31" s="26">
        <f t="shared" si="9"/>
        <v>2.032E-3</v>
      </c>
      <c r="P31" s="26">
        <v>1.9414958079189685E-10</v>
      </c>
      <c r="Q31" s="14">
        <v>0.02</v>
      </c>
      <c r="R31" s="14">
        <f t="shared" si="10"/>
        <v>102000</v>
      </c>
      <c r="S31" s="14">
        <f t="shared" si="11"/>
        <v>97132.980153211131</v>
      </c>
      <c r="T31" s="14">
        <f t="shared" si="12"/>
        <v>97132.980153211131</v>
      </c>
      <c r="U31" s="14">
        <f t="shared" si="13"/>
        <v>5.36358238306597E-3</v>
      </c>
      <c r="V31" s="14">
        <v>0.13</v>
      </c>
      <c r="W31" s="14">
        <f t="shared" si="14"/>
        <v>112999.99999999999</v>
      </c>
      <c r="X31" s="14">
        <f t="shared" si="15"/>
        <v>19.763252475247526</v>
      </c>
      <c r="Y31" s="14">
        <f t="shared" si="16"/>
        <v>4.0700367228348464E-14</v>
      </c>
      <c r="Z31" s="14">
        <f t="shared" si="17"/>
        <v>24509761144.911446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s="4" customFormat="1" x14ac:dyDescent="0.25">
      <c r="A32" s="1">
        <v>90</v>
      </c>
      <c r="B32" s="1">
        <f t="shared" si="1"/>
        <v>1.5</v>
      </c>
      <c r="C32" s="1">
        <v>20</v>
      </c>
      <c r="D32" s="1">
        <f t="shared" si="0"/>
        <v>29.146000000000001</v>
      </c>
      <c r="E32" s="1">
        <f t="shared" si="2"/>
        <v>4.8576666666666667E-7</v>
      </c>
      <c r="F32" s="1">
        <v>21.1</v>
      </c>
      <c r="G32" s="1">
        <f t="shared" si="3"/>
        <v>294.10000000000002</v>
      </c>
      <c r="H32" s="1">
        <v>101.3</v>
      </c>
      <c r="I32" s="1">
        <f t="shared" si="4"/>
        <v>101300</v>
      </c>
      <c r="J32" s="1">
        <f t="shared" si="5"/>
        <v>2.0124824921938581E-5</v>
      </c>
      <c r="K32" s="20">
        <v>170.6881188118812</v>
      </c>
      <c r="L32" s="2">
        <f t="shared" si="6"/>
        <v>1.7068811881188121E-4</v>
      </c>
      <c r="M32" s="3">
        <f t="shared" si="7"/>
        <v>4.7762865441819992E-3</v>
      </c>
      <c r="N32" s="26">
        <f t="shared" si="8"/>
        <v>7.1919230045534474E-7</v>
      </c>
      <c r="O32" s="26">
        <f t="shared" si="9"/>
        <v>2.032E-3</v>
      </c>
      <c r="P32" s="26">
        <v>1.9414958079189685E-10</v>
      </c>
      <c r="Q32" s="14">
        <v>0.02</v>
      </c>
      <c r="R32" s="14">
        <f t="shared" si="10"/>
        <v>102000</v>
      </c>
      <c r="S32" s="14">
        <f t="shared" si="11"/>
        <v>97248.681699741108</v>
      </c>
      <c r="T32" s="14">
        <f t="shared" si="12"/>
        <v>97248.681699741108</v>
      </c>
      <c r="U32" s="14">
        <f t="shared" si="13"/>
        <v>5.36358238306597E-3</v>
      </c>
      <c r="V32" s="14">
        <v>0.13</v>
      </c>
      <c r="W32" s="14">
        <f t="shared" si="14"/>
        <v>112999.99999999999</v>
      </c>
      <c r="X32" s="14">
        <f t="shared" si="15"/>
        <v>19.287757425742573</v>
      </c>
      <c r="Y32" s="14">
        <f t="shared" si="16"/>
        <v>3.9673672706913477E-14</v>
      </c>
      <c r="Z32" s="14">
        <f t="shared" si="17"/>
        <v>23891485704.103298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s="4" customFormat="1" x14ac:dyDescent="0.25">
      <c r="A33" s="1">
        <v>93</v>
      </c>
      <c r="B33" s="1">
        <f t="shared" si="1"/>
        <v>1.55</v>
      </c>
      <c r="C33" s="1">
        <v>20</v>
      </c>
      <c r="D33" s="1">
        <f t="shared" si="0"/>
        <v>29.146000000000001</v>
      </c>
      <c r="E33" s="1">
        <f t="shared" si="2"/>
        <v>4.8576666666666667E-7</v>
      </c>
      <c r="F33" s="1">
        <v>21.1</v>
      </c>
      <c r="G33" s="1">
        <f t="shared" si="3"/>
        <v>294.10000000000002</v>
      </c>
      <c r="H33" s="1">
        <v>101.3</v>
      </c>
      <c r="I33" s="1">
        <f t="shared" si="4"/>
        <v>101300</v>
      </c>
      <c r="J33" s="1">
        <f t="shared" si="5"/>
        <v>2.0124824921938581E-5</v>
      </c>
      <c r="K33" s="20">
        <v>172.91584158415841</v>
      </c>
      <c r="L33" s="2">
        <f t="shared" si="6"/>
        <v>1.7291584158415842E-4</v>
      </c>
      <c r="M33" s="3">
        <f t="shared" si="7"/>
        <v>4.7762865441819992E-3</v>
      </c>
      <c r="N33" s="26">
        <f t="shared" si="8"/>
        <v>7.2857878310289556E-7</v>
      </c>
      <c r="O33" s="26">
        <f t="shared" si="9"/>
        <v>2.032E-3</v>
      </c>
      <c r="P33" s="26">
        <v>1.9414958079189685E-10</v>
      </c>
      <c r="Q33" s="14">
        <v>0.02</v>
      </c>
      <c r="R33" s="14">
        <f t="shared" si="10"/>
        <v>102000</v>
      </c>
      <c r="S33" s="14">
        <f t="shared" si="11"/>
        <v>97187.419360989952</v>
      </c>
      <c r="T33" s="14">
        <f t="shared" si="12"/>
        <v>97187.419360989952</v>
      </c>
      <c r="U33" s="14">
        <f t="shared" si="13"/>
        <v>5.36358238306597E-3</v>
      </c>
      <c r="V33" s="14">
        <v>0.13</v>
      </c>
      <c r="W33" s="14">
        <f t="shared" si="14"/>
        <v>112999.99999999999</v>
      </c>
      <c r="X33" s="14">
        <f t="shared" si="15"/>
        <v>19.5394900990099</v>
      </c>
      <c r="Y33" s="14">
        <f t="shared" si="16"/>
        <v>4.0216914590692941E-14</v>
      </c>
      <c r="Z33" s="14">
        <f t="shared" si="17"/>
        <v>24218625966.515289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s="4" customFormat="1" x14ac:dyDescent="0.25">
      <c r="A34" s="1">
        <v>96</v>
      </c>
      <c r="B34" s="1">
        <f t="shared" si="1"/>
        <v>1.6</v>
      </c>
      <c r="C34" s="1">
        <v>20</v>
      </c>
      <c r="D34" s="1">
        <f t="shared" si="0"/>
        <v>29.146000000000001</v>
      </c>
      <c r="E34" s="1">
        <f t="shared" si="2"/>
        <v>4.8576666666666667E-7</v>
      </c>
      <c r="F34" s="1">
        <v>21.1</v>
      </c>
      <c r="G34" s="1">
        <f t="shared" si="3"/>
        <v>294.10000000000002</v>
      </c>
      <c r="H34" s="1">
        <v>101.3</v>
      </c>
      <c r="I34" s="1">
        <f t="shared" si="4"/>
        <v>101300</v>
      </c>
      <c r="J34" s="1">
        <f t="shared" si="5"/>
        <v>2.0124824921938581E-5</v>
      </c>
      <c r="K34" s="20">
        <v>167.00000000000003</v>
      </c>
      <c r="L34" s="2">
        <f t="shared" si="6"/>
        <v>1.6700000000000002E-4</v>
      </c>
      <c r="M34" s="3">
        <f t="shared" si="7"/>
        <v>4.7762865441819992E-3</v>
      </c>
      <c r="N34" s="26">
        <f t="shared" si="8"/>
        <v>7.0365245696106618E-7</v>
      </c>
      <c r="O34" s="26">
        <f t="shared" si="9"/>
        <v>2.032E-3</v>
      </c>
      <c r="P34" s="26">
        <v>1.9414958079189685E-10</v>
      </c>
      <c r="Q34" s="14">
        <v>0.02</v>
      </c>
      <c r="R34" s="14">
        <f t="shared" si="10"/>
        <v>102000</v>
      </c>
      <c r="S34" s="14">
        <f t="shared" si="11"/>
        <v>97350.147335629721</v>
      </c>
      <c r="T34" s="14">
        <f t="shared" si="12"/>
        <v>97350.147335629721</v>
      </c>
      <c r="U34" s="14">
        <f t="shared" si="13"/>
        <v>5.36358238306597E-3</v>
      </c>
      <c r="V34" s="14">
        <v>0.13</v>
      </c>
      <c r="W34" s="14">
        <f t="shared" si="14"/>
        <v>112999.99999999999</v>
      </c>
      <c r="X34" s="14">
        <f t="shared" si="15"/>
        <v>18.870999999999999</v>
      </c>
      <c r="Y34" s="14">
        <f t="shared" si="16"/>
        <v>3.8775798120052897E-14</v>
      </c>
      <c r="Z34" s="14">
        <f t="shared" si="17"/>
        <v>23350785627.895855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spans="1:73" s="4" customFormat="1" x14ac:dyDescent="0.25">
      <c r="A35" s="1">
        <v>99</v>
      </c>
      <c r="B35" s="1">
        <f t="shared" si="1"/>
        <v>1.65</v>
      </c>
      <c r="C35" s="1">
        <v>20</v>
      </c>
      <c r="D35" s="1">
        <f t="shared" si="0"/>
        <v>29.146000000000001</v>
      </c>
      <c r="E35" s="1">
        <f t="shared" si="2"/>
        <v>4.8576666666666667E-7</v>
      </c>
      <c r="F35" s="1">
        <v>21.1</v>
      </c>
      <c r="G35" s="1">
        <f t="shared" si="3"/>
        <v>294.10000000000002</v>
      </c>
      <c r="H35" s="1">
        <v>101.3</v>
      </c>
      <c r="I35" s="1">
        <f t="shared" si="4"/>
        <v>101300</v>
      </c>
      <c r="J35" s="1">
        <f t="shared" si="5"/>
        <v>2.0124824921938581E-5</v>
      </c>
      <c r="K35" s="20">
        <v>176.43069306930695</v>
      </c>
      <c r="L35" s="2">
        <f t="shared" si="6"/>
        <v>1.7643069306930696E-4</v>
      </c>
      <c r="M35" s="3">
        <f t="shared" si="7"/>
        <v>4.7762865441819992E-3</v>
      </c>
      <c r="N35" s="26">
        <f t="shared" si="8"/>
        <v>7.4338856683569793E-7</v>
      </c>
      <c r="O35" s="26">
        <f t="shared" si="9"/>
        <v>2.032E-3</v>
      </c>
      <c r="P35" s="26">
        <v>1.9414958079189685E-10</v>
      </c>
      <c r="Q35" s="14">
        <v>0.02</v>
      </c>
      <c r="R35" s="14">
        <f t="shared" si="10"/>
        <v>102000</v>
      </c>
      <c r="S35" s="14">
        <f t="shared" si="11"/>
        <v>97090.800257177296</v>
      </c>
      <c r="T35" s="14">
        <f t="shared" si="12"/>
        <v>97090.800257177296</v>
      </c>
      <c r="U35" s="14">
        <f t="shared" si="13"/>
        <v>5.36358238306597E-3</v>
      </c>
      <c r="V35" s="14">
        <v>0.13</v>
      </c>
      <c r="W35" s="14">
        <f t="shared" si="14"/>
        <v>112999.99999999999</v>
      </c>
      <c r="X35" s="14">
        <f t="shared" si="15"/>
        <v>19.936668316831685</v>
      </c>
      <c r="Y35" s="14">
        <f t="shared" si="16"/>
        <v>4.1075413089352286E-14</v>
      </c>
      <c r="Z35" s="14">
        <f t="shared" si="17"/>
        <v>24735613762.407948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 s="4" customFormat="1" x14ac:dyDescent="0.25">
      <c r="A36" s="1">
        <v>102</v>
      </c>
      <c r="B36" s="1">
        <f t="shared" si="1"/>
        <v>1.7</v>
      </c>
      <c r="C36" s="1">
        <v>20</v>
      </c>
      <c r="D36" s="1">
        <f t="shared" si="0"/>
        <v>29.146000000000001</v>
      </c>
      <c r="E36" s="1">
        <f t="shared" si="2"/>
        <v>4.8576666666666667E-7</v>
      </c>
      <c r="F36" s="1">
        <v>21.1</v>
      </c>
      <c r="G36" s="1">
        <f t="shared" si="3"/>
        <v>294.10000000000002</v>
      </c>
      <c r="H36" s="1">
        <v>101.3</v>
      </c>
      <c r="I36" s="1">
        <f t="shared" si="4"/>
        <v>101300</v>
      </c>
      <c r="J36" s="1">
        <f t="shared" si="5"/>
        <v>2.0124824921938581E-5</v>
      </c>
      <c r="K36" s="20">
        <v>175.53960396039605</v>
      </c>
      <c r="L36" s="2">
        <f t="shared" si="6"/>
        <v>1.7553960396039605E-4</v>
      </c>
      <c r="M36" s="3">
        <f t="shared" si="7"/>
        <v>4.7762865441819992E-3</v>
      </c>
      <c r="N36" s="26">
        <f t="shared" si="8"/>
        <v>7.3963397377667762E-7</v>
      </c>
      <c r="O36" s="26">
        <f t="shared" si="9"/>
        <v>2.032E-3</v>
      </c>
      <c r="P36" s="26">
        <v>1.9414958079189685E-10</v>
      </c>
      <c r="Q36" s="14">
        <v>0.02</v>
      </c>
      <c r="R36" s="14">
        <f t="shared" si="10"/>
        <v>102000</v>
      </c>
      <c r="S36" s="14">
        <f t="shared" si="11"/>
        <v>97115.290694466006</v>
      </c>
      <c r="T36" s="14">
        <f t="shared" si="12"/>
        <v>97115.290694466006</v>
      </c>
      <c r="U36" s="14">
        <f t="shared" si="13"/>
        <v>5.36358238306597E-3</v>
      </c>
      <c r="V36" s="14">
        <v>0.13</v>
      </c>
      <c r="W36" s="14">
        <f t="shared" si="14"/>
        <v>112999.99999999999</v>
      </c>
      <c r="X36" s="14">
        <f t="shared" si="15"/>
        <v>19.83597524752475</v>
      </c>
      <c r="Y36" s="14">
        <f t="shared" si="16"/>
        <v>4.0857605159147006E-14</v>
      </c>
      <c r="Z36" s="14">
        <f t="shared" si="17"/>
        <v>24604449826.838329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spans="1:73" s="4" customFormat="1" x14ac:dyDescent="0.25">
      <c r="A37" s="1">
        <v>105</v>
      </c>
      <c r="B37" s="1">
        <f t="shared" si="1"/>
        <v>1.75</v>
      </c>
      <c r="C37" s="1">
        <v>20</v>
      </c>
      <c r="D37" s="1">
        <f t="shared" si="0"/>
        <v>29.146000000000001</v>
      </c>
      <c r="E37" s="1">
        <f t="shared" si="2"/>
        <v>4.8576666666666667E-7</v>
      </c>
      <c r="F37" s="1">
        <v>21.1</v>
      </c>
      <c r="G37" s="1">
        <f t="shared" si="3"/>
        <v>294.10000000000002</v>
      </c>
      <c r="H37" s="1">
        <v>101.3</v>
      </c>
      <c r="I37" s="1">
        <f t="shared" si="4"/>
        <v>101300</v>
      </c>
      <c r="J37" s="1">
        <f t="shared" si="5"/>
        <v>2.0124824921938581E-5</v>
      </c>
      <c r="K37" s="20">
        <v>178.93069306930695</v>
      </c>
      <c r="L37" s="2">
        <f t="shared" si="6"/>
        <v>1.7893069306930697E-4</v>
      </c>
      <c r="M37" s="3">
        <f t="shared" si="7"/>
        <v>4.7762865441819992E-3</v>
      </c>
      <c r="N37" s="26">
        <f t="shared" si="8"/>
        <v>7.5392228625128286E-7</v>
      </c>
      <c r="O37" s="26">
        <f t="shared" si="9"/>
        <v>2.032E-3</v>
      </c>
      <c r="P37" s="26">
        <v>1.9414958079189685E-10</v>
      </c>
      <c r="Q37" s="14">
        <v>0.02</v>
      </c>
      <c r="R37" s="14">
        <f t="shared" si="10"/>
        <v>102000</v>
      </c>
      <c r="S37" s="14">
        <f t="shared" si="11"/>
        <v>97022.107461614651</v>
      </c>
      <c r="T37" s="14">
        <f t="shared" si="12"/>
        <v>97022.107461614651</v>
      </c>
      <c r="U37" s="14">
        <f t="shared" si="13"/>
        <v>5.36358238306597E-3</v>
      </c>
      <c r="V37" s="14">
        <v>0.13</v>
      </c>
      <c r="W37" s="14">
        <f t="shared" si="14"/>
        <v>112999.99999999999</v>
      </c>
      <c r="X37" s="14">
        <f t="shared" si="15"/>
        <v>20.219168316831684</v>
      </c>
      <c r="Y37" s="14">
        <f t="shared" si="16"/>
        <v>4.1687067786881364E-14</v>
      </c>
      <c r="Z37" s="14">
        <f t="shared" si="17"/>
        <v>25103952221.25996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s="4" customFormat="1" x14ac:dyDescent="0.25">
      <c r="A38" s="1">
        <v>108</v>
      </c>
      <c r="B38" s="1">
        <f t="shared" si="1"/>
        <v>1.8</v>
      </c>
      <c r="C38" s="1">
        <v>20</v>
      </c>
      <c r="D38" s="1">
        <f t="shared" si="0"/>
        <v>29.146000000000001</v>
      </c>
      <c r="E38" s="1">
        <f t="shared" si="2"/>
        <v>4.8576666666666667E-7</v>
      </c>
      <c r="F38" s="1">
        <v>21.1</v>
      </c>
      <c r="G38" s="1">
        <f t="shared" si="3"/>
        <v>294.10000000000002</v>
      </c>
      <c r="H38" s="1">
        <v>101.3</v>
      </c>
      <c r="I38" s="1">
        <f t="shared" si="4"/>
        <v>101300</v>
      </c>
      <c r="J38" s="1">
        <f t="shared" si="5"/>
        <v>2.0124824921938581E-5</v>
      </c>
      <c r="K38" s="20">
        <v>169.50000000000003</v>
      </c>
      <c r="L38" s="2">
        <f t="shared" si="6"/>
        <v>1.6950000000000003E-4</v>
      </c>
      <c r="M38" s="3">
        <f t="shared" si="7"/>
        <v>4.7762865441819992E-3</v>
      </c>
      <c r="N38" s="26">
        <f t="shared" si="8"/>
        <v>7.14186176376651E-7</v>
      </c>
      <c r="O38" s="26">
        <f t="shared" si="9"/>
        <v>2.032E-3</v>
      </c>
      <c r="P38" s="26">
        <v>1.9414958079189685E-10</v>
      </c>
      <c r="Q38" s="14">
        <v>0.02</v>
      </c>
      <c r="R38" s="14">
        <f t="shared" si="10"/>
        <v>102000</v>
      </c>
      <c r="S38" s="14">
        <f t="shared" si="11"/>
        <v>97281.362839592679</v>
      </c>
      <c r="T38" s="14">
        <f t="shared" si="12"/>
        <v>97281.362839592679</v>
      </c>
      <c r="U38" s="14">
        <f t="shared" si="13"/>
        <v>5.36358238306597E-3</v>
      </c>
      <c r="V38" s="14">
        <v>0.13</v>
      </c>
      <c r="W38" s="14">
        <f t="shared" si="14"/>
        <v>112999.99999999999</v>
      </c>
      <c r="X38" s="14">
        <f t="shared" si="15"/>
        <v>19.153500000000001</v>
      </c>
      <c r="Y38" s="14">
        <f t="shared" si="16"/>
        <v>3.9384221475665407E-14</v>
      </c>
      <c r="Z38" s="14">
        <f t="shared" si="17"/>
        <v>23717178172.64571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spans="1:73" s="4" customFormat="1" x14ac:dyDescent="0.25">
      <c r="A39" s="1">
        <v>111</v>
      </c>
      <c r="B39" s="1">
        <f t="shared" si="1"/>
        <v>1.85</v>
      </c>
      <c r="C39" s="1">
        <v>20</v>
      </c>
      <c r="D39" s="1">
        <f t="shared" si="0"/>
        <v>29.146000000000001</v>
      </c>
      <c r="E39" s="1">
        <f t="shared" si="2"/>
        <v>4.8576666666666667E-7</v>
      </c>
      <c r="F39" s="1">
        <v>21.1</v>
      </c>
      <c r="G39" s="1">
        <f t="shared" si="3"/>
        <v>294.10000000000002</v>
      </c>
      <c r="H39" s="1">
        <v>101.3</v>
      </c>
      <c r="I39" s="1">
        <f t="shared" si="4"/>
        <v>101300</v>
      </c>
      <c r="J39" s="1">
        <f t="shared" si="5"/>
        <v>2.0124824921938581E-5</v>
      </c>
      <c r="K39" s="20">
        <v>175.88613861386139</v>
      </c>
      <c r="L39" s="2">
        <f t="shared" si="6"/>
        <v>1.758861386138614E-4</v>
      </c>
      <c r="M39" s="3">
        <f t="shared" si="7"/>
        <v>4.7762865441819992E-3</v>
      </c>
      <c r="N39" s="26">
        <f t="shared" si="8"/>
        <v>7.4109409329962991E-7</v>
      </c>
      <c r="O39" s="26">
        <f t="shared" si="9"/>
        <v>2.032E-3</v>
      </c>
      <c r="P39" s="26">
        <v>1.9414958079189685E-10</v>
      </c>
      <c r="Q39" s="14">
        <v>0.02</v>
      </c>
      <c r="R39" s="14">
        <f t="shared" si="10"/>
        <v>102000</v>
      </c>
      <c r="S39" s="14">
        <f t="shared" si="11"/>
        <v>97105.766268537394</v>
      </c>
      <c r="T39" s="14">
        <f t="shared" si="12"/>
        <v>97105.766268537394</v>
      </c>
      <c r="U39" s="14">
        <f t="shared" si="13"/>
        <v>5.36358238306597E-3</v>
      </c>
      <c r="V39" s="14">
        <v>0.13</v>
      </c>
      <c r="W39" s="14">
        <f t="shared" si="14"/>
        <v>112999.99999999999</v>
      </c>
      <c r="X39" s="14">
        <f t="shared" si="15"/>
        <v>19.875133663366334</v>
      </c>
      <c r="Y39" s="14">
        <f t="shared" si="16"/>
        <v>4.094229528669713E-14</v>
      </c>
      <c r="Z39" s="14">
        <f t="shared" si="17"/>
        <v>24655450221.649014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 s="4" customFormat="1" x14ac:dyDescent="0.25">
      <c r="A40" s="1">
        <v>114</v>
      </c>
      <c r="B40" s="1">
        <f t="shared" si="1"/>
        <v>1.9</v>
      </c>
      <c r="C40" s="1">
        <v>20</v>
      </c>
      <c r="D40" s="1">
        <f t="shared" si="0"/>
        <v>29.146000000000001</v>
      </c>
      <c r="E40" s="1">
        <f t="shared" si="2"/>
        <v>4.8576666666666667E-7</v>
      </c>
      <c r="F40" s="1">
        <v>21.1</v>
      </c>
      <c r="G40" s="1">
        <f t="shared" si="3"/>
        <v>294.10000000000002</v>
      </c>
      <c r="H40" s="1">
        <v>101.3</v>
      </c>
      <c r="I40" s="1">
        <f t="shared" si="4"/>
        <v>101300</v>
      </c>
      <c r="J40" s="1">
        <f t="shared" si="5"/>
        <v>2.0124824921938581E-5</v>
      </c>
      <c r="K40" s="25">
        <v>182.27227722772278</v>
      </c>
      <c r="L40" s="2">
        <f t="shared" si="6"/>
        <v>1.8227227722772277E-4</v>
      </c>
      <c r="M40" s="3">
        <f t="shared" si="7"/>
        <v>4.7762865441819992E-3</v>
      </c>
      <c r="N40" s="52">
        <f t="shared" si="8"/>
        <v>7.6800201022260903E-7</v>
      </c>
      <c r="O40" s="26">
        <f t="shared" si="9"/>
        <v>2.032E-3</v>
      </c>
      <c r="P40" s="26">
        <v>1.9414958079189685E-10</v>
      </c>
      <c r="Q40" s="14">
        <v>0.02</v>
      </c>
      <c r="R40" s="14">
        <f t="shared" si="10"/>
        <v>102000</v>
      </c>
      <c r="S40" s="14">
        <f t="shared" si="11"/>
        <v>96930.328319928914</v>
      </c>
      <c r="T40" s="14">
        <f t="shared" si="12"/>
        <v>96930.328319928914</v>
      </c>
      <c r="U40" s="14">
        <f t="shared" si="13"/>
        <v>5.36358238306597E-3</v>
      </c>
      <c r="V40" s="14">
        <v>0.13</v>
      </c>
      <c r="W40" s="14">
        <f t="shared" si="14"/>
        <v>112999.99999999999</v>
      </c>
      <c r="X40" s="14">
        <f t="shared" si="15"/>
        <v>20.596767326732671</v>
      </c>
      <c r="Y40" s="16">
        <f t="shared" si="16"/>
        <v>4.2505969072397337E-14</v>
      </c>
      <c r="Z40" s="16">
        <f t="shared" si="17"/>
        <v>25597094575.397678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spans="1:73" s="4" customFormat="1" x14ac:dyDescent="0.25">
      <c r="A41" s="1">
        <v>117</v>
      </c>
      <c r="B41" s="1">
        <f t="shared" si="1"/>
        <v>1.95</v>
      </c>
      <c r="C41" s="1">
        <v>20</v>
      </c>
      <c r="D41" s="1">
        <f t="shared" si="0"/>
        <v>29.146000000000001</v>
      </c>
      <c r="E41" s="1">
        <f t="shared" si="2"/>
        <v>4.8576666666666667E-7</v>
      </c>
      <c r="F41" s="1">
        <v>21.1</v>
      </c>
      <c r="G41" s="1">
        <f t="shared" si="3"/>
        <v>294.10000000000002</v>
      </c>
      <c r="H41" s="1">
        <v>101.3</v>
      </c>
      <c r="I41" s="1">
        <f t="shared" si="4"/>
        <v>101300</v>
      </c>
      <c r="J41" s="1">
        <f t="shared" si="5"/>
        <v>2.0124824921938581E-5</v>
      </c>
      <c r="K41" s="25">
        <v>180.19306930693071</v>
      </c>
      <c r="L41" s="2">
        <f t="shared" si="6"/>
        <v>1.8019306930693071E-4</v>
      </c>
      <c r="M41" s="3">
        <f t="shared" si="7"/>
        <v>4.7762865441819992E-3</v>
      </c>
      <c r="N41" s="52">
        <f t="shared" si="8"/>
        <v>7.5924129308489488E-7</v>
      </c>
      <c r="O41" s="26">
        <f t="shared" si="9"/>
        <v>2.032E-3</v>
      </c>
      <c r="P41" s="26">
        <v>1.9414958079189685E-10</v>
      </c>
      <c r="Q41" s="14">
        <v>0.02</v>
      </c>
      <c r="R41" s="14">
        <f t="shared" si="10"/>
        <v>102000</v>
      </c>
      <c r="S41" s="14">
        <f t="shared" si="11"/>
        <v>96987.430237022272</v>
      </c>
      <c r="T41" s="14">
        <f t="shared" si="12"/>
        <v>96987.430237022272</v>
      </c>
      <c r="U41" s="14">
        <f t="shared" si="13"/>
        <v>5.36358238306597E-3</v>
      </c>
      <c r="V41" s="14">
        <v>0.13</v>
      </c>
      <c r="W41" s="14">
        <f t="shared" si="14"/>
        <v>112999.99999999999</v>
      </c>
      <c r="X41" s="14">
        <f t="shared" si="15"/>
        <v>20.361816831683168</v>
      </c>
      <c r="Y41" s="16">
        <f t="shared" si="16"/>
        <v>4.1996249762238255E-14</v>
      </c>
      <c r="Z41" s="16">
        <f t="shared" si="17"/>
        <v>25290141606.819878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 s="4" customFormat="1" x14ac:dyDescent="0.25">
      <c r="A42" s="1">
        <v>120</v>
      </c>
      <c r="B42" s="1">
        <f t="shared" si="1"/>
        <v>2</v>
      </c>
      <c r="C42" s="1">
        <v>20</v>
      </c>
      <c r="D42" s="1">
        <f t="shared" si="0"/>
        <v>29.146000000000001</v>
      </c>
      <c r="E42" s="1">
        <f t="shared" si="2"/>
        <v>4.8576666666666667E-7</v>
      </c>
      <c r="F42" s="1">
        <v>21.1</v>
      </c>
      <c r="G42" s="1">
        <f t="shared" si="3"/>
        <v>294.10000000000002</v>
      </c>
      <c r="H42" s="1">
        <v>101.3</v>
      </c>
      <c r="I42" s="1">
        <f t="shared" si="4"/>
        <v>101300</v>
      </c>
      <c r="J42" s="1">
        <f t="shared" si="5"/>
        <v>2.0124824921938581E-5</v>
      </c>
      <c r="K42" s="25">
        <v>175.76237623762378</v>
      </c>
      <c r="L42" s="2">
        <f t="shared" si="6"/>
        <v>1.7576237623762378E-4</v>
      </c>
      <c r="M42" s="3">
        <f t="shared" si="7"/>
        <v>4.7762865441819992E-3</v>
      </c>
      <c r="N42" s="52">
        <f t="shared" si="8"/>
        <v>7.4057262204143267E-7</v>
      </c>
      <c r="O42" s="26">
        <f t="shared" si="9"/>
        <v>2.032E-3</v>
      </c>
      <c r="P42" s="26">
        <v>1.9414958079189685E-10</v>
      </c>
      <c r="Q42" s="14">
        <v>0.02</v>
      </c>
      <c r="R42" s="14">
        <f t="shared" si="10"/>
        <v>102000</v>
      </c>
      <c r="S42" s="14">
        <f t="shared" si="11"/>
        <v>97109.167795608533</v>
      </c>
      <c r="T42" s="14">
        <f t="shared" si="12"/>
        <v>97109.167795608533</v>
      </c>
      <c r="U42" s="14">
        <f t="shared" si="13"/>
        <v>5.36358238306597E-3</v>
      </c>
      <c r="V42" s="14">
        <v>0.13</v>
      </c>
      <c r="W42" s="14">
        <f t="shared" si="14"/>
        <v>112999.99999999999</v>
      </c>
      <c r="X42" s="14">
        <f t="shared" si="15"/>
        <v>19.861148514851486</v>
      </c>
      <c r="Y42" s="16">
        <f t="shared" si="16"/>
        <v>4.0912046919858248E-14</v>
      </c>
      <c r="Z42" s="16">
        <f t="shared" si="17"/>
        <v>24637234655.138638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 s="4" customFormat="1" x14ac:dyDescent="0.25">
      <c r="A43" s="1">
        <v>123</v>
      </c>
      <c r="B43" s="1">
        <f t="shared" si="1"/>
        <v>2.0499999999999998</v>
      </c>
      <c r="C43" s="1">
        <v>20</v>
      </c>
      <c r="D43" s="1">
        <f t="shared" si="0"/>
        <v>29.146000000000001</v>
      </c>
      <c r="E43" s="1">
        <f t="shared" si="2"/>
        <v>4.8576666666666667E-7</v>
      </c>
      <c r="F43" s="1">
        <v>21.1</v>
      </c>
      <c r="G43" s="1">
        <f t="shared" si="3"/>
        <v>294.10000000000002</v>
      </c>
      <c r="H43" s="1">
        <v>101.3</v>
      </c>
      <c r="I43" s="1">
        <f t="shared" si="4"/>
        <v>101300</v>
      </c>
      <c r="J43" s="1">
        <f t="shared" si="5"/>
        <v>2.0124824921938581E-5</v>
      </c>
      <c r="K43" s="25">
        <v>180.490099009901</v>
      </c>
      <c r="L43" s="2">
        <f t="shared" si="6"/>
        <v>1.80490099009901E-4</v>
      </c>
      <c r="M43" s="3">
        <f t="shared" si="7"/>
        <v>4.7762865441819992E-3</v>
      </c>
      <c r="N43" s="52">
        <f t="shared" si="8"/>
        <v>7.6049282410456842E-7</v>
      </c>
      <c r="O43" s="26">
        <f t="shared" si="9"/>
        <v>2.032E-3</v>
      </c>
      <c r="P43" s="26">
        <v>1.9414958079189685E-10</v>
      </c>
      <c r="Q43" s="14">
        <v>0.02</v>
      </c>
      <c r="R43" s="14">
        <f t="shared" si="10"/>
        <v>102000</v>
      </c>
      <c r="S43" s="14">
        <f t="shared" si="11"/>
        <v>96979.271790835832</v>
      </c>
      <c r="T43" s="14">
        <f t="shared" si="12"/>
        <v>96979.271790835832</v>
      </c>
      <c r="U43" s="14">
        <f t="shared" si="13"/>
        <v>5.36358238306597E-3</v>
      </c>
      <c r="V43" s="14">
        <v>0.13</v>
      </c>
      <c r="W43" s="14">
        <f t="shared" si="14"/>
        <v>112999.99999999999</v>
      </c>
      <c r="X43" s="14">
        <f t="shared" si="15"/>
        <v>20.395381188118812</v>
      </c>
      <c r="Y43" s="16">
        <f t="shared" si="16"/>
        <v>4.2069030344182918E-14</v>
      </c>
      <c r="Z43" s="16">
        <f t="shared" si="17"/>
        <v>25333970073.266953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spans="1:73" s="4" customFormat="1" x14ac:dyDescent="0.25">
      <c r="A44" s="1">
        <v>126</v>
      </c>
      <c r="B44" s="1">
        <f t="shared" si="1"/>
        <v>2.1</v>
      </c>
      <c r="C44" s="1">
        <v>20</v>
      </c>
      <c r="D44" s="1">
        <f t="shared" si="0"/>
        <v>29.146000000000001</v>
      </c>
      <c r="E44" s="1">
        <f t="shared" si="2"/>
        <v>4.8576666666666667E-7</v>
      </c>
      <c r="F44" s="1">
        <v>21.1</v>
      </c>
      <c r="G44" s="1">
        <f t="shared" si="3"/>
        <v>294.10000000000002</v>
      </c>
      <c r="H44" s="1">
        <v>101.3</v>
      </c>
      <c r="I44" s="1">
        <f t="shared" si="4"/>
        <v>101300</v>
      </c>
      <c r="J44" s="1">
        <f t="shared" si="5"/>
        <v>2.0124824921938581E-5</v>
      </c>
      <c r="K44" s="25">
        <v>179.69801980198022</v>
      </c>
      <c r="L44" s="2">
        <f t="shared" si="6"/>
        <v>1.7969801980198023E-4</v>
      </c>
      <c r="M44" s="3">
        <f t="shared" si="7"/>
        <v>4.7762865441819992E-3</v>
      </c>
      <c r="N44" s="52">
        <f t="shared" si="8"/>
        <v>7.5715540805210592E-7</v>
      </c>
      <c r="O44" s="26">
        <f t="shared" si="9"/>
        <v>2.032E-3</v>
      </c>
      <c r="P44" s="26">
        <v>1.9414958079189685E-10</v>
      </c>
      <c r="Q44" s="14">
        <v>0.02</v>
      </c>
      <c r="R44" s="14">
        <f t="shared" si="10"/>
        <v>102000</v>
      </c>
      <c r="S44" s="14">
        <f t="shared" si="11"/>
        <v>97001.028409895109</v>
      </c>
      <c r="T44" s="14">
        <f t="shared" si="12"/>
        <v>97001.028409895109</v>
      </c>
      <c r="U44" s="14">
        <f t="shared" si="13"/>
        <v>5.36358238306597E-3</v>
      </c>
      <c r="V44" s="14">
        <v>0.13</v>
      </c>
      <c r="W44" s="14">
        <f t="shared" si="14"/>
        <v>112999.99999999999</v>
      </c>
      <c r="X44" s="14">
        <f t="shared" si="15"/>
        <v>20.305876237623764</v>
      </c>
      <c r="Y44" s="16">
        <f t="shared" si="16"/>
        <v>4.1874975786677549E-14</v>
      </c>
      <c r="Z44" s="16">
        <f t="shared" si="17"/>
        <v>25217110418.737221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spans="1:73" s="4" customFormat="1" x14ac:dyDescent="0.25">
      <c r="A45" s="1">
        <v>129</v>
      </c>
      <c r="B45" s="1">
        <f t="shared" si="1"/>
        <v>2.15</v>
      </c>
      <c r="C45" s="1">
        <v>20</v>
      </c>
      <c r="D45" s="1">
        <f t="shared" si="0"/>
        <v>29.146000000000001</v>
      </c>
      <c r="E45" s="1">
        <f t="shared" si="2"/>
        <v>4.8576666666666667E-7</v>
      </c>
      <c r="F45" s="1">
        <v>21.1</v>
      </c>
      <c r="G45" s="1">
        <f t="shared" si="3"/>
        <v>294.10000000000002</v>
      </c>
      <c r="H45" s="1">
        <v>101.3</v>
      </c>
      <c r="I45" s="1">
        <f t="shared" si="4"/>
        <v>101300</v>
      </c>
      <c r="J45" s="1">
        <f t="shared" si="5"/>
        <v>2.0124824921938581E-5</v>
      </c>
      <c r="K45" s="25">
        <v>178.33663366336637</v>
      </c>
      <c r="L45" s="2">
        <f t="shared" si="6"/>
        <v>1.7833663366336637E-4</v>
      </c>
      <c r="M45" s="3">
        <f t="shared" si="7"/>
        <v>4.7762865441819992E-3</v>
      </c>
      <c r="N45" s="52">
        <f t="shared" si="8"/>
        <v>7.5141922421193599E-7</v>
      </c>
      <c r="O45" s="26">
        <f t="shared" si="9"/>
        <v>2.032E-3</v>
      </c>
      <c r="P45" s="26">
        <v>1.9414958079189685E-10</v>
      </c>
      <c r="Q45" s="14">
        <v>0.02</v>
      </c>
      <c r="R45" s="14">
        <f t="shared" si="10"/>
        <v>102000</v>
      </c>
      <c r="S45" s="14">
        <f t="shared" si="11"/>
        <v>97038.428300246349</v>
      </c>
      <c r="T45" s="14">
        <f t="shared" si="12"/>
        <v>97038.428300246349</v>
      </c>
      <c r="U45" s="14">
        <f t="shared" si="13"/>
        <v>5.36358238306597E-3</v>
      </c>
      <c r="V45" s="14">
        <v>0.13</v>
      </c>
      <c r="W45" s="14">
        <f t="shared" si="14"/>
        <v>112999.99999999999</v>
      </c>
      <c r="X45" s="14">
        <f t="shared" si="15"/>
        <v>20.152039603960397</v>
      </c>
      <c r="Y45" s="16">
        <f t="shared" si="16"/>
        <v>4.1541646261089243E-14</v>
      </c>
      <c r="Z45" s="16">
        <f t="shared" si="17"/>
        <v>25016379378.427944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spans="1:73" s="4" customFormat="1" x14ac:dyDescent="0.25">
      <c r="A46" s="1">
        <v>132</v>
      </c>
      <c r="B46" s="1">
        <f t="shared" si="1"/>
        <v>2.2000000000000002</v>
      </c>
      <c r="C46" s="1">
        <v>20</v>
      </c>
      <c r="D46" s="1">
        <f t="shared" si="0"/>
        <v>29.146000000000001</v>
      </c>
      <c r="E46" s="1">
        <f t="shared" si="2"/>
        <v>4.8576666666666667E-7</v>
      </c>
      <c r="F46" s="1">
        <v>21.1</v>
      </c>
      <c r="G46" s="1">
        <f t="shared" si="3"/>
        <v>294.10000000000002</v>
      </c>
      <c r="H46" s="1">
        <v>101.3</v>
      </c>
      <c r="I46" s="1">
        <f t="shared" si="4"/>
        <v>101300</v>
      </c>
      <c r="J46" s="1">
        <f t="shared" si="5"/>
        <v>2.0124824921938581E-5</v>
      </c>
      <c r="K46" s="25">
        <v>173.70792079207922</v>
      </c>
      <c r="L46" s="2">
        <f t="shared" si="6"/>
        <v>1.7370792079207922E-4</v>
      </c>
      <c r="M46" s="3">
        <f t="shared" si="7"/>
        <v>4.7762865441819992E-3</v>
      </c>
      <c r="N46" s="52">
        <f t="shared" si="8"/>
        <v>7.3191619915535805E-7</v>
      </c>
      <c r="O46" s="26">
        <f t="shared" si="9"/>
        <v>2.032E-3</v>
      </c>
      <c r="P46" s="26">
        <v>1.9414958079189685E-10</v>
      </c>
      <c r="Q46" s="14">
        <v>0.02</v>
      </c>
      <c r="R46" s="14">
        <f t="shared" si="10"/>
        <v>102000</v>
      </c>
      <c r="S46" s="14">
        <f t="shared" si="11"/>
        <v>97165.641847729392</v>
      </c>
      <c r="T46" s="14">
        <f t="shared" si="12"/>
        <v>97165.641847729392</v>
      </c>
      <c r="U46" s="14">
        <f t="shared" si="13"/>
        <v>5.36358238306597E-3</v>
      </c>
      <c r="V46" s="14">
        <v>0.13</v>
      </c>
      <c r="W46" s="14">
        <f t="shared" si="14"/>
        <v>112999.99999999999</v>
      </c>
      <c r="X46" s="14">
        <f t="shared" si="15"/>
        <v>19.628995049504947</v>
      </c>
      <c r="Y46" s="16">
        <f t="shared" si="16"/>
        <v>4.0410231119042661E-14</v>
      </c>
      <c r="Z46" s="16">
        <f t="shared" si="17"/>
        <v>24335041179.887493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spans="1:73" s="4" customFormat="1" x14ac:dyDescent="0.25">
      <c r="A47" s="1">
        <v>135</v>
      </c>
      <c r="B47" s="1">
        <f t="shared" si="1"/>
        <v>2.25</v>
      </c>
      <c r="C47" s="1">
        <v>20</v>
      </c>
      <c r="D47" s="1">
        <f t="shared" si="0"/>
        <v>29.146000000000001</v>
      </c>
      <c r="E47" s="1">
        <f t="shared" si="2"/>
        <v>4.8576666666666667E-7</v>
      </c>
      <c r="F47" s="1">
        <v>21.1</v>
      </c>
      <c r="G47" s="1">
        <f t="shared" si="3"/>
        <v>294.10000000000002</v>
      </c>
      <c r="H47" s="1">
        <v>101.3</v>
      </c>
      <c r="I47" s="1">
        <f t="shared" si="4"/>
        <v>101300</v>
      </c>
      <c r="J47" s="1">
        <f t="shared" si="5"/>
        <v>2.0124824921938581E-5</v>
      </c>
      <c r="K47" s="25">
        <v>175.14356435643566</v>
      </c>
      <c r="L47" s="2">
        <f t="shared" si="6"/>
        <v>1.7514356435643566E-4</v>
      </c>
      <c r="M47" s="3">
        <f t="shared" si="7"/>
        <v>4.7762865441819992E-3</v>
      </c>
      <c r="N47" s="52">
        <f t="shared" si="8"/>
        <v>7.3796526575044638E-7</v>
      </c>
      <c r="O47" s="26">
        <f t="shared" si="9"/>
        <v>2.032E-3</v>
      </c>
      <c r="P47" s="26">
        <v>1.9414958079189685E-10</v>
      </c>
      <c r="Q47" s="14">
        <v>0.02</v>
      </c>
      <c r="R47" s="14">
        <f t="shared" si="10"/>
        <v>102000</v>
      </c>
      <c r="S47" s="14">
        <f t="shared" si="11"/>
        <v>97126.176324591725</v>
      </c>
      <c r="T47" s="14">
        <f t="shared" si="12"/>
        <v>97126.176324591725</v>
      </c>
      <c r="U47" s="14">
        <f t="shared" si="13"/>
        <v>5.36358238306597E-3</v>
      </c>
      <c r="V47" s="14">
        <v>0.13</v>
      </c>
      <c r="W47" s="14">
        <f t="shared" si="14"/>
        <v>112999.99999999999</v>
      </c>
      <c r="X47" s="14">
        <f t="shared" si="15"/>
        <v>19.791222772277226</v>
      </c>
      <c r="Y47" s="16">
        <f t="shared" si="16"/>
        <v>4.0760836628234539E-14</v>
      </c>
      <c r="Z47" s="16">
        <f t="shared" si="17"/>
        <v>24546175817.522842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spans="1:73" s="4" customFormat="1" x14ac:dyDescent="0.25">
      <c r="A48" s="1">
        <v>138</v>
      </c>
      <c r="B48" s="1">
        <f t="shared" si="1"/>
        <v>2.2999999999999998</v>
      </c>
      <c r="C48" s="1">
        <v>20</v>
      </c>
      <c r="D48" s="1">
        <f t="shared" si="0"/>
        <v>29.146000000000001</v>
      </c>
      <c r="E48" s="1">
        <f t="shared" si="2"/>
        <v>4.8576666666666667E-7</v>
      </c>
      <c r="F48" s="1">
        <v>21.1</v>
      </c>
      <c r="G48" s="1">
        <f t="shared" si="3"/>
        <v>294.10000000000002</v>
      </c>
      <c r="H48" s="1">
        <v>101.3</v>
      </c>
      <c r="I48" s="1">
        <f t="shared" si="4"/>
        <v>101300</v>
      </c>
      <c r="J48" s="1">
        <f t="shared" si="5"/>
        <v>2.0124824921938581E-5</v>
      </c>
      <c r="K48" s="25">
        <v>181.85148514851485</v>
      </c>
      <c r="L48" s="2">
        <f t="shared" si="6"/>
        <v>1.8185148514851486E-4</v>
      </c>
      <c r="M48" s="3">
        <f t="shared" si="7"/>
        <v>4.7762865441819992E-3</v>
      </c>
      <c r="N48" s="52">
        <f t="shared" si="8"/>
        <v>7.6622900794473825E-7</v>
      </c>
      <c r="O48" s="26">
        <f t="shared" si="9"/>
        <v>2.032E-3</v>
      </c>
      <c r="P48" s="26">
        <v>1.9414958079189685E-10</v>
      </c>
      <c r="Q48" s="14">
        <v>0.02</v>
      </c>
      <c r="R48" s="14">
        <f t="shared" si="10"/>
        <v>102000</v>
      </c>
      <c r="S48" s="14">
        <f t="shared" si="11"/>
        <v>96941.883303170849</v>
      </c>
      <c r="T48" s="14">
        <f t="shared" si="12"/>
        <v>96941.883303170849</v>
      </c>
      <c r="U48" s="14">
        <f t="shared" si="13"/>
        <v>5.36358238306597E-3</v>
      </c>
      <c r="V48" s="14">
        <v>0.13</v>
      </c>
      <c r="W48" s="14">
        <f t="shared" si="14"/>
        <v>112999.99999999999</v>
      </c>
      <c r="X48" s="14">
        <f t="shared" si="15"/>
        <v>20.549217821782175</v>
      </c>
      <c r="Y48" s="16">
        <f t="shared" si="16"/>
        <v>4.2402763511153047E-14</v>
      </c>
      <c r="Z48" s="16">
        <f t="shared" si="17"/>
        <v>25534944186.416367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spans="1:73" s="4" customFormat="1" x14ac:dyDescent="0.25">
      <c r="A49" s="1">
        <v>141</v>
      </c>
      <c r="B49" s="1">
        <f t="shared" si="1"/>
        <v>2.35</v>
      </c>
      <c r="C49" s="1">
        <v>20</v>
      </c>
      <c r="D49" s="1">
        <f t="shared" si="0"/>
        <v>29.146000000000001</v>
      </c>
      <c r="E49" s="1">
        <f t="shared" si="2"/>
        <v>4.8576666666666667E-7</v>
      </c>
      <c r="F49" s="1">
        <v>21.1</v>
      </c>
      <c r="G49" s="1">
        <f t="shared" si="3"/>
        <v>294.10000000000002</v>
      </c>
      <c r="H49" s="1">
        <v>101.3</v>
      </c>
      <c r="I49" s="1">
        <f t="shared" si="4"/>
        <v>101300</v>
      </c>
      <c r="J49" s="1">
        <f t="shared" si="5"/>
        <v>2.0124824921938581E-5</v>
      </c>
      <c r="K49" s="25">
        <v>183.95544554455449</v>
      </c>
      <c r="L49" s="2">
        <f t="shared" si="6"/>
        <v>1.8395544554455448E-4</v>
      </c>
      <c r="M49" s="3">
        <f t="shared" si="7"/>
        <v>4.7762865441819992E-3</v>
      </c>
      <c r="N49" s="52">
        <f t="shared" si="8"/>
        <v>7.7509401933409193E-7</v>
      </c>
      <c r="O49" s="26">
        <f t="shared" si="9"/>
        <v>2.032E-3</v>
      </c>
      <c r="P49" s="26">
        <v>1.9414958079189685E-10</v>
      </c>
      <c r="Q49" s="14">
        <v>0.02</v>
      </c>
      <c r="R49" s="14">
        <f t="shared" si="10"/>
        <v>102000</v>
      </c>
      <c r="S49" s="14">
        <f t="shared" si="11"/>
        <v>96884.11527385017</v>
      </c>
      <c r="T49" s="14">
        <f t="shared" si="12"/>
        <v>96884.11527385017</v>
      </c>
      <c r="U49" s="14">
        <f t="shared" si="13"/>
        <v>5.36358238306597E-3</v>
      </c>
      <c r="V49" s="14">
        <v>0.13</v>
      </c>
      <c r="W49" s="14">
        <f t="shared" si="14"/>
        <v>112999.99999999999</v>
      </c>
      <c r="X49" s="14">
        <f t="shared" si="15"/>
        <v>20.786965346534654</v>
      </c>
      <c r="Y49" s="16">
        <f t="shared" si="16"/>
        <v>4.2919035510316674E-14</v>
      </c>
      <c r="Z49" s="16">
        <f t="shared" si="17"/>
        <v>25845843184.312702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spans="1:73" s="4" customFormat="1" x14ac:dyDescent="0.25">
      <c r="A50" s="1">
        <v>144</v>
      </c>
      <c r="B50" s="1">
        <f t="shared" si="1"/>
        <v>2.4</v>
      </c>
      <c r="C50" s="1">
        <v>20</v>
      </c>
      <c r="D50" s="1">
        <f t="shared" si="0"/>
        <v>29.146000000000001</v>
      </c>
      <c r="E50" s="1">
        <f t="shared" si="2"/>
        <v>4.8576666666666667E-7</v>
      </c>
      <c r="F50" s="1">
        <v>21.1</v>
      </c>
      <c r="G50" s="1">
        <f t="shared" si="3"/>
        <v>294.10000000000002</v>
      </c>
      <c r="H50" s="1">
        <v>101.3</v>
      </c>
      <c r="I50" s="1">
        <f t="shared" si="4"/>
        <v>101300</v>
      </c>
      <c r="J50" s="1">
        <f t="shared" si="5"/>
        <v>2.0124824921938581E-5</v>
      </c>
      <c r="K50" s="25">
        <v>179.77227722772278</v>
      </c>
      <c r="L50" s="2">
        <f t="shared" si="6"/>
        <v>1.7977227722772279E-4</v>
      </c>
      <c r="M50" s="3">
        <f t="shared" si="7"/>
        <v>4.7762865441819992E-3</v>
      </c>
      <c r="N50" s="52">
        <f t="shared" si="8"/>
        <v>7.574682908070242E-7</v>
      </c>
      <c r="O50" s="26">
        <f t="shared" si="9"/>
        <v>2.032E-3</v>
      </c>
      <c r="P50" s="26">
        <v>1.9414958079189685E-10</v>
      </c>
      <c r="Q50" s="14">
        <v>0.02</v>
      </c>
      <c r="R50" s="14">
        <f t="shared" si="10"/>
        <v>102000</v>
      </c>
      <c r="S50" s="14">
        <f t="shared" si="11"/>
        <v>96998.988623197496</v>
      </c>
      <c r="T50" s="14">
        <f t="shared" si="12"/>
        <v>96998.988623197496</v>
      </c>
      <c r="U50" s="14">
        <f t="shared" si="13"/>
        <v>5.36358238306597E-3</v>
      </c>
      <c r="V50" s="14">
        <v>0.13</v>
      </c>
      <c r="W50" s="14">
        <f t="shared" si="14"/>
        <v>112999.99999999999</v>
      </c>
      <c r="X50" s="14">
        <f t="shared" si="15"/>
        <v>20.314267326732672</v>
      </c>
      <c r="Y50" s="16">
        <f t="shared" si="16"/>
        <v>4.1893164732228584E-14</v>
      </c>
      <c r="Z50" s="16">
        <f t="shared" si="17"/>
        <v>25228063801.748055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spans="1:73" s="4" customFormat="1" x14ac:dyDescent="0.25">
      <c r="A51" s="1">
        <v>147</v>
      </c>
      <c r="B51" s="1">
        <f t="shared" si="1"/>
        <v>2.4500000000000002</v>
      </c>
      <c r="C51" s="1">
        <v>20</v>
      </c>
      <c r="D51" s="1">
        <f t="shared" si="0"/>
        <v>29.146000000000001</v>
      </c>
      <c r="E51" s="1">
        <f t="shared" si="2"/>
        <v>4.8576666666666667E-7</v>
      </c>
      <c r="F51" s="1">
        <v>21.1</v>
      </c>
      <c r="G51" s="1">
        <f t="shared" si="3"/>
        <v>294.10000000000002</v>
      </c>
      <c r="H51" s="1">
        <v>101.3</v>
      </c>
      <c r="I51" s="1">
        <f t="shared" si="4"/>
        <v>101300</v>
      </c>
      <c r="J51" s="1">
        <f t="shared" si="5"/>
        <v>2.0124824921938581E-5</v>
      </c>
      <c r="K51" s="25">
        <v>188.46039603960398</v>
      </c>
      <c r="L51" s="2">
        <f t="shared" si="6"/>
        <v>1.8846039603960397E-4</v>
      </c>
      <c r="M51" s="3">
        <f t="shared" si="7"/>
        <v>4.7762865441819992E-3</v>
      </c>
      <c r="N51" s="52">
        <f t="shared" si="8"/>
        <v>7.9407557313247231E-7</v>
      </c>
      <c r="O51" s="26">
        <f t="shared" si="9"/>
        <v>2.032E-3</v>
      </c>
      <c r="P51" s="26">
        <v>1.9414958079189685E-10</v>
      </c>
      <c r="Q51" s="14">
        <v>0.02</v>
      </c>
      <c r="R51" s="14">
        <f t="shared" si="10"/>
        <v>102000</v>
      </c>
      <c r="S51" s="14">
        <f t="shared" si="11"/>
        <v>96760.481628626265</v>
      </c>
      <c r="T51" s="14">
        <f>(S51)</f>
        <v>96760.481628626265</v>
      </c>
      <c r="U51" s="14">
        <f t="shared" si="13"/>
        <v>5.36358238306597E-3</v>
      </c>
      <c r="V51" s="14">
        <v>0.13</v>
      </c>
      <c r="W51" s="14">
        <f t="shared" si="14"/>
        <v>112999.99999999999</v>
      </c>
      <c r="X51" s="14">
        <f t="shared" si="15"/>
        <v>21.296024752475244</v>
      </c>
      <c r="Y51" s="16">
        <f t="shared" si="16"/>
        <v>4.4026520672981484E-14</v>
      </c>
      <c r="Z51" s="16">
        <f t="shared" si="17"/>
        <v>26512770749.269451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spans="1:73" s="4" customFormat="1" x14ac:dyDescent="0.25">
      <c r="A52" s="1">
        <v>150</v>
      </c>
      <c r="B52" s="1">
        <f t="shared" si="1"/>
        <v>2.5</v>
      </c>
      <c r="C52" s="1">
        <v>20</v>
      </c>
      <c r="D52" s="1">
        <f t="shared" si="0"/>
        <v>29.146000000000001</v>
      </c>
      <c r="E52" s="1">
        <f t="shared" si="2"/>
        <v>4.8576666666666667E-7</v>
      </c>
      <c r="F52" s="1">
        <v>21.1</v>
      </c>
      <c r="G52" s="1">
        <f t="shared" si="3"/>
        <v>294.10000000000002</v>
      </c>
      <c r="H52" s="1">
        <v>101.3</v>
      </c>
      <c r="I52" s="1">
        <f t="shared" si="4"/>
        <v>101300</v>
      </c>
      <c r="J52" s="1">
        <f t="shared" si="5"/>
        <v>2.0124824921938581E-5</v>
      </c>
      <c r="K52" s="25">
        <v>180.36633663366339</v>
      </c>
      <c r="L52" s="2">
        <f t="shared" si="6"/>
        <v>1.8036633663366338E-4</v>
      </c>
      <c r="M52" s="3">
        <f t="shared" si="7"/>
        <v>4.7762865441819992E-3</v>
      </c>
      <c r="N52" s="52">
        <f t="shared" si="8"/>
        <v>7.5997135284637107E-7</v>
      </c>
      <c r="O52" s="26">
        <f t="shared" si="9"/>
        <v>2.032E-3</v>
      </c>
      <c r="P52" s="26">
        <v>1.9414958079189685E-10</v>
      </c>
      <c r="Q52" s="14">
        <v>0.02</v>
      </c>
      <c r="R52" s="14">
        <f t="shared" si="10"/>
        <v>102000</v>
      </c>
      <c r="S52" s="14">
        <f t="shared" si="11"/>
        <v>96982.67110171089</v>
      </c>
      <c r="T52" s="14">
        <f t="shared" si="12"/>
        <v>96982.67110171089</v>
      </c>
      <c r="U52" s="14">
        <f t="shared" si="13"/>
        <v>5.36358238306597E-3</v>
      </c>
      <c r="V52" s="14">
        <v>0.13</v>
      </c>
      <c r="W52" s="14">
        <f t="shared" si="14"/>
        <v>112999.99999999999</v>
      </c>
      <c r="X52" s="14">
        <f t="shared" si="15"/>
        <v>20.38139603960396</v>
      </c>
      <c r="Y52" s="16">
        <f t="shared" si="16"/>
        <v>4.2038703625242403E-14</v>
      </c>
      <c r="Z52" s="16">
        <f t="shared" si="17"/>
        <v>25315707323.120975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spans="1:73" s="4" customFormat="1" x14ac:dyDescent="0.25">
      <c r="A53" s="1">
        <v>153</v>
      </c>
      <c r="B53" s="1">
        <f t="shared" si="1"/>
        <v>2.5499999999999998</v>
      </c>
      <c r="C53" s="1">
        <v>20</v>
      </c>
      <c r="D53" s="1">
        <f t="shared" si="0"/>
        <v>29.146000000000001</v>
      </c>
      <c r="E53" s="1">
        <f t="shared" si="2"/>
        <v>4.8576666666666667E-7</v>
      </c>
      <c r="F53" s="1">
        <v>21.1</v>
      </c>
      <c r="G53" s="1">
        <f t="shared" si="3"/>
        <v>294.10000000000002</v>
      </c>
      <c r="H53" s="1">
        <v>101.3</v>
      </c>
      <c r="I53" s="1">
        <f t="shared" si="4"/>
        <v>101300</v>
      </c>
      <c r="J53" s="1">
        <f t="shared" si="5"/>
        <v>2.0124824921938581E-5</v>
      </c>
      <c r="K53" s="25">
        <v>174.25247524752479</v>
      </c>
      <c r="L53" s="2">
        <f t="shared" si="6"/>
        <v>1.7425247524752478E-4</v>
      </c>
      <c r="M53" s="3">
        <f t="shared" si="7"/>
        <v>4.7762865441819992E-3</v>
      </c>
      <c r="N53" s="52">
        <f t="shared" si="8"/>
        <v>7.3421067269142607E-7</v>
      </c>
      <c r="O53" s="26">
        <f t="shared" si="9"/>
        <v>2.032E-3</v>
      </c>
      <c r="P53" s="26">
        <v>1.9414958079189685E-10</v>
      </c>
      <c r="Q53" s="14">
        <v>0.02</v>
      </c>
      <c r="R53" s="14">
        <f t="shared" si="10"/>
        <v>102000</v>
      </c>
      <c r="S53" s="14">
        <f t="shared" si="11"/>
        <v>97150.671222868652</v>
      </c>
      <c r="T53" s="14">
        <f t="shared" si="12"/>
        <v>97150.671222868652</v>
      </c>
      <c r="U53" s="14">
        <f t="shared" si="13"/>
        <v>5.36358238306597E-3</v>
      </c>
      <c r="V53" s="14">
        <v>0.13</v>
      </c>
      <c r="W53" s="14">
        <f t="shared" si="14"/>
        <v>112999.99999999999</v>
      </c>
      <c r="X53" s="14">
        <f t="shared" si="15"/>
        <v>19.690529702970299</v>
      </c>
      <c r="Y53" s="16">
        <f t="shared" si="16"/>
        <v>4.0543186132823973E-14</v>
      </c>
      <c r="Z53" s="16">
        <f t="shared" si="17"/>
        <v>24415106689.186596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3" s="4" customFormat="1" x14ac:dyDescent="0.25">
      <c r="A54" s="1">
        <v>156</v>
      </c>
      <c r="B54" s="1">
        <f t="shared" si="1"/>
        <v>2.6</v>
      </c>
      <c r="C54" s="1">
        <v>20</v>
      </c>
      <c r="D54" s="1">
        <f t="shared" si="0"/>
        <v>29.146000000000001</v>
      </c>
      <c r="E54" s="1">
        <f t="shared" si="2"/>
        <v>4.8576666666666667E-7</v>
      </c>
      <c r="F54" s="1">
        <v>21.1</v>
      </c>
      <c r="G54" s="1">
        <f t="shared" si="3"/>
        <v>294.10000000000002</v>
      </c>
      <c r="H54" s="1">
        <v>101.3</v>
      </c>
      <c r="I54" s="1">
        <f t="shared" si="4"/>
        <v>101300</v>
      </c>
      <c r="J54" s="1">
        <f t="shared" si="5"/>
        <v>2.0124824921938581E-5</v>
      </c>
      <c r="K54" s="25">
        <v>180.36633663366339</v>
      </c>
      <c r="L54" s="2">
        <f t="shared" si="6"/>
        <v>1.8036633663366338E-4</v>
      </c>
      <c r="M54" s="3">
        <f t="shared" si="7"/>
        <v>4.7762865441819992E-3</v>
      </c>
      <c r="N54" s="52">
        <f t="shared" si="8"/>
        <v>7.5997135284637107E-7</v>
      </c>
      <c r="O54" s="26">
        <f t="shared" si="9"/>
        <v>2.032E-3</v>
      </c>
      <c r="P54" s="26">
        <v>1.9414958079189685E-10</v>
      </c>
      <c r="Q54" s="14">
        <v>0.02</v>
      </c>
      <c r="R54" s="14">
        <f t="shared" si="10"/>
        <v>102000</v>
      </c>
      <c r="S54" s="14">
        <f t="shared" si="11"/>
        <v>96982.67110171089</v>
      </c>
      <c r="T54" s="14">
        <f t="shared" si="12"/>
        <v>96982.67110171089</v>
      </c>
      <c r="U54" s="14">
        <f t="shared" si="13"/>
        <v>5.36358238306597E-3</v>
      </c>
      <c r="V54" s="14">
        <v>0.13</v>
      </c>
      <c r="W54" s="14">
        <f t="shared" si="14"/>
        <v>112999.99999999999</v>
      </c>
      <c r="X54" s="14">
        <f t="shared" si="15"/>
        <v>20.38139603960396</v>
      </c>
      <c r="Y54" s="16">
        <f t="shared" si="16"/>
        <v>4.2038703625242403E-14</v>
      </c>
      <c r="Z54" s="16">
        <f t="shared" si="17"/>
        <v>25315707323.120975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spans="1:73" s="4" customFormat="1" x14ac:dyDescent="0.25">
      <c r="A55" s="1">
        <v>159</v>
      </c>
      <c r="B55" s="1">
        <f t="shared" si="1"/>
        <v>2.65</v>
      </c>
      <c r="C55" s="1">
        <v>20</v>
      </c>
      <c r="D55" s="1">
        <f t="shared" si="0"/>
        <v>29.146000000000001</v>
      </c>
      <c r="E55" s="1">
        <f t="shared" si="2"/>
        <v>4.8576666666666667E-7</v>
      </c>
      <c r="F55" s="1">
        <v>21.1</v>
      </c>
      <c r="G55" s="1">
        <f t="shared" si="3"/>
        <v>294.10000000000002</v>
      </c>
      <c r="H55" s="1">
        <v>101.3</v>
      </c>
      <c r="I55" s="1">
        <f t="shared" si="4"/>
        <v>101300</v>
      </c>
      <c r="J55" s="1">
        <f t="shared" si="5"/>
        <v>2.0124824921938581E-5</v>
      </c>
      <c r="K55" s="25">
        <v>175.91089108910893</v>
      </c>
      <c r="L55" s="2">
        <f t="shared" si="6"/>
        <v>1.7591089108910893E-4</v>
      </c>
      <c r="M55" s="3">
        <f t="shared" si="7"/>
        <v>4.7762865441819992E-3</v>
      </c>
      <c r="N55" s="52">
        <f t="shared" si="8"/>
        <v>7.4119838755126944E-7</v>
      </c>
      <c r="O55" s="26">
        <f t="shared" si="9"/>
        <v>2.032E-3</v>
      </c>
      <c r="P55" s="26">
        <v>1.9414958079189685E-10</v>
      </c>
      <c r="Q55" s="14">
        <v>0.02</v>
      </c>
      <c r="R55" s="14">
        <f t="shared" si="10"/>
        <v>102000</v>
      </c>
      <c r="S55" s="14">
        <f t="shared" si="11"/>
        <v>97105.085970272194</v>
      </c>
      <c r="T55" s="14">
        <f t="shared" si="12"/>
        <v>97105.085970272194</v>
      </c>
      <c r="U55" s="14">
        <f t="shared" si="13"/>
        <v>5.36358238306597E-3</v>
      </c>
      <c r="V55" s="14">
        <v>0.13</v>
      </c>
      <c r="W55" s="14">
        <f t="shared" si="14"/>
        <v>112999.99999999999</v>
      </c>
      <c r="X55" s="14">
        <f t="shared" si="15"/>
        <v>19.877930693069306</v>
      </c>
      <c r="Y55" s="16">
        <f t="shared" si="16"/>
        <v>4.0948345212446698E-14</v>
      </c>
      <c r="Z55" s="16">
        <f t="shared" si="17"/>
        <v>24659093486.935402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spans="1:73" s="4" customFormat="1" x14ac:dyDescent="0.25">
      <c r="A56" s="1">
        <v>162</v>
      </c>
      <c r="B56" s="1">
        <f t="shared" si="1"/>
        <v>2.7</v>
      </c>
      <c r="C56" s="1">
        <v>20</v>
      </c>
      <c r="D56" s="1">
        <f t="shared" si="0"/>
        <v>29.146000000000001</v>
      </c>
      <c r="E56" s="1">
        <f t="shared" si="2"/>
        <v>4.8576666666666667E-7</v>
      </c>
      <c r="F56" s="1">
        <v>21.1</v>
      </c>
      <c r="G56" s="1">
        <f t="shared" si="3"/>
        <v>294.10000000000002</v>
      </c>
      <c r="H56" s="1">
        <v>101.3</v>
      </c>
      <c r="I56" s="1">
        <f t="shared" si="4"/>
        <v>101300</v>
      </c>
      <c r="J56" s="1">
        <f t="shared" si="5"/>
        <v>2.0124824921938581E-5</v>
      </c>
      <c r="K56" s="25">
        <v>190.61386138613864</v>
      </c>
      <c r="L56" s="2">
        <f t="shared" si="6"/>
        <v>1.9061386138613865E-4</v>
      </c>
      <c r="M56" s="3">
        <f t="shared" si="7"/>
        <v>4.7762865441819992E-3</v>
      </c>
      <c r="N56" s="52">
        <f t="shared" si="8"/>
        <v>8.0314917302510495E-7</v>
      </c>
      <c r="O56" s="26">
        <f t="shared" si="9"/>
        <v>2.032E-3</v>
      </c>
      <c r="P56" s="26">
        <v>1.9414958079189685E-10</v>
      </c>
      <c r="Q56" s="14">
        <v>0.02</v>
      </c>
      <c r="R56" s="14">
        <f t="shared" si="10"/>
        <v>102000</v>
      </c>
      <c r="S56" s="14">
        <f t="shared" si="11"/>
        <v>96701.40991373721</v>
      </c>
      <c r="T56" s="14">
        <f t="shared" si="12"/>
        <v>96701.40991373721</v>
      </c>
      <c r="U56" s="14">
        <f t="shared" si="13"/>
        <v>5.36358238306597E-3</v>
      </c>
      <c r="V56" s="14">
        <v>0.13</v>
      </c>
      <c r="W56" s="14">
        <f t="shared" si="14"/>
        <v>112999.99999999999</v>
      </c>
      <c r="X56" s="14">
        <f t="shared" si="15"/>
        <v>21.539366336633663</v>
      </c>
      <c r="Y56" s="16">
        <f t="shared" si="16"/>
        <v>4.4556914805749883E-14</v>
      </c>
      <c r="Z56" s="16">
        <f t="shared" si="17"/>
        <v>26832174096.022579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spans="1:73" s="4" customFormat="1" x14ac:dyDescent="0.25">
      <c r="A57" s="1">
        <v>165</v>
      </c>
      <c r="B57" s="1">
        <f t="shared" si="1"/>
        <v>2.75</v>
      </c>
      <c r="C57" s="1">
        <v>20</v>
      </c>
      <c r="D57" s="1">
        <f t="shared" si="0"/>
        <v>29.146000000000001</v>
      </c>
      <c r="E57" s="1">
        <f t="shared" si="2"/>
        <v>4.8576666666666667E-7</v>
      </c>
      <c r="F57" s="1">
        <v>21.1</v>
      </c>
      <c r="G57" s="1">
        <f t="shared" si="3"/>
        <v>294.10000000000002</v>
      </c>
      <c r="H57" s="1">
        <v>101.3</v>
      </c>
      <c r="I57" s="1">
        <f t="shared" si="4"/>
        <v>101300</v>
      </c>
      <c r="J57" s="1">
        <f t="shared" si="5"/>
        <v>2.0124824921938581E-5</v>
      </c>
      <c r="K57" s="25">
        <v>186.6782178217822</v>
      </c>
      <c r="L57" s="2">
        <f t="shared" si="6"/>
        <v>1.8667821782178219E-4</v>
      </c>
      <c r="M57" s="3">
        <f t="shared" si="7"/>
        <v>4.7762865441819992E-3</v>
      </c>
      <c r="N57" s="52">
        <f t="shared" si="8"/>
        <v>7.8656638701443181E-7</v>
      </c>
      <c r="O57" s="26">
        <f t="shared" si="9"/>
        <v>2.032E-3</v>
      </c>
      <c r="P57" s="26">
        <v>1.9414958079189685E-10</v>
      </c>
      <c r="Q57" s="14">
        <v>0.02</v>
      </c>
      <c r="R57" s="14">
        <f t="shared" si="10"/>
        <v>102000</v>
      </c>
      <c r="S57" s="14">
        <f t="shared" si="11"/>
        <v>96809.38220541559</v>
      </c>
      <c r="T57" s="14">
        <f t="shared" si="12"/>
        <v>96809.38220541559</v>
      </c>
      <c r="U57" s="14">
        <f t="shared" si="13"/>
        <v>5.36358238306597E-3</v>
      </c>
      <c r="V57" s="14">
        <v>0.13</v>
      </c>
      <c r="W57" s="14">
        <f t="shared" si="14"/>
        <v>112999.99999999999</v>
      </c>
      <c r="X57" s="14">
        <f t="shared" si="15"/>
        <v>21.094638613861385</v>
      </c>
      <c r="Y57" s="16">
        <f t="shared" si="16"/>
        <v>4.3588059284453186E-14</v>
      </c>
      <c r="Z57" s="16">
        <f t="shared" si="17"/>
        <v>26248729301.09771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spans="1:73" s="4" customFormat="1" x14ac:dyDescent="0.25">
      <c r="A58" s="1">
        <v>168</v>
      </c>
      <c r="B58" s="1">
        <f t="shared" si="1"/>
        <v>2.8</v>
      </c>
      <c r="C58" s="1">
        <v>20</v>
      </c>
      <c r="D58" s="1">
        <f t="shared" si="0"/>
        <v>29.146000000000001</v>
      </c>
      <c r="E58" s="1">
        <f t="shared" si="2"/>
        <v>4.8576666666666667E-7</v>
      </c>
      <c r="F58" s="1">
        <v>21.1</v>
      </c>
      <c r="G58" s="1">
        <f t="shared" si="3"/>
        <v>294.10000000000002</v>
      </c>
      <c r="H58" s="1">
        <v>101.3</v>
      </c>
      <c r="I58" s="1">
        <f t="shared" si="4"/>
        <v>101300</v>
      </c>
      <c r="J58" s="1">
        <f t="shared" si="5"/>
        <v>2.0124824921938581E-5</v>
      </c>
      <c r="K58" s="25">
        <v>182.71782178217822</v>
      </c>
      <c r="L58" s="2">
        <f t="shared" si="6"/>
        <v>1.8271782178217821E-4</v>
      </c>
      <c r="M58" s="3">
        <f t="shared" si="7"/>
        <v>4.7762865441819992E-3</v>
      </c>
      <c r="N58" s="52">
        <f t="shared" si="8"/>
        <v>7.6987930675211913E-7</v>
      </c>
      <c r="O58" s="26">
        <f t="shared" si="9"/>
        <v>2.032E-3</v>
      </c>
      <c r="P58" s="26">
        <v>1.9414958079189685E-10</v>
      </c>
      <c r="Q58" s="14">
        <v>0.02</v>
      </c>
      <c r="R58" s="14">
        <f t="shared" si="10"/>
        <v>102000</v>
      </c>
      <c r="S58" s="14">
        <f t="shared" si="11"/>
        <v>96918.094382437514</v>
      </c>
      <c r="T58" s="14">
        <f t="shared" si="12"/>
        <v>96918.094382437514</v>
      </c>
      <c r="U58" s="14">
        <f t="shared" si="13"/>
        <v>5.36358238306597E-3</v>
      </c>
      <c r="V58" s="14">
        <v>0.13</v>
      </c>
      <c r="W58" s="14">
        <f t="shared" si="14"/>
        <v>112999.99999999999</v>
      </c>
      <c r="X58" s="14">
        <f t="shared" si="15"/>
        <v>20.647113861386135</v>
      </c>
      <c r="Y58" s="16">
        <f t="shared" si="16"/>
        <v>4.2615272158174227E-14</v>
      </c>
      <c r="Z58" s="16">
        <f t="shared" si="17"/>
        <v>25662916893.652519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spans="1:73" s="4" customFormat="1" x14ac:dyDescent="0.25">
      <c r="A59" s="1">
        <v>171</v>
      </c>
      <c r="B59" s="1">
        <f t="shared" si="1"/>
        <v>2.85</v>
      </c>
      <c r="C59" s="1">
        <v>20</v>
      </c>
      <c r="D59" s="1">
        <f t="shared" si="0"/>
        <v>29.146000000000001</v>
      </c>
      <c r="E59" s="1">
        <f t="shared" si="2"/>
        <v>4.8576666666666667E-7</v>
      </c>
      <c r="F59" s="1">
        <v>21.1</v>
      </c>
      <c r="G59" s="1">
        <f t="shared" si="3"/>
        <v>294.10000000000002</v>
      </c>
      <c r="H59" s="1">
        <v>101.3</v>
      </c>
      <c r="I59" s="1">
        <f t="shared" si="4"/>
        <v>101300</v>
      </c>
      <c r="J59" s="1">
        <f t="shared" si="5"/>
        <v>2.0124824921938581E-5</v>
      </c>
      <c r="K59" s="25">
        <v>172.44554455445547</v>
      </c>
      <c r="L59" s="2">
        <f t="shared" si="6"/>
        <v>1.7244554455445548E-4</v>
      </c>
      <c r="M59" s="3">
        <f t="shared" si="7"/>
        <v>4.7762865441819992E-3</v>
      </c>
      <c r="N59" s="52">
        <f t="shared" si="8"/>
        <v>7.2659719232174593E-7</v>
      </c>
      <c r="O59" s="26">
        <f t="shared" si="9"/>
        <v>2.032E-3</v>
      </c>
      <c r="P59" s="26">
        <v>1.9414958079189685E-10</v>
      </c>
      <c r="Q59" s="14">
        <v>0.02</v>
      </c>
      <c r="R59" s="14">
        <f t="shared" si="10"/>
        <v>102000</v>
      </c>
      <c r="S59" s="14">
        <f t="shared" si="11"/>
        <v>97200.350914055074</v>
      </c>
      <c r="T59" s="14">
        <f t="shared" si="12"/>
        <v>97200.350914055074</v>
      </c>
      <c r="U59" s="14">
        <f t="shared" si="13"/>
        <v>5.36358238306597E-3</v>
      </c>
      <c r="V59" s="14">
        <v>0.13</v>
      </c>
      <c r="W59" s="14">
        <f t="shared" si="14"/>
        <v>112999.99999999999</v>
      </c>
      <c r="X59" s="14">
        <f t="shared" si="15"/>
        <v>19.486346534653467</v>
      </c>
      <c r="Y59" s="16">
        <f t="shared" si="16"/>
        <v>4.0102173588035915E-14</v>
      </c>
      <c r="Z59" s="16">
        <f t="shared" si="17"/>
        <v>24149528934.715229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spans="1:73" s="4" customFormat="1" x14ac:dyDescent="0.25">
      <c r="A60" s="1">
        <v>174</v>
      </c>
      <c r="B60" s="1">
        <f t="shared" ref="B60:B82" si="18">(A60/60)</f>
        <v>2.9</v>
      </c>
      <c r="C60" s="1">
        <v>20</v>
      </c>
      <c r="D60" s="1">
        <f t="shared" ref="D60:D82" si="19">(C60*1.4573)</f>
        <v>29.146000000000001</v>
      </c>
      <c r="E60" s="1">
        <f t="shared" ref="E60:E82" si="20">(D60/(1000000*60))</f>
        <v>4.8576666666666667E-7</v>
      </c>
      <c r="F60" s="1">
        <v>21.1</v>
      </c>
      <c r="G60" s="1">
        <f t="shared" ref="G60:G82" si="21">(273+F60)</f>
        <v>294.10000000000002</v>
      </c>
      <c r="H60" s="1">
        <v>101.3</v>
      </c>
      <c r="I60" s="1">
        <f t="shared" ref="I60:I82" si="22">(H60*1000)</f>
        <v>101300</v>
      </c>
      <c r="J60" s="1">
        <f t="shared" ref="J60:J82" si="23">((I60*E60)/(8.314*G60))</f>
        <v>2.0124824921938581E-5</v>
      </c>
      <c r="K60" s="25">
        <v>182.69306930693071</v>
      </c>
      <c r="L60" s="2">
        <f t="shared" ref="L60:L82" si="24">(K60/1000000)</f>
        <v>1.8269306930693071E-4</v>
      </c>
      <c r="M60" s="3">
        <f t="shared" si="7"/>
        <v>4.7762865441819992E-3</v>
      </c>
      <c r="N60" s="52">
        <f t="shared" ref="N60:N82" si="25">(L60*J60)/M60</f>
        <v>7.6977501250047981E-7</v>
      </c>
      <c r="O60" s="26">
        <f t="shared" si="9"/>
        <v>2.032E-3</v>
      </c>
      <c r="P60" s="26">
        <v>1.94149580791897E-10</v>
      </c>
      <c r="Q60" s="14">
        <v>0.02</v>
      </c>
      <c r="R60" s="14">
        <f t="shared" ref="R60:R82" si="26">(1+Q60)*100000*1</f>
        <v>102000</v>
      </c>
      <c r="S60" s="14">
        <f t="shared" ref="S60:S82" si="27">(SQRT(R60)-(N60*O60/P60))^2</f>
        <v>96918.774025375911</v>
      </c>
      <c r="T60" s="14">
        <f t="shared" ref="T60:T82" si="28">(S60)</f>
        <v>96918.774025375911</v>
      </c>
      <c r="U60" s="14">
        <f t="shared" si="13"/>
        <v>5.36358238306597E-3</v>
      </c>
      <c r="V60" s="14">
        <v>0.13</v>
      </c>
      <c r="W60" s="14">
        <f t="shared" ref="W60:W82" si="29">(1+V60)*100000</f>
        <v>112999.99999999999</v>
      </c>
      <c r="X60" s="14">
        <f t="shared" ref="X60:X82" si="30">(L60*W60)</f>
        <v>20.644316831683167</v>
      </c>
      <c r="Y60" s="16">
        <f t="shared" ref="Y60:Y82" si="31">(N60*U60)/(T60-X60)</f>
        <v>4.2609199046366082E-14</v>
      </c>
      <c r="Z60" s="16">
        <f t="shared" ref="Z60:Z82" si="32">(Y60*6.022E+23)</f>
        <v>25659259665.721657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 s="4" customFormat="1" x14ac:dyDescent="0.25">
      <c r="A61" s="1">
        <v>177</v>
      </c>
      <c r="B61" s="1">
        <f t="shared" si="18"/>
        <v>2.95</v>
      </c>
      <c r="C61" s="1">
        <v>20</v>
      </c>
      <c r="D61" s="1">
        <f t="shared" si="19"/>
        <v>29.146000000000001</v>
      </c>
      <c r="E61" s="1">
        <f t="shared" si="20"/>
        <v>4.8576666666666667E-7</v>
      </c>
      <c r="F61" s="1">
        <v>21.1</v>
      </c>
      <c r="G61" s="1">
        <f t="shared" si="21"/>
        <v>294.10000000000002</v>
      </c>
      <c r="H61" s="1">
        <v>101.3</v>
      </c>
      <c r="I61" s="1">
        <f t="shared" si="22"/>
        <v>101300</v>
      </c>
      <c r="J61" s="1">
        <f t="shared" si="23"/>
        <v>2.0124824921938581E-5</v>
      </c>
      <c r="K61" s="25">
        <v>183.31188118811883</v>
      </c>
      <c r="L61" s="2">
        <f t="shared" si="24"/>
        <v>1.8331188118811883E-4</v>
      </c>
      <c r="M61" s="3">
        <f t="shared" si="7"/>
        <v>4.7762865441819992E-3</v>
      </c>
      <c r="N61" s="52">
        <f t="shared" si="25"/>
        <v>7.723823687914661E-7</v>
      </c>
      <c r="O61" s="26">
        <f t="shared" si="9"/>
        <v>2.032E-3</v>
      </c>
      <c r="P61" s="26">
        <v>1.94149580791897E-10</v>
      </c>
      <c r="Q61" s="14">
        <v>0.02</v>
      </c>
      <c r="R61" s="14">
        <f t="shared" si="26"/>
        <v>102000</v>
      </c>
      <c r="S61" s="14">
        <f t="shared" si="27"/>
        <v>96901.783666817573</v>
      </c>
      <c r="T61" s="14">
        <f t="shared" si="28"/>
        <v>96901.783666817573</v>
      </c>
      <c r="U61" s="14">
        <f t="shared" si="13"/>
        <v>5.36358238306597E-3</v>
      </c>
      <c r="V61" s="14">
        <v>0.13</v>
      </c>
      <c r="W61" s="14">
        <f t="shared" si="29"/>
        <v>112999.99999999999</v>
      </c>
      <c r="X61" s="14">
        <f t="shared" si="30"/>
        <v>20.714242574257426</v>
      </c>
      <c r="Y61" s="16">
        <f t="shared" si="31"/>
        <v>4.2761052193794232E-14</v>
      </c>
      <c r="Z61" s="16">
        <f t="shared" si="32"/>
        <v>25750705631.102886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s="4" customFormat="1" x14ac:dyDescent="0.25">
      <c r="A62" s="1">
        <v>180</v>
      </c>
      <c r="B62" s="1">
        <f t="shared" si="18"/>
        <v>3</v>
      </c>
      <c r="C62" s="1">
        <v>20</v>
      </c>
      <c r="D62" s="1">
        <f t="shared" si="19"/>
        <v>29.146000000000001</v>
      </c>
      <c r="E62" s="1">
        <f t="shared" si="20"/>
        <v>4.8576666666666667E-7</v>
      </c>
      <c r="F62" s="1">
        <v>21.1</v>
      </c>
      <c r="G62" s="1">
        <f t="shared" si="21"/>
        <v>294.10000000000002</v>
      </c>
      <c r="H62" s="1">
        <v>101.3</v>
      </c>
      <c r="I62" s="1">
        <f t="shared" si="22"/>
        <v>101300</v>
      </c>
      <c r="J62" s="1">
        <f t="shared" si="23"/>
        <v>2.0124824921938581E-5</v>
      </c>
      <c r="K62" s="25">
        <v>179.00495049504954</v>
      </c>
      <c r="L62" s="2">
        <f t="shared" si="24"/>
        <v>1.7900495049504955E-4</v>
      </c>
      <c r="M62" s="3">
        <f t="shared" si="7"/>
        <v>4.7762865441819992E-3</v>
      </c>
      <c r="N62" s="52">
        <f t="shared" si="25"/>
        <v>7.5423516900620124E-7</v>
      </c>
      <c r="O62" s="26">
        <f t="shared" si="9"/>
        <v>2.032E-3</v>
      </c>
      <c r="P62" s="26">
        <v>1.94149580791897E-10</v>
      </c>
      <c r="Q62" s="14">
        <v>0.02</v>
      </c>
      <c r="R62" s="14">
        <f t="shared" si="26"/>
        <v>102000</v>
      </c>
      <c r="S62" s="14">
        <f t="shared" si="27"/>
        <v>97020.067453297466</v>
      </c>
      <c r="T62" s="14">
        <f t="shared" si="28"/>
        <v>97020.067453297466</v>
      </c>
      <c r="U62" s="14">
        <f t="shared" si="13"/>
        <v>5.36358238306597E-3</v>
      </c>
      <c r="V62" s="14">
        <v>0.13</v>
      </c>
      <c r="W62" s="14">
        <f t="shared" si="29"/>
        <v>112999.99999999999</v>
      </c>
      <c r="X62" s="14">
        <f t="shared" si="30"/>
        <v>20.227559405940596</v>
      </c>
      <c r="Y62" s="16">
        <f t="shared" si="31"/>
        <v>4.1705248891088131E-14</v>
      </c>
      <c r="Z62" s="16">
        <f t="shared" si="32"/>
        <v>25114900882.213272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 s="4" customFormat="1" x14ac:dyDescent="0.25">
      <c r="A63" s="1">
        <v>183</v>
      </c>
      <c r="B63" s="1">
        <f t="shared" si="18"/>
        <v>3.05</v>
      </c>
      <c r="C63" s="1">
        <v>20</v>
      </c>
      <c r="D63" s="1">
        <f t="shared" si="19"/>
        <v>29.146000000000001</v>
      </c>
      <c r="E63" s="1">
        <f t="shared" si="20"/>
        <v>4.8576666666666667E-7</v>
      </c>
      <c r="F63" s="1">
        <v>21.1</v>
      </c>
      <c r="G63" s="1">
        <f t="shared" si="21"/>
        <v>294.10000000000002</v>
      </c>
      <c r="H63" s="1">
        <v>101.3</v>
      </c>
      <c r="I63" s="1">
        <f t="shared" si="22"/>
        <v>101300</v>
      </c>
      <c r="J63" s="1">
        <f t="shared" si="23"/>
        <v>2.0124824921938581E-5</v>
      </c>
      <c r="K63" s="25">
        <v>178.88118811881191</v>
      </c>
      <c r="L63" s="2">
        <f t="shared" si="24"/>
        <v>1.7888118811881191E-4</v>
      </c>
      <c r="M63" s="3">
        <f t="shared" si="7"/>
        <v>4.7762865441819992E-3</v>
      </c>
      <c r="N63" s="52">
        <f t="shared" si="25"/>
        <v>7.537136977480039E-7</v>
      </c>
      <c r="O63" s="26">
        <f t="shared" si="9"/>
        <v>2.032E-3</v>
      </c>
      <c r="P63" s="26">
        <v>1.94149580791897E-10</v>
      </c>
      <c r="Q63" s="14">
        <v>0.02</v>
      </c>
      <c r="R63" s="14">
        <f t="shared" si="26"/>
        <v>102000</v>
      </c>
      <c r="S63" s="14">
        <f t="shared" si="27"/>
        <v>97023.46747907449</v>
      </c>
      <c r="T63" s="14">
        <f t="shared" si="28"/>
        <v>97023.46747907449</v>
      </c>
      <c r="U63" s="14">
        <f t="shared" si="13"/>
        <v>5.36358238306597E-3</v>
      </c>
      <c r="V63" s="14">
        <v>0.13</v>
      </c>
      <c r="W63" s="14">
        <f t="shared" si="29"/>
        <v>112999.99999999999</v>
      </c>
      <c r="X63" s="14">
        <f t="shared" si="30"/>
        <v>20.213574257425744</v>
      </c>
      <c r="Y63" s="16">
        <f t="shared" si="31"/>
        <v>4.1674947472210024E-14</v>
      </c>
      <c r="Z63" s="16">
        <f t="shared" si="32"/>
        <v>25096653367.764877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s="4" customFormat="1" x14ac:dyDescent="0.25">
      <c r="A64" s="1">
        <v>186</v>
      </c>
      <c r="B64" s="1">
        <f t="shared" si="18"/>
        <v>3.1</v>
      </c>
      <c r="C64" s="1">
        <v>20</v>
      </c>
      <c r="D64" s="1">
        <f t="shared" si="19"/>
        <v>29.146000000000001</v>
      </c>
      <c r="E64" s="1">
        <f t="shared" si="20"/>
        <v>4.8576666666666667E-7</v>
      </c>
      <c r="F64" s="1">
        <v>21.1</v>
      </c>
      <c r="G64" s="1">
        <f t="shared" si="21"/>
        <v>294.10000000000002</v>
      </c>
      <c r="H64" s="1">
        <v>101.3</v>
      </c>
      <c r="I64" s="1">
        <f t="shared" si="22"/>
        <v>101300</v>
      </c>
      <c r="J64" s="1">
        <f t="shared" si="23"/>
        <v>2.0124824921938581E-5</v>
      </c>
      <c r="K64" s="25">
        <v>184.87128712871291</v>
      </c>
      <c r="L64" s="2">
        <f t="shared" si="24"/>
        <v>1.8487128712871289E-4</v>
      </c>
      <c r="M64" s="3">
        <f t="shared" si="7"/>
        <v>4.7762865441819992E-3</v>
      </c>
      <c r="N64" s="52">
        <f t="shared" si="25"/>
        <v>7.7895290664475166E-7</v>
      </c>
      <c r="O64" s="26">
        <f t="shared" si="9"/>
        <v>2.032E-3</v>
      </c>
      <c r="P64" s="26">
        <v>1.94149580791897E-10</v>
      </c>
      <c r="Q64" s="14">
        <v>0.02</v>
      </c>
      <c r="R64" s="14">
        <f t="shared" si="26"/>
        <v>102000</v>
      </c>
      <c r="S64" s="14">
        <f t="shared" si="27"/>
        <v>96858.974568944599</v>
      </c>
      <c r="T64" s="14">
        <f t="shared" si="28"/>
        <v>96858.974568944599</v>
      </c>
      <c r="U64" s="14">
        <f t="shared" si="13"/>
        <v>5.36358238306597E-3</v>
      </c>
      <c r="V64" s="14">
        <v>0.13</v>
      </c>
      <c r="W64" s="14">
        <f t="shared" si="29"/>
        <v>112999.99999999999</v>
      </c>
      <c r="X64" s="14">
        <f t="shared" si="30"/>
        <v>20.890455445544553</v>
      </c>
      <c r="Y64" s="16">
        <f t="shared" si="31"/>
        <v>4.3143956487418972E-14</v>
      </c>
      <c r="Z64" s="16">
        <f t="shared" si="32"/>
        <v>25981290596.723705</v>
      </c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spans="1:73" s="4" customFormat="1" x14ac:dyDescent="0.25">
      <c r="A65" s="1">
        <v>189</v>
      </c>
      <c r="B65" s="1">
        <f t="shared" si="18"/>
        <v>3.15</v>
      </c>
      <c r="C65" s="1">
        <v>20</v>
      </c>
      <c r="D65" s="1">
        <f t="shared" si="19"/>
        <v>29.146000000000001</v>
      </c>
      <c r="E65" s="1">
        <f t="shared" si="20"/>
        <v>4.8576666666666667E-7</v>
      </c>
      <c r="F65" s="1">
        <v>21.1</v>
      </c>
      <c r="G65" s="1">
        <f t="shared" si="21"/>
        <v>294.10000000000002</v>
      </c>
      <c r="H65" s="1">
        <v>101.3</v>
      </c>
      <c r="I65" s="1">
        <f t="shared" si="22"/>
        <v>101300</v>
      </c>
      <c r="J65" s="1">
        <f t="shared" si="23"/>
        <v>2.0124824921938581E-5</v>
      </c>
      <c r="K65" s="25">
        <v>184.1782178217822</v>
      </c>
      <c r="L65" s="2">
        <f t="shared" si="24"/>
        <v>1.8417821782178219E-4</v>
      </c>
      <c r="M65" s="3">
        <f t="shared" si="7"/>
        <v>4.7762865441819992E-3</v>
      </c>
      <c r="N65" s="52">
        <f t="shared" si="25"/>
        <v>7.7603266759884698E-7</v>
      </c>
      <c r="O65" s="26">
        <f t="shared" si="9"/>
        <v>2.032E-3</v>
      </c>
      <c r="P65" s="26">
        <v>1.94149580791897E-10</v>
      </c>
      <c r="Q65" s="14">
        <v>0.02</v>
      </c>
      <c r="R65" s="14">
        <f t="shared" si="26"/>
        <v>102000</v>
      </c>
      <c r="S65" s="14">
        <f t="shared" si="27"/>
        <v>96877.99966699272</v>
      </c>
      <c r="T65" s="14">
        <f t="shared" si="28"/>
        <v>96877.99966699272</v>
      </c>
      <c r="U65" s="14">
        <f t="shared" si="13"/>
        <v>5.36358238306597E-3</v>
      </c>
      <c r="V65" s="14">
        <v>0.13</v>
      </c>
      <c r="W65" s="14">
        <f t="shared" si="29"/>
        <v>112999.99999999999</v>
      </c>
      <c r="X65" s="14">
        <f t="shared" si="30"/>
        <v>20.812138613861386</v>
      </c>
      <c r="Y65" s="16">
        <f t="shared" si="31"/>
        <v>4.2973735360603158E-14</v>
      </c>
      <c r="Z65" s="16">
        <f t="shared" si="32"/>
        <v>25878783434.155224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spans="1:73" s="4" customFormat="1" x14ac:dyDescent="0.25">
      <c r="A66" s="1">
        <v>192</v>
      </c>
      <c r="B66" s="1">
        <f t="shared" si="18"/>
        <v>3.2</v>
      </c>
      <c r="C66" s="1">
        <v>20</v>
      </c>
      <c r="D66" s="1">
        <f t="shared" si="19"/>
        <v>29.146000000000001</v>
      </c>
      <c r="E66" s="1">
        <f t="shared" si="20"/>
        <v>4.8576666666666667E-7</v>
      </c>
      <c r="F66" s="1">
        <v>21.1</v>
      </c>
      <c r="G66" s="1">
        <f t="shared" si="21"/>
        <v>294.10000000000002</v>
      </c>
      <c r="H66" s="1">
        <v>101.3</v>
      </c>
      <c r="I66" s="1">
        <f t="shared" si="22"/>
        <v>101300</v>
      </c>
      <c r="J66" s="1">
        <f t="shared" si="23"/>
        <v>2.0124824921938581E-5</v>
      </c>
      <c r="K66" s="25">
        <v>180.76237623762378</v>
      </c>
      <c r="L66" s="2">
        <f t="shared" si="24"/>
        <v>1.8076237623762379E-4</v>
      </c>
      <c r="M66" s="3">
        <f t="shared" si="7"/>
        <v>4.7762865441819992E-3</v>
      </c>
      <c r="N66" s="52">
        <f t="shared" si="25"/>
        <v>7.6164006087260243E-7</v>
      </c>
      <c r="O66" s="26">
        <f t="shared" si="9"/>
        <v>2.032E-3</v>
      </c>
      <c r="P66" s="26">
        <v>1.94149580791897E-10</v>
      </c>
      <c r="Q66" s="14">
        <v>0.02</v>
      </c>
      <c r="R66" s="14">
        <f t="shared" si="26"/>
        <v>102000</v>
      </c>
      <c r="S66" s="14">
        <f t="shared" si="27"/>
        <v>96971.793516615246</v>
      </c>
      <c r="T66" s="14">
        <f t="shared" si="28"/>
        <v>96971.793516615246</v>
      </c>
      <c r="U66" s="14">
        <f t="shared" si="13"/>
        <v>5.36358238306597E-3</v>
      </c>
      <c r="V66" s="14">
        <v>0.13</v>
      </c>
      <c r="W66" s="14">
        <f t="shared" si="29"/>
        <v>112999.99999999999</v>
      </c>
      <c r="X66" s="14">
        <f t="shared" si="30"/>
        <v>20.426148514851487</v>
      </c>
      <c r="Y66" s="16">
        <f t="shared" si="31"/>
        <v>4.2135756551255172E-14</v>
      </c>
      <c r="Z66" s="16">
        <f t="shared" si="32"/>
        <v>25374152595.165867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spans="1:73" s="4" customFormat="1" x14ac:dyDescent="0.25">
      <c r="A67" s="1">
        <v>195</v>
      </c>
      <c r="B67" s="1">
        <f t="shared" si="18"/>
        <v>3.25</v>
      </c>
      <c r="C67" s="1">
        <v>20</v>
      </c>
      <c r="D67" s="1">
        <f t="shared" si="19"/>
        <v>29.146000000000001</v>
      </c>
      <c r="E67" s="1">
        <f t="shared" si="20"/>
        <v>4.8576666666666667E-7</v>
      </c>
      <c r="F67" s="1">
        <v>21.1</v>
      </c>
      <c r="G67" s="1">
        <f t="shared" si="21"/>
        <v>294.10000000000002</v>
      </c>
      <c r="H67" s="1">
        <v>101.3</v>
      </c>
      <c r="I67" s="1">
        <f t="shared" si="22"/>
        <v>101300</v>
      </c>
      <c r="J67" s="1">
        <f t="shared" si="23"/>
        <v>2.0124824921938581E-5</v>
      </c>
      <c r="K67" s="25">
        <v>183.70792079207922</v>
      </c>
      <c r="L67" s="2">
        <f t="shared" si="24"/>
        <v>1.8370792079207922E-4</v>
      </c>
      <c r="M67" s="3">
        <f t="shared" ref="M67:M82" si="33">(3.142*3.07*3.07*25.4*25.4)/(4*1000000)</f>
        <v>4.7762865441819992E-3</v>
      </c>
      <c r="N67" s="52">
        <f t="shared" si="25"/>
        <v>7.7405107681769724E-7</v>
      </c>
      <c r="O67" s="26">
        <f t="shared" ref="O67:O82" si="34">(2.032/1000)</f>
        <v>2.032E-3</v>
      </c>
      <c r="P67" s="26">
        <v>1.94149580791897E-10</v>
      </c>
      <c r="Q67" s="14">
        <v>0.02</v>
      </c>
      <c r="R67" s="14">
        <f t="shared" si="26"/>
        <v>102000</v>
      </c>
      <c r="S67" s="14">
        <f t="shared" si="27"/>
        <v>96890.910618966358</v>
      </c>
      <c r="T67" s="14">
        <f t="shared" si="28"/>
        <v>96890.910618966358</v>
      </c>
      <c r="U67" s="14">
        <f t="shared" ref="U67:U82" si="35">(5.36358238306597/1000)</f>
        <v>5.36358238306597E-3</v>
      </c>
      <c r="V67" s="14">
        <v>0.13</v>
      </c>
      <c r="W67" s="14">
        <f t="shared" si="29"/>
        <v>112999.99999999999</v>
      </c>
      <c r="X67" s="14">
        <f t="shared" si="30"/>
        <v>20.75899504950495</v>
      </c>
      <c r="Y67" s="16">
        <f t="shared" si="31"/>
        <v>4.2858265932430002E-14</v>
      </c>
      <c r="Z67" s="16">
        <f t="shared" si="32"/>
        <v>25809247744.50935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s="4" customFormat="1" x14ac:dyDescent="0.25">
      <c r="A68" s="1">
        <v>198</v>
      </c>
      <c r="B68" s="1">
        <f t="shared" si="18"/>
        <v>3.3</v>
      </c>
      <c r="C68" s="1">
        <v>20</v>
      </c>
      <c r="D68" s="1">
        <f t="shared" si="19"/>
        <v>29.146000000000001</v>
      </c>
      <c r="E68" s="1">
        <f t="shared" si="20"/>
        <v>4.8576666666666667E-7</v>
      </c>
      <c r="F68" s="1">
        <v>21.1</v>
      </c>
      <c r="G68" s="1">
        <f t="shared" si="21"/>
        <v>294.10000000000002</v>
      </c>
      <c r="H68" s="1">
        <v>101.3</v>
      </c>
      <c r="I68" s="1">
        <f t="shared" si="22"/>
        <v>101300</v>
      </c>
      <c r="J68" s="1">
        <f t="shared" si="23"/>
        <v>2.0124824921938581E-5</v>
      </c>
      <c r="K68" s="25">
        <v>180.11881188118815</v>
      </c>
      <c r="L68" s="2">
        <f t="shared" si="24"/>
        <v>1.8011881188118815E-4</v>
      </c>
      <c r="M68" s="3">
        <f t="shared" si="33"/>
        <v>4.7762865441819992E-3</v>
      </c>
      <c r="N68" s="52">
        <f t="shared" si="25"/>
        <v>7.589284103299766E-7</v>
      </c>
      <c r="O68" s="26">
        <f t="shared" si="34"/>
        <v>2.032E-3</v>
      </c>
      <c r="P68" s="26">
        <v>1.94149580791897E-10</v>
      </c>
      <c r="Q68" s="14">
        <v>0.02</v>
      </c>
      <c r="R68" s="14">
        <f t="shared" si="26"/>
        <v>102000</v>
      </c>
      <c r="S68" s="14">
        <f t="shared" si="27"/>
        <v>96989.469902186509</v>
      </c>
      <c r="T68" s="14">
        <f t="shared" si="28"/>
        <v>96989.469902186509</v>
      </c>
      <c r="U68" s="14">
        <f t="shared" si="35"/>
        <v>5.36358238306597E-3</v>
      </c>
      <c r="V68" s="14">
        <v>0.13</v>
      </c>
      <c r="W68" s="14">
        <f t="shared" si="29"/>
        <v>112999.99999999999</v>
      </c>
      <c r="X68" s="14">
        <f t="shared" si="30"/>
        <v>20.35342574257426</v>
      </c>
      <c r="Y68" s="16">
        <f t="shared" si="31"/>
        <v>4.1978056514962294E-14</v>
      </c>
      <c r="Z68" s="16">
        <f t="shared" si="32"/>
        <v>25279185633.310295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spans="1:73" s="4" customFormat="1" x14ac:dyDescent="0.25">
      <c r="A69" s="1">
        <v>201</v>
      </c>
      <c r="B69" s="1">
        <f t="shared" si="18"/>
        <v>3.35</v>
      </c>
      <c r="C69" s="1">
        <v>20</v>
      </c>
      <c r="D69" s="1">
        <f t="shared" si="19"/>
        <v>29.146000000000001</v>
      </c>
      <c r="E69" s="1">
        <f t="shared" si="20"/>
        <v>4.8576666666666667E-7</v>
      </c>
      <c r="F69" s="1">
        <v>21.1</v>
      </c>
      <c r="G69" s="1">
        <f t="shared" si="21"/>
        <v>294.10000000000002</v>
      </c>
      <c r="H69" s="1">
        <v>101.3</v>
      </c>
      <c r="I69" s="1">
        <f t="shared" si="22"/>
        <v>101300</v>
      </c>
      <c r="J69" s="1">
        <f t="shared" si="23"/>
        <v>2.0124824921938581E-5</v>
      </c>
      <c r="K69" s="25">
        <v>182.59405940594061</v>
      </c>
      <c r="L69" s="2">
        <f t="shared" si="24"/>
        <v>1.8259405940594062E-4</v>
      </c>
      <c r="M69" s="3">
        <f t="shared" si="33"/>
        <v>4.7762865441819992E-3</v>
      </c>
      <c r="N69" s="52">
        <f t="shared" si="25"/>
        <v>7.6935783549392199E-7</v>
      </c>
      <c r="O69" s="26">
        <f t="shared" si="34"/>
        <v>2.032E-3</v>
      </c>
      <c r="P69" s="26">
        <v>1.94149580791897E-10</v>
      </c>
      <c r="Q69" s="14">
        <v>0.02</v>
      </c>
      <c r="R69" s="14">
        <f t="shared" si="26"/>
        <v>102000</v>
      </c>
      <c r="S69" s="14">
        <f t="shared" si="27"/>
        <v>96921.492620959631</v>
      </c>
      <c r="T69" s="14">
        <f t="shared" si="28"/>
        <v>96921.492620959631</v>
      </c>
      <c r="U69" s="14">
        <f t="shared" si="35"/>
        <v>5.36358238306597E-3</v>
      </c>
      <c r="V69" s="14">
        <v>0.13</v>
      </c>
      <c r="W69" s="14">
        <f t="shared" si="29"/>
        <v>112999.99999999999</v>
      </c>
      <c r="X69" s="14">
        <f t="shared" si="30"/>
        <v>20.633128712871287</v>
      </c>
      <c r="Y69" s="16">
        <f t="shared" si="31"/>
        <v>4.2584907444078323E-14</v>
      </c>
      <c r="Z69" s="16">
        <f t="shared" si="32"/>
        <v>25644631262.823967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spans="1:73" s="4" customFormat="1" x14ac:dyDescent="0.25">
      <c r="A70" s="1">
        <v>204</v>
      </c>
      <c r="B70" s="1">
        <f t="shared" si="18"/>
        <v>3.4</v>
      </c>
      <c r="C70" s="1">
        <v>20</v>
      </c>
      <c r="D70" s="1">
        <f t="shared" si="19"/>
        <v>29.146000000000001</v>
      </c>
      <c r="E70" s="1">
        <f t="shared" si="20"/>
        <v>4.8576666666666667E-7</v>
      </c>
      <c r="F70" s="1">
        <v>21.1</v>
      </c>
      <c r="G70" s="1">
        <f t="shared" si="21"/>
        <v>294.10000000000002</v>
      </c>
      <c r="H70" s="1">
        <v>101.3</v>
      </c>
      <c r="I70" s="1">
        <f t="shared" si="22"/>
        <v>101300</v>
      </c>
      <c r="J70" s="1">
        <f t="shared" si="23"/>
        <v>2.0124824921938581E-5</v>
      </c>
      <c r="K70" s="25">
        <v>175.41584158415841</v>
      </c>
      <c r="L70" s="2">
        <f t="shared" si="24"/>
        <v>1.7541584158415843E-4</v>
      </c>
      <c r="M70" s="3">
        <f t="shared" si="33"/>
        <v>4.7762865441819992E-3</v>
      </c>
      <c r="N70" s="52">
        <f t="shared" si="25"/>
        <v>7.3911250251848038E-7</v>
      </c>
      <c r="O70" s="26">
        <f t="shared" si="34"/>
        <v>2.032E-3</v>
      </c>
      <c r="P70" s="26">
        <v>1.94149580791897E-10</v>
      </c>
      <c r="Q70" s="14">
        <v>0.02</v>
      </c>
      <c r="R70" s="14">
        <f t="shared" si="26"/>
        <v>102000</v>
      </c>
      <c r="S70" s="14">
        <f t="shared" si="27"/>
        <v>97118.692388347612</v>
      </c>
      <c r="T70" s="14">
        <f t="shared" si="28"/>
        <v>97118.692388347612</v>
      </c>
      <c r="U70" s="14">
        <f t="shared" si="35"/>
        <v>5.36358238306597E-3</v>
      </c>
      <c r="V70" s="14">
        <v>0.13</v>
      </c>
      <c r="W70" s="14">
        <f t="shared" si="29"/>
        <v>112999.99999999999</v>
      </c>
      <c r="X70" s="14">
        <f t="shared" si="30"/>
        <v>19.821990099009899</v>
      </c>
      <c r="Y70" s="16">
        <f t="shared" si="31"/>
        <v>4.0827362680456362E-14</v>
      </c>
      <c r="Z70" s="16">
        <f t="shared" si="32"/>
        <v>24586237806.170822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spans="1:73" s="4" customFormat="1" x14ac:dyDescent="0.25">
      <c r="A71" s="1">
        <v>207</v>
      </c>
      <c r="B71" s="1">
        <f t="shared" si="18"/>
        <v>3.45</v>
      </c>
      <c r="C71" s="1">
        <v>20</v>
      </c>
      <c r="D71" s="1">
        <f t="shared" si="19"/>
        <v>29.146000000000001</v>
      </c>
      <c r="E71" s="1">
        <f t="shared" si="20"/>
        <v>4.8576666666666667E-7</v>
      </c>
      <c r="F71" s="1">
        <v>21.1</v>
      </c>
      <c r="G71" s="1">
        <f t="shared" si="21"/>
        <v>294.10000000000002</v>
      </c>
      <c r="H71" s="1">
        <v>101.3</v>
      </c>
      <c r="I71" s="1">
        <f t="shared" si="22"/>
        <v>101300</v>
      </c>
      <c r="J71" s="1">
        <f t="shared" si="23"/>
        <v>2.0124824921938581E-5</v>
      </c>
      <c r="K71" s="25">
        <v>182.39603960396042</v>
      </c>
      <c r="L71" s="2">
        <f t="shared" si="24"/>
        <v>1.8239603960396042E-4</v>
      </c>
      <c r="M71" s="3">
        <f t="shared" si="33"/>
        <v>4.7762865441819992E-3</v>
      </c>
      <c r="N71" s="52">
        <f t="shared" si="25"/>
        <v>7.6852348148080637E-7</v>
      </c>
      <c r="O71" s="26">
        <f t="shared" si="34"/>
        <v>2.032E-3</v>
      </c>
      <c r="P71" s="26">
        <v>1.94149580791897E-10</v>
      </c>
      <c r="Q71" s="14">
        <v>0.02</v>
      </c>
      <c r="R71" s="14">
        <f t="shared" si="26"/>
        <v>102000</v>
      </c>
      <c r="S71" s="14">
        <f t="shared" si="27"/>
        <v>96926.929926511366</v>
      </c>
      <c r="T71" s="14">
        <f t="shared" si="28"/>
        <v>96926.929926511366</v>
      </c>
      <c r="U71" s="14">
        <f t="shared" si="35"/>
        <v>5.36358238306597E-3</v>
      </c>
      <c r="V71" s="14">
        <v>0.13</v>
      </c>
      <c r="W71" s="14">
        <f t="shared" si="29"/>
        <v>112999.99999999999</v>
      </c>
      <c r="X71" s="14">
        <f t="shared" si="30"/>
        <v>20.610752475247523</v>
      </c>
      <c r="Y71" s="16">
        <f t="shared" si="31"/>
        <v>4.2536328294960014E-14</v>
      </c>
      <c r="Z71" s="16">
        <f t="shared" si="32"/>
        <v>25615376899.224922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spans="1:73" s="4" customFormat="1" x14ac:dyDescent="0.25">
      <c r="A72" s="1">
        <v>210</v>
      </c>
      <c r="B72" s="1">
        <f t="shared" si="18"/>
        <v>3.5</v>
      </c>
      <c r="C72" s="1">
        <v>20</v>
      </c>
      <c r="D72" s="1">
        <f t="shared" si="19"/>
        <v>29.146000000000001</v>
      </c>
      <c r="E72" s="1">
        <f t="shared" si="20"/>
        <v>4.8576666666666667E-7</v>
      </c>
      <c r="F72" s="1">
        <v>21.1</v>
      </c>
      <c r="G72" s="1">
        <f t="shared" si="21"/>
        <v>294.10000000000002</v>
      </c>
      <c r="H72" s="1">
        <v>101.3</v>
      </c>
      <c r="I72" s="1">
        <f t="shared" si="22"/>
        <v>101300</v>
      </c>
      <c r="J72" s="1">
        <f t="shared" si="23"/>
        <v>2.0124824921938581E-5</v>
      </c>
      <c r="K72" s="25">
        <v>177.17326732673271</v>
      </c>
      <c r="L72" s="2">
        <f t="shared" si="24"/>
        <v>1.7717326732673272E-4</v>
      </c>
      <c r="M72" s="3">
        <f t="shared" si="33"/>
        <v>4.7762865441819992E-3</v>
      </c>
      <c r="N72" s="52">
        <f t="shared" si="25"/>
        <v>7.4651739438488167E-7</v>
      </c>
      <c r="O72" s="26">
        <f t="shared" si="34"/>
        <v>2.032E-3</v>
      </c>
      <c r="P72" s="26">
        <v>1.94149580791897E-10</v>
      </c>
      <c r="Q72" s="14">
        <v>0.02</v>
      </c>
      <c r="R72" s="14">
        <f t="shared" si="26"/>
        <v>102000</v>
      </c>
      <c r="S72" s="14">
        <f t="shared" si="27"/>
        <v>97070.393918613161</v>
      </c>
      <c r="T72" s="14">
        <f t="shared" si="28"/>
        <v>97070.393918613161</v>
      </c>
      <c r="U72" s="14">
        <f t="shared" si="35"/>
        <v>5.36358238306597E-3</v>
      </c>
      <c r="V72" s="14">
        <v>0.13</v>
      </c>
      <c r="W72" s="14">
        <f t="shared" si="29"/>
        <v>112999.99999999999</v>
      </c>
      <c r="X72" s="14">
        <f t="shared" si="30"/>
        <v>20.020579207920797</v>
      </c>
      <c r="Y72" s="16">
        <f t="shared" si="31"/>
        <v>4.1257003011953586E-14</v>
      </c>
      <c r="Z72" s="16">
        <f t="shared" si="32"/>
        <v>24844967213.79845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1:73" s="4" customFormat="1" x14ac:dyDescent="0.25">
      <c r="A73" s="1">
        <v>213</v>
      </c>
      <c r="B73" s="1">
        <f t="shared" si="18"/>
        <v>3.55</v>
      </c>
      <c r="C73" s="1">
        <v>20</v>
      </c>
      <c r="D73" s="1">
        <f t="shared" si="19"/>
        <v>29.146000000000001</v>
      </c>
      <c r="E73" s="1">
        <f t="shared" si="20"/>
        <v>4.8576666666666667E-7</v>
      </c>
      <c r="F73" s="1">
        <v>21.1</v>
      </c>
      <c r="G73" s="1">
        <f t="shared" si="21"/>
        <v>294.10000000000002</v>
      </c>
      <c r="H73" s="1">
        <v>101.3</v>
      </c>
      <c r="I73" s="1">
        <f t="shared" si="22"/>
        <v>101300</v>
      </c>
      <c r="J73" s="1">
        <f t="shared" si="23"/>
        <v>2.0124824921938581E-5</v>
      </c>
      <c r="K73" s="25">
        <v>188.36138613861388</v>
      </c>
      <c r="L73" s="2">
        <f t="shared" si="24"/>
        <v>1.8836138613861388E-4</v>
      </c>
      <c r="M73" s="3">
        <f t="shared" si="33"/>
        <v>4.7762865441819992E-3</v>
      </c>
      <c r="N73" s="52">
        <f t="shared" si="25"/>
        <v>7.936583961259146E-7</v>
      </c>
      <c r="O73" s="26">
        <f t="shared" si="34"/>
        <v>2.032E-3</v>
      </c>
      <c r="P73" s="26">
        <v>1.94149580791897E-10</v>
      </c>
      <c r="Q73" s="14">
        <v>0.02</v>
      </c>
      <c r="R73" s="14">
        <f t="shared" si="26"/>
        <v>102000</v>
      </c>
      <c r="S73" s="14">
        <f t="shared" si="27"/>
        <v>96763.198003247904</v>
      </c>
      <c r="T73" s="14">
        <f t="shared" si="28"/>
        <v>96763.198003247904</v>
      </c>
      <c r="U73" s="14">
        <f t="shared" si="35"/>
        <v>5.36358238306597E-3</v>
      </c>
      <c r="V73" s="14">
        <v>0.13</v>
      </c>
      <c r="W73" s="14">
        <f t="shared" si="29"/>
        <v>112999.99999999999</v>
      </c>
      <c r="X73" s="14">
        <f t="shared" si="30"/>
        <v>21.284836633663364</v>
      </c>
      <c r="Y73" s="16">
        <f t="shared" si="31"/>
        <v>4.4002150177679086E-14</v>
      </c>
      <c r="Z73" s="16">
        <f t="shared" si="32"/>
        <v>26498094836.998348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spans="1:73" s="4" customFormat="1" x14ac:dyDescent="0.25">
      <c r="A74" s="1">
        <v>216</v>
      </c>
      <c r="B74" s="1">
        <f t="shared" si="18"/>
        <v>3.6</v>
      </c>
      <c r="C74" s="1">
        <v>20</v>
      </c>
      <c r="D74" s="1">
        <f t="shared" si="19"/>
        <v>29.146000000000001</v>
      </c>
      <c r="E74" s="1">
        <f t="shared" si="20"/>
        <v>4.8576666666666667E-7</v>
      </c>
      <c r="F74" s="1">
        <v>21.1</v>
      </c>
      <c r="G74" s="1">
        <f t="shared" si="21"/>
        <v>294.10000000000002</v>
      </c>
      <c r="H74" s="1">
        <v>101.3</v>
      </c>
      <c r="I74" s="1">
        <f t="shared" si="22"/>
        <v>101300</v>
      </c>
      <c r="J74" s="1">
        <f t="shared" si="23"/>
        <v>2.0124824921938581E-5</v>
      </c>
      <c r="K74" s="25">
        <v>182.07425742574259</v>
      </c>
      <c r="L74" s="2">
        <f t="shared" si="24"/>
        <v>1.8207425742574259E-4</v>
      </c>
      <c r="M74" s="3">
        <f t="shared" si="33"/>
        <v>4.7762865441819992E-3</v>
      </c>
      <c r="N74" s="52">
        <f t="shared" si="25"/>
        <v>7.671676562094934E-7</v>
      </c>
      <c r="O74" s="26">
        <f t="shared" si="34"/>
        <v>2.032E-3</v>
      </c>
      <c r="P74" s="26">
        <v>1.94149580791897E-10</v>
      </c>
      <c r="Q74" s="14">
        <v>0.02</v>
      </c>
      <c r="R74" s="14">
        <f t="shared" si="26"/>
        <v>102000</v>
      </c>
      <c r="S74" s="14">
        <f t="shared" si="27"/>
        <v>96935.765873313372</v>
      </c>
      <c r="T74" s="14">
        <f t="shared" si="28"/>
        <v>96935.765873313372</v>
      </c>
      <c r="U74" s="14">
        <f t="shared" si="35"/>
        <v>5.36358238306597E-3</v>
      </c>
      <c r="V74" s="14">
        <v>0.13</v>
      </c>
      <c r="W74" s="14">
        <f t="shared" si="29"/>
        <v>112999.99999999999</v>
      </c>
      <c r="X74" s="14">
        <f t="shared" si="30"/>
        <v>20.574391089108911</v>
      </c>
      <c r="Y74" s="16">
        <f t="shared" si="31"/>
        <v>4.245739870882844E-14</v>
      </c>
      <c r="Z74" s="16">
        <f t="shared" si="32"/>
        <v>25567845502.45649</v>
      </c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spans="1:73" s="4" customFormat="1" x14ac:dyDescent="0.25">
      <c r="A75" s="1">
        <v>219</v>
      </c>
      <c r="B75" s="1">
        <f t="shared" si="18"/>
        <v>3.65</v>
      </c>
      <c r="C75" s="1">
        <v>20</v>
      </c>
      <c r="D75" s="1">
        <f t="shared" si="19"/>
        <v>29.146000000000001</v>
      </c>
      <c r="E75" s="1">
        <f t="shared" si="20"/>
        <v>4.8576666666666667E-7</v>
      </c>
      <c r="F75" s="1">
        <v>21.1</v>
      </c>
      <c r="G75" s="1">
        <f t="shared" si="21"/>
        <v>294.10000000000002</v>
      </c>
      <c r="H75" s="1">
        <v>101.3</v>
      </c>
      <c r="I75" s="1">
        <f t="shared" si="22"/>
        <v>101300</v>
      </c>
      <c r="J75" s="1">
        <f t="shared" si="23"/>
        <v>2.0124824921938581E-5</v>
      </c>
      <c r="K75" s="25">
        <v>172.37128712871291</v>
      </c>
      <c r="L75" s="2">
        <f t="shared" si="24"/>
        <v>1.7237128712871292E-4</v>
      </c>
      <c r="M75" s="3">
        <f t="shared" si="33"/>
        <v>4.7762865441819992E-3</v>
      </c>
      <c r="N75" s="52">
        <f t="shared" si="25"/>
        <v>7.2628430956682765E-7</v>
      </c>
      <c r="O75" s="26">
        <f t="shared" si="34"/>
        <v>2.032E-3</v>
      </c>
      <c r="P75" s="26">
        <v>1.94149580791897E-10</v>
      </c>
      <c r="Q75" s="14">
        <v>0.02</v>
      </c>
      <c r="R75" s="14">
        <f t="shared" si="26"/>
        <v>102000</v>
      </c>
      <c r="S75" s="14">
        <f t="shared" si="27"/>
        <v>97202.392816862455</v>
      </c>
      <c r="T75" s="14">
        <f t="shared" si="28"/>
        <v>97202.392816862455</v>
      </c>
      <c r="U75" s="14">
        <f t="shared" si="35"/>
        <v>5.36358238306597E-3</v>
      </c>
      <c r="V75" s="14">
        <v>0.13</v>
      </c>
      <c r="W75" s="14">
        <f t="shared" si="29"/>
        <v>112999.99999999999</v>
      </c>
      <c r="X75" s="14">
        <f t="shared" si="30"/>
        <v>19.477955445544556</v>
      </c>
      <c r="Y75" s="16">
        <f t="shared" si="31"/>
        <v>4.0084059358014121E-14</v>
      </c>
      <c r="Z75" s="16">
        <f t="shared" si="32"/>
        <v>24138620545.396103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spans="1:73" s="4" customFormat="1" x14ac:dyDescent="0.25">
      <c r="A76" s="1">
        <v>222</v>
      </c>
      <c r="B76" s="1">
        <f t="shared" si="18"/>
        <v>3.7</v>
      </c>
      <c r="C76" s="1">
        <v>20</v>
      </c>
      <c r="D76" s="1">
        <f t="shared" si="19"/>
        <v>29.146000000000001</v>
      </c>
      <c r="E76" s="1">
        <f t="shared" si="20"/>
        <v>4.8576666666666667E-7</v>
      </c>
      <c r="F76" s="1">
        <v>21.1</v>
      </c>
      <c r="G76" s="1">
        <f t="shared" si="21"/>
        <v>294.10000000000002</v>
      </c>
      <c r="H76" s="1">
        <v>101.3</v>
      </c>
      <c r="I76" s="1">
        <f t="shared" si="22"/>
        <v>101300</v>
      </c>
      <c r="J76" s="1">
        <f t="shared" si="23"/>
        <v>2.0124824921938581E-5</v>
      </c>
      <c r="K76" s="25">
        <v>176.25742574257427</v>
      </c>
      <c r="L76" s="2">
        <f t="shared" si="24"/>
        <v>1.7625742574257428E-4</v>
      </c>
      <c r="M76" s="3">
        <f t="shared" si="33"/>
        <v>4.7762865441819992E-3</v>
      </c>
      <c r="N76" s="52">
        <f t="shared" si="25"/>
        <v>7.4265850707422184E-7</v>
      </c>
      <c r="O76" s="26">
        <f t="shared" si="34"/>
        <v>2.032E-3</v>
      </c>
      <c r="P76" s="26">
        <v>1.94149580791897E-10</v>
      </c>
      <c r="Q76" s="14">
        <v>0.02</v>
      </c>
      <c r="R76" s="14">
        <f t="shared" si="26"/>
        <v>102000</v>
      </c>
      <c r="S76" s="14">
        <f t="shared" si="27"/>
        <v>97095.562044774939</v>
      </c>
      <c r="T76" s="14">
        <f t="shared" si="28"/>
        <v>97095.562044774939</v>
      </c>
      <c r="U76" s="14">
        <f t="shared" si="35"/>
        <v>5.36358238306597E-3</v>
      </c>
      <c r="V76" s="14">
        <v>0.13</v>
      </c>
      <c r="W76" s="14">
        <f t="shared" si="29"/>
        <v>112999.99999999999</v>
      </c>
      <c r="X76" s="14">
        <f t="shared" si="30"/>
        <v>19.91708910891089</v>
      </c>
      <c r="Y76" s="16">
        <f t="shared" si="31"/>
        <v>4.1033053007235018E-14</v>
      </c>
      <c r="Z76" s="16">
        <f t="shared" si="32"/>
        <v>24710104520.956928</v>
      </c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spans="1:73" s="4" customFormat="1" x14ac:dyDescent="0.25">
      <c r="A77" s="1">
        <v>225</v>
      </c>
      <c r="B77" s="1">
        <f t="shared" si="18"/>
        <v>3.75</v>
      </c>
      <c r="C77" s="1">
        <v>20</v>
      </c>
      <c r="D77" s="1">
        <f t="shared" si="19"/>
        <v>29.146000000000001</v>
      </c>
      <c r="E77" s="1">
        <f t="shared" si="20"/>
        <v>4.8576666666666667E-7</v>
      </c>
      <c r="F77" s="1">
        <v>21.1</v>
      </c>
      <c r="G77" s="1">
        <f t="shared" si="21"/>
        <v>294.10000000000002</v>
      </c>
      <c r="H77" s="1">
        <v>101.3</v>
      </c>
      <c r="I77" s="1">
        <f t="shared" si="22"/>
        <v>101300</v>
      </c>
      <c r="J77" s="1">
        <f t="shared" si="23"/>
        <v>2.0124824921938581E-5</v>
      </c>
      <c r="K77" s="25">
        <v>179.2772277227723</v>
      </c>
      <c r="L77" s="2">
        <f t="shared" si="24"/>
        <v>1.7927722772277229E-4</v>
      </c>
      <c r="M77" s="3">
        <f t="shared" si="33"/>
        <v>4.7762865441819992E-3</v>
      </c>
      <c r="N77" s="52">
        <f t="shared" si="25"/>
        <v>7.5538240577423514E-7</v>
      </c>
      <c r="O77" s="26">
        <f t="shared" si="34"/>
        <v>2.032E-3</v>
      </c>
      <c r="P77" s="26">
        <v>1.94149580791897E-10</v>
      </c>
      <c r="Q77" s="14">
        <v>0.02</v>
      </c>
      <c r="R77" s="14">
        <f t="shared" si="26"/>
        <v>102000</v>
      </c>
      <c r="S77" s="14">
        <f t="shared" si="27"/>
        <v>97012.587606292567</v>
      </c>
      <c r="T77" s="14">
        <f t="shared" si="28"/>
        <v>97012.587606292567</v>
      </c>
      <c r="U77" s="14">
        <f t="shared" si="35"/>
        <v>5.36358238306597E-3</v>
      </c>
      <c r="V77" s="14">
        <v>0.13</v>
      </c>
      <c r="W77" s="14">
        <f t="shared" si="29"/>
        <v>112999.99999999999</v>
      </c>
      <c r="X77" s="14">
        <f t="shared" si="30"/>
        <v>20.258326732673265</v>
      </c>
      <c r="Y77" s="16">
        <f t="shared" si="31"/>
        <v>4.1771919430978135E-14</v>
      </c>
      <c r="Z77" s="16">
        <f t="shared" si="32"/>
        <v>25155049881.335033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spans="1:73" s="4" customFormat="1" x14ac:dyDescent="0.25">
      <c r="A78" s="1">
        <v>228</v>
      </c>
      <c r="B78" s="1">
        <f t="shared" si="18"/>
        <v>3.8</v>
      </c>
      <c r="C78" s="1">
        <v>20</v>
      </c>
      <c r="D78" s="1">
        <f t="shared" si="19"/>
        <v>29.146000000000001</v>
      </c>
      <c r="E78" s="1">
        <f t="shared" si="20"/>
        <v>4.8576666666666667E-7</v>
      </c>
      <c r="F78" s="1">
        <v>21.1</v>
      </c>
      <c r="G78" s="1">
        <f t="shared" si="21"/>
        <v>294.10000000000002</v>
      </c>
      <c r="H78" s="1">
        <v>101.3</v>
      </c>
      <c r="I78" s="1">
        <f t="shared" si="22"/>
        <v>101300</v>
      </c>
      <c r="J78" s="1">
        <f t="shared" si="23"/>
        <v>2.0124824921938581E-5</v>
      </c>
      <c r="K78" s="25">
        <v>186.92574257425744</v>
      </c>
      <c r="L78" s="2">
        <f t="shared" si="24"/>
        <v>1.8692574257425743E-4</v>
      </c>
      <c r="M78" s="3">
        <f t="shared" si="33"/>
        <v>4.7762865441819992E-3</v>
      </c>
      <c r="N78" s="52">
        <f t="shared" si="25"/>
        <v>7.8760932953082628E-7</v>
      </c>
      <c r="O78" s="26">
        <f t="shared" si="34"/>
        <v>2.032E-3</v>
      </c>
      <c r="P78" s="26">
        <v>1.94149580791897E-10</v>
      </c>
      <c r="Q78" s="14">
        <v>0.02</v>
      </c>
      <c r="R78" s="14">
        <f t="shared" si="26"/>
        <v>102000</v>
      </c>
      <c r="S78" s="14">
        <f t="shared" si="27"/>
        <v>96802.589719907279</v>
      </c>
      <c r="T78" s="14">
        <f t="shared" si="28"/>
        <v>96802.589719907279</v>
      </c>
      <c r="U78" s="14">
        <f t="shared" si="35"/>
        <v>5.36358238306597E-3</v>
      </c>
      <c r="V78" s="14">
        <v>0.13</v>
      </c>
      <c r="W78" s="14">
        <f t="shared" si="29"/>
        <v>112999.99999999999</v>
      </c>
      <c r="X78" s="14">
        <f t="shared" si="30"/>
        <v>21.122608910891088</v>
      </c>
      <c r="Y78" s="16">
        <f t="shared" si="31"/>
        <v>4.3648930427610352E-14</v>
      </c>
      <c r="Z78" s="16">
        <f t="shared" si="32"/>
        <v>26285385903.506954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spans="1:73" s="4" customFormat="1" x14ac:dyDescent="0.25">
      <c r="A79" s="1">
        <v>231</v>
      </c>
      <c r="B79" s="1">
        <f t="shared" si="18"/>
        <v>3.85</v>
      </c>
      <c r="C79" s="1">
        <v>20</v>
      </c>
      <c r="D79" s="1">
        <f t="shared" si="19"/>
        <v>29.146000000000001</v>
      </c>
      <c r="E79" s="1">
        <f t="shared" si="20"/>
        <v>4.8576666666666667E-7</v>
      </c>
      <c r="F79" s="1">
        <v>21.1</v>
      </c>
      <c r="G79" s="1">
        <f t="shared" si="21"/>
        <v>294.10000000000002</v>
      </c>
      <c r="H79" s="1">
        <v>101.3</v>
      </c>
      <c r="I79" s="1">
        <f t="shared" si="22"/>
        <v>101300</v>
      </c>
      <c r="J79" s="1">
        <f t="shared" si="23"/>
        <v>2.0124824921938581E-5</v>
      </c>
      <c r="K79" s="25">
        <v>187.74257425742576</v>
      </c>
      <c r="L79" s="2">
        <f t="shared" si="24"/>
        <v>1.8774257425742576E-4</v>
      </c>
      <c r="M79" s="3">
        <f t="shared" si="33"/>
        <v>4.7762865441819992E-3</v>
      </c>
      <c r="N79" s="52">
        <f t="shared" si="25"/>
        <v>7.9105103983492841E-7</v>
      </c>
      <c r="O79" s="26">
        <f t="shared" si="34"/>
        <v>2.032E-3</v>
      </c>
      <c r="P79" s="26">
        <v>1.94149580791897E-10</v>
      </c>
      <c r="Q79" s="14">
        <v>0.02</v>
      </c>
      <c r="R79" s="14">
        <f t="shared" si="26"/>
        <v>102000</v>
      </c>
      <c r="S79" s="14">
        <f t="shared" si="27"/>
        <v>96780.176208472971</v>
      </c>
      <c r="T79" s="14">
        <f t="shared" si="28"/>
        <v>96780.176208472971</v>
      </c>
      <c r="U79" s="14">
        <f t="shared" si="35"/>
        <v>5.36358238306597E-3</v>
      </c>
      <c r="V79" s="14">
        <v>0.13</v>
      </c>
      <c r="W79" s="14">
        <f t="shared" si="29"/>
        <v>112999.99999999999</v>
      </c>
      <c r="X79" s="14">
        <f t="shared" si="30"/>
        <v>21.214910891089108</v>
      </c>
      <c r="Y79" s="16">
        <f t="shared" si="31"/>
        <v>4.3849865319613278E-14</v>
      </c>
      <c r="Z79" s="16">
        <f t="shared" si="32"/>
        <v>26406388895.471119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spans="1:73" s="4" customFormat="1" x14ac:dyDescent="0.25">
      <c r="A80" s="1">
        <v>234</v>
      </c>
      <c r="B80" s="1">
        <f t="shared" si="18"/>
        <v>3.9</v>
      </c>
      <c r="C80" s="1">
        <v>20</v>
      </c>
      <c r="D80" s="1">
        <f t="shared" si="19"/>
        <v>29.146000000000001</v>
      </c>
      <c r="E80" s="1">
        <f t="shared" si="20"/>
        <v>4.8576666666666667E-7</v>
      </c>
      <c r="F80" s="1">
        <v>21.1</v>
      </c>
      <c r="G80" s="1">
        <f t="shared" si="21"/>
        <v>294.10000000000002</v>
      </c>
      <c r="H80" s="1">
        <v>101.3</v>
      </c>
      <c r="I80" s="1">
        <f t="shared" si="22"/>
        <v>101300</v>
      </c>
      <c r="J80" s="1">
        <f t="shared" si="23"/>
        <v>2.0124824921938581E-5</v>
      </c>
      <c r="K80" s="25">
        <v>176.65346534653466</v>
      </c>
      <c r="L80" s="2">
        <f t="shared" si="24"/>
        <v>1.7665346534653467E-4</v>
      </c>
      <c r="M80" s="3">
        <f t="shared" si="33"/>
        <v>4.7762865441819992E-3</v>
      </c>
      <c r="N80" s="52">
        <f t="shared" si="25"/>
        <v>7.4432721510045308E-7</v>
      </c>
      <c r="O80" s="26">
        <f t="shared" si="34"/>
        <v>2.032E-3</v>
      </c>
      <c r="P80" s="26">
        <v>1.94149580791897E-10</v>
      </c>
      <c r="Q80" s="14">
        <v>0.02</v>
      </c>
      <c r="R80" s="14">
        <f t="shared" si="26"/>
        <v>102000</v>
      </c>
      <c r="S80" s="14">
        <f t="shared" si="27"/>
        <v>97084.678130413944</v>
      </c>
      <c r="T80" s="14">
        <f t="shared" si="28"/>
        <v>97084.678130413944</v>
      </c>
      <c r="U80" s="14">
        <f t="shared" si="35"/>
        <v>5.36358238306597E-3</v>
      </c>
      <c r="V80" s="14">
        <v>0.13</v>
      </c>
      <c r="W80" s="14">
        <f t="shared" si="29"/>
        <v>112999.99999999999</v>
      </c>
      <c r="X80" s="14">
        <f t="shared" si="30"/>
        <v>19.961841584158414</v>
      </c>
      <c r="Y80" s="16">
        <f t="shared" si="31"/>
        <v>4.1129882111536904E-14</v>
      </c>
      <c r="Z80" s="16">
        <f t="shared" si="32"/>
        <v>24768415007.567524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spans="1:73" s="4" customFormat="1" x14ac:dyDescent="0.25">
      <c r="A81" s="1">
        <v>237</v>
      </c>
      <c r="B81" s="1">
        <f t="shared" si="18"/>
        <v>3.95</v>
      </c>
      <c r="C81" s="1">
        <v>20</v>
      </c>
      <c r="D81" s="1">
        <f t="shared" si="19"/>
        <v>29.146000000000001</v>
      </c>
      <c r="E81" s="1">
        <f t="shared" si="20"/>
        <v>4.8576666666666667E-7</v>
      </c>
      <c r="F81" s="1">
        <v>21.1</v>
      </c>
      <c r="G81" s="1">
        <f t="shared" si="21"/>
        <v>294.10000000000002</v>
      </c>
      <c r="H81" s="1">
        <v>101.3</v>
      </c>
      <c r="I81" s="1">
        <f t="shared" si="22"/>
        <v>101300</v>
      </c>
      <c r="J81" s="1">
        <f t="shared" si="23"/>
        <v>2.0124824921938581E-5</v>
      </c>
      <c r="K81" s="25">
        <v>180.63861386138615</v>
      </c>
      <c r="L81" s="2">
        <f t="shared" si="24"/>
        <v>1.8063861386138615E-4</v>
      </c>
      <c r="M81" s="3">
        <f t="shared" si="33"/>
        <v>4.7762865441819992E-3</v>
      </c>
      <c r="N81" s="52">
        <f t="shared" si="25"/>
        <v>7.6111858961440508E-7</v>
      </c>
      <c r="O81" s="26">
        <f t="shared" si="34"/>
        <v>2.032E-3</v>
      </c>
      <c r="P81" s="26">
        <v>1.94149580791897E-10</v>
      </c>
      <c r="Q81" s="14">
        <v>0.02</v>
      </c>
      <c r="R81" s="14">
        <f t="shared" si="26"/>
        <v>102000</v>
      </c>
      <c r="S81" s="14">
        <f t="shared" si="27"/>
        <v>96975.192696424943</v>
      </c>
      <c r="T81" s="14">
        <f t="shared" si="28"/>
        <v>96975.192696424943</v>
      </c>
      <c r="U81" s="14">
        <f t="shared" si="35"/>
        <v>5.36358238306597E-3</v>
      </c>
      <c r="V81" s="14">
        <v>0.13</v>
      </c>
      <c r="W81" s="14">
        <f t="shared" si="29"/>
        <v>112999.99999999999</v>
      </c>
      <c r="X81" s="14">
        <f t="shared" si="30"/>
        <v>20.412163366336632</v>
      </c>
      <c r="Y81" s="16">
        <f t="shared" si="31"/>
        <v>4.2105425191364277E-14</v>
      </c>
      <c r="Z81" s="16">
        <f t="shared" si="32"/>
        <v>25355887050.239567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spans="1:73" s="4" customFormat="1" x14ac:dyDescent="0.25">
      <c r="A82" s="1">
        <v>240</v>
      </c>
      <c r="B82" s="1">
        <f t="shared" si="18"/>
        <v>4</v>
      </c>
      <c r="C82" s="1">
        <v>20</v>
      </c>
      <c r="D82" s="1">
        <f t="shared" si="19"/>
        <v>29.146000000000001</v>
      </c>
      <c r="E82" s="1">
        <f t="shared" si="20"/>
        <v>4.8576666666666667E-7</v>
      </c>
      <c r="F82" s="1">
        <v>21.1</v>
      </c>
      <c r="G82" s="1">
        <f t="shared" si="21"/>
        <v>294.10000000000002</v>
      </c>
      <c r="H82" s="1">
        <v>101.3</v>
      </c>
      <c r="I82" s="1">
        <f t="shared" si="22"/>
        <v>101300</v>
      </c>
      <c r="J82" s="1">
        <f t="shared" si="23"/>
        <v>2.0124824921938581E-5</v>
      </c>
      <c r="K82" s="25">
        <v>180.93564356435644</v>
      </c>
      <c r="L82" s="2">
        <f t="shared" si="24"/>
        <v>1.8093564356435644E-4</v>
      </c>
      <c r="M82" s="3">
        <f t="shared" si="33"/>
        <v>4.7762865441819992E-3</v>
      </c>
      <c r="N82" s="52">
        <f t="shared" si="25"/>
        <v>7.6237012063407841E-7</v>
      </c>
      <c r="O82" s="26">
        <f t="shared" si="34"/>
        <v>2.032E-3</v>
      </c>
      <c r="P82" s="26">
        <v>1.94149580791897E-10</v>
      </c>
      <c r="Q82" s="14">
        <v>0.02</v>
      </c>
      <c r="R82" s="14">
        <f t="shared" si="26"/>
        <v>102000</v>
      </c>
      <c r="S82" s="14">
        <f t="shared" si="27"/>
        <v>96967.034764967917</v>
      </c>
      <c r="T82" s="14">
        <f t="shared" si="28"/>
        <v>96967.034764967917</v>
      </c>
      <c r="U82" s="14">
        <f t="shared" si="35"/>
        <v>5.36358238306597E-3</v>
      </c>
      <c r="V82" s="14">
        <v>0.13</v>
      </c>
      <c r="W82" s="14">
        <f t="shared" si="29"/>
        <v>112999.99999999999</v>
      </c>
      <c r="X82" s="14">
        <f t="shared" si="30"/>
        <v>20.445727722772276</v>
      </c>
      <c r="Y82" s="16">
        <f t="shared" si="31"/>
        <v>4.2178223999586897E-14</v>
      </c>
      <c r="Z82" s="16">
        <f t="shared" si="32"/>
        <v>25399726492.551231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spans="1:73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0"/>
      <c r="L83" s="3"/>
      <c r="M83" s="3"/>
      <c r="N83" s="26"/>
      <c r="O83" s="26"/>
      <c r="P83" s="26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spans="1:73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0"/>
      <c r="L84" s="3"/>
      <c r="M84" s="3"/>
      <c r="N84" s="26"/>
      <c r="O84" s="26"/>
      <c r="P84" s="26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spans="1:73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0"/>
      <c r="L85" s="3"/>
      <c r="M85" s="3"/>
      <c r="N85" s="26"/>
      <c r="O85" s="26"/>
      <c r="P85" s="26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0"/>
      <c r="L86" s="3"/>
      <c r="M86" s="3"/>
      <c r="N86" s="26"/>
      <c r="O86" s="26"/>
      <c r="P86" s="26"/>
      <c r="Q86" s="14"/>
      <c r="R86" s="14"/>
      <c r="S86" s="14"/>
      <c r="T86" s="14"/>
      <c r="U86" s="14"/>
      <c r="V86" s="14"/>
      <c r="W86" s="14"/>
      <c r="X86" s="14"/>
      <c r="Y86" s="45">
        <f>AVERAGE(Y40:Y82)</f>
        <v>4.2117454799223072E-14</v>
      </c>
      <c r="Z86" s="45">
        <f>AVERAGE(Z40:Z82)</f>
        <v>25363131280.092144</v>
      </c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spans="1:73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0"/>
      <c r="L87" s="3"/>
      <c r="M87" s="3"/>
      <c r="N87" s="26"/>
      <c r="O87" s="26"/>
      <c r="P87" s="26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0"/>
      <c r="L88" s="3"/>
      <c r="M88" s="3"/>
      <c r="N88" s="26"/>
      <c r="O88" s="26"/>
      <c r="P88" s="26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spans="1:73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0"/>
      <c r="L89" s="3"/>
      <c r="M89" s="3"/>
      <c r="N89" s="26"/>
      <c r="O89" s="26"/>
      <c r="P89" s="26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spans="1:73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3"/>
      <c r="M90" s="3"/>
      <c r="N90" s="26"/>
      <c r="O90" s="26"/>
      <c r="P90" s="26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spans="1:73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0"/>
      <c r="L91" s="3"/>
      <c r="M91" s="3"/>
      <c r="N91" s="26"/>
      <c r="O91" s="26"/>
      <c r="P91" s="26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spans="1:73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0"/>
      <c r="L92" s="3"/>
      <c r="M92" s="3"/>
      <c r="N92" s="26"/>
      <c r="O92" s="26"/>
      <c r="P92" s="26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spans="1:73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0"/>
      <c r="L93" s="3"/>
      <c r="M93" s="3"/>
      <c r="N93" s="26"/>
      <c r="O93" s="26"/>
      <c r="P93" s="26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spans="1:73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0"/>
      <c r="L94" s="3"/>
      <c r="M94" s="3"/>
      <c r="N94" s="26"/>
      <c r="O94" s="26"/>
      <c r="P94" s="26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spans="1:73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0"/>
      <c r="L95" s="3"/>
      <c r="M95" s="3"/>
      <c r="N95" s="26"/>
      <c r="O95" s="26"/>
      <c r="P95" s="26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spans="1:73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0"/>
      <c r="L96" s="3"/>
      <c r="M96" s="3"/>
      <c r="N96" s="26"/>
      <c r="O96" s="26"/>
      <c r="P96" s="26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spans="1:73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0"/>
      <c r="L97" s="3"/>
      <c r="M97" s="3"/>
      <c r="N97" s="26"/>
      <c r="O97" s="26"/>
      <c r="P97" s="26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spans="1:73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0"/>
      <c r="L98" s="3"/>
      <c r="M98" s="3"/>
      <c r="N98" s="26"/>
      <c r="O98" s="26"/>
      <c r="P98" s="26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spans="1:73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0"/>
      <c r="L99" s="3"/>
      <c r="M99" s="3"/>
      <c r="N99" s="26"/>
      <c r="O99" s="26"/>
      <c r="P99" s="26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spans="1:73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0"/>
      <c r="L100" s="3"/>
      <c r="M100" s="3"/>
      <c r="N100" s="26"/>
      <c r="O100" s="26"/>
      <c r="P100" s="26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spans="1:73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0"/>
      <c r="L101" s="3"/>
      <c r="M101" s="3"/>
      <c r="N101" s="26"/>
      <c r="O101" s="26"/>
      <c r="P101" s="26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spans="1:73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0"/>
      <c r="L102" s="3"/>
      <c r="M102" s="3"/>
      <c r="N102" s="26"/>
      <c r="O102" s="26"/>
      <c r="P102" s="26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spans="1:73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0"/>
      <c r="L103" s="3"/>
      <c r="M103" s="3"/>
      <c r="N103" s="26"/>
      <c r="O103" s="26"/>
      <c r="P103" s="26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spans="1:73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0"/>
      <c r="L104" s="3"/>
      <c r="M104" s="3"/>
      <c r="N104" s="26"/>
      <c r="O104" s="26"/>
      <c r="P104" s="26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spans="1:73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0"/>
      <c r="L105" s="3"/>
      <c r="M105" s="3"/>
      <c r="N105" s="26"/>
      <c r="O105" s="26"/>
      <c r="P105" s="26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spans="1:73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0"/>
      <c r="L106" s="3"/>
      <c r="M106" s="3"/>
      <c r="N106" s="26"/>
      <c r="O106" s="26"/>
      <c r="P106" s="26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spans="1:73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0"/>
      <c r="L107" s="3"/>
      <c r="M107" s="3"/>
      <c r="N107" s="26"/>
      <c r="O107" s="26"/>
      <c r="P107" s="26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spans="1:73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0"/>
      <c r="L108" s="3"/>
      <c r="M108" s="3"/>
      <c r="N108" s="26"/>
      <c r="O108" s="26"/>
      <c r="P108" s="26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spans="1:73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0"/>
      <c r="L109" s="3"/>
      <c r="M109" s="3"/>
      <c r="N109" s="26"/>
      <c r="O109" s="26"/>
      <c r="P109" s="26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spans="1:73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0"/>
      <c r="L110" s="3"/>
      <c r="M110" s="3"/>
      <c r="N110" s="26"/>
      <c r="O110" s="26"/>
      <c r="P110" s="26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spans="1:73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0"/>
      <c r="L111" s="3"/>
      <c r="M111" s="3"/>
      <c r="N111" s="26"/>
      <c r="O111" s="26"/>
      <c r="P111" s="26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spans="1:73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0"/>
      <c r="L112" s="3"/>
      <c r="M112" s="3"/>
      <c r="N112" s="26"/>
      <c r="O112" s="26"/>
      <c r="P112" s="26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spans="1:73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0"/>
      <c r="L113" s="3"/>
      <c r="M113" s="3"/>
      <c r="N113" s="26"/>
      <c r="O113" s="26"/>
      <c r="P113" s="26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spans="1:73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0"/>
      <c r="L114" s="3"/>
      <c r="M114" s="3"/>
      <c r="N114" s="26"/>
      <c r="O114" s="26"/>
      <c r="P114" s="26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spans="1:73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0"/>
      <c r="L115" s="3"/>
      <c r="M115" s="3"/>
      <c r="N115" s="26"/>
      <c r="O115" s="26"/>
      <c r="P115" s="26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spans="1:73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0"/>
      <c r="L116" s="3"/>
      <c r="M116" s="3"/>
      <c r="N116" s="26"/>
      <c r="O116" s="26"/>
      <c r="P116" s="26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spans="1:73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0"/>
      <c r="L117" s="3"/>
      <c r="M117" s="3"/>
      <c r="N117" s="26"/>
      <c r="O117" s="26"/>
      <c r="P117" s="26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spans="1:73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0"/>
      <c r="L118" s="3"/>
      <c r="M118" s="3"/>
      <c r="N118" s="26"/>
      <c r="O118" s="26"/>
      <c r="P118" s="26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spans="1:73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0"/>
      <c r="L119" s="3"/>
      <c r="M119" s="3"/>
      <c r="N119" s="26"/>
      <c r="O119" s="26"/>
      <c r="P119" s="26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spans="1:73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0"/>
      <c r="L120" s="3"/>
      <c r="M120" s="3"/>
      <c r="N120" s="26"/>
      <c r="O120" s="26"/>
      <c r="P120" s="26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spans="1:73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0"/>
      <c r="L121" s="3"/>
      <c r="M121" s="3"/>
      <c r="N121" s="26"/>
      <c r="O121" s="26"/>
      <c r="P121" s="26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spans="1:73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0"/>
      <c r="L122" s="3"/>
      <c r="M122" s="3"/>
      <c r="N122" s="26"/>
      <c r="O122" s="26"/>
      <c r="P122" s="26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spans="1:73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0"/>
      <c r="L123" s="3"/>
      <c r="M123" s="3"/>
      <c r="N123" s="26"/>
      <c r="O123" s="26"/>
      <c r="P123" s="26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spans="1:73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0"/>
      <c r="L124" s="3"/>
      <c r="M124" s="3"/>
      <c r="N124" s="26"/>
      <c r="O124" s="26"/>
      <c r="P124" s="26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spans="1:73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0"/>
      <c r="L125" s="3"/>
      <c r="M125" s="3"/>
      <c r="N125" s="26"/>
      <c r="O125" s="26"/>
      <c r="P125" s="26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spans="1:73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0"/>
      <c r="L126" s="3"/>
      <c r="M126" s="3"/>
      <c r="N126" s="26"/>
      <c r="O126" s="26"/>
      <c r="P126" s="26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spans="1:73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0"/>
      <c r="L127" s="3"/>
      <c r="M127" s="3"/>
      <c r="N127" s="26"/>
      <c r="O127" s="26"/>
      <c r="P127" s="26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spans="1:73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0"/>
      <c r="L128" s="3"/>
      <c r="M128" s="3"/>
      <c r="N128" s="26"/>
      <c r="O128" s="26"/>
      <c r="P128" s="26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spans="1:73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0"/>
      <c r="L129" s="3"/>
      <c r="M129" s="3"/>
      <c r="N129" s="26"/>
      <c r="O129" s="26"/>
      <c r="P129" s="26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spans="1:73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0"/>
      <c r="L130" s="3"/>
      <c r="M130" s="3"/>
      <c r="N130" s="26"/>
      <c r="O130" s="26"/>
      <c r="P130" s="26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spans="1:73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0"/>
      <c r="L131" s="3"/>
      <c r="M131" s="3"/>
      <c r="N131" s="26"/>
      <c r="O131" s="26"/>
      <c r="P131" s="26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spans="1:73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0"/>
      <c r="L132" s="3"/>
      <c r="M132" s="3"/>
      <c r="N132" s="26"/>
      <c r="O132" s="26"/>
      <c r="P132" s="26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spans="1:73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0"/>
      <c r="L133" s="3"/>
      <c r="M133" s="3"/>
      <c r="N133" s="26"/>
      <c r="O133" s="26"/>
      <c r="P133" s="26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spans="1:73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0"/>
      <c r="L134" s="3"/>
      <c r="M134" s="3"/>
      <c r="N134" s="26"/>
      <c r="O134" s="26"/>
      <c r="P134" s="26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spans="1:73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0"/>
      <c r="L135" s="3"/>
      <c r="M135" s="3"/>
      <c r="N135" s="26"/>
      <c r="O135" s="26"/>
      <c r="P135" s="26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spans="1:73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0"/>
      <c r="L136" s="3"/>
      <c r="M136" s="3"/>
      <c r="N136" s="26"/>
      <c r="O136" s="26"/>
      <c r="P136" s="26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spans="1:73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0"/>
      <c r="L137" s="3"/>
      <c r="M137" s="3"/>
      <c r="N137" s="26"/>
      <c r="O137" s="26"/>
      <c r="P137" s="26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spans="1:73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0"/>
      <c r="L138" s="3"/>
      <c r="M138" s="3"/>
      <c r="N138" s="26"/>
      <c r="O138" s="26"/>
      <c r="P138" s="26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spans="1:73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0"/>
      <c r="L139" s="3"/>
      <c r="M139" s="3"/>
      <c r="N139" s="26"/>
      <c r="O139" s="26"/>
      <c r="P139" s="26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spans="1:73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0"/>
      <c r="L140" s="3"/>
      <c r="M140" s="3"/>
      <c r="N140" s="26"/>
      <c r="O140" s="26"/>
      <c r="P140" s="26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spans="1:73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0"/>
      <c r="L141" s="3"/>
      <c r="M141" s="3"/>
      <c r="N141" s="26"/>
      <c r="O141" s="26"/>
      <c r="P141" s="26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spans="1:73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0"/>
      <c r="L142" s="3"/>
      <c r="M142" s="3"/>
      <c r="N142" s="26"/>
      <c r="O142" s="26"/>
      <c r="P142" s="26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spans="1:73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0"/>
      <c r="L143" s="3"/>
      <c r="M143" s="3"/>
      <c r="N143" s="26"/>
      <c r="O143" s="26"/>
      <c r="P143" s="26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spans="1:73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0"/>
      <c r="L144" s="3"/>
      <c r="M144" s="3"/>
      <c r="N144" s="26"/>
      <c r="O144" s="26"/>
      <c r="P144" s="26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spans="1:73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0"/>
      <c r="L145" s="3"/>
      <c r="M145" s="3"/>
      <c r="N145" s="26"/>
      <c r="O145" s="26"/>
      <c r="P145" s="26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spans="1:73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0"/>
      <c r="L146" s="3"/>
      <c r="M146" s="3"/>
      <c r="N146" s="26"/>
      <c r="O146" s="26"/>
      <c r="P146" s="26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spans="1:73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0"/>
      <c r="L147" s="3"/>
      <c r="M147" s="3"/>
      <c r="N147" s="26"/>
      <c r="O147" s="26"/>
      <c r="P147" s="26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spans="1:73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0"/>
      <c r="L148" s="3"/>
      <c r="M148" s="3"/>
      <c r="N148" s="26"/>
      <c r="O148" s="26"/>
      <c r="P148" s="26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spans="1:73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0"/>
      <c r="L149" s="3"/>
      <c r="M149" s="3"/>
      <c r="N149" s="26"/>
      <c r="O149" s="26"/>
      <c r="P149" s="26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spans="1:73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0"/>
      <c r="L150" s="3"/>
      <c r="M150" s="3"/>
      <c r="N150" s="26"/>
      <c r="O150" s="26"/>
      <c r="P150" s="26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spans="1:73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0"/>
      <c r="L151" s="3"/>
      <c r="M151" s="3"/>
      <c r="N151" s="26"/>
      <c r="O151" s="26"/>
      <c r="P151" s="26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spans="1:73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0"/>
      <c r="L152" s="3"/>
      <c r="M152" s="3"/>
      <c r="N152" s="26"/>
      <c r="O152" s="26"/>
      <c r="P152" s="26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spans="1:73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0"/>
      <c r="L153" s="3"/>
      <c r="M153" s="3"/>
      <c r="N153" s="26"/>
      <c r="O153" s="26"/>
      <c r="P153" s="26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spans="1:73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0"/>
      <c r="L154" s="3"/>
      <c r="M154" s="3"/>
      <c r="N154" s="26"/>
      <c r="O154" s="26"/>
      <c r="P154" s="26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spans="1:73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0"/>
      <c r="L155" s="3"/>
      <c r="M155" s="3"/>
      <c r="N155" s="26"/>
      <c r="O155" s="26"/>
      <c r="P155" s="26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spans="1:73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0"/>
      <c r="L156" s="3"/>
      <c r="M156" s="3"/>
      <c r="N156" s="26"/>
      <c r="O156" s="26"/>
      <c r="P156" s="26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spans="1:73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0"/>
      <c r="L157" s="3"/>
      <c r="M157" s="3"/>
      <c r="N157" s="26"/>
      <c r="O157" s="26"/>
      <c r="P157" s="26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spans="1:73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0"/>
      <c r="L158" s="3"/>
      <c r="M158" s="3"/>
      <c r="N158" s="26"/>
      <c r="O158" s="26"/>
      <c r="P158" s="26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spans="1:73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0"/>
      <c r="L159" s="3"/>
      <c r="M159" s="3"/>
      <c r="N159" s="26"/>
      <c r="O159" s="26"/>
      <c r="P159" s="26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spans="1:73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0"/>
      <c r="L160" s="3"/>
      <c r="M160" s="3"/>
      <c r="N160" s="26"/>
      <c r="O160" s="26"/>
      <c r="P160" s="26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spans="1:73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0"/>
      <c r="L161" s="3"/>
      <c r="M161" s="3"/>
      <c r="N161" s="26"/>
      <c r="O161" s="26"/>
      <c r="P161" s="26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spans="1:73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0"/>
      <c r="L162" s="3"/>
      <c r="M162" s="3"/>
      <c r="N162" s="26"/>
      <c r="O162" s="26"/>
      <c r="P162" s="26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spans="1:73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0"/>
      <c r="L163" s="3"/>
      <c r="M163" s="3"/>
      <c r="N163" s="26"/>
      <c r="O163" s="26"/>
      <c r="P163" s="26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spans="1:73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0"/>
      <c r="L164" s="3"/>
      <c r="M164" s="3"/>
      <c r="N164" s="26"/>
      <c r="O164" s="26"/>
      <c r="P164" s="26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spans="1:73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0"/>
      <c r="L165" s="3"/>
      <c r="M165" s="3"/>
      <c r="N165" s="26"/>
      <c r="O165" s="26"/>
      <c r="P165" s="26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spans="1:73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0"/>
      <c r="L166" s="3"/>
      <c r="M166" s="3"/>
      <c r="N166" s="26"/>
      <c r="O166" s="26"/>
      <c r="P166" s="26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spans="1:73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0"/>
      <c r="L167" s="3"/>
      <c r="M167" s="3"/>
      <c r="N167" s="26"/>
      <c r="O167" s="26"/>
      <c r="P167" s="26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spans="1:73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0"/>
      <c r="L168" s="3"/>
      <c r="M168" s="3"/>
      <c r="N168" s="26"/>
      <c r="O168" s="26"/>
      <c r="P168" s="26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spans="1:73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0"/>
      <c r="L169" s="3"/>
      <c r="M169" s="3"/>
      <c r="N169" s="26"/>
      <c r="O169" s="26"/>
      <c r="P169" s="26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spans="1:73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0"/>
      <c r="L170" s="3"/>
      <c r="M170" s="3"/>
      <c r="N170" s="26"/>
      <c r="O170" s="26"/>
      <c r="P170" s="26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spans="1:73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0"/>
      <c r="L171" s="3"/>
      <c r="M171" s="3"/>
      <c r="N171" s="26"/>
      <c r="O171" s="26"/>
      <c r="P171" s="26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spans="1:73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0"/>
      <c r="L172" s="3"/>
      <c r="M172" s="3"/>
      <c r="N172" s="26"/>
      <c r="O172" s="26"/>
      <c r="P172" s="26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spans="1:73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0"/>
      <c r="L173" s="3"/>
      <c r="M173" s="3"/>
      <c r="N173" s="26"/>
      <c r="O173" s="26"/>
      <c r="P173" s="26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spans="1:73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0"/>
      <c r="L174" s="3"/>
      <c r="M174" s="3"/>
      <c r="N174" s="26"/>
      <c r="O174" s="26"/>
      <c r="P174" s="26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spans="1:73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0"/>
      <c r="L175" s="3"/>
      <c r="M175" s="3"/>
      <c r="N175" s="26"/>
      <c r="O175" s="26"/>
      <c r="P175" s="26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spans="1:73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0"/>
      <c r="L176" s="3"/>
      <c r="M176" s="3"/>
      <c r="N176" s="26"/>
      <c r="O176" s="26"/>
      <c r="P176" s="26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spans="1:73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0"/>
      <c r="L177" s="3"/>
      <c r="M177" s="3"/>
      <c r="N177" s="26"/>
      <c r="O177" s="26"/>
      <c r="P177" s="26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spans="1:73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0"/>
      <c r="L178" s="3"/>
      <c r="M178" s="3"/>
      <c r="N178" s="26"/>
      <c r="O178" s="26"/>
      <c r="P178" s="26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spans="1:73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0"/>
      <c r="L179" s="3"/>
      <c r="M179" s="3"/>
      <c r="N179" s="26"/>
      <c r="O179" s="26"/>
      <c r="P179" s="26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spans="1:73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0"/>
      <c r="L180" s="3"/>
      <c r="M180" s="3"/>
      <c r="N180" s="26"/>
      <c r="O180" s="26"/>
      <c r="P180" s="26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spans="1:73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0"/>
      <c r="L181" s="3"/>
      <c r="M181" s="3"/>
      <c r="N181" s="26"/>
      <c r="O181" s="26"/>
      <c r="P181" s="26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spans="1:73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0"/>
      <c r="L182" s="3"/>
      <c r="M182" s="3"/>
      <c r="N182" s="26"/>
      <c r="O182" s="26"/>
      <c r="P182" s="26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spans="1:73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0"/>
      <c r="L183" s="3"/>
      <c r="M183" s="3"/>
      <c r="N183" s="26"/>
      <c r="O183" s="26"/>
      <c r="P183" s="26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spans="1:73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0"/>
      <c r="L184" s="3"/>
      <c r="M184" s="3"/>
      <c r="N184" s="26"/>
      <c r="O184" s="26"/>
      <c r="P184" s="26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spans="1:73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0"/>
      <c r="L185" s="3"/>
      <c r="M185" s="3"/>
      <c r="N185" s="26"/>
      <c r="O185" s="26"/>
      <c r="P185" s="26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spans="1:73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0"/>
      <c r="L186" s="3"/>
      <c r="M186" s="3"/>
      <c r="N186" s="26"/>
      <c r="O186" s="26"/>
      <c r="P186" s="26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spans="1:73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0"/>
      <c r="L187" s="3"/>
      <c r="M187" s="3"/>
      <c r="N187" s="26"/>
      <c r="O187" s="26"/>
      <c r="P187" s="26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spans="1:73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0"/>
      <c r="L188" s="3"/>
      <c r="M188" s="3"/>
      <c r="N188" s="26"/>
      <c r="O188" s="26"/>
      <c r="P188" s="26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spans="1:73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0"/>
      <c r="L189" s="3"/>
      <c r="M189" s="3"/>
      <c r="N189" s="26"/>
      <c r="O189" s="26"/>
      <c r="P189" s="26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spans="1:73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0"/>
      <c r="L190" s="3"/>
      <c r="M190" s="3"/>
      <c r="N190" s="26"/>
      <c r="O190" s="26"/>
      <c r="P190" s="26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spans="1:73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0"/>
      <c r="L191" s="3"/>
      <c r="M191" s="3"/>
      <c r="N191" s="26"/>
      <c r="O191" s="26"/>
      <c r="P191" s="26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spans="1:73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0"/>
      <c r="L192" s="3"/>
      <c r="M192" s="3"/>
      <c r="N192" s="26"/>
      <c r="O192" s="26"/>
      <c r="P192" s="26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spans="1:73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0"/>
      <c r="L193" s="3"/>
      <c r="M193" s="3"/>
      <c r="N193" s="26"/>
      <c r="O193" s="26"/>
      <c r="P193" s="26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spans="1:73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0"/>
      <c r="L194" s="3"/>
      <c r="M194" s="3"/>
      <c r="N194" s="26"/>
      <c r="O194" s="26"/>
      <c r="P194" s="26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spans="1:73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0"/>
      <c r="L195" s="3"/>
      <c r="M195" s="3"/>
      <c r="N195" s="26"/>
      <c r="O195" s="26"/>
      <c r="P195" s="26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spans="1:73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0"/>
      <c r="L196" s="3"/>
      <c r="M196" s="3"/>
      <c r="N196" s="26"/>
      <c r="O196" s="26"/>
      <c r="P196" s="26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spans="1:73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0"/>
      <c r="L197" s="3"/>
      <c r="M197" s="3"/>
      <c r="N197" s="26"/>
      <c r="O197" s="26"/>
      <c r="P197" s="26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spans="1:73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0"/>
      <c r="L198" s="3"/>
      <c r="M198" s="3"/>
      <c r="N198" s="26"/>
      <c r="O198" s="26"/>
      <c r="P198" s="26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spans="1:73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0"/>
      <c r="L199" s="3"/>
      <c r="M199" s="3"/>
      <c r="N199" s="26"/>
      <c r="O199" s="26"/>
      <c r="P199" s="26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spans="1:73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0"/>
      <c r="L200" s="3"/>
      <c r="M200" s="3"/>
      <c r="N200" s="26"/>
      <c r="O200" s="26"/>
      <c r="P200" s="26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spans="1:73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0"/>
      <c r="L201" s="3"/>
      <c r="M201" s="3"/>
      <c r="N201" s="26"/>
      <c r="O201" s="26"/>
      <c r="P201" s="26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spans="1:73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0"/>
      <c r="L202" s="3"/>
      <c r="M202" s="3"/>
      <c r="N202" s="30"/>
      <c r="O202" s="30"/>
      <c r="P202" s="30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spans="1:73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0"/>
      <c r="L203" s="3"/>
      <c r="M203" s="3"/>
      <c r="N203" s="30"/>
      <c r="O203" s="30"/>
      <c r="P203" s="30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spans="1:73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0"/>
      <c r="L204" s="3"/>
      <c r="M204" s="3"/>
      <c r="N204" s="30"/>
      <c r="O204" s="30"/>
      <c r="P204" s="30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spans="1:73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0"/>
      <c r="L205" s="3"/>
      <c r="M205" s="3"/>
      <c r="N205" s="30"/>
      <c r="O205" s="30"/>
      <c r="P205" s="30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spans="1:73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0"/>
      <c r="L206" s="3"/>
      <c r="M206" s="3"/>
      <c r="N206" s="30"/>
      <c r="O206" s="30"/>
      <c r="P206" s="30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spans="1:73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0"/>
      <c r="L207" s="3"/>
      <c r="M207" s="3"/>
      <c r="N207" s="30"/>
      <c r="O207" s="30"/>
      <c r="P207" s="30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spans="1:73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0"/>
      <c r="L208" s="3"/>
      <c r="M208" s="3"/>
      <c r="N208" s="30"/>
      <c r="O208" s="30"/>
      <c r="P208" s="30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spans="1:73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0"/>
      <c r="L209" s="3"/>
      <c r="M209" s="3"/>
      <c r="N209" s="30"/>
      <c r="O209" s="30"/>
      <c r="P209" s="30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spans="1:73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0"/>
      <c r="L210" s="3"/>
      <c r="M210" s="3"/>
      <c r="N210" s="30"/>
      <c r="O210" s="30"/>
      <c r="P210" s="30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spans="1:73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0"/>
      <c r="L211" s="3"/>
      <c r="M211" s="3"/>
      <c r="N211" s="30"/>
      <c r="O211" s="30"/>
      <c r="P211" s="30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spans="1:73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0"/>
      <c r="L212" s="3"/>
      <c r="M212" s="3"/>
      <c r="N212" s="30"/>
      <c r="O212" s="30"/>
      <c r="P212" s="30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spans="1:73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0"/>
      <c r="L213" s="3"/>
      <c r="M213" s="3"/>
      <c r="N213" s="30"/>
      <c r="O213" s="30"/>
      <c r="P213" s="30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spans="1:73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0"/>
      <c r="L214" s="3"/>
      <c r="M214" s="3"/>
      <c r="N214" s="30"/>
      <c r="O214" s="30"/>
      <c r="P214" s="30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spans="1:73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0"/>
      <c r="L215" s="3"/>
      <c r="M215" s="3"/>
      <c r="N215" s="30"/>
      <c r="O215" s="30"/>
      <c r="P215" s="30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spans="1:73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0"/>
      <c r="L216" s="3"/>
      <c r="M216" s="3"/>
      <c r="N216" s="30"/>
      <c r="O216" s="30"/>
      <c r="P216" s="30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spans="1:73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0"/>
      <c r="L217" s="3"/>
      <c r="M217" s="3"/>
      <c r="N217" s="30"/>
      <c r="O217" s="30"/>
      <c r="P217" s="30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spans="1:73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0"/>
      <c r="L218" s="3"/>
      <c r="M218" s="3"/>
      <c r="N218" s="30"/>
      <c r="O218" s="30"/>
      <c r="P218" s="30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spans="1:73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0"/>
      <c r="L219" s="3"/>
      <c r="M219" s="3"/>
      <c r="N219" s="30"/>
      <c r="O219" s="30"/>
      <c r="P219" s="30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spans="1:73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0"/>
      <c r="L220" s="3"/>
      <c r="M220" s="3"/>
      <c r="N220" s="30"/>
      <c r="O220" s="30"/>
      <c r="P220" s="30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spans="1:73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0"/>
      <c r="L221" s="3"/>
      <c r="M221" s="3"/>
      <c r="N221" s="30"/>
      <c r="O221" s="30"/>
      <c r="P221" s="30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spans="1:73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0"/>
      <c r="L222" s="3"/>
      <c r="M222" s="3"/>
      <c r="N222" s="30"/>
      <c r="O222" s="30"/>
      <c r="P222" s="30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spans="1:73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0"/>
      <c r="L223" s="3"/>
      <c r="M223" s="3"/>
      <c r="N223" s="30"/>
      <c r="O223" s="30"/>
      <c r="P223" s="30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spans="1:73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0"/>
      <c r="L224" s="3"/>
      <c r="M224" s="3"/>
      <c r="N224" s="30"/>
      <c r="O224" s="30"/>
      <c r="P224" s="30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spans="1:73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0"/>
      <c r="L225" s="3"/>
      <c r="M225" s="3"/>
      <c r="N225" s="30"/>
      <c r="O225" s="30"/>
      <c r="P225" s="30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spans="1:73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0"/>
      <c r="L226" s="3"/>
      <c r="M226" s="3"/>
      <c r="N226" s="30"/>
      <c r="O226" s="30"/>
      <c r="P226" s="30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spans="1:73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0"/>
      <c r="L227" s="3"/>
      <c r="M227" s="3"/>
      <c r="N227" s="30"/>
      <c r="O227" s="30"/>
      <c r="P227" s="30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spans="1:73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0"/>
      <c r="L228" s="3"/>
      <c r="M228" s="3"/>
      <c r="N228" s="30"/>
      <c r="O228" s="30"/>
      <c r="P228" s="30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spans="1:73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0"/>
      <c r="L229" s="3"/>
      <c r="M229" s="3"/>
      <c r="N229" s="30"/>
      <c r="O229" s="30"/>
      <c r="P229" s="30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spans="1:73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0"/>
      <c r="L230" s="3"/>
      <c r="M230" s="3"/>
      <c r="N230" s="30"/>
      <c r="O230" s="30"/>
      <c r="P230" s="30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spans="1:73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0"/>
      <c r="L231" s="3"/>
      <c r="M231" s="3"/>
      <c r="N231" s="30"/>
      <c r="O231" s="30"/>
      <c r="P231" s="30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spans="1:73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0"/>
      <c r="L232" s="3"/>
      <c r="M232" s="3"/>
      <c r="N232" s="30"/>
      <c r="O232" s="30"/>
      <c r="P232" s="30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spans="1:73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0"/>
      <c r="L233" s="3"/>
      <c r="M233" s="3"/>
      <c r="N233" s="30"/>
      <c r="O233" s="30"/>
      <c r="P233" s="30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spans="1:73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0"/>
      <c r="L234" s="3"/>
      <c r="M234" s="3"/>
      <c r="N234" s="30"/>
      <c r="O234" s="30"/>
      <c r="P234" s="30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spans="1:73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0"/>
      <c r="L235" s="3"/>
      <c r="M235" s="3"/>
      <c r="N235" s="30"/>
      <c r="O235" s="30"/>
      <c r="P235" s="30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spans="1:73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0"/>
      <c r="L236" s="3"/>
      <c r="M236" s="3"/>
      <c r="N236" s="30"/>
      <c r="O236" s="30"/>
      <c r="P236" s="30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spans="1:73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0"/>
      <c r="L237" s="3"/>
      <c r="M237" s="3"/>
      <c r="N237" s="30"/>
      <c r="O237" s="30"/>
      <c r="P237" s="30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spans="1:73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0"/>
      <c r="L238" s="3"/>
      <c r="M238" s="3"/>
      <c r="N238" s="30"/>
      <c r="O238" s="30"/>
      <c r="P238" s="30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spans="1:73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0"/>
      <c r="L239" s="3"/>
      <c r="M239" s="3"/>
      <c r="N239" s="30"/>
      <c r="O239" s="30"/>
      <c r="P239" s="30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spans="1:73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0"/>
      <c r="L240" s="3"/>
      <c r="M240" s="3"/>
      <c r="N240" s="30"/>
      <c r="O240" s="30"/>
      <c r="P240" s="30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spans="1:73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0"/>
      <c r="L241" s="3"/>
      <c r="M241" s="3"/>
      <c r="N241" s="30"/>
      <c r="O241" s="30"/>
      <c r="P241" s="30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spans="1:73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0"/>
      <c r="L242" s="3"/>
      <c r="M242" s="3"/>
      <c r="N242" s="30"/>
      <c r="O242" s="30"/>
      <c r="P242" s="30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spans="1:73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0"/>
      <c r="L243" s="3"/>
      <c r="M243" s="3"/>
      <c r="N243" s="30"/>
      <c r="O243" s="30"/>
      <c r="P243" s="30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spans="1:73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0"/>
      <c r="L244" s="3"/>
      <c r="M244" s="3"/>
      <c r="N244" s="30"/>
      <c r="O244" s="30"/>
      <c r="P244" s="30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spans="1:73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0"/>
      <c r="L245" s="3"/>
      <c r="M245" s="3"/>
      <c r="N245" s="30"/>
      <c r="O245" s="30"/>
      <c r="P245" s="30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spans="1:73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0"/>
      <c r="L246" s="3"/>
      <c r="M246" s="3"/>
      <c r="N246" s="30"/>
      <c r="O246" s="30"/>
      <c r="P246" s="30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152D-6214-4DF0-8265-FA335B8AC3F5}">
  <dimension ref="C2:L8"/>
  <sheetViews>
    <sheetView zoomScale="110" zoomScaleNormal="110" workbookViewId="0">
      <selection activeCell="L11" sqref="L11"/>
    </sheetView>
  </sheetViews>
  <sheetFormatPr defaultRowHeight="14.4" x14ac:dyDescent="0.3"/>
  <cols>
    <col min="1" max="2" width="8.88671875" style="47"/>
    <col min="3" max="3" width="21.109375" style="38" customWidth="1"/>
    <col min="4" max="4" width="17.6640625" style="38" customWidth="1"/>
    <col min="5" max="5" width="23" style="38" customWidth="1"/>
    <col min="6" max="6" width="27.77734375" style="39" customWidth="1"/>
    <col min="7" max="8" width="22" style="47" customWidth="1"/>
    <col min="9" max="9" width="21" style="47" customWidth="1"/>
    <col min="10" max="10" width="15.109375" style="47" customWidth="1"/>
    <col min="11" max="11" width="19.6640625" style="47" customWidth="1"/>
    <col min="12" max="12" width="21.5546875" style="47" customWidth="1"/>
    <col min="13" max="16384" width="8.88671875" style="47"/>
  </cols>
  <sheetData>
    <row r="2" spans="3:12" x14ac:dyDescent="0.3">
      <c r="C2" s="51" t="s">
        <v>48</v>
      </c>
      <c r="D2" s="51"/>
      <c r="E2" s="51"/>
      <c r="F2" s="51"/>
      <c r="I2" s="51" t="s">
        <v>49</v>
      </c>
      <c r="J2" s="51"/>
      <c r="K2" s="51"/>
      <c r="L2" s="51"/>
    </row>
    <row r="3" spans="3:12" x14ac:dyDescent="0.3">
      <c r="C3" s="48" t="s">
        <v>17</v>
      </c>
      <c r="D3" s="48" t="s">
        <v>18</v>
      </c>
      <c r="E3" s="48" t="s">
        <v>19</v>
      </c>
      <c r="F3" s="49" t="s">
        <v>20</v>
      </c>
      <c r="I3" s="48" t="s">
        <v>17</v>
      </c>
      <c r="J3" s="48" t="s">
        <v>18</v>
      </c>
      <c r="K3" s="48" t="s">
        <v>19</v>
      </c>
      <c r="L3" s="48" t="s">
        <v>20</v>
      </c>
    </row>
    <row r="4" spans="3:12" x14ac:dyDescent="0.3">
      <c r="C4" s="50" t="s">
        <v>21</v>
      </c>
      <c r="D4" s="26">
        <v>5291339651.0520649</v>
      </c>
      <c r="E4" s="26">
        <v>5864515358.5536118</v>
      </c>
      <c r="F4" s="46">
        <f>AVERAGE(D4:E4)</f>
        <v>5577927504.8028383</v>
      </c>
      <c r="I4" s="50" t="s">
        <v>21</v>
      </c>
      <c r="J4" s="26">
        <v>8.7866815859383358E-15</v>
      </c>
      <c r="K4" s="26">
        <v>9.7384844878007501E-15</v>
      </c>
      <c r="L4" s="46">
        <f>AVERAGE(J4:K4)</f>
        <v>9.2625830368695429E-15</v>
      </c>
    </row>
    <row r="5" spans="3:12" x14ac:dyDescent="0.3">
      <c r="C5" s="50" t="s">
        <v>31</v>
      </c>
      <c r="D5" s="26">
        <v>7887244096.9003134</v>
      </c>
      <c r="E5" s="26">
        <v>9220723497.6111813</v>
      </c>
      <c r="F5" s="46">
        <f t="shared" ref="F5:F6" si="0">AVERAGE(D5:E5)</f>
        <v>8553983797.2557468</v>
      </c>
      <c r="I5" s="50" t="s">
        <v>31</v>
      </c>
      <c r="J5" s="26">
        <v>1.30973830901699E-14</v>
      </c>
      <c r="K5" s="26">
        <v>1.5311729487896353E-14</v>
      </c>
      <c r="L5" s="46">
        <f>AVERAGE(J5:K5)</f>
        <v>1.4204556289033127E-14</v>
      </c>
    </row>
    <row r="6" spans="3:12" x14ac:dyDescent="0.3">
      <c r="C6" s="50" t="s">
        <v>22</v>
      </c>
      <c r="D6" s="26">
        <v>10955808151.029949</v>
      </c>
      <c r="E6" s="26">
        <v>10458217257.736353</v>
      </c>
      <c r="F6" s="46">
        <f t="shared" si="0"/>
        <v>10707012704.383152</v>
      </c>
      <c r="I6" s="50" t="s">
        <v>22</v>
      </c>
      <c r="J6" s="26">
        <v>1.819297268520416E-14</v>
      </c>
      <c r="K6" s="26">
        <v>1.7366684253962724E-14</v>
      </c>
      <c r="L6" s="46">
        <f>AVERAGE(J6:K6)</f>
        <v>1.7779828469583442E-14</v>
      </c>
    </row>
    <row r="7" spans="3:12" x14ac:dyDescent="0.3">
      <c r="C7" s="50" t="s">
        <v>32</v>
      </c>
      <c r="D7" s="26">
        <v>18388579367.00724</v>
      </c>
      <c r="E7" s="26">
        <v>16782237542.333612</v>
      </c>
      <c r="F7" s="46">
        <f>AVERAGE(D7:E7)</f>
        <v>17585408454.670425</v>
      </c>
      <c r="I7" s="50" t="s">
        <v>32</v>
      </c>
      <c r="J7" s="26">
        <v>3.0535668161752305E-14</v>
      </c>
      <c r="K7" s="26">
        <v>2.7868212458209253E-14</v>
      </c>
      <c r="L7" s="46">
        <f>AVERAGE(J7:K7)</f>
        <v>2.9201940309980781E-14</v>
      </c>
    </row>
    <row r="8" spans="3:12" x14ac:dyDescent="0.3">
      <c r="C8" s="50" t="s">
        <v>43</v>
      </c>
      <c r="D8" s="26">
        <v>24870504947.042179</v>
      </c>
      <c r="E8" s="26">
        <v>25363131280.092144</v>
      </c>
      <c r="F8" s="46">
        <f>AVERAGE(D8:E8)</f>
        <v>25116818113.567162</v>
      </c>
      <c r="I8" s="50" t="s">
        <v>43</v>
      </c>
      <c r="J8" s="26">
        <v>4.1299410406911605E-14</v>
      </c>
      <c r="K8" s="26">
        <v>4.2117454799223072E-14</v>
      </c>
      <c r="L8" s="46">
        <f>AVERAGE(J8:K8)</f>
        <v>4.1708432603067335E-14</v>
      </c>
    </row>
  </sheetData>
  <mergeCells count="2">
    <mergeCell ref="C2:F2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500C_5 mm Flibe_coated+dewar_1</vt:lpstr>
      <vt:lpstr>500C_5 mm Flibe_coated+dewar_2</vt:lpstr>
      <vt:lpstr>550C_5 mm Flibe_coated+dewar_1</vt:lpstr>
      <vt:lpstr>550C_5 mm Flibe_coated+dewar_2</vt:lpstr>
      <vt:lpstr>600C_5 mm Flibe_coated+dewar_1</vt:lpstr>
      <vt:lpstr>600C_5 mm Flibe_coated+dewar_2</vt:lpstr>
      <vt:lpstr>650C_5 mm Flibe_coated+dewar_1</vt:lpstr>
      <vt:lpstr>650C_5 mm Flibe_coated+dewar_2</vt:lpstr>
      <vt:lpstr>700C_5 mm Flibe_coated+dewar_1</vt:lpstr>
      <vt:lpstr>700C_5 mm Flibe_coated+dewar_2</vt:lpstr>
      <vt:lpstr>Avg FLiBe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2026-03-24T16:12:49Z</dcterms:modified>
</cp:coreProperties>
</file>