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4. Permeability estimations_FLiBe_Metal side charging\Ideal coating\"/>
    </mc:Choice>
  </mc:AlternateContent>
  <xr:revisionPtr revIDLastSave="0" documentId="13_ncr:1_{11C64FF9-10C0-47C0-A412-16226622B323}" xr6:coauthVersionLast="47" xr6:coauthVersionMax="47" xr10:uidLastSave="{00000000-0000-0000-0000-000000000000}"/>
  <bookViews>
    <workbookView xWindow="-108" yWindow="-108" windowWidth="23256" windowHeight="12456" tabRatio="711" xr2:uid="{00000000-000D-0000-FFFF-FFFF00000000}"/>
  </bookViews>
  <sheets>
    <sheet name="1D Ø Arrhenius_FLiBe 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20" l="1"/>
  <c r="D31" i="20" l="1"/>
  <c r="D32" i="20"/>
  <c r="D33" i="20"/>
  <c r="D34" i="20"/>
  <c r="D30" i="20"/>
  <c r="D3" i="20"/>
  <c r="D4" i="20"/>
  <c r="D5" i="20"/>
  <c r="D6" i="20"/>
  <c r="D2" i="20"/>
  <c r="E34" i="20" l="1"/>
  <c r="E5" i="20"/>
  <c r="E6" i="20"/>
  <c r="B31" i="20" l="1"/>
  <c r="B32" i="20"/>
  <c r="B33" i="20"/>
  <c r="B34" i="20"/>
  <c r="B30" i="20"/>
  <c r="B5" i="20"/>
  <c r="B6" i="20"/>
  <c r="E33" i="20" l="1"/>
  <c r="E32" i="20"/>
  <c r="E31" i="20"/>
  <c r="M30" i="20"/>
  <c r="M31" i="20" s="1"/>
  <c r="J30" i="20"/>
  <c r="J31" i="20" s="1"/>
  <c r="J32" i="20" s="1"/>
  <c r="E30" i="20"/>
  <c r="E4" i="20"/>
  <c r="B4" i="20"/>
  <c r="E3" i="20"/>
  <c r="B3" i="20"/>
  <c r="M2" i="20"/>
  <c r="M3" i="20" s="1"/>
  <c r="J2" i="20"/>
  <c r="J3" i="20" s="1"/>
  <c r="J4" i="20" s="1"/>
  <c r="E2" i="20"/>
  <c r="B2" i="20"/>
  <c r="K36" i="20" l="1"/>
</calcChain>
</file>

<file path=xl/sharedStrings.xml><?xml version="1.0" encoding="utf-8"?>
<sst xmlns="http://schemas.openxmlformats.org/spreadsheetml/2006/main" count="26" uniqueCount="15">
  <si>
    <t>T</t>
  </si>
  <si>
    <t>1/T (1/K)</t>
  </si>
  <si>
    <t>Slope</t>
  </si>
  <si>
    <t>Y-intercept</t>
  </si>
  <si>
    <t>Value checks and calculations</t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</si>
  <si>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FLiBe</t>
    </r>
    <r>
      <rPr>
        <b/>
        <sz val="11"/>
        <color rgb="FF00B050"/>
        <rFont val="Times New Roman"/>
        <family val="1"/>
      </rPr>
      <t xml:space="preserve"> (H2/m.s.Pa)</t>
    </r>
  </si>
  <si>
    <r>
      <t xml:space="preserve"> Ø</t>
    </r>
    <r>
      <rPr>
        <b/>
        <vertAlign val="subscript"/>
        <sz val="11"/>
        <color rgb="FF00B050"/>
        <rFont val="Times New Roman"/>
        <family val="1"/>
      </rPr>
      <t>FLiBe</t>
    </r>
    <r>
      <rPr>
        <b/>
        <sz val="11"/>
        <color rgb="FF00B050"/>
        <rFont val="Times New Roman"/>
        <family val="1"/>
      </rPr>
      <t xml:space="preserve"> (mol H2/m.s.Pa)</t>
    </r>
  </si>
  <si>
    <r>
      <t>ln  Ø</t>
    </r>
    <r>
      <rPr>
        <b/>
        <vertAlign val="subscript"/>
        <sz val="11"/>
        <color rgb="FF00B050"/>
        <rFont val="Times New Roman"/>
        <family val="1"/>
      </rPr>
      <t>FLiBe</t>
    </r>
  </si>
  <si>
    <r>
      <t>(-E</t>
    </r>
    <r>
      <rPr>
        <vertAlign val="subscript"/>
        <sz val="11"/>
        <color rgb="FF00B050"/>
        <rFont val="Times New Roman"/>
        <family val="1"/>
      </rPr>
      <t>Ø</t>
    </r>
    <r>
      <rPr>
        <sz val="11"/>
        <color rgb="FF00B050"/>
        <rFont val="Calibri"/>
        <family val="2"/>
        <scheme val="minor"/>
      </rPr>
      <t>/R)</t>
    </r>
  </si>
  <si>
    <r>
      <t xml:space="preserve">ln </t>
    </r>
    <r>
      <rPr>
        <sz val="11"/>
        <color rgb="FF00B050"/>
        <rFont val="Times New Roman"/>
        <family val="1"/>
      </rPr>
      <t>Ø</t>
    </r>
    <r>
      <rPr>
        <vertAlign val="subscript"/>
        <sz val="11"/>
        <color rgb="FF00B050"/>
        <rFont val="Calibri"/>
        <family val="2"/>
      </rPr>
      <t>0</t>
    </r>
  </si>
  <si>
    <r>
      <t>E</t>
    </r>
    <r>
      <rPr>
        <vertAlign val="subscript"/>
        <sz val="11"/>
        <color rgb="FF00B050"/>
        <rFont val="Calibri"/>
        <family val="2"/>
        <scheme val="minor"/>
      </rPr>
      <t>Ø</t>
    </r>
    <r>
      <rPr>
        <sz val="11"/>
        <color rgb="FF00B050"/>
        <rFont val="Calibri"/>
        <family val="2"/>
        <scheme val="minor"/>
      </rPr>
      <t>/R</t>
    </r>
  </si>
  <si>
    <r>
      <rPr>
        <b/>
        <sz val="11"/>
        <color rgb="FF00B050"/>
        <rFont val="Times New Roman"/>
        <family val="1"/>
      </rPr>
      <t>Ø</t>
    </r>
    <r>
      <rPr>
        <b/>
        <vertAlign val="subscript"/>
        <sz val="11"/>
        <color rgb="FF00B050"/>
        <rFont val="Calibri"/>
        <family val="2"/>
      </rPr>
      <t>0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</si>
  <si>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</si>
  <si>
    <r>
      <t>E</t>
    </r>
    <r>
      <rPr>
        <b/>
        <vertAlign val="subscript"/>
        <sz val="11"/>
        <color rgb="FF00B050"/>
        <rFont val="Calibri"/>
        <family val="2"/>
        <scheme val="minor"/>
      </rPr>
      <t>Ø</t>
    </r>
    <r>
      <rPr>
        <b/>
        <sz val="11"/>
        <color rgb="FF00B050"/>
        <rFont val="Calibri"/>
        <family val="2"/>
        <scheme val="minor"/>
      </rPr>
      <t xml:space="preserve"> (J)</t>
    </r>
  </si>
  <si>
    <r>
      <t>Uncertainty in Ø</t>
    </r>
    <r>
      <rPr>
        <b/>
        <vertAlign val="subscript"/>
        <sz val="11"/>
        <color rgb="FF00B050"/>
        <rFont val="Times New Roman"/>
        <family val="1"/>
      </rPr>
      <t>FLiBe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</si>
</sst>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  <font>
      <sz val="11"/>
      <color rgb="FF00B050"/>
      <name val="Calibri"/>
      <family val="2"/>
      <scheme val="minor"/>
    </font>
    <font>
      <b/>
      <vertAlign val="subscript"/>
      <sz val="11"/>
      <color rgb="FF00B050"/>
      <name val="Times New Roman"/>
      <family val="1"/>
    </font>
    <font>
      <vertAlign val="subscript"/>
      <sz val="11"/>
      <color rgb="FF00B050"/>
      <name val="Times New Roman"/>
      <family val="1"/>
    </font>
    <font>
      <vertAlign val="subscript"/>
      <sz val="11"/>
      <color rgb="FF00B050"/>
      <name val="Calibri"/>
      <family val="2"/>
    </font>
    <font>
      <vertAlign val="subscript"/>
      <sz val="11"/>
      <color rgb="FF00B050"/>
      <name val="Calibri"/>
      <family val="2"/>
      <scheme val="minor"/>
    </font>
    <font>
      <b/>
      <sz val="11"/>
      <color rgb="FF00B050"/>
      <name val="Calibri"/>
      <family val="1"/>
    </font>
    <font>
      <b/>
      <vertAlign val="subscript"/>
      <sz val="11"/>
      <color rgb="FF00B050"/>
      <name val="Calibri"/>
      <family val="2"/>
    </font>
    <font>
      <b/>
      <sz val="11"/>
      <color rgb="FF00B050"/>
      <name val="Calibri"/>
      <family val="2"/>
      <scheme val="minor"/>
    </font>
    <font>
      <b/>
      <vertAlign val="subscript"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1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0" xfId="0" applyFont="1"/>
    <xf numFmtId="0" fontId="7" fillId="3" borderId="0" xfId="0" applyFont="1" applyFill="1"/>
    <xf numFmtId="11" fontId="6" fillId="2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4" fillId="0" borderId="1" xfId="0" applyFont="1" applyBorder="1" applyAlignment="1">
      <alignment horizontal="center"/>
    </xf>
    <xf numFmtId="11" fontId="14" fillId="0" borderId="1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Arrhenius plot (</a:t>
            </a: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for units H2/m.s.Pa)</a:t>
            </a:r>
            <a:endParaRPr lang="en-US" sz="1400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'!$E$1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4706697513697345E-2"/>
                  <c:y val="-0.350590531070803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'!$B$2:$B$6</c:f>
              <c:numCache>
                <c:formatCode>General</c:formatCode>
                <c:ptCount val="5"/>
                <c:pt idx="0">
                  <c:v>1.29366106080207E-3</c:v>
                </c:pt>
                <c:pt idx="1">
                  <c:v>1.215066828675577E-3</c:v>
                </c:pt>
                <c:pt idx="2">
                  <c:v>1.145475372279496E-3</c:v>
                </c:pt>
                <c:pt idx="3">
                  <c:v>1.0834236186348862E-3</c:v>
                </c:pt>
                <c:pt idx="4">
                  <c:v>1.0277492291880781E-3</c:v>
                </c:pt>
              </c:numCache>
            </c:numRef>
          </c:xVal>
          <c:yVal>
            <c:numRef>
              <c:f>'1D Ø Arrhenius_FLiBe '!$E$2:$E$6</c:f>
              <c:numCache>
                <c:formatCode>General</c:formatCode>
                <c:ptCount val="5"/>
                <c:pt idx="0">
                  <c:v>22.442083129438142</c:v>
                </c:pt>
                <c:pt idx="1">
                  <c:v>22.869662952577688</c:v>
                </c:pt>
                <c:pt idx="2">
                  <c:v>23.09416475667112</c:v>
                </c:pt>
                <c:pt idx="3">
                  <c:v>23.590335330050454</c:v>
                </c:pt>
                <c:pt idx="4">
                  <c:v>23.946803503069873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C7-457A-863E-D03E1B000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559663"/>
        <c:axId val="309560143"/>
      </c:scatterChart>
      <c:valAx>
        <c:axId val="30955966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1/T (K</a:t>
                </a:r>
                <a:r>
                  <a:rPr lang="en-IN" baseline="30000"/>
                  <a:t>-1</a:t>
                </a:r>
                <a:r>
                  <a:rPr lang="en-IN"/>
                  <a:t>)</a:t>
                </a:r>
              </a:p>
            </c:rich>
          </c:tx>
          <c:layout>
            <c:manualLayout>
              <c:xMode val="edge"/>
              <c:yMode val="edge"/>
              <c:x val="0.47513977897440957"/>
              <c:y val="0.883976608187134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60143"/>
        <c:crosses val="autoZero"/>
        <c:crossBetween val="midCat"/>
      </c:valAx>
      <c:valAx>
        <c:axId val="309560143"/>
        <c:scaling>
          <c:orientation val="minMax"/>
          <c:max val="24.5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ln Ø-FLiBe </a:t>
                </a:r>
              </a:p>
            </c:rich>
          </c:tx>
          <c:layout>
            <c:manualLayout>
              <c:xMode val="edge"/>
              <c:yMode val="edge"/>
              <c:x val="1.1552905791173809E-2"/>
              <c:y val="0.283768107933876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09559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Arrhenius plot (for units mol-H2/m.s.Pa)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 Ø Arrhenius_FLiBe '!$E$29</c:f>
              <c:strCache>
                <c:ptCount val="1"/>
                <c:pt idx="0">
                  <c:v>ln  ØFLiBe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1976091318349659E-2"/>
                  <c:y val="-0.35962962962962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'1D Ø Arrhenius_FLiBe '!$B$30:$B$34</c:f>
              <c:numCache>
                <c:formatCode>General</c:formatCode>
                <c:ptCount val="5"/>
                <c:pt idx="0">
                  <c:v>1.29366106080207E-3</c:v>
                </c:pt>
                <c:pt idx="1">
                  <c:v>1.215066828675577E-3</c:v>
                </c:pt>
                <c:pt idx="2">
                  <c:v>1.145475372279496E-3</c:v>
                </c:pt>
                <c:pt idx="3">
                  <c:v>1.0834236186348862E-3</c:v>
                </c:pt>
                <c:pt idx="4">
                  <c:v>1.0277492291880781E-3</c:v>
                </c:pt>
              </c:numCache>
            </c:numRef>
          </c:xVal>
          <c:yVal>
            <c:numRef>
              <c:f>'1D Ø Arrhenius_FLiBe '!$E$30:$E$34</c:f>
              <c:numCache>
                <c:formatCode>General</c:formatCode>
                <c:ptCount val="5"/>
                <c:pt idx="0">
                  <c:v>-32.312793439484452</c:v>
                </c:pt>
                <c:pt idx="1">
                  <c:v>-31.885213616344902</c:v>
                </c:pt>
                <c:pt idx="2">
                  <c:v>-31.660711812251471</c:v>
                </c:pt>
                <c:pt idx="3">
                  <c:v>-31.16454123887214</c:v>
                </c:pt>
                <c:pt idx="4">
                  <c:v>-30.808073065852721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E3-4CD9-8B46-45ACBB92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373343"/>
        <c:axId val="1980373823"/>
      </c:scatterChart>
      <c:valAx>
        <c:axId val="1980373343"/>
        <c:scaling>
          <c:orientation val="minMax"/>
          <c:max val="1.3000000000000004E-3"/>
          <c:min val="1.0200000000000003E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1/T (K</a:t>
                </a:r>
                <a:r>
                  <a:rPr lang="en-IN" sz="1200" b="1" i="0" u="none" strike="noStrike" kern="1200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-1</a:t>
                </a: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47493927284785326"/>
              <c:y val="0.89444444444444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823"/>
        <c:crosses val="autoZero"/>
        <c:crossBetween val="midCat"/>
      </c:valAx>
      <c:valAx>
        <c:axId val="198037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ln Ø-FLiBe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80373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8</xdr:row>
      <xdr:rowOff>3810</xdr:rowOff>
    </xdr:from>
    <xdr:to>
      <xdr:col>6</xdr:col>
      <xdr:colOff>502920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0CBFDF-B576-44CE-873E-BC7342A00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51954</xdr:colOff>
      <xdr:row>36</xdr:row>
      <xdr:rowOff>72304</xdr:rowOff>
    </xdr:from>
    <xdr:to>
      <xdr:col>6</xdr:col>
      <xdr:colOff>423429</xdr:colOff>
      <xdr:row>51</xdr:row>
      <xdr:rowOff>100880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740BE7-CF54-7B9A-4F2F-C389130A5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0FC1-DA03-4ABF-B745-4C84DDDE7C0A}">
  <dimension ref="A1:X50"/>
  <sheetViews>
    <sheetView tabSelected="1" topLeftCell="C1" zoomScaleNormal="100" workbookViewId="0">
      <selection activeCell="J21" sqref="J21"/>
    </sheetView>
  </sheetViews>
  <sheetFormatPr defaultRowHeight="14.4" x14ac:dyDescent="0.3"/>
  <cols>
    <col min="1" max="1" width="8.88671875" style="12"/>
    <col min="2" max="2" width="27.44140625" style="12" customWidth="1"/>
    <col min="3" max="3" width="28.5546875" style="1" customWidth="1"/>
    <col min="4" max="4" width="28.5546875" style="12" customWidth="1"/>
    <col min="5" max="5" width="21.77734375" style="1" customWidth="1"/>
    <col min="6" max="7" width="8.88671875" style="1"/>
    <col min="8" max="8" width="7.21875" style="1" customWidth="1"/>
    <col min="9" max="9" width="6.88671875" style="5" customWidth="1"/>
    <col min="10" max="10" width="26.33203125" style="5" bestFit="1" customWidth="1"/>
    <col min="11" max="11" width="15.5546875" style="1" customWidth="1"/>
    <col min="12" max="12" width="13.5546875" style="1" customWidth="1"/>
    <col min="13" max="13" width="12" style="1" bestFit="1" customWidth="1"/>
    <col min="14" max="16384" width="8.88671875" style="1"/>
  </cols>
  <sheetData>
    <row r="1" spans="1:13" ht="16.2" x14ac:dyDescent="0.35">
      <c r="A1" s="10" t="s">
        <v>0</v>
      </c>
      <c r="B1" s="10" t="s">
        <v>1</v>
      </c>
      <c r="C1" s="10" t="s">
        <v>5</v>
      </c>
      <c r="D1" s="10" t="s">
        <v>14</v>
      </c>
      <c r="E1" s="10" t="s">
        <v>7</v>
      </c>
      <c r="I1" s="15" t="s">
        <v>2</v>
      </c>
      <c r="J1" s="15">
        <v>-5585.5</v>
      </c>
      <c r="K1" s="12"/>
      <c r="L1" s="15" t="s">
        <v>3</v>
      </c>
      <c r="M1" s="15">
        <v>29.629000000000001</v>
      </c>
    </row>
    <row r="2" spans="1:13" ht="16.2" x14ac:dyDescent="0.35">
      <c r="A2" s="11">
        <v>773</v>
      </c>
      <c r="B2" s="11">
        <f>(1/A2)</f>
        <v>1.29366106080207E-3</v>
      </c>
      <c r="C2" s="14">
        <v>5577927504.8028383</v>
      </c>
      <c r="D2" s="14">
        <f>(36.679*C2)/100</f>
        <v>2045928029.4866333</v>
      </c>
      <c r="E2" s="11">
        <f>LN(C2)</f>
        <v>22.442083129438142</v>
      </c>
      <c r="I2" s="15" t="s">
        <v>8</v>
      </c>
      <c r="J2" s="15">
        <f>J1</f>
        <v>-5585.5</v>
      </c>
      <c r="K2" s="12"/>
      <c r="L2" s="15" t="s">
        <v>9</v>
      </c>
      <c r="M2" s="15">
        <f>(M1)</f>
        <v>29.629000000000001</v>
      </c>
    </row>
    <row r="3" spans="1:13" ht="15.6" x14ac:dyDescent="0.35">
      <c r="A3" s="11">
        <v>823</v>
      </c>
      <c r="B3" s="11">
        <f t="shared" ref="B3:B6" si="0">(1/A3)</f>
        <v>1.215066828675577E-3</v>
      </c>
      <c r="C3" s="14">
        <v>8553983797.2557468</v>
      </c>
      <c r="D3" s="14">
        <f t="shared" ref="D3:D6" si="1">(36.679*C3)/100</f>
        <v>3137515716.9954357</v>
      </c>
      <c r="E3" s="11">
        <f t="shared" ref="E3:E6" si="2">LN(C3)</f>
        <v>22.869662952577688</v>
      </c>
      <c r="I3" s="15" t="s">
        <v>10</v>
      </c>
      <c r="J3" s="15">
        <f>(-1)*J2</f>
        <v>5585.5</v>
      </c>
      <c r="K3" s="12"/>
      <c r="L3" s="16" t="s">
        <v>11</v>
      </c>
      <c r="M3" s="17">
        <f>EXP(M2)</f>
        <v>7374137041602.96</v>
      </c>
    </row>
    <row r="4" spans="1:13" ht="15.6" x14ac:dyDescent="0.35">
      <c r="A4" s="11">
        <v>873</v>
      </c>
      <c r="B4" s="11">
        <f t="shared" si="0"/>
        <v>1.145475372279496E-3</v>
      </c>
      <c r="C4" s="14">
        <v>10707012704.383152</v>
      </c>
      <c r="D4" s="14">
        <f t="shared" si="1"/>
        <v>3927225189.8406963</v>
      </c>
      <c r="E4" s="11">
        <f t="shared" si="2"/>
        <v>23.09416475667112</v>
      </c>
      <c r="I4" s="17" t="s">
        <v>12</v>
      </c>
      <c r="J4" s="17">
        <f>(J3*8.314)</f>
        <v>46437.847000000002</v>
      </c>
      <c r="K4" s="12"/>
      <c r="L4" s="12"/>
      <c r="M4" s="12"/>
    </row>
    <row r="5" spans="1:13" x14ac:dyDescent="0.3">
      <c r="A5" s="11">
        <v>923</v>
      </c>
      <c r="B5" s="11">
        <f>(1/A5)</f>
        <v>1.0834236186348862E-3</v>
      </c>
      <c r="C5" s="14">
        <v>17585408454.670425</v>
      </c>
      <c r="D5" s="14">
        <f t="shared" si="1"/>
        <v>6450151967.0885658</v>
      </c>
      <c r="E5" s="11">
        <f>LN(C5)</f>
        <v>23.590335330050454</v>
      </c>
      <c r="I5" s="18"/>
      <c r="J5" s="18"/>
      <c r="K5" s="12"/>
      <c r="L5" s="12"/>
      <c r="M5" s="12"/>
    </row>
    <row r="6" spans="1:13" x14ac:dyDescent="0.3">
      <c r="A6" s="11">
        <v>973</v>
      </c>
      <c r="B6" s="11">
        <f t="shared" si="0"/>
        <v>1.0277492291880781E-3</v>
      </c>
      <c r="C6" s="14">
        <v>25116818113.567162</v>
      </c>
      <c r="D6" s="14">
        <f t="shared" si="1"/>
        <v>9212597715.8752995</v>
      </c>
      <c r="E6" s="11">
        <f t="shared" si="2"/>
        <v>23.946803503069873</v>
      </c>
      <c r="I6" s="19"/>
      <c r="J6" s="19"/>
      <c r="K6" s="12"/>
      <c r="L6" s="12"/>
      <c r="M6" s="12"/>
    </row>
    <row r="7" spans="1:13" x14ac:dyDescent="0.3">
      <c r="I7" s="19"/>
      <c r="J7" s="19"/>
      <c r="K7" s="12"/>
      <c r="L7" s="12"/>
      <c r="M7" s="12"/>
    </row>
    <row r="9" spans="1:13" x14ac:dyDescent="0.3">
      <c r="J9" s="20" t="s">
        <v>4</v>
      </c>
      <c r="K9" s="21">
        <f>(M3*(EXP(-J4/(8.314*973))))</f>
        <v>23694449998.138794</v>
      </c>
    </row>
    <row r="11" spans="1:13" x14ac:dyDescent="0.3">
      <c r="K11" s="6"/>
    </row>
    <row r="15" spans="1:13" x14ac:dyDescent="0.3">
      <c r="J15" s="23"/>
      <c r="K15" s="23"/>
      <c r="L15" s="23"/>
      <c r="M15" s="23"/>
    </row>
    <row r="16" spans="1:13" x14ac:dyDescent="0.3">
      <c r="J16" s="8"/>
      <c r="K16" s="8"/>
      <c r="L16" s="23"/>
      <c r="M16" s="23"/>
    </row>
    <row r="17" spans="1:24" x14ac:dyDescent="0.3">
      <c r="J17" s="2"/>
      <c r="K17" s="2"/>
      <c r="L17" s="23"/>
      <c r="M17" s="23"/>
    </row>
    <row r="18" spans="1:24" x14ac:dyDescent="0.3">
      <c r="J18" s="2"/>
      <c r="K18" s="2"/>
      <c r="L18" s="23"/>
      <c r="M18" s="23"/>
    </row>
    <row r="26" spans="1:24" x14ac:dyDescent="0.3">
      <c r="A26" s="13"/>
      <c r="B26" s="13"/>
      <c r="C26" s="3"/>
      <c r="D26" s="13"/>
      <c r="E26" s="3"/>
      <c r="F26" s="3"/>
      <c r="G26" s="3"/>
      <c r="H26" s="3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">
      <c r="H27"/>
      <c r="I27" s="9"/>
      <c r="J27" s="9"/>
      <c r="K27"/>
      <c r="L27"/>
      <c r="M27"/>
      <c r="N27"/>
    </row>
    <row r="28" spans="1:24" x14ac:dyDescent="0.3">
      <c r="H28"/>
      <c r="I28" s="9"/>
      <c r="J28" s="9"/>
      <c r="K28"/>
      <c r="L28"/>
      <c r="M28"/>
      <c r="N28"/>
    </row>
    <row r="29" spans="1:24" ht="16.2" x14ac:dyDescent="0.35">
      <c r="A29" s="10" t="s">
        <v>0</v>
      </c>
      <c r="B29" s="10" t="s">
        <v>1</v>
      </c>
      <c r="C29" s="10" t="s">
        <v>6</v>
      </c>
      <c r="D29" s="10" t="s">
        <v>14</v>
      </c>
      <c r="E29" s="10" t="s">
        <v>7</v>
      </c>
      <c r="H29" s="12"/>
      <c r="I29" s="15" t="s">
        <v>2</v>
      </c>
      <c r="J29" s="15">
        <v>-5585.5</v>
      </c>
      <c r="K29" s="12"/>
      <c r="L29" s="15" t="s">
        <v>3</v>
      </c>
      <c r="M29" s="15">
        <v>-25.126000000000001</v>
      </c>
      <c r="N29"/>
    </row>
    <row r="30" spans="1:24" ht="16.2" x14ac:dyDescent="0.35">
      <c r="A30" s="11">
        <v>773</v>
      </c>
      <c r="B30" s="11">
        <f>(1/A30)</f>
        <v>1.29366106080207E-3</v>
      </c>
      <c r="C30" s="14">
        <v>9.2625830368695429E-15</v>
      </c>
      <c r="D30" s="14">
        <f>(36.679*C30)/100</f>
        <v>3.3974228320933795E-15</v>
      </c>
      <c r="E30" s="11">
        <f>LN(C30)</f>
        <v>-32.312793439484452</v>
      </c>
      <c r="H30" s="12"/>
      <c r="I30" s="15" t="s">
        <v>8</v>
      </c>
      <c r="J30" s="15">
        <f>J29</f>
        <v>-5585.5</v>
      </c>
      <c r="K30" s="12"/>
      <c r="L30" s="15" t="s">
        <v>9</v>
      </c>
      <c r="M30" s="15">
        <f>(M29)</f>
        <v>-25.126000000000001</v>
      </c>
      <c r="N30"/>
    </row>
    <row r="31" spans="1:24" ht="15.6" x14ac:dyDescent="0.35">
      <c r="A31" s="11">
        <v>823</v>
      </c>
      <c r="B31" s="11">
        <f t="shared" ref="B31:B34" si="3">(1/A31)</f>
        <v>1.215066828675577E-3</v>
      </c>
      <c r="C31" s="14">
        <v>1.4204556289033127E-14</v>
      </c>
      <c r="D31" s="14">
        <f t="shared" ref="D31:D34" si="4">(36.679*C31)/100</f>
        <v>5.2100892012544604E-15</v>
      </c>
      <c r="E31" s="11">
        <f t="shared" ref="E31:E33" si="5">LN(C31)</f>
        <v>-31.885213616344902</v>
      </c>
      <c r="H31" s="12"/>
      <c r="I31" s="15" t="s">
        <v>10</v>
      </c>
      <c r="J31" s="15">
        <f>(-1)*J30</f>
        <v>5585.5</v>
      </c>
      <c r="K31" s="12"/>
      <c r="L31" s="16" t="s">
        <v>11</v>
      </c>
      <c r="M31" s="17">
        <f>EXP(M30)</f>
        <v>1.2243817502646923E-11</v>
      </c>
      <c r="N31"/>
    </row>
    <row r="32" spans="1:24" ht="15.6" x14ac:dyDescent="0.35">
      <c r="A32" s="11">
        <v>873</v>
      </c>
      <c r="B32" s="11">
        <f t="shared" si="3"/>
        <v>1.145475372279496E-3</v>
      </c>
      <c r="C32" s="14">
        <v>1.7779828469583442E-14</v>
      </c>
      <c r="D32" s="14">
        <f t="shared" si="4"/>
        <v>6.5214632843585112E-15</v>
      </c>
      <c r="E32" s="11">
        <f t="shared" si="5"/>
        <v>-31.660711812251471</v>
      </c>
      <c r="H32" s="12"/>
      <c r="I32" s="17" t="s">
        <v>13</v>
      </c>
      <c r="J32" s="17">
        <f>(J31*8.314)</f>
        <v>46437.847000000002</v>
      </c>
      <c r="K32" s="12"/>
      <c r="L32" s="12"/>
      <c r="M32" s="12"/>
      <c r="N32"/>
    </row>
    <row r="33" spans="1:14" x14ac:dyDescent="0.3">
      <c r="A33" s="11">
        <v>923</v>
      </c>
      <c r="B33" s="11">
        <f t="shared" si="3"/>
        <v>1.0834236186348862E-3</v>
      </c>
      <c r="C33" s="14">
        <v>2.9201940309980781E-14</v>
      </c>
      <c r="D33" s="14">
        <f t="shared" si="4"/>
        <v>1.0710979686297852E-14</v>
      </c>
      <c r="E33" s="11">
        <f t="shared" si="5"/>
        <v>-31.16454123887214</v>
      </c>
      <c r="H33" s="12"/>
      <c r="I33" s="19"/>
      <c r="J33" s="19"/>
      <c r="K33" s="12"/>
      <c r="L33" s="12"/>
      <c r="M33" s="12"/>
      <c r="N33"/>
    </row>
    <row r="34" spans="1:14" x14ac:dyDescent="0.3">
      <c r="A34" s="11">
        <v>973</v>
      </c>
      <c r="B34" s="11">
        <f t="shared" si="3"/>
        <v>1.0277492291880781E-3</v>
      </c>
      <c r="C34" s="14">
        <v>4.1708432603067335E-14</v>
      </c>
      <c r="D34" s="14">
        <f t="shared" si="4"/>
        <v>1.5298235994479069E-14</v>
      </c>
      <c r="E34" s="11">
        <f>LN(C34)</f>
        <v>-30.808073065852721</v>
      </c>
    </row>
    <row r="36" spans="1:14" x14ac:dyDescent="0.3">
      <c r="J36" s="20" t="s">
        <v>4</v>
      </c>
      <c r="K36" s="21">
        <f>(M31*(EXP(-J32/(8.314*973))))</f>
        <v>3.9341623293149577E-14</v>
      </c>
    </row>
    <row r="37" spans="1:14" x14ac:dyDescent="0.3">
      <c r="J37" s="9"/>
      <c r="K37"/>
    </row>
    <row r="38" spans="1:14" x14ac:dyDescent="0.3">
      <c r="K38" s="6"/>
    </row>
    <row r="41" spans="1:14" x14ac:dyDescent="0.3">
      <c r="J41" s="23"/>
      <c r="K41" s="23"/>
      <c r="L41" s="23"/>
      <c r="M41" s="23"/>
    </row>
    <row r="42" spans="1:14" x14ac:dyDescent="0.3">
      <c r="J42" s="8"/>
      <c r="K42" s="8"/>
      <c r="L42" s="23"/>
      <c r="M42" s="23"/>
    </row>
    <row r="43" spans="1:14" x14ac:dyDescent="0.3">
      <c r="J43" s="2"/>
      <c r="K43" s="2"/>
      <c r="L43" s="22"/>
      <c r="M43" s="22"/>
    </row>
    <row r="44" spans="1:14" x14ac:dyDescent="0.3">
      <c r="J44" s="2"/>
      <c r="K44" s="2"/>
      <c r="L44" s="22"/>
      <c r="M44" s="22"/>
    </row>
    <row r="48" spans="1:14" x14ac:dyDescent="0.3">
      <c r="J48" s="7"/>
    </row>
    <row r="50" spans="10:10" x14ac:dyDescent="0.3">
      <c r="J50" s="7"/>
    </row>
  </sheetData>
  <mergeCells count="8">
    <mergeCell ref="L43:M43"/>
    <mergeCell ref="L44:M44"/>
    <mergeCell ref="J15:M15"/>
    <mergeCell ref="L16:M16"/>
    <mergeCell ref="L17:M17"/>
    <mergeCell ref="L18:M18"/>
    <mergeCell ref="J41:M41"/>
    <mergeCell ref="L42:M4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1D Ø Arrhenius_FLiBe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2026-03-24T16:21:24Z</dcterms:modified>
</cp:coreProperties>
</file>