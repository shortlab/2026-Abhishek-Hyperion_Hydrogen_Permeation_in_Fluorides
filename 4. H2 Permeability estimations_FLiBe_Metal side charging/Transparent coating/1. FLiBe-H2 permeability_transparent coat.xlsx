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4. Permeability estimations_FLiBe_Metal side charging\Transparent coating\"/>
    </mc:Choice>
  </mc:AlternateContent>
  <xr:revisionPtr revIDLastSave="0" documentId="13_ncr:1_{F3E6EE9C-8165-4F39-AADF-303ADABA0B42}" xr6:coauthVersionLast="47" xr6:coauthVersionMax="47" xr10:uidLastSave="{00000000-0000-0000-0000-000000000000}"/>
  <bookViews>
    <workbookView xWindow="-108" yWindow="-108" windowWidth="23256" windowHeight="12456" tabRatio="774" firstSheet="7" activeTab="10" xr2:uid="{00000000-000D-0000-FFFF-FFFF00000000}"/>
  </bookViews>
  <sheets>
    <sheet name="500C_5 mm Flibe_coated+dewar_1" sheetId="4" r:id="rId1"/>
    <sheet name="500C_5 mm Flibe_coated+dewar_2" sheetId="21" r:id="rId2"/>
    <sheet name="550C_5 mm Flibe_coated+dewar_1" sheetId="12" r:id="rId3"/>
    <sheet name="550C_5 mm Flibe_coated+dewar_2" sheetId="16" r:id="rId4"/>
    <sheet name="600C_5 mm Flibe_coated+dewar_1" sheetId="11" r:id="rId5"/>
    <sheet name="600C_5 mm Flibe_coated+dewar_2" sheetId="14" r:id="rId6"/>
    <sheet name="650C_5 mm Flibe_coated+dewar_1" sheetId="13" r:id="rId7"/>
    <sheet name="650C_5 mm Flibe_coated+dewar_2" sheetId="17" r:id="rId8"/>
    <sheet name="700C_5 mm Flibe_coated+dewar_1" sheetId="18" r:id="rId9"/>
    <sheet name="700C_5 mm Flibe_coated+dewar_2" sheetId="20" r:id="rId10"/>
    <sheet name="Avg FLiBe parameter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0" l="1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2" i="20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2" i="18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2" i="17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2" i="1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2" i="14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2" i="1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2" i="16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2" i="12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2" i="2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2" i="4"/>
  <c r="W3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2" i="21"/>
  <c r="U62" i="21" l="1"/>
  <c r="S62" i="21"/>
  <c r="R62" i="21"/>
  <c r="M62" i="21"/>
  <c r="L62" i="21"/>
  <c r="I62" i="21"/>
  <c r="G62" i="21"/>
  <c r="D62" i="21"/>
  <c r="E62" i="21" s="1"/>
  <c r="B62" i="21"/>
  <c r="U61" i="21"/>
  <c r="S61" i="21"/>
  <c r="R61" i="21"/>
  <c r="M61" i="21"/>
  <c r="L61" i="21"/>
  <c r="I61" i="21"/>
  <c r="G61" i="21"/>
  <c r="D61" i="21"/>
  <c r="E61" i="21" s="1"/>
  <c r="B61" i="21"/>
  <c r="U60" i="21"/>
  <c r="S60" i="21"/>
  <c r="R60" i="21"/>
  <c r="M60" i="21"/>
  <c r="L60" i="21"/>
  <c r="I60" i="21"/>
  <c r="G60" i="21"/>
  <c r="D60" i="21"/>
  <c r="E60" i="21" s="1"/>
  <c r="B60" i="21"/>
  <c r="U59" i="21"/>
  <c r="S59" i="21"/>
  <c r="R59" i="21"/>
  <c r="M59" i="21"/>
  <c r="L59" i="21"/>
  <c r="I59" i="21"/>
  <c r="G59" i="21"/>
  <c r="D59" i="21"/>
  <c r="E59" i="21" s="1"/>
  <c r="B59" i="21"/>
  <c r="U58" i="21"/>
  <c r="S58" i="21"/>
  <c r="R58" i="21"/>
  <c r="M58" i="21"/>
  <c r="L58" i="21"/>
  <c r="I58" i="21"/>
  <c r="G58" i="21"/>
  <c r="D58" i="21"/>
  <c r="E58" i="21" s="1"/>
  <c r="B58" i="21"/>
  <c r="U57" i="21"/>
  <c r="S57" i="21"/>
  <c r="R57" i="21"/>
  <c r="M57" i="21"/>
  <c r="L57" i="21"/>
  <c r="I57" i="21"/>
  <c r="G57" i="21"/>
  <c r="D57" i="21"/>
  <c r="E57" i="21" s="1"/>
  <c r="B57" i="21"/>
  <c r="U56" i="21"/>
  <c r="S56" i="21"/>
  <c r="R56" i="21"/>
  <c r="M56" i="21"/>
  <c r="L56" i="21"/>
  <c r="I56" i="21"/>
  <c r="G56" i="21"/>
  <c r="D56" i="21"/>
  <c r="E56" i="21" s="1"/>
  <c r="B56" i="21"/>
  <c r="U55" i="21"/>
  <c r="S55" i="21"/>
  <c r="R55" i="21"/>
  <c r="M55" i="21"/>
  <c r="L55" i="21"/>
  <c r="I55" i="21"/>
  <c r="G55" i="21"/>
  <c r="D55" i="21"/>
  <c r="E55" i="21" s="1"/>
  <c r="B55" i="21"/>
  <c r="U54" i="21"/>
  <c r="S54" i="21"/>
  <c r="R54" i="21"/>
  <c r="M54" i="21"/>
  <c r="L54" i="21"/>
  <c r="I54" i="21"/>
  <c r="G54" i="21"/>
  <c r="D54" i="21"/>
  <c r="E54" i="21" s="1"/>
  <c r="B54" i="21"/>
  <c r="U53" i="21"/>
  <c r="S53" i="21"/>
  <c r="R53" i="21"/>
  <c r="M53" i="21"/>
  <c r="L53" i="21"/>
  <c r="I53" i="21"/>
  <c r="G53" i="21"/>
  <c r="D53" i="21"/>
  <c r="E53" i="21" s="1"/>
  <c r="B53" i="21"/>
  <c r="U52" i="21"/>
  <c r="S52" i="21"/>
  <c r="R52" i="21"/>
  <c r="M52" i="21"/>
  <c r="L52" i="21"/>
  <c r="I52" i="21"/>
  <c r="G52" i="21"/>
  <c r="D52" i="21"/>
  <c r="E52" i="21" s="1"/>
  <c r="B52" i="21"/>
  <c r="U51" i="21"/>
  <c r="S51" i="21"/>
  <c r="R51" i="21"/>
  <c r="M51" i="21"/>
  <c r="L51" i="21"/>
  <c r="I51" i="21"/>
  <c r="G51" i="21"/>
  <c r="D51" i="21"/>
  <c r="E51" i="21" s="1"/>
  <c r="B51" i="21"/>
  <c r="U50" i="21"/>
  <c r="S50" i="21"/>
  <c r="R50" i="21"/>
  <c r="M50" i="21"/>
  <c r="L50" i="21"/>
  <c r="I50" i="21"/>
  <c r="G50" i="21"/>
  <c r="D50" i="21"/>
  <c r="E50" i="21" s="1"/>
  <c r="B50" i="21"/>
  <c r="U49" i="21"/>
  <c r="S49" i="21"/>
  <c r="R49" i="21"/>
  <c r="M49" i="21"/>
  <c r="L49" i="21"/>
  <c r="I49" i="21"/>
  <c r="G49" i="21"/>
  <c r="D49" i="21"/>
  <c r="E49" i="21" s="1"/>
  <c r="B49" i="21"/>
  <c r="U48" i="21"/>
  <c r="S48" i="21"/>
  <c r="R48" i="21"/>
  <c r="M48" i="21"/>
  <c r="L48" i="21"/>
  <c r="I48" i="21"/>
  <c r="G48" i="21"/>
  <c r="D48" i="21"/>
  <c r="E48" i="21" s="1"/>
  <c r="B48" i="21"/>
  <c r="U47" i="21"/>
  <c r="S47" i="21"/>
  <c r="R47" i="21"/>
  <c r="M47" i="21"/>
  <c r="L47" i="21"/>
  <c r="I47" i="21"/>
  <c r="G47" i="21"/>
  <c r="D47" i="21"/>
  <c r="E47" i="21" s="1"/>
  <c r="B47" i="21"/>
  <c r="U46" i="21"/>
  <c r="S46" i="21"/>
  <c r="R46" i="21"/>
  <c r="M46" i="21"/>
  <c r="L46" i="21"/>
  <c r="V46" i="21" s="1"/>
  <c r="I46" i="21"/>
  <c r="G46" i="21"/>
  <c r="D46" i="21"/>
  <c r="E46" i="21" s="1"/>
  <c r="B46" i="21"/>
  <c r="U45" i="21"/>
  <c r="S45" i="21"/>
  <c r="R45" i="21"/>
  <c r="M45" i="21"/>
  <c r="L45" i="21"/>
  <c r="V45" i="21" s="1"/>
  <c r="I45" i="21"/>
  <c r="G45" i="21"/>
  <c r="D45" i="21"/>
  <c r="E45" i="21" s="1"/>
  <c r="B45" i="21"/>
  <c r="U44" i="21"/>
  <c r="S44" i="21"/>
  <c r="R44" i="21"/>
  <c r="M44" i="21"/>
  <c r="L44" i="21"/>
  <c r="I44" i="21"/>
  <c r="G44" i="21"/>
  <c r="D44" i="21"/>
  <c r="E44" i="21" s="1"/>
  <c r="B44" i="21"/>
  <c r="U43" i="21"/>
  <c r="S43" i="21"/>
  <c r="R43" i="21"/>
  <c r="M43" i="21"/>
  <c r="L43" i="21"/>
  <c r="I43" i="21"/>
  <c r="G43" i="21"/>
  <c r="D43" i="21"/>
  <c r="E43" i="21" s="1"/>
  <c r="B43" i="21"/>
  <c r="U42" i="21"/>
  <c r="S42" i="21"/>
  <c r="R42" i="21"/>
  <c r="M42" i="21"/>
  <c r="L42" i="21"/>
  <c r="I42" i="21"/>
  <c r="G42" i="21"/>
  <c r="D42" i="21"/>
  <c r="E42" i="21" s="1"/>
  <c r="B42" i="21"/>
  <c r="U41" i="21"/>
  <c r="S41" i="21"/>
  <c r="R41" i="21"/>
  <c r="M41" i="21"/>
  <c r="L41" i="21"/>
  <c r="I41" i="21"/>
  <c r="G41" i="21"/>
  <c r="D41" i="21"/>
  <c r="E41" i="21" s="1"/>
  <c r="B41" i="21"/>
  <c r="U40" i="21"/>
  <c r="S40" i="21"/>
  <c r="R40" i="21"/>
  <c r="M40" i="21"/>
  <c r="L40" i="21"/>
  <c r="I40" i="21"/>
  <c r="G40" i="21"/>
  <c r="D40" i="21"/>
  <c r="E40" i="21" s="1"/>
  <c r="B40" i="21"/>
  <c r="U39" i="21"/>
  <c r="S39" i="21"/>
  <c r="R39" i="21"/>
  <c r="M39" i="21"/>
  <c r="L39" i="21"/>
  <c r="I39" i="21"/>
  <c r="G39" i="21"/>
  <c r="D39" i="21"/>
  <c r="E39" i="21" s="1"/>
  <c r="B39" i="21"/>
  <c r="U38" i="21"/>
  <c r="S38" i="21"/>
  <c r="R38" i="21"/>
  <c r="M38" i="21"/>
  <c r="L38" i="21"/>
  <c r="I38" i="21"/>
  <c r="G38" i="21"/>
  <c r="D38" i="21"/>
  <c r="E38" i="21" s="1"/>
  <c r="B38" i="21"/>
  <c r="U37" i="21"/>
  <c r="S37" i="21"/>
  <c r="R37" i="21"/>
  <c r="M37" i="21"/>
  <c r="L37" i="21"/>
  <c r="I37" i="21"/>
  <c r="G37" i="21"/>
  <c r="D37" i="21"/>
  <c r="E37" i="21" s="1"/>
  <c r="B37" i="21"/>
  <c r="U36" i="21"/>
  <c r="S36" i="21"/>
  <c r="R36" i="21"/>
  <c r="M36" i="21"/>
  <c r="L36" i="21"/>
  <c r="I36" i="21"/>
  <c r="G36" i="21"/>
  <c r="D36" i="21"/>
  <c r="E36" i="21" s="1"/>
  <c r="B36" i="21"/>
  <c r="U35" i="21"/>
  <c r="S35" i="21"/>
  <c r="R35" i="21"/>
  <c r="M35" i="21"/>
  <c r="L35" i="21"/>
  <c r="I35" i="21"/>
  <c r="G35" i="21"/>
  <c r="D35" i="21"/>
  <c r="E35" i="21" s="1"/>
  <c r="B35" i="21"/>
  <c r="U34" i="21"/>
  <c r="S34" i="21"/>
  <c r="R34" i="21"/>
  <c r="M34" i="21"/>
  <c r="L34" i="21"/>
  <c r="I34" i="21"/>
  <c r="G34" i="21"/>
  <c r="D34" i="21"/>
  <c r="E34" i="21" s="1"/>
  <c r="B34" i="21"/>
  <c r="U33" i="21"/>
  <c r="S33" i="21"/>
  <c r="R33" i="21"/>
  <c r="M33" i="21"/>
  <c r="L33" i="21"/>
  <c r="I33" i="21"/>
  <c r="G33" i="21"/>
  <c r="D33" i="21"/>
  <c r="E33" i="21" s="1"/>
  <c r="B33" i="21"/>
  <c r="U32" i="21"/>
  <c r="S32" i="21"/>
  <c r="R32" i="21"/>
  <c r="M32" i="21"/>
  <c r="L32" i="21"/>
  <c r="I32" i="21"/>
  <c r="G32" i="21"/>
  <c r="D32" i="21"/>
  <c r="E32" i="21" s="1"/>
  <c r="B32" i="21"/>
  <c r="U31" i="21"/>
  <c r="S31" i="21"/>
  <c r="R31" i="21"/>
  <c r="M31" i="21"/>
  <c r="L31" i="21"/>
  <c r="I31" i="21"/>
  <c r="G31" i="21"/>
  <c r="D31" i="21"/>
  <c r="E31" i="21" s="1"/>
  <c r="B31" i="21"/>
  <c r="U30" i="21"/>
  <c r="S30" i="21"/>
  <c r="R30" i="21"/>
  <c r="M30" i="21"/>
  <c r="L30" i="21"/>
  <c r="I30" i="21"/>
  <c r="G30" i="21"/>
  <c r="D30" i="21"/>
  <c r="E30" i="21" s="1"/>
  <c r="B30" i="21"/>
  <c r="U29" i="21"/>
  <c r="S29" i="21"/>
  <c r="R29" i="21"/>
  <c r="M29" i="21"/>
  <c r="L29" i="21"/>
  <c r="I29" i="21"/>
  <c r="G29" i="21"/>
  <c r="D29" i="21"/>
  <c r="E29" i="21" s="1"/>
  <c r="B29" i="21"/>
  <c r="U28" i="21"/>
  <c r="S28" i="21"/>
  <c r="R28" i="21"/>
  <c r="M28" i="21"/>
  <c r="L28" i="21"/>
  <c r="I28" i="21"/>
  <c r="G28" i="21"/>
  <c r="D28" i="21"/>
  <c r="E28" i="21" s="1"/>
  <c r="B28" i="21"/>
  <c r="U27" i="21"/>
  <c r="S27" i="21"/>
  <c r="R27" i="21"/>
  <c r="M27" i="21"/>
  <c r="L27" i="21"/>
  <c r="I27" i="21"/>
  <c r="G27" i="21"/>
  <c r="D27" i="21"/>
  <c r="E27" i="21" s="1"/>
  <c r="B27" i="21"/>
  <c r="U26" i="21"/>
  <c r="S26" i="21"/>
  <c r="R26" i="21"/>
  <c r="M26" i="21"/>
  <c r="L26" i="21"/>
  <c r="V26" i="21" s="1"/>
  <c r="I26" i="21"/>
  <c r="G26" i="21"/>
  <c r="D26" i="21"/>
  <c r="E26" i="21" s="1"/>
  <c r="B26" i="21"/>
  <c r="U25" i="21"/>
  <c r="S25" i="21"/>
  <c r="R25" i="21"/>
  <c r="M25" i="21"/>
  <c r="L25" i="21"/>
  <c r="I25" i="21"/>
  <c r="G25" i="21"/>
  <c r="D25" i="21"/>
  <c r="E25" i="21" s="1"/>
  <c r="B25" i="21"/>
  <c r="U24" i="21"/>
  <c r="S24" i="21"/>
  <c r="R24" i="21"/>
  <c r="M24" i="21"/>
  <c r="L24" i="21"/>
  <c r="I24" i="21"/>
  <c r="G24" i="21"/>
  <c r="D24" i="21"/>
  <c r="E24" i="21" s="1"/>
  <c r="B24" i="21"/>
  <c r="U23" i="21"/>
  <c r="S23" i="21"/>
  <c r="R23" i="21"/>
  <c r="M23" i="21"/>
  <c r="L23" i="21"/>
  <c r="I23" i="21"/>
  <c r="G23" i="21"/>
  <c r="D23" i="21"/>
  <c r="E23" i="21" s="1"/>
  <c r="B23" i="21"/>
  <c r="U22" i="21"/>
  <c r="S22" i="21"/>
  <c r="R22" i="21"/>
  <c r="M22" i="21"/>
  <c r="L22" i="21"/>
  <c r="I22" i="21"/>
  <c r="G22" i="21"/>
  <c r="D22" i="21"/>
  <c r="E22" i="21" s="1"/>
  <c r="B22" i="21"/>
  <c r="U21" i="21"/>
  <c r="S21" i="21"/>
  <c r="R21" i="21"/>
  <c r="M21" i="21"/>
  <c r="L21" i="21"/>
  <c r="I21" i="21"/>
  <c r="G21" i="21"/>
  <c r="D21" i="21"/>
  <c r="E21" i="21" s="1"/>
  <c r="B21" i="21"/>
  <c r="U20" i="21"/>
  <c r="S20" i="21"/>
  <c r="R20" i="21"/>
  <c r="M20" i="21"/>
  <c r="L20" i="21"/>
  <c r="I20" i="21"/>
  <c r="G20" i="21"/>
  <c r="D20" i="21"/>
  <c r="E20" i="21" s="1"/>
  <c r="B20" i="21"/>
  <c r="U19" i="21"/>
  <c r="S19" i="21"/>
  <c r="R19" i="21"/>
  <c r="M19" i="21"/>
  <c r="L19" i="21"/>
  <c r="I19" i="21"/>
  <c r="G19" i="21"/>
  <c r="D19" i="21"/>
  <c r="E19" i="21" s="1"/>
  <c r="B19" i="21"/>
  <c r="U18" i="21"/>
  <c r="S18" i="21"/>
  <c r="R18" i="21"/>
  <c r="M18" i="21"/>
  <c r="L18" i="21"/>
  <c r="I18" i="21"/>
  <c r="G18" i="21"/>
  <c r="D18" i="21"/>
  <c r="E18" i="21" s="1"/>
  <c r="B18" i="21"/>
  <c r="U17" i="21"/>
  <c r="S17" i="21"/>
  <c r="R17" i="21"/>
  <c r="M17" i="21"/>
  <c r="L17" i="21"/>
  <c r="I17" i="21"/>
  <c r="G17" i="21"/>
  <c r="D17" i="21"/>
  <c r="E17" i="21" s="1"/>
  <c r="B17" i="21"/>
  <c r="U16" i="21"/>
  <c r="S16" i="21"/>
  <c r="R16" i="21"/>
  <c r="M16" i="21"/>
  <c r="L16" i="21"/>
  <c r="I16" i="21"/>
  <c r="G16" i="21"/>
  <c r="D16" i="21"/>
  <c r="E16" i="21" s="1"/>
  <c r="B16" i="21"/>
  <c r="U15" i="21"/>
  <c r="S15" i="21"/>
  <c r="R15" i="21"/>
  <c r="M15" i="21"/>
  <c r="L15" i="21"/>
  <c r="I15" i="21"/>
  <c r="G15" i="21"/>
  <c r="D15" i="21"/>
  <c r="E15" i="21" s="1"/>
  <c r="B15" i="21"/>
  <c r="U14" i="21"/>
  <c r="S14" i="21"/>
  <c r="R14" i="21"/>
  <c r="M14" i="21"/>
  <c r="L14" i="21"/>
  <c r="I14" i="21"/>
  <c r="G14" i="21"/>
  <c r="D14" i="21"/>
  <c r="E14" i="21" s="1"/>
  <c r="B14" i="21"/>
  <c r="U13" i="21"/>
  <c r="S13" i="21"/>
  <c r="R13" i="21"/>
  <c r="M13" i="21"/>
  <c r="L13" i="21"/>
  <c r="I13" i="21"/>
  <c r="G13" i="21"/>
  <c r="D13" i="21"/>
  <c r="E13" i="21" s="1"/>
  <c r="B13" i="21"/>
  <c r="U12" i="21"/>
  <c r="S12" i="21"/>
  <c r="R12" i="21"/>
  <c r="M12" i="21"/>
  <c r="L12" i="21"/>
  <c r="I12" i="21"/>
  <c r="G12" i="21"/>
  <c r="D12" i="21"/>
  <c r="E12" i="21" s="1"/>
  <c r="B12" i="21"/>
  <c r="U11" i="21"/>
  <c r="S11" i="21"/>
  <c r="R11" i="21"/>
  <c r="M11" i="21"/>
  <c r="L11" i="21"/>
  <c r="I11" i="21"/>
  <c r="G11" i="21"/>
  <c r="D11" i="21"/>
  <c r="E11" i="21" s="1"/>
  <c r="B11" i="21"/>
  <c r="U10" i="21"/>
  <c r="S10" i="21"/>
  <c r="R10" i="21"/>
  <c r="M10" i="21"/>
  <c r="L10" i="21"/>
  <c r="I10" i="21"/>
  <c r="G10" i="21"/>
  <c r="D10" i="21"/>
  <c r="E10" i="21" s="1"/>
  <c r="B10" i="21"/>
  <c r="U9" i="21"/>
  <c r="S9" i="21"/>
  <c r="R9" i="21"/>
  <c r="M9" i="21"/>
  <c r="L9" i="21"/>
  <c r="I9" i="21"/>
  <c r="G9" i="21"/>
  <c r="D9" i="21"/>
  <c r="E9" i="21" s="1"/>
  <c r="B9" i="21"/>
  <c r="U8" i="21"/>
  <c r="S8" i="21"/>
  <c r="R8" i="21"/>
  <c r="M8" i="21"/>
  <c r="L8" i="21"/>
  <c r="I8" i="21"/>
  <c r="G8" i="21"/>
  <c r="D8" i="21"/>
  <c r="E8" i="21" s="1"/>
  <c r="B8" i="21"/>
  <c r="U7" i="21"/>
  <c r="S7" i="21"/>
  <c r="R7" i="21"/>
  <c r="M7" i="21"/>
  <c r="L7" i="21"/>
  <c r="I7" i="21"/>
  <c r="G7" i="21"/>
  <c r="D7" i="21"/>
  <c r="E7" i="21" s="1"/>
  <c r="B7" i="21"/>
  <c r="U6" i="21"/>
  <c r="S6" i="21"/>
  <c r="R6" i="21"/>
  <c r="M6" i="21"/>
  <c r="L6" i="21"/>
  <c r="I6" i="21"/>
  <c r="G6" i="21"/>
  <c r="D6" i="21"/>
  <c r="E6" i="21" s="1"/>
  <c r="B6" i="21"/>
  <c r="U5" i="21"/>
  <c r="S5" i="21"/>
  <c r="R5" i="21"/>
  <c r="M5" i="21"/>
  <c r="L5" i="21"/>
  <c r="V5" i="21" s="1"/>
  <c r="I5" i="21"/>
  <c r="G5" i="21"/>
  <c r="D5" i="21"/>
  <c r="E5" i="21" s="1"/>
  <c r="B5" i="21"/>
  <c r="U4" i="21"/>
  <c r="S4" i="21"/>
  <c r="R4" i="21"/>
  <c r="M4" i="21"/>
  <c r="L4" i="21"/>
  <c r="V4" i="21" s="1"/>
  <c r="I4" i="21"/>
  <c r="G4" i="21"/>
  <c r="D4" i="21"/>
  <c r="E4" i="21" s="1"/>
  <c r="B4" i="21"/>
  <c r="U3" i="21"/>
  <c r="S3" i="21"/>
  <c r="R3" i="21"/>
  <c r="M3" i="21"/>
  <c r="L3" i="21"/>
  <c r="I3" i="21"/>
  <c r="G3" i="21"/>
  <c r="D3" i="21"/>
  <c r="E3" i="21" s="1"/>
  <c r="B3" i="21"/>
  <c r="U2" i="21"/>
  <c r="S2" i="21"/>
  <c r="R2" i="21"/>
  <c r="M2" i="21"/>
  <c r="L2" i="21"/>
  <c r="I2" i="21"/>
  <c r="G2" i="21"/>
  <c r="D2" i="21"/>
  <c r="E2" i="21" s="1"/>
  <c r="B2" i="21"/>
  <c r="L60" i="20"/>
  <c r="M60" i="20"/>
  <c r="R60" i="20"/>
  <c r="S60" i="20"/>
  <c r="U60" i="20"/>
  <c r="W60" i="20"/>
  <c r="L61" i="20"/>
  <c r="M61" i="20"/>
  <c r="R61" i="20"/>
  <c r="S61" i="20"/>
  <c r="U61" i="20"/>
  <c r="W61" i="20"/>
  <c r="L62" i="20"/>
  <c r="M62" i="20"/>
  <c r="R62" i="20"/>
  <c r="S62" i="20"/>
  <c r="U62" i="20"/>
  <c r="W62" i="20"/>
  <c r="L63" i="20"/>
  <c r="M63" i="20"/>
  <c r="R63" i="20"/>
  <c r="S63" i="20"/>
  <c r="U63" i="20"/>
  <c r="W63" i="20"/>
  <c r="L64" i="20"/>
  <c r="M64" i="20"/>
  <c r="R64" i="20"/>
  <c r="S64" i="20"/>
  <c r="U64" i="20"/>
  <c r="W64" i="20"/>
  <c r="L65" i="20"/>
  <c r="M65" i="20"/>
  <c r="R65" i="20"/>
  <c r="S65" i="20"/>
  <c r="U65" i="20"/>
  <c r="W65" i="20"/>
  <c r="L66" i="20"/>
  <c r="M66" i="20"/>
  <c r="R66" i="20"/>
  <c r="S66" i="20"/>
  <c r="U66" i="20"/>
  <c r="W66" i="20"/>
  <c r="L67" i="20"/>
  <c r="M67" i="20"/>
  <c r="R67" i="20"/>
  <c r="S67" i="20"/>
  <c r="U67" i="20"/>
  <c r="W67" i="20"/>
  <c r="L68" i="20"/>
  <c r="M68" i="20"/>
  <c r="R68" i="20"/>
  <c r="S68" i="20"/>
  <c r="U68" i="20"/>
  <c r="W68" i="20"/>
  <c r="L69" i="20"/>
  <c r="M69" i="20"/>
  <c r="R69" i="20"/>
  <c r="S69" i="20"/>
  <c r="U69" i="20"/>
  <c r="W69" i="20"/>
  <c r="L70" i="20"/>
  <c r="M70" i="20"/>
  <c r="R70" i="20"/>
  <c r="S70" i="20"/>
  <c r="U70" i="20"/>
  <c r="W70" i="20"/>
  <c r="L71" i="20"/>
  <c r="M71" i="20"/>
  <c r="R71" i="20"/>
  <c r="S71" i="20"/>
  <c r="U71" i="20"/>
  <c r="W71" i="20"/>
  <c r="L72" i="20"/>
  <c r="V72" i="20" s="1"/>
  <c r="M72" i="20"/>
  <c r="R72" i="20"/>
  <c r="S72" i="20"/>
  <c r="U72" i="20"/>
  <c r="W72" i="20"/>
  <c r="L73" i="20"/>
  <c r="M73" i="20"/>
  <c r="R73" i="20"/>
  <c r="S73" i="20"/>
  <c r="U73" i="20"/>
  <c r="W73" i="20"/>
  <c r="L74" i="20"/>
  <c r="M74" i="20"/>
  <c r="R74" i="20"/>
  <c r="S74" i="20"/>
  <c r="U74" i="20"/>
  <c r="W74" i="20"/>
  <c r="L75" i="20"/>
  <c r="M75" i="20"/>
  <c r="R75" i="20"/>
  <c r="S75" i="20"/>
  <c r="U75" i="20"/>
  <c r="W75" i="20"/>
  <c r="L76" i="20"/>
  <c r="M76" i="20"/>
  <c r="R76" i="20"/>
  <c r="S76" i="20"/>
  <c r="U76" i="20"/>
  <c r="W76" i="20"/>
  <c r="L77" i="20"/>
  <c r="M77" i="20"/>
  <c r="R77" i="20"/>
  <c r="S77" i="20"/>
  <c r="U77" i="20"/>
  <c r="W77" i="20"/>
  <c r="L78" i="20"/>
  <c r="M78" i="20"/>
  <c r="R78" i="20"/>
  <c r="S78" i="20"/>
  <c r="U78" i="20"/>
  <c r="W78" i="20"/>
  <c r="L79" i="20"/>
  <c r="M79" i="20"/>
  <c r="R79" i="20"/>
  <c r="S79" i="20"/>
  <c r="U79" i="20"/>
  <c r="W79" i="20"/>
  <c r="L80" i="20"/>
  <c r="M80" i="20"/>
  <c r="R80" i="20"/>
  <c r="S80" i="20"/>
  <c r="U80" i="20"/>
  <c r="W80" i="20"/>
  <c r="L81" i="20"/>
  <c r="M81" i="20"/>
  <c r="R81" i="20"/>
  <c r="S81" i="20"/>
  <c r="U81" i="20"/>
  <c r="W81" i="20"/>
  <c r="L82" i="20"/>
  <c r="M82" i="20"/>
  <c r="R82" i="20"/>
  <c r="S82" i="20"/>
  <c r="U82" i="20"/>
  <c r="W82" i="20"/>
  <c r="B60" i="20"/>
  <c r="D60" i="20"/>
  <c r="E60" i="20" s="1"/>
  <c r="G60" i="20"/>
  <c r="I60" i="20"/>
  <c r="B61" i="20"/>
  <c r="D61" i="20"/>
  <c r="E61" i="20" s="1"/>
  <c r="G61" i="20"/>
  <c r="I61" i="20"/>
  <c r="B62" i="20"/>
  <c r="D62" i="20"/>
  <c r="E62" i="20" s="1"/>
  <c r="G62" i="20"/>
  <c r="I62" i="20"/>
  <c r="B63" i="20"/>
  <c r="D63" i="20"/>
  <c r="E63" i="20" s="1"/>
  <c r="G63" i="20"/>
  <c r="I63" i="20"/>
  <c r="B64" i="20"/>
  <c r="D64" i="20"/>
  <c r="E64" i="20"/>
  <c r="G64" i="20"/>
  <c r="I64" i="20"/>
  <c r="B65" i="20"/>
  <c r="D65" i="20"/>
  <c r="E65" i="20" s="1"/>
  <c r="G65" i="20"/>
  <c r="I65" i="20"/>
  <c r="B66" i="20"/>
  <c r="D66" i="20"/>
  <c r="E66" i="20"/>
  <c r="G66" i="20"/>
  <c r="I66" i="20"/>
  <c r="J66" i="20" s="1"/>
  <c r="B67" i="20"/>
  <c r="D67" i="20"/>
  <c r="E67" i="20" s="1"/>
  <c r="G67" i="20"/>
  <c r="I67" i="20"/>
  <c r="B68" i="20"/>
  <c r="D68" i="20"/>
  <c r="E68" i="20"/>
  <c r="G68" i="20"/>
  <c r="I68" i="20"/>
  <c r="B69" i="20"/>
  <c r="D69" i="20"/>
  <c r="E69" i="20" s="1"/>
  <c r="G69" i="20"/>
  <c r="I69" i="20"/>
  <c r="B70" i="20"/>
  <c r="D70" i="20"/>
  <c r="E70" i="20" s="1"/>
  <c r="G70" i="20"/>
  <c r="I70" i="20"/>
  <c r="B71" i="20"/>
  <c r="D71" i="20"/>
  <c r="E71" i="20" s="1"/>
  <c r="G71" i="20"/>
  <c r="I71" i="20"/>
  <c r="B72" i="20"/>
  <c r="D72" i="20"/>
  <c r="E72" i="20" s="1"/>
  <c r="G72" i="20"/>
  <c r="I72" i="20"/>
  <c r="B73" i="20"/>
  <c r="D73" i="20"/>
  <c r="E73" i="20" s="1"/>
  <c r="G73" i="20"/>
  <c r="I73" i="20"/>
  <c r="B74" i="20"/>
  <c r="D74" i="20"/>
  <c r="E74" i="20" s="1"/>
  <c r="G74" i="20"/>
  <c r="I74" i="20"/>
  <c r="B75" i="20"/>
  <c r="D75" i="20"/>
  <c r="E75" i="20" s="1"/>
  <c r="G75" i="20"/>
  <c r="I75" i="20"/>
  <c r="B76" i="20"/>
  <c r="D76" i="20"/>
  <c r="E76" i="20" s="1"/>
  <c r="J76" i="20" s="1"/>
  <c r="G76" i="20"/>
  <c r="I76" i="20"/>
  <c r="B77" i="20"/>
  <c r="D77" i="20"/>
  <c r="E77" i="20" s="1"/>
  <c r="G77" i="20"/>
  <c r="I77" i="20"/>
  <c r="B78" i="20"/>
  <c r="D78" i="20"/>
  <c r="E78" i="20" s="1"/>
  <c r="G78" i="20"/>
  <c r="I78" i="20"/>
  <c r="B79" i="20"/>
  <c r="D79" i="20"/>
  <c r="E79" i="20" s="1"/>
  <c r="G79" i="20"/>
  <c r="I79" i="20"/>
  <c r="B80" i="20"/>
  <c r="D80" i="20"/>
  <c r="E80" i="20" s="1"/>
  <c r="G80" i="20"/>
  <c r="I80" i="20"/>
  <c r="B81" i="20"/>
  <c r="D81" i="20"/>
  <c r="E81" i="20" s="1"/>
  <c r="G81" i="20"/>
  <c r="I81" i="20"/>
  <c r="B82" i="20"/>
  <c r="D82" i="20"/>
  <c r="E82" i="20" s="1"/>
  <c r="G82" i="20"/>
  <c r="I82" i="20"/>
  <c r="W59" i="20"/>
  <c r="U59" i="20"/>
  <c r="S59" i="20"/>
  <c r="R59" i="20"/>
  <c r="M59" i="20"/>
  <c r="L59" i="20"/>
  <c r="I59" i="20"/>
  <c r="G59" i="20"/>
  <c r="D59" i="20"/>
  <c r="E59" i="20" s="1"/>
  <c r="B59" i="20"/>
  <c r="W58" i="20"/>
  <c r="U58" i="20"/>
  <c r="S58" i="20"/>
  <c r="R58" i="20"/>
  <c r="M58" i="20"/>
  <c r="L58" i="20"/>
  <c r="I58" i="20"/>
  <c r="G58" i="20"/>
  <c r="D58" i="20"/>
  <c r="E58" i="20" s="1"/>
  <c r="B58" i="20"/>
  <c r="W57" i="20"/>
  <c r="U57" i="20"/>
  <c r="S57" i="20"/>
  <c r="R57" i="20"/>
  <c r="M57" i="20"/>
  <c r="L57" i="20"/>
  <c r="I57" i="20"/>
  <c r="G57" i="20"/>
  <c r="D57" i="20"/>
  <c r="E57" i="20" s="1"/>
  <c r="B57" i="20"/>
  <c r="W56" i="20"/>
  <c r="U56" i="20"/>
  <c r="S56" i="20"/>
  <c r="R56" i="20"/>
  <c r="M56" i="20"/>
  <c r="L56" i="20"/>
  <c r="I56" i="20"/>
  <c r="G56" i="20"/>
  <c r="D56" i="20"/>
  <c r="E56" i="20" s="1"/>
  <c r="B56" i="20"/>
  <c r="W55" i="20"/>
  <c r="U55" i="20"/>
  <c r="S55" i="20"/>
  <c r="R55" i="20"/>
  <c r="M55" i="20"/>
  <c r="L55" i="20"/>
  <c r="I55" i="20"/>
  <c r="G55" i="20"/>
  <c r="D55" i="20"/>
  <c r="E55" i="20" s="1"/>
  <c r="B55" i="20"/>
  <c r="W54" i="20"/>
  <c r="U54" i="20"/>
  <c r="S54" i="20"/>
  <c r="R54" i="20"/>
  <c r="M54" i="20"/>
  <c r="L54" i="20"/>
  <c r="I54" i="20"/>
  <c r="G54" i="20"/>
  <c r="D54" i="20"/>
  <c r="E54" i="20" s="1"/>
  <c r="B54" i="20"/>
  <c r="W53" i="20"/>
  <c r="U53" i="20"/>
  <c r="S53" i="20"/>
  <c r="R53" i="20"/>
  <c r="M53" i="20"/>
  <c r="L53" i="20"/>
  <c r="I53" i="20"/>
  <c r="G53" i="20"/>
  <c r="D53" i="20"/>
  <c r="E53" i="20" s="1"/>
  <c r="B53" i="20"/>
  <c r="W52" i="20"/>
  <c r="U52" i="20"/>
  <c r="S52" i="20"/>
  <c r="R52" i="20"/>
  <c r="M52" i="20"/>
  <c r="L52" i="20"/>
  <c r="I52" i="20"/>
  <c r="G52" i="20"/>
  <c r="D52" i="20"/>
  <c r="E52" i="20" s="1"/>
  <c r="B52" i="20"/>
  <c r="W51" i="20"/>
  <c r="U51" i="20"/>
  <c r="S51" i="20"/>
  <c r="R51" i="20"/>
  <c r="M51" i="20"/>
  <c r="L51" i="20"/>
  <c r="I51" i="20"/>
  <c r="G51" i="20"/>
  <c r="D51" i="20"/>
  <c r="E51" i="20" s="1"/>
  <c r="B51" i="20"/>
  <c r="W50" i="20"/>
  <c r="U50" i="20"/>
  <c r="S50" i="20"/>
  <c r="R50" i="20"/>
  <c r="M50" i="20"/>
  <c r="L50" i="20"/>
  <c r="I50" i="20"/>
  <c r="G50" i="20"/>
  <c r="D50" i="20"/>
  <c r="E50" i="20" s="1"/>
  <c r="B50" i="20"/>
  <c r="W49" i="20"/>
  <c r="U49" i="20"/>
  <c r="S49" i="20"/>
  <c r="R49" i="20"/>
  <c r="M49" i="20"/>
  <c r="L49" i="20"/>
  <c r="I49" i="20"/>
  <c r="G49" i="20"/>
  <c r="D49" i="20"/>
  <c r="E49" i="20" s="1"/>
  <c r="B49" i="20"/>
  <c r="W48" i="20"/>
  <c r="U48" i="20"/>
  <c r="S48" i="20"/>
  <c r="R48" i="20"/>
  <c r="M48" i="20"/>
  <c r="L48" i="20"/>
  <c r="I48" i="20"/>
  <c r="G48" i="20"/>
  <c r="D48" i="20"/>
  <c r="E48" i="20" s="1"/>
  <c r="B48" i="20"/>
  <c r="W47" i="20"/>
  <c r="U47" i="20"/>
  <c r="S47" i="20"/>
  <c r="R47" i="20"/>
  <c r="M47" i="20"/>
  <c r="L47" i="20"/>
  <c r="I47" i="20"/>
  <c r="G47" i="20"/>
  <c r="D47" i="20"/>
  <c r="E47" i="20" s="1"/>
  <c r="B47" i="20"/>
  <c r="W46" i="20"/>
  <c r="U46" i="20"/>
  <c r="S46" i="20"/>
  <c r="R46" i="20"/>
  <c r="M46" i="20"/>
  <c r="L46" i="20"/>
  <c r="I46" i="20"/>
  <c r="G46" i="20"/>
  <c r="D46" i="20"/>
  <c r="E46" i="20" s="1"/>
  <c r="B46" i="20"/>
  <c r="W45" i="20"/>
  <c r="U45" i="20"/>
  <c r="S45" i="20"/>
  <c r="R45" i="20"/>
  <c r="M45" i="20"/>
  <c r="L45" i="20"/>
  <c r="I45" i="20"/>
  <c r="G45" i="20"/>
  <c r="D45" i="20"/>
  <c r="E45" i="20" s="1"/>
  <c r="B45" i="20"/>
  <c r="W44" i="20"/>
  <c r="U44" i="20"/>
  <c r="S44" i="20"/>
  <c r="R44" i="20"/>
  <c r="M44" i="20"/>
  <c r="L44" i="20"/>
  <c r="I44" i="20"/>
  <c r="G44" i="20"/>
  <c r="D44" i="20"/>
  <c r="E44" i="20" s="1"/>
  <c r="B44" i="20"/>
  <c r="W43" i="20"/>
  <c r="U43" i="20"/>
  <c r="S43" i="20"/>
  <c r="R43" i="20"/>
  <c r="M43" i="20"/>
  <c r="L43" i="20"/>
  <c r="I43" i="20"/>
  <c r="G43" i="20"/>
  <c r="D43" i="20"/>
  <c r="E43" i="20" s="1"/>
  <c r="B43" i="20"/>
  <c r="W42" i="20"/>
  <c r="U42" i="20"/>
  <c r="S42" i="20"/>
  <c r="R42" i="20"/>
  <c r="M42" i="20"/>
  <c r="L42" i="20"/>
  <c r="I42" i="20"/>
  <c r="G42" i="20"/>
  <c r="D42" i="20"/>
  <c r="E42" i="20" s="1"/>
  <c r="B42" i="20"/>
  <c r="W41" i="20"/>
  <c r="U41" i="20"/>
  <c r="S41" i="20"/>
  <c r="R41" i="20"/>
  <c r="M41" i="20"/>
  <c r="L41" i="20"/>
  <c r="I41" i="20"/>
  <c r="G41" i="20"/>
  <c r="D41" i="20"/>
  <c r="E41" i="20" s="1"/>
  <c r="B41" i="20"/>
  <c r="W40" i="20"/>
  <c r="U40" i="20"/>
  <c r="S40" i="20"/>
  <c r="R40" i="20"/>
  <c r="M40" i="20"/>
  <c r="L40" i="20"/>
  <c r="I40" i="20"/>
  <c r="G40" i="20"/>
  <c r="D40" i="20"/>
  <c r="E40" i="20" s="1"/>
  <c r="J40" i="20" s="1"/>
  <c r="B40" i="20"/>
  <c r="W39" i="20"/>
  <c r="U39" i="20"/>
  <c r="S39" i="20"/>
  <c r="R39" i="20"/>
  <c r="M39" i="20"/>
  <c r="L39" i="20"/>
  <c r="I39" i="20"/>
  <c r="G39" i="20"/>
  <c r="D39" i="20"/>
  <c r="E39" i="20" s="1"/>
  <c r="B39" i="20"/>
  <c r="W38" i="20"/>
  <c r="U38" i="20"/>
  <c r="S38" i="20"/>
  <c r="R38" i="20"/>
  <c r="M38" i="20"/>
  <c r="L38" i="20"/>
  <c r="I38" i="20"/>
  <c r="G38" i="20"/>
  <c r="D38" i="20"/>
  <c r="E38" i="20" s="1"/>
  <c r="B38" i="20"/>
  <c r="W37" i="20"/>
  <c r="U37" i="20"/>
  <c r="S37" i="20"/>
  <c r="R37" i="20"/>
  <c r="M37" i="20"/>
  <c r="L37" i="20"/>
  <c r="I37" i="20"/>
  <c r="G37" i="20"/>
  <c r="D37" i="20"/>
  <c r="E37" i="20" s="1"/>
  <c r="B37" i="20"/>
  <c r="W36" i="20"/>
  <c r="U36" i="20"/>
  <c r="S36" i="20"/>
  <c r="R36" i="20"/>
  <c r="M36" i="20"/>
  <c r="L36" i="20"/>
  <c r="I36" i="20"/>
  <c r="G36" i="20"/>
  <c r="D36" i="20"/>
  <c r="E36" i="20" s="1"/>
  <c r="B36" i="20"/>
  <c r="W35" i="20"/>
  <c r="U35" i="20"/>
  <c r="S35" i="20"/>
  <c r="R35" i="20"/>
  <c r="M35" i="20"/>
  <c r="L35" i="20"/>
  <c r="I35" i="20"/>
  <c r="G35" i="20"/>
  <c r="D35" i="20"/>
  <c r="E35" i="20" s="1"/>
  <c r="B35" i="20"/>
  <c r="W34" i="20"/>
  <c r="U34" i="20"/>
  <c r="S34" i="20"/>
  <c r="R34" i="20"/>
  <c r="M34" i="20"/>
  <c r="L34" i="20"/>
  <c r="I34" i="20"/>
  <c r="G34" i="20"/>
  <c r="D34" i="20"/>
  <c r="E34" i="20" s="1"/>
  <c r="B34" i="20"/>
  <c r="W33" i="20"/>
  <c r="U33" i="20"/>
  <c r="S33" i="20"/>
  <c r="R33" i="20"/>
  <c r="M33" i="20"/>
  <c r="L33" i="20"/>
  <c r="I33" i="20"/>
  <c r="G33" i="20"/>
  <c r="D33" i="20"/>
  <c r="E33" i="20" s="1"/>
  <c r="B33" i="20"/>
  <c r="W32" i="20"/>
  <c r="U32" i="20"/>
  <c r="S32" i="20"/>
  <c r="R32" i="20"/>
  <c r="M32" i="20"/>
  <c r="L32" i="20"/>
  <c r="I32" i="20"/>
  <c r="G32" i="20"/>
  <c r="D32" i="20"/>
  <c r="E32" i="20" s="1"/>
  <c r="B32" i="20"/>
  <c r="W31" i="20"/>
  <c r="U31" i="20"/>
  <c r="S31" i="20"/>
  <c r="R31" i="20"/>
  <c r="M31" i="20"/>
  <c r="L31" i="20"/>
  <c r="I31" i="20"/>
  <c r="G31" i="20"/>
  <c r="D31" i="20"/>
  <c r="E31" i="20" s="1"/>
  <c r="B31" i="20"/>
  <c r="W30" i="20"/>
  <c r="U30" i="20"/>
  <c r="S30" i="20"/>
  <c r="R30" i="20"/>
  <c r="M30" i="20"/>
  <c r="L30" i="20"/>
  <c r="I30" i="20"/>
  <c r="G30" i="20"/>
  <c r="D30" i="20"/>
  <c r="E30" i="20" s="1"/>
  <c r="B30" i="20"/>
  <c r="W29" i="20"/>
  <c r="U29" i="20"/>
  <c r="S29" i="20"/>
  <c r="R29" i="20"/>
  <c r="M29" i="20"/>
  <c r="L29" i="20"/>
  <c r="I29" i="20"/>
  <c r="G29" i="20"/>
  <c r="D29" i="20"/>
  <c r="E29" i="20" s="1"/>
  <c r="B29" i="20"/>
  <c r="W28" i="20"/>
  <c r="U28" i="20"/>
  <c r="S28" i="20"/>
  <c r="R28" i="20"/>
  <c r="M28" i="20"/>
  <c r="L28" i="20"/>
  <c r="I28" i="20"/>
  <c r="G28" i="20"/>
  <c r="D28" i="20"/>
  <c r="E28" i="20" s="1"/>
  <c r="J28" i="20" s="1"/>
  <c r="B28" i="20"/>
  <c r="W27" i="20"/>
  <c r="U27" i="20"/>
  <c r="S27" i="20"/>
  <c r="R27" i="20"/>
  <c r="M27" i="20"/>
  <c r="L27" i="20"/>
  <c r="I27" i="20"/>
  <c r="G27" i="20"/>
  <c r="D27" i="20"/>
  <c r="E27" i="20" s="1"/>
  <c r="B27" i="20"/>
  <c r="W26" i="20"/>
  <c r="U26" i="20"/>
  <c r="S26" i="20"/>
  <c r="R26" i="20"/>
  <c r="M26" i="20"/>
  <c r="L26" i="20"/>
  <c r="I26" i="20"/>
  <c r="G26" i="20"/>
  <c r="D26" i="20"/>
  <c r="E26" i="20" s="1"/>
  <c r="B26" i="20"/>
  <c r="W25" i="20"/>
  <c r="U25" i="20"/>
  <c r="S25" i="20"/>
  <c r="R25" i="20"/>
  <c r="M25" i="20"/>
  <c r="L25" i="20"/>
  <c r="I25" i="20"/>
  <c r="G25" i="20"/>
  <c r="D25" i="20"/>
  <c r="E25" i="20" s="1"/>
  <c r="B25" i="20"/>
  <c r="W24" i="20"/>
  <c r="U24" i="20"/>
  <c r="S24" i="20"/>
  <c r="R24" i="20"/>
  <c r="M24" i="20"/>
  <c r="L24" i="20"/>
  <c r="I24" i="20"/>
  <c r="G24" i="20"/>
  <c r="D24" i="20"/>
  <c r="E24" i="20" s="1"/>
  <c r="B24" i="20"/>
  <c r="W23" i="20"/>
  <c r="U23" i="20"/>
  <c r="S23" i="20"/>
  <c r="R23" i="20"/>
  <c r="M23" i="20"/>
  <c r="L23" i="20"/>
  <c r="I23" i="20"/>
  <c r="G23" i="20"/>
  <c r="D23" i="20"/>
  <c r="E23" i="20" s="1"/>
  <c r="B23" i="20"/>
  <c r="W22" i="20"/>
  <c r="U22" i="20"/>
  <c r="S22" i="20"/>
  <c r="R22" i="20"/>
  <c r="M22" i="20"/>
  <c r="L22" i="20"/>
  <c r="I22" i="20"/>
  <c r="G22" i="20"/>
  <c r="D22" i="20"/>
  <c r="E22" i="20" s="1"/>
  <c r="B22" i="20"/>
  <c r="W21" i="20"/>
  <c r="U21" i="20"/>
  <c r="S21" i="20"/>
  <c r="R21" i="20"/>
  <c r="M21" i="20"/>
  <c r="L21" i="20"/>
  <c r="I21" i="20"/>
  <c r="G21" i="20"/>
  <c r="D21" i="20"/>
  <c r="E21" i="20" s="1"/>
  <c r="B21" i="20"/>
  <c r="W20" i="20"/>
  <c r="U20" i="20"/>
  <c r="S20" i="20"/>
  <c r="R20" i="20"/>
  <c r="M20" i="20"/>
  <c r="L20" i="20"/>
  <c r="I20" i="20"/>
  <c r="G20" i="20"/>
  <c r="D20" i="20"/>
  <c r="E20" i="20" s="1"/>
  <c r="B20" i="20"/>
  <c r="W19" i="20"/>
  <c r="U19" i="20"/>
  <c r="S19" i="20"/>
  <c r="R19" i="20"/>
  <c r="M19" i="20"/>
  <c r="L19" i="20"/>
  <c r="I19" i="20"/>
  <c r="G19" i="20"/>
  <c r="D19" i="20"/>
  <c r="E19" i="20" s="1"/>
  <c r="B19" i="20"/>
  <c r="W18" i="20"/>
  <c r="U18" i="20"/>
  <c r="S18" i="20"/>
  <c r="R18" i="20"/>
  <c r="M18" i="20"/>
  <c r="L18" i="20"/>
  <c r="I18" i="20"/>
  <c r="G18" i="20"/>
  <c r="D18" i="20"/>
  <c r="E18" i="20" s="1"/>
  <c r="B18" i="20"/>
  <c r="W17" i="20"/>
  <c r="U17" i="20"/>
  <c r="S17" i="20"/>
  <c r="R17" i="20"/>
  <c r="M17" i="20"/>
  <c r="L17" i="20"/>
  <c r="I17" i="20"/>
  <c r="G17" i="20"/>
  <c r="D17" i="20"/>
  <c r="E17" i="20" s="1"/>
  <c r="B17" i="20"/>
  <c r="W16" i="20"/>
  <c r="U16" i="20"/>
  <c r="S16" i="20"/>
  <c r="R16" i="20"/>
  <c r="M16" i="20"/>
  <c r="L16" i="20"/>
  <c r="I16" i="20"/>
  <c r="G16" i="20"/>
  <c r="D16" i="20"/>
  <c r="E16" i="20" s="1"/>
  <c r="J16" i="20" s="1"/>
  <c r="B16" i="20"/>
  <c r="W15" i="20"/>
  <c r="U15" i="20"/>
  <c r="S15" i="20"/>
  <c r="R15" i="20"/>
  <c r="M15" i="20"/>
  <c r="L15" i="20"/>
  <c r="I15" i="20"/>
  <c r="G15" i="20"/>
  <c r="D15" i="20"/>
  <c r="E15" i="20" s="1"/>
  <c r="B15" i="20"/>
  <c r="W14" i="20"/>
  <c r="U14" i="20"/>
  <c r="S14" i="20"/>
  <c r="R14" i="20"/>
  <c r="M14" i="20"/>
  <c r="L14" i="20"/>
  <c r="I14" i="20"/>
  <c r="G14" i="20"/>
  <c r="D14" i="20"/>
  <c r="E14" i="20" s="1"/>
  <c r="B14" i="20"/>
  <c r="W13" i="20"/>
  <c r="U13" i="20"/>
  <c r="S13" i="20"/>
  <c r="R13" i="20"/>
  <c r="M13" i="20"/>
  <c r="L13" i="20"/>
  <c r="I13" i="20"/>
  <c r="G13" i="20"/>
  <c r="D13" i="20"/>
  <c r="E13" i="20" s="1"/>
  <c r="B13" i="20"/>
  <c r="W12" i="20"/>
  <c r="U12" i="20"/>
  <c r="S12" i="20"/>
  <c r="R12" i="20"/>
  <c r="M12" i="20"/>
  <c r="L12" i="20"/>
  <c r="I12" i="20"/>
  <c r="G12" i="20"/>
  <c r="D12" i="20"/>
  <c r="E12" i="20" s="1"/>
  <c r="B12" i="20"/>
  <c r="W11" i="20"/>
  <c r="U11" i="20"/>
  <c r="S11" i="20"/>
  <c r="R11" i="20"/>
  <c r="M11" i="20"/>
  <c r="L11" i="20"/>
  <c r="I11" i="20"/>
  <c r="G11" i="20"/>
  <c r="D11" i="20"/>
  <c r="E11" i="20" s="1"/>
  <c r="B11" i="20"/>
  <c r="W10" i="20"/>
  <c r="U10" i="20"/>
  <c r="S10" i="20"/>
  <c r="R10" i="20"/>
  <c r="M10" i="20"/>
  <c r="L10" i="20"/>
  <c r="I10" i="20"/>
  <c r="G10" i="20"/>
  <c r="D10" i="20"/>
  <c r="E10" i="20" s="1"/>
  <c r="B10" i="20"/>
  <c r="W9" i="20"/>
  <c r="U9" i="20"/>
  <c r="S9" i="20"/>
  <c r="R9" i="20"/>
  <c r="M9" i="20"/>
  <c r="L9" i="20"/>
  <c r="I9" i="20"/>
  <c r="G9" i="20"/>
  <c r="D9" i="20"/>
  <c r="E9" i="20" s="1"/>
  <c r="B9" i="20"/>
  <c r="W8" i="20"/>
  <c r="U8" i="20"/>
  <c r="S8" i="20"/>
  <c r="R8" i="20"/>
  <c r="M8" i="20"/>
  <c r="L8" i="20"/>
  <c r="I8" i="20"/>
  <c r="G8" i="20"/>
  <c r="D8" i="20"/>
  <c r="E8" i="20" s="1"/>
  <c r="B8" i="20"/>
  <c r="W7" i="20"/>
  <c r="U7" i="20"/>
  <c r="S7" i="20"/>
  <c r="R7" i="20"/>
  <c r="M7" i="20"/>
  <c r="L7" i="20"/>
  <c r="I7" i="20"/>
  <c r="G7" i="20"/>
  <c r="D7" i="20"/>
  <c r="E7" i="20" s="1"/>
  <c r="B7" i="20"/>
  <c r="W6" i="20"/>
  <c r="U6" i="20"/>
  <c r="S6" i="20"/>
  <c r="R6" i="20"/>
  <c r="M6" i="20"/>
  <c r="L6" i="20"/>
  <c r="I6" i="20"/>
  <c r="G6" i="20"/>
  <c r="D6" i="20"/>
  <c r="E6" i="20" s="1"/>
  <c r="B6" i="20"/>
  <c r="W5" i="20"/>
  <c r="U5" i="20"/>
  <c r="S5" i="20"/>
  <c r="R5" i="20"/>
  <c r="M5" i="20"/>
  <c r="L5" i="20"/>
  <c r="I5" i="20"/>
  <c r="G5" i="20"/>
  <c r="D5" i="20"/>
  <c r="E5" i="20" s="1"/>
  <c r="B5" i="20"/>
  <c r="W4" i="20"/>
  <c r="U4" i="20"/>
  <c r="S4" i="20"/>
  <c r="R4" i="20"/>
  <c r="M4" i="20"/>
  <c r="L4" i="20"/>
  <c r="I4" i="20"/>
  <c r="G4" i="20"/>
  <c r="D4" i="20"/>
  <c r="E4" i="20" s="1"/>
  <c r="J4" i="20" s="1"/>
  <c r="B4" i="20"/>
  <c r="W3" i="20"/>
  <c r="U3" i="20"/>
  <c r="S3" i="20"/>
  <c r="R3" i="20"/>
  <c r="M3" i="20"/>
  <c r="L3" i="20"/>
  <c r="I3" i="20"/>
  <c r="G3" i="20"/>
  <c r="D3" i="20"/>
  <c r="E3" i="20" s="1"/>
  <c r="B3" i="20"/>
  <c r="W2" i="20"/>
  <c r="U2" i="20"/>
  <c r="S2" i="20"/>
  <c r="R2" i="20"/>
  <c r="M2" i="20"/>
  <c r="L2" i="20"/>
  <c r="I2" i="20"/>
  <c r="G2" i="20"/>
  <c r="D2" i="20"/>
  <c r="E2" i="20" s="1"/>
  <c r="B2" i="20"/>
  <c r="F8" i="10"/>
  <c r="L8" i="10"/>
  <c r="W3" i="18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2" i="18"/>
  <c r="S3" i="18"/>
  <c r="S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2" i="18"/>
  <c r="J52" i="20" l="1"/>
  <c r="J68" i="20"/>
  <c r="J78" i="20"/>
  <c r="J64" i="20"/>
  <c r="V78" i="20"/>
  <c r="V2" i="20"/>
  <c r="V53" i="20"/>
  <c r="J74" i="20"/>
  <c r="N74" i="20" s="1"/>
  <c r="J10" i="20"/>
  <c r="N10" i="20" s="1"/>
  <c r="J22" i="20"/>
  <c r="N22" i="20" s="1"/>
  <c r="X22" i="20" s="1"/>
  <c r="J34" i="20"/>
  <c r="N34" i="20" s="1"/>
  <c r="J80" i="20"/>
  <c r="N80" i="20" s="1"/>
  <c r="J72" i="20"/>
  <c r="N72" i="20" s="1"/>
  <c r="X72" i="20" s="1"/>
  <c r="J62" i="20"/>
  <c r="J77" i="20"/>
  <c r="N66" i="20"/>
  <c r="N76" i="20"/>
  <c r="V52" i="20"/>
  <c r="V13" i="20"/>
  <c r="V49" i="20"/>
  <c r="V70" i="20"/>
  <c r="V63" i="20"/>
  <c r="J82" i="20"/>
  <c r="N82" i="20" s="1"/>
  <c r="V60" i="20"/>
  <c r="V20" i="20"/>
  <c r="V12" i="20"/>
  <c r="N16" i="20"/>
  <c r="N52" i="20"/>
  <c r="X52" i="20" s="1"/>
  <c r="J60" i="20"/>
  <c r="N60" i="20" s="1"/>
  <c r="J70" i="20"/>
  <c r="N70" i="20" s="1"/>
  <c r="J65" i="20"/>
  <c r="N65" i="20" s="1"/>
  <c r="V69" i="20"/>
  <c r="J79" i="20"/>
  <c r="N79" i="20" s="1"/>
  <c r="J67" i="20"/>
  <c r="N67" i="20" s="1"/>
  <c r="N68" i="20"/>
  <c r="N78" i="20"/>
  <c r="X78" i="20" s="1"/>
  <c r="V48" i="20"/>
  <c r="V81" i="20"/>
  <c r="J71" i="20"/>
  <c r="N71" i="20" s="1"/>
  <c r="V66" i="20"/>
  <c r="X66" i="20" s="1"/>
  <c r="V74" i="20"/>
  <c r="V31" i="20"/>
  <c r="V29" i="20"/>
  <c r="V55" i="20"/>
  <c r="J75" i="20"/>
  <c r="J63" i="20"/>
  <c r="N63" i="20" s="1"/>
  <c r="V67" i="20"/>
  <c r="V62" i="20"/>
  <c r="J81" i="20"/>
  <c r="N81" i="20" s="1"/>
  <c r="J69" i="20"/>
  <c r="N69" i="20" s="1"/>
  <c r="V38" i="20"/>
  <c r="J73" i="20"/>
  <c r="N73" i="20" s="1"/>
  <c r="J61" i="20"/>
  <c r="N61" i="20" s="1"/>
  <c r="N64" i="20"/>
  <c r="V30" i="20"/>
  <c r="J46" i="20"/>
  <c r="N46" i="20" s="1"/>
  <c r="V54" i="20"/>
  <c r="J58" i="20"/>
  <c r="N58" i="20" s="1"/>
  <c r="N75" i="20"/>
  <c r="N77" i="20"/>
  <c r="J2" i="20"/>
  <c r="N2" i="20" s="1"/>
  <c r="J20" i="20"/>
  <c r="N20" i="20" s="1"/>
  <c r="V10" i="20"/>
  <c r="J19" i="20"/>
  <c r="N19" i="20" s="1"/>
  <c r="V28" i="20"/>
  <c r="J37" i="20"/>
  <c r="N37" i="20" s="1"/>
  <c r="V47" i="20"/>
  <c r="J7" i="20"/>
  <c r="N7" i="20" s="1"/>
  <c r="J25" i="20"/>
  <c r="N25" i="20" s="1"/>
  <c r="J43" i="20"/>
  <c r="N43" i="20" s="1"/>
  <c r="J44" i="20"/>
  <c r="N44" i="20" s="1"/>
  <c r="J41" i="20"/>
  <c r="N41" i="20" s="1"/>
  <c r="J3" i="20"/>
  <c r="N3" i="20" s="1"/>
  <c r="J39" i="20"/>
  <c r="N39" i="20" s="1"/>
  <c r="V79" i="20"/>
  <c r="V57" i="20"/>
  <c r="V15" i="20"/>
  <c r="V33" i="20"/>
  <c r="V56" i="20"/>
  <c r="J55" i="20"/>
  <c r="N55" i="20" s="1"/>
  <c r="X55" i="20" s="1"/>
  <c r="V68" i="20"/>
  <c r="J13" i="20"/>
  <c r="N13" i="20" s="1"/>
  <c r="J31" i="20"/>
  <c r="N31" i="20" s="1"/>
  <c r="V32" i="20"/>
  <c r="V76" i="20"/>
  <c r="J21" i="20"/>
  <c r="N21" i="20" s="1"/>
  <c r="J49" i="20"/>
  <c r="N49" i="20" s="1"/>
  <c r="J50" i="20"/>
  <c r="N50" i="20" s="1"/>
  <c r="V51" i="20"/>
  <c r="N62" i="20"/>
  <c r="J56" i="20"/>
  <c r="N56" i="20" s="1"/>
  <c r="V64" i="20"/>
  <c r="V14" i="20"/>
  <c r="V50" i="20"/>
  <c r="V75" i="20"/>
  <c r="V73" i="20"/>
  <c r="J11" i="21"/>
  <c r="J8" i="21"/>
  <c r="J49" i="21"/>
  <c r="J17" i="21"/>
  <c r="N17" i="21" s="1"/>
  <c r="J23" i="21"/>
  <c r="J59" i="21"/>
  <c r="N59" i="21" s="1"/>
  <c r="V42" i="21"/>
  <c r="J10" i="21"/>
  <c r="J40" i="21"/>
  <c r="N40" i="21" s="1"/>
  <c r="X40" i="21" s="1"/>
  <c r="J16" i="21"/>
  <c r="N16" i="21" s="1"/>
  <c r="J22" i="21"/>
  <c r="N22" i="21" s="1"/>
  <c r="X22" i="21" s="1"/>
  <c r="J35" i="21"/>
  <c r="N35" i="21" s="1"/>
  <c r="J41" i="21"/>
  <c r="N41" i="21" s="1"/>
  <c r="V22" i="21"/>
  <c r="V3" i="21"/>
  <c r="V9" i="21"/>
  <c r="V41" i="21"/>
  <c r="V2" i="21"/>
  <c r="V8" i="21"/>
  <c r="J14" i="21"/>
  <c r="N14" i="21" s="1"/>
  <c r="J20" i="21"/>
  <c r="N20" i="21" s="1"/>
  <c r="V40" i="21"/>
  <c r="V47" i="21"/>
  <c r="V28" i="21"/>
  <c r="V27" i="21"/>
  <c r="J58" i="21"/>
  <c r="J61" i="21"/>
  <c r="N61" i="21" s="1"/>
  <c r="J62" i="21"/>
  <c r="N62" i="21" s="1"/>
  <c r="J19" i="21"/>
  <c r="N19" i="21" s="1"/>
  <c r="J38" i="21"/>
  <c r="N38" i="21" s="1"/>
  <c r="J39" i="21"/>
  <c r="N39" i="21" s="1"/>
  <c r="V19" i="21"/>
  <c r="V20" i="21"/>
  <c r="V21" i="21"/>
  <c r="J34" i="21"/>
  <c r="N34" i="21" s="1"/>
  <c r="J37" i="21"/>
  <c r="N37" i="21" s="1"/>
  <c r="V39" i="21"/>
  <c r="J53" i="21"/>
  <c r="N53" i="21" s="1"/>
  <c r="V59" i="21"/>
  <c r="J21" i="21"/>
  <c r="N21" i="21" s="1"/>
  <c r="V17" i="21"/>
  <c r="J52" i="21"/>
  <c r="N52" i="21" s="1"/>
  <c r="J56" i="21"/>
  <c r="N56" i="21" s="1"/>
  <c r="J57" i="21"/>
  <c r="N57" i="21" s="1"/>
  <c r="V58" i="21"/>
  <c r="J27" i="21"/>
  <c r="N27" i="21" s="1"/>
  <c r="J45" i="21"/>
  <c r="N45" i="21" s="1"/>
  <c r="J2" i="21"/>
  <c r="N2" i="21" s="1"/>
  <c r="J3" i="21"/>
  <c r="N3" i="21" s="1"/>
  <c r="J25" i="21"/>
  <c r="N25" i="21" s="1"/>
  <c r="J43" i="21"/>
  <c r="N43" i="21" s="1"/>
  <c r="N10" i="21"/>
  <c r="N11" i="21"/>
  <c r="J15" i="21"/>
  <c r="N15" i="21" s="1"/>
  <c r="V16" i="21"/>
  <c r="V24" i="21"/>
  <c r="V35" i="21"/>
  <c r="J55" i="21"/>
  <c r="N55" i="21" s="1"/>
  <c r="V56" i="21"/>
  <c r="V57" i="21"/>
  <c r="J13" i="21"/>
  <c r="N13" i="21" s="1"/>
  <c r="V14" i="21"/>
  <c r="V15" i="21"/>
  <c r="J29" i="21"/>
  <c r="N29" i="21" s="1"/>
  <c r="J32" i="21"/>
  <c r="N32" i="21" s="1"/>
  <c r="J33" i="21"/>
  <c r="N33" i="21" s="1"/>
  <c r="V34" i="21"/>
  <c r="J47" i="21"/>
  <c r="N47" i="21" s="1"/>
  <c r="V53" i="21"/>
  <c r="V54" i="21"/>
  <c r="J5" i="21"/>
  <c r="N5" i="21" s="1"/>
  <c r="X5" i="21" s="1"/>
  <c r="J28" i="21"/>
  <c r="N28" i="21" s="1"/>
  <c r="J31" i="21"/>
  <c r="N31" i="21" s="1"/>
  <c r="V32" i="21"/>
  <c r="V33" i="21"/>
  <c r="J46" i="21"/>
  <c r="N46" i="21" s="1"/>
  <c r="X46" i="21" s="1"/>
  <c r="J50" i="21"/>
  <c r="N50" i="21" s="1"/>
  <c r="J51" i="21"/>
  <c r="N51" i="21" s="1"/>
  <c r="V52" i="21"/>
  <c r="J4" i="21"/>
  <c r="N4" i="21" s="1"/>
  <c r="J7" i="21"/>
  <c r="N7" i="21" s="1"/>
  <c r="J9" i="21"/>
  <c r="N9" i="21" s="1"/>
  <c r="V10" i="21"/>
  <c r="V11" i="21"/>
  <c r="J26" i="21"/>
  <c r="N26" i="21" s="1"/>
  <c r="V31" i="21"/>
  <c r="J44" i="21"/>
  <c r="N44" i="21" s="1"/>
  <c r="V51" i="21"/>
  <c r="V61" i="21"/>
  <c r="N23" i="21"/>
  <c r="V60" i="21"/>
  <c r="V55" i="21"/>
  <c r="V48" i="21"/>
  <c r="V18" i="21"/>
  <c r="V49" i="21"/>
  <c r="V43" i="21"/>
  <c r="V6" i="21"/>
  <c r="V7" i="21"/>
  <c r="V12" i="21"/>
  <c r="V13" i="21"/>
  <c r="V36" i="21"/>
  <c r="V37" i="21"/>
  <c r="V30" i="21"/>
  <c r="N58" i="21"/>
  <c r="V38" i="21"/>
  <c r="J12" i="21"/>
  <c r="N12" i="21" s="1"/>
  <c r="V50" i="21"/>
  <c r="V62" i="21"/>
  <c r="J6" i="21"/>
  <c r="N6" i="21" s="1"/>
  <c r="J48" i="21"/>
  <c r="N48" i="21" s="1"/>
  <c r="J60" i="21"/>
  <c r="N60" i="21" s="1"/>
  <c r="J42" i="21"/>
  <c r="N42" i="21" s="1"/>
  <c r="N8" i="21"/>
  <c r="J36" i="21"/>
  <c r="N36" i="21" s="1"/>
  <c r="V44" i="21"/>
  <c r="J18" i="21"/>
  <c r="N18" i="21" s="1"/>
  <c r="V29" i="21"/>
  <c r="J30" i="21"/>
  <c r="N30" i="21" s="1"/>
  <c r="N49" i="21"/>
  <c r="V23" i="21"/>
  <c r="V25" i="21"/>
  <c r="J54" i="21"/>
  <c r="N54" i="21" s="1"/>
  <c r="J24" i="21"/>
  <c r="N24" i="21" s="1"/>
  <c r="V9" i="20"/>
  <c r="V27" i="20"/>
  <c r="V80" i="20"/>
  <c r="V8" i="20"/>
  <c r="V26" i="20"/>
  <c r="V45" i="20"/>
  <c r="X69" i="20"/>
  <c r="V44" i="20"/>
  <c r="V77" i="20"/>
  <c r="X77" i="20" s="1"/>
  <c r="V71" i="20"/>
  <c r="V65" i="20"/>
  <c r="V61" i="20"/>
  <c r="V3" i="20"/>
  <c r="V21" i="20"/>
  <c r="V39" i="20"/>
  <c r="V82" i="20"/>
  <c r="N28" i="20"/>
  <c r="V6" i="20"/>
  <c r="V7" i="20"/>
  <c r="V24" i="20"/>
  <c r="V25" i="20"/>
  <c r="V42" i="20"/>
  <c r="V46" i="20"/>
  <c r="V41" i="20"/>
  <c r="V43" i="20"/>
  <c r="V4" i="20"/>
  <c r="V22" i="20"/>
  <c r="V40" i="20"/>
  <c r="V18" i="20"/>
  <c r="V19" i="20"/>
  <c r="V36" i="20"/>
  <c r="V37" i="20"/>
  <c r="V35" i="20"/>
  <c r="V59" i="20"/>
  <c r="N4" i="20"/>
  <c r="V16" i="20"/>
  <c r="X16" i="20" s="1"/>
  <c r="V34" i="20"/>
  <c r="N40" i="20"/>
  <c r="V58" i="20"/>
  <c r="J18" i="20"/>
  <c r="N18" i="20" s="1"/>
  <c r="J38" i="20"/>
  <c r="N38" i="20" s="1"/>
  <c r="J17" i="20"/>
  <c r="N17" i="20" s="1"/>
  <c r="J36" i="20"/>
  <c r="N36" i="20" s="1"/>
  <c r="J57" i="20"/>
  <c r="N57" i="20" s="1"/>
  <c r="J32" i="20"/>
  <c r="N32" i="20" s="1"/>
  <c r="J11" i="20"/>
  <c r="N11" i="20" s="1"/>
  <c r="J30" i="20"/>
  <c r="N30" i="20" s="1"/>
  <c r="J53" i="20"/>
  <c r="N53" i="20" s="1"/>
  <c r="J8" i="20"/>
  <c r="N8" i="20" s="1"/>
  <c r="J26" i="20"/>
  <c r="N26" i="20" s="1"/>
  <c r="J27" i="20"/>
  <c r="N27" i="20" s="1"/>
  <c r="J48" i="20"/>
  <c r="N48" i="20" s="1"/>
  <c r="J35" i="20"/>
  <c r="N35" i="20" s="1"/>
  <c r="J59" i="20"/>
  <c r="N59" i="20" s="1"/>
  <c r="J14" i="20"/>
  <c r="N14" i="20" s="1"/>
  <c r="J33" i="20"/>
  <c r="N33" i="20" s="1"/>
  <c r="J12" i="20"/>
  <c r="N12" i="20" s="1"/>
  <c r="J54" i="20"/>
  <c r="N54" i="20" s="1"/>
  <c r="J9" i="20"/>
  <c r="N9" i="20" s="1"/>
  <c r="J29" i="20"/>
  <c r="N29" i="20" s="1"/>
  <c r="J51" i="20"/>
  <c r="N51" i="20" s="1"/>
  <c r="J6" i="20"/>
  <c r="N6" i="20" s="1"/>
  <c r="J24" i="20"/>
  <c r="N24" i="20" s="1"/>
  <c r="J47" i="20"/>
  <c r="N47" i="20" s="1"/>
  <c r="J15" i="20"/>
  <c r="N15" i="20" s="1"/>
  <c r="J5" i="20"/>
  <c r="N5" i="20" s="1"/>
  <c r="J23" i="20"/>
  <c r="N23" i="20" s="1"/>
  <c r="J42" i="20"/>
  <c r="N42" i="20" s="1"/>
  <c r="J45" i="20"/>
  <c r="N45" i="20"/>
  <c r="V5" i="20"/>
  <c r="V11" i="20"/>
  <c r="V17" i="20"/>
  <c r="V23" i="20"/>
  <c r="Y22" i="20" l="1"/>
  <c r="Z22" i="20" s="1"/>
  <c r="AA22" i="20" s="1"/>
  <c r="Y78" i="20"/>
  <c r="Z78" i="20"/>
  <c r="AA78" i="20" s="1"/>
  <c r="Y52" i="20"/>
  <c r="Z52" i="20" s="1"/>
  <c r="AA52" i="20" s="1"/>
  <c r="Y77" i="20"/>
  <c r="Z77" i="20"/>
  <c r="AA77" i="20" s="1"/>
  <c r="Y69" i="20"/>
  <c r="Z69" i="20" s="1"/>
  <c r="AA69" i="20" s="1"/>
  <c r="Y55" i="20"/>
  <c r="Z55" i="20" s="1"/>
  <c r="AA55" i="20" s="1"/>
  <c r="Y66" i="20"/>
  <c r="Z66" i="20" s="1"/>
  <c r="AA66" i="20" s="1"/>
  <c r="Y16" i="20"/>
  <c r="Z16" i="20"/>
  <c r="AA16" i="20" s="1"/>
  <c r="Y72" i="20"/>
  <c r="Z72" i="20" s="1"/>
  <c r="AA72" i="20" s="1"/>
  <c r="Y5" i="21"/>
  <c r="Z5" i="21" s="1"/>
  <c r="Y22" i="21"/>
  <c r="Z22" i="21" s="1"/>
  <c r="AA22" i="21" s="1"/>
  <c r="Y46" i="21"/>
  <c r="Z46" i="21" s="1"/>
  <c r="Y40" i="21"/>
  <c r="Z40" i="21" s="1"/>
  <c r="X70" i="20"/>
  <c r="X60" i="20"/>
  <c r="X76" i="20"/>
  <c r="X73" i="20"/>
  <c r="X71" i="20"/>
  <c r="X80" i="20"/>
  <c r="X58" i="20"/>
  <c r="X75" i="20"/>
  <c r="X68" i="20"/>
  <c r="X67" i="20"/>
  <c r="X40" i="20"/>
  <c r="X28" i="20"/>
  <c r="X34" i="20"/>
  <c r="X10" i="20"/>
  <c r="X62" i="20"/>
  <c r="X61" i="20"/>
  <c r="X63" i="20"/>
  <c r="X74" i="20"/>
  <c r="X41" i="20"/>
  <c r="X7" i="20"/>
  <c r="X81" i="20"/>
  <c r="X31" i="20"/>
  <c r="X79" i="20"/>
  <c r="X13" i="20"/>
  <c r="X82" i="20"/>
  <c r="X49" i="20"/>
  <c r="X65" i="20"/>
  <c r="X43" i="20"/>
  <c r="X64" i="20"/>
  <c r="X47" i="21"/>
  <c r="X29" i="21"/>
  <c r="X41" i="21"/>
  <c r="X57" i="21"/>
  <c r="X23" i="21"/>
  <c r="X4" i="21"/>
  <c r="X16" i="21"/>
  <c r="X10" i="21"/>
  <c r="X35" i="21"/>
  <c r="X11" i="21"/>
  <c r="X56" i="21"/>
  <c r="X45" i="21"/>
  <c r="X28" i="21"/>
  <c r="X14" i="21"/>
  <c r="X53" i="21"/>
  <c r="X59" i="21"/>
  <c r="X33" i="21"/>
  <c r="X26" i="21"/>
  <c r="X52" i="21"/>
  <c r="X58" i="21"/>
  <c r="X9" i="21"/>
  <c r="X17" i="21"/>
  <c r="X34" i="21"/>
  <c r="X51" i="21"/>
  <c r="X19" i="21"/>
  <c r="X38" i="21"/>
  <c r="X30" i="21"/>
  <c r="X32" i="21"/>
  <c r="X62" i="21"/>
  <c r="X15" i="21"/>
  <c r="X48" i="21"/>
  <c r="X61" i="21"/>
  <c r="X18" i="21"/>
  <c r="X50" i="21"/>
  <c r="X8" i="21"/>
  <c r="X6" i="21"/>
  <c r="X54" i="21"/>
  <c r="X27" i="21"/>
  <c r="X2" i="21"/>
  <c r="X43" i="21"/>
  <c r="X25" i="21"/>
  <c r="X21" i="21"/>
  <c r="X37" i="21"/>
  <c r="X13" i="21"/>
  <c r="X7" i="21"/>
  <c r="X44" i="21"/>
  <c r="X3" i="21"/>
  <c r="X42" i="21"/>
  <c r="X24" i="21"/>
  <c r="X31" i="21"/>
  <c r="X39" i="21"/>
  <c r="X55" i="21"/>
  <c r="X20" i="21"/>
  <c r="X49" i="21"/>
  <c r="X36" i="21"/>
  <c r="X60" i="21"/>
  <c r="X12" i="21"/>
  <c r="X19" i="20"/>
  <c r="X25" i="20"/>
  <c r="X4" i="20"/>
  <c r="X37" i="20"/>
  <c r="X46" i="20"/>
  <c r="X48" i="20"/>
  <c r="X42" i="20"/>
  <c r="X36" i="20"/>
  <c r="X32" i="20"/>
  <c r="X15" i="20"/>
  <c r="X8" i="20"/>
  <c r="X54" i="20"/>
  <c r="X23" i="20"/>
  <c r="X57" i="20"/>
  <c r="X18" i="20"/>
  <c r="X21" i="20"/>
  <c r="X14" i="20"/>
  <c r="X47" i="20"/>
  <c r="X12" i="20"/>
  <c r="X53" i="20"/>
  <c r="X44" i="20"/>
  <c r="X27" i="20"/>
  <c r="X9" i="20"/>
  <c r="X3" i="20"/>
  <c r="X24" i="20"/>
  <c r="X2" i="20"/>
  <c r="X38" i="20"/>
  <c r="X6" i="20"/>
  <c r="X59" i="20"/>
  <c r="X51" i="20"/>
  <c r="X29" i="20"/>
  <c r="X45" i="20"/>
  <c r="X35" i="20"/>
  <c r="X26" i="20"/>
  <c r="X56" i="20"/>
  <c r="X33" i="20"/>
  <c r="X30" i="20"/>
  <c r="X5" i="20"/>
  <c r="X20" i="20"/>
  <c r="X11" i="20"/>
  <c r="X39" i="20"/>
  <c r="X50" i="20"/>
  <c r="X17" i="20"/>
  <c r="U59" i="18"/>
  <c r="R59" i="18"/>
  <c r="M59" i="18"/>
  <c r="L59" i="18"/>
  <c r="I59" i="18"/>
  <c r="G59" i="18"/>
  <c r="D59" i="18"/>
  <c r="E59" i="18" s="1"/>
  <c r="B59" i="18"/>
  <c r="U58" i="18"/>
  <c r="R58" i="18"/>
  <c r="M58" i="18"/>
  <c r="L58" i="18"/>
  <c r="V58" i="18" s="1"/>
  <c r="I58" i="18"/>
  <c r="G58" i="18"/>
  <c r="D58" i="18"/>
  <c r="E58" i="18" s="1"/>
  <c r="B58" i="18"/>
  <c r="U57" i="18"/>
  <c r="R57" i="18"/>
  <c r="M57" i="18"/>
  <c r="L57" i="18"/>
  <c r="I57" i="18"/>
  <c r="G57" i="18"/>
  <c r="D57" i="18"/>
  <c r="E57" i="18" s="1"/>
  <c r="J57" i="18" s="1"/>
  <c r="B57" i="18"/>
  <c r="U56" i="18"/>
  <c r="R56" i="18"/>
  <c r="M56" i="18"/>
  <c r="L56" i="18"/>
  <c r="I56" i="18"/>
  <c r="G56" i="18"/>
  <c r="D56" i="18"/>
  <c r="E56" i="18" s="1"/>
  <c r="B56" i="18"/>
  <c r="U55" i="18"/>
  <c r="R55" i="18"/>
  <c r="M55" i="18"/>
  <c r="L55" i="18"/>
  <c r="I55" i="18"/>
  <c r="G55" i="18"/>
  <c r="D55" i="18"/>
  <c r="E55" i="18" s="1"/>
  <c r="B55" i="18"/>
  <c r="U54" i="18"/>
  <c r="R54" i="18"/>
  <c r="M54" i="18"/>
  <c r="L54" i="18"/>
  <c r="I54" i="18"/>
  <c r="G54" i="18"/>
  <c r="D54" i="18"/>
  <c r="E54" i="18" s="1"/>
  <c r="B54" i="18"/>
  <c r="U53" i="18"/>
  <c r="R53" i="18"/>
  <c r="M53" i="18"/>
  <c r="L53" i="18"/>
  <c r="I53" i="18"/>
  <c r="G53" i="18"/>
  <c r="D53" i="18"/>
  <c r="E53" i="18" s="1"/>
  <c r="B53" i="18"/>
  <c r="U52" i="18"/>
  <c r="R52" i="18"/>
  <c r="M52" i="18"/>
  <c r="L52" i="18"/>
  <c r="I52" i="18"/>
  <c r="G52" i="18"/>
  <c r="D52" i="18"/>
  <c r="E52" i="18" s="1"/>
  <c r="B52" i="18"/>
  <c r="U51" i="18"/>
  <c r="R51" i="18"/>
  <c r="M51" i="18"/>
  <c r="L51" i="18"/>
  <c r="I51" i="18"/>
  <c r="G51" i="18"/>
  <c r="D51" i="18"/>
  <c r="E51" i="18" s="1"/>
  <c r="B51" i="18"/>
  <c r="U50" i="18"/>
  <c r="R50" i="18"/>
  <c r="M50" i="18"/>
  <c r="L50" i="18"/>
  <c r="I50" i="18"/>
  <c r="G50" i="18"/>
  <c r="D50" i="18"/>
  <c r="E50" i="18" s="1"/>
  <c r="B50" i="18"/>
  <c r="U49" i="18"/>
  <c r="R49" i="18"/>
  <c r="M49" i="18"/>
  <c r="L49" i="18"/>
  <c r="I49" i="18"/>
  <c r="G49" i="18"/>
  <c r="D49" i="18"/>
  <c r="E49" i="18" s="1"/>
  <c r="J49" i="18" s="1"/>
  <c r="B49" i="18"/>
  <c r="U48" i="18"/>
  <c r="R48" i="18"/>
  <c r="M48" i="18"/>
  <c r="L48" i="18"/>
  <c r="I48" i="18"/>
  <c r="G48" i="18"/>
  <c r="D48" i="18"/>
  <c r="E48" i="18" s="1"/>
  <c r="B48" i="18"/>
  <c r="U47" i="18"/>
  <c r="R47" i="18"/>
  <c r="M47" i="18"/>
  <c r="L47" i="18"/>
  <c r="I47" i="18"/>
  <c r="G47" i="18"/>
  <c r="D47" i="18"/>
  <c r="E47" i="18" s="1"/>
  <c r="B47" i="18"/>
  <c r="U46" i="18"/>
  <c r="R46" i="18"/>
  <c r="M46" i="18"/>
  <c r="L46" i="18"/>
  <c r="V46" i="18" s="1"/>
  <c r="I46" i="18"/>
  <c r="G46" i="18"/>
  <c r="D46" i="18"/>
  <c r="E46" i="18" s="1"/>
  <c r="B46" i="18"/>
  <c r="U45" i="18"/>
  <c r="R45" i="18"/>
  <c r="M45" i="18"/>
  <c r="L45" i="18"/>
  <c r="I45" i="18"/>
  <c r="G45" i="18"/>
  <c r="E45" i="18"/>
  <c r="D45" i="18"/>
  <c r="B45" i="18"/>
  <c r="U44" i="18"/>
  <c r="R44" i="18"/>
  <c r="M44" i="18"/>
  <c r="L44" i="18"/>
  <c r="I44" i="18"/>
  <c r="G44" i="18"/>
  <c r="D44" i="18"/>
  <c r="E44" i="18" s="1"/>
  <c r="B44" i="18"/>
  <c r="U43" i="18"/>
  <c r="R43" i="18"/>
  <c r="M43" i="18"/>
  <c r="L43" i="18"/>
  <c r="I43" i="18"/>
  <c r="G43" i="18"/>
  <c r="D43" i="18"/>
  <c r="E43" i="18" s="1"/>
  <c r="B43" i="18"/>
  <c r="U42" i="18"/>
  <c r="R42" i="18"/>
  <c r="M42" i="18"/>
  <c r="L42" i="18"/>
  <c r="I42" i="18"/>
  <c r="G42" i="18"/>
  <c r="D42" i="18"/>
  <c r="E42" i="18" s="1"/>
  <c r="B42" i="18"/>
  <c r="U41" i="18"/>
  <c r="R41" i="18"/>
  <c r="M41" i="18"/>
  <c r="L41" i="18"/>
  <c r="I41" i="18"/>
  <c r="G41" i="18"/>
  <c r="D41" i="18"/>
  <c r="E41" i="18" s="1"/>
  <c r="B41" i="18"/>
  <c r="U40" i="18"/>
  <c r="R40" i="18"/>
  <c r="M40" i="18"/>
  <c r="L40" i="18"/>
  <c r="I40" i="18"/>
  <c r="G40" i="18"/>
  <c r="D40" i="18"/>
  <c r="E40" i="18" s="1"/>
  <c r="B40" i="18"/>
  <c r="U39" i="18"/>
  <c r="R39" i="18"/>
  <c r="M39" i="18"/>
  <c r="L39" i="18"/>
  <c r="I39" i="18"/>
  <c r="G39" i="18"/>
  <c r="D39" i="18"/>
  <c r="E39" i="18" s="1"/>
  <c r="B39" i="18"/>
  <c r="U38" i="18"/>
  <c r="R38" i="18"/>
  <c r="M38" i="18"/>
  <c r="L38" i="18"/>
  <c r="I38" i="18"/>
  <c r="G38" i="18"/>
  <c r="D38" i="18"/>
  <c r="E38" i="18" s="1"/>
  <c r="B38" i="18"/>
  <c r="U37" i="18"/>
  <c r="R37" i="18"/>
  <c r="M37" i="18"/>
  <c r="L37" i="18"/>
  <c r="I37" i="18"/>
  <c r="G37" i="18"/>
  <c r="D37" i="18"/>
  <c r="E37" i="18" s="1"/>
  <c r="B37" i="18"/>
  <c r="U36" i="18"/>
  <c r="R36" i="18"/>
  <c r="M36" i="18"/>
  <c r="L36" i="18"/>
  <c r="I36" i="18"/>
  <c r="G36" i="18"/>
  <c r="D36" i="18"/>
  <c r="E36" i="18" s="1"/>
  <c r="B36" i="18"/>
  <c r="U35" i="18"/>
  <c r="R35" i="18"/>
  <c r="M35" i="18"/>
  <c r="L35" i="18"/>
  <c r="I35" i="18"/>
  <c r="G35" i="18"/>
  <c r="D35" i="18"/>
  <c r="E35" i="18" s="1"/>
  <c r="B35" i="18"/>
  <c r="U34" i="18"/>
  <c r="R34" i="18"/>
  <c r="M34" i="18"/>
  <c r="L34" i="18"/>
  <c r="I34" i="18"/>
  <c r="G34" i="18"/>
  <c r="D34" i="18"/>
  <c r="E34" i="18" s="1"/>
  <c r="B34" i="18"/>
  <c r="U33" i="18"/>
  <c r="R33" i="18"/>
  <c r="M33" i="18"/>
  <c r="L33" i="18"/>
  <c r="I33" i="18"/>
  <c r="G33" i="18"/>
  <c r="D33" i="18"/>
  <c r="E33" i="18" s="1"/>
  <c r="B33" i="18"/>
  <c r="U32" i="18"/>
  <c r="R32" i="18"/>
  <c r="M32" i="18"/>
  <c r="L32" i="18"/>
  <c r="I32" i="18"/>
  <c r="G32" i="18"/>
  <c r="D32" i="18"/>
  <c r="E32" i="18" s="1"/>
  <c r="B32" i="18"/>
  <c r="U31" i="18"/>
  <c r="R31" i="18"/>
  <c r="M31" i="18"/>
  <c r="L31" i="18"/>
  <c r="I31" i="18"/>
  <c r="G31" i="18"/>
  <c r="D31" i="18"/>
  <c r="E31" i="18" s="1"/>
  <c r="B31" i="18"/>
  <c r="U30" i="18"/>
  <c r="R30" i="18"/>
  <c r="M30" i="18"/>
  <c r="L30" i="18"/>
  <c r="I30" i="18"/>
  <c r="G30" i="18"/>
  <c r="D30" i="18"/>
  <c r="E30" i="18" s="1"/>
  <c r="B30" i="18"/>
  <c r="U29" i="18"/>
  <c r="R29" i="18"/>
  <c r="M29" i="18"/>
  <c r="L29" i="18"/>
  <c r="I29" i="18"/>
  <c r="G29" i="18"/>
  <c r="D29" i="18"/>
  <c r="E29" i="18" s="1"/>
  <c r="B29" i="18"/>
  <c r="U28" i="18"/>
  <c r="R28" i="18"/>
  <c r="M28" i="18"/>
  <c r="L28" i="18"/>
  <c r="I28" i="18"/>
  <c r="G28" i="18"/>
  <c r="D28" i="18"/>
  <c r="E28" i="18" s="1"/>
  <c r="B28" i="18"/>
  <c r="U27" i="18"/>
  <c r="R27" i="18"/>
  <c r="M27" i="18"/>
  <c r="L27" i="18"/>
  <c r="I27" i="18"/>
  <c r="G27" i="18"/>
  <c r="D27" i="18"/>
  <c r="E27" i="18" s="1"/>
  <c r="B27" i="18"/>
  <c r="U26" i="18"/>
  <c r="R26" i="18"/>
  <c r="M26" i="18"/>
  <c r="L26" i="18"/>
  <c r="I26" i="18"/>
  <c r="G26" i="18"/>
  <c r="D26" i="18"/>
  <c r="E26" i="18" s="1"/>
  <c r="B26" i="18"/>
  <c r="U25" i="18"/>
  <c r="R25" i="18"/>
  <c r="M25" i="18"/>
  <c r="L25" i="18"/>
  <c r="I25" i="18"/>
  <c r="G25" i="18"/>
  <c r="D25" i="18"/>
  <c r="E25" i="18" s="1"/>
  <c r="B25" i="18"/>
  <c r="U24" i="18"/>
  <c r="R24" i="18"/>
  <c r="M24" i="18"/>
  <c r="L24" i="18"/>
  <c r="I24" i="18"/>
  <c r="G24" i="18"/>
  <c r="D24" i="18"/>
  <c r="E24" i="18" s="1"/>
  <c r="B24" i="18"/>
  <c r="U23" i="18"/>
  <c r="R23" i="18"/>
  <c r="M23" i="18"/>
  <c r="L23" i="18"/>
  <c r="I23" i="18"/>
  <c r="G23" i="18"/>
  <c r="D23" i="18"/>
  <c r="E23" i="18" s="1"/>
  <c r="B23" i="18"/>
  <c r="U22" i="18"/>
  <c r="R22" i="18"/>
  <c r="M22" i="18"/>
  <c r="L22" i="18"/>
  <c r="I22" i="18"/>
  <c r="G22" i="18"/>
  <c r="D22" i="18"/>
  <c r="E22" i="18" s="1"/>
  <c r="B22" i="18"/>
  <c r="U21" i="18"/>
  <c r="R21" i="18"/>
  <c r="M21" i="18"/>
  <c r="L21" i="18"/>
  <c r="V21" i="18" s="1"/>
  <c r="I21" i="18"/>
  <c r="G21" i="18"/>
  <c r="D21" i="18"/>
  <c r="E21" i="18" s="1"/>
  <c r="B21" i="18"/>
  <c r="U20" i="18"/>
  <c r="R20" i="18"/>
  <c r="M20" i="18"/>
  <c r="L20" i="18"/>
  <c r="I20" i="18"/>
  <c r="G20" i="18"/>
  <c r="D20" i="18"/>
  <c r="E20" i="18" s="1"/>
  <c r="B20" i="18"/>
  <c r="U19" i="18"/>
  <c r="R19" i="18"/>
  <c r="M19" i="18"/>
  <c r="L19" i="18"/>
  <c r="I19" i="18"/>
  <c r="G19" i="18"/>
  <c r="D19" i="18"/>
  <c r="E19" i="18" s="1"/>
  <c r="B19" i="18"/>
  <c r="U18" i="18"/>
  <c r="R18" i="18"/>
  <c r="M18" i="18"/>
  <c r="L18" i="18"/>
  <c r="I18" i="18"/>
  <c r="G18" i="18"/>
  <c r="D18" i="18"/>
  <c r="E18" i="18" s="1"/>
  <c r="B18" i="18"/>
  <c r="U17" i="18"/>
  <c r="R17" i="18"/>
  <c r="M17" i="18"/>
  <c r="L17" i="18"/>
  <c r="I17" i="18"/>
  <c r="G17" i="18"/>
  <c r="D17" i="18"/>
  <c r="E17" i="18" s="1"/>
  <c r="B17" i="18"/>
  <c r="U16" i="18"/>
  <c r="R16" i="18"/>
  <c r="M16" i="18"/>
  <c r="L16" i="18"/>
  <c r="I16" i="18"/>
  <c r="G16" i="18"/>
  <c r="D16" i="18"/>
  <c r="E16" i="18" s="1"/>
  <c r="B16" i="18"/>
  <c r="U15" i="18"/>
  <c r="R15" i="18"/>
  <c r="M15" i="18"/>
  <c r="L15" i="18"/>
  <c r="I15" i="18"/>
  <c r="G15" i="18"/>
  <c r="D15" i="18"/>
  <c r="E15" i="18" s="1"/>
  <c r="B15" i="18"/>
  <c r="U14" i="18"/>
  <c r="R14" i="18"/>
  <c r="M14" i="18"/>
  <c r="L14" i="18"/>
  <c r="I14" i="18"/>
  <c r="G14" i="18"/>
  <c r="D14" i="18"/>
  <c r="E14" i="18" s="1"/>
  <c r="B14" i="18"/>
  <c r="U13" i="18"/>
  <c r="R13" i="18"/>
  <c r="M13" i="18"/>
  <c r="L13" i="18"/>
  <c r="I13" i="18"/>
  <c r="G13" i="18"/>
  <c r="D13" i="18"/>
  <c r="E13" i="18" s="1"/>
  <c r="B13" i="18"/>
  <c r="U12" i="18"/>
  <c r="R12" i="18"/>
  <c r="M12" i="18"/>
  <c r="L12" i="18"/>
  <c r="I12" i="18"/>
  <c r="G12" i="18"/>
  <c r="D12" i="18"/>
  <c r="E12" i="18" s="1"/>
  <c r="B12" i="18"/>
  <c r="U11" i="18"/>
  <c r="R11" i="18"/>
  <c r="M11" i="18"/>
  <c r="L11" i="18"/>
  <c r="I11" i="18"/>
  <c r="G11" i="18"/>
  <c r="D11" i="18"/>
  <c r="E11" i="18" s="1"/>
  <c r="B11" i="18"/>
  <c r="U10" i="18"/>
  <c r="R10" i="18"/>
  <c r="M10" i="18"/>
  <c r="L10" i="18"/>
  <c r="I10" i="18"/>
  <c r="G10" i="18"/>
  <c r="D10" i="18"/>
  <c r="E10" i="18" s="1"/>
  <c r="B10" i="18"/>
  <c r="U9" i="18"/>
  <c r="R9" i="18"/>
  <c r="M9" i="18"/>
  <c r="L9" i="18"/>
  <c r="I9" i="18"/>
  <c r="G9" i="18"/>
  <c r="D9" i="18"/>
  <c r="E9" i="18" s="1"/>
  <c r="B9" i="18"/>
  <c r="U8" i="18"/>
  <c r="R8" i="18"/>
  <c r="M8" i="18"/>
  <c r="L8" i="18"/>
  <c r="I8" i="18"/>
  <c r="G8" i="18"/>
  <c r="D8" i="18"/>
  <c r="E8" i="18" s="1"/>
  <c r="B8" i="18"/>
  <c r="U7" i="18"/>
  <c r="R7" i="18"/>
  <c r="M7" i="18"/>
  <c r="L7" i="18"/>
  <c r="I7" i="18"/>
  <c r="G7" i="18"/>
  <c r="D7" i="18"/>
  <c r="E7" i="18" s="1"/>
  <c r="B7" i="18"/>
  <c r="U6" i="18"/>
  <c r="R6" i="18"/>
  <c r="M6" i="18"/>
  <c r="L6" i="18"/>
  <c r="I6" i="18"/>
  <c r="G6" i="18"/>
  <c r="D6" i="18"/>
  <c r="E6" i="18" s="1"/>
  <c r="B6" i="18"/>
  <c r="U5" i="18"/>
  <c r="R5" i="18"/>
  <c r="M5" i="18"/>
  <c r="L5" i="18"/>
  <c r="I5" i="18"/>
  <c r="G5" i="18"/>
  <c r="D5" i="18"/>
  <c r="E5" i="18" s="1"/>
  <c r="B5" i="18"/>
  <c r="U4" i="18"/>
  <c r="R4" i="18"/>
  <c r="M4" i="18"/>
  <c r="L4" i="18"/>
  <c r="I4" i="18"/>
  <c r="G4" i="18"/>
  <c r="D4" i="18"/>
  <c r="E4" i="18" s="1"/>
  <c r="B4" i="18"/>
  <c r="U3" i="18"/>
  <c r="R3" i="18"/>
  <c r="M3" i="18"/>
  <c r="L3" i="18"/>
  <c r="I3" i="18"/>
  <c r="G3" i="18"/>
  <c r="D3" i="18"/>
  <c r="E3" i="18" s="1"/>
  <c r="B3" i="18"/>
  <c r="U2" i="18"/>
  <c r="R2" i="18"/>
  <c r="M2" i="18"/>
  <c r="L2" i="18"/>
  <c r="I2" i="18"/>
  <c r="G2" i="18"/>
  <c r="D2" i="18"/>
  <c r="E2" i="18" s="1"/>
  <c r="B2" i="18"/>
  <c r="Y38" i="20" l="1"/>
  <c r="Z38" i="20"/>
  <c r="Y30" i="20"/>
  <c r="Z30" i="20"/>
  <c r="AA30" i="20" s="1"/>
  <c r="Y37" i="20"/>
  <c r="Z37" i="20"/>
  <c r="AA37" i="20" s="1"/>
  <c r="Y57" i="20"/>
  <c r="Z57" i="20"/>
  <c r="AA57" i="20" s="1"/>
  <c r="Y63" i="20"/>
  <c r="Z63" i="20" s="1"/>
  <c r="AA63" i="20" s="1"/>
  <c r="Y3" i="20"/>
  <c r="Z3" i="20"/>
  <c r="AA3" i="20" s="1"/>
  <c r="Y43" i="20"/>
  <c r="Z43" i="20"/>
  <c r="AA43" i="20" s="1"/>
  <c r="Y54" i="20"/>
  <c r="Z54" i="20"/>
  <c r="Y62" i="20"/>
  <c r="Z62" i="20"/>
  <c r="AA62" i="20" s="1"/>
  <c r="Y26" i="20"/>
  <c r="Z26" i="20" s="1"/>
  <c r="AA26" i="20" s="1"/>
  <c r="Z49" i="20"/>
  <c r="AA49" i="20" s="1"/>
  <c r="Y49" i="20"/>
  <c r="Y35" i="20"/>
  <c r="Z35" i="20" s="1"/>
  <c r="AA35" i="20" s="1"/>
  <c r="Y34" i="20"/>
  <c r="Z34" i="20"/>
  <c r="AA34" i="20" s="1"/>
  <c r="Y32" i="20"/>
  <c r="Z32" i="20" s="1"/>
  <c r="AA32" i="20" s="1"/>
  <c r="AA13" i="20"/>
  <c r="Y13" i="20"/>
  <c r="Z13" i="20"/>
  <c r="Y28" i="20"/>
  <c r="Z28" i="20" s="1"/>
  <c r="AA28" i="20" s="1"/>
  <c r="Y50" i="20"/>
  <c r="Z50" i="20"/>
  <c r="AA50" i="20" s="1"/>
  <c r="Y29" i="20"/>
  <c r="Z29" i="20"/>
  <c r="AA29" i="20" s="1"/>
  <c r="Y53" i="20"/>
  <c r="Z53" i="20" s="1"/>
  <c r="AA53" i="20" s="1"/>
  <c r="Y36" i="20"/>
  <c r="Z36" i="20"/>
  <c r="Y79" i="20"/>
  <c r="Z79" i="20"/>
  <c r="AA79" i="20" s="1"/>
  <c r="Y40" i="20"/>
  <c r="Z40" i="20"/>
  <c r="AA40" i="20" s="1"/>
  <c r="Y21" i="20"/>
  <c r="Z21" i="20" s="1"/>
  <c r="AA21" i="20" s="1"/>
  <c r="Y41" i="20"/>
  <c r="Z41" i="20" s="1"/>
  <c r="AA41" i="20" s="1"/>
  <c r="Y74" i="20"/>
  <c r="Z74" i="20" s="1"/>
  <c r="AA74" i="20" s="1"/>
  <c r="Y33" i="20"/>
  <c r="Z33" i="20"/>
  <c r="Y4" i="20"/>
  <c r="Z4" i="20" s="1"/>
  <c r="AA4" i="20" s="1"/>
  <c r="Y56" i="20"/>
  <c r="Z56" i="20" s="1"/>
  <c r="AA56" i="20" s="1"/>
  <c r="Y25" i="20"/>
  <c r="Z25" i="20" s="1"/>
  <c r="AA25" i="20" s="1"/>
  <c r="Y73" i="20"/>
  <c r="Z73" i="20" s="1"/>
  <c r="AA73" i="20" s="1"/>
  <c r="Y19" i="20"/>
  <c r="Z19" i="20"/>
  <c r="AA19" i="20" s="1"/>
  <c r="Y8" i="20"/>
  <c r="Z8" i="20" s="1"/>
  <c r="AA8" i="20" s="1"/>
  <c r="AA60" i="20"/>
  <c r="Y60" i="20"/>
  <c r="Z60" i="20"/>
  <c r="Y15" i="20"/>
  <c r="Z15" i="20" s="1"/>
  <c r="AA15" i="20" s="1"/>
  <c r="Y70" i="20"/>
  <c r="Z70" i="20"/>
  <c r="AA70" i="20" s="1"/>
  <c r="Y45" i="20"/>
  <c r="Z45" i="20" s="1"/>
  <c r="AA45" i="20" s="1"/>
  <c r="Y11" i="20"/>
  <c r="Z11" i="20" s="1"/>
  <c r="AA11" i="20" s="1"/>
  <c r="Y59" i="20"/>
  <c r="Z59" i="20"/>
  <c r="AA59" i="20" s="1"/>
  <c r="Y47" i="20"/>
  <c r="Z47" i="20" s="1"/>
  <c r="AA47" i="20" s="1"/>
  <c r="Y48" i="20"/>
  <c r="Z48" i="20"/>
  <c r="AA48" i="20" s="1"/>
  <c r="Y81" i="20"/>
  <c r="Z81" i="20" s="1"/>
  <c r="AA81" i="20" s="1"/>
  <c r="Z68" i="20"/>
  <c r="AA68" i="20" s="1"/>
  <c r="Y68" i="20"/>
  <c r="Y5" i="20"/>
  <c r="Z5" i="20" s="1"/>
  <c r="AA5" i="20" s="1"/>
  <c r="Y46" i="20"/>
  <c r="Z46" i="20" s="1"/>
  <c r="AA46" i="20" s="1"/>
  <c r="Y58" i="20"/>
  <c r="Z58" i="20" s="1"/>
  <c r="AA58" i="20" s="1"/>
  <c r="Y18" i="20"/>
  <c r="Z18" i="20" s="1"/>
  <c r="AA18" i="20" s="1"/>
  <c r="Y80" i="20"/>
  <c r="Z80" i="20" s="1"/>
  <c r="AA80" i="20" s="1"/>
  <c r="Y24" i="20"/>
  <c r="Z24" i="20" s="1"/>
  <c r="AA24" i="20" s="1"/>
  <c r="Y64" i="20"/>
  <c r="Z64" i="20"/>
  <c r="AA64" i="20" s="1"/>
  <c r="Y71" i="20"/>
  <c r="Z71" i="20" s="1"/>
  <c r="AA71" i="20" s="1"/>
  <c r="Y23" i="20"/>
  <c r="Z23" i="20" s="1"/>
  <c r="AA23" i="20" s="1"/>
  <c r="Y61" i="20"/>
  <c r="Z61" i="20"/>
  <c r="AA61" i="20" s="1"/>
  <c r="Y9" i="20"/>
  <c r="Z9" i="20"/>
  <c r="Y65" i="20"/>
  <c r="Z65" i="20" s="1"/>
  <c r="AA65" i="20" s="1"/>
  <c r="Y76" i="20"/>
  <c r="Z76" i="20" s="1"/>
  <c r="AA76" i="20" s="1"/>
  <c r="Y27" i="20"/>
  <c r="Z27" i="20" s="1"/>
  <c r="AA27" i="20" s="1"/>
  <c r="Y10" i="20"/>
  <c r="Z10" i="20" s="1"/>
  <c r="AA10" i="20" s="1"/>
  <c r="Y44" i="20"/>
  <c r="Z44" i="20" s="1"/>
  <c r="AA44" i="20" s="1"/>
  <c r="Y82" i="20"/>
  <c r="Z82" i="20" s="1"/>
  <c r="AA82" i="20" s="1"/>
  <c r="Y17" i="20"/>
  <c r="Z17" i="20"/>
  <c r="AA17" i="20" s="1"/>
  <c r="Y39" i="20"/>
  <c r="Z39" i="20"/>
  <c r="AA39" i="20" s="1"/>
  <c r="Y51" i="20"/>
  <c r="Z51" i="20"/>
  <c r="AA51" i="20" s="1"/>
  <c r="Y12" i="20"/>
  <c r="Z12" i="20"/>
  <c r="AA12" i="20" s="1"/>
  <c r="Y42" i="20"/>
  <c r="Z42" i="20" s="1"/>
  <c r="AA42" i="20" s="1"/>
  <c r="AA31" i="20"/>
  <c r="Y31" i="20"/>
  <c r="Z31" i="20"/>
  <c r="Y67" i="20"/>
  <c r="Z67" i="20"/>
  <c r="AA67" i="20" s="1"/>
  <c r="Y20" i="20"/>
  <c r="Z20" i="20" s="1"/>
  <c r="AA20" i="20" s="1"/>
  <c r="Y6" i="20"/>
  <c r="Z6" i="20"/>
  <c r="AA6" i="20" s="1"/>
  <c r="Y14" i="20"/>
  <c r="Z14" i="20" s="1"/>
  <c r="AA14" i="20" s="1"/>
  <c r="Y7" i="20"/>
  <c r="Z7" i="20" s="1"/>
  <c r="AA7" i="20" s="1"/>
  <c r="Y75" i="20"/>
  <c r="Z75" i="20" s="1"/>
  <c r="AA75" i="20" s="1"/>
  <c r="Y2" i="20"/>
  <c r="Z2" i="20" s="1"/>
  <c r="AA2" i="20" s="1"/>
  <c r="Y13" i="21"/>
  <c r="Z13" i="21" s="1"/>
  <c r="AA13" i="21" s="1"/>
  <c r="Y21" i="21"/>
  <c r="Z21" i="21" s="1"/>
  <c r="AA21" i="21" s="1"/>
  <c r="Y52" i="21"/>
  <c r="Z52" i="21" s="1"/>
  <c r="AA52" i="21" s="1"/>
  <c r="Y16" i="21"/>
  <c r="Z16" i="21" s="1"/>
  <c r="AA16" i="21" s="1"/>
  <c r="Y39" i="21"/>
  <c r="Z39" i="21"/>
  <c r="AA39" i="21" s="1"/>
  <c r="Y30" i="21"/>
  <c r="Z30" i="21"/>
  <c r="Y26" i="21"/>
  <c r="Z26" i="21" s="1"/>
  <c r="AA26" i="21" s="1"/>
  <c r="Y4" i="21"/>
  <c r="Z4" i="21" s="1"/>
  <c r="AA4" i="21" s="1"/>
  <c r="Y56" i="21"/>
  <c r="Z56" i="21" s="1"/>
  <c r="AA56" i="21" s="1"/>
  <c r="Y11" i="21"/>
  <c r="Z11" i="21" s="1"/>
  <c r="AA11" i="21" s="1"/>
  <c r="Y35" i="21"/>
  <c r="Z35" i="21" s="1"/>
  <c r="AA35" i="21" s="1"/>
  <c r="Y62" i="21"/>
  <c r="Z62" i="21"/>
  <c r="Y32" i="21"/>
  <c r="Z32" i="21" s="1"/>
  <c r="AA32" i="21" s="1"/>
  <c r="Y27" i="21"/>
  <c r="Z27" i="21" s="1"/>
  <c r="AA27" i="21" s="1"/>
  <c r="Y42" i="21"/>
  <c r="Z42" i="21" s="1"/>
  <c r="AA42" i="21" s="1"/>
  <c r="Y6" i="21"/>
  <c r="Z6" i="21" s="1"/>
  <c r="AA6" i="21" s="1"/>
  <c r="Y51" i="21"/>
  <c r="Z51" i="21"/>
  <c r="Y53" i="21"/>
  <c r="Z53" i="21" s="1"/>
  <c r="AA53" i="21" s="1"/>
  <c r="Y41" i="21"/>
  <c r="Z41" i="21" s="1"/>
  <c r="AA41" i="21" s="1"/>
  <c r="Y60" i="21"/>
  <c r="Z60" i="21"/>
  <c r="AA60" i="21" s="1"/>
  <c r="Y61" i="21"/>
  <c r="Z61" i="21" s="1"/>
  <c r="AA61" i="21" s="1"/>
  <c r="Y17" i="21"/>
  <c r="Z17" i="21" s="1"/>
  <c r="AA17" i="21" s="1"/>
  <c r="Y37" i="21"/>
  <c r="Z37" i="21" s="1"/>
  <c r="AA37" i="21" s="1"/>
  <c r="Y49" i="21"/>
  <c r="Z49" i="21"/>
  <c r="AA49" i="21" s="1"/>
  <c r="Z9" i="21"/>
  <c r="AA9" i="21" s="1"/>
  <c r="Y9" i="21"/>
  <c r="Y20" i="21"/>
  <c r="Z20" i="21" s="1"/>
  <c r="AA20" i="21" s="1"/>
  <c r="Y58" i="21"/>
  <c r="Z58" i="21" s="1"/>
  <c r="AA58" i="21" s="1"/>
  <c r="Y43" i="21"/>
  <c r="Z43" i="21"/>
  <c r="Y31" i="21"/>
  <c r="Z31" i="21" s="1"/>
  <c r="AA31" i="21" s="1"/>
  <c r="Z33" i="21"/>
  <c r="AA33" i="21" s="1"/>
  <c r="Y33" i="21"/>
  <c r="Y24" i="21"/>
  <c r="Z24" i="21" s="1"/>
  <c r="AA24" i="21" s="1"/>
  <c r="Y19" i="21"/>
  <c r="Z19" i="21" s="1"/>
  <c r="AA19" i="21" s="1"/>
  <c r="Y57" i="21"/>
  <c r="Z57" i="21" s="1"/>
  <c r="AA57" i="21" s="1"/>
  <c r="Y3" i="21"/>
  <c r="Z3" i="21" s="1"/>
  <c r="AA3" i="21" s="1"/>
  <c r="Y8" i="21"/>
  <c r="Z8" i="21"/>
  <c r="Y29" i="21"/>
  <c r="Z29" i="21" s="1"/>
  <c r="AA29" i="21" s="1"/>
  <c r="Y44" i="21"/>
  <c r="Z44" i="21" s="1"/>
  <c r="AA44" i="21" s="1"/>
  <c r="Y50" i="21"/>
  <c r="Z50" i="21" s="1"/>
  <c r="AA50" i="21" s="1"/>
  <c r="Y34" i="21"/>
  <c r="Z34" i="21" s="1"/>
  <c r="AA34" i="21" s="1"/>
  <c r="Y28" i="21"/>
  <c r="Z28" i="21" s="1"/>
  <c r="AA28" i="21" s="1"/>
  <c r="Y47" i="21"/>
  <c r="Z47" i="21"/>
  <c r="Y36" i="21"/>
  <c r="Z36" i="21"/>
  <c r="AA36" i="21" s="1"/>
  <c r="Y48" i="21"/>
  <c r="Z48" i="21" s="1"/>
  <c r="AA48" i="21" s="1"/>
  <c r="Y15" i="21"/>
  <c r="Z15" i="21"/>
  <c r="AA15" i="21" s="1"/>
  <c r="Y25" i="21"/>
  <c r="Z25" i="21"/>
  <c r="Y10" i="21"/>
  <c r="Z10" i="21" s="1"/>
  <c r="AA10" i="21" s="1"/>
  <c r="Y55" i="21"/>
  <c r="Z55" i="21" s="1"/>
  <c r="AA55" i="21" s="1"/>
  <c r="Y38" i="21"/>
  <c r="Z38" i="21"/>
  <c r="AA38" i="21" s="1"/>
  <c r="Y23" i="21"/>
  <c r="Z23" i="21" s="1"/>
  <c r="AA23" i="21" s="1"/>
  <c r="Y54" i="21"/>
  <c r="Z54" i="21"/>
  <c r="Y59" i="21"/>
  <c r="Z59" i="21" s="1"/>
  <c r="AA59" i="21" s="1"/>
  <c r="Y14" i="21"/>
  <c r="Z14" i="21" s="1"/>
  <c r="AA14" i="21" s="1"/>
  <c r="Y12" i="21"/>
  <c r="Z12" i="21"/>
  <c r="AA12" i="21" s="1"/>
  <c r="Z7" i="21"/>
  <c r="AA7" i="21" s="1"/>
  <c r="Y7" i="21"/>
  <c r="Y18" i="21"/>
  <c r="Z18" i="21" s="1"/>
  <c r="AA18" i="21" s="1"/>
  <c r="Y45" i="21"/>
  <c r="Z45" i="21" s="1"/>
  <c r="AA45" i="21" s="1"/>
  <c r="Y2" i="21"/>
  <c r="Z2" i="21"/>
  <c r="J50" i="18"/>
  <c r="J3" i="18"/>
  <c r="N3" i="18" s="1"/>
  <c r="J7" i="18"/>
  <c r="V8" i="18"/>
  <c r="J45" i="18"/>
  <c r="N45" i="18" s="1"/>
  <c r="V20" i="18"/>
  <c r="V40" i="18"/>
  <c r="J44" i="18"/>
  <c r="N44" i="18" s="1"/>
  <c r="V15" i="18"/>
  <c r="J9" i="18"/>
  <c r="N9" i="18" s="1"/>
  <c r="J13" i="18"/>
  <c r="N13" i="18" s="1"/>
  <c r="J22" i="18"/>
  <c r="N22" i="18" s="1"/>
  <c r="V2" i="18"/>
  <c r="V17" i="18"/>
  <c r="AA25" i="21"/>
  <c r="AA5" i="21"/>
  <c r="AA43" i="21"/>
  <c r="AA8" i="21"/>
  <c r="AA47" i="21"/>
  <c r="AA62" i="21"/>
  <c r="AA40" i="21"/>
  <c r="AA46" i="21"/>
  <c r="AA2" i="21"/>
  <c r="AA54" i="21"/>
  <c r="AA30" i="21"/>
  <c r="AA51" i="21"/>
  <c r="AA9" i="20"/>
  <c r="AA54" i="20"/>
  <c r="AA36" i="20"/>
  <c r="AA33" i="20"/>
  <c r="AA38" i="20"/>
  <c r="V11" i="18"/>
  <c r="V5" i="18"/>
  <c r="J56" i="18"/>
  <c r="N56" i="18" s="1"/>
  <c r="J32" i="18"/>
  <c r="N32" i="18" s="1"/>
  <c r="V34" i="18"/>
  <c r="V56" i="18"/>
  <c r="V3" i="18"/>
  <c r="V12" i="18"/>
  <c r="V4" i="18"/>
  <c r="J31" i="18"/>
  <c r="N31" i="18" s="1"/>
  <c r="J25" i="18"/>
  <c r="N25" i="18" s="1"/>
  <c r="J27" i="18"/>
  <c r="N27" i="18" s="1"/>
  <c r="V28" i="18"/>
  <c r="V29" i="18"/>
  <c r="J52" i="18"/>
  <c r="N52" i="18" s="1"/>
  <c r="J17" i="18"/>
  <c r="N17" i="18" s="1"/>
  <c r="J15" i="18"/>
  <c r="N15" i="18" s="1"/>
  <c r="V6" i="18"/>
  <c r="V27" i="18"/>
  <c r="V36" i="18"/>
  <c r="V38" i="18"/>
  <c r="V52" i="18"/>
  <c r="J16" i="18"/>
  <c r="N16" i="18" s="1"/>
  <c r="N7" i="18"/>
  <c r="J10" i="18"/>
  <c r="N10" i="18" s="1"/>
  <c r="J2" i="18"/>
  <c r="N2" i="18" s="1"/>
  <c r="J19" i="18"/>
  <c r="N19" i="18" s="1"/>
  <c r="J21" i="18"/>
  <c r="N21" i="18" s="1"/>
  <c r="X21" i="18" s="1"/>
  <c r="V22" i="18"/>
  <c r="V23" i="18"/>
  <c r="V50" i="18"/>
  <c r="V43" i="18"/>
  <c r="V42" i="18"/>
  <c r="V44" i="18"/>
  <c r="V30" i="18"/>
  <c r="V32" i="18"/>
  <c r="V55" i="18"/>
  <c r="V24" i="18"/>
  <c r="V26" i="18"/>
  <c r="V54" i="18"/>
  <c r="V18" i="18"/>
  <c r="V48" i="18"/>
  <c r="V49" i="18"/>
  <c r="J8" i="18"/>
  <c r="N8" i="18" s="1"/>
  <c r="V9" i="18"/>
  <c r="J14" i="18"/>
  <c r="N14" i="18" s="1"/>
  <c r="J20" i="18"/>
  <c r="N20" i="18" s="1"/>
  <c r="V16" i="18"/>
  <c r="J37" i="18"/>
  <c r="N37" i="18" s="1"/>
  <c r="J33" i="18"/>
  <c r="N33" i="18" s="1"/>
  <c r="V25" i="18"/>
  <c r="J29" i="18"/>
  <c r="N29" i="18" s="1"/>
  <c r="J54" i="18"/>
  <c r="N54" i="18" s="1"/>
  <c r="V33" i="18"/>
  <c r="V41" i="18"/>
  <c r="J23" i="18"/>
  <c r="N23" i="18" s="1"/>
  <c r="J59" i="18"/>
  <c r="N59" i="18" s="1"/>
  <c r="J38" i="18"/>
  <c r="N38" i="18" s="1"/>
  <c r="J55" i="18"/>
  <c r="N55" i="18" s="1"/>
  <c r="J51" i="18"/>
  <c r="N51" i="18" s="1"/>
  <c r="J24" i="18"/>
  <c r="N24" i="18" s="1"/>
  <c r="J4" i="18"/>
  <c r="N4" i="18" s="1"/>
  <c r="J43" i="18"/>
  <c r="N43" i="18" s="1"/>
  <c r="J47" i="18"/>
  <c r="N47" i="18" s="1"/>
  <c r="V7" i="18"/>
  <c r="J39" i="18"/>
  <c r="N39" i="18" s="1"/>
  <c r="V10" i="18"/>
  <c r="V13" i="18"/>
  <c r="J26" i="18"/>
  <c r="N26" i="18" s="1"/>
  <c r="V19" i="18"/>
  <c r="N50" i="18"/>
  <c r="J12" i="18"/>
  <c r="N12" i="18" s="1"/>
  <c r="J18" i="18"/>
  <c r="N18" i="18" s="1"/>
  <c r="J6" i="18"/>
  <c r="N6" i="18" s="1"/>
  <c r="V14" i="18"/>
  <c r="V31" i="18"/>
  <c r="J35" i="18"/>
  <c r="N35" i="18" s="1"/>
  <c r="V37" i="18"/>
  <c r="V39" i="18"/>
  <c r="J11" i="18"/>
  <c r="N11" i="18" s="1"/>
  <c r="V35" i="18"/>
  <c r="J41" i="18"/>
  <c r="N41" i="18" s="1"/>
  <c r="V47" i="18"/>
  <c r="N49" i="18"/>
  <c r="V59" i="18"/>
  <c r="V51" i="18"/>
  <c r="V53" i="18"/>
  <c r="J34" i="18"/>
  <c r="N34" i="18" s="1"/>
  <c r="J36" i="18"/>
  <c r="N36" i="18" s="1"/>
  <c r="J28" i="18"/>
  <c r="N28" i="18" s="1"/>
  <c r="J30" i="18"/>
  <c r="N30" i="18" s="1"/>
  <c r="V57" i="18"/>
  <c r="J40" i="18"/>
  <c r="N40" i="18" s="1"/>
  <c r="J42" i="18"/>
  <c r="N42" i="18" s="1"/>
  <c r="N57" i="18"/>
  <c r="V45" i="18"/>
  <c r="J53" i="18"/>
  <c r="N53" i="18" s="1"/>
  <c r="J5" i="18"/>
  <c r="N5" i="18" s="1"/>
  <c r="J46" i="18"/>
  <c r="N46" i="18" s="1"/>
  <c r="J48" i="18"/>
  <c r="N48" i="18" s="1"/>
  <c r="J58" i="18"/>
  <c r="N58" i="18" s="1"/>
  <c r="W73" i="17"/>
  <c r="U73" i="17"/>
  <c r="S73" i="17"/>
  <c r="R73" i="17"/>
  <c r="M73" i="17"/>
  <c r="L73" i="17"/>
  <c r="I73" i="17"/>
  <c r="G73" i="17"/>
  <c r="D73" i="17"/>
  <c r="E73" i="17" s="1"/>
  <c r="B73" i="17"/>
  <c r="W72" i="17"/>
  <c r="U72" i="17"/>
  <c r="S72" i="17"/>
  <c r="R72" i="17"/>
  <c r="M72" i="17"/>
  <c r="L72" i="17"/>
  <c r="I72" i="17"/>
  <c r="G72" i="17"/>
  <c r="D72" i="17"/>
  <c r="E72" i="17" s="1"/>
  <c r="B72" i="17"/>
  <c r="W71" i="17"/>
  <c r="U71" i="17"/>
  <c r="S71" i="17"/>
  <c r="R71" i="17"/>
  <c r="M71" i="17"/>
  <c r="L71" i="17"/>
  <c r="I71" i="17"/>
  <c r="G71" i="17"/>
  <c r="D71" i="17"/>
  <c r="E71" i="17" s="1"/>
  <c r="B71" i="17"/>
  <c r="W70" i="17"/>
  <c r="U70" i="17"/>
  <c r="S70" i="17"/>
  <c r="R70" i="17"/>
  <c r="M70" i="17"/>
  <c r="L70" i="17"/>
  <c r="I70" i="17"/>
  <c r="G70" i="17"/>
  <c r="D70" i="17"/>
  <c r="E70" i="17" s="1"/>
  <c r="B70" i="17"/>
  <c r="W69" i="17"/>
  <c r="U69" i="17"/>
  <c r="S69" i="17"/>
  <c r="R69" i="17"/>
  <c r="M69" i="17"/>
  <c r="L69" i="17"/>
  <c r="I69" i="17"/>
  <c r="G69" i="17"/>
  <c r="D69" i="17"/>
  <c r="E69" i="17" s="1"/>
  <c r="B69" i="17"/>
  <c r="W68" i="17"/>
  <c r="U68" i="17"/>
  <c r="S68" i="17"/>
  <c r="R68" i="17"/>
  <c r="M68" i="17"/>
  <c r="L68" i="17"/>
  <c r="I68" i="17"/>
  <c r="G68" i="17"/>
  <c r="D68" i="17"/>
  <c r="E68" i="17" s="1"/>
  <c r="B68" i="17"/>
  <c r="W67" i="17"/>
  <c r="U67" i="17"/>
  <c r="S67" i="17"/>
  <c r="R67" i="17"/>
  <c r="M67" i="17"/>
  <c r="L67" i="17"/>
  <c r="I67" i="17"/>
  <c r="G67" i="17"/>
  <c r="D67" i="17"/>
  <c r="E67" i="17" s="1"/>
  <c r="B67" i="17"/>
  <c r="W66" i="17"/>
  <c r="U66" i="17"/>
  <c r="S66" i="17"/>
  <c r="R66" i="17"/>
  <c r="M66" i="17"/>
  <c r="L66" i="17"/>
  <c r="I66" i="17"/>
  <c r="G66" i="17"/>
  <c r="D66" i="17"/>
  <c r="E66" i="17" s="1"/>
  <c r="B66" i="17"/>
  <c r="W65" i="17"/>
  <c r="U65" i="17"/>
  <c r="S65" i="17"/>
  <c r="R65" i="17"/>
  <c r="M65" i="17"/>
  <c r="L65" i="17"/>
  <c r="I65" i="17"/>
  <c r="G65" i="17"/>
  <c r="D65" i="17"/>
  <c r="E65" i="17" s="1"/>
  <c r="B65" i="17"/>
  <c r="W64" i="17"/>
  <c r="U64" i="17"/>
  <c r="S64" i="17"/>
  <c r="R64" i="17"/>
  <c r="M64" i="17"/>
  <c r="L64" i="17"/>
  <c r="V64" i="17" s="1"/>
  <c r="I64" i="17"/>
  <c r="G64" i="17"/>
  <c r="D64" i="17"/>
  <c r="E64" i="17" s="1"/>
  <c r="B64" i="17"/>
  <c r="W63" i="17"/>
  <c r="U63" i="17"/>
  <c r="S63" i="17"/>
  <c r="R63" i="17"/>
  <c r="M63" i="17"/>
  <c r="L63" i="17"/>
  <c r="V63" i="17" s="1"/>
  <c r="I63" i="17"/>
  <c r="G63" i="17"/>
  <c r="D63" i="17"/>
  <c r="E63" i="17" s="1"/>
  <c r="B63" i="17"/>
  <c r="W62" i="17"/>
  <c r="U62" i="17"/>
  <c r="S62" i="17"/>
  <c r="R62" i="17"/>
  <c r="M62" i="17"/>
  <c r="L62" i="17"/>
  <c r="V62" i="17" s="1"/>
  <c r="I62" i="17"/>
  <c r="G62" i="17"/>
  <c r="D62" i="17"/>
  <c r="E62" i="17" s="1"/>
  <c r="B62" i="17"/>
  <c r="W61" i="17"/>
  <c r="U61" i="17"/>
  <c r="S61" i="17"/>
  <c r="R61" i="17"/>
  <c r="M61" i="17"/>
  <c r="L61" i="17"/>
  <c r="I61" i="17"/>
  <c r="G61" i="17"/>
  <c r="D61" i="17"/>
  <c r="E61" i="17" s="1"/>
  <c r="B61" i="17"/>
  <c r="W60" i="17"/>
  <c r="U60" i="17"/>
  <c r="S60" i="17"/>
  <c r="R60" i="17"/>
  <c r="M60" i="17"/>
  <c r="L60" i="17"/>
  <c r="I60" i="17"/>
  <c r="G60" i="17"/>
  <c r="D60" i="17"/>
  <c r="E60" i="17" s="1"/>
  <c r="B60" i="17"/>
  <c r="W59" i="17"/>
  <c r="U59" i="17"/>
  <c r="S59" i="17"/>
  <c r="R59" i="17"/>
  <c r="M59" i="17"/>
  <c r="L59" i="17"/>
  <c r="I59" i="17"/>
  <c r="G59" i="17"/>
  <c r="D59" i="17"/>
  <c r="E59" i="17" s="1"/>
  <c r="B59" i="17"/>
  <c r="W58" i="17"/>
  <c r="U58" i="17"/>
  <c r="S58" i="17"/>
  <c r="R58" i="17"/>
  <c r="M58" i="17"/>
  <c r="L58" i="17"/>
  <c r="I58" i="17"/>
  <c r="G58" i="17"/>
  <c r="D58" i="17"/>
  <c r="E58" i="17" s="1"/>
  <c r="B58" i="17"/>
  <c r="W57" i="17"/>
  <c r="U57" i="17"/>
  <c r="S57" i="17"/>
  <c r="R57" i="17"/>
  <c r="M57" i="17"/>
  <c r="L57" i="17"/>
  <c r="I57" i="17"/>
  <c r="G57" i="17"/>
  <c r="D57" i="17"/>
  <c r="E57" i="17" s="1"/>
  <c r="B57" i="17"/>
  <c r="W56" i="17"/>
  <c r="U56" i="17"/>
  <c r="S56" i="17"/>
  <c r="R56" i="17"/>
  <c r="M56" i="17"/>
  <c r="L56" i="17"/>
  <c r="I56" i="17"/>
  <c r="G56" i="17"/>
  <c r="D56" i="17"/>
  <c r="E56" i="17" s="1"/>
  <c r="B56" i="17"/>
  <c r="W55" i="17"/>
  <c r="U55" i="17"/>
  <c r="S55" i="17"/>
  <c r="R55" i="17"/>
  <c r="M55" i="17"/>
  <c r="L55" i="17"/>
  <c r="I55" i="17"/>
  <c r="G55" i="17"/>
  <c r="D55" i="17"/>
  <c r="E55" i="17" s="1"/>
  <c r="B55" i="17"/>
  <c r="W54" i="17"/>
  <c r="U54" i="17"/>
  <c r="S54" i="17"/>
  <c r="R54" i="17"/>
  <c r="M54" i="17"/>
  <c r="L54" i="17"/>
  <c r="I54" i="17"/>
  <c r="G54" i="17"/>
  <c r="D54" i="17"/>
  <c r="E54" i="17" s="1"/>
  <c r="B54" i="17"/>
  <c r="W53" i="17"/>
  <c r="U53" i="17"/>
  <c r="S53" i="17"/>
  <c r="R53" i="17"/>
  <c r="M53" i="17"/>
  <c r="L53" i="17"/>
  <c r="I53" i="17"/>
  <c r="G53" i="17"/>
  <c r="D53" i="17"/>
  <c r="E53" i="17" s="1"/>
  <c r="B53" i="17"/>
  <c r="W52" i="17"/>
  <c r="U52" i="17"/>
  <c r="S52" i="17"/>
  <c r="R52" i="17"/>
  <c r="M52" i="17"/>
  <c r="L52" i="17"/>
  <c r="I52" i="17"/>
  <c r="G52" i="17"/>
  <c r="D52" i="17"/>
  <c r="E52" i="17" s="1"/>
  <c r="B52" i="17"/>
  <c r="W51" i="17"/>
  <c r="U51" i="17"/>
  <c r="S51" i="17"/>
  <c r="R51" i="17"/>
  <c r="M51" i="17"/>
  <c r="L51" i="17"/>
  <c r="I51" i="17"/>
  <c r="G51" i="17"/>
  <c r="D51" i="17"/>
  <c r="E51" i="17" s="1"/>
  <c r="B51" i="17"/>
  <c r="W50" i="17"/>
  <c r="U50" i="17"/>
  <c r="S50" i="17"/>
  <c r="R50" i="17"/>
  <c r="M50" i="17"/>
  <c r="L50" i="17"/>
  <c r="I50" i="17"/>
  <c r="G50" i="17"/>
  <c r="D50" i="17"/>
  <c r="E50" i="17" s="1"/>
  <c r="J50" i="17" s="1"/>
  <c r="B50" i="17"/>
  <c r="W49" i="17"/>
  <c r="U49" i="17"/>
  <c r="S49" i="17"/>
  <c r="R49" i="17"/>
  <c r="M49" i="17"/>
  <c r="L49" i="17"/>
  <c r="I49" i="17"/>
  <c r="G49" i="17"/>
  <c r="D49" i="17"/>
  <c r="E49" i="17" s="1"/>
  <c r="B49" i="17"/>
  <c r="W48" i="17"/>
  <c r="U48" i="17"/>
  <c r="S48" i="17"/>
  <c r="R48" i="17"/>
  <c r="M48" i="17"/>
  <c r="L48" i="17"/>
  <c r="I48" i="17"/>
  <c r="G48" i="17"/>
  <c r="D48" i="17"/>
  <c r="E48" i="17" s="1"/>
  <c r="B48" i="17"/>
  <c r="W47" i="17"/>
  <c r="U47" i="17"/>
  <c r="S47" i="17"/>
  <c r="R47" i="17"/>
  <c r="M47" i="17"/>
  <c r="L47" i="17"/>
  <c r="I47" i="17"/>
  <c r="G47" i="17"/>
  <c r="D47" i="17"/>
  <c r="E47" i="17" s="1"/>
  <c r="B47" i="17"/>
  <c r="W46" i="17"/>
  <c r="U46" i="17"/>
  <c r="S46" i="17"/>
  <c r="R46" i="17"/>
  <c r="M46" i="17"/>
  <c r="L46" i="17"/>
  <c r="I46" i="17"/>
  <c r="G46" i="17"/>
  <c r="D46" i="17"/>
  <c r="E46" i="17" s="1"/>
  <c r="B46" i="17"/>
  <c r="W45" i="17"/>
  <c r="U45" i="17"/>
  <c r="S45" i="17"/>
  <c r="R45" i="17"/>
  <c r="M45" i="17"/>
  <c r="L45" i="17"/>
  <c r="I45" i="17"/>
  <c r="G45" i="17"/>
  <c r="D45" i="17"/>
  <c r="E45" i="17" s="1"/>
  <c r="B45" i="17"/>
  <c r="W44" i="17"/>
  <c r="U44" i="17"/>
  <c r="S44" i="17"/>
  <c r="R44" i="17"/>
  <c r="M44" i="17"/>
  <c r="L44" i="17"/>
  <c r="I44" i="17"/>
  <c r="G44" i="17"/>
  <c r="D44" i="17"/>
  <c r="E44" i="17" s="1"/>
  <c r="J44" i="17" s="1"/>
  <c r="B44" i="17"/>
  <c r="W43" i="17"/>
  <c r="U43" i="17"/>
  <c r="S43" i="17"/>
  <c r="R43" i="17"/>
  <c r="M43" i="17"/>
  <c r="L43" i="17"/>
  <c r="I43" i="17"/>
  <c r="G43" i="17"/>
  <c r="D43" i="17"/>
  <c r="E43" i="17" s="1"/>
  <c r="B43" i="17"/>
  <c r="W42" i="17"/>
  <c r="U42" i="17"/>
  <c r="S42" i="17"/>
  <c r="R42" i="17"/>
  <c r="M42" i="17"/>
  <c r="L42" i="17"/>
  <c r="I42" i="17"/>
  <c r="G42" i="17"/>
  <c r="D42" i="17"/>
  <c r="E42" i="17" s="1"/>
  <c r="B42" i="17"/>
  <c r="W41" i="17"/>
  <c r="U41" i="17"/>
  <c r="S41" i="17"/>
  <c r="R41" i="17"/>
  <c r="M41" i="17"/>
  <c r="L41" i="17"/>
  <c r="I41" i="17"/>
  <c r="G41" i="17"/>
  <c r="D41" i="17"/>
  <c r="E41" i="17" s="1"/>
  <c r="B41" i="17"/>
  <c r="W40" i="17"/>
  <c r="U40" i="17"/>
  <c r="S40" i="17"/>
  <c r="R40" i="17"/>
  <c r="M40" i="17"/>
  <c r="L40" i="17"/>
  <c r="I40" i="17"/>
  <c r="G40" i="17"/>
  <c r="D40" i="17"/>
  <c r="E40" i="17" s="1"/>
  <c r="B40" i="17"/>
  <c r="W39" i="17"/>
  <c r="U39" i="17"/>
  <c r="S39" i="17"/>
  <c r="R39" i="17"/>
  <c r="M39" i="17"/>
  <c r="L39" i="17"/>
  <c r="I39" i="17"/>
  <c r="G39" i="17"/>
  <c r="D39" i="17"/>
  <c r="E39" i="17" s="1"/>
  <c r="B39" i="17"/>
  <c r="W38" i="17"/>
  <c r="U38" i="17"/>
  <c r="S38" i="17"/>
  <c r="R38" i="17"/>
  <c r="M38" i="17"/>
  <c r="L38" i="17"/>
  <c r="I38" i="17"/>
  <c r="G38" i="17"/>
  <c r="D38" i="17"/>
  <c r="E38" i="17" s="1"/>
  <c r="J38" i="17" s="1"/>
  <c r="B38" i="17"/>
  <c r="W37" i="17"/>
  <c r="U37" i="17"/>
  <c r="S37" i="17"/>
  <c r="R37" i="17"/>
  <c r="M37" i="17"/>
  <c r="L37" i="17"/>
  <c r="I37" i="17"/>
  <c r="G37" i="17"/>
  <c r="D37" i="17"/>
  <c r="E37" i="17" s="1"/>
  <c r="B37" i="17"/>
  <c r="W36" i="17"/>
  <c r="U36" i="17"/>
  <c r="S36" i="17"/>
  <c r="R36" i="17"/>
  <c r="M36" i="17"/>
  <c r="L36" i="17"/>
  <c r="I36" i="17"/>
  <c r="G36" i="17"/>
  <c r="D36" i="17"/>
  <c r="E36" i="17" s="1"/>
  <c r="B36" i="17"/>
  <c r="W35" i="17"/>
  <c r="U35" i="17"/>
  <c r="S35" i="17"/>
  <c r="R35" i="17"/>
  <c r="M35" i="17"/>
  <c r="L35" i="17"/>
  <c r="I35" i="17"/>
  <c r="G35" i="17"/>
  <c r="D35" i="17"/>
  <c r="E35" i="17" s="1"/>
  <c r="B35" i="17"/>
  <c r="W34" i="17"/>
  <c r="U34" i="17"/>
  <c r="S34" i="17"/>
  <c r="R34" i="17"/>
  <c r="M34" i="17"/>
  <c r="L34" i="17"/>
  <c r="I34" i="17"/>
  <c r="G34" i="17"/>
  <c r="D34" i="17"/>
  <c r="E34" i="17" s="1"/>
  <c r="B34" i="17"/>
  <c r="W33" i="17"/>
  <c r="U33" i="17"/>
  <c r="S33" i="17"/>
  <c r="R33" i="17"/>
  <c r="M33" i="17"/>
  <c r="L33" i="17"/>
  <c r="I33" i="17"/>
  <c r="G33" i="17"/>
  <c r="D33" i="17"/>
  <c r="E33" i="17" s="1"/>
  <c r="B33" i="17"/>
  <c r="W32" i="17"/>
  <c r="U32" i="17"/>
  <c r="S32" i="17"/>
  <c r="R32" i="17"/>
  <c r="M32" i="17"/>
  <c r="L32" i="17"/>
  <c r="I32" i="17"/>
  <c r="G32" i="17"/>
  <c r="D32" i="17"/>
  <c r="E32" i="17" s="1"/>
  <c r="B32" i="17"/>
  <c r="W31" i="17"/>
  <c r="U31" i="17"/>
  <c r="S31" i="17"/>
  <c r="R31" i="17"/>
  <c r="M31" i="17"/>
  <c r="L31" i="17"/>
  <c r="I31" i="17"/>
  <c r="G31" i="17"/>
  <c r="D31" i="17"/>
  <c r="E31" i="17" s="1"/>
  <c r="B31" i="17"/>
  <c r="W30" i="17"/>
  <c r="U30" i="17"/>
  <c r="S30" i="17"/>
  <c r="R30" i="17"/>
  <c r="M30" i="17"/>
  <c r="L30" i="17"/>
  <c r="V30" i="17" s="1"/>
  <c r="I30" i="17"/>
  <c r="G30" i="17"/>
  <c r="D30" i="17"/>
  <c r="E30" i="17" s="1"/>
  <c r="B30" i="17"/>
  <c r="W29" i="17"/>
  <c r="U29" i="17"/>
  <c r="S29" i="17"/>
  <c r="R29" i="17"/>
  <c r="M29" i="17"/>
  <c r="L29" i="17"/>
  <c r="I29" i="17"/>
  <c r="G29" i="17"/>
  <c r="D29" i="17"/>
  <c r="E29" i="17" s="1"/>
  <c r="B29" i="17"/>
  <c r="W28" i="17"/>
  <c r="U28" i="17"/>
  <c r="S28" i="17"/>
  <c r="R28" i="17"/>
  <c r="M28" i="17"/>
  <c r="L28" i="17"/>
  <c r="I28" i="17"/>
  <c r="G28" i="17"/>
  <c r="D28" i="17"/>
  <c r="E28" i="17" s="1"/>
  <c r="B28" i="17"/>
  <c r="W27" i="17"/>
  <c r="U27" i="17"/>
  <c r="S27" i="17"/>
  <c r="R27" i="17"/>
  <c r="M27" i="17"/>
  <c r="L27" i="17"/>
  <c r="I27" i="17"/>
  <c r="G27" i="17"/>
  <c r="D27" i="17"/>
  <c r="E27" i="17" s="1"/>
  <c r="B27" i="17"/>
  <c r="W26" i="17"/>
  <c r="U26" i="17"/>
  <c r="S26" i="17"/>
  <c r="R26" i="17"/>
  <c r="M26" i="17"/>
  <c r="L26" i="17"/>
  <c r="I26" i="17"/>
  <c r="G26" i="17"/>
  <c r="D26" i="17"/>
  <c r="E26" i="17" s="1"/>
  <c r="B26" i="17"/>
  <c r="W25" i="17"/>
  <c r="U25" i="17"/>
  <c r="S25" i="17"/>
  <c r="R25" i="17"/>
  <c r="M25" i="17"/>
  <c r="L25" i="17"/>
  <c r="I25" i="17"/>
  <c r="G25" i="17"/>
  <c r="D25" i="17"/>
  <c r="E25" i="17" s="1"/>
  <c r="B25" i="17"/>
  <c r="W24" i="17"/>
  <c r="U24" i="17"/>
  <c r="S24" i="17"/>
  <c r="R24" i="17"/>
  <c r="M24" i="17"/>
  <c r="L24" i="17"/>
  <c r="I24" i="17"/>
  <c r="G24" i="17"/>
  <c r="D24" i="17"/>
  <c r="E24" i="17" s="1"/>
  <c r="B24" i="17"/>
  <c r="W23" i="17"/>
  <c r="U23" i="17"/>
  <c r="S23" i="17"/>
  <c r="R23" i="17"/>
  <c r="M23" i="17"/>
  <c r="L23" i="17"/>
  <c r="I23" i="17"/>
  <c r="G23" i="17"/>
  <c r="D23" i="17"/>
  <c r="E23" i="17" s="1"/>
  <c r="B23" i="17"/>
  <c r="W22" i="17"/>
  <c r="U22" i="17"/>
  <c r="S22" i="17"/>
  <c r="R22" i="17"/>
  <c r="M22" i="17"/>
  <c r="L22" i="17"/>
  <c r="I22" i="17"/>
  <c r="G22" i="17"/>
  <c r="D22" i="17"/>
  <c r="E22" i="17" s="1"/>
  <c r="B22" i="17"/>
  <c r="W21" i="17"/>
  <c r="U21" i="17"/>
  <c r="S21" i="17"/>
  <c r="R21" i="17"/>
  <c r="M21" i="17"/>
  <c r="L21" i="17"/>
  <c r="I21" i="17"/>
  <c r="G21" i="17"/>
  <c r="D21" i="17"/>
  <c r="E21" i="17" s="1"/>
  <c r="B21" i="17"/>
  <c r="W20" i="17"/>
  <c r="U20" i="17"/>
  <c r="S20" i="17"/>
  <c r="R20" i="17"/>
  <c r="M20" i="17"/>
  <c r="L20" i="17"/>
  <c r="I20" i="17"/>
  <c r="G20" i="17"/>
  <c r="D20" i="17"/>
  <c r="E20" i="17" s="1"/>
  <c r="B20" i="17"/>
  <c r="W19" i="17"/>
  <c r="U19" i="17"/>
  <c r="S19" i="17"/>
  <c r="R19" i="17"/>
  <c r="M19" i="17"/>
  <c r="L19" i="17"/>
  <c r="I19" i="17"/>
  <c r="G19" i="17"/>
  <c r="D19" i="17"/>
  <c r="E19" i="17" s="1"/>
  <c r="B19" i="17"/>
  <c r="W18" i="17"/>
  <c r="U18" i="17"/>
  <c r="S18" i="17"/>
  <c r="R18" i="17"/>
  <c r="M18" i="17"/>
  <c r="L18" i="17"/>
  <c r="V18" i="17" s="1"/>
  <c r="I18" i="17"/>
  <c r="G18" i="17"/>
  <c r="D18" i="17"/>
  <c r="E18" i="17" s="1"/>
  <c r="B18" i="17"/>
  <c r="W17" i="17"/>
  <c r="U17" i="17"/>
  <c r="S17" i="17"/>
  <c r="R17" i="17"/>
  <c r="M17" i="17"/>
  <c r="L17" i="17"/>
  <c r="I17" i="17"/>
  <c r="G17" i="17"/>
  <c r="D17" i="17"/>
  <c r="E17" i="17" s="1"/>
  <c r="B17" i="17"/>
  <c r="W16" i="17"/>
  <c r="U16" i="17"/>
  <c r="S16" i="17"/>
  <c r="R16" i="17"/>
  <c r="M16" i="17"/>
  <c r="L16" i="17"/>
  <c r="I16" i="17"/>
  <c r="G16" i="17"/>
  <c r="D16" i="17"/>
  <c r="E16" i="17" s="1"/>
  <c r="B16" i="17"/>
  <c r="W15" i="17"/>
  <c r="U15" i="17"/>
  <c r="S15" i="17"/>
  <c r="R15" i="17"/>
  <c r="M15" i="17"/>
  <c r="L15" i="17"/>
  <c r="I15" i="17"/>
  <c r="G15" i="17"/>
  <c r="D15" i="17"/>
  <c r="E15" i="17" s="1"/>
  <c r="B15" i="17"/>
  <c r="W14" i="17"/>
  <c r="U14" i="17"/>
  <c r="S14" i="17"/>
  <c r="R14" i="17"/>
  <c r="M14" i="17"/>
  <c r="L14" i="17"/>
  <c r="I14" i="17"/>
  <c r="G14" i="17"/>
  <c r="D14" i="17"/>
  <c r="E14" i="17" s="1"/>
  <c r="J14" i="17" s="1"/>
  <c r="B14" i="17"/>
  <c r="W13" i="17"/>
  <c r="U13" i="17"/>
  <c r="S13" i="17"/>
  <c r="R13" i="17"/>
  <c r="M13" i="17"/>
  <c r="L13" i="17"/>
  <c r="I13" i="17"/>
  <c r="G13" i="17"/>
  <c r="D13" i="17"/>
  <c r="E13" i="17" s="1"/>
  <c r="B13" i="17"/>
  <c r="W12" i="17"/>
  <c r="U12" i="17"/>
  <c r="S12" i="17"/>
  <c r="R12" i="17"/>
  <c r="M12" i="17"/>
  <c r="L12" i="17"/>
  <c r="I12" i="17"/>
  <c r="G12" i="17"/>
  <c r="D12" i="17"/>
  <c r="E12" i="17" s="1"/>
  <c r="B12" i="17"/>
  <c r="W11" i="17"/>
  <c r="U11" i="17"/>
  <c r="S11" i="17"/>
  <c r="R11" i="17"/>
  <c r="M11" i="17"/>
  <c r="L11" i="17"/>
  <c r="I11" i="17"/>
  <c r="G11" i="17"/>
  <c r="D11" i="17"/>
  <c r="E11" i="17" s="1"/>
  <c r="B11" i="17"/>
  <c r="W10" i="17"/>
  <c r="U10" i="17"/>
  <c r="S10" i="17"/>
  <c r="R10" i="17"/>
  <c r="M10" i="17"/>
  <c r="L10" i="17"/>
  <c r="I10" i="17"/>
  <c r="G10" i="17"/>
  <c r="D10" i="17"/>
  <c r="E10" i="17" s="1"/>
  <c r="B10" i="17"/>
  <c r="W9" i="17"/>
  <c r="U9" i="17"/>
  <c r="S9" i="17"/>
  <c r="R9" i="17"/>
  <c r="M9" i="17"/>
  <c r="L9" i="17"/>
  <c r="I9" i="17"/>
  <c r="G9" i="17"/>
  <c r="D9" i="17"/>
  <c r="E9" i="17" s="1"/>
  <c r="B9" i="17"/>
  <c r="W8" i="17"/>
  <c r="U8" i="17"/>
  <c r="S8" i="17"/>
  <c r="R8" i="17"/>
  <c r="M8" i="17"/>
  <c r="L8" i="17"/>
  <c r="I8" i="17"/>
  <c r="G8" i="17"/>
  <c r="D8" i="17"/>
  <c r="E8" i="17" s="1"/>
  <c r="B8" i="17"/>
  <c r="W7" i="17"/>
  <c r="U7" i="17"/>
  <c r="S7" i="17"/>
  <c r="R7" i="17"/>
  <c r="M7" i="17"/>
  <c r="L7" i="17"/>
  <c r="I7" i="17"/>
  <c r="G7" i="17"/>
  <c r="D7" i="17"/>
  <c r="E7" i="17" s="1"/>
  <c r="B7" i="17"/>
  <c r="W6" i="17"/>
  <c r="U6" i="17"/>
  <c r="S6" i="17"/>
  <c r="R6" i="17"/>
  <c r="M6" i="17"/>
  <c r="L6" i="17"/>
  <c r="V6" i="17" s="1"/>
  <c r="I6" i="17"/>
  <c r="G6" i="17"/>
  <c r="D6" i="17"/>
  <c r="E6" i="17" s="1"/>
  <c r="B6" i="17"/>
  <c r="W5" i="17"/>
  <c r="U5" i="17"/>
  <c r="S5" i="17"/>
  <c r="R5" i="17"/>
  <c r="M5" i="17"/>
  <c r="L5" i="17"/>
  <c r="V5" i="17" s="1"/>
  <c r="I5" i="17"/>
  <c r="G5" i="17"/>
  <c r="D5" i="17"/>
  <c r="E5" i="17" s="1"/>
  <c r="B5" i="17"/>
  <c r="W4" i="17"/>
  <c r="U4" i="17"/>
  <c r="S4" i="17"/>
  <c r="R4" i="17"/>
  <c r="M4" i="17"/>
  <c r="L4" i="17"/>
  <c r="I4" i="17"/>
  <c r="G4" i="17"/>
  <c r="D4" i="17"/>
  <c r="E4" i="17" s="1"/>
  <c r="B4" i="17"/>
  <c r="W3" i="17"/>
  <c r="U3" i="17"/>
  <c r="S3" i="17"/>
  <c r="R3" i="17"/>
  <c r="M3" i="17"/>
  <c r="L3" i="17"/>
  <c r="I3" i="17"/>
  <c r="G3" i="17"/>
  <c r="D3" i="17"/>
  <c r="E3" i="17" s="1"/>
  <c r="B3" i="17"/>
  <c r="W2" i="17"/>
  <c r="U2" i="17"/>
  <c r="S2" i="17"/>
  <c r="R2" i="17"/>
  <c r="M2" i="17"/>
  <c r="L2" i="17"/>
  <c r="I2" i="17"/>
  <c r="G2" i="17"/>
  <c r="D2" i="17"/>
  <c r="E2" i="17" s="1"/>
  <c r="J2" i="17" s="1"/>
  <c r="B2" i="17"/>
  <c r="L7" i="10"/>
  <c r="F7" i="10"/>
  <c r="L6" i="10"/>
  <c r="F6" i="10"/>
  <c r="L5" i="10"/>
  <c r="F5" i="10"/>
  <c r="L4" i="10"/>
  <c r="F4" i="10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2" i="13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2" i="14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2" i="11"/>
  <c r="W3" i="16"/>
  <c r="W4" i="16"/>
  <c r="W5" i="16"/>
  <c r="W6" i="16"/>
  <c r="W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52" i="16"/>
  <c r="W53" i="16"/>
  <c r="W54" i="16"/>
  <c r="W55" i="16"/>
  <c r="W56" i="16"/>
  <c r="W57" i="16"/>
  <c r="W58" i="16"/>
  <c r="W59" i="16"/>
  <c r="W60" i="16"/>
  <c r="W61" i="16"/>
  <c r="W62" i="16"/>
  <c r="W63" i="16"/>
  <c r="W64" i="16"/>
  <c r="W65" i="16"/>
  <c r="W66" i="16"/>
  <c r="W67" i="16"/>
  <c r="W68" i="16"/>
  <c r="W69" i="16"/>
  <c r="W70" i="16"/>
  <c r="W71" i="16"/>
  <c r="W72" i="16"/>
  <c r="W2" i="16"/>
  <c r="Z88" i="20" l="1"/>
  <c r="Y21" i="18"/>
  <c r="Z21" i="18"/>
  <c r="AA88" i="20"/>
  <c r="X15" i="18"/>
  <c r="N44" i="17"/>
  <c r="J35" i="17"/>
  <c r="N35" i="17" s="1"/>
  <c r="V59" i="17"/>
  <c r="J58" i="17"/>
  <c r="N58" i="17" s="1"/>
  <c r="J62" i="17"/>
  <c r="N62" i="17" s="1"/>
  <c r="V60" i="17"/>
  <c r="V61" i="17"/>
  <c r="J20" i="17"/>
  <c r="V20" i="17"/>
  <c r="V56" i="17"/>
  <c r="V46" i="17"/>
  <c r="V19" i="17"/>
  <c r="V31" i="17"/>
  <c r="J40" i="17"/>
  <c r="N40" i="17" s="1"/>
  <c r="J52" i="17"/>
  <c r="N52" i="17" s="1"/>
  <c r="V55" i="17"/>
  <c r="J60" i="17"/>
  <c r="N60" i="17" s="1"/>
  <c r="J59" i="17"/>
  <c r="N59" i="17" s="1"/>
  <c r="J30" i="17"/>
  <c r="N30" i="17" s="1"/>
  <c r="V33" i="17"/>
  <c r="J24" i="17"/>
  <c r="N24" i="17" s="1"/>
  <c r="J18" i="17"/>
  <c r="N18" i="17" s="1"/>
  <c r="X18" i="17" s="1"/>
  <c r="J5" i="17"/>
  <c r="N5" i="17" s="1"/>
  <c r="J53" i="17"/>
  <c r="N53" i="17" s="1"/>
  <c r="J47" i="17"/>
  <c r="N47" i="17" s="1"/>
  <c r="Z67" i="21"/>
  <c r="AA67" i="21"/>
  <c r="X7" i="18"/>
  <c r="X56" i="18"/>
  <c r="X44" i="18"/>
  <c r="X52" i="18"/>
  <c r="X32" i="18"/>
  <c r="X26" i="18"/>
  <c r="X51" i="18"/>
  <c r="X8" i="18"/>
  <c r="X53" i="18"/>
  <c r="X41" i="18"/>
  <c r="X4" i="18"/>
  <c r="X20" i="18"/>
  <c r="X14" i="18"/>
  <c r="X39" i="18"/>
  <c r="X35" i="18"/>
  <c r="X59" i="18"/>
  <c r="X23" i="18"/>
  <c r="X28" i="18"/>
  <c r="X43" i="18"/>
  <c r="X37" i="18"/>
  <c r="X40" i="18"/>
  <c r="X49" i="18"/>
  <c r="X31" i="18"/>
  <c r="X13" i="18"/>
  <c r="X33" i="18"/>
  <c r="X36" i="18"/>
  <c r="X27" i="18"/>
  <c r="X24" i="18"/>
  <c r="X9" i="18"/>
  <c r="X2" i="18"/>
  <c r="X47" i="18"/>
  <c r="X29" i="18"/>
  <c r="X22" i="18"/>
  <c r="X34" i="18"/>
  <c r="X54" i="18"/>
  <c r="X42" i="18"/>
  <c r="X38" i="18"/>
  <c r="X10" i="18"/>
  <c r="X17" i="18"/>
  <c r="X16" i="18"/>
  <c r="X50" i="18"/>
  <c r="X46" i="18"/>
  <c r="X3" i="18"/>
  <c r="X5" i="18"/>
  <c r="X58" i="18"/>
  <c r="X18" i="18"/>
  <c r="X25" i="18"/>
  <c r="X48" i="18"/>
  <c r="X45" i="18"/>
  <c r="X6" i="18"/>
  <c r="X11" i="18"/>
  <c r="X30" i="18"/>
  <c r="X55" i="18"/>
  <c r="X19" i="18"/>
  <c r="X57" i="18"/>
  <c r="X12" i="18"/>
  <c r="V13" i="17"/>
  <c r="V51" i="17"/>
  <c r="V50" i="17"/>
  <c r="V52" i="17"/>
  <c r="V24" i="17"/>
  <c r="V25" i="17"/>
  <c r="V23" i="17"/>
  <c r="V48" i="17"/>
  <c r="V2" i="17"/>
  <c r="J25" i="17"/>
  <c r="N25" i="17" s="1"/>
  <c r="V4" i="17"/>
  <c r="J12" i="17"/>
  <c r="N12" i="17" s="1"/>
  <c r="N14" i="17"/>
  <c r="J73" i="17"/>
  <c r="N73" i="17" s="1"/>
  <c r="V3" i="17"/>
  <c r="J8" i="17"/>
  <c r="N8" i="17" s="1"/>
  <c r="J10" i="17"/>
  <c r="N10" i="17" s="1"/>
  <c r="J11" i="17"/>
  <c r="N11" i="17" s="1"/>
  <c r="V12" i="17"/>
  <c r="J41" i="17"/>
  <c r="N41" i="17" s="1"/>
  <c r="V42" i="17"/>
  <c r="V43" i="17"/>
  <c r="J68" i="17"/>
  <c r="N68" i="17" s="1"/>
  <c r="J71" i="17"/>
  <c r="N71" i="17" s="1"/>
  <c r="V73" i="17"/>
  <c r="V70" i="17"/>
  <c r="J23" i="17"/>
  <c r="N23" i="17" s="1"/>
  <c r="J54" i="17"/>
  <c r="N54" i="17" s="1"/>
  <c r="J48" i="17"/>
  <c r="N48" i="17" s="1"/>
  <c r="J15" i="17"/>
  <c r="N15" i="17" s="1"/>
  <c r="V11" i="17"/>
  <c r="J37" i="17"/>
  <c r="N37" i="17" s="1"/>
  <c r="V41" i="17"/>
  <c r="J6" i="17"/>
  <c r="N6" i="17" s="1"/>
  <c r="V9" i="17"/>
  <c r="J32" i="17"/>
  <c r="N32" i="17" s="1"/>
  <c r="V37" i="17"/>
  <c r="V68" i="17"/>
  <c r="J49" i="17"/>
  <c r="N49" i="17" s="1"/>
  <c r="J17" i="17"/>
  <c r="N17" i="17" s="1"/>
  <c r="J7" i="17"/>
  <c r="N7" i="17" s="1"/>
  <c r="J66" i="17"/>
  <c r="N66" i="17" s="1"/>
  <c r="J67" i="17"/>
  <c r="N67" i="17" s="1"/>
  <c r="V7" i="17"/>
  <c r="J26" i="17"/>
  <c r="N26" i="17" s="1"/>
  <c r="V35" i="17"/>
  <c r="J56" i="17"/>
  <c r="N56" i="17" s="1"/>
  <c r="J64" i="17"/>
  <c r="N64" i="17" s="1"/>
  <c r="V66" i="17"/>
  <c r="V67" i="17"/>
  <c r="N38" i="17"/>
  <c r="V69" i="17"/>
  <c r="V65" i="17"/>
  <c r="V21" i="17"/>
  <c r="V27" i="17"/>
  <c r="V29" i="17"/>
  <c r="N2" i="17"/>
  <c r="X2" i="17" s="1"/>
  <c r="Y2" i="17" s="1"/>
  <c r="Z2" i="17" s="1"/>
  <c r="N50" i="17"/>
  <c r="N20" i="17"/>
  <c r="V45" i="17"/>
  <c r="V57" i="17"/>
  <c r="V58" i="17"/>
  <c r="V10" i="17"/>
  <c r="V39" i="17"/>
  <c r="V40" i="17"/>
  <c r="V49" i="17"/>
  <c r="V15" i="17"/>
  <c r="V17" i="17"/>
  <c r="V34" i="17"/>
  <c r="J34" i="17"/>
  <c r="N34" i="17" s="1"/>
  <c r="J28" i="17"/>
  <c r="N28" i="17" s="1"/>
  <c r="J51" i="17"/>
  <c r="N51" i="17" s="1"/>
  <c r="J22" i="17"/>
  <c r="N22" i="17" s="1"/>
  <c r="J36" i="17"/>
  <c r="N36" i="17" s="1"/>
  <c r="J9" i="17"/>
  <c r="N9" i="17" s="1"/>
  <c r="V36" i="17"/>
  <c r="V47" i="17"/>
  <c r="J39" i="17"/>
  <c r="N39" i="17" s="1"/>
  <c r="J72" i="17"/>
  <c r="N72" i="17" s="1"/>
  <c r="J19" i="17"/>
  <c r="N19" i="17" s="1"/>
  <c r="J33" i="17"/>
  <c r="N33" i="17" s="1"/>
  <c r="V44" i="17"/>
  <c r="X44" i="17" s="1"/>
  <c r="Y44" i="17" s="1"/>
  <c r="Z44" i="17" s="1"/>
  <c r="V53" i="17"/>
  <c r="V71" i="17"/>
  <c r="V54" i="17"/>
  <c r="J3" i="17"/>
  <c r="N3" i="17" s="1"/>
  <c r="J13" i="17"/>
  <c r="N13" i="17" s="1"/>
  <c r="J16" i="17"/>
  <c r="N16" i="17" s="1"/>
  <c r="J55" i="17"/>
  <c r="N55" i="17" s="1"/>
  <c r="V72" i="17"/>
  <c r="V16" i="17"/>
  <c r="V22" i="17"/>
  <c r="J42" i="17"/>
  <c r="N42" i="17" s="1"/>
  <c r="J4" i="17"/>
  <c r="N4" i="17" s="1"/>
  <c r="J46" i="17"/>
  <c r="N46" i="17" s="1"/>
  <c r="J65" i="17"/>
  <c r="N65" i="17" s="1"/>
  <c r="V26" i="17"/>
  <c r="J43" i="17"/>
  <c r="N43" i="17" s="1"/>
  <c r="J69" i="17"/>
  <c r="N69" i="17" s="1"/>
  <c r="J45" i="17"/>
  <c r="N45" i="17" s="1"/>
  <c r="J29" i="17"/>
  <c r="N29" i="17" s="1"/>
  <c r="V14" i="17"/>
  <c r="V28" i="17"/>
  <c r="J57" i="17"/>
  <c r="N57" i="17" s="1"/>
  <c r="J70" i="17"/>
  <c r="N70" i="17" s="1"/>
  <c r="J21" i="17"/>
  <c r="N21" i="17" s="1"/>
  <c r="V32" i="17"/>
  <c r="V38" i="17"/>
  <c r="V8" i="17"/>
  <c r="J27" i="17"/>
  <c r="N27" i="17" s="1"/>
  <c r="J31" i="17"/>
  <c r="N31" i="17" s="1"/>
  <c r="J61" i="17"/>
  <c r="N61" i="17" s="1"/>
  <c r="J63" i="17"/>
  <c r="N63" i="17" s="1"/>
  <c r="M7" i="16"/>
  <c r="U72" i="16"/>
  <c r="S72" i="16"/>
  <c r="R72" i="16"/>
  <c r="M72" i="16"/>
  <c r="L72" i="16"/>
  <c r="I72" i="16"/>
  <c r="G72" i="16"/>
  <c r="D72" i="16"/>
  <c r="E72" i="16" s="1"/>
  <c r="B72" i="16"/>
  <c r="U71" i="16"/>
  <c r="S71" i="16"/>
  <c r="R71" i="16"/>
  <c r="M71" i="16"/>
  <c r="L71" i="16"/>
  <c r="I71" i="16"/>
  <c r="G71" i="16"/>
  <c r="D71" i="16"/>
  <c r="E71" i="16" s="1"/>
  <c r="B71" i="16"/>
  <c r="U70" i="16"/>
  <c r="S70" i="16"/>
  <c r="R70" i="16"/>
  <c r="M70" i="16"/>
  <c r="L70" i="16"/>
  <c r="I70" i="16"/>
  <c r="G70" i="16"/>
  <c r="D70" i="16"/>
  <c r="E70" i="16" s="1"/>
  <c r="B70" i="16"/>
  <c r="U69" i="16"/>
  <c r="S69" i="16"/>
  <c r="R69" i="16"/>
  <c r="M69" i="16"/>
  <c r="L69" i="16"/>
  <c r="I69" i="16"/>
  <c r="G69" i="16"/>
  <c r="D69" i="16"/>
  <c r="E69" i="16" s="1"/>
  <c r="B69" i="16"/>
  <c r="U68" i="16"/>
  <c r="S68" i="16"/>
  <c r="R68" i="16"/>
  <c r="M68" i="16"/>
  <c r="L68" i="16"/>
  <c r="I68" i="16"/>
  <c r="G68" i="16"/>
  <c r="D68" i="16"/>
  <c r="E68" i="16" s="1"/>
  <c r="B68" i="16"/>
  <c r="U67" i="16"/>
  <c r="S67" i="16"/>
  <c r="R67" i="16"/>
  <c r="M67" i="16"/>
  <c r="L67" i="16"/>
  <c r="I67" i="16"/>
  <c r="G67" i="16"/>
  <c r="D67" i="16"/>
  <c r="E67" i="16" s="1"/>
  <c r="B67" i="16"/>
  <c r="U66" i="16"/>
  <c r="S66" i="16"/>
  <c r="R66" i="16"/>
  <c r="M66" i="16"/>
  <c r="L66" i="16"/>
  <c r="I66" i="16"/>
  <c r="G66" i="16"/>
  <c r="D66" i="16"/>
  <c r="E66" i="16" s="1"/>
  <c r="B66" i="16"/>
  <c r="U65" i="16"/>
  <c r="S65" i="16"/>
  <c r="R65" i="16"/>
  <c r="M65" i="16"/>
  <c r="L65" i="16"/>
  <c r="I65" i="16"/>
  <c r="G65" i="16"/>
  <c r="D65" i="16"/>
  <c r="E65" i="16" s="1"/>
  <c r="B65" i="16"/>
  <c r="U64" i="16"/>
  <c r="S64" i="16"/>
  <c r="R64" i="16"/>
  <c r="M64" i="16"/>
  <c r="L64" i="16"/>
  <c r="I64" i="16"/>
  <c r="G64" i="16"/>
  <c r="D64" i="16"/>
  <c r="E64" i="16" s="1"/>
  <c r="B64" i="16"/>
  <c r="U63" i="16"/>
  <c r="S63" i="16"/>
  <c r="R63" i="16"/>
  <c r="M63" i="16"/>
  <c r="L63" i="16"/>
  <c r="I63" i="16"/>
  <c r="G63" i="16"/>
  <c r="D63" i="16"/>
  <c r="E63" i="16" s="1"/>
  <c r="B63" i="16"/>
  <c r="U62" i="16"/>
  <c r="S62" i="16"/>
  <c r="R62" i="16"/>
  <c r="M62" i="16"/>
  <c r="L62" i="16"/>
  <c r="I62" i="16"/>
  <c r="G62" i="16"/>
  <c r="D62" i="16"/>
  <c r="E62" i="16" s="1"/>
  <c r="B62" i="16"/>
  <c r="U61" i="16"/>
  <c r="S61" i="16"/>
  <c r="R61" i="16"/>
  <c r="M61" i="16"/>
  <c r="L61" i="16"/>
  <c r="I61" i="16"/>
  <c r="G61" i="16"/>
  <c r="D61" i="16"/>
  <c r="E61" i="16" s="1"/>
  <c r="B61" i="16"/>
  <c r="U60" i="16"/>
  <c r="S60" i="16"/>
  <c r="R60" i="16"/>
  <c r="M60" i="16"/>
  <c r="L60" i="16"/>
  <c r="I60" i="16"/>
  <c r="G60" i="16"/>
  <c r="D60" i="16"/>
  <c r="E60" i="16" s="1"/>
  <c r="B60" i="16"/>
  <c r="U59" i="16"/>
  <c r="S59" i="16"/>
  <c r="R59" i="16"/>
  <c r="M59" i="16"/>
  <c r="L59" i="16"/>
  <c r="I59" i="16"/>
  <c r="G59" i="16"/>
  <c r="D59" i="16"/>
  <c r="E59" i="16" s="1"/>
  <c r="B59" i="16"/>
  <c r="U58" i="16"/>
  <c r="S58" i="16"/>
  <c r="R58" i="16"/>
  <c r="M58" i="16"/>
  <c r="L58" i="16"/>
  <c r="I58" i="16"/>
  <c r="G58" i="16"/>
  <c r="D58" i="16"/>
  <c r="E58" i="16" s="1"/>
  <c r="B58" i="16"/>
  <c r="U57" i="16"/>
  <c r="S57" i="16"/>
  <c r="R57" i="16"/>
  <c r="M57" i="16"/>
  <c r="L57" i="16"/>
  <c r="I57" i="16"/>
  <c r="G57" i="16"/>
  <c r="D57" i="16"/>
  <c r="E57" i="16" s="1"/>
  <c r="B57" i="16"/>
  <c r="U56" i="16"/>
  <c r="S56" i="16"/>
  <c r="R56" i="16"/>
  <c r="M56" i="16"/>
  <c r="L56" i="16"/>
  <c r="I56" i="16"/>
  <c r="G56" i="16"/>
  <c r="D56" i="16"/>
  <c r="E56" i="16" s="1"/>
  <c r="B56" i="16"/>
  <c r="U55" i="16"/>
  <c r="S55" i="16"/>
  <c r="R55" i="16"/>
  <c r="M55" i="16"/>
  <c r="L55" i="16"/>
  <c r="I55" i="16"/>
  <c r="G55" i="16"/>
  <c r="D55" i="16"/>
  <c r="E55" i="16" s="1"/>
  <c r="B55" i="16"/>
  <c r="U54" i="16"/>
  <c r="S54" i="16"/>
  <c r="R54" i="16"/>
  <c r="M54" i="16"/>
  <c r="L54" i="16"/>
  <c r="I54" i="16"/>
  <c r="G54" i="16"/>
  <c r="D54" i="16"/>
  <c r="E54" i="16" s="1"/>
  <c r="B54" i="16"/>
  <c r="U53" i="16"/>
  <c r="S53" i="16"/>
  <c r="R53" i="16"/>
  <c r="M53" i="16"/>
  <c r="L53" i="16"/>
  <c r="I53" i="16"/>
  <c r="G53" i="16"/>
  <c r="D53" i="16"/>
  <c r="E53" i="16" s="1"/>
  <c r="J53" i="16" s="1"/>
  <c r="B53" i="16"/>
  <c r="U52" i="16"/>
  <c r="S52" i="16"/>
  <c r="R52" i="16"/>
  <c r="M52" i="16"/>
  <c r="L52" i="16"/>
  <c r="I52" i="16"/>
  <c r="G52" i="16"/>
  <c r="D52" i="16"/>
  <c r="E52" i="16" s="1"/>
  <c r="B52" i="16"/>
  <c r="U51" i="16"/>
  <c r="S51" i="16"/>
  <c r="R51" i="16"/>
  <c r="M51" i="16"/>
  <c r="L51" i="16"/>
  <c r="I51" i="16"/>
  <c r="G51" i="16"/>
  <c r="D51" i="16"/>
  <c r="E51" i="16" s="1"/>
  <c r="B51" i="16"/>
  <c r="U50" i="16"/>
  <c r="S50" i="16"/>
  <c r="R50" i="16"/>
  <c r="M50" i="16"/>
  <c r="L50" i="16"/>
  <c r="I50" i="16"/>
  <c r="G50" i="16"/>
  <c r="D50" i="16"/>
  <c r="E50" i="16" s="1"/>
  <c r="B50" i="16"/>
  <c r="U49" i="16"/>
  <c r="S49" i="16"/>
  <c r="R49" i="16"/>
  <c r="M49" i="16"/>
  <c r="L49" i="16"/>
  <c r="I49" i="16"/>
  <c r="G49" i="16"/>
  <c r="D49" i="16"/>
  <c r="E49" i="16" s="1"/>
  <c r="B49" i="16"/>
  <c r="U48" i="16"/>
  <c r="S48" i="16"/>
  <c r="R48" i="16"/>
  <c r="M48" i="16"/>
  <c r="L48" i="16"/>
  <c r="I48" i="16"/>
  <c r="G48" i="16"/>
  <c r="D48" i="16"/>
  <c r="E48" i="16" s="1"/>
  <c r="B48" i="16"/>
  <c r="U47" i="16"/>
  <c r="S47" i="16"/>
  <c r="R47" i="16"/>
  <c r="M47" i="16"/>
  <c r="L47" i="16"/>
  <c r="I47" i="16"/>
  <c r="G47" i="16"/>
  <c r="D47" i="16"/>
  <c r="E47" i="16" s="1"/>
  <c r="B47" i="16"/>
  <c r="U46" i="16"/>
  <c r="S46" i="16"/>
  <c r="R46" i="16"/>
  <c r="M46" i="16"/>
  <c r="L46" i="16"/>
  <c r="I46" i="16"/>
  <c r="G46" i="16"/>
  <c r="D46" i="16"/>
  <c r="E46" i="16" s="1"/>
  <c r="B46" i="16"/>
  <c r="U45" i="16"/>
  <c r="S45" i="16"/>
  <c r="R45" i="16"/>
  <c r="M45" i="16"/>
  <c r="L45" i="16"/>
  <c r="I45" i="16"/>
  <c r="G45" i="16"/>
  <c r="D45" i="16"/>
  <c r="E45" i="16" s="1"/>
  <c r="B45" i="16"/>
  <c r="U44" i="16"/>
  <c r="S44" i="16"/>
  <c r="R44" i="16"/>
  <c r="M44" i="16"/>
  <c r="L44" i="16"/>
  <c r="I44" i="16"/>
  <c r="G44" i="16"/>
  <c r="D44" i="16"/>
  <c r="E44" i="16" s="1"/>
  <c r="B44" i="16"/>
  <c r="U43" i="16"/>
  <c r="S43" i="16"/>
  <c r="R43" i="16"/>
  <c r="M43" i="16"/>
  <c r="L43" i="16"/>
  <c r="I43" i="16"/>
  <c r="G43" i="16"/>
  <c r="D43" i="16"/>
  <c r="E43" i="16" s="1"/>
  <c r="B43" i="16"/>
  <c r="U42" i="16"/>
  <c r="S42" i="16"/>
  <c r="R42" i="16"/>
  <c r="M42" i="16"/>
  <c r="L42" i="16"/>
  <c r="I42" i="16"/>
  <c r="G42" i="16"/>
  <c r="D42" i="16"/>
  <c r="E42" i="16" s="1"/>
  <c r="B42" i="16"/>
  <c r="U41" i="16"/>
  <c r="S41" i="16"/>
  <c r="R41" i="16"/>
  <c r="M41" i="16"/>
  <c r="L41" i="16"/>
  <c r="I41" i="16"/>
  <c r="G41" i="16"/>
  <c r="D41" i="16"/>
  <c r="E41" i="16" s="1"/>
  <c r="B41" i="16"/>
  <c r="U40" i="16"/>
  <c r="S40" i="16"/>
  <c r="R40" i="16"/>
  <c r="M40" i="16"/>
  <c r="L40" i="16"/>
  <c r="I40" i="16"/>
  <c r="G40" i="16"/>
  <c r="D40" i="16"/>
  <c r="E40" i="16" s="1"/>
  <c r="B40" i="16"/>
  <c r="U39" i="16"/>
  <c r="S39" i="16"/>
  <c r="R39" i="16"/>
  <c r="M39" i="16"/>
  <c r="L39" i="16"/>
  <c r="I39" i="16"/>
  <c r="G39" i="16"/>
  <c r="D39" i="16"/>
  <c r="E39" i="16" s="1"/>
  <c r="B39" i="16"/>
  <c r="U38" i="16"/>
  <c r="S38" i="16"/>
  <c r="R38" i="16"/>
  <c r="M38" i="16"/>
  <c r="L38" i="16"/>
  <c r="I38" i="16"/>
  <c r="G38" i="16"/>
  <c r="D38" i="16"/>
  <c r="E38" i="16" s="1"/>
  <c r="B38" i="16"/>
  <c r="U37" i="16"/>
  <c r="S37" i="16"/>
  <c r="R37" i="16"/>
  <c r="M37" i="16"/>
  <c r="L37" i="16"/>
  <c r="I37" i="16"/>
  <c r="G37" i="16"/>
  <c r="D37" i="16"/>
  <c r="E37" i="16" s="1"/>
  <c r="B37" i="16"/>
  <c r="U36" i="16"/>
  <c r="S36" i="16"/>
  <c r="R36" i="16"/>
  <c r="M36" i="16"/>
  <c r="L36" i="16"/>
  <c r="I36" i="16"/>
  <c r="G36" i="16"/>
  <c r="D36" i="16"/>
  <c r="E36" i="16" s="1"/>
  <c r="B36" i="16"/>
  <c r="U35" i="16"/>
  <c r="S35" i="16"/>
  <c r="R35" i="16"/>
  <c r="M35" i="16"/>
  <c r="L35" i="16"/>
  <c r="I35" i="16"/>
  <c r="G35" i="16"/>
  <c r="D35" i="16"/>
  <c r="E35" i="16" s="1"/>
  <c r="B35" i="16"/>
  <c r="U34" i="16"/>
  <c r="S34" i="16"/>
  <c r="R34" i="16"/>
  <c r="M34" i="16"/>
  <c r="L34" i="16"/>
  <c r="I34" i="16"/>
  <c r="G34" i="16"/>
  <c r="D34" i="16"/>
  <c r="E34" i="16" s="1"/>
  <c r="B34" i="16"/>
  <c r="U33" i="16"/>
  <c r="S33" i="16"/>
  <c r="R33" i="16"/>
  <c r="M33" i="16"/>
  <c r="L33" i="16"/>
  <c r="I33" i="16"/>
  <c r="G33" i="16"/>
  <c r="D33" i="16"/>
  <c r="E33" i="16" s="1"/>
  <c r="B33" i="16"/>
  <c r="U32" i="16"/>
  <c r="S32" i="16"/>
  <c r="R32" i="16"/>
  <c r="M32" i="16"/>
  <c r="L32" i="16"/>
  <c r="I32" i="16"/>
  <c r="G32" i="16"/>
  <c r="D32" i="16"/>
  <c r="E32" i="16" s="1"/>
  <c r="B32" i="16"/>
  <c r="U31" i="16"/>
  <c r="S31" i="16"/>
  <c r="R31" i="16"/>
  <c r="M31" i="16"/>
  <c r="L31" i="16"/>
  <c r="I31" i="16"/>
  <c r="G31" i="16"/>
  <c r="D31" i="16"/>
  <c r="E31" i="16" s="1"/>
  <c r="B31" i="16"/>
  <c r="U30" i="16"/>
  <c r="S30" i="16"/>
  <c r="R30" i="16"/>
  <c r="M30" i="16"/>
  <c r="L30" i="16"/>
  <c r="I30" i="16"/>
  <c r="G30" i="16"/>
  <c r="D30" i="16"/>
  <c r="E30" i="16" s="1"/>
  <c r="B30" i="16"/>
  <c r="U29" i="16"/>
  <c r="S29" i="16"/>
  <c r="R29" i="16"/>
  <c r="M29" i="16"/>
  <c r="L29" i="16"/>
  <c r="I29" i="16"/>
  <c r="G29" i="16"/>
  <c r="D29" i="16"/>
  <c r="E29" i="16" s="1"/>
  <c r="B29" i="16"/>
  <c r="U28" i="16"/>
  <c r="S28" i="16"/>
  <c r="R28" i="16"/>
  <c r="M28" i="16"/>
  <c r="L28" i="16"/>
  <c r="I28" i="16"/>
  <c r="G28" i="16"/>
  <c r="D28" i="16"/>
  <c r="E28" i="16" s="1"/>
  <c r="B28" i="16"/>
  <c r="U27" i="16"/>
  <c r="S27" i="16"/>
  <c r="R27" i="16"/>
  <c r="M27" i="16"/>
  <c r="L27" i="16"/>
  <c r="I27" i="16"/>
  <c r="G27" i="16"/>
  <c r="D27" i="16"/>
  <c r="E27" i="16" s="1"/>
  <c r="B27" i="16"/>
  <c r="U26" i="16"/>
  <c r="S26" i="16"/>
  <c r="R26" i="16"/>
  <c r="M26" i="16"/>
  <c r="L26" i="16"/>
  <c r="I26" i="16"/>
  <c r="G26" i="16"/>
  <c r="D26" i="16"/>
  <c r="E26" i="16" s="1"/>
  <c r="B26" i="16"/>
  <c r="U25" i="16"/>
  <c r="S25" i="16"/>
  <c r="R25" i="16"/>
  <c r="M25" i="16"/>
  <c r="L25" i="16"/>
  <c r="I25" i="16"/>
  <c r="G25" i="16"/>
  <c r="D25" i="16"/>
  <c r="E25" i="16" s="1"/>
  <c r="B25" i="16"/>
  <c r="U24" i="16"/>
  <c r="S24" i="16"/>
  <c r="R24" i="16"/>
  <c r="M24" i="16"/>
  <c r="L24" i="16"/>
  <c r="I24" i="16"/>
  <c r="G24" i="16"/>
  <c r="D24" i="16"/>
  <c r="E24" i="16" s="1"/>
  <c r="B24" i="16"/>
  <c r="U23" i="16"/>
  <c r="S23" i="16"/>
  <c r="R23" i="16"/>
  <c r="M23" i="16"/>
  <c r="L23" i="16"/>
  <c r="I23" i="16"/>
  <c r="G23" i="16"/>
  <c r="D23" i="16"/>
  <c r="E23" i="16" s="1"/>
  <c r="B23" i="16"/>
  <c r="U22" i="16"/>
  <c r="S22" i="16"/>
  <c r="R22" i="16"/>
  <c r="M22" i="16"/>
  <c r="L22" i="16"/>
  <c r="I22" i="16"/>
  <c r="G22" i="16"/>
  <c r="D22" i="16"/>
  <c r="E22" i="16" s="1"/>
  <c r="B22" i="16"/>
  <c r="U21" i="16"/>
  <c r="S21" i="16"/>
  <c r="R21" i="16"/>
  <c r="M21" i="16"/>
  <c r="L21" i="16"/>
  <c r="I21" i="16"/>
  <c r="G21" i="16"/>
  <c r="D21" i="16"/>
  <c r="E21" i="16" s="1"/>
  <c r="B21" i="16"/>
  <c r="U20" i="16"/>
  <c r="S20" i="16"/>
  <c r="R20" i="16"/>
  <c r="M20" i="16"/>
  <c r="L20" i="16"/>
  <c r="I20" i="16"/>
  <c r="G20" i="16"/>
  <c r="D20" i="16"/>
  <c r="E20" i="16" s="1"/>
  <c r="B20" i="16"/>
  <c r="U19" i="16"/>
  <c r="S19" i="16"/>
  <c r="R19" i="16"/>
  <c r="M19" i="16"/>
  <c r="L19" i="16"/>
  <c r="I19" i="16"/>
  <c r="G19" i="16"/>
  <c r="D19" i="16"/>
  <c r="E19" i="16" s="1"/>
  <c r="B19" i="16"/>
  <c r="U18" i="16"/>
  <c r="S18" i="16"/>
  <c r="R18" i="16"/>
  <c r="M18" i="16"/>
  <c r="L18" i="16"/>
  <c r="I18" i="16"/>
  <c r="G18" i="16"/>
  <c r="D18" i="16"/>
  <c r="E18" i="16" s="1"/>
  <c r="B18" i="16"/>
  <c r="U17" i="16"/>
  <c r="S17" i="16"/>
  <c r="R17" i="16"/>
  <c r="M17" i="16"/>
  <c r="L17" i="16"/>
  <c r="I17" i="16"/>
  <c r="G17" i="16"/>
  <c r="D17" i="16"/>
  <c r="E17" i="16" s="1"/>
  <c r="B17" i="16"/>
  <c r="U16" i="16"/>
  <c r="S16" i="16"/>
  <c r="R16" i="16"/>
  <c r="M16" i="16"/>
  <c r="L16" i="16"/>
  <c r="I16" i="16"/>
  <c r="G16" i="16"/>
  <c r="D16" i="16"/>
  <c r="E16" i="16" s="1"/>
  <c r="B16" i="16"/>
  <c r="U15" i="16"/>
  <c r="S15" i="16"/>
  <c r="R15" i="16"/>
  <c r="M15" i="16"/>
  <c r="L15" i="16"/>
  <c r="I15" i="16"/>
  <c r="G15" i="16"/>
  <c r="D15" i="16"/>
  <c r="E15" i="16" s="1"/>
  <c r="B15" i="16"/>
  <c r="U14" i="16"/>
  <c r="S14" i="16"/>
  <c r="R14" i="16"/>
  <c r="M14" i="16"/>
  <c r="L14" i="16"/>
  <c r="I14" i="16"/>
  <c r="G14" i="16"/>
  <c r="D14" i="16"/>
  <c r="E14" i="16" s="1"/>
  <c r="B14" i="16"/>
  <c r="U13" i="16"/>
  <c r="S13" i="16"/>
  <c r="R13" i="16"/>
  <c r="M13" i="16"/>
  <c r="L13" i="16"/>
  <c r="I13" i="16"/>
  <c r="G13" i="16"/>
  <c r="D13" i="16"/>
  <c r="E13" i="16" s="1"/>
  <c r="B13" i="16"/>
  <c r="U12" i="16"/>
  <c r="S12" i="16"/>
  <c r="R12" i="16"/>
  <c r="M12" i="16"/>
  <c r="L12" i="16"/>
  <c r="I12" i="16"/>
  <c r="G12" i="16"/>
  <c r="D12" i="16"/>
  <c r="E12" i="16" s="1"/>
  <c r="B12" i="16"/>
  <c r="U11" i="16"/>
  <c r="S11" i="16"/>
  <c r="R11" i="16"/>
  <c r="M11" i="16"/>
  <c r="L11" i="16"/>
  <c r="I11" i="16"/>
  <c r="G11" i="16"/>
  <c r="D11" i="16"/>
  <c r="E11" i="16" s="1"/>
  <c r="J11" i="16" s="1"/>
  <c r="N11" i="16" s="1"/>
  <c r="B11" i="16"/>
  <c r="U10" i="16"/>
  <c r="S10" i="16"/>
  <c r="R10" i="16"/>
  <c r="M10" i="16"/>
  <c r="L10" i="16"/>
  <c r="I10" i="16"/>
  <c r="G10" i="16"/>
  <c r="D10" i="16"/>
  <c r="E10" i="16" s="1"/>
  <c r="B10" i="16"/>
  <c r="U9" i="16"/>
  <c r="S9" i="16"/>
  <c r="R9" i="16"/>
  <c r="M9" i="16"/>
  <c r="L9" i="16"/>
  <c r="I9" i="16"/>
  <c r="G9" i="16"/>
  <c r="D9" i="16"/>
  <c r="E9" i="16" s="1"/>
  <c r="B9" i="16"/>
  <c r="U8" i="16"/>
  <c r="S8" i="16"/>
  <c r="R8" i="16"/>
  <c r="M8" i="16"/>
  <c r="L8" i="16"/>
  <c r="I8" i="16"/>
  <c r="G8" i="16"/>
  <c r="D8" i="16"/>
  <c r="E8" i="16" s="1"/>
  <c r="B8" i="16"/>
  <c r="U7" i="16"/>
  <c r="S7" i="16"/>
  <c r="R7" i="16"/>
  <c r="L7" i="16"/>
  <c r="I7" i="16"/>
  <c r="G7" i="16"/>
  <c r="D7" i="16"/>
  <c r="E7" i="16" s="1"/>
  <c r="B7" i="16"/>
  <c r="U6" i="16"/>
  <c r="S6" i="16"/>
  <c r="R6" i="16"/>
  <c r="M6" i="16"/>
  <c r="L6" i="16"/>
  <c r="I6" i="16"/>
  <c r="G6" i="16"/>
  <c r="D6" i="16"/>
  <c r="E6" i="16" s="1"/>
  <c r="B6" i="16"/>
  <c r="U5" i="16"/>
  <c r="S5" i="16"/>
  <c r="R5" i="16"/>
  <c r="M5" i="16"/>
  <c r="L5" i="16"/>
  <c r="I5" i="16"/>
  <c r="G5" i="16"/>
  <c r="D5" i="16"/>
  <c r="E5" i="16" s="1"/>
  <c r="J5" i="16" s="1"/>
  <c r="B5" i="16"/>
  <c r="U4" i="16"/>
  <c r="S4" i="16"/>
  <c r="R4" i="16"/>
  <c r="M4" i="16"/>
  <c r="L4" i="16"/>
  <c r="I4" i="16"/>
  <c r="G4" i="16"/>
  <c r="D4" i="16"/>
  <c r="E4" i="16" s="1"/>
  <c r="B4" i="16"/>
  <c r="U3" i="16"/>
  <c r="S3" i="16"/>
  <c r="R3" i="16"/>
  <c r="M3" i="16"/>
  <c r="L3" i="16"/>
  <c r="I3" i="16"/>
  <c r="G3" i="16"/>
  <c r="D3" i="16"/>
  <c r="E3" i="16" s="1"/>
  <c r="B3" i="16"/>
  <c r="U2" i="16"/>
  <c r="S2" i="16"/>
  <c r="R2" i="16"/>
  <c r="M2" i="16"/>
  <c r="L2" i="16"/>
  <c r="I2" i="16"/>
  <c r="G2" i="16"/>
  <c r="D2" i="16"/>
  <c r="E2" i="16" s="1"/>
  <c r="B2" i="16"/>
  <c r="Y24" i="18" l="1"/>
  <c r="Z24" i="18" s="1"/>
  <c r="AA24" i="18" s="1"/>
  <c r="Y11" i="18"/>
  <c r="Z11" i="18" s="1"/>
  <c r="AA11" i="18" s="1"/>
  <c r="Y35" i="18"/>
  <c r="Z35" i="18" s="1"/>
  <c r="AA35" i="18" s="1"/>
  <c r="Y39" i="18"/>
  <c r="Z39" i="18"/>
  <c r="AA39" i="18" s="1"/>
  <c r="Y45" i="18"/>
  <c r="Z45" i="18"/>
  <c r="AA45" i="18" s="1"/>
  <c r="Y14" i="18"/>
  <c r="Z14" i="18"/>
  <c r="Y7" i="18"/>
  <c r="Z7" i="18"/>
  <c r="AA7" i="18" s="1"/>
  <c r="Y34" i="18"/>
  <c r="Z34" i="18"/>
  <c r="AA34" i="18" s="1"/>
  <c r="Y43" i="18"/>
  <c r="Z43" i="18"/>
  <c r="AA43" i="18" s="1"/>
  <c r="Y30" i="18"/>
  <c r="Z30" i="18"/>
  <c r="AA30" i="18" s="1"/>
  <c r="Y59" i="18"/>
  <c r="Z59" i="18" s="1"/>
  <c r="AA59" i="18" s="1"/>
  <c r="Y17" i="18"/>
  <c r="Z17" i="18"/>
  <c r="Y52" i="18"/>
  <c r="Z52" i="18"/>
  <c r="AA52" i="18" s="1"/>
  <c r="Y6" i="18"/>
  <c r="Z6" i="18"/>
  <c r="AA6" i="18" s="1"/>
  <c r="Y36" i="18"/>
  <c r="Z36" i="18" s="1"/>
  <c r="AA36" i="18" s="1"/>
  <c r="Y33" i="18"/>
  <c r="Z33" i="18"/>
  <c r="Y48" i="18"/>
  <c r="Z48" i="18" s="1"/>
  <c r="AA48" i="18" s="1"/>
  <c r="Y20" i="18"/>
  <c r="Z20" i="18"/>
  <c r="AA20" i="18" s="1"/>
  <c r="Y54" i="18"/>
  <c r="Z54" i="18"/>
  <c r="AA54" i="18" s="1"/>
  <c r="Y4" i="18"/>
  <c r="Z4" i="18"/>
  <c r="AA4" i="18" s="1"/>
  <c r="Y18" i="18"/>
  <c r="Z18" i="18" s="1"/>
  <c r="AA18" i="18" s="1"/>
  <c r="Y41" i="18"/>
  <c r="Z41" i="18" s="1"/>
  <c r="AA41" i="18" s="1"/>
  <c r="Y58" i="18"/>
  <c r="Z58" i="18"/>
  <c r="AA58" i="18" s="1"/>
  <c r="Y40" i="18"/>
  <c r="Z40" i="18"/>
  <c r="Y5" i="18"/>
  <c r="Z5" i="18" s="1"/>
  <c r="AA5" i="18" s="1"/>
  <c r="Y29" i="18"/>
  <c r="Z29" i="18" s="1"/>
  <c r="AA29" i="18" s="1"/>
  <c r="Y8" i="18"/>
  <c r="Z8" i="18"/>
  <c r="Y3" i="18"/>
  <c r="Z3" i="18"/>
  <c r="AA3" i="18" s="1"/>
  <c r="Y51" i="18"/>
  <c r="Z51" i="18"/>
  <c r="AA51" i="18" s="1"/>
  <c r="Y19" i="18"/>
  <c r="Z19" i="18"/>
  <c r="AA19" i="18" s="1"/>
  <c r="Y46" i="18"/>
  <c r="Z46" i="18" s="1"/>
  <c r="AA46" i="18" s="1"/>
  <c r="Y28" i="18"/>
  <c r="Z28" i="18" s="1"/>
  <c r="AA28" i="18" s="1"/>
  <c r="Y26" i="18"/>
  <c r="Z26" i="18"/>
  <c r="Y16" i="18"/>
  <c r="Z16" i="18"/>
  <c r="AA16" i="18" s="1"/>
  <c r="Y32" i="18"/>
  <c r="Z32" i="18"/>
  <c r="AA32" i="18" s="1"/>
  <c r="Y27" i="18"/>
  <c r="Z27" i="18" s="1"/>
  <c r="AA27" i="18" s="1"/>
  <c r="Y10" i="18"/>
  <c r="Z10" i="18" s="1"/>
  <c r="AA10" i="18" s="1"/>
  <c r="Y44" i="18"/>
  <c r="Z44" i="18" s="1"/>
  <c r="AA44" i="18" s="1"/>
  <c r="Y38" i="18"/>
  <c r="Z38" i="18"/>
  <c r="AA38" i="18" s="1"/>
  <c r="Y56" i="18"/>
  <c r="Z56" i="18"/>
  <c r="AA56" i="18" s="1"/>
  <c r="Y42" i="18"/>
  <c r="Z42" i="18"/>
  <c r="AA42" i="18" s="1"/>
  <c r="Y13" i="18"/>
  <c r="Z13" i="18" s="1"/>
  <c r="AA13" i="18" s="1"/>
  <c r="Y25" i="18"/>
  <c r="Z25" i="18" s="1"/>
  <c r="AA25" i="18" s="1"/>
  <c r="Y31" i="18"/>
  <c r="Z31" i="18"/>
  <c r="AA31" i="18" s="1"/>
  <c r="Y49" i="18"/>
  <c r="Z49" i="18" s="1"/>
  <c r="AA49" i="18" s="1"/>
  <c r="Y22" i="18"/>
  <c r="Z22" i="18"/>
  <c r="AA22" i="18" s="1"/>
  <c r="Y53" i="18"/>
  <c r="Z53" i="18"/>
  <c r="Y12" i="18"/>
  <c r="Z12" i="18" s="1"/>
  <c r="AA12" i="18" s="1"/>
  <c r="Y37" i="18"/>
  <c r="Z37" i="18" s="1"/>
  <c r="AA37" i="18" s="1"/>
  <c r="Y15" i="18"/>
  <c r="Z15" i="18" s="1"/>
  <c r="AA15" i="18" s="1"/>
  <c r="Y57" i="18"/>
  <c r="Z57" i="18"/>
  <c r="AA57" i="18" s="1"/>
  <c r="Y47" i="18"/>
  <c r="Z47" i="18" s="1"/>
  <c r="AA47" i="18" s="1"/>
  <c r="Y55" i="18"/>
  <c r="Z55" i="18"/>
  <c r="AA55" i="18" s="1"/>
  <c r="Y50" i="18"/>
  <c r="Z50" i="18"/>
  <c r="AA50" i="18" s="1"/>
  <c r="Z9" i="18"/>
  <c r="AA9" i="18" s="1"/>
  <c r="Y9" i="18"/>
  <c r="Y23" i="18"/>
  <c r="Z23" i="18" s="1"/>
  <c r="AA23" i="18" s="1"/>
  <c r="Y2" i="18"/>
  <c r="Z2" i="18"/>
  <c r="AA2" i="18" s="1"/>
  <c r="Y18" i="17"/>
  <c r="Z18" i="17" s="1"/>
  <c r="AA18" i="17" s="1"/>
  <c r="X48" i="17"/>
  <c r="Y48" i="17" s="1"/>
  <c r="Z48" i="17" s="1"/>
  <c r="X60" i="17"/>
  <c r="Y60" i="17" s="1"/>
  <c r="Z60" i="17" s="1"/>
  <c r="X62" i="17"/>
  <c r="Y62" i="17" s="1"/>
  <c r="Z62" i="17" s="1"/>
  <c r="X50" i="17"/>
  <c r="Y50" i="17" s="1"/>
  <c r="Z50" i="17" s="1"/>
  <c r="X24" i="17"/>
  <c r="X35" i="17"/>
  <c r="X15" i="17"/>
  <c r="X68" i="17"/>
  <c r="Y68" i="17" s="1"/>
  <c r="Z68" i="17" s="1"/>
  <c r="X37" i="17"/>
  <c r="Y37" i="17" s="1"/>
  <c r="Z37" i="17" s="1"/>
  <c r="X49" i="17"/>
  <c r="X12" i="17"/>
  <c r="J49" i="16"/>
  <c r="N49" i="16" s="1"/>
  <c r="J61" i="16"/>
  <c r="N61" i="16" s="1"/>
  <c r="N53" i="16"/>
  <c r="N5" i="16"/>
  <c r="V36" i="16"/>
  <c r="V15" i="16"/>
  <c r="AA21" i="18"/>
  <c r="AA17" i="18"/>
  <c r="AA40" i="18"/>
  <c r="AA53" i="18"/>
  <c r="AA8" i="18"/>
  <c r="AA14" i="18"/>
  <c r="AA26" i="18"/>
  <c r="X11" i="17"/>
  <c r="Y11" i="17" s="1"/>
  <c r="Z11" i="17" s="1"/>
  <c r="X20" i="17"/>
  <c r="X8" i="17"/>
  <c r="AA48" i="17"/>
  <c r="X56" i="17"/>
  <c r="X26" i="17"/>
  <c r="Y26" i="17" s="1"/>
  <c r="Z26" i="17" s="1"/>
  <c r="X32" i="17"/>
  <c r="X38" i="17"/>
  <c r="AA62" i="17"/>
  <c r="X67" i="17"/>
  <c r="Y67" i="17" s="1"/>
  <c r="Z67" i="17" s="1"/>
  <c r="X72" i="17"/>
  <c r="Y72" i="17" s="1"/>
  <c r="Z72" i="17" s="1"/>
  <c r="X34" i="17"/>
  <c r="Y34" i="17" s="1"/>
  <c r="Z34" i="17" s="1"/>
  <c r="X46" i="17"/>
  <c r="Y46" i="17" s="1"/>
  <c r="Z46" i="17" s="1"/>
  <c r="X36" i="17"/>
  <c r="Y36" i="17" s="1"/>
  <c r="Z36" i="17" s="1"/>
  <c r="X70" i="17"/>
  <c r="Y70" i="17" s="1"/>
  <c r="Z70" i="17" s="1"/>
  <c r="X61" i="17"/>
  <c r="Y61" i="17" s="1"/>
  <c r="Z61" i="17" s="1"/>
  <c r="X16" i="17"/>
  <c r="X30" i="17"/>
  <c r="X5" i="17"/>
  <c r="X6" i="17"/>
  <c r="X52" i="17"/>
  <c r="X7" i="17"/>
  <c r="Y7" i="17" s="1"/>
  <c r="Z7" i="17" s="1"/>
  <c r="X13" i="17"/>
  <c r="X19" i="17"/>
  <c r="Y19" i="17" s="1"/>
  <c r="Z19" i="17" s="1"/>
  <c r="X51" i="17"/>
  <c r="X59" i="17"/>
  <c r="Y59" i="17" s="1"/>
  <c r="Z59" i="17" s="1"/>
  <c r="X3" i="17"/>
  <c r="X21" i="17"/>
  <c r="Y21" i="17" s="1"/>
  <c r="Z21" i="17" s="1"/>
  <c r="X65" i="17"/>
  <c r="X53" i="17"/>
  <c r="X27" i="17"/>
  <c r="X43" i="17"/>
  <c r="X28" i="17"/>
  <c r="X14" i="17"/>
  <c r="X33" i="17"/>
  <c r="Y33" i="17" s="1"/>
  <c r="Z33" i="17" s="1"/>
  <c r="X40" i="17"/>
  <c r="X57" i="17"/>
  <c r="X29" i="17"/>
  <c r="X9" i="17"/>
  <c r="Y9" i="17" s="1"/>
  <c r="Z9" i="17" s="1"/>
  <c r="X42" i="17"/>
  <c r="X39" i="17"/>
  <c r="X31" i="17"/>
  <c r="Y31" i="17" s="1"/>
  <c r="Z31" i="17" s="1"/>
  <c r="X55" i="17"/>
  <c r="X66" i="17"/>
  <c r="X22" i="17"/>
  <c r="Y22" i="17" s="1"/>
  <c r="Z22" i="17" s="1"/>
  <c r="X63" i="17"/>
  <c r="X4" i="17"/>
  <c r="X10" i="17"/>
  <c r="X25" i="17"/>
  <c r="Y25" i="17" s="1"/>
  <c r="Z25" i="17" s="1"/>
  <c r="X41" i="17"/>
  <c r="X73" i="17"/>
  <c r="X58" i="17"/>
  <c r="X23" i="17"/>
  <c r="Y23" i="17" s="1"/>
  <c r="Z23" i="17" s="1"/>
  <c r="X71" i="17"/>
  <c r="X17" i="17"/>
  <c r="X47" i="17"/>
  <c r="X45" i="17"/>
  <c r="Y45" i="17" s="1"/>
  <c r="Z45" i="17" s="1"/>
  <c r="X69" i="17"/>
  <c r="Y69" i="17" s="1"/>
  <c r="Z69" i="17" s="1"/>
  <c r="X64" i="17"/>
  <c r="X54" i="17"/>
  <c r="J15" i="16"/>
  <c r="N15" i="16" s="1"/>
  <c r="J27" i="16"/>
  <c r="N27" i="16" s="1"/>
  <c r="J3" i="16"/>
  <c r="N3" i="16" s="1"/>
  <c r="J58" i="16"/>
  <c r="N58" i="16" s="1"/>
  <c r="V59" i="16"/>
  <c r="V30" i="16"/>
  <c r="V42" i="16"/>
  <c r="J37" i="16"/>
  <c r="N37" i="16" s="1"/>
  <c r="J17" i="16"/>
  <c r="N17" i="16" s="1"/>
  <c r="J72" i="16"/>
  <c r="N72" i="16" s="1"/>
  <c r="J8" i="16"/>
  <c r="N8" i="16" s="1"/>
  <c r="J16" i="16"/>
  <c r="N16" i="16" s="1"/>
  <c r="J20" i="16"/>
  <c r="N20" i="16" s="1"/>
  <c r="V49" i="16"/>
  <c r="V62" i="16"/>
  <c r="J66" i="16"/>
  <c r="N66" i="16" s="1"/>
  <c r="J25" i="16"/>
  <c r="V40" i="16"/>
  <c r="V61" i="16"/>
  <c r="V39" i="16"/>
  <c r="J13" i="16"/>
  <c r="N13" i="16" s="1"/>
  <c r="X13" i="16" s="1"/>
  <c r="J28" i="16"/>
  <c r="N28" i="16" s="1"/>
  <c r="V27" i="16"/>
  <c r="J47" i="16"/>
  <c r="V66" i="16"/>
  <c r="J18" i="16"/>
  <c r="J19" i="16"/>
  <c r="N19" i="16" s="1"/>
  <c r="J22" i="16"/>
  <c r="N22" i="16" s="1"/>
  <c r="V23" i="16"/>
  <c r="V25" i="16"/>
  <c r="J46" i="16"/>
  <c r="N46" i="16" s="1"/>
  <c r="V47" i="16"/>
  <c r="V18" i="16"/>
  <c r="V19" i="16"/>
  <c r="V21" i="16"/>
  <c r="V22" i="16"/>
  <c r="J44" i="16"/>
  <c r="V45" i="16"/>
  <c r="V46" i="16"/>
  <c r="J59" i="16"/>
  <c r="J63" i="16"/>
  <c r="N63" i="16" s="1"/>
  <c r="V20" i="16"/>
  <c r="J62" i="16"/>
  <c r="N62" i="16" s="1"/>
  <c r="J29" i="16"/>
  <c r="N29" i="16" s="1"/>
  <c r="J12" i="16"/>
  <c r="J7" i="16"/>
  <c r="N7" i="16" s="1"/>
  <c r="J39" i="16"/>
  <c r="N39" i="16" s="1"/>
  <c r="J54" i="16"/>
  <c r="N54" i="16" s="1"/>
  <c r="V56" i="16"/>
  <c r="J6" i="16"/>
  <c r="N6" i="16" s="1"/>
  <c r="V11" i="16"/>
  <c r="X11" i="16" s="1"/>
  <c r="J34" i="16"/>
  <c r="V35" i="16"/>
  <c r="V54" i="16"/>
  <c r="V6" i="16"/>
  <c r="V8" i="16"/>
  <c r="V9" i="16"/>
  <c r="V34" i="16"/>
  <c r="J2" i="16"/>
  <c r="N2" i="16" s="1"/>
  <c r="J24" i="16"/>
  <c r="J31" i="16"/>
  <c r="N31" i="16" s="1"/>
  <c r="V32" i="16"/>
  <c r="J51" i="16"/>
  <c r="N51" i="16" s="1"/>
  <c r="J71" i="16"/>
  <c r="J55" i="16"/>
  <c r="N55" i="16" s="1"/>
  <c r="V7" i="16"/>
  <c r="V13" i="16"/>
  <c r="V37" i="16"/>
  <c r="V53" i="16"/>
  <c r="J50" i="16"/>
  <c r="J70" i="16"/>
  <c r="N70" i="16" s="1"/>
  <c r="V71" i="16"/>
  <c r="V72" i="16"/>
  <c r="V43" i="16"/>
  <c r="V64" i="16"/>
  <c r="V67" i="16"/>
  <c r="V65" i="16"/>
  <c r="V60" i="16"/>
  <c r="V57" i="16"/>
  <c r="V33" i="16"/>
  <c r="V55" i="16"/>
  <c r="V17" i="16"/>
  <c r="V31" i="16"/>
  <c r="V16" i="16"/>
  <c r="V26" i="16"/>
  <c r="V28" i="16"/>
  <c r="V29" i="16"/>
  <c r="V50" i="16"/>
  <c r="V14" i="16"/>
  <c r="V48" i="16"/>
  <c r="V38" i="16"/>
  <c r="V52" i="16"/>
  <c r="V2" i="16"/>
  <c r="V4" i="16"/>
  <c r="V10" i="16"/>
  <c r="V69" i="16"/>
  <c r="V70" i="16"/>
  <c r="J41" i="16"/>
  <c r="N41" i="16" s="1"/>
  <c r="J56" i="16"/>
  <c r="N56" i="16" s="1"/>
  <c r="J48" i="16"/>
  <c r="N48" i="16" s="1"/>
  <c r="J38" i="16"/>
  <c r="N38" i="16" s="1"/>
  <c r="J40" i="16"/>
  <c r="V51" i="16"/>
  <c r="V24" i="16"/>
  <c r="J60" i="16"/>
  <c r="N60" i="16" s="1"/>
  <c r="V3" i="16"/>
  <c r="J67" i="16"/>
  <c r="N67" i="16" s="1"/>
  <c r="V5" i="16"/>
  <c r="V12" i="16"/>
  <c r="J32" i="16"/>
  <c r="N32" i="16" s="1"/>
  <c r="J43" i="16"/>
  <c r="N43" i="16" s="1"/>
  <c r="J36" i="16"/>
  <c r="N36" i="16" s="1"/>
  <c r="V44" i="16"/>
  <c r="V58" i="16"/>
  <c r="J21" i="16"/>
  <c r="N21" i="16" s="1"/>
  <c r="V63" i="16"/>
  <c r="J9" i="16"/>
  <c r="N9" i="16" s="1"/>
  <c r="J10" i="16"/>
  <c r="N10" i="16" s="1"/>
  <c r="J35" i="16"/>
  <c r="J68" i="16"/>
  <c r="N68" i="16" s="1"/>
  <c r="J65" i="16"/>
  <c r="N65" i="16" s="1"/>
  <c r="J52" i="16"/>
  <c r="N52" i="16" s="1"/>
  <c r="J45" i="16"/>
  <c r="N45" i="16" s="1"/>
  <c r="J64" i="16"/>
  <c r="N64" i="16" s="1"/>
  <c r="J26" i="16"/>
  <c r="N26" i="16" s="1"/>
  <c r="J69" i="16"/>
  <c r="N69" i="16" s="1"/>
  <c r="J57" i="16"/>
  <c r="N57" i="16" s="1"/>
  <c r="X57" i="16" s="1"/>
  <c r="V68" i="16"/>
  <c r="J33" i="16"/>
  <c r="N33" i="16" s="1"/>
  <c r="J42" i="16"/>
  <c r="N42" i="16" s="1"/>
  <c r="J4" i="16"/>
  <c r="J23" i="16"/>
  <c r="N23" i="16" s="1"/>
  <c r="J14" i="16"/>
  <c r="J30" i="16"/>
  <c r="V41" i="16"/>
  <c r="S3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2" i="14"/>
  <c r="AA71" i="17" l="1"/>
  <c r="Y71" i="17"/>
  <c r="Z71" i="17" s="1"/>
  <c r="Y6" i="17"/>
  <c r="Z6" i="17" s="1"/>
  <c r="AA6" i="17" s="1"/>
  <c r="AA27" i="17"/>
  <c r="Y27" i="17"/>
  <c r="Z27" i="17"/>
  <c r="Y32" i="17"/>
  <c r="Z32" i="17" s="1"/>
  <c r="AA32" i="17" s="1"/>
  <c r="Y53" i="17"/>
  <c r="Z53" i="17" s="1"/>
  <c r="AA53" i="17" s="1"/>
  <c r="Y30" i="17"/>
  <c r="Z30" i="17" s="1"/>
  <c r="AA30" i="17" s="1"/>
  <c r="Y73" i="17"/>
  <c r="Z73" i="17" s="1"/>
  <c r="AA73" i="17" s="1"/>
  <c r="Y39" i="17"/>
  <c r="Z39" i="17" s="1"/>
  <c r="AA39" i="17" s="1"/>
  <c r="Y65" i="17"/>
  <c r="Z65" i="17"/>
  <c r="AA65" i="17" s="1"/>
  <c r="Y16" i="17"/>
  <c r="Z16" i="17" s="1"/>
  <c r="AA16" i="17" s="1"/>
  <c r="Y56" i="17"/>
  <c r="Z56" i="17" s="1"/>
  <c r="AA56" i="17" s="1"/>
  <c r="Y15" i="17"/>
  <c r="Z15" i="17"/>
  <c r="AA15" i="17" s="1"/>
  <c r="Y41" i="17"/>
  <c r="Z41" i="17" s="1"/>
  <c r="AA41" i="17" s="1"/>
  <c r="Y42" i="17"/>
  <c r="Z42" i="17" s="1"/>
  <c r="AA42" i="17" s="1"/>
  <c r="AA35" i="17"/>
  <c r="Y35" i="17"/>
  <c r="Z35" i="17" s="1"/>
  <c r="Y3" i="17"/>
  <c r="Z3" i="17" s="1"/>
  <c r="AA3" i="17" s="1"/>
  <c r="Y8" i="17"/>
  <c r="Z8" i="17" s="1"/>
  <c r="AA8" i="17" s="1"/>
  <c r="Y24" i="17"/>
  <c r="Z24" i="17" s="1"/>
  <c r="AA24" i="17" s="1"/>
  <c r="Y55" i="17"/>
  <c r="Z55" i="17" s="1"/>
  <c r="AA55" i="17" s="1"/>
  <c r="Y38" i="17"/>
  <c r="Z38" i="17" s="1"/>
  <c r="AA38" i="17" s="1"/>
  <c r="AA49" i="17"/>
  <c r="Y49" i="17"/>
  <c r="Z49" i="17" s="1"/>
  <c r="Y54" i="17"/>
  <c r="Z54" i="17"/>
  <c r="AA54" i="17" s="1"/>
  <c r="AA10" i="17"/>
  <c r="Y10" i="17"/>
  <c r="Z10" i="17" s="1"/>
  <c r="Y29" i="17"/>
  <c r="Z29" i="17"/>
  <c r="Y20" i="17"/>
  <c r="Z20" i="17" s="1"/>
  <c r="AA20" i="17" s="1"/>
  <c r="Y64" i="17"/>
  <c r="Z64" i="17" s="1"/>
  <c r="AA64" i="17" s="1"/>
  <c r="Y57" i="17"/>
  <c r="Z57" i="17" s="1"/>
  <c r="AA57" i="17" s="1"/>
  <c r="Y51" i="17"/>
  <c r="Z51" i="17"/>
  <c r="AA51" i="17" s="1"/>
  <c r="Y4" i="17"/>
  <c r="Z4" i="17" s="1"/>
  <c r="AA4" i="17" s="1"/>
  <c r="Y40" i="17"/>
  <c r="Z40" i="17" s="1"/>
  <c r="AA40" i="17" s="1"/>
  <c r="Y63" i="17"/>
  <c r="Z63" i="17" s="1"/>
  <c r="AA63" i="17" s="1"/>
  <c r="Y13" i="17"/>
  <c r="Z13" i="17" s="1"/>
  <c r="AA13" i="17" s="1"/>
  <c r="Y47" i="17"/>
  <c r="Z47" i="17" s="1"/>
  <c r="AA47" i="17" s="1"/>
  <c r="Y14" i="17"/>
  <c r="Z14" i="17" s="1"/>
  <c r="AA14" i="17" s="1"/>
  <c r="Y43" i="17"/>
  <c r="Z43" i="17" s="1"/>
  <c r="AA43" i="17" s="1"/>
  <c r="Z5" i="17"/>
  <c r="AA5" i="17" s="1"/>
  <c r="Y5" i="17"/>
  <c r="Y58" i="17"/>
  <c r="Z58" i="17" s="1"/>
  <c r="AA58" i="17" s="1"/>
  <c r="Y17" i="17"/>
  <c r="Z17" i="17"/>
  <c r="Z66" i="17"/>
  <c r="AA66" i="17" s="1"/>
  <c r="Y66" i="17"/>
  <c r="Y28" i="17"/>
  <c r="Z28" i="17"/>
  <c r="Y52" i="17"/>
  <c r="Z52" i="17"/>
  <c r="AA52" i="17" s="1"/>
  <c r="AA12" i="17"/>
  <c r="Y12" i="17"/>
  <c r="Z12" i="17" s="1"/>
  <c r="Y57" i="16"/>
  <c r="Z57" i="16" s="1"/>
  <c r="AA57" i="16" s="1"/>
  <c r="Y11" i="16"/>
  <c r="Z11" i="16"/>
  <c r="AA11" i="16" s="1"/>
  <c r="Y13" i="16"/>
  <c r="Z13" i="16"/>
  <c r="AA13" i="16" s="1"/>
  <c r="AA33" i="18"/>
  <c r="AA63" i="18" s="1"/>
  <c r="Z63" i="18"/>
  <c r="AA44" i="17"/>
  <c r="X36" i="16"/>
  <c r="X31" i="16"/>
  <c r="X69" i="16"/>
  <c r="X46" i="16"/>
  <c r="X17" i="16"/>
  <c r="X21" i="16"/>
  <c r="X26" i="16"/>
  <c r="X64" i="16"/>
  <c r="X5" i="16"/>
  <c r="X27" i="16"/>
  <c r="X63" i="16"/>
  <c r="X41" i="16"/>
  <c r="X23" i="16"/>
  <c r="X68" i="16"/>
  <c r="X15" i="16"/>
  <c r="X38" i="16"/>
  <c r="X48" i="16"/>
  <c r="X65" i="16"/>
  <c r="X6" i="16"/>
  <c r="X67" i="16"/>
  <c r="X54" i="16"/>
  <c r="X16" i="16"/>
  <c r="X61" i="16"/>
  <c r="X42" i="16"/>
  <c r="X10" i="16"/>
  <c r="X70" i="16"/>
  <c r="X7" i="16"/>
  <c r="X28" i="16"/>
  <c r="X8" i="16"/>
  <c r="X29" i="16"/>
  <c r="X20" i="16"/>
  <c r="X2" i="16"/>
  <c r="X39" i="16"/>
  <c r="X55" i="16"/>
  <c r="X45" i="16"/>
  <c r="X43" i="16"/>
  <c r="X52" i="16"/>
  <c r="X62" i="16"/>
  <c r="X37" i="16"/>
  <c r="X53" i="16"/>
  <c r="X3" i="16"/>
  <c r="X56" i="16"/>
  <c r="X32" i="16"/>
  <c r="X72" i="16"/>
  <c r="X49" i="16"/>
  <c r="X33" i="16"/>
  <c r="X9" i="16"/>
  <c r="X22" i="16"/>
  <c r="X60" i="16"/>
  <c r="X51" i="16"/>
  <c r="X19" i="16"/>
  <c r="X66" i="16"/>
  <c r="X58" i="16"/>
  <c r="AA17" i="17"/>
  <c r="AA2" i="17"/>
  <c r="AA67" i="17"/>
  <c r="AA60" i="17"/>
  <c r="AA68" i="17"/>
  <c r="AA37" i="17"/>
  <c r="AA11" i="17"/>
  <c r="AA26" i="17"/>
  <c r="AA69" i="17"/>
  <c r="AA22" i="17"/>
  <c r="AA25" i="17"/>
  <c r="AA21" i="17"/>
  <c r="AA34" i="17"/>
  <c r="AA23" i="17"/>
  <c r="AA50" i="17"/>
  <c r="AA36" i="17"/>
  <c r="AA33" i="17"/>
  <c r="AA46" i="17"/>
  <c r="AA9" i="17"/>
  <c r="AA45" i="17"/>
  <c r="AA7" i="17"/>
  <c r="AA61" i="17"/>
  <c r="AA72" i="17"/>
  <c r="AA19" i="17"/>
  <c r="AA59" i="17"/>
  <c r="AA31" i="17"/>
  <c r="AA29" i="17"/>
  <c r="AA28" i="17"/>
  <c r="AA70" i="17"/>
  <c r="N40" i="16"/>
  <c r="N44" i="16"/>
  <c r="X44" i="16" s="1"/>
  <c r="N24" i="16"/>
  <c r="X24" i="16" s="1"/>
  <c r="N50" i="16"/>
  <c r="X50" i="16" s="1"/>
  <c r="N12" i="16"/>
  <c r="N35" i="16"/>
  <c r="X35" i="16" s="1"/>
  <c r="N4" i="16"/>
  <c r="N47" i="16"/>
  <c r="N18" i="16"/>
  <c r="N14" i="16"/>
  <c r="X14" i="16" s="1"/>
  <c r="N71" i="16"/>
  <c r="X71" i="16" s="1"/>
  <c r="N34" i="16"/>
  <c r="X34" i="16" s="1"/>
  <c r="N59" i="16"/>
  <c r="N25" i="16"/>
  <c r="N30" i="16"/>
  <c r="X30" i="16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Z77" i="17" l="1"/>
  <c r="Y9" i="16"/>
  <c r="Z9" i="16"/>
  <c r="AA9" i="16" s="1"/>
  <c r="Y61" i="16"/>
  <c r="Z61" i="16"/>
  <c r="AA61" i="16" s="1"/>
  <c r="Y33" i="16"/>
  <c r="Z33" i="16"/>
  <c r="AA33" i="16" s="1"/>
  <c r="Y27" i="16"/>
  <c r="Z27" i="16" s="1"/>
  <c r="AA27" i="16" s="1"/>
  <c r="Y54" i="16"/>
  <c r="Z54" i="16" s="1"/>
  <c r="Y72" i="16"/>
  <c r="Z72" i="16"/>
  <c r="AA72" i="16" s="1"/>
  <c r="Y64" i="16"/>
  <c r="Z64" i="16"/>
  <c r="AA64" i="16" s="1"/>
  <c r="Y32" i="16"/>
  <c r="Z32" i="16"/>
  <c r="AA32" i="16" s="1"/>
  <c r="Y6" i="16"/>
  <c r="Z6" i="16" s="1"/>
  <c r="AA6" i="16" s="1"/>
  <c r="Y30" i="16"/>
  <c r="Z30" i="16" s="1"/>
  <c r="AA30" i="16" s="1"/>
  <c r="Y56" i="16"/>
  <c r="Z56" i="16"/>
  <c r="AA56" i="16" s="1"/>
  <c r="Y65" i="16"/>
  <c r="Z65" i="16" s="1"/>
  <c r="AA65" i="16" s="1"/>
  <c r="Y44" i="16"/>
  <c r="Z44" i="16"/>
  <c r="AA44" i="16" s="1"/>
  <c r="Y8" i="16"/>
  <c r="Z8" i="16"/>
  <c r="AA8" i="16" s="1"/>
  <c r="Y48" i="16"/>
  <c r="Z48" i="16"/>
  <c r="AA48" i="16" s="1"/>
  <c r="Y66" i="16"/>
  <c r="Z66" i="16" s="1"/>
  <c r="AA66" i="16" s="1"/>
  <c r="Y34" i="16"/>
  <c r="Z34" i="16"/>
  <c r="AA34" i="16" s="1"/>
  <c r="Y69" i="16"/>
  <c r="Z69" i="16"/>
  <c r="AA69" i="16" s="1"/>
  <c r="Y71" i="16"/>
  <c r="Z71" i="16"/>
  <c r="AA71" i="16" s="1"/>
  <c r="Y51" i="16"/>
  <c r="Z51" i="16" s="1"/>
  <c r="AA51" i="16" s="1"/>
  <c r="Y62" i="16"/>
  <c r="Z62" i="16" s="1"/>
  <c r="AA62" i="16" s="1"/>
  <c r="Y70" i="16"/>
  <c r="Z70" i="16"/>
  <c r="AA70" i="16" s="1"/>
  <c r="Y68" i="16"/>
  <c r="Z68" i="16"/>
  <c r="AA68" i="16" s="1"/>
  <c r="Y31" i="16"/>
  <c r="Z31" i="16"/>
  <c r="AA31" i="16" s="1"/>
  <c r="Y63" i="16"/>
  <c r="Z63" i="16" s="1"/>
  <c r="AA63" i="16" s="1"/>
  <c r="Y55" i="16"/>
  <c r="Z55" i="16"/>
  <c r="AA55" i="16" s="1"/>
  <c r="Y49" i="16"/>
  <c r="Z49" i="16"/>
  <c r="AA49" i="16" s="1"/>
  <c r="Y5" i="16"/>
  <c r="Z5" i="16" s="1"/>
  <c r="AA5" i="16" s="1"/>
  <c r="Y67" i="16"/>
  <c r="Z67" i="16"/>
  <c r="AA67" i="16" s="1"/>
  <c r="Y50" i="16"/>
  <c r="Z50" i="16"/>
  <c r="AA50" i="16" s="1"/>
  <c r="Y29" i="16"/>
  <c r="Z29" i="16" s="1"/>
  <c r="AA29" i="16" s="1"/>
  <c r="Y3" i="16"/>
  <c r="Z3" i="16" s="1"/>
  <c r="AA3" i="16" s="1"/>
  <c r="Y17" i="16"/>
  <c r="Z17" i="16" s="1"/>
  <c r="AA17" i="16" s="1"/>
  <c r="Y28" i="16"/>
  <c r="Z28" i="16" s="1"/>
  <c r="AA28" i="16" s="1"/>
  <c r="Y38" i="16"/>
  <c r="Z38" i="16" s="1"/>
  <c r="AA38" i="16" s="1"/>
  <c r="Y19" i="16"/>
  <c r="Z19" i="16"/>
  <c r="AA19" i="16" s="1"/>
  <c r="Y15" i="16"/>
  <c r="Z15" i="16"/>
  <c r="AA15" i="16" s="1"/>
  <c r="Y14" i="16"/>
  <c r="Z14" i="16"/>
  <c r="AA14" i="16" s="1"/>
  <c r="Y60" i="16"/>
  <c r="Z60" i="16"/>
  <c r="AA60" i="16" s="1"/>
  <c r="Y52" i="16"/>
  <c r="Z52" i="16"/>
  <c r="AA52" i="16" s="1"/>
  <c r="Y10" i="16"/>
  <c r="Z10" i="16"/>
  <c r="AA10" i="16" s="1"/>
  <c r="Y23" i="16"/>
  <c r="Z23" i="16"/>
  <c r="AA23" i="16" s="1"/>
  <c r="Y36" i="16"/>
  <c r="Z36" i="16"/>
  <c r="AA36" i="16" s="1"/>
  <c r="Y45" i="16"/>
  <c r="Z45" i="16"/>
  <c r="AA45" i="16" s="1"/>
  <c r="Y16" i="16"/>
  <c r="Z16" i="16"/>
  <c r="AA16" i="16" s="1"/>
  <c r="Y35" i="16"/>
  <c r="Z35" i="16"/>
  <c r="AA35" i="16" s="1"/>
  <c r="Y39" i="16"/>
  <c r="Z39" i="16" s="1"/>
  <c r="AA39" i="16" s="1"/>
  <c r="Y20" i="16"/>
  <c r="Z20" i="16"/>
  <c r="AA20" i="16" s="1"/>
  <c r="Y26" i="16"/>
  <c r="Z26" i="16"/>
  <c r="AA26" i="16" s="1"/>
  <c r="Y24" i="16"/>
  <c r="Z24" i="16"/>
  <c r="AA24" i="16" s="1"/>
  <c r="Y21" i="16"/>
  <c r="Z21" i="16"/>
  <c r="AA21" i="16" s="1"/>
  <c r="Y58" i="16"/>
  <c r="Z58" i="16"/>
  <c r="AA58" i="16" s="1"/>
  <c r="Y53" i="16"/>
  <c r="Z53" i="16" s="1"/>
  <c r="AA53" i="16" s="1"/>
  <c r="Y46" i="16"/>
  <c r="Z46" i="16"/>
  <c r="AA46" i="16" s="1"/>
  <c r="Y37" i="16"/>
  <c r="Z37" i="16"/>
  <c r="AA37" i="16" s="1"/>
  <c r="Y7" i="16"/>
  <c r="Z7" i="16"/>
  <c r="AA7" i="16" s="1"/>
  <c r="Y22" i="16"/>
  <c r="Z22" i="16"/>
  <c r="AA22" i="16" s="1"/>
  <c r="Y43" i="16"/>
  <c r="Z43" i="16"/>
  <c r="AA43" i="16" s="1"/>
  <c r="Y42" i="16"/>
  <c r="Z42" i="16" s="1"/>
  <c r="AA42" i="16" s="1"/>
  <c r="Y41" i="16"/>
  <c r="Z41" i="16" s="1"/>
  <c r="AA41" i="16" s="1"/>
  <c r="Y2" i="16"/>
  <c r="Z2" i="16"/>
  <c r="AA2" i="16" s="1"/>
  <c r="AA77" i="17"/>
  <c r="X47" i="16"/>
  <c r="X4" i="16"/>
  <c r="X59" i="16"/>
  <c r="X12" i="16"/>
  <c r="X18" i="16"/>
  <c r="X25" i="16"/>
  <c r="X40" i="16"/>
  <c r="W3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2" i="12"/>
  <c r="AA54" i="16" l="1"/>
  <c r="Y12" i="16"/>
  <c r="Z12" i="16"/>
  <c r="AA12" i="16" s="1"/>
  <c r="Y4" i="16"/>
  <c r="Z4" i="16" s="1"/>
  <c r="AA4" i="16" s="1"/>
  <c r="Y47" i="16"/>
  <c r="Z47" i="16"/>
  <c r="AA47" i="16" s="1"/>
  <c r="Y25" i="16"/>
  <c r="Z25" i="16" s="1"/>
  <c r="AA25" i="16" s="1"/>
  <c r="Y18" i="16"/>
  <c r="Z18" i="16" s="1"/>
  <c r="AA18" i="16" s="1"/>
  <c r="Y59" i="16"/>
  <c r="Z59" i="16"/>
  <c r="Z75" i="16" s="1"/>
  <c r="Y40" i="16"/>
  <c r="Z40" i="16" s="1"/>
  <c r="AA40" i="16" s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2" i="4"/>
  <c r="AA59" i="16" l="1"/>
  <c r="AA75" i="16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3" i="14" l="1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U54" i="14"/>
  <c r="M54" i="14"/>
  <c r="L54" i="14"/>
  <c r="I54" i="14"/>
  <c r="G54" i="14"/>
  <c r="D54" i="14"/>
  <c r="E54" i="14" s="1"/>
  <c r="B54" i="14"/>
  <c r="U53" i="14"/>
  <c r="M53" i="14"/>
  <c r="L53" i="14"/>
  <c r="I53" i="14"/>
  <c r="G53" i="14"/>
  <c r="D53" i="14"/>
  <c r="E53" i="14" s="1"/>
  <c r="B53" i="14"/>
  <c r="U52" i="14"/>
  <c r="M52" i="14"/>
  <c r="L52" i="14"/>
  <c r="I52" i="14"/>
  <c r="G52" i="14"/>
  <c r="D52" i="14"/>
  <c r="E52" i="14" s="1"/>
  <c r="B52" i="14"/>
  <c r="U51" i="14"/>
  <c r="M51" i="14"/>
  <c r="L51" i="14"/>
  <c r="I51" i="14"/>
  <c r="G51" i="14"/>
  <c r="D51" i="14"/>
  <c r="E51" i="14" s="1"/>
  <c r="J51" i="14" s="1"/>
  <c r="B51" i="14"/>
  <c r="U50" i="14"/>
  <c r="M50" i="14"/>
  <c r="L50" i="14"/>
  <c r="I50" i="14"/>
  <c r="G50" i="14"/>
  <c r="D50" i="14"/>
  <c r="E50" i="14" s="1"/>
  <c r="B50" i="14"/>
  <c r="U49" i="14"/>
  <c r="M49" i="14"/>
  <c r="L49" i="14"/>
  <c r="I49" i="14"/>
  <c r="G49" i="14"/>
  <c r="D49" i="14"/>
  <c r="E49" i="14" s="1"/>
  <c r="B49" i="14"/>
  <c r="U48" i="14"/>
  <c r="M48" i="14"/>
  <c r="L48" i="14"/>
  <c r="I48" i="14"/>
  <c r="G48" i="14"/>
  <c r="D48" i="14"/>
  <c r="E48" i="14" s="1"/>
  <c r="J48" i="14" s="1"/>
  <c r="B48" i="14"/>
  <c r="U47" i="14"/>
  <c r="M47" i="14"/>
  <c r="L47" i="14"/>
  <c r="I47" i="14"/>
  <c r="G47" i="14"/>
  <c r="D47" i="14"/>
  <c r="E47" i="14" s="1"/>
  <c r="B47" i="14"/>
  <c r="U46" i="14"/>
  <c r="M46" i="14"/>
  <c r="L46" i="14"/>
  <c r="I46" i="14"/>
  <c r="G46" i="14"/>
  <c r="D46" i="14"/>
  <c r="E46" i="14" s="1"/>
  <c r="B46" i="14"/>
  <c r="U45" i="14"/>
  <c r="M45" i="14"/>
  <c r="L45" i="14"/>
  <c r="I45" i="14"/>
  <c r="G45" i="14"/>
  <c r="D45" i="14"/>
  <c r="E45" i="14" s="1"/>
  <c r="B45" i="14"/>
  <c r="U44" i="14"/>
  <c r="M44" i="14"/>
  <c r="L44" i="14"/>
  <c r="I44" i="14"/>
  <c r="G44" i="14"/>
  <c r="D44" i="14"/>
  <c r="E44" i="14" s="1"/>
  <c r="B44" i="14"/>
  <c r="U43" i="14"/>
  <c r="M43" i="14"/>
  <c r="L43" i="14"/>
  <c r="I43" i="14"/>
  <c r="G43" i="14"/>
  <c r="D43" i="14"/>
  <c r="E43" i="14" s="1"/>
  <c r="B43" i="14"/>
  <c r="U42" i="14"/>
  <c r="M42" i="14"/>
  <c r="L42" i="14"/>
  <c r="I42" i="14"/>
  <c r="G42" i="14"/>
  <c r="D42" i="14"/>
  <c r="E42" i="14" s="1"/>
  <c r="J42" i="14" s="1"/>
  <c r="B42" i="14"/>
  <c r="U41" i="14"/>
  <c r="M41" i="14"/>
  <c r="L41" i="14"/>
  <c r="I41" i="14"/>
  <c r="G41" i="14"/>
  <c r="D41" i="14"/>
  <c r="E41" i="14" s="1"/>
  <c r="B41" i="14"/>
  <c r="U40" i="14"/>
  <c r="M40" i="14"/>
  <c r="L40" i="14"/>
  <c r="I40" i="14"/>
  <c r="G40" i="14"/>
  <c r="D40" i="14"/>
  <c r="E40" i="14" s="1"/>
  <c r="B40" i="14"/>
  <c r="U39" i="14"/>
  <c r="M39" i="14"/>
  <c r="L39" i="14"/>
  <c r="I39" i="14"/>
  <c r="G39" i="14"/>
  <c r="D39" i="14"/>
  <c r="E39" i="14" s="1"/>
  <c r="J39" i="14" s="1"/>
  <c r="B39" i="14"/>
  <c r="U38" i="14"/>
  <c r="M38" i="14"/>
  <c r="L38" i="14"/>
  <c r="I38" i="14"/>
  <c r="G38" i="14"/>
  <c r="D38" i="14"/>
  <c r="E38" i="14" s="1"/>
  <c r="B38" i="14"/>
  <c r="U37" i="14"/>
  <c r="M37" i="14"/>
  <c r="L37" i="14"/>
  <c r="I37" i="14"/>
  <c r="G37" i="14"/>
  <c r="D37" i="14"/>
  <c r="E37" i="14" s="1"/>
  <c r="B37" i="14"/>
  <c r="U36" i="14"/>
  <c r="M36" i="14"/>
  <c r="L36" i="14"/>
  <c r="I36" i="14"/>
  <c r="G36" i="14"/>
  <c r="D36" i="14"/>
  <c r="E36" i="14" s="1"/>
  <c r="B36" i="14"/>
  <c r="U35" i="14"/>
  <c r="M35" i="14"/>
  <c r="L35" i="14"/>
  <c r="I35" i="14"/>
  <c r="G35" i="14"/>
  <c r="D35" i="14"/>
  <c r="E35" i="14" s="1"/>
  <c r="B35" i="14"/>
  <c r="U34" i="14"/>
  <c r="M34" i="14"/>
  <c r="L34" i="14"/>
  <c r="I34" i="14"/>
  <c r="G34" i="14"/>
  <c r="D34" i="14"/>
  <c r="E34" i="14" s="1"/>
  <c r="B34" i="14"/>
  <c r="U33" i="14"/>
  <c r="M33" i="14"/>
  <c r="L33" i="14"/>
  <c r="V33" i="14" s="1"/>
  <c r="I33" i="14"/>
  <c r="G33" i="14"/>
  <c r="D33" i="14"/>
  <c r="E33" i="14" s="1"/>
  <c r="B33" i="14"/>
  <c r="U32" i="14"/>
  <c r="M32" i="14"/>
  <c r="L32" i="14"/>
  <c r="I32" i="14"/>
  <c r="G32" i="14"/>
  <c r="D32" i="14"/>
  <c r="E32" i="14" s="1"/>
  <c r="B32" i="14"/>
  <c r="U31" i="14"/>
  <c r="M31" i="14"/>
  <c r="L31" i="14"/>
  <c r="I31" i="14"/>
  <c r="G31" i="14"/>
  <c r="D31" i="14"/>
  <c r="E31" i="14" s="1"/>
  <c r="B31" i="14"/>
  <c r="U30" i="14"/>
  <c r="M30" i="14"/>
  <c r="L30" i="14"/>
  <c r="I30" i="14"/>
  <c r="G30" i="14"/>
  <c r="D30" i="14"/>
  <c r="E30" i="14" s="1"/>
  <c r="B30" i="14"/>
  <c r="U29" i="14"/>
  <c r="M29" i="14"/>
  <c r="L29" i="14"/>
  <c r="I29" i="14"/>
  <c r="G29" i="14"/>
  <c r="D29" i="14"/>
  <c r="E29" i="14" s="1"/>
  <c r="B29" i="14"/>
  <c r="U28" i="14"/>
  <c r="M28" i="14"/>
  <c r="L28" i="14"/>
  <c r="I28" i="14"/>
  <c r="G28" i="14"/>
  <c r="D28" i="14"/>
  <c r="E28" i="14" s="1"/>
  <c r="B28" i="14"/>
  <c r="U27" i="14"/>
  <c r="M27" i="14"/>
  <c r="L27" i="14"/>
  <c r="I27" i="14"/>
  <c r="G27" i="14"/>
  <c r="D27" i="14"/>
  <c r="E27" i="14" s="1"/>
  <c r="B27" i="14"/>
  <c r="U26" i="14"/>
  <c r="M26" i="14"/>
  <c r="L26" i="14"/>
  <c r="I26" i="14"/>
  <c r="G26" i="14"/>
  <c r="D26" i="14"/>
  <c r="E26" i="14" s="1"/>
  <c r="B26" i="14"/>
  <c r="U25" i="14"/>
  <c r="M25" i="14"/>
  <c r="L25" i="14"/>
  <c r="I25" i="14"/>
  <c r="G25" i="14"/>
  <c r="D25" i="14"/>
  <c r="E25" i="14" s="1"/>
  <c r="B25" i="14"/>
  <c r="U24" i="14"/>
  <c r="M24" i="14"/>
  <c r="L24" i="14"/>
  <c r="V24" i="14" s="1"/>
  <c r="I24" i="14"/>
  <c r="G24" i="14"/>
  <c r="D24" i="14"/>
  <c r="E24" i="14" s="1"/>
  <c r="B24" i="14"/>
  <c r="U23" i="14"/>
  <c r="M23" i="14"/>
  <c r="L23" i="14"/>
  <c r="I23" i="14"/>
  <c r="G23" i="14"/>
  <c r="D23" i="14"/>
  <c r="E23" i="14" s="1"/>
  <c r="B23" i="14"/>
  <c r="U22" i="14"/>
  <c r="M22" i="14"/>
  <c r="L22" i="14"/>
  <c r="I22" i="14"/>
  <c r="G22" i="14"/>
  <c r="D22" i="14"/>
  <c r="E22" i="14" s="1"/>
  <c r="B22" i="14"/>
  <c r="U21" i="14"/>
  <c r="M21" i="14"/>
  <c r="L21" i="14"/>
  <c r="I21" i="14"/>
  <c r="G21" i="14"/>
  <c r="D21" i="14"/>
  <c r="E21" i="14" s="1"/>
  <c r="B21" i="14"/>
  <c r="U20" i="14"/>
  <c r="M20" i="14"/>
  <c r="L20" i="14"/>
  <c r="I20" i="14"/>
  <c r="G20" i="14"/>
  <c r="D20" i="14"/>
  <c r="E20" i="14" s="1"/>
  <c r="B20" i="14"/>
  <c r="U19" i="14"/>
  <c r="M19" i="14"/>
  <c r="L19" i="14"/>
  <c r="I19" i="14"/>
  <c r="G19" i="14"/>
  <c r="D19" i="14"/>
  <c r="E19" i="14" s="1"/>
  <c r="B19" i="14"/>
  <c r="U18" i="14"/>
  <c r="M18" i="14"/>
  <c r="L18" i="14"/>
  <c r="I18" i="14"/>
  <c r="G18" i="14"/>
  <c r="D18" i="14"/>
  <c r="E18" i="14" s="1"/>
  <c r="B18" i="14"/>
  <c r="U17" i="14"/>
  <c r="M17" i="14"/>
  <c r="L17" i="14"/>
  <c r="I17" i="14"/>
  <c r="G17" i="14"/>
  <c r="D17" i="14"/>
  <c r="E17" i="14" s="1"/>
  <c r="B17" i="14"/>
  <c r="U16" i="14"/>
  <c r="M16" i="14"/>
  <c r="L16" i="14"/>
  <c r="I16" i="14"/>
  <c r="G16" i="14"/>
  <c r="D16" i="14"/>
  <c r="E16" i="14" s="1"/>
  <c r="B16" i="14"/>
  <c r="U15" i="14"/>
  <c r="M15" i="14"/>
  <c r="L15" i="14"/>
  <c r="I15" i="14"/>
  <c r="G15" i="14"/>
  <c r="D15" i="14"/>
  <c r="E15" i="14" s="1"/>
  <c r="B15" i="14"/>
  <c r="U14" i="14"/>
  <c r="M14" i="14"/>
  <c r="L14" i="14"/>
  <c r="I14" i="14"/>
  <c r="G14" i="14"/>
  <c r="D14" i="14"/>
  <c r="E14" i="14" s="1"/>
  <c r="B14" i="14"/>
  <c r="U13" i="14"/>
  <c r="M13" i="14"/>
  <c r="L13" i="14"/>
  <c r="I13" i="14"/>
  <c r="G13" i="14"/>
  <c r="D13" i="14"/>
  <c r="E13" i="14" s="1"/>
  <c r="B13" i="14"/>
  <c r="U12" i="14"/>
  <c r="M12" i="14"/>
  <c r="L12" i="14"/>
  <c r="I12" i="14"/>
  <c r="G12" i="14"/>
  <c r="D12" i="14"/>
  <c r="E12" i="14" s="1"/>
  <c r="B12" i="14"/>
  <c r="U11" i="14"/>
  <c r="M11" i="14"/>
  <c r="L11" i="14"/>
  <c r="I11" i="14"/>
  <c r="G11" i="14"/>
  <c r="D11" i="14"/>
  <c r="E11" i="14" s="1"/>
  <c r="B11" i="14"/>
  <c r="U10" i="14"/>
  <c r="M10" i="14"/>
  <c r="L10" i="14"/>
  <c r="I10" i="14"/>
  <c r="G10" i="14"/>
  <c r="D10" i="14"/>
  <c r="E10" i="14" s="1"/>
  <c r="B10" i="14"/>
  <c r="U9" i="14"/>
  <c r="M9" i="14"/>
  <c r="L9" i="14"/>
  <c r="I9" i="14"/>
  <c r="G9" i="14"/>
  <c r="D9" i="14"/>
  <c r="E9" i="14" s="1"/>
  <c r="B9" i="14"/>
  <c r="U8" i="14"/>
  <c r="M8" i="14"/>
  <c r="L8" i="14"/>
  <c r="I8" i="14"/>
  <c r="G8" i="14"/>
  <c r="D8" i="14"/>
  <c r="E8" i="14" s="1"/>
  <c r="B8" i="14"/>
  <c r="U7" i="14"/>
  <c r="M7" i="14"/>
  <c r="L7" i="14"/>
  <c r="I7" i="14"/>
  <c r="G7" i="14"/>
  <c r="D7" i="14"/>
  <c r="E7" i="14" s="1"/>
  <c r="B7" i="14"/>
  <c r="U6" i="14"/>
  <c r="M6" i="14"/>
  <c r="L6" i="14"/>
  <c r="I6" i="14"/>
  <c r="G6" i="14"/>
  <c r="D6" i="14"/>
  <c r="E6" i="14" s="1"/>
  <c r="B6" i="14"/>
  <c r="U5" i="14"/>
  <c r="M5" i="14"/>
  <c r="L5" i="14"/>
  <c r="I5" i="14"/>
  <c r="G5" i="14"/>
  <c r="D5" i="14"/>
  <c r="E5" i="14" s="1"/>
  <c r="B5" i="14"/>
  <c r="U4" i="14"/>
  <c r="M4" i="14"/>
  <c r="L4" i="14"/>
  <c r="I4" i="14"/>
  <c r="G4" i="14"/>
  <c r="D4" i="14"/>
  <c r="E4" i="14" s="1"/>
  <c r="B4" i="14"/>
  <c r="U3" i="14"/>
  <c r="M3" i="14"/>
  <c r="L3" i="14"/>
  <c r="I3" i="14"/>
  <c r="G3" i="14"/>
  <c r="D3" i="14"/>
  <c r="E3" i="14" s="1"/>
  <c r="B3" i="14"/>
  <c r="U2" i="14"/>
  <c r="R2" i="14"/>
  <c r="M2" i="14"/>
  <c r="L2" i="14"/>
  <c r="I2" i="14"/>
  <c r="G2" i="14"/>
  <c r="D2" i="14"/>
  <c r="E2" i="14" s="1"/>
  <c r="B2" i="14"/>
  <c r="J31" i="14" l="1"/>
  <c r="N31" i="14" s="1"/>
  <c r="J37" i="14"/>
  <c r="J40" i="14"/>
  <c r="J49" i="14"/>
  <c r="J52" i="14"/>
  <c r="J11" i="14"/>
  <c r="N11" i="14" s="1"/>
  <c r="X11" i="14" s="1"/>
  <c r="J20" i="14"/>
  <c r="J23" i="14"/>
  <c r="N23" i="14" s="1"/>
  <c r="J26" i="14"/>
  <c r="J32" i="14"/>
  <c r="N32" i="14" s="1"/>
  <c r="X32" i="14" s="1"/>
  <c r="J35" i="14"/>
  <c r="N35" i="14" s="1"/>
  <c r="J38" i="14"/>
  <c r="N38" i="14" s="1"/>
  <c r="J44" i="14"/>
  <c r="N44" i="14" s="1"/>
  <c r="V16" i="14"/>
  <c r="J4" i="14"/>
  <c r="N4" i="14" s="1"/>
  <c r="J27" i="14"/>
  <c r="N27" i="14" s="1"/>
  <c r="J7" i="14"/>
  <c r="N7" i="14" s="1"/>
  <c r="J16" i="14"/>
  <c r="J29" i="14"/>
  <c r="N29" i="14" s="1"/>
  <c r="J47" i="14"/>
  <c r="N47" i="14" s="1"/>
  <c r="V6" i="14"/>
  <c r="J17" i="14"/>
  <c r="N17" i="14" s="1"/>
  <c r="J53" i="14"/>
  <c r="N53" i="14" s="1"/>
  <c r="V4" i="14"/>
  <c r="J45" i="14"/>
  <c r="N45" i="14" s="1"/>
  <c r="J6" i="14"/>
  <c r="N6" i="14" s="1"/>
  <c r="J12" i="14"/>
  <c r="N12" i="14" s="1"/>
  <c r="J15" i="14"/>
  <c r="N15" i="14" s="1"/>
  <c r="J18" i="14"/>
  <c r="N18" i="14" s="1"/>
  <c r="J13" i="14"/>
  <c r="N13" i="14" s="1"/>
  <c r="J2" i="14"/>
  <c r="N2" i="14" s="1"/>
  <c r="V3" i="14"/>
  <c r="J21" i="14"/>
  <c r="N21" i="14" s="1"/>
  <c r="V34" i="14"/>
  <c r="J41" i="14"/>
  <c r="N41" i="14" s="1"/>
  <c r="J34" i="14"/>
  <c r="N34" i="14" s="1"/>
  <c r="V51" i="14"/>
  <c r="J5" i="14"/>
  <c r="N5" i="14" s="1"/>
  <c r="J10" i="14"/>
  <c r="N10" i="14" s="1"/>
  <c r="V17" i="14"/>
  <c r="J43" i="14"/>
  <c r="N43" i="14" s="1"/>
  <c r="V46" i="14"/>
  <c r="J28" i="14"/>
  <c r="N28" i="14" s="1"/>
  <c r="V39" i="14"/>
  <c r="V45" i="14"/>
  <c r="J9" i="14"/>
  <c r="N9" i="14" s="1"/>
  <c r="J3" i="14"/>
  <c r="N3" i="14" s="1"/>
  <c r="J14" i="14"/>
  <c r="N14" i="14" s="1"/>
  <c r="J24" i="14"/>
  <c r="N24" i="14" s="1"/>
  <c r="X24" i="14" s="1"/>
  <c r="J46" i="14"/>
  <c r="N46" i="14" s="1"/>
  <c r="V37" i="14"/>
  <c r="V14" i="14"/>
  <c r="J33" i="14"/>
  <c r="N33" i="14" s="1"/>
  <c r="N52" i="14"/>
  <c r="N37" i="14"/>
  <c r="J8" i="14"/>
  <c r="N8" i="14" s="1"/>
  <c r="J19" i="14"/>
  <c r="N19" i="14" s="1"/>
  <c r="J30" i="14"/>
  <c r="N30" i="14" s="1"/>
  <c r="J36" i="14"/>
  <c r="N36" i="14" s="1"/>
  <c r="J54" i="14"/>
  <c r="N54" i="14" s="1"/>
  <c r="V36" i="14"/>
  <c r="V47" i="14"/>
  <c r="V54" i="14"/>
  <c r="V13" i="14"/>
  <c r="V38" i="14"/>
  <c r="V25" i="14"/>
  <c r="V7" i="14"/>
  <c r="V48" i="14"/>
  <c r="V49" i="14"/>
  <c r="N39" i="14"/>
  <c r="V10" i="14"/>
  <c r="V9" i="14"/>
  <c r="V52" i="14"/>
  <c r="V8" i="14"/>
  <c r="V50" i="14"/>
  <c r="V42" i="14"/>
  <c r="V20" i="14"/>
  <c r="V21" i="14"/>
  <c r="V43" i="14"/>
  <c r="V28" i="14"/>
  <c r="N16" i="14"/>
  <c r="V40" i="14"/>
  <c r="V44" i="14"/>
  <c r="V27" i="14"/>
  <c r="V22" i="14"/>
  <c r="V32" i="14"/>
  <c r="V2" i="14"/>
  <c r="V18" i="14"/>
  <c r="V19" i="14"/>
  <c r="V31" i="14"/>
  <c r="V12" i="14"/>
  <c r="N20" i="14"/>
  <c r="V26" i="14"/>
  <c r="N26" i="14"/>
  <c r="V41" i="14"/>
  <c r="V30" i="14"/>
  <c r="V15" i="14"/>
  <c r="V11" i="14"/>
  <c r="N51" i="14"/>
  <c r="J22" i="14"/>
  <c r="N22" i="14" s="1"/>
  <c r="V29" i="14"/>
  <c r="J25" i="14"/>
  <c r="N25" i="14" s="1"/>
  <c r="X25" i="14" s="1"/>
  <c r="N49" i="14"/>
  <c r="J50" i="14"/>
  <c r="N50" i="14" s="1"/>
  <c r="X50" i="14" s="1"/>
  <c r="V5" i="14"/>
  <c r="N42" i="14"/>
  <c r="N48" i="14"/>
  <c r="N40" i="14"/>
  <c r="V53" i="14"/>
  <c r="V23" i="14"/>
  <c r="V35" i="14"/>
  <c r="Y32" i="14" l="1"/>
  <c r="Z32" i="14" s="1"/>
  <c r="AA32" i="14" s="1"/>
  <c r="Y50" i="14"/>
  <c r="Z50" i="14" s="1"/>
  <c r="AA50" i="14" s="1"/>
  <c r="Y25" i="14"/>
  <c r="Z25" i="14"/>
  <c r="AA25" i="14" s="1"/>
  <c r="Y11" i="14"/>
  <c r="Z11" i="14"/>
  <c r="AA11" i="14" s="1"/>
  <c r="Y24" i="14"/>
  <c r="Z24" i="14"/>
  <c r="AA24" i="14" s="1"/>
  <c r="X30" i="14"/>
  <c r="X44" i="14"/>
  <c r="X10" i="14"/>
  <c r="X12" i="14"/>
  <c r="X36" i="14"/>
  <c r="X8" i="14"/>
  <c r="X22" i="14"/>
  <c r="X54" i="14"/>
  <c r="X53" i="14"/>
  <c r="X13" i="14"/>
  <c r="X46" i="14"/>
  <c r="X21" i="14"/>
  <c r="X15" i="14"/>
  <c r="X27" i="14"/>
  <c r="X39" i="14"/>
  <c r="X3" i="14"/>
  <c r="X9" i="14"/>
  <c r="X48" i="14"/>
  <c r="X37" i="14"/>
  <c r="X28" i="14"/>
  <c r="X47" i="14"/>
  <c r="X20" i="14"/>
  <c r="X52" i="14"/>
  <c r="X29" i="14"/>
  <c r="X33" i="14"/>
  <c r="X42" i="14"/>
  <c r="X38" i="14"/>
  <c r="X18" i="14"/>
  <c r="X7" i="14"/>
  <c r="X19" i="14"/>
  <c r="X35" i="14"/>
  <c r="X14" i="14"/>
  <c r="X45" i="14"/>
  <c r="X23" i="14"/>
  <c r="X16" i="14"/>
  <c r="X34" i="14"/>
  <c r="X41" i="14"/>
  <c r="X26" i="14"/>
  <c r="X17" i="14"/>
  <c r="X40" i="14"/>
  <c r="X2" i="14"/>
  <c r="X43" i="14"/>
  <c r="X31" i="14"/>
  <c r="X51" i="14"/>
  <c r="X4" i="14"/>
  <c r="X49" i="14"/>
  <c r="X5" i="14"/>
  <c r="X6" i="14"/>
  <c r="Y45" i="14" l="1"/>
  <c r="Z45" i="14" s="1"/>
  <c r="AA45" i="14" s="1"/>
  <c r="Y53" i="14"/>
  <c r="Z53" i="14" s="1"/>
  <c r="AA53" i="14" s="1"/>
  <c r="Y14" i="14"/>
  <c r="Z14" i="14" s="1"/>
  <c r="AA14" i="14" s="1"/>
  <c r="Y37" i="14"/>
  <c r="Z37" i="14" s="1"/>
  <c r="AA37" i="14" s="1"/>
  <c r="AA48" i="14"/>
  <c r="Y48" i="14"/>
  <c r="Z48" i="14"/>
  <c r="Y12" i="14"/>
  <c r="Z12" i="14"/>
  <c r="AA12" i="14" s="1"/>
  <c r="Y4" i="14"/>
  <c r="Z4" i="14" s="1"/>
  <c r="AA4" i="14" s="1"/>
  <c r="Y47" i="14"/>
  <c r="Z47" i="14" s="1"/>
  <c r="AA47" i="14" s="1"/>
  <c r="Y51" i="14"/>
  <c r="Z51" i="14" s="1"/>
  <c r="AA51" i="14" s="1"/>
  <c r="Y28" i="14"/>
  <c r="Z28" i="14" s="1"/>
  <c r="AA28" i="14" s="1"/>
  <c r="Y54" i="14"/>
  <c r="Z54" i="14" s="1"/>
  <c r="AA54" i="14" s="1"/>
  <c r="Y31" i="14"/>
  <c r="Z31" i="14" s="1"/>
  <c r="AA31" i="14" s="1"/>
  <c r="Y35" i="14"/>
  <c r="Z35" i="14" s="1"/>
  <c r="Y22" i="14"/>
  <c r="Z22" i="14"/>
  <c r="AA22" i="14" s="1"/>
  <c r="Y43" i="14"/>
  <c r="Z43" i="14"/>
  <c r="AA43" i="14" s="1"/>
  <c r="Y19" i="14"/>
  <c r="Z19" i="14"/>
  <c r="AA19" i="14" s="1"/>
  <c r="Z8" i="14"/>
  <c r="AA8" i="14" s="1"/>
  <c r="Y8" i="14"/>
  <c r="Y7" i="14"/>
  <c r="Z7" i="14" s="1"/>
  <c r="AA7" i="14" s="1"/>
  <c r="Y9" i="14"/>
  <c r="Z9" i="14"/>
  <c r="AA9" i="14" s="1"/>
  <c r="Y36" i="14"/>
  <c r="Z36" i="14"/>
  <c r="AA36" i="14" s="1"/>
  <c r="Z40" i="14"/>
  <c r="AA40" i="14" s="1"/>
  <c r="Y40" i="14"/>
  <c r="Y18" i="14"/>
  <c r="Z18" i="14"/>
  <c r="AA18" i="14" s="1"/>
  <c r="Y3" i="14"/>
  <c r="Z3" i="14" s="1"/>
  <c r="AA3" i="14" s="1"/>
  <c r="Y17" i="14"/>
  <c r="Z17" i="14"/>
  <c r="AA17" i="14" s="1"/>
  <c r="Z38" i="14"/>
  <c r="AA38" i="14" s="1"/>
  <c r="Y38" i="14"/>
  <c r="Y39" i="14"/>
  <c r="Z39" i="14"/>
  <c r="AA39" i="14" s="1"/>
  <c r="Y10" i="14"/>
  <c r="Z10" i="14"/>
  <c r="AA10" i="14" s="1"/>
  <c r="Y26" i="14"/>
  <c r="Z26" i="14" s="1"/>
  <c r="AA26" i="14" s="1"/>
  <c r="Y42" i="14"/>
  <c r="Z42" i="14" s="1"/>
  <c r="AA42" i="14" s="1"/>
  <c r="Y27" i="14"/>
  <c r="Z27" i="14" s="1"/>
  <c r="AA27" i="14" s="1"/>
  <c r="Y44" i="14"/>
  <c r="Z44" i="14"/>
  <c r="AA44" i="14" s="1"/>
  <c r="Y41" i="14"/>
  <c r="Z41" i="14"/>
  <c r="AA41" i="14" s="1"/>
  <c r="Y33" i="14"/>
  <c r="Z33" i="14" s="1"/>
  <c r="AA33" i="14" s="1"/>
  <c r="Y15" i="14"/>
  <c r="Z15" i="14"/>
  <c r="AA15" i="14" s="1"/>
  <c r="Y30" i="14"/>
  <c r="Z30" i="14" s="1"/>
  <c r="AA30" i="14" s="1"/>
  <c r="Y6" i="14"/>
  <c r="Z6" i="14" s="1"/>
  <c r="AA6" i="14" s="1"/>
  <c r="Y34" i="14"/>
  <c r="Z34" i="14" s="1"/>
  <c r="AA34" i="14" s="1"/>
  <c r="Y29" i="14"/>
  <c r="Z29" i="14" s="1"/>
  <c r="AA29" i="14" s="1"/>
  <c r="Y21" i="14"/>
  <c r="Z21" i="14" s="1"/>
  <c r="AA21" i="14" s="1"/>
  <c r="Y5" i="14"/>
  <c r="Z5" i="14" s="1"/>
  <c r="AA5" i="14" s="1"/>
  <c r="Z16" i="14"/>
  <c r="AA16" i="14" s="1"/>
  <c r="Y16" i="14"/>
  <c r="Y52" i="14"/>
  <c r="Z52" i="14" s="1"/>
  <c r="AA52" i="14" s="1"/>
  <c r="Y46" i="14"/>
  <c r="Z46" i="14"/>
  <c r="AA46" i="14" s="1"/>
  <c r="Y49" i="14"/>
  <c r="Z49" i="14"/>
  <c r="AA49" i="14" s="1"/>
  <c r="Z23" i="14"/>
  <c r="AA23" i="14" s="1"/>
  <c r="Y23" i="14"/>
  <c r="Y20" i="14"/>
  <c r="Z20" i="14"/>
  <c r="AA20" i="14" s="1"/>
  <c r="Y13" i="14"/>
  <c r="Z13" i="14" s="1"/>
  <c r="AA13" i="14" s="1"/>
  <c r="Y2" i="14"/>
  <c r="Z2" i="14" s="1"/>
  <c r="AA2" i="14" s="1"/>
  <c r="Z58" i="14" l="1"/>
  <c r="AA35" i="14"/>
  <c r="AA58" i="14" s="1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E56" i="13"/>
  <c r="D3" i="13"/>
  <c r="E3" i="13" s="1"/>
  <c r="D4" i="13"/>
  <c r="E4" i="13" s="1"/>
  <c r="D5" i="13"/>
  <c r="E5" i="13" s="1"/>
  <c r="D6" i="13"/>
  <c r="E6" i="13" s="1"/>
  <c r="D7" i="13"/>
  <c r="E7" i="13" s="1"/>
  <c r="D8" i="13"/>
  <c r="E8" i="13" s="1"/>
  <c r="D9" i="13"/>
  <c r="E9" i="13" s="1"/>
  <c r="D10" i="13"/>
  <c r="E10" i="13" s="1"/>
  <c r="D11" i="13"/>
  <c r="E11" i="13" s="1"/>
  <c r="D12" i="13"/>
  <c r="E12" i="13" s="1"/>
  <c r="D13" i="13"/>
  <c r="E13" i="13" s="1"/>
  <c r="D14" i="13"/>
  <c r="E14" i="13" s="1"/>
  <c r="D15" i="13"/>
  <c r="E15" i="13" s="1"/>
  <c r="D16" i="13"/>
  <c r="E16" i="13" s="1"/>
  <c r="D17" i="13"/>
  <c r="E17" i="13" s="1"/>
  <c r="D18" i="13"/>
  <c r="E18" i="13" s="1"/>
  <c r="D19" i="13"/>
  <c r="E19" i="13" s="1"/>
  <c r="D20" i="13"/>
  <c r="E20" i="13" s="1"/>
  <c r="D21" i="13"/>
  <c r="E21" i="13" s="1"/>
  <c r="D22" i="13"/>
  <c r="E22" i="13" s="1"/>
  <c r="D23" i="13"/>
  <c r="E23" i="13" s="1"/>
  <c r="D24" i="13"/>
  <c r="E24" i="13" s="1"/>
  <c r="D25" i="13"/>
  <c r="E25" i="13" s="1"/>
  <c r="D26" i="13"/>
  <c r="E26" i="13" s="1"/>
  <c r="D27" i="13"/>
  <c r="E27" i="13" s="1"/>
  <c r="D28" i="13"/>
  <c r="E28" i="13" s="1"/>
  <c r="D29" i="13"/>
  <c r="E29" i="13" s="1"/>
  <c r="D30" i="13"/>
  <c r="E30" i="13" s="1"/>
  <c r="D31" i="13"/>
  <c r="E31" i="13" s="1"/>
  <c r="D32" i="13"/>
  <c r="E32" i="13" s="1"/>
  <c r="D33" i="13"/>
  <c r="E33" i="13" s="1"/>
  <c r="D34" i="13"/>
  <c r="E34" i="13" s="1"/>
  <c r="D35" i="13"/>
  <c r="E35" i="13" s="1"/>
  <c r="D36" i="13"/>
  <c r="E36" i="13" s="1"/>
  <c r="D37" i="13"/>
  <c r="E37" i="13" s="1"/>
  <c r="D38" i="13"/>
  <c r="E38" i="13" s="1"/>
  <c r="D39" i="13"/>
  <c r="E39" i="13" s="1"/>
  <c r="D40" i="13"/>
  <c r="E40" i="13" s="1"/>
  <c r="D41" i="13"/>
  <c r="E41" i="13" s="1"/>
  <c r="D42" i="13"/>
  <c r="E42" i="13" s="1"/>
  <c r="D43" i="13"/>
  <c r="E43" i="13" s="1"/>
  <c r="D44" i="13"/>
  <c r="E44" i="13" s="1"/>
  <c r="D45" i="13"/>
  <c r="E45" i="13" s="1"/>
  <c r="D46" i="13"/>
  <c r="E46" i="13" s="1"/>
  <c r="D47" i="13"/>
  <c r="E47" i="13" s="1"/>
  <c r="D48" i="13"/>
  <c r="E48" i="13" s="1"/>
  <c r="D49" i="13"/>
  <c r="E49" i="13" s="1"/>
  <c r="D50" i="13"/>
  <c r="E50" i="13" s="1"/>
  <c r="D51" i="13"/>
  <c r="E51" i="13" s="1"/>
  <c r="D52" i="13"/>
  <c r="E52" i="13" s="1"/>
  <c r="D53" i="13"/>
  <c r="E53" i="13" s="1"/>
  <c r="D54" i="13"/>
  <c r="E54" i="13" s="1"/>
  <c r="D55" i="13"/>
  <c r="E55" i="13" s="1"/>
  <c r="D56" i="13"/>
  <c r="D57" i="13"/>
  <c r="E57" i="13" s="1"/>
  <c r="D58" i="13"/>
  <c r="E58" i="13" s="1"/>
  <c r="D59" i="13"/>
  <c r="E59" i="13" s="1"/>
  <c r="D60" i="13"/>
  <c r="E60" i="13" s="1"/>
  <c r="D61" i="13"/>
  <c r="E61" i="13" s="1"/>
  <c r="D62" i="13"/>
  <c r="E62" i="13" s="1"/>
  <c r="D63" i="13"/>
  <c r="E63" i="13" s="1"/>
  <c r="D64" i="13"/>
  <c r="E64" i="13" s="1"/>
  <c r="D65" i="13"/>
  <c r="E65" i="13" s="1"/>
  <c r="D66" i="13"/>
  <c r="E66" i="13" s="1"/>
  <c r="D67" i="13"/>
  <c r="E67" i="13" s="1"/>
  <c r="D68" i="13"/>
  <c r="E68" i="13" s="1"/>
  <c r="D69" i="13"/>
  <c r="E69" i="13" s="1"/>
  <c r="D70" i="13"/>
  <c r="E70" i="13" s="1"/>
  <c r="D71" i="13"/>
  <c r="E71" i="13" s="1"/>
  <c r="D72" i="13"/>
  <c r="E72" i="13" s="1"/>
  <c r="D73" i="13"/>
  <c r="E73" i="13" s="1"/>
  <c r="D74" i="13"/>
  <c r="E74" i="13" s="1"/>
  <c r="D75" i="13"/>
  <c r="E75" i="13" s="1"/>
  <c r="D76" i="13"/>
  <c r="E76" i="13" s="1"/>
  <c r="D77" i="13"/>
  <c r="E77" i="13" s="1"/>
  <c r="D78" i="13"/>
  <c r="E78" i="13" s="1"/>
  <c r="D79" i="13"/>
  <c r="E79" i="13" s="1"/>
  <c r="D80" i="13"/>
  <c r="E80" i="13" s="1"/>
  <c r="D81" i="13"/>
  <c r="E81" i="13" s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E4" i="11"/>
  <c r="E5" i="11"/>
  <c r="E37" i="11"/>
  <c r="D3" i="11"/>
  <c r="E3" i="11" s="1"/>
  <c r="D4" i="11"/>
  <c r="D5" i="11"/>
  <c r="D6" i="11"/>
  <c r="E6" i="11" s="1"/>
  <c r="D7" i="11"/>
  <c r="E7" i="11" s="1"/>
  <c r="D8" i="11"/>
  <c r="E8" i="11" s="1"/>
  <c r="D9" i="11"/>
  <c r="E9" i="11" s="1"/>
  <c r="D10" i="11"/>
  <c r="E10" i="11" s="1"/>
  <c r="D11" i="11"/>
  <c r="E11" i="11" s="1"/>
  <c r="D12" i="11"/>
  <c r="E12" i="11" s="1"/>
  <c r="D13" i="11"/>
  <c r="E13" i="11" s="1"/>
  <c r="D14" i="11"/>
  <c r="E14" i="11" s="1"/>
  <c r="D15" i="11"/>
  <c r="E15" i="11" s="1"/>
  <c r="D16" i="11"/>
  <c r="E16" i="11" s="1"/>
  <c r="D17" i="11"/>
  <c r="E17" i="11" s="1"/>
  <c r="D18" i="11"/>
  <c r="E18" i="11" s="1"/>
  <c r="D19" i="11"/>
  <c r="E19" i="11" s="1"/>
  <c r="D20" i="11"/>
  <c r="E20" i="11" s="1"/>
  <c r="D21" i="11"/>
  <c r="E21" i="11" s="1"/>
  <c r="D22" i="11"/>
  <c r="E22" i="11" s="1"/>
  <c r="D23" i="11"/>
  <c r="E23" i="11" s="1"/>
  <c r="D24" i="11"/>
  <c r="E24" i="11" s="1"/>
  <c r="D25" i="11"/>
  <c r="E25" i="11" s="1"/>
  <c r="D26" i="11"/>
  <c r="E26" i="11" s="1"/>
  <c r="D27" i="11"/>
  <c r="E27" i="11" s="1"/>
  <c r="D28" i="11"/>
  <c r="E28" i="11" s="1"/>
  <c r="D29" i="11"/>
  <c r="E29" i="11" s="1"/>
  <c r="D30" i="11"/>
  <c r="E30" i="11" s="1"/>
  <c r="D31" i="11"/>
  <c r="E31" i="11" s="1"/>
  <c r="D32" i="11"/>
  <c r="E32" i="11" s="1"/>
  <c r="D33" i="11"/>
  <c r="E33" i="11" s="1"/>
  <c r="D34" i="11"/>
  <c r="E34" i="11" s="1"/>
  <c r="D35" i="11"/>
  <c r="E35" i="11" s="1"/>
  <c r="D36" i="11"/>
  <c r="E36" i="11" s="1"/>
  <c r="D37" i="11"/>
  <c r="D38" i="11"/>
  <c r="E38" i="11" s="1"/>
  <c r="D39" i="11"/>
  <c r="E39" i="11" s="1"/>
  <c r="D40" i="11"/>
  <c r="E40" i="11" s="1"/>
  <c r="D41" i="11"/>
  <c r="E41" i="11" s="1"/>
  <c r="D42" i="11"/>
  <c r="E42" i="11" s="1"/>
  <c r="D43" i="11"/>
  <c r="E43" i="11" s="1"/>
  <c r="D44" i="11"/>
  <c r="E44" i="11" s="1"/>
  <c r="D45" i="11"/>
  <c r="E45" i="11" s="1"/>
  <c r="D46" i="11"/>
  <c r="E46" i="11" s="1"/>
  <c r="D47" i="11"/>
  <c r="E47" i="11" s="1"/>
  <c r="D48" i="11"/>
  <c r="E48" i="11" s="1"/>
  <c r="D49" i="11"/>
  <c r="E49" i="11" s="1"/>
  <c r="D50" i="11"/>
  <c r="E50" i="11" s="1"/>
  <c r="D51" i="11"/>
  <c r="E51" i="11" s="1"/>
  <c r="D52" i="11"/>
  <c r="E52" i="11" s="1"/>
  <c r="D53" i="11"/>
  <c r="E53" i="11" s="1"/>
  <c r="D54" i="11"/>
  <c r="E54" i="11" s="1"/>
  <c r="D55" i="11"/>
  <c r="E55" i="11" s="1"/>
  <c r="D56" i="11"/>
  <c r="E56" i="11" s="1"/>
  <c r="D57" i="11"/>
  <c r="E57" i="11" s="1"/>
  <c r="D58" i="11"/>
  <c r="E58" i="11" s="1"/>
  <c r="D59" i="11"/>
  <c r="E59" i="11" s="1"/>
  <c r="D60" i="11"/>
  <c r="E60" i="11" s="1"/>
  <c r="D61" i="11"/>
  <c r="E61" i="11" s="1"/>
  <c r="D62" i="11"/>
  <c r="E62" i="11" s="1"/>
  <c r="J62" i="11" s="1"/>
  <c r="D63" i="11"/>
  <c r="E63" i="11" s="1"/>
  <c r="J63" i="11" s="1"/>
  <c r="D64" i="11"/>
  <c r="E64" i="11" s="1"/>
  <c r="D65" i="11"/>
  <c r="E65" i="11" s="1"/>
  <c r="D66" i="11"/>
  <c r="E66" i="11" s="1"/>
  <c r="D67" i="11"/>
  <c r="E67" i="11" s="1"/>
  <c r="D68" i="11"/>
  <c r="E68" i="11" s="1"/>
  <c r="D69" i="11"/>
  <c r="E69" i="11" s="1"/>
  <c r="D70" i="11"/>
  <c r="E70" i="11" s="1"/>
  <c r="D71" i="11"/>
  <c r="E71" i="11" s="1"/>
  <c r="D72" i="11"/>
  <c r="E72" i="11" s="1"/>
  <c r="D73" i="11"/>
  <c r="E73" i="11" s="1"/>
  <c r="D74" i="11"/>
  <c r="E74" i="11" s="1"/>
  <c r="D75" i="11"/>
  <c r="E75" i="11" s="1"/>
  <c r="D76" i="11"/>
  <c r="E76" i="11" s="1"/>
  <c r="D77" i="11"/>
  <c r="E77" i="11" s="1"/>
  <c r="D78" i="11"/>
  <c r="E78" i="11" s="1"/>
  <c r="D79" i="11"/>
  <c r="E79" i="11" s="1"/>
  <c r="D80" i="11"/>
  <c r="E80" i="11" s="1"/>
  <c r="D81" i="11"/>
  <c r="E81" i="11" s="1"/>
  <c r="D82" i="11"/>
  <c r="E82" i="11" s="1"/>
  <c r="D83" i="11"/>
  <c r="E83" i="11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D3" i="4"/>
  <c r="E3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E54" i="4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D64" i="4"/>
  <c r="E64" i="4" s="1"/>
  <c r="D65" i="4"/>
  <c r="E65" i="4" s="1"/>
  <c r="D66" i="4"/>
  <c r="E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D75" i="4"/>
  <c r="E75" i="4" s="1"/>
  <c r="D76" i="4"/>
  <c r="E76" i="4" s="1"/>
  <c r="D77" i="4"/>
  <c r="E77" i="4" s="1"/>
  <c r="D78" i="4"/>
  <c r="E78" i="4" s="1"/>
  <c r="D79" i="4"/>
  <c r="E79" i="4" s="1"/>
  <c r="D80" i="4"/>
  <c r="E80" i="4" s="1"/>
  <c r="D81" i="4"/>
  <c r="E81" i="4" s="1"/>
  <c r="D82" i="4"/>
  <c r="E82" i="4" s="1"/>
  <c r="D83" i="4"/>
  <c r="E83" i="4" s="1"/>
  <c r="D84" i="4"/>
  <c r="E84" i="4" s="1"/>
  <c r="D85" i="4"/>
  <c r="E85" i="4" s="1"/>
  <c r="D86" i="4"/>
  <c r="E86" i="4" s="1"/>
  <c r="D87" i="4"/>
  <c r="E87" i="4" s="1"/>
  <c r="D88" i="4"/>
  <c r="E88" i="4" s="1"/>
  <c r="D89" i="4"/>
  <c r="E89" i="4" s="1"/>
  <c r="D90" i="4"/>
  <c r="E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D99" i="4"/>
  <c r="E99" i="4" s="1"/>
  <c r="D100" i="4"/>
  <c r="E100" i="4" s="1"/>
  <c r="D101" i="4"/>
  <c r="E101" i="4" s="1"/>
  <c r="D102" i="4"/>
  <c r="E102" i="4" s="1"/>
  <c r="D103" i="4"/>
  <c r="E103" i="4" s="1"/>
  <c r="D104" i="4"/>
  <c r="E104" i="4" s="1"/>
  <c r="D105" i="4"/>
  <c r="E105" i="4" s="1"/>
  <c r="D106" i="4"/>
  <c r="E106" i="4" s="1"/>
  <c r="J106" i="4" s="1"/>
  <c r="D107" i="4"/>
  <c r="E107" i="4" s="1"/>
  <c r="D108" i="4"/>
  <c r="E108" i="4" s="1"/>
  <c r="D109" i="4"/>
  <c r="E109" i="4" s="1"/>
  <c r="D110" i="4"/>
  <c r="E110" i="4" s="1"/>
  <c r="D111" i="4"/>
  <c r="E111" i="4" s="1"/>
  <c r="D112" i="4"/>
  <c r="E112" i="4" s="1"/>
  <c r="D113" i="4"/>
  <c r="E113" i="4" s="1"/>
  <c r="D114" i="4"/>
  <c r="E114" i="4" s="1"/>
  <c r="L55" i="13"/>
  <c r="M55" i="13"/>
  <c r="R55" i="13"/>
  <c r="U55" i="13"/>
  <c r="L56" i="13"/>
  <c r="M56" i="13"/>
  <c r="R56" i="13"/>
  <c r="U56" i="13"/>
  <c r="L57" i="13"/>
  <c r="M57" i="13"/>
  <c r="R57" i="13"/>
  <c r="U57" i="13"/>
  <c r="L58" i="13"/>
  <c r="M58" i="13"/>
  <c r="R58" i="13"/>
  <c r="U58" i="13"/>
  <c r="L59" i="13"/>
  <c r="M59" i="13"/>
  <c r="R59" i="13"/>
  <c r="U59" i="13"/>
  <c r="L60" i="13"/>
  <c r="M60" i="13"/>
  <c r="R60" i="13"/>
  <c r="U60" i="13"/>
  <c r="L61" i="13"/>
  <c r="M61" i="13"/>
  <c r="R61" i="13"/>
  <c r="U61" i="13"/>
  <c r="L62" i="13"/>
  <c r="M62" i="13"/>
  <c r="R62" i="13"/>
  <c r="U62" i="13"/>
  <c r="L63" i="13"/>
  <c r="M63" i="13"/>
  <c r="R63" i="13"/>
  <c r="U63" i="13"/>
  <c r="L64" i="13"/>
  <c r="M64" i="13"/>
  <c r="R64" i="13"/>
  <c r="U64" i="13"/>
  <c r="L65" i="13"/>
  <c r="M65" i="13"/>
  <c r="R65" i="13"/>
  <c r="U65" i="13"/>
  <c r="L66" i="13"/>
  <c r="M66" i="13"/>
  <c r="R66" i="13"/>
  <c r="U66" i="13"/>
  <c r="L67" i="13"/>
  <c r="M67" i="13"/>
  <c r="R67" i="13"/>
  <c r="U67" i="13"/>
  <c r="L68" i="13"/>
  <c r="M68" i="13"/>
  <c r="R68" i="13"/>
  <c r="U68" i="13"/>
  <c r="L69" i="13"/>
  <c r="M69" i="13"/>
  <c r="R69" i="13"/>
  <c r="U69" i="13"/>
  <c r="L70" i="13"/>
  <c r="M70" i="13"/>
  <c r="R70" i="13"/>
  <c r="U70" i="13"/>
  <c r="L71" i="13"/>
  <c r="M71" i="13"/>
  <c r="R71" i="13"/>
  <c r="U71" i="13"/>
  <c r="L72" i="13"/>
  <c r="M72" i="13"/>
  <c r="R72" i="13"/>
  <c r="U72" i="13"/>
  <c r="L73" i="13"/>
  <c r="M73" i="13"/>
  <c r="R73" i="13"/>
  <c r="U73" i="13"/>
  <c r="L74" i="13"/>
  <c r="M74" i="13"/>
  <c r="R74" i="13"/>
  <c r="U74" i="13"/>
  <c r="L75" i="13"/>
  <c r="M75" i="13"/>
  <c r="R75" i="13"/>
  <c r="U75" i="13"/>
  <c r="L76" i="13"/>
  <c r="M76" i="13"/>
  <c r="R76" i="13"/>
  <c r="U76" i="13"/>
  <c r="L77" i="13"/>
  <c r="M77" i="13"/>
  <c r="R77" i="13"/>
  <c r="U77" i="13"/>
  <c r="L78" i="13"/>
  <c r="M78" i="13"/>
  <c r="R78" i="13"/>
  <c r="U78" i="13"/>
  <c r="L79" i="13"/>
  <c r="M79" i="13"/>
  <c r="R79" i="13"/>
  <c r="U79" i="13"/>
  <c r="L80" i="13"/>
  <c r="M80" i="13"/>
  <c r="R80" i="13"/>
  <c r="U80" i="13"/>
  <c r="L81" i="13"/>
  <c r="M81" i="13"/>
  <c r="R81" i="13"/>
  <c r="U81" i="13"/>
  <c r="S2" i="11"/>
  <c r="L75" i="11"/>
  <c r="M75" i="11"/>
  <c r="R75" i="11"/>
  <c r="L76" i="11"/>
  <c r="M76" i="11"/>
  <c r="R76" i="11"/>
  <c r="L77" i="11"/>
  <c r="M77" i="11"/>
  <c r="R77" i="11"/>
  <c r="L78" i="11"/>
  <c r="M78" i="11"/>
  <c r="R78" i="11"/>
  <c r="L79" i="11"/>
  <c r="M79" i="11"/>
  <c r="R79" i="11"/>
  <c r="L80" i="11"/>
  <c r="M80" i="11"/>
  <c r="R80" i="11"/>
  <c r="L81" i="11"/>
  <c r="M81" i="11"/>
  <c r="R81" i="11"/>
  <c r="L82" i="11"/>
  <c r="M82" i="11"/>
  <c r="R82" i="11"/>
  <c r="L83" i="11"/>
  <c r="M83" i="11"/>
  <c r="R83" i="11"/>
  <c r="L55" i="11"/>
  <c r="M55" i="11"/>
  <c r="R55" i="11"/>
  <c r="L56" i="11"/>
  <c r="M56" i="11"/>
  <c r="R56" i="11"/>
  <c r="L57" i="11"/>
  <c r="M57" i="11"/>
  <c r="R57" i="11"/>
  <c r="L58" i="11"/>
  <c r="M58" i="11"/>
  <c r="R58" i="11"/>
  <c r="L59" i="11"/>
  <c r="M59" i="11"/>
  <c r="R59" i="11"/>
  <c r="L60" i="11"/>
  <c r="M60" i="11"/>
  <c r="R60" i="11"/>
  <c r="L61" i="11"/>
  <c r="M61" i="11"/>
  <c r="R61" i="11"/>
  <c r="L62" i="11"/>
  <c r="M62" i="11"/>
  <c r="R62" i="11"/>
  <c r="L63" i="11"/>
  <c r="M63" i="11"/>
  <c r="R63" i="11"/>
  <c r="L64" i="11"/>
  <c r="M64" i="11"/>
  <c r="R64" i="11"/>
  <c r="L65" i="11"/>
  <c r="M65" i="11"/>
  <c r="R65" i="11"/>
  <c r="L66" i="11"/>
  <c r="M66" i="11"/>
  <c r="R66" i="11"/>
  <c r="L67" i="11"/>
  <c r="M67" i="11"/>
  <c r="R67" i="11"/>
  <c r="L68" i="11"/>
  <c r="M68" i="11"/>
  <c r="R68" i="11"/>
  <c r="L69" i="11"/>
  <c r="M69" i="11"/>
  <c r="R69" i="11"/>
  <c r="L70" i="11"/>
  <c r="M70" i="11"/>
  <c r="R70" i="11"/>
  <c r="L71" i="11"/>
  <c r="M71" i="11"/>
  <c r="R71" i="11"/>
  <c r="L72" i="11"/>
  <c r="M72" i="11"/>
  <c r="R72" i="11"/>
  <c r="L73" i="11"/>
  <c r="M73" i="11"/>
  <c r="R73" i="11"/>
  <c r="L74" i="11"/>
  <c r="M74" i="11"/>
  <c r="R74" i="11"/>
  <c r="S3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2" i="12"/>
  <c r="J55" i="11" l="1"/>
  <c r="J78" i="11"/>
  <c r="N78" i="11" s="1"/>
  <c r="J66" i="11"/>
  <c r="N66" i="11" s="1"/>
  <c r="J30" i="11"/>
  <c r="J18" i="11"/>
  <c r="J68" i="11"/>
  <c r="J77" i="11"/>
  <c r="N77" i="11" s="1"/>
  <c r="J65" i="11"/>
  <c r="J29" i="11"/>
  <c r="J14" i="11"/>
  <c r="J13" i="11"/>
  <c r="J80" i="11"/>
  <c r="N80" i="11" s="1"/>
  <c r="J56" i="11"/>
  <c r="N56" i="11" s="1"/>
  <c r="J44" i="11"/>
  <c r="J32" i="11"/>
  <c r="J20" i="11"/>
  <c r="J8" i="11"/>
  <c r="J31" i="11"/>
  <c r="J7" i="11"/>
  <c r="J64" i="11"/>
  <c r="N64" i="11" s="1"/>
  <c r="J51" i="11"/>
  <c r="J15" i="11"/>
  <c r="J3" i="11"/>
  <c r="J67" i="11"/>
  <c r="N67" i="11" s="1"/>
  <c r="J19" i="11"/>
  <c r="J61" i="11"/>
  <c r="N61" i="11" s="1"/>
  <c r="J75" i="4"/>
  <c r="J78" i="4"/>
  <c r="J16" i="4"/>
  <c r="J17" i="4"/>
  <c r="J18" i="4"/>
  <c r="J15" i="4"/>
  <c r="J111" i="4"/>
  <c r="J99" i="4"/>
  <c r="J87" i="4"/>
  <c r="J63" i="4"/>
  <c r="J51" i="4"/>
  <c r="J39" i="4"/>
  <c r="J27" i="4"/>
  <c r="J3" i="4"/>
  <c r="J102" i="4"/>
  <c r="J66" i="4"/>
  <c r="J101" i="4"/>
  <c r="J54" i="4"/>
  <c r="J6" i="4"/>
  <c r="J76" i="4"/>
  <c r="J58" i="13"/>
  <c r="N58" i="13" s="1"/>
  <c r="J47" i="13"/>
  <c r="V77" i="13"/>
  <c r="V65" i="13"/>
  <c r="J59" i="13"/>
  <c r="N59" i="13" s="1"/>
  <c r="J35" i="13"/>
  <c r="J23" i="13"/>
  <c r="J11" i="13"/>
  <c r="J71" i="13"/>
  <c r="N71" i="13" s="1"/>
  <c r="J70" i="13"/>
  <c r="N70" i="13" s="1"/>
  <c r="J46" i="13"/>
  <c r="J34" i="13"/>
  <c r="J22" i="13"/>
  <c r="J10" i="13"/>
  <c r="J56" i="13"/>
  <c r="N56" i="13" s="1"/>
  <c r="J74" i="13"/>
  <c r="N74" i="13" s="1"/>
  <c r="J73" i="13"/>
  <c r="N73" i="13" s="1"/>
  <c r="J61" i="13"/>
  <c r="N61" i="13" s="1"/>
  <c r="J49" i="13"/>
  <c r="J37" i="13"/>
  <c r="J25" i="13"/>
  <c r="J13" i="13"/>
  <c r="V60" i="13"/>
  <c r="V67" i="13"/>
  <c r="J79" i="13"/>
  <c r="N79" i="13" s="1"/>
  <c r="J67" i="13"/>
  <c r="N67" i="13" s="1"/>
  <c r="J55" i="13"/>
  <c r="N55" i="13" s="1"/>
  <c r="J43" i="13"/>
  <c r="J31" i="13"/>
  <c r="J19" i="13"/>
  <c r="J7" i="13"/>
  <c r="J78" i="13"/>
  <c r="J66" i="13"/>
  <c r="J54" i="13"/>
  <c r="J42" i="13"/>
  <c r="J30" i="13"/>
  <c r="J18" i="13"/>
  <c r="J6" i="13"/>
  <c r="J81" i="13"/>
  <c r="N81" i="13" s="1"/>
  <c r="J69" i="13"/>
  <c r="N69" i="13" s="1"/>
  <c r="J57" i="13"/>
  <c r="N57" i="13" s="1"/>
  <c r="J45" i="13"/>
  <c r="J33" i="13"/>
  <c r="J21" i="13"/>
  <c r="J9" i="13"/>
  <c r="J76" i="13"/>
  <c r="N76" i="13" s="1"/>
  <c r="J64" i="13"/>
  <c r="N64" i="13" s="1"/>
  <c r="J52" i="13"/>
  <c r="J40" i="13"/>
  <c r="J28" i="13"/>
  <c r="J16" i="13"/>
  <c r="J4" i="13"/>
  <c r="J77" i="13"/>
  <c r="N77" i="13" s="1"/>
  <c r="J65" i="13"/>
  <c r="N65" i="13" s="1"/>
  <c r="J53" i="13"/>
  <c r="J41" i="13"/>
  <c r="J29" i="13"/>
  <c r="J17" i="13"/>
  <c r="J5" i="13"/>
  <c r="J80" i="13"/>
  <c r="N80" i="13" s="1"/>
  <c r="J68" i="13"/>
  <c r="N68" i="13" s="1"/>
  <c r="J44" i="13"/>
  <c r="J32" i="13"/>
  <c r="J20" i="13"/>
  <c r="J8" i="13"/>
  <c r="J75" i="13"/>
  <c r="N75" i="13" s="1"/>
  <c r="J63" i="13"/>
  <c r="J51" i="13"/>
  <c r="J39" i="13"/>
  <c r="J27" i="13"/>
  <c r="J15" i="13"/>
  <c r="J3" i="13"/>
  <c r="J62" i="13"/>
  <c r="N62" i="13" s="1"/>
  <c r="J50" i="13"/>
  <c r="J38" i="13"/>
  <c r="J26" i="13"/>
  <c r="J14" i="13"/>
  <c r="J72" i="13"/>
  <c r="N72" i="13" s="1"/>
  <c r="J60" i="13"/>
  <c r="J48" i="13"/>
  <c r="J36" i="13"/>
  <c r="J24" i="13"/>
  <c r="J12" i="13"/>
  <c r="J25" i="11"/>
  <c r="J28" i="11"/>
  <c r="J42" i="11"/>
  <c r="J41" i="11"/>
  <c r="J74" i="11"/>
  <c r="N74" i="11" s="1"/>
  <c r="J40" i="11"/>
  <c r="J43" i="11"/>
  <c r="J39" i="11"/>
  <c r="J5" i="11"/>
  <c r="J83" i="11"/>
  <c r="N83" i="11" s="1"/>
  <c r="J59" i="11"/>
  <c r="N59" i="11" s="1"/>
  <c r="J35" i="11"/>
  <c r="J11" i="11"/>
  <c r="J54" i="11"/>
  <c r="J6" i="11"/>
  <c r="J53" i="11"/>
  <c r="J38" i="11"/>
  <c r="J4" i="11"/>
  <c r="J82" i="11"/>
  <c r="N82" i="11" s="1"/>
  <c r="J70" i="11"/>
  <c r="N70" i="11" s="1"/>
  <c r="J58" i="11"/>
  <c r="N58" i="11" s="1"/>
  <c r="J46" i="11"/>
  <c r="J34" i="11"/>
  <c r="J22" i="11"/>
  <c r="J10" i="11"/>
  <c r="J52" i="11"/>
  <c r="J37" i="11"/>
  <c r="J81" i="11"/>
  <c r="N81" i="11" s="1"/>
  <c r="J69" i="11"/>
  <c r="N69" i="11" s="1"/>
  <c r="J57" i="11"/>
  <c r="N57" i="11" s="1"/>
  <c r="J45" i="11"/>
  <c r="J33" i="11"/>
  <c r="J21" i="11"/>
  <c r="J9" i="11"/>
  <c r="J76" i="11"/>
  <c r="N76" i="11" s="1"/>
  <c r="J27" i="11"/>
  <c r="J75" i="11"/>
  <c r="J26" i="11"/>
  <c r="J79" i="11"/>
  <c r="N79" i="11" s="1"/>
  <c r="J73" i="11"/>
  <c r="N73" i="11" s="1"/>
  <c r="J71" i="11"/>
  <c r="N71" i="11" s="1"/>
  <c r="J47" i="11"/>
  <c r="J23" i="11"/>
  <c r="J50" i="11"/>
  <c r="J17" i="11"/>
  <c r="J49" i="11"/>
  <c r="J16" i="11"/>
  <c r="J34" i="4"/>
  <c r="J46" i="4"/>
  <c r="J82" i="4"/>
  <c r="J22" i="4"/>
  <c r="J10" i="4"/>
  <c r="J77" i="4"/>
  <c r="J65" i="4"/>
  <c r="J53" i="4"/>
  <c r="J70" i="4"/>
  <c r="J112" i="4"/>
  <c r="J100" i="4"/>
  <c r="J88" i="4"/>
  <c r="J64" i="4"/>
  <c r="J52" i="4"/>
  <c r="J40" i="4"/>
  <c r="J28" i="4"/>
  <c r="J4" i="4"/>
  <c r="J58" i="4"/>
  <c r="V81" i="13"/>
  <c r="V69" i="13"/>
  <c r="V57" i="13"/>
  <c r="V76" i="13"/>
  <c r="V59" i="13"/>
  <c r="V73" i="13"/>
  <c r="V61" i="13"/>
  <c r="V75" i="13"/>
  <c r="N63" i="13"/>
  <c r="V68" i="13"/>
  <c r="V70" i="11"/>
  <c r="V58" i="11"/>
  <c r="V72" i="11"/>
  <c r="V60" i="11"/>
  <c r="J72" i="11"/>
  <c r="J48" i="11"/>
  <c r="J36" i="11"/>
  <c r="J12" i="11"/>
  <c r="J60" i="11"/>
  <c r="N60" i="11" s="1"/>
  <c r="J24" i="11"/>
  <c r="V74" i="11"/>
  <c r="V69" i="11"/>
  <c r="V57" i="11"/>
  <c r="V71" i="11"/>
  <c r="V59" i="11"/>
  <c r="V73" i="11"/>
  <c r="J42" i="4"/>
  <c r="J41" i="4"/>
  <c r="J94" i="4"/>
  <c r="J110" i="4"/>
  <c r="J98" i="4"/>
  <c r="J86" i="4"/>
  <c r="J74" i="4"/>
  <c r="J62" i="4"/>
  <c r="J50" i="4"/>
  <c r="J38" i="4"/>
  <c r="J26" i="4"/>
  <c r="J14" i="4"/>
  <c r="J90" i="4"/>
  <c r="J5" i="4"/>
  <c r="J89" i="4"/>
  <c r="J30" i="4"/>
  <c r="J114" i="4"/>
  <c r="J29" i="4"/>
  <c r="J113" i="4"/>
  <c r="J109" i="4"/>
  <c r="J97" i="4"/>
  <c r="J85" i="4"/>
  <c r="J73" i="4"/>
  <c r="J61" i="4"/>
  <c r="J49" i="4"/>
  <c r="J37" i="4"/>
  <c r="J25" i="4"/>
  <c r="J13" i="4"/>
  <c r="J108" i="4"/>
  <c r="J96" i="4"/>
  <c r="J84" i="4"/>
  <c r="J72" i="4"/>
  <c r="J60" i="4"/>
  <c r="J48" i="4"/>
  <c r="J36" i="4"/>
  <c r="J24" i="4"/>
  <c r="J12" i="4"/>
  <c r="J107" i="4"/>
  <c r="J95" i="4"/>
  <c r="J83" i="4"/>
  <c r="J71" i="4"/>
  <c r="J59" i="4"/>
  <c r="J47" i="4"/>
  <c r="J35" i="4"/>
  <c r="J23" i="4"/>
  <c r="J11" i="4"/>
  <c r="J8" i="4"/>
  <c r="J105" i="4"/>
  <c r="J93" i="4"/>
  <c r="J81" i="4"/>
  <c r="J69" i="4"/>
  <c r="J57" i="4"/>
  <c r="J45" i="4"/>
  <c r="J33" i="4"/>
  <c r="J21" i="4"/>
  <c r="J9" i="4"/>
  <c r="J104" i="4"/>
  <c r="J92" i="4"/>
  <c r="J80" i="4"/>
  <c r="J68" i="4"/>
  <c r="J56" i="4"/>
  <c r="J44" i="4"/>
  <c r="J32" i="4"/>
  <c r="J20" i="4"/>
  <c r="J103" i="4"/>
  <c r="J91" i="4"/>
  <c r="J79" i="4"/>
  <c r="J67" i="4"/>
  <c r="J55" i="4"/>
  <c r="J43" i="4"/>
  <c r="J31" i="4"/>
  <c r="J19" i="4"/>
  <c r="J7" i="4"/>
  <c r="V55" i="13"/>
  <c r="N66" i="13"/>
  <c r="V79" i="13"/>
  <c r="V71" i="13"/>
  <c r="V63" i="13"/>
  <c r="V74" i="13"/>
  <c r="V66" i="13"/>
  <c r="V58" i="13"/>
  <c r="V80" i="13"/>
  <c r="V72" i="13"/>
  <c r="V64" i="13"/>
  <c r="V56" i="13"/>
  <c r="V78" i="13"/>
  <c r="V70" i="13"/>
  <c r="V62" i="13"/>
  <c r="N78" i="13"/>
  <c r="N60" i="13"/>
  <c r="N55" i="11"/>
  <c r="N75" i="11"/>
  <c r="N63" i="11"/>
  <c r="N62" i="11"/>
  <c r="N72" i="11"/>
  <c r="N68" i="11"/>
  <c r="N65" i="11"/>
  <c r="V62" i="11"/>
  <c r="V63" i="11"/>
  <c r="V64" i="11"/>
  <c r="V65" i="11"/>
  <c r="V61" i="11"/>
  <c r="V66" i="11"/>
  <c r="V83" i="11"/>
  <c r="V82" i="11"/>
  <c r="V81" i="11"/>
  <c r="V80" i="11"/>
  <c r="V79" i="11"/>
  <c r="V78" i="11"/>
  <c r="V77" i="11"/>
  <c r="V76" i="11"/>
  <c r="V75" i="11"/>
  <c r="V67" i="11"/>
  <c r="V55" i="11"/>
  <c r="V68" i="11"/>
  <c r="V56" i="11"/>
  <c r="X68" i="13" l="1"/>
  <c r="X60" i="13"/>
  <c r="X63" i="13"/>
  <c r="X78" i="13"/>
  <c r="X64" i="13"/>
  <c r="X67" i="13"/>
  <c r="X62" i="13"/>
  <c r="X79" i="13"/>
  <c r="X58" i="13"/>
  <c r="X80" i="13"/>
  <c r="X76" i="13"/>
  <c r="X70" i="13"/>
  <c r="X66" i="13"/>
  <c r="X71" i="13"/>
  <c r="X72" i="13"/>
  <c r="X75" i="13"/>
  <c r="X65" i="13"/>
  <c r="X61" i="13"/>
  <c r="X77" i="13"/>
  <c r="X57" i="13"/>
  <c r="X73" i="13"/>
  <c r="X59" i="13"/>
  <c r="X69" i="13"/>
  <c r="X74" i="13"/>
  <c r="X81" i="13"/>
  <c r="X55" i="13"/>
  <c r="X56" i="13"/>
  <c r="X82" i="11"/>
  <c r="X66" i="11"/>
  <c r="X77" i="11"/>
  <c r="X70" i="11"/>
  <c r="X83" i="11"/>
  <c r="X58" i="11"/>
  <c r="X56" i="11"/>
  <c r="X75" i="11"/>
  <c r="X67" i="11"/>
  <c r="X69" i="11"/>
  <c r="X74" i="11"/>
  <c r="X73" i="11"/>
  <c r="X79" i="11"/>
  <c r="X68" i="11"/>
  <c r="X80" i="11"/>
  <c r="X60" i="11"/>
  <c r="X72" i="11"/>
  <c r="X62" i="11"/>
  <c r="X76" i="11"/>
  <c r="X59" i="11"/>
  <c r="X57" i="11"/>
  <c r="X55" i="11"/>
  <c r="X65" i="11"/>
  <c r="X81" i="11"/>
  <c r="X78" i="11"/>
  <c r="X63" i="11"/>
  <c r="X61" i="11"/>
  <c r="X71" i="11"/>
  <c r="X64" i="11"/>
  <c r="Y81" i="13" l="1"/>
  <c r="Z81" i="13" s="1"/>
  <c r="AA81" i="13" s="1"/>
  <c r="Y68" i="13"/>
  <c r="Z68" i="13" s="1"/>
  <c r="AA68" i="13" s="1"/>
  <c r="Y74" i="13"/>
  <c r="Z74" i="13" s="1"/>
  <c r="AA74" i="13" s="1"/>
  <c r="Y76" i="13"/>
  <c r="Z76" i="13"/>
  <c r="AA76" i="13" s="1"/>
  <c r="Y80" i="13"/>
  <c r="Z80" i="13" s="1"/>
  <c r="AA80" i="13" s="1"/>
  <c r="AA58" i="13"/>
  <c r="Y58" i="13"/>
  <c r="Z58" i="13" s="1"/>
  <c r="Y79" i="13"/>
  <c r="Z79" i="13" s="1"/>
  <c r="AA79" i="13" s="1"/>
  <c r="Y62" i="13"/>
  <c r="Z62" i="13" s="1"/>
  <c r="AA62" i="13" s="1"/>
  <c r="Y67" i="13"/>
  <c r="Z67" i="13" s="1"/>
  <c r="AA67" i="13" s="1"/>
  <c r="Y64" i="13"/>
  <c r="Z64" i="13"/>
  <c r="AA64" i="13" s="1"/>
  <c r="AA75" i="13"/>
  <c r="Y75" i="13"/>
  <c r="Z75" i="13"/>
  <c r="Y78" i="13"/>
  <c r="Z78" i="13"/>
  <c r="AA78" i="13" s="1"/>
  <c r="Y56" i="13"/>
  <c r="Z56" i="13" s="1"/>
  <c r="AA56" i="13" s="1"/>
  <c r="Y72" i="13"/>
  <c r="Z72" i="13" s="1"/>
  <c r="AA72" i="13" s="1"/>
  <c r="Y63" i="13"/>
  <c r="Z63" i="13"/>
  <c r="AA63" i="13" s="1"/>
  <c r="Y66" i="13"/>
  <c r="Z66" i="13" s="1"/>
  <c r="AA66" i="13" s="1"/>
  <c r="Y70" i="13"/>
  <c r="Z70" i="13" s="1"/>
  <c r="AA70" i="13" s="1"/>
  <c r="Y69" i="13"/>
  <c r="Z69" i="13" s="1"/>
  <c r="AA69" i="13" s="1"/>
  <c r="Y59" i="13"/>
  <c r="Z59" i="13" s="1"/>
  <c r="AA59" i="13" s="1"/>
  <c r="Y73" i="13"/>
  <c r="Z73" i="13" s="1"/>
  <c r="AA73" i="13" s="1"/>
  <c r="AA57" i="13"/>
  <c r="Y57" i="13"/>
  <c r="Z57" i="13" s="1"/>
  <c r="Y77" i="13"/>
  <c r="Z77" i="13"/>
  <c r="AA77" i="13" s="1"/>
  <c r="Y61" i="13"/>
  <c r="Z61" i="13" s="1"/>
  <c r="AA61" i="13" s="1"/>
  <c r="Y65" i="13"/>
  <c r="Z65" i="13" s="1"/>
  <c r="AA65" i="13" s="1"/>
  <c r="Y55" i="13"/>
  <c r="Z55" i="13"/>
  <c r="AA55" i="13" s="1"/>
  <c r="Y71" i="13"/>
  <c r="Z71" i="13" s="1"/>
  <c r="AA71" i="13" s="1"/>
  <c r="Y60" i="13"/>
  <c r="Z60" i="13" s="1"/>
  <c r="AA60" i="13" s="1"/>
  <c r="Y57" i="11"/>
  <c r="Z57" i="11" s="1"/>
  <c r="AA57" i="11" s="1"/>
  <c r="Y67" i="11"/>
  <c r="Z67" i="11"/>
  <c r="AA67" i="11" s="1"/>
  <c r="Y59" i="11"/>
  <c r="Z59" i="11" s="1"/>
  <c r="AA59" i="11" s="1"/>
  <c r="Y75" i="11"/>
  <c r="Z75" i="11"/>
  <c r="AA75" i="11" s="1"/>
  <c r="Y76" i="11"/>
  <c r="Z76" i="11" s="1"/>
  <c r="AA76" i="11" s="1"/>
  <c r="Y56" i="11"/>
  <c r="Z56" i="11"/>
  <c r="AA56" i="11" s="1"/>
  <c r="Y62" i="11"/>
  <c r="Z62" i="11"/>
  <c r="AA62" i="11" s="1"/>
  <c r="Y58" i="11"/>
  <c r="Z58" i="11" s="1"/>
  <c r="AA58" i="11" s="1"/>
  <c r="Y64" i="11"/>
  <c r="Z64" i="11"/>
  <c r="AA64" i="11" s="1"/>
  <c r="Y72" i="11"/>
  <c r="Z72" i="11"/>
  <c r="AA72" i="11" s="1"/>
  <c r="Y83" i="11"/>
  <c r="Z83" i="11" s="1"/>
  <c r="AA83" i="11" s="1"/>
  <c r="Y71" i="11"/>
  <c r="Z71" i="11" s="1"/>
  <c r="AA71" i="11" s="1"/>
  <c r="Y60" i="11"/>
  <c r="Z60" i="11"/>
  <c r="AA60" i="11" s="1"/>
  <c r="Y70" i="11"/>
  <c r="Z70" i="11"/>
  <c r="AA70" i="11" s="1"/>
  <c r="Y61" i="11"/>
  <c r="Z61" i="11" s="1"/>
  <c r="AA61" i="11" s="1"/>
  <c r="Y80" i="11"/>
  <c r="Z80" i="11"/>
  <c r="AA80" i="11" s="1"/>
  <c r="Y77" i="11"/>
  <c r="Z77" i="11"/>
  <c r="AA77" i="11" s="1"/>
  <c r="Y63" i="11"/>
  <c r="Z63" i="11"/>
  <c r="AA63" i="11" s="1"/>
  <c r="Y68" i="11"/>
  <c r="Z68" i="11"/>
  <c r="AA68" i="11" s="1"/>
  <c r="Y66" i="11"/>
  <c r="Z66" i="11"/>
  <c r="AA66" i="11" s="1"/>
  <c r="Y78" i="11"/>
  <c r="Z78" i="11"/>
  <c r="AA78" i="11" s="1"/>
  <c r="Y79" i="11"/>
  <c r="Z79" i="11" s="1"/>
  <c r="AA79" i="11" s="1"/>
  <c r="Y82" i="11"/>
  <c r="Z82" i="11" s="1"/>
  <c r="AA82" i="11" s="1"/>
  <c r="Y81" i="11"/>
  <c r="Z81" i="11" s="1"/>
  <c r="AA81" i="11" s="1"/>
  <c r="Y73" i="11"/>
  <c r="Z73" i="11"/>
  <c r="AA73" i="11" s="1"/>
  <c r="Y65" i="11"/>
  <c r="Z65" i="11"/>
  <c r="AA65" i="11" s="1"/>
  <c r="Y74" i="11"/>
  <c r="Z74" i="11"/>
  <c r="AA74" i="11" s="1"/>
  <c r="Y55" i="11"/>
  <c r="Z55" i="11" s="1"/>
  <c r="AA55" i="11" s="1"/>
  <c r="Y69" i="11"/>
  <c r="Z69" i="11" s="1"/>
  <c r="AA69" i="11" s="1"/>
  <c r="U54" i="13"/>
  <c r="R54" i="13"/>
  <c r="M54" i="13"/>
  <c r="L54" i="13"/>
  <c r="U53" i="13"/>
  <c r="R53" i="13"/>
  <c r="M53" i="13"/>
  <c r="L53" i="13"/>
  <c r="U52" i="13"/>
  <c r="R52" i="13"/>
  <c r="M52" i="13"/>
  <c r="L52" i="13"/>
  <c r="U51" i="13"/>
  <c r="R51" i="13"/>
  <c r="M51" i="13"/>
  <c r="L51" i="13"/>
  <c r="U50" i="13"/>
  <c r="R50" i="13"/>
  <c r="M50" i="13"/>
  <c r="L50" i="13"/>
  <c r="U49" i="13"/>
  <c r="R49" i="13"/>
  <c r="M49" i="13"/>
  <c r="L49" i="13"/>
  <c r="U48" i="13"/>
  <c r="R48" i="13"/>
  <c r="M48" i="13"/>
  <c r="L48" i="13"/>
  <c r="U47" i="13"/>
  <c r="R47" i="13"/>
  <c r="M47" i="13"/>
  <c r="L47" i="13"/>
  <c r="U46" i="13"/>
  <c r="R46" i="13"/>
  <c r="M46" i="13"/>
  <c r="L46" i="13"/>
  <c r="U45" i="13"/>
  <c r="R45" i="13"/>
  <c r="M45" i="13"/>
  <c r="L45" i="13"/>
  <c r="U44" i="13"/>
  <c r="R44" i="13"/>
  <c r="M44" i="13"/>
  <c r="L44" i="13"/>
  <c r="U43" i="13"/>
  <c r="R43" i="13"/>
  <c r="M43" i="13"/>
  <c r="L43" i="13"/>
  <c r="U42" i="13"/>
  <c r="R42" i="13"/>
  <c r="M42" i="13"/>
  <c r="L42" i="13"/>
  <c r="U41" i="13"/>
  <c r="R41" i="13"/>
  <c r="M41" i="13"/>
  <c r="L41" i="13"/>
  <c r="U40" i="13"/>
  <c r="R40" i="13"/>
  <c r="M40" i="13"/>
  <c r="L40" i="13"/>
  <c r="U39" i="13"/>
  <c r="R39" i="13"/>
  <c r="M39" i="13"/>
  <c r="L39" i="13"/>
  <c r="U38" i="13"/>
  <c r="R38" i="13"/>
  <c r="M38" i="13"/>
  <c r="L38" i="13"/>
  <c r="U37" i="13"/>
  <c r="R37" i="13"/>
  <c r="M37" i="13"/>
  <c r="L37" i="13"/>
  <c r="U36" i="13"/>
  <c r="R36" i="13"/>
  <c r="M36" i="13"/>
  <c r="L36" i="13"/>
  <c r="U35" i="13"/>
  <c r="R35" i="13"/>
  <c r="M35" i="13"/>
  <c r="L35" i="13"/>
  <c r="U34" i="13"/>
  <c r="R34" i="13"/>
  <c r="M34" i="13"/>
  <c r="L34" i="13"/>
  <c r="U33" i="13"/>
  <c r="R33" i="13"/>
  <c r="M33" i="13"/>
  <c r="L33" i="13"/>
  <c r="U32" i="13"/>
  <c r="R32" i="13"/>
  <c r="M32" i="13"/>
  <c r="L32" i="13"/>
  <c r="U31" i="13"/>
  <c r="R31" i="13"/>
  <c r="M31" i="13"/>
  <c r="L31" i="13"/>
  <c r="U30" i="13"/>
  <c r="R30" i="13"/>
  <c r="M30" i="13"/>
  <c r="L30" i="13"/>
  <c r="U29" i="13"/>
  <c r="R29" i="13"/>
  <c r="M29" i="13"/>
  <c r="L29" i="13"/>
  <c r="U28" i="13"/>
  <c r="R28" i="13"/>
  <c r="M28" i="13"/>
  <c r="L28" i="13"/>
  <c r="U27" i="13"/>
  <c r="R27" i="13"/>
  <c r="M27" i="13"/>
  <c r="L27" i="13"/>
  <c r="U26" i="13"/>
  <c r="R26" i="13"/>
  <c r="M26" i="13"/>
  <c r="L26" i="13"/>
  <c r="U25" i="13"/>
  <c r="R25" i="13"/>
  <c r="M25" i="13"/>
  <c r="L25" i="13"/>
  <c r="U24" i="13"/>
  <c r="R24" i="13"/>
  <c r="M24" i="13"/>
  <c r="L24" i="13"/>
  <c r="U23" i="13"/>
  <c r="R23" i="13"/>
  <c r="M23" i="13"/>
  <c r="L23" i="13"/>
  <c r="U22" i="13"/>
  <c r="R22" i="13"/>
  <c r="M22" i="13"/>
  <c r="L22" i="13"/>
  <c r="U21" i="13"/>
  <c r="R21" i="13"/>
  <c r="M21" i="13"/>
  <c r="L21" i="13"/>
  <c r="U20" i="13"/>
  <c r="R20" i="13"/>
  <c r="M20" i="13"/>
  <c r="L20" i="13"/>
  <c r="U19" i="13"/>
  <c r="R19" i="13"/>
  <c r="M19" i="13"/>
  <c r="L19" i="13"/>
  <c r="U18" i="13"/>
  <c r="R18" i="13"/>
  <c r="M18" i="13"/>
  <c r="L18" i="13"/>
  <c r="U17" i="13"/>
  <c r="R17" i="13"/>
  <c r="M17" i="13"/>
  <c r="L17" i="13"/>
  <c r="U16" i="13"/>
  <c r="R16" i="13"/>
  <c r="M16" i="13"/>
  <c r="L16" i="13"/>
  <c r="U15" i="13"/>
  <c r="R15" i="13"/>
  <c r="M15" i="13"/>
  <c r="L15" i="13"/>
  <c r="U14" i="13"/>
  <c r="R14" i="13"/>
  <c r="M14" i="13"/>
  <c r="L14" i="13"/>
  <c r="U13" i="13"/>
  <c r="R13" i="13"/>
  <c r="M13" i="13"/>
  <c r="L13" i="13"/>
  <c r="U12" i="13"/>
  <c r="R12" i="13"/>
  <c r="M12" i="13"/>
  <c r="L12" i="13"/>
  <c r="U11" i="13"/>
  <c r="R11" i="13"/>
  <c r="M11" i="13"/>
  <c r="L11" i="13"/>
  <c r="U10" i="13"/>
  <c r="R10" i="13"/>
  <c r="M10" i="13"/>
  <c r="L10" i="13"/>
  <c r="U9" i="13"/>
  <c r="R9" i="13"/>
  <c r="M9" i="13"/>
  <c r="L9" i="13"/>
  <c r="U8" i="13"/>
  <c r="R8" i="13"/>
  <c r="M8" i="13"/>
  <c r="L8" i="13"/>
  <c r="U7" i="13"/>
  <c r="R7" i="13"/>
  <c r="M7" i="13"/>
  <c r="L7" i="13"/>
  <c r="U6" i="13"/>
  <c r="R6" i="13"/>
  <c r="M6" i="13"/>
  <c r="L6" i="13"/>
  <c r="U5" i="13"/>
  <c r="R5" i="13"/>
  <c r="M5" i="13"/>
  <c r="L5" i="13"/>
  <c r="U4" i="13"/>
  <c r="R4" i="13"/>
  <c r="M4" i="13"/>
  <c r="L4" i="13"/>
  <c r="U3" i="13"/>
  <c r="R3" i="13"/>
  <c r="M3" i="13"/>
  <c r="L3" i="13"/>
  <c r="U2" i="13"/>
  <c r="R2" i="13"/>
  <c r="M2" i="13"/>
  <c r="L2" i="13"/>
  <c r="I2" i="13"/>
  <c r="G2" i="13"/>
  <c r="D2" i="13"/>
  <c r="E2" i="13" s="1"/>
  <c r="B2" i="13"/>
  <c r="U81" i="12"/>
  <c r="R81" i="12"/>
  <c r="M81" i="12"/>
  <c r="L81" i="12"/>
  <c r="D81" i="12"/>
  <c r="E81" i="12" s="1"/>
  <c r="J81" i="12" s="1"/>
  <c r="U80" i="12"/>
  <c r="R80" i="12"/>
  <c r="M80" i="12"/>
  <c r="L80" i="12"/>
  <c r="D80" i="12"/>
  <c r="E80" i="12" s="1"/>
  <c r="J80" i="12" s="1"/>
  <c r="U79" i="12"/>
  <c r="R79" i="12"/>
  <c r="M79" i="12"/>
  <c r="L79" i="12"/>
  <c r="D79" i="12"/>
  <c r="E79" i="12" s="1"/>
  <c r="J79" i="12" s="1"/>
  <c r="U78" i="12"/>
  <c r="R78" i="12"/>
  <c r="M78" i="12"/>
  <c r="L78" i="12"/>
  <c r="D78" i="12"/>
  <c r="E78" i="12" s="1"/>
  <c r="J78" i="12" s="1"/>
  <c r="U77" i="12"/>
  <c r="R77" i="12"/>
  <c r="M77" i="12"/>
  <c r="L77" i="12"/>
  <c r="D77" i="12"/>
  <c r="E77" i="12" s="1"/>
  <c r="J77" i="12" s="1"/>
  <c r="U76" i="12"/>
  <c r="R76" i="12"/>
  <c r="M76" i="12"/>
  <c r="L76" i="12"/>
  <c r="D76" i="12"/>
  <c r="E76" i="12" s="1"/>
  <c r="J76" i="12" s="1"/>
  <c r="U75" i="12"/>
  <c r="R75" i="12"/>
  <c r="M75" i="12"/>
  <c r="L75" i="12"/>
  <c r="D75" i="12"/>
  <c r="E75" i="12" s="1"/>
  <c r="J75" i="12" s="1"/>
  <c r="U74" i="12"/>
  <c r="R74" i="12"/>
  <c r="M74" i="12"/>
  <c r="L74" i="12"/>
  <c r="D74" i="12"/>
  <c r="E74" i="12" s="1"/>
  <c r="J74" i="12" s="1"/>
  <c r="U73" i="12"/>
  <c r="R73" i="12"/>
  <c r="M73" i="12"/>
  <c r="L73" i="12"/>
  <c r="D73" i="12"/>
  <c r="E73" i="12" s="1"/>
  <c r="J73" i="12" s="1"/>
  <c r="U72" i="12"/>
  <c r="R72" i="12"/>
  <c r="M72" i="12"/>
  <c r="L72" i="12"/>
  <c r="D72" i="12"/>
  <c r="E72" i="12" s="1"/>
  <c r="J72" i="12" s="1"/>
  <c r="U71" i="12"/>
  <c r="R71" i="12"/>
  <c r="M71" i="12"/>
  <c r="L71" i="12"/>
  <c r="D71" i="12"/>
  <c r="E71" i="12" s="1"/>
  <c r="J71" i="12" s="1"/>
  <c r="U70" i="12"/>
  <c r="R70" i="12"/>
  <c r="M70" i="12"/>
  <c r="L70" i="12"/>
  <c r="D70" i="12"/>
  <c r="E70" i="12" s="1"/>
  <c r="J70" i="12" s="1"/>
  <c r="U69" i="12"/>
  <c r="R69" i="12"/>
  <c r="M69" i="12"/>
  <c r="L69" i="12"/>
  <c r="D69" i="12"/>
  <c r="E69" i="12" s="1"/>
  <c r="J69" i="12" s="1"/>
  <c r="U68" i="12"/>
  <c r="R68" i="12"/>
  <c r="M68" i="12"/>
  <c r="L68" i="12"/>
  <c r="D68" i="12"/>
  <c r="E68" i="12" s="1"/>
  <c r="J68" i="12" s="1"/>
  <c r="U67" i="12"/>
  <c r="R67" i="12"/>
  <c r="M67" i="12"/>
  <c r="L67" i="12"/>
  <c r="D67" i="12"/>
  <c r="E67" i="12" s="1"/>
  <c r="J67" i="12" s="1"/>
  <c r="U66" i="12"/>
  <c r="R66" i="12"/>
  <c r="M66" i="12"/>
  <c r="L66" i="12"/>
  <c r="D66" i="12"/>
  <c r="E66" i="12" s="1"/>
  <c r="J66" i="12" s="1"/>
  <c r="U65" i="12"/>
  <c r="R65" i="12"/>
  <c r="M65" i="12"/>
  <c r="L65" i="12"/>
  <c r="D65" i="12"/>
  <c r="E65" i="12" s="1"/>
  <c r="J65" i="12" s="1"/>
  <c r="U64" i="12"/>
  <c r="R64" i="12"/>
  <c r="M64" i="12"/>
  <c r="L64" i="12"/>
  <c r="D64" i="12"/>
  <c r="E64" i="12" s="1"/>
  <c r="J64" i="12" s="1"/>
  <c r="U63" i="12"/>
  <c r="R63" i="12"/>
  <c r="M63" i="12"/>
  <c r="L63" i="12"/>
  <c r="D63" i="12"/>
  <c r="E63" i="12" s="1"/>
  <c r="J63" i="12" s="1"/>
  <c r="U62" i="12"/>
  <c r="R62" i="12"/>
  <c r="M62" i="12"/>
  <c r="L62" i="12"/>
  <c r="D62" i="12"/>
  <c r="E62" i="12" s="1"/>
  <c r="J62" i="12" s="1"/>
  <c r="U61" i="12"/>
  <c r="R61" i="12"/>
  <c r="M61" i="12"/>
  <c r="L61" i="12"/>
  <c r="D61" i="12"/>
  <c r="E61" i="12" s="1"/>
  <c r="J61" i="12" s="1"/>
  <c r="U60" i="12"/>
  <c r="R60" i="12"/>
  <c r="M60" i="12"/>
  <c r="L60" i="12"/>
  <c r="D60" i="12"/>
  <c r="E60" i="12" s="1"/>
  <c r="J60" i="12" s="1"/>
  <c r="U59" i="12"/>
  <c r="R59" i="12"/>
  <c r="M59" i="12"/>
  <c r="L59" i="12"/>
  <c r="D59" i="12"/>
  <c r="E59" i="12" s="1"/>
  <c r="J59" i="12" s="1"/>
  <c r="U58" i="12"/>
  <c r="R58" i="12"/>
  <c r="M58" i="12"/>
  <c r="L58" i="12"/>
  <c r="D58" i="12"/>
  <c r="E58" i="12" s="1"/>
  <c r="J58" i="12" s="1"/>
  <c r="U57" i="12"/>
  <c r="R57" i="12"/>
  <c r="M57" i="12"/>
  <c r="L57" i="12"/>
  <c r="D57" i="12"/>
  <c r="E57" i="12" s="1"/>
  <c r="J57" i="12" s="1"/>
  <c r="U56" i="12"/>
  <c r="R56" i="12"/>
  <c r="M56" i="12"/>
  <c r="L56" i="12"/>
  <c r="D56" i="12"/>
  <c r="E56" i="12" s="1"/>
  <c r="J56" i="12" s="1"/>
  <c r="U55" i="12"/>
  <c r="R55" i="12"/>
  <c r="M55" i="12"/>
  <c r="L55" i="12"/>
  <c r="D55" i="12"/>
  <c r="E55" i="12" s="1"/>
  <c r="J55" i="12" s="1"/>
  <c r="U54" i="12"/>
  <c r="R54" i="12"/>
  <c r="M54" i="12"/>
  <c r="L54" i="12"/>
  <c r="D54" i="12"/>
  <c r="E54" i="12" s="1"/>
  <c r="J54" i="12" s="1"/>
  <c r="U53" i="12"/>
  <c r="R53" i="12"/>
  <c r="M53" i="12"/>
  <c r="L53" i="12"/>
  <c r="D53" i="12"/>
  <c r="E53" i="12" s="1"/>
  <c r="J53" i="12" s="1"/>
  <c r="U52" i="12"/>
  <c r="R52" i="12"/>
  <c r="M52" i="12"/>
  <c r="L52" i="12"/>
  <c r="D52" i="12"/>
  <c r="E52" i="12" s="1"/>
  <c r="J52" i="12" s="1"/>
  <c r="U51" i="12"/>
  <c r="R51" i="12"/>
  <c r="M51" i="12"/>
  <c r="L51" i="12"/>
  <c r="D51" i="12"/>
  <c r="E51" i="12" s="1"/>
  <c r="J51" i="12" s="1"/>
  <c r="U50" i="12"/>
  <c r="R50" i="12"/>
  <c r="M50" i="12"/>
  <c r="L50" i="12"/>
  <c r="D50" i="12"/>
  <c r="E50" i="12" s="1"/>
  <c r="J50" i="12" s="1"/>
  <c r="U49" i="12"/>
  <c r="R49" i="12"/>
  <c r="M49" i="12"/>
  <c r="L49" i="12"/>
  <c r="D49" i="12"/>
  <c r="E49" i="12" s="1"/>
  <c r="J49" i="12" s="1"/>
  <c r="U48" i="12"/>
  <c r="R48" i="12"/>
  <c r="M48" i="12"/>
  <c r="L48" i="12"/>
  <c r="D48" i="12"/>
  <c r="E48" i="12" s="1"/>
  <c r="J48" i="12" s="1"/>
  <c r="U47" i="12"/>
  <c r="R47" i="12"/>
  <c r="M47" i="12"/>
  <c r="L47" i="12"/>
  <c r="D47" i="12"/>
  <c r="E47" i="12" s="1"/>
  <c r="J47" i="12" s="1"/>
  <c r="U46" i="12"/>
  <c r="R46" i="12"/>
  <c r="M46" i="12"/>
  <c r="L46" i="12"/>
  <c r="D46" i="12"/>
  <c r="E46" i="12" s="1"/>
  <c r="J46" i="12" s="1"/>
  <c r="U45" i="12"/>
  <c r="R45" i="12"/>
  <c r="M45" i="12"/>
  <c r="L45" i="12"/>
  <c r="D45" i="12"/>
  <c r="E45" i="12" s="1"/>
  <c r="J45" i="12" s="1"/>
  <c r="U44" i="12"/>
  <c r="R44" i="12"/>
  <c r="M44" i="12"/>
  <c r="L44" i="12"/>
  <c r="D44" i="12"/>
  <c r="E44" i="12" s="1"/>
  <c r="J44" i="12" s="1"/>
  <c r="U43" i="12"/>
  <c r="R43" i="12"/>
  <c r="M43" i="12"/>
  <c r="L43" i="12"/>
  <c r="D43" i="12"/>
  <c r="E43" i="12" s="1"/>
  <c r="J43" i="12" s="1"/>
  <c r="U42" i="12"/>
  <c r="R42" i="12"/>
  <c r="M42" i="12"/>
  <c r="L42" i="12"/>
  <c r="D42" i="12"/>
  <c r="E42" i="12" s="1"/>
  <c r="J42" i="12" s="1"/>
  <c r="U41" i="12"/>
  <c r="R41" i="12"/>
  <c r="M41" i="12"/>
  <c r="L41" i="12"/>
  <c r="D41" i="12"/>
  <c r="E41" i="12" s="1"/>
  <c r="J41" i="12" s="1"/>
  <c r="U40" i="12"/>
  <c r="R40" i="12"/>
  <c r="M40" i="12"/>
  <c r="L40" i="12"/>
  <c r="D40" i="12"/>
  <c r="E40" i="12" s="1"/>
  <c r="J40" i="12" s="1"/>
  <c r="U39" i="12"/>
  <c r="R39" i="12"/>
  <c r="M39" i="12"/>
  <c r="L39" i="12"/>
  <c r="D39" i="12"/>
  <c r="E39" i="12" s="1"/>
  <c r="J39" i="12" s="1"/>
  <c r="U38" i="12"/>
  <c r="R38" i="12"/>
  <c r="M38" i="12"/>
  <c r="L38" i="12"/>
  <c r="D38" i="12"/>
  <c r="E38" i="12" s="1"/>
  <c r="J38" i="12" s="1"/>
  <c r="U37" i="12"/>
  <c r="R37" i="12"/>
  <c r="M37" i="12"/>
  <c r="L37" i="12"/>
  <c r="D37" i="12"/>
  <c r="E37" i="12" s="1"/>
  <c r="J37" i="12" s="1"/>
  <c r="U36" i="12"/>
  <c r="R36" i="12"/>
  <c r="M36" i="12"/>
  <c r="L36" i="12"/>
  <c r="D36" i="12"/>
  <c r="E36" i="12" s="1"/>
  <c r="J36" i="12" s="1"/>
  <c r="U35" i="12"/>
  <c r="R35" i="12"/>
  <c r="M35" i="12"/>
  <c r="L35" i="12"/>
  <c r="D35" i="12"/>
  <c r="E35" i="12" s="1"/>
  <c r="J35" i="12" s="1"/>
  <c r="U34" i="12"/>
  <c r="R34" i="12"/>
  <c r="M34" i="12"/>
  <c r="L34" i="12"/>
  <c r="D34" i="12"/>
  <c r="E34" i="12" s="1"/>
  <c r="J34" i="12" s="1"/>
  <c r="U33" i="12"/>
  <c r="R33" i="12"/>
  <c r="M33" i="12"/>
  <c r="L33" i="12"/>
  <c r="D33" i="12"/>
  <c r="E33" i="12" s="1"/>
  <c r="J33" i="12" s="1"/>
  <c r="U32" i="12"/>
  <c r="R32" i="12"/>
  <c r="M32" i="12"/>
  <c r="L32" i="12"/>
  <c r="D32" i="12"/>
  <c r="E32" i="12" s="1"/>
  <c r="J32" i="12" s="1"/>
  <c r="U31" i="12"/>
  <c r="R31" i="12"/>
  <c r="M31" i="12"/>
  <c r="L31" i="12"/>
  <c r="D31" i="12"/>
  <c r="E31" i="12" s="1"/>
  <c r="J31" i="12" s="1"/>
  <c r="U30" i="12"/>
  <c r="R30" i="12"/>
  <c r="M30" i="12"/>
  <c r="L30" i="12"/>
  <c r="D30" i="12"/>
  <c r="E30" i="12" s="1"/>
  <c r="J30" i="12" s="1"/>
  <c r="U29" i="12"/>
  <c r="R29" i="12"/>
  <c r="M29" i="12"/>
  <c r="L29" i="12"/>
  <c r="D29" i="12"/>
  <c r="E29" i="12" s="1"/>
  <c r="J29" i="12" s="1"/>
  <c r="U28" i="12"/>
  <c r="R28" i="12"/>
  <c r="M28" i="12"/>
  <c r="L28" i="12"/>
  <c r="D28" i="12"/>
  <c r="E28" i="12" s="1"/>
  <c r="J28" i="12" s="1"/>
  <c r="U27" i="12"/>
  <c r="R27" i="12"/>
  <c r="M27" i="12"/>
  <c r="L27" i="12"/>
  <c r="D27" i="12"/>
  <c r="E27" i="12" s="1"/>
  <c r="J27" i="12" s="1"/>
  <c r="U26" i="12"/>
  <c r="R26" i="12"/>
  <c r="M26" i="12"/>
  <c r="L26" i="12"/>
  <c r="D26" i="12"/>
  <c r="E26" i="12" s="1"/>
  <c r="J26" i="12" s="1"/>
  <c r="U25" i="12"/>
  <c r="R25" i="12"/>
  <c r="M25" i="12"/>
  <c r="L25" i="12"/>
  <c r="D25" i="12"/>
  <c r="E25" i="12" s="1"/>
  <c r="J25" i="12" s="1"/>
  <c r="U24" i="12"/>
  <c r="R24" i="12"/>
  <c r="M24" i="12"/>
  <c r="L24" i="12"/>
  <c r="D24" i="12"/>
  <c r="E24" i="12" s="1"/>
  <c r="J24" i="12" s="1"/>
  <c r="U23" i="12"/>
  <c r="R23" i="12"/>
  <c r="M23" i="12"/>
  <c r="L23" i="12"/>
  <c r="D23" i="12"/>
  <c r="E23" i="12" s="1"/>
  <c r="J23" i="12" s="1"/>
  <c r="U22" i="12"/>
  <c r="R22" i="12"/>
  <c r="M22" i="12"/>
  <c r="L22" i="12"/>
  <c r="D22" i="12"/>
  <c r="E22" i="12" s="1"/>
  <c r="J22" i="12" s="1"/>
  <c r="U21" i="12"/>
  <c r="R21" i="12"/>
  <c r="M21" i="12"/>
  <c r="L21" i="12"/>
  <c r="D21" i="12"/>
  <c r="E21" i="12" s="1"/>
  <c r="J21" i="12" s="1"/>
  <c r="U20" i="12"/>
  <c r="R20" i="12"/>
  <c r="M20" i="12"/>
  <c r="L20" i="12"/>
  <c r="D20" i="12"/>
  <c r="E20" i="12" s="1"/>
  <c r="J20" i="12" s="1"/>
  <c r="U19" i="12"/>
  <c r="R19" i="12"/>
  <c r="M19" i="12"/>
  <c r="L19" i="12"/>
  <c r="D19" i="12"/>
  <c r="E19" i="12" s="1"/>
  <c r="J19" i="12" s="1"/>
  <c r="U18" i="12"/>
  <c r="R18" i="12"/>
  <c r="M18" i="12"/>
  <c r="L18" i="12"/>
  <c r="D18" i="12"/>
  <c r="E18" i="12" s="1"/>
  <c r="J18" i="12" s="1"/>
  <c r="U17" i="12"/>
  <c r="R17" i="12"/>
  <c r="M17" i="12"/>
  <c r="L17" i="12"/>
  <c r="D17" i="12"/>
  <c r="E17" i="12" s="1"/>
  <c r="J17" i="12" s="1"/>
  <c r="U16" i="12"/>
  <c r="R16" i="12"/>
  <c r="M16" i="12"/>
  <c r="L16" i="12"/>
  <c r="D16" i="12"/>
  <c r="E16" i="12" s="1"/>
  <c r="J16" i="12" s="1"/>
  <c r="U15" i="12"/>
  <c r="R15" i="12"/>
  <c r="M15" i="12"/>
  <c r="L15" i="12"/>
  <c r="D15" i="12"/>
  <c r="E15" i="12" s="1"/>
  <c r="J15" i="12" s="1"/>
  <c r="U14" i="12"/>
  <c r="R14" i="12"/>
  <c r="M14" i="12"/>
  <c r="L14" i="12"/>
  <c r="D14" i="12"/>
  <c r="E14" i="12" s="1"/>
  <c r="J14" i="12" s="1"/>
  <c r="U13" i="12"/>
  <c r="R13" i="12"/>
  <c r="M13" i="12"/>
  <c r="L13" i="12"/>
  <c r="D13" i="12"/>
  <c r="E13" i="12" s="1"/>
  <c r="J13" i="12" s="1"/>
  <c r="U12" i="12"/>
  <c r="R12" i="12"/>
  <c r="M12" i="12"/>
  <c r="L12" i="12"/>
  <c r="D12" i="12"/>
  <c r="E12" i="12" s="1"/>
  <c r="J12" i="12" s="1"/>
  <c r="U11" i="12"/>
  <c r="R11" i="12"/>
  <c r="M11" i="12"/>
  <c r="L11" i="12"/>
  <c r="D11" i="12"/>
  <c r="E11" i="12" s="1"/>
  <c r="J11" i="12" s="1"/>
  <c r="U10" i="12"/>
  <c r="R10" i="12"/>
  <c r="M10" i="12"/>
  <c r="L10" i="12"/>
  <c r="D10" i="12"/>
  <c r="E10" i="12" s="1"/>
  <c r="J10" i="12" s="1"/>
  <c r="U9" i="12"/>
  <c r="R9" i="12"/>
  <c r="M9" i="12"/>
  <c r="L9" i="12"/>
  <c r="D9" i="12"/>
  <c r="E9" i="12" s="1"/>
  <c r="J9" i="12" s="1"/>
  <c r="U8" i="12"/>
  <c r="R8" i="12"/>
  <c r="M8" i="12"/>
  <c r="L8" i="12"/>
  <c r="D8" i="12"/>
  <c r="E8" i="12" s="1"/>
  <c r="J8" i="12" s="1"/>
  <c r="U7" i="12"/>
  <c r="R7" i="12"/>
  <c r="M7" i="12"/>
  <c r="L7" i="12"/>
  <c r="D7" i="12"/>
  <c r="E7" i="12" s="1"/>
  <c r="J7" i="12" s="1"/>
  <c r="U6" i="12"/>
  <c r="R6" i="12"/>
  <c r="M6" i="12"/>
  <c r="L6" i="12"/>
  <c r="D6" i="12"/>
  <c r="E6" i="12" s="1"/>
  <c r="J6" i="12" s="1"/>
  <c r="U5" i="12"/>
  <c r="R5" i="12"/>
  <c r="M5" i="12"/>
  <c r="L5" i="12"/>
  <c r="D5" i="12"/>
  <c r="E5" i="12" s="1"/>
  <c r="J5" i="12" s="1"/>
  <c r="U4" i="12"/>
  <c r="R4" i="12"/>
  <c r="M4" i="12"/>
  <c r="L4" i="12"/>
  <c r="D4" i="12"/>
  <c r="E4" i="12" s="1"/>
  <c r="J4" i="12" s="1"/>
  <c r="B4" i="12"/>
  <c r="U3" i="12"/>
  <c r="R3" i="12"/>
  <c r="M3" i="12"/>
  <c r="L3" i="12"/>
  <c r="V3" i="12" s="1"/>
  <c r="D3" i="12"/>
  <c r="E3" i="12" s="1"/>
  <c r="J3" i="12" s="1"/>
  <c r="B3" i="12"/>
  <c r="U2" i="12"/>
  <c r="R2" i="12"/>
  <c r="M2" i="12"/>
  <c r="L2" i="12"/>
  <c r="I2" i="12"/>
  <c r="G2" i="12"/>
  <c r="D2" i="12"/>
  <c r="E2" i="12" s="1"/>
  <c r="B2" i="12"/>
  <c r="N4" i="12" l="1"/>
  <c r="N18" i="12"/>
  <c r="N30" i="12"/>
  <c r="N54" i="12"/>
  <c r="N60" i="12"/>
  <c r="N68" i="12"/>
  <c r="N76" i="12"/>
  <c r="V15" i="13"/>
  <c r="V8" i="13"/>
  <c r="N75" i="12"/>
  <c r="V40" i="12"/>
  <c r="V48" i="12"/>
  <c r="V52" i="12"/>
  <c r="V60" i="12"/>
  <c r="V62" i="12"/>
  <c r="V70" i="12"/>
  <c r="J2" i="13"/>
  <c r="N2" i="13" s="1"/>
  <c r="V4" i="13"/>
  <c r="V6" i="13"/>
  <c r="V24" i="13"/>
  <c r="V30" i="13"/>
  <c r="V36" i="13"/>
  <c r="V42" i="13"/>
  <c r="V46" i="13"/>
  <c r="N5" i="12"/>
  <c r="N15" i="12"/>
  <c r="N37" i="12"/>
  <c r="V4" i="12"/>
  <c r="X4" i="12" s="1"/>
  <c r="V33" i="12"/>
  <c r="V49" i="12"/>
  <c r="V69" i="12"/>
  <c r="J2" i="12"/>
  <c r="N2" i="12" s="1"/>
  <c r="N43" i="12"/>
  <c r="V16" i="12"/>
  <c r="V22" i="12"/>
  <c r="V51" i="12"/>
  <c r="V61" i="12"/>
  <c r="V14" i="12"/>
  <c r="V41" i="12"/>
  <c r="V58" i="12"/>
  <c r="V5" i="13"/>
  <c r="V39" i="13"/>
  <c r="V43" i="13"/>
  <c r="V45" i="13"/>
  <c r="V51" i="13"/>
  <c r="V65" i="12"/>
  <c r="V18" i="12"/>
  <c r="X18" i="12" s="1"/>
  <c r="V67" i="12"/>
  <c r="V15" i="12"/>
  <c r="V5" i="12"/>
  <c r="V12" i="12"/>
  <c r="N3" i="12"/>
  <c r="V71" i="12"/>
  <c r="N41" i="13"/>
  <c r="N38" i="13"/>
  <c r="N35" i="13"/>
  <c r="N20" i="13"/>
  <c r="X20" i="13" s="1"/>
  <c r="N47" i="13"/>
  <c r="X47" i="13" s="1"/>
  <c r="N26" i="13"/>
  <c r="X26" i="13" s="1"/>
  <c r="N24" i="13"/>
  <c r="X24" i="13" s="1"/>
  <c r="N50" i="13"/>
  <c r="N32" i="13"/>
  <c r="N44" i="13"/>
  <c r="V10" i="12"/>
  <c r="V20" i="12"/>
  <c r="V28" i="12"/>
  <c r="V45" i="12"/>
  <c r="V68" i="12"/>
  <c r="X68" i="12" s="1"/>
  <c r="V63" i="12"/>
  <c r="V8" i="12"/>
  <c r="V26" i="12"/>
  <c r="V53" i="12"/>
  <c r="V7" i="13"/>
  <c r="V19" i="13"/>
  <c r="V27" i="13"/>
  <c r="V33" i="13"/>
  <c r="V57" i="12"/>
  <c r="V76" i="12"/>
  <c r="X76" i="12" s="1"/>
  <c r="V21" i="12"/>
  <c r="V54" i="12"/>
  <c r="X54" i="12" s="1"/>
  <c r="V75" i="12"/>
  <c r="N79" i="12"/>
  <c r="V9" i="12"/>
  <c r="N26" i="12"/>
  <c r="N27" i="12"/>
  <c r="V55" i="12"/>
  <c r="V73" i="12"/>
  <c r="N78" i="12"/>
  <c r="N80" i="12"/>
  <c r="V48" i="13"/>
  <c r="V49" i="13"/>
  <c r="V52" i="13"/>
  <c r="V9" i="13"/>
  <c r="V54" i="13"/>
  <c r="V10" i="13"/>
  <c r="V2" i="13"/>
  <c r="V11" i="13"/>
  <c r="V3" i="13"/>
  <c r="N7" i="13"/>
  <c r="V12" i="13"/>
  <c r="V13" i="13"/>
  <c r="V14" i="13"/>
  <c r="V18" i="13"/>
  <c r="V21" i="13"/>
  <c r="V22" i="13"/>
  <c r="V27" i="12"/>
  <c r="N48" i="12"/>
  <c r="V79" i="12"/>
  <c r="V81" i="12"/>
  <c r="N12" i="12"/>
  <c r="N35" i="12"/>
  <c r="N52" i="12"/>
  <c r="V78" i="12"/>
  <c r="V24" i="12"/>
  <c r="V59" i="12"/>
  <c r="N24" i="12"/>
  <c r="N21" i="12"/>
  <c r="N9" i="12"/>
  <c r="N29" i="13"/>
  <c r="V29" i="13"/>
  <c r="N37" i="13"/>
  <c r="V37" i="13"/>
  <c r="N18" i="13"/>
  <c r="N23" i="13"/>
  <c r="V23" i="13"/>
  <c r="N28" i="13"/>
  <c r="V28" i="13"/>
  <c r="N34" i="13"/>
  <c r="V34" i="13"/>
  <c r="N11" i="13"/>
  <c r="N25" i="13"/>
  <c r="X25" i="13" s="1"/>
  <c r="N40" i="13"/>
  <c r="X40" i="13" s="1"/>
  <c r="V40" i="13"/>
  <c r="N54" i="13"/>
  <c r="N6" i="13"/>
  <c r="V20" i="13"/>
  <c r="V26" i="13"/>
  <c r="N42" i="13"/>
  <c r="N48" i="13"/>
  <c r="N53" i="13"/>
  <c r="V53" i="13"/>
  <c r="N9" i="13"/>
  <c r="N21" i="13"/>
  <c r="X21" i="13" s="1"/>
  <c r="N4" i="13"/>
  <c r="X4" i="13" s="1"/>
  <c r="N31" i="13"/>
  <c r="V31" i="13"/>
  <c r="V25" i="13"/>
  <c r="N17" i="13"/>
  <c r="V17" i="13"/>
  <c r="V50" i="13"/>
  <c r="N51" i="13"/>
  <c r="N3" i="13"/>
  <c r="X3" i="13" s="1"/>
  <c r="N10" i="13"/>
  <c r="N33" i="13"/>
  <c r="X33" i="13" s="1"/>
  <c r="V41" i="13"/>
  <c r="N52" i="13"/>
  <c r="X52" i="13" s="1"/>
  <c r="N5" i="13"/>
  <c r="N19" i="13"/>
  <c r="X19" i="13" s="1"/>
  <c r="V44" i="13"/>
  <c r="V32" i="13"/>
  <c r="N43" i="13"/>
  <c r="N8" i="13"/>
  <c r="N27" i="13"/>
  <c r="V35" i="13"/>
  <c r="N46" i="13"/>
  <c r="N16" i="13"/>
  <c r="V16" i="13"/>
  <c r="N30" i="13"/>
  <c r="X30" i="13" s="1"/>
  <c r="V38" i="13"/>
  <c r="N49" i="13"/>
  <c r="N14" i="13"/>
  <c r="N12" i="13"/>
  <c r="X12" i="13" s="1"/>
  <c r="N22" i="13"/>
  <c r="N39" i="13"/>
  <c r="X39" i="13" s="1"/>
  <c r="V47" i="13"/>
  <c r="N15" i="13"/>
  <c r="N13" i="13"/>
  <c r="X13" i="13" s="1"/>
  <c r="N36" i="13"/>
  <c r="X36" i="13" s="1"/>
  <c r="N45" i="13"/>
  <c r="X45" i="13" s="1"/>
  <c r="Y45" i="13" s="1"/>
  <c r="Z45" i="13" s="1"/>
  <c r="N59" i="12"/>
  <c r="V7" i="12"/>
  <c r="N7" i="12"/>
  <c r="N20" i="12"/>
  <c r="N31" i="12"/>
  <c r="N44" i="12"/>
  <c r="N23" i="12"/>
  <c r="V23" i="12"/>
  <c r="V44" i="12"/>
  <c r="V50" i="12"/>
  <c r="N50" i="12"/>
  <c r="N66" i="12"/>
  <c r="N72" i="12"/>
  <c r="N73" i="12"/>
  <c r="N10" i="12"/>
  <c r="N41" i="12"/>
  <c r="V47" i="12"/>
  <c r="N47" i="12"/>
  <c r="V72" i="12"/>
  <c r="N17" i="12"/>
  <c r="V17" i="12"/>
  <c r="V13" i="12"/>
  <c r="N13" i="12"/>
  <c r="V34" i="12"/>
  <c r="N34" i="12"/>
  <c r="N16" i="12"/>
  <c r="V38" i="12"/>
  <c r="N38" i="12"/>
  <c r="N55" i="12"/>
  <c r="N11" i="12"/>
  <c r="V11" i="12"/>
  <c r="N39" i="12"/>
  <c r="N70" i="12"/>
  <c r="V25" i="12"/>
  <c r="N25" i="12"/>
  <c r="V2" i="12"/>
  <c r="N8" i="12"/>
  <c r="N45" i="12"/>
  <c r="V6" i="12"/>
  <c r="N6" i="12"/>
  <c r="X6" i="12" s="1"/>
  <c r="V19" i="12"/>
  <c r="N19" i="12"/>
  <c r="N69" i="12"/>
  <c r="N22" i="12"/>
  <c r="N33" i="12"/>
  <c r="N36" i="12"/>
  <c r="V39" i="12"/>
  <c r="V46" i="12"/>
  <c r="N46" i="12"/>
  <c r="N62" i="12"/>
  <c r="N81" i="12"/>
  <c r="N14" i="12"/>
  <c r="V36" i="12"/>
  <c r="N58" i="12"/>
  <c r="N29" i="12"/>
  <c r="N56" i="12"/>
  <c r="V29" i="12"/>
  <c r="N49" i="12"/>
  <c r="V66" i="12"/>
  <c r="N53" i="12"/>
  <c r="N28" i="12"/>
  <c r="N40" i="12"/>
  <c r="N42" i="12"/>
  <c r="N51" i="12"/>
  <c r="N61" i="12"/>
  <c r="N63" i="12"/>
  <c r="V74" i="12"/>
  <c r="V64" i="12"/>
  <c r="N64" i="12"/>
  <c r="V32" i="12"/>
  <c r="N32" i="12"/>
  <c r="X32" i="12" s="1"/>
  <c r="V77" i="12"/>
  <c r="N77" i="12"/>
  <c r="N71" i="12"/>
  <c r="N74" i="12"/>
  <c r="V31" i="12"/>
  <c r="V35" i="12"/>
  <c r="V56" i="12"/>
  <c r="N57" i="12"/>
  <c r="N65" i="12"/>
  <c r="V37" i="12"/>
  <c r="N67" i="12"/>
  <c r="V43" i="12"/>
  <c r="V30" i="12"/>
  <c r="X30" i="12" s="1"/>
  <c r="V42" i="12"/>
  <c r="V80" i="12"/>
  <c r="R54" i="11"/>
  <c r="M54" i="11"/>
  <c r="L54" i="11"/>
  <c r="R53" i="11"/>
  <c r="M53" i="11"/>
  <c r="L53" i="11"/>
  <c r="R52" i="11"/>
  <c r="M52" i="11"/>
  <c r="L52" i="11"/>
  <c r="R51" i="11"/>
  <c r="M51" i="11"/>
  <c r="L51" i="11"/>
  <c r="R50" i="11"/>
  <c r="M50" i="11"/>
  <c r="L50" i="11"/>
  <c r="R49" i="11"/>
  <c r="M49" i="11"/>
  <c r="L49" i="11"/>
  <c r="R48" i="11"/>
  <c r="M48" i="11"/>
  <c r="L48" i="11"/>
  <c r="R47" i="11"/>
  <c r="M47" i="11"/>
  <c r="L47" i="11"/>
  <c r="R46" i="11"/>
  <c r="M46" i="11"/>
  <c r="L46" i="11"/>
  <c r="R45" i="11"/>
  <c r="M45" i="11"/>
  <c r="L45" i="11"/>
  <c r="R44" i="11"/>
  <c r="M44" i="11"/>
  <c r="L44" i="11"/>
  <c r="N44" i="11"/>
  <c r="R43" i="11"/>
  <c r="M43" i="11"/>
  <c r="L43" i="11"/>
  <c r="R42" i="11"/>
  <c r="M42" i="11"/>
  <c r="L42" i="11"/>
  <c r="R41" i="11"/>
  <c r="M41" i="11"/>
  <c r="L41" i="11"/>
  <c r="R40" i="11"/>
  <c r="M40" i="11"/>
  <c r="L40" i="11"/>
  <c r="R39" i="11"/>
  <c r="M39" i="11"/>
  <c r="L39" i="11"/>
  <c r="V39" i="11" s="1"/>
  <c r="R38" i="11"/>
  <c r="M38" i="11"/>
  <c r="L38" i="11"/>
  <c r="R37" i="11"/>
  <c r="M37" i="11"/>
  <c r="L37" i="11"/>
  <c r="R36" i="11"/>
  <c r="M36" i="11"/>
  <c r="L36" i="11"/>
  <c r="R35" i="11"/>
  <c r="M35" i="11"/>
  <c r="L35" i="11"/>
  <c r="R34" i="11"/>
  <c r="M34" i="11"/>
  <c r="L34" i="11"/>
  <c r="R33" i="11"/>
  <c r="M33" i="11"/>
  <c r="L33" i="11"/>
  <c r="R32" i="11"/>
  <c r="M32" i="11"/>
  <c r="L32" i="11"/>
  <c r="R31" i="11"/>
  <c r="M31" i="11"/>
  <c r="L31" i="11"/>
  <c r="R30" i="11"/>
  <c r="M30" i="11"/>
  <c r="L30" i="11"/>
  <c r="R29" i="11"/>
  <c r="M29" i="11"/>
  <c r="L29" i="11"/>
  <c r="R28" i="11"/>
  <c r="M28" i="11"/>
  <c r="L28" i="11"/>
  <c r="R27" i="11"/>
  <c r="M27" i="11"/>
  <c r="L27" i="11"/>
  <c r="R26" i="11"/>
  <c r="M26" i="11"/>
  <c r="L26" i="11"/>
  <c r="R25" i="11"/>
  <c r="M25" i="11"/>
  <c r="L25" i="11"/>
  <c r="R24" i="11"/>
  <c r="M24" i="11"/>
  <c r="L24" i="11"/>
  <c r="R23" i="11"/>
  <c r="M23" i="11"/>
  <c r="L23" i="11"/>
  <c r="R22" i="11"/>
  <c r="M22" i="11"/>
  <c r="L22" i="11"/>
  <c r="R21" i="11"/>
  <c r="M21" i="11"/>
  <c r="L21" i="11"/>
  <c r="R20" i="11"/>
  <c r="M20" i="11"/>
  <c r="L20" i="11"/>
  <c r="R19" i="11"/>
  <c r="M19" i="11"/>
  <c r="L19" i="11"/>
  <c r="R18" i="11"/>
  <c r="M18" i="11"/>
  <c r="L18" i="11"/>
  <c r="R17" i="11"/>
  <c r="M17" i="11"/>
  <c r="L17" i="11"/>
  <c r="R16" i="11"/>
  <c r="M16" i="11"/>
  <c r="L16" i="11"/>
  <c r="R15" i="11"/>
  <c r="M15" i="11"/>
  <c r="L15" i="11"/>
  <c r="R14" i="11"/>
  <c r="M14" i="11"/>
  <c r="L14" i="11"/>
  <c r="R13" i="11"/>
  <c r="M13" i="11"/>
  <c r="L13" i="11"/>
  <c r="R12" i="11"/>
  <c r="M12" i="11"/>
  <c r="L12" i="11"/>
  <c r="R11" i="11"/>
  <c r="M11" i="11"/>
  <c r="L11" i="11"/>
  <c r="R10" i="11"/>
  <c r="M10" i="11"/>
  <c r="L10" i="11"/>
  <c r="R9" i="11"/>
  <c r="M9" i="11"/>
  <c r="L9" i="11"/>
  <c r="R8" i="11"/>
  <c r="M8" i="11"/>
  <c r="L8" i="11"/>
  <c r="R7" i="11"/>
  <c r="M7" i="11"/>
  <c r="L7" i="11"/>
  <c r="R6" i="11"/>
  <c r="M6" i="11"/>
  <c r="L6" i="11"/>
  <c r="R5" i="11"/>
  <c r="M5" i="11"/>
  <c r="L5" i="11"/>
  <c r="R4" i="11"/>
  <c r="M4" i="11"/>
  <c r="L4" i="11"/>
  <c r="R3" i="11"/>
  <c r="M3" i="11"/>
  <c r="L3" i="11"/>
  <c r="V3" i="11" s="1"/>
  <c r="U2" i="11"/>
  <c r="R2" i="11"/>
  <c r="M2" i="11"/>
  <c r="L2" i="11"/>
  <c r="I2" i="11"/>
  <c r="G2" i="11"/>
  <c r="D2" i="11"/>
  <c r="E2" i="11" s="1"/>
  <c r="B2" i="1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2" i="4"/>
  <c r="Y30" i="13" l="1"/>
  <c r="Z30" i="13"/>
  <c r="AA30" i="13" s="1"/>
  <c r="Y52" i="13"/>
  <c r="Z52" i="13"/>
  <c r="AA52" i="13" s="1"/>
  <c r="Y4" i="13"/>
  <c r="Z4" i="13"/>
  <c r="AA4" i="13" s="1"/>
  <c r="Y40" i="13"/>
  <c r="Z40" i="13" s="1"/>
  <c r="AA40" i="13" s="1"/>
  <c r="Y24" i="13"/>
  <c r="Z24" i="13" s="1"/>
  <c r="AA24" i="13" s="1"/>
  <c r="Y21" i="13"/>
  <c r="Z21" i="13" s="1"/>
  <c r="AA21" i="13" s="1"/>
  <c r="Y25" i="13"/>
  <c r="Z25" i="13" s="1"/>
  <c r="AA25" i="13" s="1"/>
  <c r="Y26" i="13"/>
  <c r="Z26" i="13" s="1"/>
  <c r="AA26" i="13" s="1"/>
  <c r="Y36" i="13"/>
  <c r="Z36" i="13" s="1"/>
  <c r="AA36" i="13" s="1"/>
  <c r="Y33" i="13"/>
  <c r="Z33" i="13" s="1"/>
  <c r="AA33" i="13" s="1"/>
  <c r="Y47" i="13"/>
  <c r="Z47" i="13" s="1"/>
  <c r="AA47" i="13" s="1"/>
  <c r="Y13" i="13"/>
  <c r="Z13" i="13" s="1"/>
  <c r="AA13" i="13" s="1"/>
  <c r="Y20" i="13"/>
  <c r="Z20" i="13" s="1"/>
  <c r="AA20" i="13" s="1"/>
  <c r="Y3" i="13"/>
  <c r="Z3" i="13"/>
  <c r="AA3" i="13" s="1"/>
  <c r="Y39" i="13"/>
  <c r="Z39" i="13" s="1"/>
  <c r="AA39" i="13" s="1"/>
  <c r="Y12" i="13"/>
  <c r="Z12" i="13" s="1"/>
  <c r="AA12" i="13" s="1"/>
  <c r="Y19" i="13"/>
  <c r="Z19" i="13"/>
  <c r="AA19" i="13" s="1"/>
  <c r="Y30" i="12"/>
  <c r="Z30" i="12"/>
  <c r="AA30" i="12" s="1"/>
  <c r="Y18" i="12"/>
  <c r="Z18" i="12"/>
  <c r="AA18" i="12" s="1"/>
  <c r="Y32" i="12"/>
  <c r="Z32" i="12"/>
  <c r="AA32" i="12" s="1"/>
  <c r="Y54" i="12"/>
  <c r="Z54" i="12"/>
  <c r="AA54" i="12" s="1"/>
  <c r="AA68" i="12"/>
  <c r="Y68" i="12"/>
  <c r="Z68" i="12"/>
  <c r="Y6" i="12"/>
  <c r="Z6" i="12"/>
  <c r="Y76" i="12"/>
  <c r="Z76" i="12" s="1"/>
  <c r="AA76" i="12" s="1"/>
  <c r="Y4" i="12"/>
  <c r="Z4" i="12" s="1"/>
  <c r="AA4" i="12" s="1"/>
  <c r="X28" i="13"/>
  <c r="X43" i="13"/>
  <c r="X27" i="13"/>
  <c r="X49" i="13"/>
  <c r="X32" i="13"/>
  <c r="X29" i="13"/>
  <c r="X9" i="13"/>
  <c r="X15" i="13"/>
  <c r="X53" i="13"/>
  <c r="X34" i="13"/>
  <c r="X35" i="13"/>
  <c r="X51" i="13"/>
  <c r="X48" i="13"/>
  <c r="X38" i="13"/>
  <c r="X11" i="13"/>
  <c r="X10" i="13"/>
  <c r="X42" i="13"/>
  <c r="X41" i="13"/>
  <c r="X2" i="13"/>
  <c r="X17" i="13"/>
  <c r="X23" i="13"/>
  <c r="X14" i="13"/>
  <c r="X6" i="13"/>
  <c r="X18" i="13"/>
  <c r="X7" i="13"/>
  <c r="X44" i="13"/>
  <c r="X46" i="13"/>
  <c r="X54" i="13"/>
  <c r="AA45" i="13"/>
  <c r="X16" i="13"/>
  <c r="X8" i="13"/>
  <c r="X22" i="13"/>
  <c r="X5" i="13"/>
  <c r="X31" i="13"/>
  <c r="X37" i="13"/>
  <c r="X50" i="13"/>
  <c r="X56" i="12"/>
  <c r="X60" i="12"/>
  <c r="X25" i="12"/>
  <c r="X34" i="12"/>
  <c r="X45" i="12"/>
  <c r="X20" i="12"/>
  <c r="X61" i="12"/>
  <c r="X55" i="12"/>
  <c r="X14" i="12"/>
  <c r="X75" i="12"/>
  <c r="X42" i="12"/>
  <c r="X71" i="12"/>
  <c r="X28" i="12"/>
  <c r="X41" i="12"/>
  <c r="X51" i="12"/>
  <c r="X74" i="12"/>
  <c r="X38" i="12"/>
  <c r="X21" i="12"/>
  <c r="X62" i="12"/>
  <c r="X23" i="12"/>
  <c r="X77" i="12"/>
  <c r="X53" i="12"/>
  <c r="X31" i="12"/>
  <c r="X11" i="12"/>
  <c r="X9" i="12"/>
  <c r="X40" i="12"/>
  <c r="X43" i="12"/>
  <c r="X44" i="12"/>
  <c r="X16" i="12"/>
  <c r="X10" i="12"/>
  <c r="X49" i="12"/>
  <c r="X73" i="12"/>
  <c r="X64" i="12"/>
  <c r="X33" i="12"/>
  <c r="X72" i="12"/>
  <c r="X52" i="12"/>
  <c r="X22" i="12"/>
  <c r="X70" i="12"/>
  <c r="X66" i="12"/>
  <c r="X59" i="12"/>
  <c r="X35" i="12"/>
  <c r="X37" i="12"/>
  <c r="X57" i="12"/>
  <c r="X29" i="12"/>
  <c r="X69" i="12"/>
  <c r="X39" i="12"/>
  <c r="X13" i="12"/>
  <c r="X50" i="12"/>
  <c r="X12" i="12"/>
  <c r="X15" i="12"/>
  <c r="X26" i="12"/>
  <c r="X17" i="12"/>
  <c r="X48" i="12"/>
  <c r="X81" i="12"/>
  <c r="X79" i="12"/>
  <c r="X47" i="12"/>
  <c r="X24" i="12"/>
  <c r="X46" i="12"/>
  <c r="X8" i="12"/>
  <c r="X2" i="12"/>
  <c r="X67" i="12"/>
  <c r="X36" i="12"/>
  <c r="X7" i="12"/>
  <c r="X80" i="12"/>
  <c r="X78" i="12"/>
  <c r="X3" i="12"/>
  <c r="X65" i="12"/>
  <c r="X63" i="12"/>
  <c r="X58" i="12"/>
  <c r="X19" i="12"/>
  <c r="X27" i="12"/>
  <c r="X5" i="12"/>
  <c r="J2" i="11"/>
  <c r="N2" i="11" s="1"/>
  <c r="V4" i="11"/>
  <c r="V16" i="11"/>
  <c r="V28" i="11"/>
  <c r="V21" i="11"/>
  <c r="V38" i="11"/>
  <c r="V45" i="11"/>
  <c r="V23" i="11"/>
  <c r="V22" i="11"/>
  <c r="N46" i="11"/>
  <c r="N33" i="11"/>
  <c r="N37" i="11"/>
  <c r="N54" i="11"/>
  <c r="N45" i="11"/>
  <c r="N15" i="11"/>
  <c r="N49" i="11"/>
  <c r="N36" i="11"/>
  <c r="N20" i="11"/>
  <c r="X20" i="11" s="1"/>
  <c r="N48" i="11"/>
  <c r="N4" i="11"/>
  <c r="N35" i="11"/>
  <c r="N39" i="11"/>
  <c r="N30" i="11"/>
  <c r="N53" i="11"/>
  <c r="N43" i="11"/>
  <c r="V48" i="11"/>
  <c r="V14" i="11"/>
  <c r="V15" i="11"/>
  <c r="V27" i="11"/>
  <c r="V54" i="11"/>
  <c r="V12" i="11"/>
  <c r="V24" i="11"/>
  <c r="V20" i="11"/>
  <c r="V44" i="11"/>
  <c r="X44" i="11" s="1"/>
  <c r="V19" i="11"/>
  <c r="V30" i="11"/>
  <c r="V18" i="11"/>
  <c r="V17" i="11"/>
  <c r="V36" i="11"/>
  <c r="V2" i="11"/>
  <c r="N51" i="11"/>
  <c r="V13" i="11"/>
  <c r="V25" i="11"/>
  <c r="V32" i="11"/>
  <c r="V43" i="11"/>
  <c r="V35" i="11"/>
  <c r="V42" i="11"/>
  <c r="V50" i="11"/>
  <c r="V51" i="11"/>
  <c r="V33" i="11"/>
  <c r="N50" i="11"/>
  <c r="N42" i="11"/>
  <c r="V29" i="11"/>
  <c r="V46" i="11"/>
  <c r="V52" i="11"/>
  <c r="N52" i="11"/>
  <c r="N21" i="11"/>
  <c r="N41" i="11"/>
  <c r="N27" i="11"/>
  <c r="N5" i="11"/>
  <c r="N8" i="11"/>
  <c r="X8" i="11" s="1"/>
  <c r="N11" i="11"/>
  <c r="N7" i="11"/>
  <c r="N10" i="11"/>
  <c r="V37" i="11"/>
  <c r="N14" i="11"/>
  <c r="V26" i="11"/>
  <c r="V47" i="11"/>
  <c r="N47" i="11"/>
  <c r="X47" i="11" s="1"/>
  <c r="V34" i="11"/>
  <c r="N34" i="11"/>
  <c r="N38" i="11"/>
  <c r="N6" i="11"/>
  <c r="N9" i="11"/>
  <c r="N3" i="11"/>
  <c r="X3" i="11" s="1"/>
  <c r="N26" i="11"/>
  <c r="V31" i="11"/>
  <c r="N31" i="11"/>
  <c r="X31" i="11" s="1"/>
  <c r="N13" i="11"/>
  <c r="N19" i="11"/>
  <c r="N25" i="11"/>
  <c r="V49" i="11"/>
  <c r="V53" i="11"/>
  <c r="V5" i="11"/>
  <c r="V6" i="11"/>
  <c r="V7" i="11"/>
  <c r="V8" i="11"/>
  <c r="V9" i="11"/>
  <c r="V10" i="11"/>
  <c r="V11" i="11"/>
  <c r="N12" i="11"/>
  <c r="N18" i="11"/>
  <c r="X18" i="11" s="1"/>
  <c r="N24" i="11"/>
  <c r="V41" i="11"/>
  <c r="N17" i="11"/>
  <c r="N23" i="11"/>
  <c r="N29" i="11"/>
  <c r="N16" i="11"/>
  <c r="N22" i="11"/>
  <c r="X22" i="11" s="1"/>
  <c r="N28" i="11"/>
  <c r="V40" i="11"/>
  <c r="N40" i="11"/>
  <c r="N32" i="11"/>
  <c r="R2" i="4"/>
  <c r="Y54" i="13" l="1"/>
  <c r="Z54" i="13"/>
  <c r="AA54" i="13" s="1"/>
  <c r="Y10" i="13"/>
  <c r="Z10" i="13" s="1"/>
  <c r="AA10" i="13" s="1"/>
  <c r="Y49" i="13"/>
  <c r="Z49" i="13" s="1"/>
  <c r="AA49" i="13" s="1"/>
  <c r="Y46" i="13"/>
  <c r="Z46" i="13" s="1"/>
  <c r="Y11" i="13"/>
  <c r="Z11" i="13" s="1"/>
  <c r="AA11" i="13" s="1"/>
  <c r="AA27" i="13"/>
  <c r="Y27" i="13"/>
  <c r="Z27" i="13"/>
  <c r="Y44" i="13"/>
  <c r="Z44" i="13" s="1"/>
  <c r="AA44" i="13" s="1"/>
  <c r="Y38" i="13"/>
  <c r="Z38" i="13" s="1"/>
  <c r="AA38" i="13" s="1"/>
  <c r="Y43" i="13"/>
  <c r="Z43" i="13" s="1"/>
  <c r="AA43" i="13" s="1"/>
  <c r="Y50" i="13"/>
  <c r="Z50" i="13" s="1"/>
  <c r="AA50" i="13" s="1"/>
  <c r="Y7" i="13"/>
  <c r="Z7" i="13" s="1"/>
  <c r="AA7" i="13" s="1"/>
  <c r="Y48" i="13"/>
  <c r="Z48" i="13" s="1"/>
  <c r="AA48" i="13" s="1"/>
  <c r="Y28" i="13"/>
  <c r="Z28" i="13"/>
  <c r="AA28" i="13" s="1"/>
  <c r="Y37" i="13"/>
  <c r="Z37" i="13" s="1"/>
  <c r="AA37" i="13" s="1"/>
  <c r="Y18" i="13"/>
  <c r="Z18" i="13"/>
  <c r="AA18" i="13" s="1"/>
  <c r="Y51" i="13"/>
  <c r="Z51" i="13"/>
  <c r="AA51" i="13" s="1"/>
  <c r="Y31" i="13"/>
  <c r="Z31" i="13"/>
  <c r="AA31" i="13" s="1"/>
  <c r="Y6" i="13"/>
  <c r="Z6" i="13" s="1"/>
  <c r="AA6" i="13" s="1"/>
  <c r="Y35" i="13"/>
  <c r="Z35" i="13" s="1"/>
  <c r="AA35" i="13" s="1"/>
  <c r="AA5" i="13"/>
  <c r="Y5" i="13"/>
  <c r="Z5" i="13"/>
  <c r="Y14" i="13"/>
  <c r="Z14" i="13" s="1"/>
  <c r="AA14" i="13" s="1"/>
  <c r="Y34" i="13"/>
  <c r="Z34" i="13" s="1"/>
  <c r="AA34" i="13" s="1"/>
  <c r="Y22" i="13"/>
  <c r="Z22" i="13" s="1"/>
  <c r="AA22" i="13" s="1"/>
  <c r="Y23" i="13"/>
  <c r="Z23" i="13" s="1"/>
  <c r="AA23" i="13" s="1"/>
  <c r="Y53" i="13"/>
  <c r="Z53" i="13" s="1"/>
  <c r="AA53" i="13" s="1"/>
  <c r="Y8" i="13"/>
  <c r="Z8" i="13" s="1"/>
  <c r="AA8" i="13" s="1"/>
  <c r="Y17" i="13"/>
  <c r="Z17" i="13"/>
  <c r="AA17" i="13" s="1"/>
  <c r="Y15" i="13"/>
  <c r="Z15" i="13"/>
  <c r="AA15" i="13" s="1"/>
  <c r="Y16" i="13"/>
  <c r="Z16" i="13"/>
  <c r="AA16" i="13" s="1"/>
  <c r="Y9" i="13"/>
  <c r="Z9" i="13" s="1"/>
  <c r="AA9" i="13" s="1"/>
  <c r="Y41" i="13"/>
  <c r="Z41" i="13" s="1"/>
  <c r="AA41" i="13" s="1"/>
  <c r="Y29" i="13"/>
  <c r="Z29" i="13"/>
  <c r="AA29" i="13" s="1"/>
  <c r="Y42" i="13"/>
  <c r="Z42" i="13" s="1"/>
  <c r="AA42" i="13" s="1"/>
  <c r="AA32" i="13"/>
  <c r="Y32" i="13"/>
  <c r="Z32" i="13" s="1"/>
  <c r="Z2" i="13"/>
  <c r="AA2" i="13" s="1"/>
  <c r="Y2" i="13"/>
  <c r="Y18" i="11"/>
  <c r="Z18" i="11"/>
  <c r="AA18" i="11" s="1"/>
  <c r="Y31" i="11"/>
  <c r="Z31" i="11" s="1"/>
  <c r="AA31" i="11" s="1"/>
  <c r="Y22" i="11"/>
  <c r="Z22" i="11"/>
  <c r="AA22" i="11" s="1"/>
  <c r="Y20" i="11"/>
  <c r="Z20" i="11"/>
  <c r="AA20" i="11" s="1"/>
  <c r="Y3" i="11"/>
  <c r="Z3" i="11"/>
  <c r="AA3" i="11" s="1"/>
  <c r="Y8" i="11"/>
  <c r="Z8" i="11"/>
  <c r="AA8" i="11" s="1"/>
  <c r="Y44" i="11"/>
  <c r="Z44" i="11"/>
  <c r="AA44" i="11" s="1"/>
  <c r="Y47" i="11"/>
  <c r="Z47" i="11"/>
  <c r="AA47" i="11" s="1"/>
  <c r="Y58" i="12"/>
  <c r="Z58" i="12"/>
  <c r="AA58" i="12" s="1"/>
  <c r="Y28" i="12"/>
  <c r="Z28" i="12" s="1"/>
  <c r="AA28" i="12" s="1"/>
  <c r="Y72" i="12"/>
  <c r="Z72" i="12" s="1"/>
  <c r="AA72" i="12" s="1"/>
  <c r="Y65" i="12"/>
  <c r="Z65" i="12"/>
  <c r="AA65" i="12" s="1"/>
  <c r="Y69" i="12"/>
  <c r="Z69" i="12" s="1"/>
  <c r="AA69" i="12" s="1"/>
  <c r="Y14" i="12"/>
  <c r="Z14" i="12" s="1"/>
  <c r="AA14" i="12" s="1"/>
  <c r="Y57" i="12"/>
  <c r="Z57" i="12"/>
  <c r="AA57" i="12" s="1"/>
  <c r="Y81" i="12"/>
  <c r="Z81" i="12"/>
  <c r="AA81" i="12" s="1"/>
  <c r="Y45" i="12"/>
  <c r="Z45" i="12"/>
  <c r="AA45" i="12" s="1"/>
  <c r="Y50" i="12"/>
  <c r="Z50" i="12" s="1"/>
  <c r="AA50" i="12" s="1"/>
  <c r="Y9" i="12"/>
  <c r="Z9" i="12"/>
  <c r="AA9" i="12" s="1"/>
  <c r="Y63" i="12"/>
  <c r="Z63" i="12" s="1"/>
  <c r="AA63" i="12" s="1"/>
  <c r="Y11" i="12"/>
  <c r="Z11" i="12"/>
  <c r="AA11" i="12" s="1"/>
  <c r="Y24" i="12"/>
  <c r="Z24" i="12" s="1"/>
  <c r="AA24" i="12" s="1"/>
  <c r="Y31" i="12"/>
  <c r="Z31" i="12"/>
  <c r="AA31" i="12" s="1"/>
  <c r="Y3" i="12"/>
  <c r="Z3" i="12" s="1"/>
  <c r="AA3" i="12" s="1"/>
  <c r="Y53" i="12"/>
  <c r="Z53" i="12"/>
  <c r="AA53" i="12" s="1"/>
  <c r="Y77" i="12"/>
  <c r="Z77" i="12" s="1"/>
  <c r="AA77" i="12" s="1"/>
  <c r="Y49" i="12"/>
  <c r="Z49" i="12" s="1"/>
  <c r="AA49" i="12" s="1"/>
  <c r="Y7" i="12"/>
  <c r="Z7" i="12"/>
  <c r="AA7" i="12" s="1"/>
  <c r="Y44" i="12"/>
  <c r="Z44" i="12"/>
  <c r="Y52" i="12"/>
  <c r="Z52" i="12" s="1"/>
  <c r="AA52" i="12" s="1"/>
  <c r="AA46" i="12"/>
  <c r="Y46" i="12"/>
  <c r="Z46" i="12"/>
  <c r="Y71" i="12"/>
  <c r="Z71" i="12" s="1"/>
  <c r="AA71" i="12" s="1"/>
  <c r="Y39" i="12"/>
  <c r="Z39" i="12" s="1"/>
  <c r="AA39" i="12" s="1"/>
  <c r="Y42" i="12"/>
  <c r="Z42" i="12"/>
  <c r="AA42" i="12" s="1"/>
  <c r="Y47" i="12"/>
  <c r="Z47" i="12"/>
  <c r="Y75" i="12"/>
  <c r="Z75" i="12" s="1"/>
  <c r="AA75" i="12" s="1"/>
  <c r="Y78" i="12"/>
  <c r="Z78" i="12"/>
  <c r="AA78" i="12" s="1"/>
  <c r="Y29" i="12"/>
  <c r="Z29" i="12"/>
  <c r="AA29" i="12" s="1"/>
  <c r="Y79" i="12"/>
  <c r="Z79" i="12"/>
  <c r="AA79" i="12" s="1"/>
  <c r="Y55" i="12"/>
  <c r="Z55" i="12"/>
  <c r="AA55" i="12" s="1"/>
  <c r="Y10" i="12"/>
  <c r="Z10" i="12"/>
  <c r="AA10" i="12" s="1"/>
  <c r="Y62" i="12"/>
  <c r="Z62" i="12" s="1"/>
  <c r="AA62" i="12" s="1"/>
  <c r="Y36" i="12"/>
  <c r="Z36" i="12" s="1"/>
  <c r="AA36" i="12" s="1"/>
  <c r="Y35" i="12"/>
  <c r="Z35" i="12"/>
  <c r="AA35" i="12" s="1"/>
  <c r="Y20" i="12"/>
  <c r="Z20" i="12"/>
  <c r="AA20" i="12" s="1"/>
  <c r="Y17" i="12"/>
  <c r="Z17" i="12"/>
  <c r="Y16" i="12"/>
  <c r="Z16" i="12" s="1"/>
  <c r="AA16" i="12" s="1"/>
  <c r="Y66" i="12"/>
  <c r="Z66" i="12"/>
  <c r="AA66" i="12" s="1"/>
  <c r="Y34" i="12"/>
  <c r="Z34" i="12"/>
  <c r="AA34" i="12" s="1"/>
  <c r="Y27" i="12"/>
  <c r="Z27" i="12" s="1"/>
  <c r="AA27" i="12" s="1"/>
  <c r="Y67" i="12"/>
  <c r="Z67" i="12"/>
  <c r="AA67" i="12" s="1"/>
  <c r="Y15" i="12"/>
  <c r="Z15" i="12" s="1"/>
  <c r="AA15" i="12" s="1"/>
  <c r="Y70" i="12"/>
  <c r="Z70" i="12"/>
  <c r="AA70" i="12" s="1"/>
  <c r="Y43" i="12"/>
  <c r="Z43" i="12"/>
  <c r="AA43" i="12" s="1"/>
  <c r="Y51" i="12"/>
  <c r="Z51" i="12" s="1"/>
  <c r="AA51" i="12" s="1"/>
  <c r="Y25" i="12"/>
  <c r="Z25" i="12" s="1"/>
  <c r="AA25" i="12" s="1"/>
  <c r="Y8" i="12"/>
  <c r="Z8" i="12"/>
  <c r="AA8" i="12" s="1"/>
  <c r="Y56" i="12"/>
  <c r="Z56" i="12"/>
  <c r="AA56" i="12" s="1"/>
  <c r="Y13" i="12"/>
  <c r="Z13" i="12" s="1"/>
  <c r="AA13" i="12" s="1"/>
  <c r="Y33" i="12"/>
  <c r="Z33" i="12"/>
  <c r="AA33" i="12" s="1"/>
  <c r="Y64" i="12"/>
  <c r="Z64" i="12" s="1"/>
  <c r="AA64" i="12" s="1"/>
  <c r="Y73" i="12"/>
  <c r="Z73" i="12" s="1"/>
  <c r="AA73" i="12" s="1"/>
  <c r="AA80" i="12"/>
  <c r="Y80" i="12"/>
  <c r="Z80" i="12"/>
  <c r="Y23" i="12"/>
  <c r="Z23" i="12" s="1"/>
  <c r="AA23" i="12" s="1"/>
  <c r="Y37" i="12"/>
  <c r="Z37" i="12" s="1"/>
  <c r="AA37" i="12" s="1"/>
  <c r="Y61" i="12"/>
  <c r="Z61" i="12" s="1"/>
  <c r="AA61" i="12" s="1"/>
  <c r="Z48" i="12"/>
  <c r="AA48" i="12" s="1"/>
  <c r="Y48" i="12"/>
  <c r="Y21" i="12"/>
  <c r="Z21" i="12"/>
  <c r="AA21" i="12" s="1"/>
  <c r="Y59" i="12"/>
  <c r="Z59" i="12" s="1"/>
  <c r="AA59" i="12" s="1"/>
  <c r="Y38" i="12"/>
  <c r="Z38" i="12" s="1"/>
  <c r="AA38" i="12" s="1"/>
  <c r="Y5" i="12"/>
  <c r="Z5" i="12" s="1"/>
  <c r="AA5" i="12" s="1"/>
  <c r="Y26" i="12"/>
  <c r="Z26" i="12" s="1"/>
  <c r="AA26" i="12" s="1"/>
  <c r="Y74" i="12"/>
  <c r="Z74" i="12" s="1"/>
  <c r="AA74" i="12" s="1"/>
  <c r="Y19" i="12"/>
  <c r="Z19" i="12"/>
  <c r="AA19" i="12" s="1"/>
  <c r="Y12" i="12"/>
  <c r="Z12" i="12" s="1"/>
  <c r="AA12" i="12" s="1"/>
  <c r="Y22" i="12"/>
  <c r="Z22" i="12"/>
  <c r="AA22" i="12" s="1"/>
  <c r="Y40" i="12"/>
  <c r="Z40" i="12" s="1"/>
  <c r="AA40" i="12" s="1"/>
  <c r="Y41" i="12"/>
  <c r="Z41" i="12"/>
  <c r="AA41" i="12" s="1"/>
  <c r="Y60" i="12"/>
  <c r="Z60" i="12" s="1"/>
  <c r="AA60" i="12" s="1"/>
  <c r="Y2" i="12"/>
  <c r="Z2" i="12" s="1"/>
  <c r="AA2" i="12" s="1"/>
  <c r="X52" i="11"/>
  <c r="X53" i="11"/>
  <c r="X23" i="11"/>
  <c r="X24" i="11"/>
  <c r="X21" i="11"/>
  <c r="X12" i="11"/>
  <c r="X2" i="11"/>
  <c r="X15" i="11"/>
  <c r="X43" i="11"/>
  <c r="X54" i="11"/>
  <c r="X10" i="11"/>
  <c r="X37" i="11"/>
  <c r="X7" i="11"/>
  <c r="X42" i="11"/>
  <c r="X30" i="11"/>
  <c r="X33" i="11"/>
  <c r="X25" i="11"/>
  <c r="X51" i="11"/>
  <c r="X32" i="11"/>
  <c r="X40" i="11"/>
  <c r="X28" i="11"/>
  <c r="X16" i="11"/>
  <c r="X9" i="11"/>
  <c r="X11" i="11"/>
  <c r="X50" i="11"/>
  <c r="X39" i="11"/>
  <c r="X46" i="11"/>
  <c r="X36" i="11"/>
  <c r="X45" i="11"/>
  <c r="X35" i="11"/>
  <c r="X5" i="11"/>
  <c r="X4" i="11"/>
  <c r="X41" i="11"/>
  <c r="X19" i="11"/>
  <c r="X49" i="11"/>
  <c r="X13" i="11"/>
  <c r="X14" i="11"/>
  <c r="X26" i="11"/>
  <c r="X29" i="11"/>
  <c r="X6" i="11"/>
  <c r="X38" i="11"/>
  <c r="X17" i="11"/>
  <c r="X34" i="11"/>
  <c r="X27" i="11"/>
  <c r="X48" i="11"/>
  <c r="AA44" i="12"/>
  <c r="AA17" i="12"/>
  <c r="AA6" i="12"/>
  <c r="AA47" i="12"/>
  <c r="Z85" i="13" l="1"/>
  <c r="AA46" i="13"/>
  <c r="AA85" i="13" s="1"/>
  <c r="Y41" i="11"/>
  <c r="Z41" i="11"/>
  <c r="AA41" i="11" s="1"/>
  <c r="Y28" i="11"/>
  <c r="Z28" i="11"/>
  <c r="AA28" i="11" s="1"/>
  <c r="Y4" i="11"/>
  <c r="Z4" i="11"/>
  <c r="AA4" i="11" s="1"/>
  <c r="Y40" i="11"/>
  <c r="Z40" i="11"/>
  <c r="AA40" i="11" s="1"/>
  <c r="Y32" i="11"/>
  <c r="Z32" i="11"/>
  <c r="AA32" i="11" s="1"/>
  <c r="Y35" i="11"/>
  <c r="Z35" i="11" s="1"/>
  <c r="AA35" i="11" s="1"/>
  <c r="Y12" i="11"/>
  <c r="Z12" i="11"/>
  <c r="AA12" i="11" s="1"/>
  <c r="Y38" i="11"/>
  <c r="Z38" i="11"/>
  <c r="AA38" i="11" s="1"/>
  <c r="Y25" i="11"/>
  <c r="Z25" i="11" s="1"/>
  <c r="AA25" i="11" s="1"/>
  <c r="Y6" i="11"/>
  <c r="Z6" i="11"/>
  <c r="AA6" i="11" s="1"/>
  <c r="Y33" i="11"/>
  <c r="Z33" i="11" s="1"/>
  <c r="AA33" i="11" s="1"/>
  <c r="Y46" i="11"/>
  <c r="Z46" i="11"/>
  <c r="AA46" i="11" s="1"/>
  <c r="Y30" i="11"/>
  <c r="Z30" i="11"/>
  <c r="AA30" i="11" s="1"/>
  <c r="Y26" i="11"/>
  <c r="Z26" i="11"/>
  <c r="AA26" i="11" s="1"/>
  <c r="Y42" i="11"/>
  <c r="Z42" i="11"/>
  <c r="AA42" i="11" s="1"/>
  <c r="Y14" i="11"/>
  <c r="Z14" i="11"/>
  <c r="AA14" i="11" s="1"/>
  <c r="Y7" i="11"/>
  <c r="Z7" i="11" s="1"/>
  <c r="AA7" i="11" s="1"/>
  <c r="Y11" i="11"/>
  <c r="Z11" i="11" s="1"/>
  <c r="AA11" i="11" s="1"/>
  <c r="Y9" i="11"/>
  <c r="Z9" i="11" s="1"/>
  <c r="AA9" i="11" s="1"/>
  <c r="Y48" i="11"/>
  <c r="Z48" i="11"/>
  <c r="AA48" i="11" s="1"/>
  <c r="AA43" i="11"/>
  <c r="Y43" i="11"/>
  <c r="Z43" i="11"/>
  <c r="Y27" i="11"/>
  <c r="Z27" i="11"/>
  <c r="AA27" i="11" s="1"/>
  <c r="Y15" i="11"/>
  <c r="Z15" i="11"/>
  <c r="AA15" i="11" s="1"/>
  <c r="Y34" i="11"/>
  <c r="Z34" i="11" s="1"/>
  <c r="AA34" i="11" s="1"/>
  <c r="AA5" i="11"/>
  <c r="Y5" i="11"/>
  <c r="Z5" i="11"/>
  <c r="Y17" i="11"/>
  <c r="Z17" i="11"/>
  <c r="AA17" i="11" s="1"/>
  <c r="Y51" i="11"/>
  <c r="Z51" i="11"/>
  <c r="AA51" i="11" s="1"/>
  <c r="Y45" i="11"/>
  <c r="Z45" i="11" s="1"/>
  <c r="AA45" i="11" s="1"/>
  <c r="Y21" i="11"/>
  <c r="Z21" i="11" s="1"/>
  <c r="AA21" i="11" s="1"/>
  <c r="Y36" i="11"/>
  <c r="Z36" i="11"/>
  <c r="AA36" i="11" s="1"/>
  <c r="Y24" i="11"/>
  <c r="Z24" i="11"/>
  <c r="AA24" i="11" s="1"/>
  <c r="Y29" i="11"/>
  <c r="Z29" i="11"/>
  <c r="AA29" i="11" s="1"/>
  <c r="Y23" i="11"/>
  <c r="Z23" i="11" s="1"/>
  <c r="AA23" i="11" s="1"/>
  <c r="Y39" i="11"/>
  <c r="Z39" i="11"/>
  <c r="AA39" i="11" s="1"/>
  <c r="Y53" i="11"/>
  <c r="Z53" i="11"/>
  <c r="AA53" i="11" s="1"/>
  <c r="Y50" i="11"/>
  <c r="Z50" i="11"/>
  <c r="AA50" i="11" s="1"/>
  <c r="AA52" i="11"/>
  <c r="Y52" i="11"/>
  <c r="Z52" i="11"/>
  <c r="Y13" i="11"/>
  <c r="Z13" i="11" s="1"/>
  <c r="AA13" i="11" s="1"/>
  <c r="Y37" i="11"/>
  <c r="Z37" i="11" s="1"/>
  <c r="AA37" i="11" s="1"/>
  <c r="Y49" i="11"/>
  <c r="Z49" i="11"/>
  <c r="AA49" i="11" s="1"/>
  <c r="Y10" i="11"/>
  <c r="Z10" i="11" s="1"/>
  <c r="AA10" i="11" s="1"/>
  <c r="Y19" i="11"/>
  <c r="Z19" i="11"/>
  <c r="AA19" i="11" s="1"/>
  <c r="Y16" i="11"/>
  <c r="Z16" i="11"/>
  <c r="AA16" i="11" s="1"/>
  <c r="Y54" i="11"/>
  <c r="Z54" i="11"/>
  <c r="AA54" i="11" s="1"/>
  <c r="Y2" i="11"/>
  <c r="Z2" i="11" s="1"/>
  <c r="AA2" i="11" s="1"/>
  <c r="AA84" i="12"/>
  <c r="Z84" i="12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2" i="4"/>
  <c r="AA87" i="11" l="1"/>
  <c r="Z87" i="11"/>
  <c r="M114" i="4"/>
  <c r="L114" i="4"/>
  <c r="V114" i="4" s="1"/>
  <c r="B114" i="4"/>
  <c r="M113" i="4"/>
  <c r="L113" i="4"/>
  <c r="V113" i="4" s="1"/>
  <c r="B113" i="4"/>
  <c r="M112" i="4"/>
  <c r="L112" i="4"/>
  <c r="V112" i="4" s="1"/>
  <c r="B112" i="4"/>
  <c r="M111" i="4"/>
  <c r="L111" i="4"/>
  <c r="V111" i="4" s="1"/>
  <c r="B111" i="4"/>
  <c r="M110" i="4"/>
  <c r="L110" i="4"/>
  <c r="V110" i="4" s="1"/>
  <c r="B110" i="4"/>
  <c r="M109" i="4"/>
  <c r="L109" i="4"/>
  <c r="V109" i="4" s="1"/>
  <c r="B109" i="4"/>
  <c r="M108" i="4"/>
  <c r="L108" i="4"/>
  <c r="V108" i="4" s="1"/>
  <c r="B108" i="4"/>
  <c r="M107" i="4"/>
  <c r="L107" i="4"/>
  <c r="V107" i="4" s="1"/>
  <c r="B107" i="4"/>
  <c r="M106" i="4"/>
  <c r="L106" i="4"/>
  <c r="V106" i="4" s="1"/>
  <c r="B106" i="4"/>
  <c r="M105" i="4"/>
  <c r="L105" i="4"/>
  <c r="V105" i="4" s="1"/>
  <c r="B105" i="4"/>
  <c r="M104" i="4"/>
  <c r="L104" i="4"/>
  <c r="V104" i="4" s="1"/>
  <c r="B104" i="4"/>
  <c r="M103" i="4"/>
  <c r="L103" i="4"/>
  <c r="V103" i="4" s="1"/>
  <c r="B103" i="4"/>
  <c r="M102" i="4"/>
  <c r="L102" i="4"/>
  <c r="V102" i="4" s="1"/>
  <c r="B102" i="4"/>
  <c r="M101" i="4"/>
  <c r="L101" i="4"/>
  <c r="V101" i="4" s="1"/>
  <c r="B101" i="4"/>
  <c r="M100" i="4"/>
  <c r="L100" i="4"/>
  <c r="V100" i="4" s="1"/>
  <c r="B100" i="4"/>
  <c r="M99" i="4"/>
  <c r="L99" i="4"/>
  <c r="V99" i="4" s="1"/>
  <c r="B99" i="4"/>
  <c r="M98" i="4"/>
  <c r="L98" i="4"/>
  <c r="V98" i="4" s="1"/>
  <c r="B98" i="4"/>
  <c r="M97" i="4"/>
  <c r="L97" i="4"/>
  <c r="V97" i="4" s="1"/>
  <c r="B97" i="4"/>
  <c r="M96" i="4"/>
  <c r="L96" i="4"/>
  <c r="V96" i="4" s="1"/>
  <c r="B96" i="4"/>
  <c r="M95" i="4"/>
  <c r="L95" i="4"/>
  <c r="V95" i="4" s="1"/>
  <c r="B95" i="4"/>
  <c r="M94" i="4"/>
  <c r="L94" i="4"/>
  <c r="V94" i="4" s="1"/>
  <c r="B94" i="4"/>
  <c r="M93" i="4"/>
  <c r="L93" i="4"/>
  <c r="V93" i="4" s="1"/>
  <c r="B93" i="4"/>
  <c r="M92" i="4"/>
  <c r="L92" i="4"/>
  <c r="V92" i="4" s="1"/>
  <c r="B92" i="4"/>
  <c r="M91" i="4"/>
  <c r="L91" i="4"/>
  <c r="V91" i="4" s="1"/>
  <c r="B91" i="4"/>
  <c r="M90" i="4"/>
  <c r="L90" i="4"/>
  <c r="V90" i="4" s="1"/>
  <c r="B90" i="4"/>
  <c r="M89" i="4"/>
  <c r="L89" i="4"/>
  <c r="V89" i="4" s="1"/>
  <c r="B89" i="4"/>
  <c r="M88" i="4"/>
  <c r="L88" i="4"/>
  <c r="V88" i="4" s="1"/>
  <c r="B88" i="4"/>
  <c r="M87" i="4"/>
  <c r="L87" i="4"/>
  <c r="V87" i="4" s="1"/>
  <c r="B87" i="4"/>
  <c r="M86" i="4"/>
  <c r="L86" i="4"/>
  <c r="V86" i="4" s="1"/>
  <c r="B86" i="4"/>
  <c r="M85" i="4"/>
  <c r="L85" i="4"/>
  <c r="V85" i="4" s="1"/>
  <c r="B85" i="4"/>
  <c r="M84" i="4"/>
  <c r="L84" i="4"/>
  <c r="V84" i="4" s="1"/>
  <c r="B84" i="4"/>
  <c r="M83" i="4"/>
  <c r="L83" i="4"/>
  <c r="V83" i="4" s="1"/>
  <c r="B83" i="4"/>
  <c r="M82" i="4"/>
  <c r="L82" i="4"/>
  <c r="V82" i="4" s="1"/>
  <c r="B82" i="4"/>
  <c r="M81" i="4"/>
  <c r="L81" i="4"/>
  <c r="V81" i="4" s="1"/>
  <c r="B81" i="4"/>
  <c r="M80" i="4"/>
  <c r="L80" i="4"/>
  <c r="V80" i="4" s="1"/>
  <c r="B80" i="4"/>
  <c r="M79" i="4"/>
  <c r="L79" i="4"/>
  <c r="V79" i="4" s="1"/>
  <c r="B79" i="4"/>
  <c r="M78" i="4"/>
  <c r="L78" i="4"/>
  <c r="V78" i="4" s="1"/>
  <c r="B78" i="4"/>
  <c r="M77" i="4"/>
  <c r="L77" i="4"/>
  <c r="V77" i="4" s="1"/>
  <c r="B77" i="4"/>
  <c r="M76" i="4"/>
  <c r="L76" i="4"/>
  <c r="V76" i="4" s="1"/>
  <c r="B76" i="4"/>
  <c r="M75" i="4"/>
  <c r="L75" i="4"/>
  <c r="V75" i="4" s="1"/>
  <c r="B75" i="4"/>
  <c r="M74" i="4"/>
  <c r="L74" i="4"/>
  <c r="V74" i="4" s="1"/>
  <c r="B74" i="4"/>
  <c r="M73" i="4"/>
  <c r="L73" i="4"/>
  <c r="V73" i="4" s="1"/>
  <c r="B73" i="4"/>
  <c r="M72" i="4"/>
  <c r="L72" i="4"/>
  <c r="V72" i="4" s="1"/>
  <c r="B72" i="4"/>
  <c r="M71" i="4"/>
  <c r="L71" i="4"/>
  <c r="V71" i="4" s="1"/>
  <c r="B71" i="4"/>
  <c r="M70" i="4"/>
  <c r="L70" i="4"/>
  <c r="V70" i="4" s="1"/>
  <c r="B70" i="4"/>
  <c r="M69" i="4"/>
  <c r="L69" i="4"/>
  <c r="V69" i="4" s="1"/>
  <c r="B69" i="4"/>
  <c r="M68" i="4"/>
  <c r="L68" i="4"/>
  <c r="V68" i="4" s="1"/>
  <c r="B68" i="4"/>
  <c r="M67" i="4"/>
  <c r="L67" i="4"/>
  <c r="V67" i="4" s="1"/>
  <c r="B67" i="4"/>
  <c r="M66" i="4"/>
  <c r="L66" i="4"/>
  <c r="V66" i="4" s="1"/>
  <c r="B66" i="4"/>
  <c r="M65" i="4"/>
  <c r="L65" i="4"/>
  <c r="V65" i="4" s="1"/>
  <c r="B65" i="4"/>
  <c r="M64" i="4"/>
  <c r="L64" i="4"/>
  <c r="V64" i="4" s="1"/>
  <c r="B64" i="4"/>
  <c r="M63" i="4"/>
  <c r="L63" i="4"/>
  <c r="V63" i="4" s="1"/>
  <c r="B63" i="4"/>
  <c r="M62" i="4"/>
  <c r="L62" i="4"/>
  <c r="V62" i="4" s="1"/>
  <c r="B62" i="4"/>
  <c r="M61" i="4"/>
  <c r="L61" i="4"/>
  <c r="V61" i="4" s="1"/>
  <c r="B61" i="4"/>
  <c r="M60" i="4"/>
  <c r="L60" i="4"/>
  <c r="V60" i="4" s="1"/>
  <c r="B60" i="4"/>
  <c r="M59" i="4"/>
  <c r="L59" i="4"/>
  <c r="V59" i="4" s="1"/>
  <c r="B59" i="4"/>
  <c r="M58" i="4"/>
  <c r="L58" i="4"/>
  <c r="V58" i="4" s="1"/>
  <c r="B58" i="4"/>
  <c r="M57" i="4"/>
  <c r="L57" i="4"/>
  <c r="V57" i="4" s="1"/>
  <c r="B57" i="4"/>
  <c r="M56" i="4"/>
  <c r="L56" i="4"/>
  <c r="V56" i="4" s="1"/>
  <c r="B56" i="4"/>
  <c r="M55" i="4"/>
  <c r="L55" i="4"/>
  <c r="V55" i="4" s="1"/>
  <c r="B55" i="4"/>
  <c r="M54" i="4"/>
  <c r="L54" i="4"/>
  <c r="V54" i="4" s="1"/>
  <c r="B54" i="4"/>
  <c r="M53" i="4"/>
  <c r="L53" i="4"/>
  <c r="V53" i="4" s="1"/>
  <c r="B53" i="4"/>
  <c r="M52" i="4"/>
  <c r="L52" i="4"/>
  <c r="V52" i="4" s="1"/>
  <c r="B52" i="4"/>
  <c r="M51" i="4"/>
  <c r="L51" i="4"/>
  <c r="V51" i="4" s="1"/>
  <c r="B51" i="4"/>
  <c r="M50" i="4"/>
  <c r="L50" i="4"/>
  <c r="V50" i="4" s="1"/>
  <c r="B50" i="4"/>
  <c r="M49" i="4"/>
  <c r="L49" i="4"/>
  <c r="V49" i="4" s="1"/>
  <c r="B49" i="4"/>
  <c r="M48" i="4"/>
  <c r="L48" i="4"/>
  <c r="V48" i="4" s="1"/>
  <c r="B48" i="4"/>
  <c r="M47" i="4"/>
  <c r="L47" i="4"/>
  <c r="V47" i="4" s="1"/>
  <c r="B47" i="4"/>
  <c r="M46" i="4"/>
  <c r="L46" i="4"/>
  <c r="V46" i="4" s="1"/>
  <c r="B46" i="4"/>
  <c r="M45" i="4"/>
  <c r="L45" i="4"/>
  <c r="V45" i="4" s="1"/>
  <c r="B45" i="4"/>
  <c r="M44" i="4"/>
  <c r="L44" i="4"/>
  <c r="V44" i="4" s="1"/>
  <c r="B44" i="4"/>
  <c r="M43" i="4"/>
  <c r="L43" i="4"/>
  <c r="V43" i="4" s="1"/>
  <c r="B43" i="4"/>
  <c r="M42" i="4"/>
  <c r="L42" i="4"/>
  <c r="V42" i="4" s="1"/>
  <c r="B42" i="4"/>
  <c r="M41" i="4"/>
  <c r="L41" i="4"/>
  <c r="V41" i="4" s="1"/>
  <c r="B41" i="4"/>
  <c r="M40" i="4"/>
  <c r="L40" i="4"/>
  <c r="V40" i="4" s="1"/>
  <c r="B40" i="4"/>
  <c r="M39" i="4"/>
  <c r="L39" i="4"/>
  <c r="V39" i="4" s="1"/>
  <c r="B39" i="4"/>
  <c r="M38" i="4"/>
  <c r="L38" i="4"/>
  <c r="V38" i="4" s="1"/>
  <c r="B38" i="4"/>
  <c r="M37" i="4"/>
  <c r="L37" i="4"/>
  <c r="V37" i="4" s="1"/>
  <c r="B37" i="4"/>
  <c r="M36" i="4"/>
  <c r="L36" i="4"/>
  <c r="V36" i="4" s="1"/>
  <c r="B36" i="4"/>
  <c r="M35" i="4"/>
  <c r="L35" i="4"/>
  <c r="V35" i="4" s="1"/>
  <c r="B35" i="4"/>
  <c r="M34" i="4"/>
  <c r="L34" i="4"/>
  <c r="V34" i="4" s="1"/>
  <c r="B34" i="4"/>
  <c r="M33" i="4"/>
  <c r="L33" i="4"/>
  <c r="V33" i="4" s="1"/>
  <c r="B33" i="4"/>
  <c r="M32" i="4"/>
  <c r="L32" i="4"/>
  <c r="V32" i="4" s="1"/>
  <c r="B32" i="4"/>
  <c r="M31" i="4"/>
  <c r="L31" i="4"/>
  <c r="V31" i="4" s="1"/>
  <c r="B31" i="4"/>
  <c r="M30" i="4"/>
  <c r="L30" i="4"/>
  <c r="V30" i="4" s="1"/>
  <c r="B30" i="4"/>
  <c r="M29" i="4"/>
  <c r="L29" i="4"/>
  <c r="V29" i="4" s="1"/>
  <c r="B29" i="4"/>
  <c r="M28" i="4"/>
  <c r="L28" i="4"/>
  <c r="V28" i="4" s="1"/>
  <c r="B28" i="4"/>
  <c r="M27" i="4"/>
  <c r="L27" i="4"/>
  <c r="V27" i="4" s="1"/>
  <c r="B27" i="4"/>
  <c r="M26" i="4"/>
  <c r="L26" i="4"/>
  <c r="V26" i="4" s="1"/>
  <c r="B26" i="4"/>
  <c r="M25" i="4"/>
  <c r="L25" i="4"/>
  <c r="V25" i="4" s="1"/>
  <c r="B25" i="4"/>
  <c r="M24" i="4"/>
  <c r="L24" i="4"/>
  <c r="V24" i="4" s="1"/>
  <c r="B24" i="4"/>
  <c r="M23" i="4"/>
  <c r="L23" i="4"/>
  <c r="V23" i="4" s="1"/>
  <c r="B23" i="4"/>
  <c r="M22" i="4"/>
  <c r="L22" i="4"/>
  <c r="V22" i="4" s="1"/>
  <c r="B22" i="4"/>
  <c r="M21" i="4"/>
  <c r="L21" i="4"/>
  <c r="V21" i="4" s="1"/>
  <c r="B21" i="4"/>
  <c r="M20" i="4"/>
  <c r="L20" i="4"/>
  <c r="V20" i="4" s="1"/>
  <c r="B20" i="4"/>
  <c r="M19" i="4"/>
  <c r="L19" i="4"/>
  <c r="V19" i="4" s="1"/>
  <c r="B19" i="4"/>
  <c r="M18" i="4"/>
  <c r="L18" i="4"/>
  <c r="V18" i="4" s="1"/>
  <c r="B18" i="4"/>
  <c r="M17" i="4"/>
  <c r="L17" i="4"/>
  <c r="V17" i="4" s="1"/>
  <c r="B17" i="4"/>
  <c r="M16" i="4"/>
  <c r="L16" i="4"/>
  <c r="V16" i="4" s="1"/>
  <c r="B16" i="4"/>
  <c r="M15" i="4"/>
  <c r="L15" i="4"/>
  <c r="V15" i="4" s="1"/>
  <c r="B15" i="4"/>
  <c r="M14" i="4"/>
  <c r="L14" i="4"/>
  <c r="V14" i="4" s="1"/>
  <c r="B14" i="4"/>
  <c r="M13" i="4"/>
  <c r="L13" i="4"/>
  <c r="V13" i="4" s="1"/>
  <c r="B13" i="4"/>
  <c r="M12" i="4"/>
  <c r="L12" i="4"/>
  <c r="V12" i="4" s="1"/>
  <c r="B12" i="4"/>
  <c r="M11" i="4"/>
  <c r="L11" i="4"/>
  <c r="V11" i="4" s="1"/>
  <c r="B11" i="4"/>
  <c r="M10" i="4"/>
  <c r="L10" i="4"/>
  <c r="V10" i="4" s="1"/>
  <c r="B10" i="4"/>
  <c r="M9" i="4"/>
  <c r="L9" i="4"/>
  <c r="V9" i="4" s="1"/>
  <c r="B9" i="4"/>
  <c r="M8" i="4"/>
  <c r="L8" i="4"/>
  <c r="V8" i="4" s="1"/>
  <c r="B8" i="4"/>
  <c r="M7" i="4"/>
  <c r="L7" i="4"/>
  <c r="V7" i="4" s="1"/>
  <c r="B7" i="4"/>
  <c r="M6" i="4"/>
  <c r="L6" i="4"/>
  <c r="V6" i="4" s="1"/>
  <c r="B6" i="4"/>
  <c r="M5" i="4"/>
  <c r="L5" i="4"/>
  <c r="V5" i="4" s="1"/>
  <c r="B5" i="4"/>
  <c r="M4" i="4"/>
  <c r="L4" i="4"/>
  <c r="V4" i="4" s="1"/>
  <c r="B4" i="4"/>
  <c r="M3" i="4"/>
  <c r="L3" i="4"/>
  <c r="V3" i="4" s="1"/>
  <c r="B3" i="4"/>
  <c r="M2" i="4"/>
  <c r="L2" i="4"/>
  <c r="V2" i="4" s="1"/>
  <c r="I2" i="4"/>
  <c r="G2" i="4"/>
  <c r="D2" i="4"/>
  <c r="E2" i="4" s="1"/>
  <c r="B2" i="4"/>
  <c r="N62" i="4" l="1"/>
  <c r="N78" i="4"/>
  <c r="N56" i="4"/>
  <c r="N53" i="4"/>
  <c r="N77" i="4"/>
  <c r="N111" i="4"/>
  <c r="N26" i="4"/>
  <c r="N34" i="4"/>
  <c r="N46" i="4"/>
  <c r="N50" i="4"/>
  <c r="N57" i="4"/>
  <c r="N85" i="4"/>
  <c r="N102" i="4"/>
  <c r="N105" i="4"/>
  <c r="N33" i="4"/>
  <c r="N5" i="4"/>
  <c r="N21" i="4"/>
  <c r="J2" i="4"/>
  <c r="N2" i="4" s="1"/>
  <c r="N10" i="4"/>
  <c r="N22" i="4"/>
  <c r="N94" i="4"/>
  <c r="N98" i="4"/>
  <c r="N14" i="4"/>
  <c r="N61" i="4"/>
  <c r="N30" i="4"/>
  <c r="N44" i="4"/>
  <c r="N54" i="4"/>
  <c r="N58" i="4"/>
  <c r="N37" i="4"/>
  <c r="N109" i="4"/>
  <c r="N49" i="4"/>
  <c r="N81" i="4"/>
  <c r="N65" i="4"/>
  <c r="N67" i="4"/>
  <c r="N82" i="4"/>
  <c r="N41" i="4"/>
  <c r="N6" i="4"/>
  <c r="N8" i="4"/>
  <c r="N17" i="4"/>
  <c r="N36" i="4"/>
  <c r="N38" i="4"/>
  <c r="N80" i="4"/>
  <c r="N89" i="4"/>
  <c r="N104" i="4"/>
  <c r="N106" i="4"/>
  <c r="N113" i="4"/>
  <c r="N52" i="4"/>
  <c r="N9" i="4"/>
  <c r="N63" i="4"/>
  <c r="N42" i="4"/>
  <c r="N66" i="4"/>
  <c r="N73" i="4"/>
  <c r="N84" i="4"/>
  <c r="N24" i="4"/>
  <c r="N25" i="4"/>
  <c r="N27" i="4"/>
  <c r="N40" i="4"/>
  <c r="N64" i="4"/>
  <c r="N75" i="4"/>
  <c r="N86" i="4"/>
  <c r="N95" i="4"/>
  <c r="N108" i="4"/>
  <c r="N110" i="4"/>
  <c r="N18" i="4"/>
  <c r="N20" i="4"/>
  <c r="N70" i="4"/>
  <c r="N90" i="4"/>
  <c r="N97" i="4"/>
  <c r="N114" i="4"/>
  <c r="N4" i="4"/>
  <c r="N12" i="4"/>
  <c r="N39" i="4"/>
  <c r="N74" i="4"/>
  <c r="N11" i="4"/>
  <c r="N55" i="4"/>
  <c r="N71" i="4"/>
  <c r="N99" i="4"/>
  <c r="N7" i="4"/>
  <c r="N16" i="4"/>
  <c r="N13" i="4"/>
  <c r="N23" i="4"/>
  <c r="N101" i="4"/>
  <c r="N72" i="4"/>
  <c r="N87" i="4"/>
  <c r="N91" i="4"/>
  <c r="N29" i="4"/>
  <c r="N48" i="4"/>
  <c r="N60" i="4"/>
  <c r="N88" i="4"/>
  <c r="N107" i="4"/>
  <c r="N112" i="4"/>
  <c r="N43" i="4"/>
  <c r="N83" i="4"/>
  <c r="N28" i="4"/>
  <c r="N45" i="4"/>
  <c r="N32" i="4"/>
  <c r="N96" i="4"/>
  <c r="N69" i="4"/>
  <c r="N35" i="4"/>
  <c r="N51" i="4"/>
  <c r="N68" i="4"/>
  <c r="N79" i="4"/>
  <c r="N3" i="4"/>
  <c r="N19" i="4"/>
  <c r="N93" i="4"/>
  <c r="N76" i="4"/>
  <c r="N103" i="4"/>
  <c r="N15" i="4"/>
  <c r="N31" i="4"/>
  <c r="N47" i="4"/>
  <c r="N100" i="4"/>
  <c r="N59" i="4"/>
  <c r="N92" i="4"/>
  <c r="X45" i="4" l="1"/>
  <c r="X82" i="4"/>
  <c r="X64" i="4"/>
  <c r="X65" i="4"/>
  <c r="X19" i="4"/>
  <c r="X10" i="4"/>
  <c r="X26" i="4"/>
  <c r="X72" i="4"/>
  <c r="X14" i="4"/>
  <c r="X4" i="4"/>
  <c r="X50" i="4"/>
  <c r="X93" i="4"/>
  <c r="X114" i="4"/>
  <c r="X46" i="4"/>
  <c r="X97" i="4"/>
  <c r="X34" i="4"/>
  <c r="X90" i="4"/>
  <c r="X49" i="4"/>
  <c r="X70" i="4"/>
  <c r="X111" i="4"/>
  <c r="X92" i="4"/>
  <c r="X99" i="4"/>
  <c r="X84" i="4"/>
  <c r="X59" i="4"/>
  <c r="X71" i="4"/>
  <c r="X18" i="4"/>
  <c r="X73" i="4"/>
  <c r="X36" i="4"/>
  <c r="X58" i="4"/>
  <c r="X5" i="4"/>
  <c r="X53" i="4"/>
  <c r="X103" i="4"/>
  <c r="X57" i="4"/>
  <c r="X101" i="4"/>
  <c r="X83" i="4"/>
  <c r="X106" i="4"/>
  <c r="X104" i="4"/>
  <c r="X112" i="4"/>
  <c r="X2" i="4"/>
  <c r="X68" i="4"/>
  <c r="X38" i="4"/>
  <c r="X66" i="4"/>
  <c r="X54" i="4"/>
  <c r="X33" i="4"/>
  <c r="X56" i="4"/>
  <c r="X75" i="4"/>
  <c r="X76" i="4"/>
  <c r="X98" i="4"/>
  <c r="X94" i="4"/>
  <c r="X27" i="4"/>
  <c r="X3" i="4"/>
  <c r="X89" i="4"/>
  <c r="X107" i="4"/>
  <c r="X80" i="4"/>
  <c r="X88" i="4"/>
  <c r="X77" i="4"/>
  <c r="X100" i="4"/>
  <c r="X55" i="4"/>
  <c r="X47" i="4"/>
  <c r="X11" i="4"/>
  <c r="X108" i="4"/>
  <c r="X42" i="4"/>
  <c r="X8" i="4"/>
  <c r="X44" i="4"/>
  <c r="X105" i="4"/>
  <c r="X78" i="4"/>
  <c r="X12" i="4"/>
  <c r="X28" i="4"/>
  <c r="X67" i="4"/>
  <c r="X23" i="4"/>
  <c r="X43" i="4"/>
  <c r="X22" i="4"/>
  <c r="X16" i="4"/>
  <c r="X79" i="4"/>
  <c r="X24" i="4"/>
  <c r="X21" i="4"/>
  <c r="X60" i="4"/>
  <c r="X35" i="4"/>
  <c r="X110" i="4"/>
  <c r="X31" i="4"/>
  <c r="X74" i="4"/>
  <c r="X63" i="4"/>
  <c r="X6" i="4"/>
  <c r="X30" i="4"/>
  <c r="X102" i="4"/>
  <c r="X62" i="4"/>
  <c r="X52" i="4"/>
  <c r="X113" i="4"/>
  <c r="X40" i="4"/>
  <c r="X13" i="4"/>
  <c r="X81" i="4"/>
  <c r="X25" i="4"/>
  <c r="X7" i="4"/>
  <c r="X109" i="4"/>
  <c r="X20" i="4"/>
  <c r="X37" i="4"/>
  <c r="X51" i="4"/>
  <c r="X48" i="4"/>
  <c r="X17" i="4"/>
  <c r="X69" i="4"/>
  <c r="X29" i="4"/>
  <c r="X96" i="4"/>
  <c r="X91" i="4"/>
  <c r="X95" i="4"/>
  <c r="X15" i="4"/>
  <c r="X32" i="4"/>
  <c r="X87" i="4"/>
  <c r="X39" i="4"/>
  <c r="X86" i="4"/>
  <c r="X9" i="4"/>
  <c r="X41" i="4"/>
  <c r="X61" i="4"/>
  <c r="X85" i="4"/>
  <c r="Y51" i="4" l="1"/>
  <c r="Z51" i="4" s="1"/>
  <c r="AA51" i="4" s="1"/>
  <c r="Y108" i="4"/>
  <c r="Z108" i="4"/>
  <c r="AA108" i="4" s="1"/>
  <c r="Y104" i="4"/>
  <c r="Z104" i="4"/>
  <c r="AA104" i="4" s="1"/>
  <c r="Y39" i="4"/>
  <c r="Z39" i="4" s="1"/>
  <c r="AA39" i="4" s="1"/>
  <c r="Y30" i="4"/>
  <c r="Z30" i="4" s="1"/>
  <c r="AA30" i="4" s="1"/>
  <c r="Y11" i="4"/>
  <c r="Z11" i="4"/>
  <c r="AA11" i="4" s="1"/>
  <c r="Y106" i="4"/>
  <c r="Z106" i="4"/>
  <c r="AA106" i="4" s="1"/>
  <c r="Y93" i="4"/>
  <c r="Z93" i="4" s="1"/>
  <c r="AA93" i="4" s="1"/>
  <c r="Y87" i="4"/>
  <c r="Z87" i="4" s="1"/>
  <c r="AA87" i="4" s="1"/>
  <c r="Y6" i="4"/>
  <c r="Z6" i="4" s="1"/>
  <c r="AA6" i="4" s="1"/>
  <c r="Y47" i="4"/>
  <c r="Z47" i="4"/>
  <c r="AA47" i="4" s="1"/>
  <c r="Y83" i="4"/>
  <c r="Z83" i="4"/>
  <c r="AA83" i="4" s="1"/>
  <c r="Y50" i="4"/>
  <c r="Z50" i="4"/>
  <c r="AA50" i="4" s="1"/>
  <c r="Y109" i="4"/>
  <c r="Z109" i="4"/>
  <c r="AA109" i="4" s="1"/>
  <c r="Y23" i="4"/>
  <c r="Z23" i="4"/>
  <c r="AA23" i="4" s="1"/>
  <c r="Z75" i="4"/>
  <c r="AA75" i="4" s="1"/>
  <c r="Y75" i="4"/>
  <c r="Y4" i="4"/>
  <c r="Z4" i="4" s="1"/>
  <c r="AA4" i="4" s="1"/>
  <c r="Y7" i="4"/>
  <c r="Z7" i="4" s="1"/>
  <c r="AA7" i="4" s="1"/>
  <c r="Y67" i="4"/>
  <c r="Z67" i="4" s="1"/>
  <c r="AA67" i="4" s="1"/>
  <c r="Y56" i="4"/>
  <c r="Z56" i="4" s="1"/>
  <c r="AA56" i="4" s="1"/>
  <c r="Y92" i="4"/>
  <c r="Z92" i="4" s="1"/>
  <c r="AA92" i="4" s="1"/>
  <c r="Y95" i="4"/>
  <c r="Z95" i="4"/>
  <c r="AA95" i="4" s="1"/>
  <c r="Y31" i="4"/>
  <c r="Z31" i="4" s="1"/>
  <c r="AA31" i="4" s="1"/>
  <c r="Y77" i="4"/>
  <c r="Z77" i="4" s="1"/>
  <c r="AA77" i="4" s="1"/>
  <c r="Y103" i="4"/>
  <c r="Z103" i="4" s="1"/>
  <c r="AA103" i="4" s="1"/>
  <c r="Y72" i="4"/>
  <c r="Z72" i="4"/>
  <c r="AA72" i="4" s="1"/>
  <c r="Y81" i="4"/>
  <c r="Z81" i="4" s="1"/>
  <c r="AA81" i="4" s="1"/>
  <c r="Y12" i="4"/>
  <c r="Z12" i="4"/>
  <c r="AA12" i="4" s="1"/>
  <c r="Y53" i="4"/>
  <c r="Z53" i="4" s="1"/>
  <c r="AA53" i="4" s="1"/>
  <c r="Y26" i="4"/>
  <c r="Z26" i="4"/>
  <c r="AA26" i="4" s="1"/>
  <c r="Y13" i="4"/>
  <c r="Z13" i="4"/>
  <c r="AA13" i="4" s="1"/>
  <c r="Z78" i="4"/>
  <c r="AA78" i="4" s="1"/>
  <c r="Y78" i="4"/>
  <c r="Y66" i="4"/>
  <c r="Z66" i="4" s="1"/>
  <c r="AA66" i="4" s="1"/>
  <c r="Y49" i="4"/>
  <c r="Z49" i="4"/>
  <c r="AA49" i="4" s="1"/>
  <c r="Y85" i="4"/>
  <c r="Z85" i="4"/>
  <c r="AA85" i="4" s="1"/>
  <c r="Y40" i="4"/>
  <c r="Z40" i="4" s="1"/>
  <c r="AA40" i="4" s="1"/>
  <c r="Y105" i="4"/>
  <c r="Z105" i="4"/>
  <c r="AA105" i="4" s="1"/>
  <c r="Y38" i="4"/>
  <c r="Z38" i="4"/>
  <c r="AA38" i="4" s="1"/>
  <c r="Y90" i="4"/>
  <c r="Z90" i="4" s="1"/>
  <c r="AA90" i="4" s="1"/>
  <c r="Y61" i="4"/>
  <c r="Z61" i="4"/>
  <c r="AA61" i="4" s="1"/>
  <c r="Y113" i="4"/>
  <c r="Z113" i="4" s="1"/>
  <c r="AA113" i="4" s="1"/>
  <c r="Y44" i="4"/>
  <c r="Z44" i="4"/>
  <c r="AA44" i="4" s="1"/>
  <c r="Y68" i="4"/>
  <c r="Z68" i="4"/>
  <c r="AA68" i="4" s="1"/>
  <c r="Z65" i="4"/>
  <c r="AA65" i="4" s="1"/>
  <c r="Y65" i="4"/>
  <c r="Y41" i="4"/>
  <c r="Z41" i="4" s="1"/>
  <c r="AA41" i="4" s="1"/>
  <c r="Y17" i="4"/>
  <c r="Z17" i="4" s="1"/>
  <c r="AA17" i="4" s="1"/>
  <c r="Y52" i="4"/>
  <c r="Z52" i="4" s="1"/>
  <c r="AA52" i="4" s="1"/>
  <c r="Y24" i="4"/>
  <c r="Z24" i="4"/>
  <c r="AA24" i="4" s="1"/>
  <c r="Y8" i="4"/>
  <c r="Z8" i="4" s="1"/>
  <c r="AA8" i="4" s="1"/>
  <c r="Y3" i="4"/>
  <c r="Z3" i="4" s="1"/>
  <c r="AA3" i="4" s="1"/>
  <c r="Y73" i="4"/>
  <c r="Z73" i="4"/>
  <c r="AA73" i="4" s="1"/>
  <c r="Y97" i="4"/>
  <c r="Z97" i="4"/>
  <c r="AA97" i="4" s="1"/>
  <c r="Y64" i="4"/>
  <c r="Z64" i="4" s="1"/>
  <c r="AA64" i="4" s="1"/>
  <c r="Y86" i="4"/>
  <c r="Z86" i="4"/>
  <c r="AA86" i="4" s="1"/>
  <c r="Y16" i="4"/>
  <c r="Z16" i="4" s="1"/>
  <c r="AA16" i="4" s="1"/>
  <c r="Y94" i="4"/>
  <c r="Z94" i="4" s="1"/>
  <c r="AA94" i="4" s="1"/>
  <c r="Y71" i="4"/>
  <c r="Z71" i="4"/>
  <c r="AA71" i="4" s="1"/>
  <c r="Y37" i="4"/>
  <c r="Z37" i="4"/>
  <c r="AA37" i="4" s="1"/>
  <c r="Y22" i="4"/>
  <c r="Z22" i="4"/>
  <c r="AA22" i="4" s="1"/>
  <c r="Y98" i="4"/>
  <c r="Z98" i="4" s="1"/>
  <c r="AA98" i="4" s="1"/>
  <c r="Y59" i="4"/>
  <c r="Z59" i="4"/>
  <c r="AA59" i="4" s="1"/>
  <c r="Y20" i="4"/>
  <c r="Z20" i="4"/>
  <c r="AA20" i="4" s="1"/>
  <c r="Y43" i="4"/>
  <c r="Z43" i="4" s="1"/>
  <c r="AA43" i="4" s="1"/>
  <c r="Y76" i="4"/>
  <c r="Z76" i="4" s="1"/>
  <c r="AA76" i="4" s="1"/>
  <c r="Y84" i="4"/>
  <c r="Z84" i="4"/>
  <c r="AA84" i="4" s="1"/>
  <c r="Y32" i="4"/>
  <c r="Z32" i="4"/>
  <c r="AA32" i="4" s="1"/>
  <c r="Y63" i="4"/>
  <c r="Z63" i="4" s="1"/>
  <c r="AA63" i="4" s="1"/>
  <c r="Z55" i="4"/>
  <c r="AA55" i="4" s="1"/>
  <c r="Y55" i="4"/>
  <c r="Y101" i="4"/>
  <c r="Z101" i="4" s="1"/>
  <c r="AA101" i="4" s="1"/>
  <c r="Y99" i="4"/>
  <c r="Z99" i="4" s="1"/>
  <c r="AA99" i="4" s="1"/>
  <c r="Y15" i="4"/>
  <c r="Z15" i="4" s="1"/>
  <c r="AA15" i="4" s="1"/>
  <c r="Y74" i="4"/>
  <c r="Z74" i="4"/>
  <c r="AA74" i="4" s="1"/>
  <c r="Y100" i="4"/>
  <c r="Z100" i="4" s="1"/>
  <c r="AA100" i="4" s="1"/>
  <c r="Y57" i="4"/>
  <c r="Z57" i="4" s="1"/>
  <c r="AA57" i="4" s="1"/>
  <c r="Y14" i="4"/>
  <c r="Z14" i="4"/>
  <c r="AA14" i="4" s="1"/>
  <c r="Y25" i="4"/>
  <c r="Z25" i="4"/>
  <c r="AA25" i="4" s="1"/>
  <c r="Y28" i="4"/>
  <c r="Z28" i="4" s="1"/>
  <c r="AA28" i="4" s="1"/>
  <c r="Y33" i="4"/>
  <c r="Z33" i="4"/>
  <c r="AA33" i="4" s="1"/>
  <c r="Y111" i="4"/>
  <c r="Z111" i="4" s="1"/>
  <c r="AA111" i="4" s="1"/>
  <c r="Y91" i="4"/>
  <c r="Z91" i="4" s="1"/>
  <c r="AA91" i="4" s="1"/>
  <c r="Y110" i="4"/>
  <c r="Z110" i="4"/>
  <c r="AA110" i="4" s="1"/>
  <c r="Y88" i="4"/>
  <c r="Z88" i="4" s="1"/>
  <c r="AA88" i="4" s="1"/>
  <c r="Y54" i="4"/>
  <c r="Z54" i="4" s="1"/>
  <c r="AA54" i="4" s="1"/>
  <c r="Z70" i="4"/>
  <c r="AA70" i="4" s="1"/>
  <c r="Y70" i="4"/>
  <c r="Y96" i="4"/>
  <c r="Z96" i="4"/>
  <c r="AA96" i="4" s="1"/>
  <c r="Y35" i="4"/>
  <c r="Z35" i="4"/>
  <c r="AA35" i="4" s="1"/>
  <c r="Y80" i="4"/>
  <c r="Z80" i="4" s="1"/>
  <c r="AA80" i="4" s="1"/>
  <c r="Y5" i="4"/>
  <c r="Z5" i="4" s="1"/>
  <c r="AA5" i="4" s="1"/>
  <c r="Y10" i="4"/>
  <c r="Z10" i="4" s="1"/>
  <c r="AA10" i="4" s="1"/>
  <c r="Y29" i="4"/>
  <c r="Z29" i="4" s="1"/>
  <c r="AA29" i="4" s="1"/>
  <c r="Y60" i="4"/>
  <c r="Z60" i="4"/>
  <c r="AA60" i="4" s="1"/>
  <c r="Y107" i="4"/>
  <c r="Z107" i="4"/>
  <c r="AA107" i="4" s="1"/>
  <c r="Y58" i="4"/>
  <c r="Z58" i="4" s="1"/>
  <c r="AA58" i="4" s="1"/>
  <c r="Y19" i="4"/>
  <c r="Z19" i="4" s="1"/>
  <c r="AA19" i="4" s="1"/>
  <c r="Y69" i="4"/>
  <c r="Z69" i="4" s="1"/>
  <c r="AA69" i="4" s="1"/>
  <c r="Y21" i="4"/>
  <c r="Z21" i="4"/>
  <c r="AA21" i="4" s="1"/>
  <c r="Y89" i="4"/>
  <c r="Z89" i="4" s="1"/>
  <c r="AA89" i="4" s="1"/>
  <c r="Y36" i="4"/>
  <c r="Z36" i="4"/>
  <c r="AA36" i="4" s="1"/>
  <c r="Y34" i="4"/>
  <c r="Z34" i="4"/>
  <c r="AA34" i="4" s="1"/>
  <c r="Y9" i="4"/>
  <c r="Z9" i="4" s="1"/>
  <c r="AA9" i="4" s="1"/>
  <c r="Y48" i="4"/>
  <c r="Z48" i="4"/>
  <c r="AA48" i="4" s="1"/>
  <c r="Y62" i="4"/>
  <c r="Z62" i="4"/>
  <c r="AA62" i="4" s="1"/>
  <c r="Y79" i="4"/>
  <c r="Z79" i="4" s="1"/>
  <c r="AA79" i="4" s="1"/>
  <c r="Y42" i="4"/>
  <c r="Z42" i="4" s="1"/>
  <c r="AA42" i="4" s="1"/>
  <c r="Y27" i="4"/>
  <c r="Z27" i="4" s="1"/>
  <c r="AA27" i="4" s="1"/>
  <c r="Y112" i="4"/>
  <c r="Z112" i="4" s="1"/>
  <c r="AA112" i="4" s="1"/>
  <c r="Y18" i="4"/>
  <c r="Z18" i="4" s="1"/>
  <c r="AA18" i="4" s="1"/>
  <c r="Y46" i="4"/>
  <c r="Z46" i="4"/>
  <c r="Y82" i="4"/>
  <c r="Z82" i="4" s="1"/>
  <c r="AA82" i="4" s="1"/>
  <c r="Y102" i="4"/>
  <c r="Z102" i="4" s="1"/>
  <c r="AA102" i="4" s="1"/>
  <c r="Y114" i="4"/>
  <c r="Z114" i="4" s="1"/>
  <c r="AA114" i="4" s="1"/>
  <c r="Y45" i="4"/>
  <c r="Z45" i="4"/>
  <c r="AA45" i="4" s="1"/>
  <c r="Y2" i="4"/>
  <c r="Z2" i="4" s="1"/>
  <c r="AA2" i="4" s="1"/>
  <c r="AA46" i="4" l="1"/>
  <c r="AA119" i="4" s="1"/>
  <c r="Z119" i="4"/>
</calcChain>
</file>

<file path=xl/sharedStrings.xml><?xml version="1.0" encoding="utf-8"?>
<sst xmlns="http://schemas.openxmlformats.org/spreadsheetml/2006/main" count="290" uniqueCount="54">
  <si>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</si>
  <si>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</si>
  <si>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</si>
  <si>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</si>
  <si>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</si>
  <si>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 xml:space="preserve">Measured PPM by GC </t>
  </si>
  <si>
    <t>Time (h)</t>
  </si>
  <si>
    <t>Time (min)</t>
  </si>
  <si>
    <t>mol/s for sweep gas (n)</t>
  </si>
  <si>
    <t>Permeation flux J (mol/m2-s)</t>
  </si>
  <si>
    <t xml:space="preserve">Mole fraction of H2 in Ar (C) </t>
  </si>
  <si>
    <t>Temp of sweep gas for standard condition, T (K)</t>
  </si>
  <si>
    <t>Pressure of sweep gas for standard condition, P (Pa)</t>
  </si>
  <si>
    <t>Upstream volume total pressure (bar-g)</t>
  </si>
  <si>
    <t>Downstream total pressure (bar-g)</t>
  </si>
  <si>
    <t>Downstream total pressure (Pa)</t>
  </si>
  <si>
    <t>Temperature (DegC)</t>
  </si>
  <si>
    <t>Ø1</t>
  </si>
  <si>
    <t>Ø2</t>
  </si>
  <si>
    <t>Øavg</t>
  </si>
  <si>
    <t>500C</t>
  </si>
  <si>
    <t>600C</t>
  </si>
  <si>
    <r>
      <t>Upstream volume H2 pressure due to partial Ar displacement through dilution purging P</t>
    </r>
    <r>
      <rPr>
        <b/>
        <vertAlign val="subscript"/>
        <sz val="11"/>
        <color theme="1"/>
        <rFont val="Times New Roman"/>
        <family val="1"/>
      </rPr>
      <t>up</t>
    </r>
    <r>
      <rPr>
        <b/>
        <sz val="11"/>
        <color theme="1"/>
        <rFont val="Times New Roman"/>
        <family val="1"/>
      </rPr>
      <t>(Pa)</t>
    </r>
  </si>
  <si>
    <r>
      <t>Downstream H2 pressure P</t>
    </r>
    <r>
      <rPr>
        <b/>
        <vertAlign val="subscript"/>
        <sz val="11"/>
        <color theme="1"/>
        <rFont val="Times New Roman"/>
        <family val="1"/>
      </rPr>
      <t>down, FLiBe</t>
    </r>
    <r>
      <rPr>
        <b/>
        <sz val="11"/>
        <color theme="1"/>
        <rFont val="Times New Roman"/>
        <family val="1"/>
      </rPr>
      <t xml:space="preserve"> (Pa)</t>
    </r>
  </si>
  <si>
    <r>
      <t>Upstream volume H2 pressure due to partial Ar displacement through dilution purging P</t>
    </r>
    <r>
      <rPr>
        <b/>
        <vertAlign val="subscript"/>
        <sz val="11"/>
        <rFont val="Times New Roman"/>
        <family val="1"/>
      </rPr>
      <t>up</t>
    </r>
    <r>
      <rPr>
        <b/>
        <sz val="11"/>
        <rFont val="Times New Roman"/>
        <family val="1"/>
      </rPr>
      <t>(Pa)</t>
    </r>
  </si>
  <si>
    <r>
      <t>Thickness of salt layer at 550C,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</si>
  <si>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Downstream H2 pressure P</t>
    </r>
    <r>
      <rPr>
        <b/>
        <vertAlign val="subscript"/>
        <sz val="11"/>
        <rFont val="Times New Roman"/>
        <family val="1"/>
      </rPr>
      <t>down, FLiBe</t>
    </r>
    <r>
      <rPr>
        <b/>
        <sz val="11"/>
        <rFont val="Times New Roman"/>
        <family val="1"/>
      </rPr>
      <t xml:space="preserve"> (Pa)</t>
    </r>
  </si>
  <si>
    <r>
      <t>Thickness of salt layer at 600C,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</si>
  <si>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t>550C</t>
  </si>
  <si>
    <t>650C</t>
  </si>
  <si>
    <r>
      <t>Thickness of salt layer at 500C,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</si>
  <si>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Thickness of Ni membrane, L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(m)</t>
    </r>
  </si>
  <si>
    <r>
      <t>Avg. 1D Permeability of Ni membrane at 500C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</si>
  <si>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H2 partial pressure in glovebox, P</t>
    </r>
    <r>
      <rPr>
        <b/>
        <vertAlign val="subscript"/>
        <sz val="11"/>
        <color theme="1"/>
        <rFont val="Times New Roman"/>
        <family val="1"/>
      </rPr>
      <t xml:space="preserve">GB </t>
    </r>
    <r>
      <rPr>
        <b/>
        <sz val="11"/>
        <color theme="1"/>
        <rFont val="Times New Roman"/>
        <family val="1"/>
      </rPr>
      <t xml:space="preserve"> (Pa)</t>
    </r>
  </si>
  <si>
    <r>
      <t>H2 partial pressure in glovebox, P</t>
    </r>
    <r>
      <rPr>
        <b/>
        <vertAlign val="subscript"/>
        <sz val="11"/>
        <rFont val="Times New Roman"/>
        <family val="1"/>
      </rPr>
      <t xml:space="preserve">GB </t>
    </r>
    <r>
      <rPr>
        <b/>
        <sz val="11"/>
        <rFont val="Times New Roman"/>
        <family val="1"/>
      </rPr>
      <t xml:space="preserve"> (Pa)</t>
    </r>
  </si>
  <si>
    <r>
      <t>Avg. 1D Permeability of Ni membrane at 550C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</si>
  <si>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600C,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</si>
  <si>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r>
      <t>Avg. 1D Permeability of Ni membrane at 600C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</si>
  <si>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Avg. 1D Permeability of Ni membrane at 650C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</si>
  <si>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650C,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</si>
  <si>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t>Area of layer, A (m2)</t>
  </si>
  <si>
    <r>
      <t>J</t>
    </r>
    <r>
      <rPr>
        <b/>
        <vertAlign val="subscript"/>
        <sz val="11"/>
        <rFont val="Times New Roman"/>
        <family val="1"/>
      </rPr>
      <t>effective</t>
    </r>
    <r>
      <rPr>
        <b/>
        <sz val="11"/>
        <rFont val="Times New Roman"/>
        <family val="1"/>
      </rPr>
      <t xml:space="preserve"> (mol/m2-s)</t>
    </r>
  </si>
  <si>
    <r>
      <t>Thickness of salt layer at 650C,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</si>
  <si>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t>700C</t>
  </si>
  <si>
    <r>
      <t>1D Permeability, Ø</t>
    </r>
    <r>
      <rPr>
        <b/>
        <vertAlign val="subscript"/>
        <sz val="11"/>
        <rFont val="Times New Roman"/>
        <family val="1"/>
      </rPr>
      <t>1D</t>
    </r>
    <r>
      <rPr>
        <b/>
        <sz val="11"/>
        <rFont val="Times New Roman"/>
        <family val="1"/>
      </rPr>
      <t xml:space="preserve"> = J</t>
    </r>
    <r>
      <rPr>
        <b/>
        <vertAlign val="subscript"/>
        <sz val="11"/>
        <rFont val="Times New Roman"/>
        <family val="1"/>
      </rPr>
      <t>eff</t>
    </r>
    <r>
      <rPr>
        <b/>
        <sz val="11"/>
        <rFont val="Times New Roman"/>
        <family val="1"/>
      </rPr>
      <t>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11"/>
        <rFont val="Times New Roman"/>
        <family val="1"/>
      </rPr>
      <t>interface</t>
    </r>
    <r>
      <rPr>
        <b/>
        <sz val="11"/>
        <rFont val="Times New Roman"/>
        <family val="1"/>
      </rPr>
      <t xml:space="preserve"> - P</t>
    </r>
    <r>
      <rPr>
        <b/>
        <vertAlign val="subscript"/>
        <sz val="11"/>
        <rFont val="Times New Roman"/>
        <family val="1"/>
      </rPr>
      <t>down</t>
    </r>
    <r>
      <rPr>
        <b/>
        <sz val="11"/>
        <rFont val="Times New Roman"/>
        <family val="1"/>
      </rPr>
      <t>)</t>
    </r>
    <r>
      <rPr>
        <b/>
        <sz val="12"/>
        <rFont val="Times New Roman"/>
        <family val="1"/>
      </rPr>
      <t xml:space="preserve"> (mol/m.s.Pa)</t>
    </r>
  </si>
  <si>
    <r>
      <t>1D Permeability, Ø</t>
    </r>
    <r>
      <rPr>
        <b/>
        <vertAlign val="subscript"/>
        <sz val="11"/>
        <rFont val="Times New Roman"/>
        <family val="1"/>
      </rPr>
      <t>1D</t>
    </r>
    <r>
      <rPr>
        <b/>
        <sz val="11"/>
        <rFont val="Times New Roman"/>
        <family val="1"/>
      </rPr>
      <t xml:space="preserve"> = J</t>
    </r>
    <r>
      <rPr>
        <b/>
        <vertAlign val="subscript"/>
        <sz val="11"/>
        <rFont val="Times New Roman"/>
        <family val="1"/>
      </rPr>
      <t>eff</t>
    </r>
    <r>
      <rPr>
        <b/>
        <sz val="11"/>
        <rFont val="Times New Roman"/>
        <family val="1"/>
      </rPr>
      <t>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11"/>
        <rFont val="Times New Roman"/>
        <family val="1"/>
      </rPr>
      <t>interface</t>
    </r>
    <r>
      <rPr>
        <b/>
        <sz val="11"/>
        <rFont val="Times New Roman"/>
        <family val="1"/>
      </rPr>
      <t xml:space="preserve"> - P</t>
    </r>
    <r>
      <rPr>
        <b/>
        <vertAlign val="subscript"/>
        <sz val="11"/>
        <rFont val="Times New Roman"/>
        <family val="1"/>
      </rPr>
      <t>down</t>
    </r>
    <r>
      <rPr>
        <b/>
        <sz val="11"/>
        <rFont val="Times New Roman"/>
        <family val="1"/>
      </rPr>
      <t>)</t>
    </r>
    <r>
      <rPr>
        <b/>
        <sz val="12"/>
        <rFont val="Times New Roman"/>
        <family val="1"/>
      </rPr>
      <t xml:space="preserve"> (H2/m.s.Pa)</t>
    </r>
  </si>
  <si>
    <r>
      <t>Avg. 1D Permeability of Ni membrane at 700C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</si>
  <si>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700C,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</si>
  <si>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r>
      <t>J</t>
    </r>
    <r>
      <rPr>
        <b/>
        <vertAlign val="subscript"/>
        <sz val="11"/>
        <color theme="1"/>
        <rFont val="Times New Roman"/>
        <family val="1"/>
      </rPr>
      <t>effective</t>
    </r>
    <r>
      <rPr>
        <b/>
        <sz val="11"/>
        <color theme="1"/>
        <rFont val="Times New Roman"/>
        <family val="1"/>
      </rPr>
      <t xml:space="preserve"> (mol/m2-s)</t>
    </r>
  </si>
  <si>
    <r>
      <t>1D Permeability, Ø</t>
    </r>
    <r>
      <rPr>
        <b/>
        <vertAlign val="subscript"/>
        <sz val="11"/>
        <color theme="1"/>
        <rFont val="Times New Roman"/>
        <family val="1"/>
      </rPr>
      <t>1D</t>
    </r>
    <r>
      <rPr>
        <b/>
        <sz val="11"/>
        <color theme="1"/>
        <rFont val="Times New Roman"/>
        <family val="1"/>
      </rPr>
      <t xml:space="preserve"> = J</t>
    </r>
    <r>
      <rPr>
        <b/>
        <vertAlign val="subscript"/>
        <sz val="11"/>
        <color theme="1"/>
        <rFont val="Times New Roman"/>
        <family val="1"/>
      </rPr>
      <t>eff</t>
    </r>
    <r>
      <rPr>
        <b/>
        <sz val="11"/>
        <color theme="1"/>
        <rFont val="Times New Roman"/>
        <family val="1"/>
      </rPr>
      <t>.L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>/(P</t>
    </r>
    <r>
      <rPr>
        <b/>
        <vertAlign val="subscript"/>
        <sz val="11"/>
        <color theme="1"/>
        <rFont val="Times New Roman"/>
        <family val="1"/>
      </rPr>
      <t>interface</t>
    </r>
    <r>
      <rPr>
        <b/>
        <sz val="11"/>
        <color theme="1"/>
        <rFont val="Times New Roman"/>
        <family val="1"/>
      </rPr>
      <t xml:space="preserve"> - P</t>
    </r>
    <r>
      <rPr>
        <b/>
        <vertAlign val="subscript"/>
        <sz val="11"/>
        <color theme="1"/>
        <rFont val="Times New Roman"/>
        <family val="1"/>
      </rPr>
      <t>down</t>
    </r>
    <r>
      <rPr>
        <b/>
        <sz val="11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 xml:space="preserve"> (mol/m.s.Pa)</t>
    </r>
  </si>
  <si>
    <r>
      <t>1D Permeability, Ø</t>
    </r>
    <r>
      <rPr>
        <b/>
        <vertAlign val="subscript"/>
        <sz val="11"/>
        <color theme="1"/>
        <rFont val="Times New Roman"/>
        <family val="1"/>
      </rPr>
      <t>1D</t>
    </r>
    <r>
      <rPr>
        <b/>
        <sz val="11"/>
        <color theme="1"/>
        <rFont val="Times New Roman"/>
        <family val="1"/>
      </rPr>
      <t xml:space="preserve"> = J</t>
    </r>
    <r>
      <rPr>
        <b/>
        <vertAlign val="subscript"/>
        <sz val="11"/>
        <color theme="1"/>
        <rFont val="Times New Roman"/>
        <family val="1"/>
      </rPr>
      <t>eff</t>
    </r>
    <r>
      <rPr>
        <b/>
        <sz val="11"/>
        <color theme="1"/>
        <rFont val="Times New Roman"/>
        <family val="1"/>
      </rPr>
      <t>.L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>/(P</t>
    </r>
    <r>
      <rPr>
        <b/>
        <vertAlign val="subscript"/>
        <sz val="11"/>
        <color theme="1"/>
        <rFont val="Times New Roman"/>
        <family val="1"/>
      </rPr>
      <t>interface</t>
    </r>
    <r>
      <rPr>
        <b/>
        <sz val="11"/>
        <color theme="1"/>
        <rFont val="Times New Roman"/>
        <family val="1"/>
      </rPr>
      <t xml:space="preserve"> - P</t>
    </r>
    <r>
      <rPr>
        <b/>
        <vertAlign val="subscript"/>
        <sz val="11"/>
        <color theme="1"/>
        <rFont val="Times New Roman"/>
        <family val="1"/>
      </rPr>
      <t>down</t>
    </r>
    <r>
      <rPr>
        <b/>
        <sz val="11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 xml:space="preserve"> (H2/m.s.Pa)</t>
    </r>
  </si>
  <si>
    <t>1D Permeability for transparent coating (H2/m.s.Pa)</t>
  </si>
  <si>
    <t>Pressure at Ni-salt interface (Pa)</t>
  </si>
  <si>
    <t>1D Permeability for transparent coating (mol H2/m.s.Pa)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</si>
</sst>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vertAlign val="subscript"/>
      <sz val="11"/>
      <name val="Times New Roman"/>
      <family val="1"/>
    </font>
    <font>
      <b/>
      <sz val="12"/>
      <name val="Times New Roman"/>
      <family val="1"/>
    </font>
    <font>
      <b/>
      <vertAlign val="subscript"/>
      <sz val="11"/>
      <color rgb="FF00B050"/>
      <name val="Times New Roman"/>
      <family val="1"/>
    </font>
    <font>
      <b/>
      <sz val="8"/>
      <color rgb="FF00B050"/>
      <name val="Times New Roman"/>
      <family val="1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1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11" fontId="3" fillId="0" borderId="2" xfId="0" applyNumberFormat="1" applyFont="1" applyBorder="1" applyAlignment="1">
      <alignment horizontal="center"/>
    </xf>
    <xf numFmtId="0" fontId="4" fillId="0" borderId="0" xfId="0" applyFont="1"/>
    <xf numFmtId="11" fontId="5" fillId="0" borderId="0" xfId="0" applyNumberFormat="1" applyFont="1" applyAlignment="1">
      <alignment horizontal="center"/>
    </xf>
    <xf numFmtId="11" fontId="3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/>
    </xf>
    <xf numFmtId="11" fontId="6" fillId="2" borderId="1" xfId="0" applyNumberFormat="1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11" fontId="6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 wrapText="1"/>
    </xf>
    <xf numFmtId="11" fontId="2" fillId="3" borderId="1" xfId="0" applyNumberFormat="1" applyFont="1" applyFill="1" applyBorder="1" applyAlignment="1">
      <alignment horizontal="center" vertical="center" wrapText="1"/>
    </xf>
    <xf numFmtId="11" fontId="5" fillId="0" borderId="2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1" fontId="10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11" fontId="9" fillId="2" borderId="1" xfId="0" applyNumberFormat="1" applyFont="1" applyFill="1" applyBorder="1" applyAlignment="1">
      <alignment horizontal="center" vertical="center" wrapText="1"/>
    </xf>
    <xf numFmtId="11" fontId="10" fillId="0" borderId="2" xfId="0" applyNumberFormat="1" applyFont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1" fontId="10" fillId="0" borderId="3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11" fontId="10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11" fontId="2" fillId="4" borderId="1" xfId="0" applyNumberFormat="1" applyFont="1" applyFill="1" applyBorder="1" applyAlignment="1">
      <alignment horizontal="center"/>
    </xf>
    <xf numFmtId="11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1" fontId="6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1" fontId="6" fillId="4" borderId="1" xfId="0" applyNumberFormat="1" applyFont="1" applyFill="1" applyBorder="1" applyAlignment="1">
      <alignment horizontal="center"/>
    </xf>
    <xf numFmtId="0" fontId="1" fillId="0" borderId="0" xfId="0" applyFont="1"/>
    <xf numFmtId="11" fontId="9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1" fontId="10" fillId="3" borderId="1" xfId="0" applyNumberFormat="1" applyFont="1" applyFill="1" applyBorder="1" applyAlignment="1">
      <alignment horizontal="center"/>
    </xf>
    <xf numFmtId="11" fontId="3" fillId="3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1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1" fontId="10" fillId="2" borderId="1" xfId="0" applyNumberFormat="1" applyFont="1" applyFill="1" applyBorder="1" applyAlignment="1">
      <alignment horizontal="center"/>
    </xf>
    <xf numFmtId="11" fontId="10" fillId="2" borderId="0" xfId="0" applyNumberFormat="1" applyFont="1" applyFill="1" applyAlignment="1">
      <alignment horizontal="center"/>
    </xf>
    <xf numFmtId="11" fontId="9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3B87-BC22-4219-B694-4BEAFA32E407}">
  <dimension ref="A1:BW268"/>
  <sheetViews>
    <sheetView topLeftCell="Y105" zoomScale="130" zoomScaleNormal="130" workbookViewId="0">
      <selection activeCell="Z119" sqref="Z119"/>
    </sheetView>
  </sheetViews>
  <sheetFormatPr defaultRowHeight="13.8" x14ac:dyDescent="0.25"/>
  <cols>
    <col min="1" max="4" width="22.109375" style="30" customWidth="1"/>
    <col min="5" max="5" width="18.77734375" style="30" customWidth="1"/>
    <col min="6" max="6" width="17.33203125" style="30" customWidth="1"/>
    <col min="7" max="7" width="16.6640625" style="30" customWidth="1"/>
    <col min="8" max="8" width="20.88671875" style="30" customWidth="1"/>
    <col min="9" max="9" width="19.21875" style="30" customWidth="1"/>
    <col min="10" max="10" width="23.109375" style="30" customWidth="1"/>
    <col min="11" max="11" width="13.6640625" style="41" customWidth="1"/>
    <col min="12" max="12" width="20.88671875" style="30" customWidth="1"/>
    <col min="13" max="13" width="31.5546875" style="30" customWidth="1"/>
    <col min="14" max="15" width="20.6640625" style="42" customWidth="1"/>
    <col min="16" max="16" width="36.33203125" style="42" customWidth="1"/>
    <col min="17" max="17" width="23.21875" style="34" customWidth="1"/>
    <col min="18" max="18" width="30.88671875" style="11" customWidth="1"/>
    <col min="19" max="22" width="20.6640625" style="34" customWidth="1"/>
    <col min="23" max="23" width="30" style="34" customWidth="1"/>
    <col min="24" max="25" width="38.6640625" style="34" customWidth="1"/>
    <col min="26" max="26" width="50.5546875" style="13" customWidth="1"/>
    <col min="27" max="27" width="50.33203125" style="13" customWidth="1"/>
    <col min="28" max="16384" width="8.88671875" style="7"/>
  </cols>
  <sheetData>
    <row r="1" spans="1:27" s="31" customFormat="1" ht="53.4" customHeight="1" x14ac:dyDescent="0.3">
      <c r="A1" s="14" t="s">
        <v>7</v>
      </c>
      <c r="B1" s="15" t="s">
        <v>6</v>
      </c>
      <c r="C1" s="14" t="s">
        <v>2</v>
      </c>
      <c r="D1" s="14" t="s">
        <v>1</v>
      </c>
      <c r="E1" s="15" t="s">
        <v>0</v>
      </c>
      <c r="F1" s="14" t="s">
        <v>3</v>
      </c>
      <c r="G1" s="15" t="s">
        <v>11</v>
      </c>
      <c r="H1" s="14" t="s">
        <v>4</v>
      </c>
      <c r="I1" s="15" t="s">
        <v>12</v>
      </c>
      <c r="J1" s="15" t="s">
        <v>8</v>
      </c>
      <c r="K1" s="21" t="s">
        <v>5</v>
      </c>
      <c r="L1" s="15" t="s">
        <v>10</v>
      </c>
      <c r="M1" s="15" t="s">
        <v>40</v>
      </c>
      <c r="N1" s="32" t="s">
        <v>9</v>
      </c>
      <c r="O1" s="32" t="s">
        <v>31</v>
      </c>
      <c r="P1" s="32" t="s">
        <v>32</v>
      </c>
      <c r="Q1" s="26" t="s">
        <v>13</v>
      </c>
      <c r="R1" s="17" t="s">
        <v>22</v>
      </c>
      <c r="S1" s="25" t="s">
        <v>30</v>
      </c>
      <c r="T1" s="25" t="s">
        <v>14</v>
      </c>
      <c r="U1" s="25" t="s">
        <v>15</v>
      </c>
      <c r="V1" s="25" t="s">
        <v>26</v>
      </c>
      <c r="W1" s="25" t="s">
        <v>34</v>
      </c>
      <c r="X1" s="25" t="s">
        <v>41</v>
      </c>
      <c r="Y1" s="25" t="s">
        <v>52</v>
      </c>
      <c r="Z1" s="44" t="s">
        <v>44</v>
      </c>
      <c r="AA1" s="44" t="s">
        <v>45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21.504950495049506</v>
      </c>
      <c r="L2" s="1">
        <f>(K2/1000000)</f>
        <v>2.1504950495049505E-5</v>
      </c>
      <c r="M2" s="1">
        <f>(3.142*3.07*3.07*25.4*25.4)/(4*1000000)</f>
        <v>4.7762865441819992E-3</v>
      </c>
      <c r="N2" s="29">
        <f>(L2*J2)/M2</f>
        <v>9.0610845824357356E-8</v>
      </c>
      <c r="O2" s="29">
        <f>(2.032/1000)</f>
        <v>2.032E-3</v>
      </c>
      <c r="P2" s="29">
        <v>4.7360646624728548E-11</v>
      </c>
      <c r="Q2" s="2">
        <v>0.11</v>
      </c>
      <c r="R2" s="2">
        <f>(1+Q2)*100000*1</f>
        <v>111000.00000000001</v>
      </c>
      <c r="S2" s="2">
        <f>(5.13985794328043/1000)</f>
        <v>5.1398579432804297E-3</v>
      </c>
      <c r="T2" s="2">
        <v>0.06</v>
      </c>
      <c r="U2" s="2">
        <f>(1+T2)*100000</f>
        <v>106000</v>
      </c>
      <c r="V2" s="2">
        <f t="shared" ref="V2:V33" si="1">(L2*U2)</f>
        <v>2.2795247524752478</v>
      </c>
      <c r="W2" s="2">
        <f>(50/1000000)*100000</f>
        <v>5</v>
      </c>
      <c r="X2" s="16">
        <f t="shared" ref="X2:X33" si="2">(N2+((P2/O2)*(SQRT(V2)-SQRT(W2))))</f>
        <v>7.3683645676528996E-8</v>
      </c>
      <c r="Y2" s="2">
        <f t="shared" ref="Y2:Y66" si="3">(SQRT(R2)-(X2*O2/P2))^2</f>
        <v>108903.45938662972</v>
      </c>
      <c r="Z2" s="2">
        <f>(X2*S2)/(Y2-V2)</f>
        <v>3.4776801500288152E-15</v>
      </c>
      <c r="AA2" s="2">
        <f>(Z2*6.022E+23)</f>
        <v>2094258986.3473527</v>
      </c>
    </row>
    <row r="3" spans="1:27" x14ac:dyDescent="0.25">
      <c r="A3" s="1">
        <v>3</v>
      </c>
      <c r="B3" s="1">
        <f t="shared" ref="B3:B66" si="4">(A3/60)</f>
        <v>0.05</v>
      </c>
      <c r="C3" s="1">
        <v>20</v>
      </c>
      <c r="D3" s="1">
        <f t="shared" si="0"/>
        <v>29.146000000000001</v>
      </c>
      <c r="E3" s="1">
        <f t="shared" ref="E3:E66" si="5">(D3/(1000000*60))</f>
        <v>4.8576666666666667E-7</v>
      </c>
      <c r="F3" s="1">
        <v>21.1</v>
      </c>
      <c r="G3" s="1">
        <f t="shared" ref="G3:G66" si="6">(273+F3)</f>
        <v>294.10000000000002</v>
      </c>
      <c r="H3" s="1">
        <v>101.3</v>
      </c>
      <c r="I3" s="1">
        <f t="shared" ref="I3:I66" si="7">(H3*1000)</f>
        <v>101300</v>
      </c>
      <c r="J3" s="1">
        <f t="shared" ref="J3:J66" si="8">((I3*E3)/(8.314*G3))</f>
        <v>2.0124824921938581E-5</v>
      </c>
      <c r="K3" s="22">
        <v>23.60891089108911</v>
      </c>
      <c r="L3" s="1">
        <f t="shared" ref="L3:L66" si="9">(K3/1000000)</f>
        <v>2.360891089108911E-5</v>
      </c>
      <c r="M3" s="1">
        <f t="shared" ref="M3:M66" si="10">(3.142*3.07*3.07*25.4*25.4)/(4*1000000)</f>
        <v>4.7762865441819992E-3</v>
      </c>
      <c r="N3" s="29">
        <f t="shared" ref="N3:N66" si="11">(L3*J3)/M3</f>
        <v>9.947585721371092E-8</v>
      </c>
      <c r="O3" s="29">
        <f t="shared" ref="O3:O66" si="12">(2.032/1000)</f>
        <v>2.032E-3</v>
      </c>
      <c r="P3" s="29">
        <v>4.7360646624728548E-11</v>
      </c>
      <c r="Q3" s="2">
        <v>0.11</v>
      </c>
      <c r="R3" s="2">
        <f t="shared" ref="R3:R66" si="13">(1+Q3)*100000*1</f>
        <v>111000.00000000001</v>
      </c>
      <c r="S3" s="2">
        <f t="shared" ref="S3:S66" si="14">(5.13985794328043/1000)</f>
        <v>5.1398579432804297E-3</v>
      </c>
      <c r="T3" s="2">
        <v>0.06</v>
      </c>
      <c r="U3" s="2">
        <f t="shared" ref="U3:U66" si="15">(1+T3)*100000</f>
        <v>106000</v>
      </c>
      <c r="V3" s="2">
        <f t="shared" si="1"/>
        <v>2.5025445544554459</v>
      </c>
      <c r="W3" s="2">
        <f t="shared" ref="W3:W66" si="16">(50/1000000)*100000</f>
        <v>5</v>
      </c>
      <c r="X3" s="2">
        <f t="shared" si="2"/>
        <v>8.4229908174620492E-8</v>
      </c>
      <c r="Y3" s="2">
        <f t="shared" si="3"/>
        <v>108605.01896296561</v>
      </c>
      <c r="Z3" s="2">
        <f t="shared" ref="Z3:Z66" si="17">(X3*S3)/(Y3-V3)</f>
        <v>3.9863695324071761E-15</v>
      </c>
      <c r="AA3" s="2">
        <f t="shared" ref="AA3:AA66" si="18">(Z3*6.022E+23)</f>
        <v>2400591732.4156017</v>
      </c>
    </row>
    <row r="4" spans="1:27" x14ac:dyDescent="0.25">
      <c r="A4" s="1">
        <v>6</v>
      </c>
      <c r="B4" s="1">
        <f t="shared" si="4"/>
        <v>0.1</v>
      </c>
      <c r="C4" s="1">
        <v>20</v>
      </c>
      <c r="D4" s="1">
        <f t="shared" si="0"/>
        <v>29.146000000000001</v>
      </c>
      <c r="E4" s="1">
        <f t="shared" si="5"/>
        <v>4.8576666666666667E-7</v>
      </c>
      <c r="F4" s="1">
        <v>21.1</v>
      </c>
      <c r="G4" s="1">
        <f t="shared" si="6"/>
        <v>294.10000000000002</v>
      </c>
      <c r="H4" s="1">
        <v>101.3</v>
      </c>
      <c r="I4" s="1">
        <f t="shared" si="7"/>
        <v>101300</v>
      </c>
      <c r="J4" s="1">
        <f t="shared" si="8"/>
        <v>2.0124824921938581E-5</v>
      </c>
      <c r="K4" s="22">
        <v>29.549504950495049</v>
      </c>
      <c r="L4" s="1">
        <f t="shared" si="9"/>
        <v>2.954950495049505E-5</v>
      </c>
      <c r="M4" s="1">
        <f t="shared" si="10"/>
        <v>4.7762865441819992E-3</v>
      </c>
      <c r="N4" s="29">
        <f t="shared" si="11"/>
        <v>1.2450647760717979E-7</v>
      </c>
      <c r="O4" s="29">
        <f t="shared" si="12"/>
        <v>2.032E-3</v>
      </c>
      <c r="P4" s="29">
        <v>4.7360646624728548E-11</v>
      </c>
      <c r="Q4" s="2">
        <v>0.11</v>
      </c>
      <c r="R4" s="2">
        <f t="shared" si="13"/>
        <v>111000.00000000001</v>
      </c>
      <c r="S4" s="2">
        <f t="shared" si="14"/>
        <v>5.1398579432804297E-3</v>
      </c>
      <c r="T4" s="2">
        <v>0.06</v>
      </c>
      <c r="U4" s="2">
        <f t="shared" si="15"/>
        <v>106000</v>
      </c>
      <c r="V4" s="2">
        <f t="shared" si="1"/>
        <v>3.1322475247524753</v>
      </c>
      <c r="W4" s="2">
        <f t="shared" si="16"/>
        <v>5</v>
      </c>
      <c r="X4" s="2">
        <f t="shared" si="2"/>
        <v>1.1363934644597149E-7</v>
      </c>
      <c r="Y4" s="2">
        <f t="shared" si="3"/>
        <v>107774.94740503521</v>
      </c>
      <c r="Z4" s="2">
        <f t="shared" si="17"/>
        <v>5.4196924923818439E-15</v>
      </c>
      <c r="AA4" s="2">
        <f t="shared" si="18"/>
        <v>3263738818.9123464</v>
      </c>
    </row>
    <row r="5" spans="1:27" x14ac:dyDescent="0.25">
      <c r="A5" s="1">
        <v>9</v>
      </c>
      <c r="B5" s="1">
        <f t="shared" si="4"/>
        <v>0.15</v>
      </c>
      <c r="C5" s="1">
        <v>20</v>
      </c>
      <c r="D5" s="1">
        <f t="shared" si="0"/>
        <v>29.146000000000001</v>
      </c>
      <c r="E5" s="1">
        <f t="shared" si="5"/>
        <v>4.8576666666666667E-7</v>
      </c>
      <c r="F5" s="1">
        <v>21.1</v>
      </c>
      <c r="G5" s="1">
        <f t="shared" si="6"/>
        <v>294.10000000000002</v>
      </c>
      <c r="H5" s="1">
        <v>101.3</v>
      </c>
      <c r="I5" s="1">
        <f t="shared" si="7"/>
        <v>101300</v>
      </c>
      <c r="J5" s="1">
        <f t="shared" si="8"/>
        <v>2.0124824921938581E-5</v>
      </c>
      <c r="K5" s="22">
        <v>15.712871287128714</v>
      </c>
      <c r="L5" s="1">
        <f t="shared" si="9"/>
        <v>1.5712871287128713E-5</v>
      </c>
      <c r="M5" s="1">
        <f t="shared" si="10"/>
        <v>4.7762865441819992E-3</v>
      </c>
      <c r="N5" s="29">
        <f t="shared" si="11"/>
        <v>6.6205990940725188E-8</v>
      </c>
      <c r="O5" s="29">
        <f t="shared" si="12"/>
        <v>2.032E-3</v>
      </c>
      <c r="P5" s="29">
        <v>4.7360646624728548E-11</v>
      </c>
      <c r="Q5" s="2">
        <v>0.11</v>
      </c>
      <c r="R5" s="2">
        <f t="shared" si="13"/>
        <v>111000.00000000001</v>
      </c>
      <c r="S5" s="2">
        <f t="shared" si="14"/>
        <v>5.1398579432804297E-3</v>
      </c>
      <c r="T5" s="2">
        <v>0.06</v>
      </c>
      <c r="U5" s="2">
        <f t="shared" si="15"/>
        <v>106000</v>
      </c>
      <c r="V5" s="2">
        <f t="shared" si="1"/>
        <v>1.6655643564356435</v>
      </c>
      <c r="W5" s="2">
        <f t="shared" si="16"/>
        <v>5</v>
      </c>
      <c r="X5" s="2">
        <f t="shared" si="2"/>
        <v>4.4168827495904648E-8</v>
      </c>
      <c r="Y5" s="2">
        <f t="shared" si="3"/>
        <v>109740.8526947932</v>
      </c>
      <c r="Z5" s="2">
        <f t="shared" si="17"/>
        <v>2.0687368367360805E-15</v>
      </c>
      <c r="AA5" s="2">
        <f t="shared" si="18"/>
        <v>1245793323.0824678</v>
      </c>
    </row>
    <row r="6" spans="1:27" x14ac:dyDescent="0.25">
      <c r="A6" s="1">
        <v>12</v>
      </c>
      <c r="B6" s="1">
        <f t="shared" si="4"/>
        <v>0.2</v>
      </c>
      <c r="C6" s="1">
        <v>20</v>
      </c>
      <c r="D6" s="1">
        <f t="shared" si="0"/>
        <v>29.146000000000001</v>
      </c>
      <c r="E6" s="1">
        <f t="shared" si="5"/>
        <v>4.8576666666666667E-7</v>
      </c>
      <c r="F6" s="1">
        <v>21.1</v>
      </c>
      <c r="G6" s="1">
        <f t="shared" si="6"/>
        <v>294.10000000000002</v>
      </c>
      <c r="H6" s="1">
        <v>101.3</v>
      </c>
      <c r="I6" s="1">
        <f t="shared" si="7"/>
        <v>101300</v>
      </c>
      <c r="J6" s="1">
        <f t="shared" si="8"/>
        <v>2.0124824921938581E-5</v>
      </c>
      <c r="K6" s="22">
        <v>23.93069306930693</v>
      </c>
      <c r="L6" s="1">
        <f t="shared" si="9"/>
        <v>2.3930693069306931E-5</v>
      </c>
      <c r="M6" s="1">
        <f t="shared" si="10"/>
        <v>4.7762865441819992E-3</v>
      </c>
      <c r="N6" s="29">
        <f t="shared" si="11"/>
        <v>1.0083168248502381E-7</v>
      </c>
      <c r="O6" s="29">
        <f t="shared" si="12"/>
        <v>2.032E-3</v>
      </c>
      <c r="P6" s="29">
        <v>4.7360646624728548E-11</v>
      </c>
      <c r="Q6" s="2">
        <v>0.11</v>
      </c>
      <c r="R6" s="2">
        <f t="shared" si="13"/>
        <v>111000.00000000001</v>
      </c>
      <c r="S6" s="2">
        <f t="shared" si="14"/>
        <v>5.1398579432804297E-3</v>
      </c>
      <c r="T6" s="2">
        <v>0.06</v>
      </c>
      <c r="U6" s="2">
        <f t="shared" si="15"/>
        <v>106000</v>
      </c>
      <c r="V6" s="2">
        <f t="shared" si="1"/>
        <v>2.5366534653465349</v>
      </c>
      <c r="W6" s="2">
        <f t="shared" si="16"/>
        <v>5</v>
      </c>
      <c r="X6" s="2">
        <f t="shared" si="2"/>
        <v>8.5836153179512673E-8</v>
      </c>
      <c r="Y6" s="2">
        <f t="shared" si="3"/>
        <v>108559.60102612106</v>
      </c>
      <c r="Z6" s="2">
        <f t="shared" si="17"/>
        <v>4.0640895762052637E-15</v>
      </c>
      <c r="AA6" s="2">
        <f t="shared" si="18"/>
        <v>2447394742.7908101</v>
      </c>
    </row>
    <row r="7" spans="1:27" x14ac:dyDescent="0.25">
      <c r="A7" s="1">
        <v>15</v>
      </c>
      <c r="B7" s="1">
        <f t="shared" si="4"/>
        <v>0.25</v>
      </c>
      <c r="C7" s="1">
        <v>20</v>
      </c>
      <c r="D7" s="1">
        <f t="shared" si="0"/>
        <v>29.146000000000001</v>
      </c>
      <c r="E7" s="1">
        <f t="shared" si="5"/>
        <v>4.8576666666666667E-7</v>
      </c>
      <c r="F7" s="1">
        <v>21.1</v>
      </c>
      <c r="G7" s="1">
        <f t="shared" si="6"/>
        <v>294.10000000000002</v>
      </c>
      <c r="H7" s="1">
        <v>101.3</v>
      </c>
      <c r="I7" s="1">
        <f t="shared" si="7"/>
        <v>101300</v>
      </c>
      <c r="J7" s="1">
        <f t="shared" si="8"/>
        <v>2.0124824921938581E-5</v>
      </c>
      <c r="K7" s="22">
        <v>26.232673267326735</v>
      </c>
      <c r="L7" s="1">
        <f t="shared" si="9"/>
        <v>2.6232673267326735E-5</v>
      </c>
      <c r="M7" s="1">
        <f t="shared" si="10"/>
        <v>4.7762865441819992E-3</v>
      </c>
      <c r="N7" s="29">
        <f t="shared" si="11"/>
        <v>1.1053104788749301E-7</v>
      </c>
      <c r="O7" s="29">
        <f t="shared" si="12"/>
        <v>2.032E-3</v>
      </c>
      <c r="P7" s="29">
        <v>4.7360646624728548E-11</v>
      </c>
      <c r="Q7" s="2">
        <v>0.11</v>
      </c>
      <c r="R7" s="2">
        <f t="shared" si="13"/>
        <v>111000.00000000001</v>
      </c>
      <c r="S7" s="2">
        <f t="shared" si="14"/>
        <v>5.1398579432804297E-3</v>
      </c>
      <c r="T7" s="2">
        <v>0.06</v>
      </c>
      <c r="U7" s="2">
        <f t="shared" si="15"/>
        <v>106000</v>
      </c>
      <c r="V7" s="2">
        <f t="shared" si="1"/>
        <v>2.780663366336634</v>
      </c>
      <c r="W7" s="2">
        <f t="shared" si="16"/>
        <v>5</v>
      </c>
      <c r="X7" s="2">
        <f t="shared" si="2"/>
        <v>9.7279952459319557E-8</v>
      </c>
      <c r="Y7" s="2">
        <f t="shared" si="3"/>
        <v>108236.29282926966</v>
      </c>
      <c r="Z7" s="2">
        <f t="shared" si="17"/>
        <v>4.6196887300816268E-15</v>
      </c>
      <c r="AA7" s="2">
        <f t="shared" si="18"/>
        <v>2781976553.2551556</v>
      </c>
    </row>
    <row r="8" spans="1:27" x14ac:dyDescent="0.25">
      <c r="A8" s="1">
        <v>18</v>
      </c>
      <c r="B8" s="1">
        <f t="shared" si="4"/>
        <v>0.3</v>
      </c>
      <c r="C8" s="1">
        <v>20</v>
      </c>
      <c r="D8" s="1">
        <f t="shared" si="0"/>
        <v>29.146000000000001</v>
      </c>
      <c r="E8" s="1">
        <f t="shared" si="5"/>
        <v>4.8576666666666667E-7</v>
      </c>
      <c r="F8" s="1">
        <v>21.1</v>
      </c>
      <c r="G8" s="1">
        <f t="shared" si="6"/>
        <v>294.10000000000002</v>
      </c>
      <c r="H8" s="1">
        <v>101.3</v>
      </c>
      <c r="I8" s="1">
        <f t="shared" si="7"/>
        <v>101300</v>
      </c>
      <c r="J8" s="1">
        <f t="shared" si="8"/>
        <v>2.0124824921938581E-5</v>
      </c>
      <c r="K8" s="22">
        <v>18.089108910891088</v>
      </c>
      <c r="L8" s="1">
        <f t="shared" si="9"/>
        <v>1.8089108910891088E-5</v>
      </c>
      <c r="M8" s="1">
        <f t="shared" si="10"/>
        <v>4.7762865441819992E-3</v>
      </c>
      <c r="N8" s="29">
        <f t="shared" si="11"/>
        <v>7.6218239098112734E-8</v>
      </c>
      <c r="O8" s="29">
        <f t="shared" si="12"/>
        <v>2.032E-3</v>
      </c>
      <c r="P8" s="29">
        <v>4.7360646624728548E-11</v>
      </c>
      <c r="Q8" s="2">
        <v>0.11</v>
      </c>
      <c r="R8" s="2">
        <f t="shared" si="13"/>
        <v>111000.00000000001</v>
      </c>
      <c r="S8" s="2">
        <f t="shared" si="14"/>
        <v>5.1398579432804297E-3</v>
      </c>
      <c r="T8" s="2">
        <v>0.06</v>
      </c>
      <c r="U8" s="2">
        <f t="shared" si="15"/>
        <v>106000</v>
      </c>
      <c r="V8" s="2">
        <f t="shared" si="1"/>
        <v>1.9174455445544554</v>
      </c>
      <c r="W8" s="2">
        <f t="shared" si="16"/>
        <v>5</v>
      </c>
      <c r="X8" s="2">
        <f t="shared" si="2"/>
        <v>5.6375494024089219E-8</v>
      </c>
      <c r="Y8" s="2">
        <f t="shared" si="3"/>
        <v>109394.13669278206</v>
      </c>
      <c r="Z8" s="2">
        <f t="shared" si="17"/>
        <v>2.6488358382343611E-15</v>
      </c>
      <c r="AA8" s="2">
        <f t="shared" si="18"/>
        <v>1595128941.7847323</v>
      </c>
    </row>
    <row r="9" spans="1:27" x14ac:dyDescent="0.25">
      <c r="A9" s="1">
        <v>21</v>
      </c>
      <c r="B9" s="1">
        <f t="shared" si="4"/>
        <v>0.35</v>
      </c>
      <c r="C9" s="1">
        <v>20</v>
      </c>
      <c r="D9" s="1">
        <f t="shared" si="0"/>
        <v>29.146000000000001</v>
      </c>
      <c r="E9" s="1">
        <f t="shared" si="5"/>
        <v>4.8576666666666667E-7</v>
      </c>
      <c r="F9" s="1">
        <v>21.1</v>
      </c>
      <c r="G9" s="1">
        <f t="shared" si="6"/>
        <v>294.10000000000002</v>
      </c>
      <c r="H9" s="1">
        <v>101.3</v>
      </c>
      <c r="I9" s="1">
        <f t="shared" si="7"/>
        <v>101300</v>
      </c>
      <c r="J9" s="1">
        <f t="shared" si="8"/>
        <v>2.0124824921938581E-5</v>
      </c>
      <c r="K9" s="22">
        <v>16.876237623762375</v>
      </c>
      <c r="L9" s="1">
        <f t="shared" si="9"/>
        <v>1.6876237623762375E-5</v>
      </c>
      <c r="M9" s="1">
        <f t="shared" si="10"/>
        <v>4.7762865441819992E-3</v>
      </c>
      <c r="N9" s="29">
        <f t="shared" si="11"/>
        <v>7.1107820767779502E-8</v>
      </c>
      <c r="O9" s="29">
        <f t="shared" si="12"/>
        <v>2.032E-3</v>
      </c>
      <c r="P9" s="29">
        <v>4.7360646624728548E-11</v>
      </c>
      <c r="Q9" s="2">
        <v>0.11</v>
      </c>
      <c r="R9" s="2">
        <f t="shared" si="13"/>
        <v>111000.00000000001</v>
      </c>
      <c r="S9" s="2">
        <f t="shared" si="14"/>
        <v>5.1398579432804297E-3</v>
      </c>
      <c r="T9" s="2">
        <v>0.06</v>
      </c>
      <c r="U9" s="2">
        <f t="shared" si="15"/>
        <v>106000</v>
      </c>
      <c r="V9" s="2">
        <f t="shared" si="1"/>
        <v>1.7888811881188118</v>
      </c>
      <c r="W9" s="2">
        <f t="shared" si="16"/>
        <v>5</v>
      </c>
      <c r="X9" s="2">
        <f t="shared" si="2"/>
        <v>5.0164314778268932E-8</v>
      </c>
      <c r="Y9" s="2">
        <f t="shared" si="3"/>
        <v>109570.48938150849</v>
      </c>
      <c r="Z9" s="2">
        <f t="shared" si="17"/>
        <v>2.3532035207586631E-15</v>
      </c>
      <c r="AA9" s="2">
        <f t="shared" si="18"/>
        <v>1417099160.2008669</v>
      </c>
    </row>
    <row r="10" spans="1:27" x14ac:dyDescent="0.25">
      <c r="A10" s="1">
        <v>24</v>
      </c>
      <c r="B10" s="1">
        <f t="shared" si="4"/>
        <v>0.4</v>
      </c>
      <c r="C10" s="1">
        <v>20</v>
      </c>
      <c r="D10" s="1">
        <f t="shared" si="0"/>
        <v>29.146000000000001</v>
      </c>
      <c r="E10" s="1">
        <f t="shared" si="5"/>
        <v>4.8576666666666667E-7</v>
      </c>
      <c r="F10" s="1">
        <v>21.1</v>
      </c>
      <c r="G10" s="1">
        <f t="shared" si="6"/>
        <v>294.10000000000002</v>
      </c>
      <c r="H10" s="1">
        <v>101.3</v>
      </c>
      <c r="I10" s="1">
        <f t="shared" si="7"/>
        <v>101300</v>
      </c>
      <c r="J10" s="1">
        <f t="shared" si="8"/>
        <v>2.0124824921938581E-5</v>
      </c>
      <c r="K10" s="22">
        <v>18.732673267326735</v>
      </c>
      <c r="L10" s="1">
        <f t="shared" si="9"/>
        <v>1.8732673267326736E-5</v>
      </c>
      <c r="M10" s="1">
        <f t="shared" si="10"/>
        <v>4.7762865441819992E-3</v>
      </c>
      <c r="N10" s="29">
        <f t="shared" si="11"/>
        <v>7.8929889640738563E-8</v>
      </c>
      <c r="O10" s="29">
        <f t="shared" si="12"/>
        <v>2.032E-3</v>
      </c>
      <c r="P10" s="29">
        <v>4.7360646624728548E-11</v>
      </c>
      <c r="Q10" s="2">
        <v>0.11</v>
      </c>
      <c r="R10" s="2">
        <f t="shared" si="13"/>
        <v>111000.00000000001</v>
      </c>
      <c r="S10" s="2">
        <f t="shared" si="14"/>
        <v>5.1398579432804297E-3</v>
      </c>
      <c r="T10" s="2">
        <v>0.06</v>
      </c>
      <c r="U10" s="2">
        <f t="shared" si="15"/>
        <v>106000</v>
      </c>
      <c r="V10" s="2">
        <f t="shared" si="1"/>
        <v>1.9856633663366341</v>
      </c>
      <c r="W10" s="2">
        <f t="shared" si="16"/>
        <v>5</v>
      </c>
      <c r="X10" s="2">
        <f t="shared" si="2"/>
        <v>5.9656243825727219E-8</v>
      </c>
      <c r="Y10" s="2">
        <f t="shared" si="3"/>
        <v>109301.04438722212</v>
      </c>
      <c r="Z10" s="2">
        <f t="shared" si="17"/>
        <v>2.8053729123928288E-15</v>
      </c>
      <c r="AA10" s="2">
        <f t="shared" si="18"/>
        <v>1689395567.8429615</v>
      </c>
    </row>
    <row r="11" spans="1:27" x14ac:dyDescent="0.25">
      <c r="A11" s="1">
        <v>27</v>
      </c>
      <c r="B11" s="1">
        <f t="shared" si="4"/>
        <v>0.45</v>
      </c>
      <c r="C11" s="1">
        <v>20</v>
      </c>
      <c r="D11" s="1">
        <f t="shared" si="0"/>
        <v>29.146000000000001</v>
      </c>
      <c r="E11" s="1">
        <f t="shared" si="5"/>
        <v>4.8576666666666667E-7</v>
      </c>
      <c r="F11" s="1">
        <v>21.1</v>
      </c>
      <c r="G11" s="1">
        <f t="shared" si="6"/>
        <v>294.10000000000002</v>
      </c>
      <c r="H11" s="1">
        <v>101.3</v>
      </c>
      <c r="I11" s="1">
        <f t="shared" si="7"/>
        <v>101300</v>
      </c>
      <c r="J11" s="1">
        <f t="shared" si="8"/>
        <v>2.0124824921938581E-5</v>
      </c>
      <c r="K11" s="22">
        <v>17.495049504950494</v>
      </c>
      <c r="L11" s="1">
        <f t="shared" si="9"/>
        <v>1.7495049504950494E-5</v>
      </c>
      <c r="M11" s="1">
        <f t="shared" si="10"/>
        <v>4.7762865441819992E-3</v>
      </c>
      <c r="N11" s="29">
        <f t="shared" si="11"/>
        <v>7.3715177058765851E-8</v>
      </c>
      <c r="O11" s="29">
        <f t="shared" si="12"/>
        <v>2.032E-3</v>
      </c>
      <c r="P11" s="29">
        <v>4.7360646624728548E-11</v>
      </c>
      <c r="Q11" s="2">
        <v>0.11</v>
      </c>
      <c r="R11" s="2">
        <f t="shared" si="13"/>
        <v>111000.00000000001</v>
      </c>
      <c r="S11" s="2">
        <f t="shared" si="14"/>
        <v>5.1398579432804297E-3</v>
      </c>
      <c r="T11" s="2">
        <v>0.06</v>
      </c>
      <c r="U11" s="2">
        <f t="shared" si="15"/>
        <v>106000</v>
      </c>
      <c r="V11" s="2">
        <f t="shared" si="1"/>
        <v>1.8544752475247523</v>
      </c>
      <c r="W11" s="2">
        <f t="shared" si="16"/>
        <v>5</v>
      </c>
      <c r="X11" s="2">
        <f t="shared" si="2"/>
        <v>5.3338054054884143E-8</v>
      </c>
      <c r="Y11" s="2">
        <f t="shared" si="3"/>
        <v>109480.36033293302</v>
      </c>
      <c r="Z11" s="2">
        <f t="shared" si="17"/>
        <v>2.5041447055323656E-15</v>
      </c>
      <c r="AA11" s="2">
        <f t="shared" si="18"/>
        <v>1507995941.6715906</v>
      </c>
    </row>
    <row r="12" spans="1:27" x14ac:dyDescent="0.25">
      <c r="A12" s="1">
        <v>30</v>
      </c>
      <c r="B12" s="1">
        <f t="shared" si="4"/>
        <v>0.5</v>
      </c>
      <c r="C12" s="1">
        <v>20</v>
      </c>
      <c r="D12" s="1">
        <f t="shared" si="0"/>
        <v>29.146000000000001</v>
      </c>
      <c r="E12" s="1">
        <f t="shared" si="5"/>
        <v>4.8576666666666667E-7</v>
      </c>
      <c r="F12" s="1">
        <v>21.1</v>
      </c>
      <c r="G12" s="1">
        <f t="shared" si="6"/>
        <v>294.10000000000002</v>
      </c>
      <c r="H12" s="1">
        <v>101.3</v>
      </c>
      <c r="I12" s="1">
        <f t="shared" si="7"/>
        <v>101300</v>
      </c>
      <c r="J12" s="1">
        <f t="shared" si="8"/>
        <v>2.0124824921938581E-5</v>
      </c>
      <c r="K12" s="22">
        <v>22.24752475247525</v>
      </c>
      <c r="L12" s="1">
        <f t="shared" si="9"/>
        <v>2.224752475247525E-5</v>
      </c>
      <c r="M12" s="1">
        <f t="shared" si="10"/>
        <v>4.7762865441819992E-3</v>
      </c>
      <c r="N12" s="29">
        <f t="shared" si="11"/>
        <v>9.373967337354097E-8</v>
      </c>
      <c r="O12" s="29">
        <f t="shared" si="12"/>
        <v>2.032E-3</v>
      </c>
      <c r="P12" s="29">
        <v>4.7360646624728548E-11</v>
      </c>
      <c r="Q12" s="2">
        <v>0.11</v>
      </c>
      <c r="R12" s="2">
        <f t="shared" si="13"/>
        <v>111000.00000000001</v>
      </c>
      <c r="S12" s="2">
        <f t="shared" si="14"/>
        <v>5.1398579432804297E-3</v>
      </c>
      <c r="T12" s="2">
        <v>0.06</v>
      </c>
      <c r="U12" s="2">
        <f t="shared" si="15"/>
        <v>106000</v>
      </c>
      <c r="V12" s="2">
        <f t="shared" si="1"/>
        <v>2.3582376237623763</v>
      </c>
      <c r="W12" s="2">
        <f t="shared" si="16"/>
        <v>5</v>
      </c>
      <c r="X12" s="2">
        <f t="shared" si="2"/>
        <v>7.7414874760137453E-8</v>
      </c>
      <c r="Y12" s="2">
        <f t="shared" si="3"/>
        <v>108797.82544742398</v>
      </c>
      <c r="Z12" s="2">
        <f t="shared" si="17"/>
        <v>3.6573348979387393E-15</v>
      </c>
      <c r="AA12" s="2">
        <f t="shared" si="18"/>
        <v>2202447075.5387087</v>
      </c>
    </row>
    <row r="13" spans="1:27" x14ac:dyDescent="0.25">
      <c r="A13" s="1">
        <v>33</v>
      </c>
      <c r="B13" s="1">
        <f t="shared" si="4"/>
        <v>0.55000000000000004</v>
      </c>
      <c r="C13" s="1">
        <v>20</v>
      </c>
      <c r="D13" s="1">
        <f t="shared" si="0"/>
        <v>29.146000000000001</v>
      </c>
      <c r="E13" s="1">
        <f t="shared" si="5"/>
        <v>4.8576666666666667E-7</v>
      </c>
      <c r="F13" s="1">
        <v>21.1</v>
      </c>
      <c r="G13" s="1">
        <f t="shared" si="6"/>
        <v>294.10000000000002</v>
      </c>
      <c r="H13" s="1">
        <v>101.3</v>
      </c>
      <c r="I13" s="1">
        <f t="shared" si="7"/>
        <v>101300</v>
      </c>
      <c r="J13" s="1">
        <f t="shared" si="8"/>
        <v>2.0124824921938581E-5</v>
      </c>
      <c r="K13" s="22">
        <v>26.133663366336638</v>
      </c>
      <c r="L13" s="1">
        <f t="shared" si="9"/>
        <v>2.6133663366336639E-5</v>
      </c>
      <c r="M13" s="1">
        <f t="shared" si="10"/>
        <v>4.7762865441819992E-3</v>
      </c>
      <c r="N13" s="29">
        <f t="shared" si="11"/>
        <v>1.1011387088093521E-7</v>
      </c>
      <c r="O13" s="29">
        <f t="shared" si="12"/>
        <v>2.032E-3</v>
      </c>
      <c r="P13" s="29">
        <v>4.7360646624728548E-11</v>
      </c>
      <c r="Q13" s="2">
        <v>0.11</v>
      </c>
      <c r="R13" s="2">
        <f t="shared" si="13"/>
        <v>111000.00000000001</v>
      </c>
      <c r="S13" s="2">
        <f t="shared" si="14"/>
        <v>5.1398579432804297E-3</v>
      </c>
      <c r="T13" s="2">
        <v>0.06</v>
      </c>
      <c r="U13" s="2">
        <f t="shared" si="15"/>
        <v>106000</v>
      </c>
      <c r="V13" s="2">
        <f t="shared" si="1"/>
        <v>2.770168316831684</v>
      </c>
      <c r="W13" s="2">
        <f t="shared" si="16"/>
        <v>5</v>
      </c>
      <c r="X13" s="2">
        <f t="shared" si="2"/>
        <v>9.6789360490797746E-8</v>
      </c>
      <c r="Y13" s="2">
        <f t="shared" si="3"/>
        <v>108250.14305518279</v>
      </c>
      <c r="Z13" s="2">
        <f t="shared" si="17"/>
        <v>4.5958026516135548E-15</v>
      </c>
      <c r="AA13" s="2">
        <f t="shared" si="18"/>
        <v>2767592356.8016829</v>
      </c>
    </row>
    <row r="14" spans="1:27" x14ac:dyDescent="0.25">
      <c r="A14" s="1">
        <v>36</v>
      </c>
      <c r="B14" s="1">
        <f t="shared" si="4"/>
        <v>0.6</v>
      </c>
      <c r="C14" s="1">
        <v>20</v>
      </c>
      <c r="D14" s="1">
        <f t="shared" si="0"/>
        <v>29.146000000000001</v>
      </c>
      <c r="E14" s="1">
        <f t="shared" si="5"/>
        <v>4.8576666666666667E-7</v>
      </c>
      <c r="F14" s="1">
        <v>21.1</v>
      </c>
      <c r="G14" s="1">
        <f t="shared" si="6"/>
        <v>294.10000000000002</v>
      </c>
      <c r="H14" s="1">
        <v>101.3</v>
      </c>
      <c r="I14" s="1">
        <f t="shared" si="7"/>
        <v>101300</v>
      </c>
      <c r="J14" s="1">
        <f t="shared" si="8"/>
        <v>2.0124824921938581E-5</v>
      </c>
      <c r="K14" s="22">
        <v>21.925742574257427</v>
      </c>
      <c r="L14" s="1">
        <f t="shared" si="9"/>
        <v>2.1925742574257426E-5</v>
      </c>
      <c r="M14" s="1">
        <f t="shared" si="10"/>
        <v>4.7762865441819992E-3</v>
      </c>
      <c r="N14" s="29">
        <f t="shared" si="11"/>
        <v>9.2383848102228055E-8</v>
      </c>
      <c r="O14" s="29">
        <f t="shared" si="12"/>
        <v>2.032E-3</v>
      </c>
      <c r="P14" s="29">
        <v>4.7360646624728548E-11</v>
      </c>
      <c r="Q14" s="2">
        <v>0.11</v>
      </c>
      <c r="R14" s="2">
        <f t="shared" si="13"/>
        <v>111000.00000000001</v>
      </c>
      <c r="S14" s="2">
        <f t="shared" si="14"/>
        <v>5.1398579432804297E-3</v>
      </c>
      <c r="T14" s="2">
        <v>0.06</v>
      </c>
      <c r="U14" s="2">
        <f t="shared" si="15"/>
        <v>106000</v>
      </c>
      <c r="V14" s="2">
        <f t="shared" si="1"/>
        <v>2.3241287128712873</v>
      </c>
      <c r="W14" s="2">
        <f t="shared" si="16"/>
        <v>5</v>
      </c>
      <c r="X14" s="2">
        <f t="shared" si="2"/>
        <v>7.5799262760461257E-8</v>
      </c>
      <c r="Y14" s="2">
        <f t="shared" si="3"/>
        <v>108843.5583625486</v>
      </c>
      <c r="Z14" s="2">
        <f t="shared" si="17"/>
        <v>3.5795022496450357E-15</v>
      </c>
      <c r="AA14" s="2">
        <f t="shared" si="18"/>
        <v>2155576254.7362404</v>
      </c>
    </row>
    <row r="15" spans="1:27" x14ac:dyDescent="0.25">
      <c r="A15" s="1">
        <v>39</v>
      </c>
      <c r="B15" s="1">
        <f t="shared" si="4"/>
        <v>0.65</v>
      </c>
      <c r="C15" s="1">
        <v>20</v>
      </c>
      <c r="D15" s="1">
        <f t="shared" si="0"/>
        <v>29.146000000000001</v>
      </c>
      <c r="E15" s="1">
        <f t="shared" si="5"/>
        <v>4.8576666666666667E-7</v>
      </c>
      <c r="F15" s="1">
        <v>21.1</v>
      </c>
      <c r="G15" s="1">
        <f t="shared" si="6"/>
        <v>294.10000000000002</v>
      </c>
      <c r="H15" s="1">
        <v>101.3</v>
      </c>
      <c r="I15" s="1">
        <f t="shared" si="7"/>
        <v>101300</v>
      </c>
      <c r="J15" s="1">
        <f t="shared" si="8"/>
        <v>2.0124824921938581E-5</v>
      </c>
      <c r="K15" s="22">
        <v>24.599009900990101</v>
      </c>
      <c r="L15" s="1">
        <f t="shared" si="9"/>
        <v>2.4599009900990102E-5</v>
      </c>
      <c r="M15" s="1">
        <f t="shared" si="10"/>
        <v>4.7762865441819992E-3</v>
      </c>
      <c r="N15" s="29">
        <f t="shared" si="11"/>
        <v>1.0364762727928908E-7</v>
      </c>
      <c r="O15" s="29">
        <f t="shared" si="12"/>
        <v>2.032E-3</v>
      </c>
      <c r="P15" s="29">
        <v>4.7360646624728548E-11</v>
      </c>
      <c r="Q15" s="2">
        <v>0.11</v>
      </c>
      <c r="R15" s="2">
        <f t="shared" si="13"/>
        <v>111000.00000000001</v>
      </c>
      <c r="S15" s="2">
        <f t="shared" si="14"/>
        <v>5.1398579432804297E-3</v>
      </c>
      <c r="T15" s="2">
        <v>0.06</v>
      </c>
      <c r="U15" s="2">
        <f t="shared" si="15"/>
        <v>106000</v>
      </c>
      <c r="V15" s="2">
        <f t="shared" si="1"/>
        <v>2.6074950495049509</v>
      </c>
      <c r="W15" s="2">
        <f t="shared" si="16"/>
        <v>5</v>
      </c>
      <c r="X15" s="2">
        <f t="shared" si="2"/>
        <v>8.9166876868474839E-8</v>
      </c>
      <c r="Y15" s="2">
        <f t="shared" si="3"/>
        <v>108465.45226500525</v>
      </c>
      <c r="Z15" s="2">
        <f t="shared" si="17"/>
        <v>4.2254569417018376E-15</v>
      </c>
      <c r="AA15" s="2">
        <f t="shared" si="18"/>
        <v>2544570170.2928467</v>
      </c>
    </row>
    <row r="16" spans="1:27" x14ac:dyDescent="0.25">
      <c r="A16" s="1">
        <v>42</v>
      </c>
      <c r="B16" s="1">
        <f t="shared" si="4"/>
        <v>0.7</v>
      </c>
      <c r="C16" s="1">
        <v>20</v>
      </c>
      <c r="D16" s="1">
        <f t="shared" si="0"/>
        <v>29.146000000000001</v>
      </c>
      <c r="E16" s="1">
        <f t="shared" si="5"/>
        <v>4.8576666666666667E-7</v>
      </c>
      <c r="F16" s="1">
        <v>21.1</v>
      </c>
      <c r="G16" s="1">
        <f t="shared" si="6"/>
        <v>294.10000000000002</v>
      </c>
      <c r="H16" s="1">
        <v>101.3</v>
      </c>
      <c r="I16" s="1">
        <f t="shared" si="7"/>
        <v>101300</v>
      </c>
      <c r="J16" s="1">
        <f t="shared" si="8"/>
        <v>2.0124824921938581E-5</v>
      </c>
      <c r="K16" s="22">
        <v>27.841584158415845</v>
      </c>
      <c r="L16" s="1">
        <f t="shared" si="9"/>
        <v>2.7841584158415846E-5</v>
      </c>
      <c r="M16" s="1">
        <f t="shared" si="10"/>
        <v>4.7762865441819992E-3</v>
      </c>
      <c r="N16" s="29">
        <f t="shared" si="11"/>
        <v>1.1731017424405751E-7</v>
      </c>
      <c r="O16" s="29">
        <f t="shared" si="12"/>
        <v>2.032E-3</v>
      </c>
      <c r="P16" s="29">
        <v>4.7360646624728548E-11</v>
      </c>
      <c r="Q16" s="2">
        <v>0.11</v>
      </c>
      <c r="R16" s="2">
        <f t="shared" si="13"/>
        <v>111000.00000000001</v>
      </c>
      <c r="S16" s="2">
        <f t="shared" si="14"/>
        <v>5.1398579432804297E-3</v>
      </c>
      <c r="T16" s="2">
        <v>0.06</v>
      </c>
      <c r="U16" s="2">
        <f t="shared" si="15"/>
        <v>106000</v>
      </c>
      <c r="V16" s="2">
        <f t="shared" si="1"/>
        <v>2.9512079207920796</v>
      </c>
      <c r="W16" s="2">
        <f t="shared" si="16"/>
        <v>5</v>
      </c>
      <c r="X16" s="2">
        <f t="shared" si="2"/>
        <v>1.0523321004420664E-7</v>
      </c>
      <c r="Y16" s="2">
        <f t="shared" si="3"/>
        <v>108011.88278358945</v>
      </c>
      <c r="Z16" s="2">
        <f t="shared" si="17"/>
        <v>5.0077687340484641E-15</v>
      </c>
      <c r="AA16" s="2">
        <f t="shared" si="18"/>
        <v>3015678331.6439853</v>
      </c>
    </row>
    <row r="17" spans="1:75" s="4" customFormat="1" x14ac:dyDescent="0.25">
      <c r="A17" s="1">
        <v>45</v>
      </c>
      <c r="B17" s="1">
        <f t="shared" si="4"/>
        <v>0.75</v>
      </c>
      <c r="C17" s="1">
        <v>20</v>
      </c>
      <c r="D17" s="1">
        <f t="shared" si="0"/>
        <v>29.146000000000001</v>
      </c>
      <c r="E17" s="1">
        <f t="shared" si="5"/>
        <v>4.8576666666666667E-7</v>
      </c>
      <c r="F17" s="1">
        <v>21.1</v>
      </c>
      <c r="G17" s="1">
        <f t="shared" si="6"/>
        <v>294.10000000000002</v>
      </c>
      <c r="H17" s="1">
        <v>101.3</v>
      </c>
      <c r="I17" s="1">
        <f t="shared" si="7"/>
        <v>101300</v>
      </c>
      <c r="J17" s="1">
        <f t="shared" si="8"/>
        <v>2.0124824921938581E-5</v>
      </c>
      <c r="K17" s="22">
        <v>22.89108910891089</v>
      </c>
      <c r="L17" s="1">
        <f t="shared" si="9"/>
        <v>2.2891089108910892E-5</v>
      </c>
      <c r="M17" s="1">
        <f t="shared" si="10"/>
        <v>4.7762865441819992E-3</v>
      </c>
      <c r="N17" s="29">
        <f t="shared" si="11"/>
        <v>9.6451323916166759E-8</v>
      </c>
      <c r="O17" s="29">
        <f t="shared" si="12"/>
        <v>2.032E-3</v>
      </c>
      <c r="P17" s="29">
        <v>4.7360646624728548E-11</v>
      </c>
      <c r="Q17" s="2">
        <v>0.11</v>
      </c>
      <c r="R17" s="2">
        <f t="shared" si="13"/>
        <v>111000.00000000001</v>
      </c>
      <c r="S17" s="2">
        <f t="shared" si="14"/>
        <v>5.1398579432804297E-3</v>
      </c>
      <c r="T17" s="2">
        <v>0.06</v>
      </c>
      <c r="U17" s="2">
        <f t="shared" si="15"/>
        <v>106000</v>
      </c>
      <c r="V17" s="2">
        <f t="shared" si="1"/>
        <v>2.4264554455445544</v>
      </c>
      <c r="W17" s="2">
        <f t="shared" si="16"/>
        <v>5</v>
      </c>
      <c r="X17" s="2">
        <f t="shared" si="2"/>
        <v>8.0640522515791211E-8</v>
      </c>
      <c r="Y17" s="2">
        <f t="shared" si="3"/>
        <v>108706.54620983354</v>
      </c>
      <c r="Z17" s="2">
        <f t="shared" si="17"/>
        <v>3.8129266042499061E-15</v>
      </c>
      <c r="AA17" s="2">
        <f t="shared" si="18"/>
        <v>2296144401.0792937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spans="1:75" s="4" customFormat="1" x14ac:dyDescent="0.25">
      <c r="A18" s="1">
        <v>48</v>
      </c>
      <c r="B18" s="1">
        <f t="shared" si="4"/>
        <v>0.8</v>
      </c>
      <c r="C18" s="1">
        <v>20</v>
      </c>
      <c r="D18" s="1">
        <f t="shared" si="0"/>
        <v>29.146000000000001</v>
      </c>
      <c r="E18" s="1">
        <f t="shared" si="5"/>
        <v>4.8576666666666667E-7</v>
      </c>
      <c r="F18" s="1">
        <v>21.1</v>
      </c>
      <c r="G18" s="1">
        <f t="shared" si="6"/>
        <v>294.10000000000002</v>
      </c>
      <c r="H18" s="1">
        <v>101.3</v>
      </c>
      <c r="I18" s="1">
        <f t="shared" si="7"/>
        <v>101300</v>
      </c>
      <c r="J18" s="1">
        <f t="shared" si="8"/>
        <v>2.0124824921938581E-5</v>
      </c>
      <c r="K18" s="22">
        <v>30.316831683168314</v>
      </c>
      <c r="L18" s="1">
        <f t="shared" si="9"/>
        <v>3.0316831683168314E-5</v>
      </c>
      <c r="M18" s="1">
        <f t="shared" si="10"/>
        <v>4.7762865441819992E-3</v>
      </c>
      <c r="N18" s="29">
        <f t="shared" si="11"/>
        <v>1.2773959940800286E-7</v>
      </c>
      <c r="O18" s="29">
        <f t="shared" si="12"/>
        <v>2.032E-3</v>
      </c>
      <c r="P18" s="29">
        <v>4.7360646624728548E-11</v>
      </c>
      <c r="Q18" s="2">
        <v>0.11</v>
      </c>
      <c r="R18" s="2">
        <f t="shared" si="13"/>
        <v>111000.00000000001</v>
      </c>
      <c r="S18" s="2">
        <f t="shared" si="14"/>
        <v>5.1398579432804297E-3</v>
      </c>
      <c r="T18" s="2">
        <v>0.06</v>
      </c>
      <c r="U18" s="2">
        <f t="shared" si="15"/>
        <v>106000</v>
      </c>
      <c r="V18" s="2">
        <f t="shared" si="1"/>
        <v>3.2135841584158413</v>
      </c>
      <c r="W18" s="2">
        <f t="shared" si="16"/>
        <v>5</v>
      </c>
      <c r="X18" s="2">
        <f t="shared" si="2"/>
        <v>1.1740461297057072E-7</v>
      </c>
      <c r="Y18" s="2">
        <f t="shared" si="3"/>
        <v>107668.90395706159</v>
      </c>
      <c r="Z18" s="2">
        <f t="shared" si="17"/>
        <v>5.6047848712483095E-15</v>
      </c>
      <c r="AA18" s="2">
        <f t="shared" si="18"/>
        <v>3375201449.4657321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 spans="1:75" s="4" customFormat="1" x14ac:dyDescent="0.25">
      <c r="A19" s="1">
        <v>51</v>
      </c>
      <c r="B19" s="1">
        <f t="shared" si="4"/>
        <v>0.85</v>
      </c>
      <c r="C19" s="1">
        <v>20</v>
      </c>
      <c r="D19" s="1">
        <f t="shared" si="0"/>
        <v>29.146000000000001</v>
      </c>
      <c r="E19" s="1">
        <f t="shared" si="5"/>
        <v>4.8576666666666667E-7</v>
      </c>
      <c r="F19" s="1">
        <v>21.1</v>
      </c>
      <c r="G19" s="1">
        <f t="shared" si="6"/>
        <v>294.10000000000002</v>
      </c>
      <c r="H19" s="1">
        <v>101.3</v>
      </c>
      <c r="I19" s="1">
        <f t="shared" si="7"/>
        <v>101300</v>
      </c>
      <c r="J19" s="1">
        <f t="shared" si="8"/>
        <v>2.0124824921938581E-5</v>
      </c>
      <c r="K19" s="22">
        <v>27.940594059405942</v>
      </c>
      <c r="L19" s="1">
        <f t="shared" si="9"/>
        <v>2.7940594059405943E-5</v>
      </c>
      <c r="M19" s="1">
        <f t="shared" si="10"/>
        <v>4.7762865441819992E-3</v>
      </c>
      <c r="N19" s="29">
        <f t="shared" si="11"/>
        <v>1.1772735125061533E-7</v>
      </c>
      <c r="O19" s="29">
        <f t="shared" si="12"/>
        <v>2.032E-3</v>
      </c>
      <c r="P19" s="29">
        <v>4.7360646624728548E-11</v>
      </c>
      <c r="Q19" s="2">
        <v>0.11</v>
      </c>
      <c r="R19" s="2">
        <f t="shared" si="13"/>
        <v>111000.00000000001</v>
      </c>
      <c r="S19" s="2">
        <f t="shared" si="14"/>
        <v>5.1398579432804297E-3</v>
      </c>
      <c r="T19" s="2">
        <v>0.06</v>
      </c>
      <c r="U19" s="2">
        <f t="shared" si="15"/>
        <v>106000</v>
      </c>
      <c r="V19" s="2">
        <f t="shared" si="1"/>
        <v>2.9617029702970301</v>
      </c>
      <c r="W19" s="2">
        <f t="shared" si="16"/>
        <v>5</v>
      </c>
      <c r="X19" s="2">
        <f t="shared" si="2"/>
        <v>1.0572151870639408E-7</v>
      </c>
      <c r="Y19" s="2">
        <f t="shared" si="3"/>
        <v>107998.11219733841</v>
      </c>
      <c r="Z19" s="2">
        <f t="shared" si="17"/>
        <v>5.0316480435579173E-15</v>
      </c>
      <c r="AA19" s="2">
        <f t="shared" si="18"/>
        <v>3030058451.8305779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 spans="1:75" s="4" customFormat="1" x14ac:dyDescent="0.25">
      <c r="A20" s="1">
        <v>54</v>
      </c>
      <c r="B20" s="1">
        <f t="shared" si="4"/>
        <v>0.9</v>
      </c>
      <c r="C20" s="1">
        <v>20</v>
      </c>
      <c r="D20" s="1">
        <f t="shared" si="0"/>
        <v>29.146000000000001</v>
      </c>
      <c r="E20" s="1">
        <f t="shared" si="5"/>
        <v>4.8576666666666667E-7</v>
      </c>
      <c r="F20" s="1">
        <v>21.1</v>
      </c>
      <c r="G20" s="1">
        <f t="shared" si="6"/>
        <v>294.10000000000002</v>
      </c>
      <c r="H20" s="1">
        <v>101.3</v>
      </c>
      <c r="I20" s="1">
        <f t="shared" si="7"/>
        <v>101300</v>
      </c>
      <c r="J20" s="1">
        <f t="shared" si="8"/>
        <v>2.0124824921938581E-5</v>
      </c>
      <c r="K20" s="22">
        <v>26.653465346534652</v>
      </c>
      <c r="L20" s="1">
        <f t="shared" si="9"/>
        <v>2.6653465346534652E-5</v>
      </c>
      <c r="M20" s="1">
        <f t="shared" si="10"/>
        <v>4.7762865441819992E-3</v>
      </c>
      <c r="N20" s="29">
        <f t="shared" si="11"/>
        <v>1.1230405016536371E-7</v>
      </c>
      <c r="O20" s="29">
        <f t="shared" si="12"/>
        <v>2.032E-3</v>
      </c>
      <c r="P20" s="29">
        <v>4.7360646624728548E-11</v>
      </c>
      <c r="Q20" s="2">
        <v>0.11</v>
      </c>
      <c r="R20" s="2">
        <f t="shared" si="13"/>
        <v>111000.00000000001</v>
      </c>
      <c r="S20" s="2">
        <f t="shared" si="14"/>
        <v>5.1398579432804297E-3</v>
      </c>
      <c r="T20" s="2">
        <v>0.06</v>
      </c>
      <c r="U20" s="2">
        <f t="shared" si="15"/>
        <v>106000</v>
      </c>
      <c r="V20" s="2">
        <f t="shared" si="1"/>
        <v>2.8252673267326731</v>
      </c>
      <c r="W20" s="2">
        <f t="shared" si="16"/>
        <v>5</v>
      </c>
      <c r="X20" s="2">
        <f t="shared" si="2"/>
        <v>9.9363433513510267E-8</v>
      </c>
      <c r="Y20" s="2">
        <f t="shared" si="3"/>
        <v>108177.48257182715</v>
      </c>
      <c r="Z20" s="2">
        <f t="shared" si="17"/>
        <v>4.721197605261886E-15</v>
      </c>
      <c r="AA20" s="2">
        <f t="shared" si="18"/>
        <v>2843105197.8887076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 spans="1:75" s="4" customFormat="1" x14ac:dyDescent="0.25">
      <c r="A21" s="1">
        <v>57</v>
      </c>
      <c r="B21" s="1">
        <f t="shared" si="4"/>
        <v>0.95</v>
      </c>
      <c r="C21" s="1">
        <v>20</v>
      </c>
      <c r="D21" s="1">
        <f t="shared" si="0"/>
        <v>29.146000000000001</v>
      </c>
      <c r="E21" s="1">
        <f t="shared" si="5"/>
        <v>4.8576666666666667E-7</v>
      </c>
      <c r="F21" s="1">
        <v>21.1</v>
      </c>
      <c r="G21" s="1">
        <f t="shared" si="6"/>
        <v>294.10000000000002</v>
      </c>
      <c r="H21" s="1">
        <v>101.3</v>
      </c>
      <c r="I21" s="1">
        <f t="shared" si="7"/>
        <v>101300</v>
      </c>
      <c r="J21" s="1">
        <f t="shared" si="8"/>
        <v>2.0124824921938581E-5</v>
      </c>
      <c r="K21" s="22">
        <v>32.89108910891089</v>
      </c>
      <c r="L21" s="1">
        <f t="shared" si="9"/>
        <v>3.2891089108910891E-5</v>
      </c>
      <c r="M21" s="1">
        <f t="shared" si="10"/>
        <v>4.7762865441819992E-3</v>
      </c>
      <c r="N21" s="29">
        <f t="shared" si="11"/>
        <v>1.3858620157850604E-7</v>
      </c>
      <c r="O21" s="29">
        <f t="shared" si="12"/>
        <v>2.032E-3</v>
      </c>
      <c r="P21" s="29">
        <v>4.7360646624728548E-11</v>
      </c>
      <c r="Q21" s="2">
        <v>0.11</v>
      </c>
      <c r="R21" s="2">
        <f t="shared" si="13"/>
        <v>111000.00000000001</v>
      </c>
      <c r="S21" s="2">
        <f t="shared" si="14"/>
        <v>5.1398579432804297E-3</v>
      </c>
      <c r="T21" s="2">
        <v>0.06</v>
      </c>
      <c r="U21" s="2">
        <f t="shared" si="15"/>
        <v>106000</v>
      </c>
      <c r="V21" s="2">
        <f t="shared" si="1"/>
        <v>3.4864554455445544</v>
      </c>
      <c r="W21" s="2">
        <f t="shared" si="16"/>
        <v>5</v>
      </c>
      <c r="X21" s="2">
        <f t="shared" si="2"/>
        <v>1.2998896865960653E-7</v>
      </c>
      <c r="Y21" s="2">
        <f t="shared" si="3"/>
        <v>107314.86198680218</v>
      </c>
      <c r="Z21" s="2">
        <f t="shared" si="17"/>
        <v>6.2260392227353553E-15</v>
      </c>
      <c r="AA21" s="2">
        <f t="shared" si="18"/>
        <v>3749320819.931231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 spans="1:75" s="4" customFormat="1" x14ac:dyDescent="0.25">
      <c r="A22" s="1">
        <v>60</v>
      </c>
      <c r="B22" s="1">
        <f t="shared" si="4"/>
        <v>1</v>
      </c>
      <c r="C22" s="1">
        <v>20</v>
      </c>
      <c r="D22" s="1">
        <f t="shared" si="0"/>
        <v>29.146000000000001</v>
      </c>
      <c r="E22" s="1">
        <f t="shared" si="5"/>
        <v>4.8576666666666667E-7</v>
      </c>
      <c r="F22" s="1">
        <v>21.1</v>
      </c>
      <c r="G22" s="1">
        <f t="shared" si="6"/>
        <v>294.10000000000002</v>
      </c>
      <c r="H22" s="1">
        <v>101.3</v>
      </c>
      <c r="I22" s="1">
        <f t="shared" si="7"/>
        <v>101300</v>
      </c>
      <c r="J22" s="1">
        <f t="shared" si="8"/>
        <v>2.0124824921938581E-5</v>
      </c>
      <c r="K22" s="22">
        <v>37.24752475247525</v>
      </c>
      <c r="L22" s="1">
        <f t="shared" si="9"/>
        <v>3.7247524752475249E-5</v>
      </c>
      <c r="M22" s="1">
        <f t="shared" si="10"/>
        <v>4.7762865441819992E-3</v>
      </c>
      <c r="N22" s="29">
        <f t="shared" si="11"/>
        <v>1.5694198986704989E-7</v>
      </c>
      <c r="O22" s="29">
        <f t="shared" si="12"/>
        <v>2.032E-3</v>
      </c>
      <c r="P22" s="29">
        <v>4.7360646624728548E-11</v>
      </c>
      <c r="Q22" s="2">
        <v>0.11</v>
      </c>
      <c r="R22" s="2">
        <f t="shared" si="13"/>
        <v>111000.00000000001</v>
      </c>
      <c r="S22" s="2">
        <f t="shared" si="14"/>
        <v>5.1398579432804297E-3</v>
      </c>
      <c r="T22" s="2">
        <v>0.06</v>
      </c>
      <c r="U22" s="2">
        <f t="shared" si="15"/>
        <v>106000</v>
      </c>
      <c r="V22" s="2">
        <f t="shared" si="1"/>
        <v>3.9482376237623762</v>
      </c>
      <c r="W22" s="2">
        <f t="shared" si="16"/>
        <v>5</v>
      </c>
      <c r="X22" s="2">
        <f t="shared" si="2"/>
        <v>1.5113726415882804E-7</v>
      </c>
      <c r="Y22" s="2">
        <f t="shared" si="3"/>
        <v>106721.19963781173</v>
      </c>
      <c r="Z22" s="2">
        <f t="shared" si="17"/>
        <v>7.2792735712368296E-15</v>
      </c>
      <c r="AA22" s="2">
        <f t="shared" si="18"/>
        <v>4383578544.5988188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 spans="1:75" s="4" customFormat="1" x14ac:dyDescent="0.25">
      <c r="A23" s="1">
        <v>63</v>
      </c>
      <c r="B23" s="1">
        <f t="shared" si="4"/>
        <v>1.05</v>
      </c>
      <c r="C23" s="1">
        <v>20</v>
      </c>
      <c r="D23" s="1">
        <f t="shared" si="0"/>
        <v>29.146000000000001</v>
      </c>
      <c r="E23" s="1">
        <f t="shared" si="5"/>
        <v>4.8576666666666667E-7</v>
      </c>
      <c r="F23" s="1">
        <v>21.1</v>
      </c>
      <c r="G23" s="1">
        <f t="shared" si="6"/>
        <v>294.10000000000002</v>
      </c>
      <c r="H23" s="1">
        <v>101.3</v>
      </c>
      <c r="I23" s="1">
        <f t="shared" si="7"/>
        <v>101300</v>
      </c>
      <c r="J23" s="1">
        <f t="shared" si="8"/>
        <v>2.0124824921938581E-5</v>
      </c>
      <c r="K23" s="22">
        <v>27.198019801980198</v>
      </c>
      <c r="L23" s="1">
        <f t="shared" si="9"/>
        <v>2.7198019801980198E-5</v>
      </c>
      <c r="M23" s="1">
        <f t="shared" si="10"/>
        <v>4.7762865441819992E-3</v>
      </c>
      <c r="N23" s="29">
        <f t="shared" si="11"/>
        <v>1.1459852370143169E-7</v>
      </c>
      <c r="O23" s="29">
        <f t="shared" si="12"/>
        <v>2.032E-3</v>
      </c>
      <c r="P23" s="29">
        <v>4.7360646624728548E-11</v>
      </c>
      <c r="Q23" s="2">
        <v>0.11</v>
      </c>
      <c r="R23" s="2">
        <f t="shared" si="13"/>
        <v>111000.00000000001</v>
      </c>
      <c r="S23" s="2">
        <f t="shared" si="14"/>
        <v>5.1398579432804297E-3</v>
      </c>
      <c r="T23" s="2">
        <v>0.06</v>
      </c>
      <c r="U23" s="2">
        <f t="shared" si="15"/>
        <v>106000</v>
      </c>
      <c r="V23" s="2">
        <f t="shared" si="1"/>
        <v>2.8829900990099011</v>
      </c>
      <c r="W23" s="2">
        <f t="shared" si="16"/>
        <v>5</v>
      </c>
      <c r="X23" s="2">
        <f t="shared" si="2"/>
        <v>1.0205608744999653E-7</v>
      </c>
      <c r="Y23" s="2">
        <f t="shared" si="3"/>
        <v>108101.5009127541</v>
      </c>
      <c r="Z23" s="2">
        <f t="shared" si="17"/>
        <v>4.8525485507622934E-15</v>
      </c>
      <c r="AA23" s="2">
        <f t="shared" si="18"/>
        <v>2922204737.2690535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 spans="1:75" s="4" customFormat="1" x14ac:dyDescent="0.25">
      <c r="A24" s="1">
        <v>66</v>
      </c>
      <c r="B24" s="1">
        <f t="shared" si="4"/>
        <v>1.1000000000000001</v>
      </c>
      <c r="C24" s="1">
        <v>20</v>
      </c>
      <c r="D24" s="1">
        <f t="shared" si="0"/>
        <v>29.146000000000001</v>
      </c>
      <c r="E24" s="1">
        <f t="shared" si="5"/>
        <v>4.8576666666666667E-7</v>
      </c>
      <c r="F24" s="1">
        <v>21.1</v>
      </c>
      <c r="G24" s="1">
        <f t="shared" si="6"/>
        <v>294.10000000000002</v>
      </c>
      <c r="H24" s="1">
        <v>101.3</v>
      </c>
      <c r="I24" s="1">
        <f t="shared" si="7"/>
        <v>101300</v>
      </c>
      <c r="J24" s="1">
        <f t="shared" si="8"/>
        <v>2.0124824921938581E-5</v>
      </c>
      <c r="K24" s="22">
        <v>31.158415841584159</v>
      </c>
      <c r="L24" s="1">
        <f t="shared" si="9"/>
        <v>3.1158415841584158E-5</v>
      </c>
      <c r="M24" s="1">
        <f t="shared" si="10"/>
        <v>4.7762865441819992E-3</v>
      </c>
      <c r="N24" s="29">
        <f t="shared" si="11"/>
        <v>1.3128560396374428E-7</v>
      </c>
      <c r="O24" s="29">
        <f t="shared" si="12"/>
        <v>2.032E-3</v>
      </c>
      <c r="P24" s="29">
        <v>4.7360646624728548E-11</v>
      </c>
      <c r="Q24" s="2">
        <v>0.11</v>
      </c>
      <c r="R24" s="2">
        <f t="shared" si="13"/>
        <v>111000.00000000001</v>
      </c>
      <c r="S24" s="2">
        <f t="shared" si="14"/>
        <v>5.1398579432804297E-3</v>
      </c>
      <c r="T24" s="2">
        <v>0.06</v>
      </c>
      <c r="U24" s="2">
        <f t="shared" si="15"/>
        <v>106000</v>
      </c>
      <c r="V24" s="2">
        <f t="shared" si="1"/>
        <v>3.3027920792079208</v>
      </c>
      <c r="W24" s="2">
        <f t="shared" si="16"/>
        <v>5</v>
      </c>
      <c r="X24" s="2">
        <f t="shared" si="2"/>
        <v>1.2152657370020327E-7</v>
      </c>
      <c r="Y24" s="2">
        <f t="shared" si="3"/>
        <v>107552.87456406366</v>
      </c>
      <c r="Z24" s="2">
        <f t="shared" si="17"/>
        <v>5.807827170868883E-15</v>
      </c>
      <c r="AA24" s="2">
        <f t="shared" si="18"/>
        <v>3497473522.2972417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 spans="1:75" s="4" customFormat="1" x14ac:dyDescent="0.25">
      <c r="A25" s="1">
        <v>69</v>
      </c>
      <c r="B25" s="1">
        <f t="shared" si="4"/>
        <v>1.1499999999999999</v>
      </c>
      <c r="C25" s="1">
        <v>20</v>
      </c>
      <c r="D25" s="1">
        <f t="shared" si="0"/>
        <v>29.146000000000001</v>
      </c>
      <c r="E25" s="1">
        <f t="shared" si="5"/>
        <v>4.8576666666666667E-7</v>
      </c>
      <c r="F25" s="1">
        <v>21.1</v>
      </c>
      <c r="G25" s="1">
        <f t="shared" si="6"/>
        <v>294.10000000000002</v>
      </c>
      <c r="H25" s="1">
        <v>101.3</v>
      </c>
      <c r="I25" s="1">
        <f t="shared" si="7"/>
        <v>101300</v>
      </c>
      <c r="J25" s="1">
        <f t="shared" si="8"/>
        <v>2.0124824921938581E-5</v>
      </c>
      <c r="K25" s="22">
        <v>33.163366336633665</v>
      </c>
      <c r="L25" s="1">
        <f t="shared" si="9"/>
        <v>3.3163366336633663E-5</v>
      </c>
      <c r="M25" s="1">
        <f t="shared" si="10"/>
        <v>4.7762865441819992E-3</v>
      </c>
      <c r="N25" s="29">
        <f t="shared" si="11"/>
        <v>1.3973343834654005E-7</v>
      </c>
      <c r="O25" s="29">
        <f t="shared" si="12"/>
        <v>2.032E-3</v>
      </c>
      <c r="P25" s="29">
        <v>4.7360646624728548E-11</v>
      </c>
      <c r="Q25" s="2">
        <v>0.11</v>
      </c>
      <c r="R25" s="2">
        <f t="shared" si="13"/>
        <v>111000.00000000001</v>
      </c>
      <c r="S25" s="2">
        <f t="shared" si="14"/>
        <v>5.1398579432804297E-3</v>
      </c>
      <c r="T25" s="2">
        <v>0.06</v>
      </c>
      <c r="U25" s="2">
        <f t="shared" si="15"/>
        <v>106000</v>
      </c>
      <c r="V25" s="2">
        <f t="shared" si="1"/>
        <v>3.5153168316831684</v>
      </c>
      <c r="W25" s="2">
        <f t="shared" si="16"/>
        <v>5</v>
      </c>
      <c r="X25" s="2">
        <f t="shared" si="2"/>
        <v>1.3131596541902944E-7</v>
      </c>
      <c r="Y25" s="2">
        <f t="shared" si="3"/>
        <v>107277.56290571658</v>
      </c>
      <c r="Z25" s="2">
        <f t="shared" si="17"/>
        <v>6.2917865327985498E-15</v>
      </c>
      <c r="AA25" s="2">
        <f t="shared" si="18"/>
        <v>3788913850.0512867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 spans="1:75" s="4" customFormat="1" x14ac:dyDescent="0.25">
      <c r="A26" s="1">
        <v>72</v>
      </c>
      <c r="B26" s="1">
        <f t="shared" si="4"/>
        <v>1.2</v>
      </c>
      <c r="C26" s="1">
        <v>20</v>
      </c>
      <c r="D26" s="1">
        <f t="shared" si="0"/>
        <v>29.146000000000001</v>
      </c>
      <c r="E26" s="1">
        <f t="shared" si="5"/>
        <v>4.8576666666666667E-7</v>
      </c>
      <c r="F26" s="1">
        <v>21.1</v>
      </c>
      <c r="G26" s="1">
        <f t="shared" si="6"/>
        <v>294.10000000000002</v>
      </c>
      <c r="H26" s="1">
        <v>101.3</v>
      </c>
      <c r="I26" s="1">
        <f t="shared" si="7"/>
        <v>101300</v>
      </c>
      <c r="J26" s="1">
        <f t="shared" si="8"/>
        <v>2.0124824921938581E-5</v>
      </c>
      <c r="K26" s="22">
        <v>40.960396039603964</v>
      </c>
      <c r="L26" s="1">
        <f t="shared" si="9"/>
        <v>4.0960396039603965E-5</v>
      </c>
      <c r="M26" s="1">
        <f t="shared" si="10"/>
        <v>4.7762865441819992E-3</v>
      </c>
      <c r="N26" s="29">
        <f t="shared" si="11"/>
        <v>1.7258612761296796E-7</v>
      </c>
      <c r="O26" s="29">
        <f t="shared" si="12"/>
        <v>2.032E-3</v>
      </c>
      <c r="P26" s="29">
        <v>4.7360646624728548E-11</v>
      </c>
      <c r="Q26" s="2">
        <v>0.11</v>
      </c>
      <c r="R26" s="2">
        <f t="shared" si="13"/>
        <v>111000.00000000001</v>
      </c>
      <c r="S26" s="2">
        <f t="shared" si="14"/>
        <v>5.1398579432804297E-3</v>
      </c>
      <c r="T26" s="2">
        <v>0.06</v>
      </c>
      <c r="U26" s="2">
        <f t="shared" si="15"/>
        <v>106000</v>
      </c>
      <c r="V26" s="2">
        <f t="shared" si="1"/>
        <v>4.3418019801980199</v>
      </c>
      <c r="W26" s="2">
        <f t="shared" si="16"/>
        <v>5</v>
      </c>
      <c r="X26" s="2">
        <f t="shared" si="2"/>
        <v>1.6903480472933122E-7</v>
      </c>
      <c r="Y26" s="2">
        <f t="shared" si="3"/>
        <v>106220.0769565308</v>
      </c>
      <c r="Z26" s="2">
        <f t="shared" si="17"/>
        <v>8.1797191585100734E-15</v>
      </c>
      <c r="AA26" s="2">
        <f t="shared" si="18"/>
        <v>4925826877.2547665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 spans="1:75" s="4" customFormat="1" x14ac:dyDescent="0.25">
      <c r="A27" s="1">
        <v>75</v>
      </c>
      <c r="B27" s="1">
        <f t="shared" si="4"/>
        <v>1.25</v>
      </c>
      <c r="C27" s="1">
        <v>20</v>
      </c>
      <c r="D27" s="1">
        <f t="shared" si="0"/>
        <v>29.146000000000001</v>
      </c>
      <c r="E27" s="1">
        <f t="shared" si="5"/>
        <v>4.8576666666666667E-7</v>
      </c>
      <c r="F27" s="1">
        <v>21.1</v>
      </c>
      <c r="G27" s="1">
        <f t="shared" si="6"/>
        <v>294.10000000000002</v>
      </c>
      <c r="H27" s="1">
        <v>101.3</v>
      </c>
      <c r="I27" s="1">
        <f t="shared" si="7"/>
        <v>101300</v>
      </c>
      <c r="J27" s="1">
        <f t="shared" si="8"/>
        <v>2.0124824921938581E-5</v>
      </c>
      <c r="K27" s="22">
        <v>35.118811881188122</v>
      </c>
      <c r="L27" s="1">
        <f t="shared" si="9"/>
        <v>3.5118811881188124E-5</v>
      </c>
      <c r="M27" s="1">
        <f t="shared" si="10"/>
        <v>4.7762865441819992E-3</v>
      </c>
      <c r="N27" s="29">
        <f t="shared" si="11"/>
        <v>1.4797268422605688E-7</v>
      </c>
      <c r="O27" s="29">
        <f t="shared" si="12"/>
        <v>2.032E-3</v>
      </c>
      <c r="P27" s="29">
        <v>4.7360646624728548E-11</v>
      </c>
      <c r="Q27" s="2">
        <v>0.11</v>
      </c>
      <c r="R27" s="2">
        <f t="shared" si="13"/>
        <v>111000.00000000001</v>
      </c>
      <c r="S27" s="2">
        <f t="shared" si="14"/>
        <v>5.1398579432804297E-3</v>
      </c>
      <c r="T27" s="2">
        <v>0.06</v>
      </c>
      <c r="U27" s="2">
        <f t="shared" si="15"/>
        <v>106000</v>
      </c>
      <c r="V27" s="2">
        <f t="shared" si="1"/>
        <v>3.722594059405941</v>
      </c>
      <c r="W27" s="2">
        <f t="shared" si="16"/>
        <v>5</v>
      </c>
      <c r="X27" s="2">
        <f t="shared" si="2"/>
        <v>1.4082510810954657E-7</v>
      </c>
      <c r="Y27" s="2">
        <f t="shared" si="3"/>
        <v>107010.47063650165</v>
      </c>
      <c r="Z27" s="2">
        <f t="shared" si="17"/>
        <v>6.7642561218951167E-15</v>
      </c>
      <c r="AA27" s="2">
        <f t="shared" si="18"/>
        <v>4073435036.6052394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 spans="1:75" s="4" customFormat="1" x14ac:dyDescent="0.25">
      <c r="A28" s="1">
        <v>78</v>
      </c>
      <c r="B28" s="1">
        <f t="shared" si="4"/>
        <v>1.3</v>
      </c>
      <c r="C28" s="1">
        <v>20</v>
      </c>
      <c r="D28" s="1">
        <f t="shared" si="0"/>
        <v>29.146000000000001</v>
      </c>
      <c r="E28" s="1">
        <f t="shared" si="5"/>
        <v>4.8576666666666667E-7</v>
      </c>
      <c r="F28" s="1">
        <v>21.1</v>
      </c>
      <c r="G28" s="1">
        <f t="shared" si="6"/>
        <v>294.10000000000002</v>
      </c>
      <c r="H28" s="1">
        <v>101.3</v>
      </c>
      <c r="I28" s="1">
        <f t="shared" si="7"/>
        <v>101300</v>
      </c>
      <c r="J28" s="1">
        <f t="shared" si="8"/>
        <v>2.0124824921938581E-5</v>
      </c>
      <c r="K28" s="22">
        <v>39.029702970297031</v>
      </c>
      <c r="L28" s="1">
        <f t="shared" si="9"/>
        <v>3.9029702970297033E-5</v>
      </c>
      <c r="M28" s="1">
        <f t="shared" si="10"/>
        <v>4.7762865441819992E-3</v>
      </c>
      <c r="N28" s="29">
        <f t="shared" si="11"/>
        <v>1.6445117598509055E-7</v>
      </c>
      <c r="O28" s="29">
        <f t="shared" si="12"/>
        <v>2.032E-3</v>
      </c>
      <c r="P28" s="29">
        <v>4.7360646624728548E-11</v>
      </c>
      <c r="Q28" s="2">
        <v>0.11</v>
      </c>
      <c r="R28" s="2">
        <f t="shared" si="13"/>
        <v>111000.00000000001</v>
      </c>
      <c r="S28" s="2">
        <f t="shared" si="14"/>
        <v>5.1398579432804297E-3</v>
      </c>
      <c r="T28" s="2">
        <v>0.06</v>
      </c>
      <c r="U28" s="2">
        <f t="shared" si="15"/>
        <v>106000</v>
      </c>
      <c r="V28" s="2">
        <f t="shared" si="1"/>
        <v>4.1371485148514857</v>
      </c>
      <c r="W28" s="2">
        <f t="shared" si="16"/>
        <v>5</v>
      </c>
      <c r="X28" s="2">
        <f t="shared" si="2"/>
        <v>1.5974145294350476E-7</v>
      </c>
      <c r="Y28" s="2">
        <f t="shared" si="3"/>
        <v>106480.13922093101</v>
      </c>
      <c r="Z28" s="2">
        <f t="shared" si="17"/>
        <v>7.7111119858202501E-15</v>
      </c>
      <c r="AA28" s="2">
        <f t="shared" si="18"/>
        <v>4643631637.8609552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 spans="1:75" s="4" customFormat="1" x14ac:dyDescent="0.25">
      <c r="A29" s="1">
        <v>81</v>
      </c>
      <c r="B29" s="1">
        <f t="shared" si="4"/>
        <v>1.35</v>
      </c>
      <c r="C29" s="1">
        <v>20</v>
      </c>
      <c r="D29" s="1">
        <f t="shared" si="0"/>
        <v>29.146000000000001</v>
      </c>
      <c r="E29" s="1">
        <f t="shared" si="5"/>
        <v>4.8576666666666667E-7</v>
      </c>
      <c r="F29" s="1">
        <v>21.1</v>
      </c>
      <c r="G29" s="1">
        <f t="shared" si="6"/>
        <v>294.10000000000002</v>
      </c>
      <c r="H29" s="1">
        <v>101.3</v>
      </c>
      <c r="I29" s="1">
        <f t="shared" si="7"/>
        <v>101300</v>
      </c>
      <c r="J29" s="1">
        <f t="shared" si="8"/>
        <v>2.0124824921938581E-5</v>
      </c>
      <c r="K29" s="22">
        <v>41.480198019801982</v>
      </c>
      <c r="L29" s="1">
        <f t="shared" si="9"/>
        <v>4.1480198019801981E-5</v>
      </c>
      <c r="M29" s="1">
        <f t="shared" si="10"/>
        <v>4.7762865441819992E-3</v>
      </c>
      <c r="N29" s="29">
        <f t="shared" si="11"/>
        <v>1.7477630689739647E-7</v>
      </c>
      <c r="O29" s="29">
        <f t="shared" si="12"/>
        <v>2.032E-3</v>
      </c>
      <c r="P29" s="29">
        <v>4.7360646624728548E-11</v>
      </c>
      <c r="Q29" s="2">
        <v>0.11</v>
      </c>
      <c r="R29" s="2">
        <f t="shared" si="13"/>
        <v>111000.00000000001</v>
      </c>
      <c r="S29" s="2">
        <f t="shared" si="14"/>
        <v>5.1398579432804297E-3</v>
      </c>
      <c r="T29" s="2">
        <v>0.06</v>
      </c>
      <c r="U29" s="2">
        <f t="shared" si="15"/>
        <v>106000</v>
      </c>
      <c r="V29" s="2">
        <f t="shared" si="1"/>
        <v>4.3969009900990104</v>
      </c>
      <c r="W29" s="2">
        <f t="shared" si="16"/>
        <v>5</v>
      </c>
      <c r="X29" s="2">
        <f t="shared" si="2"/>
        <v>1.715321699905233E-7</v>
      </c>
      <c r="Y29" s="2">
        <f t="shared" si="3"/>
        <v>106150.24566859816</v>
      </c>
      <c r="Z29" s="2">
        <f t="shared" si="17"/>
        <v>8.3060336008445836E-15</v>
      </c>
      <c r="AA29" s="2">
        <f t="shared" si="18"/>
        <v>5001893434.4286089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</row>
    <row r="30" spans="1:75" s="4" customFormat="1" x14ac:dyDescent="0.25">
      <c r="A30" s="1">
        <v>84</v>
      </c>
      <c r="B30" s="1">
        <f t="shared" si="4"/>
        <v>1.4</v>
      </c>
      <c r="C30" s="1">
        <v>20</v>
      </c>
      <c r="D30" s="1">
        <f t="shared" si="0"/>
        <v>29.146000000000001</v>
      </c>
      <c r="E30" s="1">
        <f t="shared" si="5"/>
        <v>4.8576666666666667E-7</v>
      </c>
      <c r="F30" s="1">
        <v>21.1</v>
      </c>
      <c r="G30" s="1">
        <f t="shared" si="6"/>
        <v>294.10000000000002</v>
      </c>
      <c r="H30" s="1">
        <v>101.3</v>
      </c>
      <c r="I30" s="1">
        <f t="shared" si="7"/>
        <v>101300</v>
      </c>
      <c r="J30" s="1">
        <f t="shared" si="8"/>
        <v>2.0124824921938581E-5</v>
      </c>
      <c r="K30" s="22">
        <v>35.292079207920793</v>
      </c>
      <c r="L30" s="1">
        <f t="shared" si="9"/>
        <v>3.5292079207920794E-5</v>
      </c>
      <c r="M30" s="1">
        <f t="shared" si="10"/>
        <v>4.7762865441819992E-3</v>
      </c>
      <c r="N30" s="29">
        <f t="shared" si="11"/>
        <v>1.4870274398753305E-7</v>
      </c>
      <c r="O30" s="29">
        <f t="shared" si="12"/>
        <v>2.032E-3</v>
      </c>
      <c r="P30" s="29">
        <v>4.7360646624728548E-11</v>
      </c>
      <c r="Q30" s="2">
        <v>0.11</v>
      </c>
      <c r="R30" s="2">
        <f t="shared" si="13"/>
        <v>111000.00000000001</v>
      </c>
      <c r="S30" s="2">
        <f t="shared" si="14"/>
        <v>5.1398579432804297E-3</v>
      </c>
      <c r="T30" s="2">
        <v>0.06</v>
      </c>
      <c r="U30" s="2">
        <f t="shared" si="15"/>
        <v>106000</v>
      </c>
      <c r="V30" s="2">
        <f t="shared" si="1"/>
        <v>3.7409603960396041</v>
      </c>
      <c r="W30" s="2">
        <f t="shared" si="16"/>
        <v>5</v>
      </c>
      <c r="X30" s="2">
        <f t="shared" si="2"/>
        <v>1.4166596510992815E-7</v>
      </c>
      <c r="Y30" s="2">
        <f t="shared" si="3"/>
        <v>106986.86871244805</v>
      </c>
      <c r="Z30" s="2">
        <f t="shared" si="17"/>
        <v>6.8061473931695382E-15</v>
      </c>
      <c r="AA30" s="2">
        <f t="shared" si="18"/>
        <v>4098661960.1666961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</row>
    <row r="31" spans="1:75" s="4" customFormat="1" x14ac:dyDescent="0.25">
      <c r="A31" s="1">
        <v>87</v>
      </c>
      <c r="B31" s="1">
        <f t="shared" si="4"/>
        <v>1.45</v>
      </c>
      <c r="C31" s="1">
        <v>20</v>
      </c>
      <c r="D31" s="1">
        <f t="shared" si="0"/>
        <v>29.146000000000001</v>
      </c>
      <c r="E31" s="1">
        <f t="shared" si="5"/>
        <v>4.8576666666666667E-7</v>
      </c>
      <c r="F31" s="1">
        <v>21.1</v>
      </c>
      <c r="G31" s="1">
        <f t="shared" si="6"/>
        <v>294.10000000000002</v>
      </c>
      <c r="H31" s="1">
        <v>101.3</v>
      </c>
      <c r="I31" s="1">
        <f t="shared" si="7"/>
        <v>101300</v>
      </c>
      <c r="J31" s="1">
        <f t="shared" si="8"/>
        <v>2.0124824921938581E-5</v>
      </c>
      <c r="K31" s="22">
        <v>30.861386138613859</v>
      </c>
      <c r="L31" s="1">
        <f t="shared" si="9"/>
        <v>3.0861386138613863E-5</v>
      </c>
      <c r="M31" s="1">
        <f t="shared" si="10"/>
        <v>4.7762865441819992E-3</v>
      </c>
      <c r="N31" s="29">
        <f t="shared" si="11"/>
        <v>1.3003407294407085E-7</v>
      </c>
      <c r="O31" s="29">
        <f t="shared" si="12"/>
        <v>2.032E-3</v>
      </c>
      <c r="P31" s="29">
        <v>4.7360646624728548E-11</v>
      </c>
      <c r="Q31" s="2">
        <v>0.11</v>
      </c>
      <c r="R31" s="2">
        <f t="shared" si="13"/>
        <v>111000.00000000001</v>
      </c>
      <c r="S31" s="2">
        <f t="shared" si="14"/>
        <v>5.1398579432804297E-3</v>
      </c>
      <c r="T31" s="2">
        <v>0.06</v>
      </c>
      <c r="U31" s="2">
        <f t="shared" si="15"/>
        <v>106000</v>
      </c>
      <c r="V31" s="2">
        <f t="shared" si="1"/>
        <v>3.2713069306930693</v>
      </c>
      <c r="W31" s="2">
        <f t="shared" si="16"/>
        <v>5</v>
      </c>
      <c r="X31" s="2">
        <f t="shared" si="2"/>
        <v>1.2007266258668674E-7</v>
      </c>
      <c r="Y31" s="2">
        <f t="shared" si="3"/>
        <v>107593.79368026594</v>
      </c>
      <c r="Z31" s="2">
        <f t="shared" si="17"/>
        <v>5.7361597931972309E-15</v>
      </c>
      <c r="AA31" s="2">
        <f t="shared" si="18"/>
        <v>3454315427.4633727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</row>
    <row r="32" spans="1:75" s="4" customFormat="1" x14ac:dyDescent="0.25">
      <c r="A32" s="1">
        <v>90</v>
      </c>
      <c r="B32" s="1">
        <f t="shared" si="4"/>
        <v>1.5</v>
      </c>
      <c r="C32" s="1">
        <v>20</v>
      </c>
      <c r="D32" s="1">
        <f t="shared" si="0"/>
        <v>29.146000000000001</v>
      </c>
      <c r="E32" s="1">
        <f t="shared" si="5"/>
        <v>4.8576666666666667E-7</v>
      </c>
      <c r="F32" s="1">
        <v>21.1</v>
      </c>
      <c r="G32" s="1">
        <f t="shared" si="6"/>
        <v>294.10000000000002</v>
      </c>
      <c r="H32" s="1">
        <v>101.3</v>
      </c>
      <c r="I32" s="1">
        <f t="shared" si="7"/>
        <v>101300</v>
      </c>
      <c r="J32" s="1">
        <f t="shared" si="8"/>
        <v>2.0124824921938581E-5</v>
      </c>
      <c r="K32" s="22">
        <v>43.831683168316829</v>
      </c>
      <c r="L32" s="1">
        <f t="shared" si="9"/>
        <v>4.3831683168316827E-5</v>
      </c>
      <c r="M32" s="1">
        <f t="shared" si="10"/>
        <v>4.7762865441819992E-3</v>
      </c>
      <c r="N32" s="29">
        <f t="shared" si="11"/>
        <v>1.8468426080314455E-7</v>
      </c>
      <c r="O32" s="29">
        <f t="shared" si="12"/>
        <v>2.032E-3</v>
      </c>
      <c r="P32" s="29">
        <v>4.7360646624728548E-11</v>
      </c>
      <c r="Q32" s="2">
        <v>0.11</v>
      </c>
      <c r="R32" s="2">
        <f t="shared" si="13"/>
        <v>111000.00000000001</v>
      </c>
      <c r="S32" s="2">
        <f t="shared" si="14"/>
        <v>5.1398579432804297E-3</v>
      </c>
      <c r="T32" s="2">
        <v>0.06</v>
      </c>
      <c r="U32" s="2">
        <f t="shared" si="15"/>
        <v>106000</v>
      </c>
      <c r="V32" s="2">
        <f t="shared" si="1"/>
        <v>4.6461584158415841</v>
      </c>
      <c r="W32" s="2">
        <f t="shared" si="16"/>
        <v>5</v>
      </c>
      <c r="X32" s="2">
        <f t="shared" si="2"/>
        <v>1.8280631228838769E-7</v>
      </c>
      <c r="Y32" s="2">
        <f t="shared" si="3"/>
        <v>105835.28408981569</v>
      </c>
      <c r="Z32" s="2">
        <f t="shared" si="17"/>
        <v>8.8783219553710588E-15</v>
      </c>
      <c r="AA32" s="2">
        <f t="shared" si="18"/>
        <v>5346525481.5244522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</row>
    <row r="33" spans="1:75" s="4" customFormat="1" x14ac:dyDescent="0.25">
      <c r="A33" s="1">
        <v>93</v>
      </c>
      <c r="B33" s="1">
        <f t="shared" si="4"/>
        <v>1.55</v>
      </c>
      <c r="C33" s="1">
        <v>20</v>
      </c>
      <c r="D33" s="1">
        <f t="shared" si="0"/>
        <v>29.146000000000001</v>
      </c>
      <c r="E33" s="1">
        <f t="shared" si="5"/>
        <v>4.8576666666666667E-7</v>
      </c>
      <c r="F33" s="1">
        <v>21.1</v>
      </c>
      <c r="G33" s="1">
        <f t="shared" si="6"/>
        <v>294.10000000000002</v>
      </c>
      <c r="H33" s="1">
        <v>101.3</v>
      </c>
      <c r="I33" s="1">
        <f t="shared" si="7"/>
        <v>101300</v>
      </c>
      <c r="J33" s="1">
        <f t="shared" si="8"/>
        <v>2.0124824921938581E-5</v>
      </c>
      <c r="K33" s="22">
        <v>44.5</v>
      </c>
      <c r="L33" s="1">
        <f t="shared" si="9"/>
        <v>4.4499999999999997E-5</v>
      </c>
      <c r="M33" s="1">
        <f t="shared" si="10"/>
        <v>4.7762865441819992E-3</v>
      </c>
      <c r="N33" s="29">
        <f t="shared" si="11"/>
        <v>1.875002055974098E-7</v>
      </c>
      <c r="O33" s="29">
        <f t="shared" si="12"/>
        <v>2.032E-3</v>
      </c>
      <c r="P33" s="29">
        <v>4.7360646624728548E-11</v>
      </c>
      <c r="Q33" s="2">
        <v>0.11</v>
      </c>
      <c r="R33" s="2">
        <f t="shared" si="13"/>
        <v>111000.00000000001</v>
      </c>
      <c r="S33" s="2">
        <f t="shared" si="14"/>
        <v>5.1398579432804297E-3</v>
      </c>
      <c r="T33" s="2">
        <v>0.06</v>
      </c>
      <c r="U33" s="2">
        <f t="shared" si="15"/>
        <v>106000</v>
      </c>
      <c r="V33" s="2">
        <f t="shared" si="1"/>
        <v>4.7169999999999996</v>
      </c>
      <c r="W33" s="2">
        <f t="shared" si="16"/>
        <v>5</v>
      </c>
      <c r="X33" s="2">
        <f t="shared" si="2"/>
        <v>1.8600381380386692E-7</v>
      </c>
      <c r="Y33" s="2">
        <f t="shared" si="3"/>
        <v>105746.04184322264</v>
      </c>
      <c r="Z33" s="2">
        <f t="shared" si="17"/>
        <v>9.0412445775359994E-15</v>
      </c>
      <c r="AA33" s="2">
        <f t="shared" si="18"/>
        <v>5444637484.5921793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 spans="1:75" s="4" customFormat="1" x14ac:dyDescent="0.25">
      <c r="A34" s="1">
        <v>96</v>
      </c>
      <c r="B34" s="1">
        <f t="shared" si="4"/>
        <v>1.6</v>
      </c>
      <c r="C34" s="1">
        <v>20</v>
      </c>
      <c r="D34" s="1">
        <f t="shared" si="0"/>
        <v>29.146000000000001</v>
      </c>
      <c r="E34" s="1">
        <f t="shared" si="5"/>
        <v>4.8576666666666667E-7</v>
      </c>
      <c r="F34" s="1">
        <v>21.1</v>
      </c>
      <c r="G34" s="1">
        <f t="shared" si="6"/>
        <v>294.10000000000002</v>
      </c>
      <c r="H34" s="1">
        <v>101.3</v>
      </c>
      <c r="I34" s="1">
        <f t="shared" si="7"/>
        <v>101300</v>
      </c>
      <c r="J34" s="1">
        <f t="shared" si="8"/>
        <v>2.0124824921938581E-5</v>
      </c>
      <c r="K34" s="22">
        <v>41.331683168316829</v>
      </c>
      <c r="L34" s="1">
        <f t="shared" si="9"/>
        <v>4.1331683168316827E-5</v>
      </c>
      <c r="M34" s="1">
        <f t="shared" si="10"/>
        <v>4.7762865441819992E-3</v>
      </c>
      <c r="N34" s="29">
        <f t="shared" si="11"/>
        <v>1.7415054138755972E-7</v>
      </c>
      <c r="O34" s="29">
        <f t="shared" si="12"/>
        <v>2.032E-3</v>
      </c>
      <c r="P34" s="29">
        <v>4.7360646624728548E-11</v>
      </c>
      <c r="Q34" s="2">
        <v>0.11</v>
      </c>
      <c r="R34" s="2">
        <f t="shared" si="13"/>
        <v>111000.00000000001</v>
      </c>
      <c r="S34" s="2">
        <f t="shared" si="14"/>
        <v>5.1398579432804297E-3</v>
      </c>
      <c r="T34" s="2">
        <v>0.06</v>
      </c>
      <c r="U34" s="2">
        <f t="shared" si="15"/>
        <v>106000</v>
      </c>
      <c r="V34" s="2">
        <f t="shared" ref="V34:V65" si="19">(L34*U34)</f>
        <v>4.3811584158415835</v>
      </c>
      <c r="W34" s="2">
        <f t="shared" si="16"/>
        <v>5</v>
      </c>
      <c r="X34" s="2">
        <f t="shared" ref="X34:X65" si="20">(N34+((P34/O34)*(SQRT(V34)-SQRT(W34))))</f>
        <v>1.70818834432406E-7</v>
      </c>
      <c r="Y34" s="2">
        <f t="shared" si="3"/>
        <v>106170.1896035376</v>
      </c>
      <c r="Z34" s="2">
        <f t="shared" si="17"/>
        <v>8.2699369587822254E-15</v>
      </c>
      <c r="AA34" s="2">
        <f t="shared" si="18"/>
        <v>4980156036.5786562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 spans="1:75" s="4" customFormat="1" x14ac:dyDescent="0.25">
      <c r="A35" s="1">
        <v>99</v>
      </c>
      <c r="B35" s="1">
        <f t="shared" si="4"/>
        <v>1.65</v>
      </c>
      <c r="C35" s="1">
        <v>20</v>
      </c>
      <c r="D35" s="1">
        <f t="shared" si="0"/>
        <v>29.146000000000001</v>
      </c>
      <c r="E35" s="1">
        <f t="shared" si="5"/>
        <v>4.8576666666666667E-7</v>
      </c>
      <c r="F35" s="1">
        <v>21.1</v>
      </c>
      <c r="G35" s="1">
        <f t="shared" si="6"/>
        <v>294.10000000000002</v>
      </c>
      <c r="H35" s="1">
        <v>101.3</v>
      </c>
      <c r="I35" s="1">
        <f t="shared" si="7"/>
        <v>101300</v>
      </c>
      <c r="J35" s="1">
        <f t="shared" si="8"/>
        <v>2.0124824921938581E-5</v>
      </c>
      <c r="K35" s="22">
        <v>38.43564356435644</v>
      </c>
      <c r="L35" s="1">
        <f t="shared" si="9"/>
        <v>3.8435643564356443E-5</v>
      </c>
      <c r="M35" s="1">
        <f t="shared" si="10"/>
        <v>4.7762865441819992E-3</v>
      </c>
      <c r="N35" s="29">
        <f t="shared" si="11"/>
        <v>1.6194811394574371E-7</v>
      </c>
      <c r="O35" s="29">
        <f t="shared" si="12"/>
        <v>2.032E-3</v>
      </c>
      <c r="P35" s="29">
        <v>4.7360646624728548E-11</v>
      </c>
      <c r="Q35" s="2">
        <v>0.11</v>
      </c>
      <c r="R35" s="2">
        <f t="shared" si="13"/>
        <v>111000.00000000001</v>
      </c>
      <c r="S35" s="2">
        <f t="shared" si="14"/>
        <v>5.1398579432804297E-3</v>
      </c>
      <c r="T35" s="2">
        <v>0.06</v>
      </c>
      <c r="U35" s="2">
        <f t="shared" si="15"/>
        <v>106000</v>
      </c>
      <c r="V35" s="2">
        <f t="shared" si="19"/>
        <v>4.0741782178217827</v>
      </c>
      <c r="W35" s="2">
        <f t="shared" si="16"/>
        <v>5</v>
      </c>
      <c r="X35" s="2">
        <f t="shared" si="20"/>
        <v>1.5687622197443238E-7</v>
      </c>
      <c r="Y35" s="2">
        <f t="shared" si="3"/>
        <v>106560.38308178767</v>
      </c>
      <c r="Z35" s="2">
        <f t="shared" si="17"/>
        <v>7.5670929663752338E-15</v>
      </c>
      <c r="AA35" s="2">
        <f t="shared" si="18"/>
        <v>4556903384.3511658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 spans="1:75" s="4" customFormat="1" x14ac:dyDescent="0.25">
      <c r="A36" s="1">
        <v>102</v>
      </c>
      <c r="B36" s="1">
        <f t="shared" si="4"/>
        <v>1.7</v>
      </c>
      <c r="C36" s="1">
        <v>20</v>
      </c>
      <c r="D36" s="1">
        <f t="shared" si="0"/>
        <v>29.146000000000001</v>
      </c>
      <c r="E36" s="1">
        <f t="shared" si="5"/>
        <v>4.8576666666666667E-7</v>
      </c>
      <c r="F36" s="1">
        <v>21.1</v>
      </c>
      <c r="G36" s="1">
        <f t="shared" si="6"/>
        <v>294.10000000000002</v>
      </c>
      <c r="H36" s="1">
        <v>101.3</v>
      </c>
      <c r="I36" s="1">
        <f t="shared" si="7"/>
        <v>101300</v>
      </c>
      <c r="J36" s="1">
        <f t="shared" si="8"/>
        <v>2.0124824921938581E-5</v>
      </c>
      <c r="K36" s="22">
        <v>41.876237623762378</v>
      </c>
      <c r="L36" s="1">
        <f t="shared" si="9"/>
        <v>4.1876237623762379E-5</v>
      </c>
      <c r="M36" s="1">
        <f t="shared" si="10"/>
        <v>4.7762865441819992E-3</v>
      </c>
      <c r="N36" s="29">
        <f t="shared" si="11"/>
        <v>1.7644501492362774E-7</v>
      </c>
      <c r="O36" s="29">
        <f t="shared" si="12"/>
        <v>2.032E-3</v>
      </c>
      <c r="P36" s="29">
        <v>4.7360646624728548E-11</v>
      </c>
      <c r="Q36" s="2">
        <v>0.11</v>
      </c>
      <c r="R36" s="2">
        <f t="shared" si="13"/>
        <v>111000.00000000001</v>
      </c>
      <c r="S36" s="2">
        <f t="shared" si="14"/>
        <v>5.1398579432804297E-3</v>
      </c>
      <c r="T36" s="2">
        <v>0.06</v>
      </c>
      <c r="U36" s="2">
        <f t="shared" si="15"/>
        <v>106000</v>
      </c>
      <c r="V36" s="2">
        <f t="shared" si="19"/>
        <v>4.4388811881188124</v>
      </c>
      <c r="W36" s="2">
        <f t="shared" si="16"/>
        <v>5</v>
      </c>
      <c r="X36" s="2">
        <f t="shared" si="20"/>
        <v>1.734336346837425E-7</v>
      </c>
      <c r="Y36" s="2">
        <f t="shared" si="3"/>
        <v>106097.0923399747</v>
      </c>
      <c r="Z36" s="2">
        <f t="shared" si="17"/>
        <v>8.4023183113948449E-15</v>
      </c>
      <c r="AA36" s="2">
        <f t="shared" si="18"/>
        <v>5059876087.1219759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 spans="1:75" s="4" customFormat="1" x14ac:dyDescent="0.25">
      <c r="A37" s="1">
        <v>105</v>
      </c>
      <c r="B37" s="1">
        <f t="shared" si="4"/>
        <v>1.75</v>
      </c>
      <c r="C37" s="1">
        <v>20</v>
      </c>
      <c r="D37" s="1">
        <f t="shared" si="0"/>
        <v>29.146000000000001</v>
      </c>
      <c r="E37" s="1">
        <f t="shared" si="5"/>
        <v>4.8576666666666667E-7</v>
      </c>
      <c r="F37" s="1">
        <v>21.1</v>
      </c>
      <c r="G37" s="1">
        <f t="shared" si="6"/>
        <v>294.10000000000002</v>
      </c>
      <c r="H37" s="1">
        <v>101.3</v>
      </c>
      <c r="I37" s="1">
        <f t="shared" si="7"/>
        <v>101300</v>
      </c>
      <c r="J37" s="1">
        <f t="shared" si="8"/>
        <v>2.0124824921938581E-5</v>
      </c>
      <c r="K37" s="22">
        <v>39.970297029702969</v>
      </c>
      <c r="L37" s="1">
        <f t="shared" si="9"/>
        <v>3.997029702970297E-5</v>
      </c>
      <c r="M37" s="1">
        <f t="shared" si="10"/>
        <v>4.7762865441819992E-3</v>
      </c>
      <c r="N37" s="29">
        <f t="shared" si="11"/>
        <v>1.6841435754738979E-7</v>
      </c>
      <c r="O37" s="29">
        <f t="shared" si="12"/>
        <v>2.032E-3</v>
      </c>
      <c r="P37" s="29">
        <v>4.7360646624728548E-11</v>
      </c>
      <c r="Q37" s="2">
        <v>0.11</v>
      </c>
      <c r="R37" s="2">
        <f t="shared" si="13"/>
        <v>111000.00000000001</v>
      </c>
      <c r="S37" s="2">
        <f t="shared" si="14"/>
        <v>5.1398579432804297E-3</v>
      </c>
      <c r="T37" s="2">
        <v>0.06</v>
      </c>
      <c r="U37" s="2">
        <f t="shared" si="15"/>
        <v>106000</v>
      </c>
      <c r="V37" s="2">
        <f t="shared" si="19"/>
        <v>4.2368514851485148</v>
      </c>
      <c r="W37" s="2">
        <f t="shared" si="16"/>
        <v>5</v>
      </c>
      <c r="X37" s="2">
        <f t="shared" si="20"/>
        <v>1.6427247745338795E-7</v>
      </c>
      <c r="Y37" s="2">
        <f t="shared" si="3"/>
        <v>106353.30471934594</v>
      </c>
      <c r="Z37" s="2">
        <f t="shared" si="17"/>
        <v>7.9393004097623527E-15</v>
      </c>
      <c r="AA37" s="2">
        <f t="shared" si="18"/>
        <v>4781046706.7588892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</row>
    <row r="38" spans="1:75" s="4" customFormat="1" x14ac:dyDescent="0.25">
      <c r="A38" s="1">
        <v>108</v>
      </c>
      <c r="B38" s="1">
        <f t="shared" si="4"/>
        <v>1.8</v>
      </c>
      <c r="C38" s="1">
        <v>20</v>
      </c>
      <c r="D38" s="1">
        <f t="shared" si="0"/>
        <v>29.146000000000001</v>
      </c>
      <c r="E38" s="1">
        <f t="shared" si="5"/>
        <v>4.8576666666666667E-7</v>
      </c>
      <c r="F38" s="1">
        <v>21.1</v>
      </c>
      <c r="G38" s="1">
        <f t="shared" si="6"/>
        <v>294.10000000000002</v>
      </c>
      <c r="H38" s="1">
        <v>101.3</v>
      </c>
      <c r="I38" s="1">
        <f t="shared" si="7"/>
        <v>101300</v>
      </c>
      <c r="J38" s="1">
        <f t="shared" si="8"/>
        <v>2.0124824921938581E-5</v>
      </c>
      <c r="K38" s="22">
        <v>38.311881188118818</v>
      </c>
      <c r="L38" s="1">
        <f t="shared" si="9"/>
        <v>3.8311881188118817E-5</v>
      </c>
      <c r="M38" s="1">
        <f t="shared" si="10"/>
        <v>4.7762865441819992E-3</v>
      </c>
      <c r="N38" s="29">
        <f t="shared" si="11"/>
        <v>1.6142664268754642E-7</v>
      </c>
      <c r="O38" s="29">
        <f t="shared" si="12"/>
        <v>2.032E-3</v>
      </c>
      <c r="P38" s="29">
        <v>4.7360646624728548E-11</v>
      </c>
      <c r="Q38" s="2">
        <v>0.11</v>
      </c>
      <c r="R38" s="2">
        <f t="shared" si="13"/>
        <v>111000.00000000001</v>
      </c>
      <c r="S38" s="2">
        <f t="shared" si="14"/>
        <v>5.1398579432804297E-3</v>
      </c>
      <c r="T38" s="2">
        <v>0.06</v>
      </c>
      <c r="U38" s="2">
        <f t="shared" si="15"/>
        <v>106000</v>
      </c>
      <c r="V38" s="2">
        <f t="shared" si="19"/>
        <v>4.0610594059405942</v>
      </c>
      <c r="W38" s="2">
        <f t="shared" si="16"/>
        <v>5</v>
      </c>
      <c r="X38" s="2">
        <f t="shared" si="20"/>
        <v>1.5627894735801453E-7</v>
      </c>
      <c r="Y38" s="2">
        <f t="shared" si="3"/>
        <v>106577.11420381928</v>
      </c>
      <c r="Z38" s="2">
        <f t="shared" si="17"/>
        <v>7.5370984057024014E-15</v>
      </c>
      <c r="AA38" s="2">
        <f t="shared" si="18"/>
        <v>4538840659.9139862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</row>
    <row r="39" spans="1:75" s="4" customFormat="1" x14ac:dyDescent="0.25">
      <c r="A39" s="1">
        <v>111</v>
      </c>
      <c r="B39" s="1">
        <f t="shared" si="4"/>
        <v>1.85</v>
      </c>
      <c r="C39" s="1">
        <v>20</v>
      </c>
      <c r="D39" s="1">
        <f t="shared" si="0"/>
        <v>29.146000000000001</v>
      </c>
      <c r="E39" s="1">
        <f t="shared" si="5"/>
        <v>4.8576666666666667E-7</v>
      </c>
      <c r="F39" s="1">
        <v>21.1</v>
      </c>
      <c r="G39" s="1">
        <f t="shared" si="6"/>
        <v>294.10000000000002</v>
      </c>
      <c r="H39" s="1">
        <v>101.3</v>
      </c>
      <c r="I39" s="1">
        <f t="shared" si="7"/>
        <v>101300</v>
      </c>
      <c r="J39" s="1">
        <f t="shared" si="8"/>
        <v>2.0124824921938581E-5</v>
      </c>
      <c r="K39" s="22">
        <v>40.985148514851488</v>
      </c>
      <c r="L39" s="1">
        <f t="shared" si="9"/>
        <v>4.0985148514851487E-5</v>
      </c>
      <c r="M39" s="1">
        <f t="shared" si="10"/>
        <v>4.7762865441819992E-3</v>
      </c>
      <c r="N39" s="29">
        <f t="shared" si="11"/>
        <v>1.7269042186460738E-7</v>
      </c>
      <c r="O39" s="29">
        <f t="shared" si="12"/>
        <v>2.032E-3</v>
      </c>
      <c r="P39" s="29">
        <v>4.7360646624728548E-11</v>
      </c>
      <c r="Q39" s="2">
        <v>0.11</v>
      </c>
      <c r="R39" s="2">
        <f t="shared" si="13"/>
        <v>111000.00000000001</v>
      </c>
      <c r="S39" s="2">
        <f t="shared" si="14"/>
        <v>5.1398579432804297E-3</v>
      </c>
      <c r="T39" s="2">
        <v>0.06</v>
      </c>
      <c r="U39" s="2">
        <f t="shared" si="15"/>
        <v>106000</v>
      </c>
      <c r="V39" s="2">
        <f t="shared" si="19"/>
        <v>4.3444257425742574</v>
      </c>
      <c r="W39" s="2">
        <f t="shared" si="16"/>
        <v>5</v>
      </c>
      <c r="X39" s="2">
        <f t="shared" si="20"/>
        <v>1.691537709304025E-7</v>
      </c>
      <c r="Y39" s="2">
        <f t="shared" si="3"/>
        <v>106216.74990463877</v>
      </c>
      <c r="Z39" s="2">
        <f t="shared" si="17"/>
        <v>8.1857326291816035E-15</v>
      </c>
      <c r="AA39" s="2">
        <f t="shared" si="18"/>
        <v>4929448189.2931614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</row>
    <row r="40" spans="1:75" s="4" customFormat="1" x14ac:dyDescent="0.25">
      <c r="A40" s="1">
        <v>114</v>
      </c>
      <c r="B40" s="1">
        <f t="shared" si="4"/>
        <v>1.9</v>
      </c>
      <c r="C40" s="1">
        <v>20</v>
      </c>
      <c r="D40" s="1">
        <f t="shared" si="0"/>
        <v>29.146000000000001</v>
      </c>
      <c r="E40" s="1">
        <f t="shared" si="5"/>
        <v>4.8576666666666667E-7</v>
      </c>
      <c r="F40" s="1">
        <v>21.1</v>
      </c>
      <c r="G40" s="1">
        <f t="shared" si="6"/>
        <v>294.10000000000002</v>
      </c>
      <c r="H40" s="1">
        <v>101.3</v>
      </c>
      <c r="I40" s="1">
        <f t="shared" si="7"/>
        <v>101300</v>
      </c>
      <c r="J40" s="1">
        <f t="shared" si="8"/>
        <v>2.0124824921938581E-5</v>
      </c>
      <c r="K40" s="22">
        <v>42.618811881188122</v>
      </c>
      <c r="L40" s="1">
        <f t="shared" si="9"/>
        <v>4.2618811881188124E-5</v>
      </c>
      <c r="M40" s="1">
        <f t="shared" si="10"/>
        <v>4.7762865441819992E-3</v>
      </c>
      <c r="N40" s="29">
        <f t="shared" si="11"/>
        <v>1.7957384247281136E-7</v>
      </c>
      <c r="O40" s="29">
        <f t="shared" si="12"/>
        <v>2.032E-3</v>
      </c>
      <c r="P40" s="29">
        <v>4.7360646624728548E-11</v>
      </c>
      <c r="Q40" s="2">
        <v>0.11</v>
      </c>
      <c r="R40" s="2">
        <f t="shared" si="13"/>
        <v>111000.00000000001</v>
      </c>
      <c r="S40" s="2">
        <f t="shared" si="14"/>
        <v>5.1398579432804297E-3</v>
      </c>
      <c r="T40" s="2">
        <v>0.06</v>
      </c>
      <c r="U40" s="2">
        <f t="shared" si="15"/>
        <v>106000</v>
      </c>
      <c r="V40" s="2">
        <f t="shared" si="19"/>
        <v>4.5175940594059414</v>
      </c>
      <c r="W40" s="2">
        <f t="shared" si="16"/>
        <v>5</v>
      </c>
      <c r="X40" s="2">
        <f t="shared" si="20"/>
        <v>1.769959334894356E-7</v>
      </c>
      <c r="Y40" s="2">
        <f t="shared" si="3"/>
        <v>105997.54807169781</v>
      </c>
      <c r="Z40" s="2">
        <f t="shared" si="17"/>
        <v>8.5829601302506291E-15</v>
      </c>
      <c r="AA40" s="2">
        <f t="shared" si="18"/>
        <v>5168658590.4369287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</row>
    <row r="41" spans="1:75" s="4" customFormat="1" x14ac:dyDescent="0.25">
      <c r="A41" s="1">
        <v>117</v>
      </c>
      <c r="B41" s="1">
        <f t="shared" si="4"/>
        <v>1.95</v>
      </c>
      <c r="C41" s="1">
        <v>20</v>
      </c>
      <c r="D41" s="1">
        <f t="shared" si="0"/>
        <v>29.146000000000001</v>
      </c>
      <c r="E41" s="1">
        <f t="shared" si="5"/>
        <v>4.8576666666666667E-7</v>
      </c>
      <c r="F41" s="1">
        <v>21.1</v>
      </c>
      <c r="G41" s="1">
        <f t="shared" si="6"/>
        <v>294.10000000000002</v>
      </c>
      <c r="H41" s="1">
        <v>101.3</v>
      </c>
      <c r="I41" s="1">
        <f t="shared" si="7"/>
        <v>101300</v>
      </c>
      <c r="J41" s="1">
        <f t="shared" si="8"/>
        <v>2.0124824921938581E-5</v>
      </c>
      <c r="K41" s="22">
        <v>41.777227722772281</v>
      </c>
      <c r="L41" s="1">
        <f t="shared" si="9"/>
        <v>4.1777227722772283E-5</v>
      </c>
      <c r="M41" s="1">
        <f t="shared" si="10"/>
        <v>4.7762865441819992E-3</v>
      </c>
      <c r="N41" s="29">
        <f t="shared" si="11"/>
        <v>1.7602783791706993E-7</v>
      </c>
      <c r="O41" s="29">
        <f t="shared" si="12"/>
        <v>2.032E-3</v>
      </c>
      <c r="P41" s="29">
        <v>4.7360646624728548E-11</v>
      </c>
      <c r="Q41" s="2">
        <v>0.11</v>
      </c>
      <c r="R41" s="2">
        <f t="shared" si="13"/>
        <v>111000.00000000001</v>
      </c>
      <c r="S41" s="2">
        <f t="shared" si="14"/>
        <v>5.1398579432804297E-3</v>
      </c>
      <c r="T41" s="2">
        <v>0.06</v>
      </c>
      <c r="U41" s="2">
        <f t="shared" si="15"/>
        <v>106000</v>
      </c>
      <c r="V41" s="2">
        <f t="shared" si="19"/>
        <v>4.4283861386138623</v>
      </c>
      <c r="W41" s="2">
        <f t="shared" si="16"/>
        <v>5</v>
      </c>
      <c r="X41" s="2">
        <f t="shared" si="20"/>
        <v>1.7295837206263844E-7</v>
      </c>
      <c r="Y41" s="2">
        <f t="shared" si="3"/>
        <v>106110.37652969605</v>
      </c>
      <c r="Z41" s="2">
        <f t="shared" si="17"/>
        <v>8.378243426091862E-15</v>
      </c>
      <c r="AA41" s="2">
        <f t="shared" si="18"/>
        <v>5045378191.1925192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</row>
    <row r="42" spans="1:75" s="4" customFormat="1" x14ac:dyDescent="0.25">
      <c r="A42" s="1">
        <v>120</v>
      </c>
      <c r="B42" s="1">
        <f t="shared" si="4"/>
        <v>2</v>
      </c>
      <c r="C42" s="1">
        <v>20</v>
      </c>
      <c r="D42" s="1">
        <f t="shared" si="0"/>
        <v>29.146000000000001</v>
      </c>
      <c r="E42" s="1">
        <f t="shared" si="5"/>
        <v>4.8576666666666667E-7</v>
      </c>
      <c r="F42" s="1">
        <v>21.1</v>
      </c>
      <c r="G42" s="1">
        <f t="shared" si="6"/>
        <v>294.10000000000002</v>
      </c>
      <c r="H42" s="1">
        <v>101.3</v>
      </c>
      <c r="I42" s="1">
        <f t="shared" si="7"/>
        <v>101300</v>
      </c>
      <c r="J42" s="1">
        <f t="shared" si="8"/>
        <v>2.0124824921938581E-5</v>
      </c>
      <c r="K42" s="22">
        <v>44.871287128712872</v>
      </c>
      <c r="L42" s="1">
        <f t="shared" si="9"/>
        <v>4.4871287128712873E-5</v>
      </c>
      <c r="M42" s="1">
        <f t="shared" si="10"/>
        <v>4.7762865441819992E-3</v>
      </c>
      <c r="N42" s="29">
        <f t="shared" si="11"/>
        <v>1.8906461937200162E-7</v>
      </c>
      <c r="O42" s="29">
        <f t="shared" si="12"/>
        <v>2.032E-3</v>
      </c>
      <c r="P42" s="29">
        <v>4.7360646624728548E-11</v>
      </c>
      <c r="Q42" s="2">
        <v>0.11</v>
      </c>
      <c r="R42" s="2">
        <f t="shared" si="13"/>
        <v>111000.00000000001</v>
      </c>
      <c r="S42" s="2">
        <f t="shared" si="14"/>
        <v>5.1398579432804297E-3</v>
      </c>
      <c r="T42" s="2">
        <v>0.06</v>
      </c>
      <c r="U42" s="2">
        <f t="shared" si="15"/>
        <v>106000</v>
      </c>
      <c r="V42" s="2">
        <f t="shared" si="19"/>
        <v>4.7563564356435641</v>
      </c>
      <c r="W42" s="2">
        <f t="shared" si="16"/>
        <v>5</v>
      </c>
      <c r="X42" s="2">
        <f t="shared" si="20"/>
        <v>1.8777896597874854E-7</v>
      </c>
      <c r="Y42" s="2">
        <f t="shared" si="3"/>
        <v>105696.51360686483</v>
      </c>
      <c r="Z42" s="2">
        <f t="shared" si="17"/>
        <v>9.1318115525318018E-15</v>
      </c>
      <c r="AA42" s="2">
        <f t="shared" si="18"/>
        <v>5499176916.9346514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</row>
    <row r="43" spans="1:75" s="4" customFormat="1" x14ac:dyDescent="0.25">
      <c r="A43" s="1">
        <v>123</v>
      </c>
      <c r="B43" s="1">
        <f t="shared" si="4"/>
        <v>2.0499999999999998</v>
      </c>
      <c r="C43" s="1">
        <v>20</v>
      </c>
      <c r="D43" s="1">
        <f t="shared" si="0"/>
        <v>29.146000000000001</v>
      </c>
      <c r="E43" s="1">
        <f t="shared" si="5"/>
        <v>4.8576666666666667E-7</v>
      </c>
      <c r="F43" s="1">
        <v>21.1</v>
      </c>
      <c r="G43" s="1">
        <f t="shared" si="6"/>
        <v>294.10000000000002</v>
      </c>
      <c r="H43" s="1">
        <v>101.3</v>
      </c>
      <c r="I43" s="1">
        <f t="shared" si="7"/>
        <v>101300</v>
      </c>
      <c r="J43" s="1">
        <f t="shared" si="8"/>
        <v>2.0124824921938581E-5</v>
      </c>
      <c r="K43" s="22">
        <v>41.950495049504951</v>
      </c>
      <c r="L43" s="1">
        <f t="shared" si="9"/>
        <v>4.1950495049504953E-5</v>
      </c>
      <c r="M43" s="1">
        <f t="shared" si="10"/>
        <v>4.7762865441819992E-3</v>
      </c>
      <c r="N43" s="29">
        <f t="shared" si="11"/>
        <v>1.767578976785461E-7</v>
      </c>
      <c r="O43" s="29">
        <f t="shared" si="12"/>
        <v>2.032E-3</v>
      </c>
      <c r="P43" s="29">
        <v>4.7360646624728548E-11</v>
      </c>
      <c r="Q43" s="2">
        <v>0.11</v>
      </c>
      <c r="R43" s="2">
        <f t="shared" si="13"/>
        <v>111000.00000000001</v>
      </c>
      <c r="S43" s="2">
        <f t="shared" si="14"/>
        <v>5.1398579432804297E-3</v>
      </c>
      <c r="T43" s="2">
        <v>0.06</v>
      </c>
      <c r="U43" s="2">
        <f t="shared" si="15"/>
        <v>106000</v>
      </c>
      <c r="V43" s="2">
        <f t="shared" si="19"/>
        <v>4.4467524752475249</v>
      </c>
      <c r="W43" s="2">
        <f t="shared" si="16"/>
        <v>5</v>
      </c>
      <c r="X43" s="2">
        <f t="shared" si="20"/>
        <v>1.7379003659997495E-7</v>
      </c>
      <c r="Y43" s="2">
        <f t="shared" si="3"/>
        <v>106087.13100250934</v>
      </c>
      <c r="Z43" s="2">
        <f t="shared" si="17"/>
        <v>8.4203761094128876E-15</v>
      </c>
      <c r="AA43" s="2">
        <f t="shared" si="18"/>
        <v>5070750493.0884409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</row>
    <row r="44" spans="1:75" s="4" customFormat="1" x14ac:dyDescent="0.25">
      <c r="A44" s="1">
        <v>126</v>
      </c>
      <c r="B44" s="1">
        <f t="shared" si="4"/>
        <v>2.1</v>
      </c>
      <c r="C44" s="1">
        <v>20</v>
      </c>
      <c r="D44" s="1">
        <f t="shared" si="0"/>
        <v>29.146000000000001</v>
      </c>
      <c r="E44" s="1">
        <f t="shared" si="5"/>
        <v>4.8576666666666667E-7</v>
      </c>
      <c r="F44" s="1">
        <v>21.1</v>
      </c>
      <c r="G44" s="1">
        <f t="shared" si="6"/>
        <v>294.10000000000002</v>
      </c>
      <c r="H44" s="1">
        <v>101.3</v>
      </c>
      <c r="I44" s="1">
        <f t="shared" si="7"/>
        <v>101300</v>
      </c>
      <c r="J44" s="1">
        <f t="shared" si="8"/>
        <v>2.0124824921938581E-5</v>
      </c>
      <c r="K44" s="22">
        <v>47.643564356435647</v>
      </c>
      <c r="L44" s="1">
        <f t="shared" si="9"/>
        <v>4.7643564356435646E-5</v>
      </c>
      <c r="M44" s="1">
        <f t="shared" si="10"/>
        <v>4.7762865441819992E-3</v>
      </c>
      <c r="N44" s="29">
        <f t="shared" si="11"/>
        <v>2.0074557555562043E-7</v>
      </c>
      <c r="O44" s="29">
        <f t="shared" si="12"/>
        <v>2.032E-3</v>
      </c>
      <c r="P44" s="29">
        <v>4.7360646624728548E-11</v>
      </c>
      <c r="Q44" s="2">
        <v>0.11</v>
      </c>
      <c r="R44" s="2">
        <f t="shared" si="13"/>
        <v>111000.00000000001</v>
      </c>
      <c r="S44" s="2">
        <f t="shared" si="14"/>
        <v>5.1398579432804297E-3</v>
      </c>
      <c r="T44" s="2">
        <v>0.06</v>
      </c>
      <c r="U44" s="2">
        <f t="shared" si="15"/>
        <v>106000</v>
      </c>
      <c r="V44" s="2">
        <f t="shared" si="19"/>
        <v>5.0502178217821783</v>
      </c>
      <c r="W44" s="2">
        <f t="shared" si="16"/>
        <v>5</v>
      </c>
      <c r="X44" s="2">
        <f t="shared" si="20"/>
        <v>2.0100664161333962E-7</v>
      </c>
      <c r="Y44" s="2">
        <f t="shared" si="3"/>
        <v>105327.81566486754</v>
      </c>
      <c r="Z44" s="2">
        <f t="shared" si="17"/>
        <v>9.8093282982385406E-15</v>
      </c>
      <c r="AA44" s="2">
        <f t="shared" si="18"/>
        <v>5907177501.1992493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</row>
    <row r="45" spans="1:75" s="4" customFormat="1" x14ac:dyDescent="0.25">
      <c r="A45" s="1">
        <v>129</v>
      </c>
      <c r="B45" s="1">
        <f t="shared" si="4"/>
        <v>2.15</v>
      </c>
      <c r="C45" s="1">
        <v>20</v>
      </c>
      <c r="D45" s="1">
        <f t="shared" si="0"/>
        <v>29.146000000000001</v>
      </c>
      <c r="E45" s="1">
        <f t="shared" si="5"/>
        <v>4.8576666666666667E-7</v>
      </c>
      <c r="F45" s="1">
        <v>21.1</v>
      </c>
      <c r="G45" s="1">
        <f t="shared" si="6"/>
        <v>294.10000000000002</v>
      </c>
      <c r="H45" s="1">
        <v>101.3</v>
      </c>
      <c r="I45" s="1">
        <f t="shared" si="7"/>
        <v>101300</v>
      </c>
      <c r="J45" s="1">
        <f t="shared" si="8"/>
        <v>2.0124824921938581E-5</v>
      </c>
      <c r="K45" s="22">
        <v>49.698019801980202</v>
      </c>
      <c r="L45" s="1">
        <f t="shared" si="9"/>
        <v>4.9698019801980203E-5</v>
      </c>
      <c r="M45" s="1">
        <f t="shared" si="10"/>
        <v>4.7762865441819992E-3</v>
      </c>
      <c r="N45" s="29">
        <f t="shared" si="11"/>
        <v>2.094019984416951E-7</v>
      </c>
      <c r="O45" s="29">
        <f t="shared" si="12"/>
        <v>2.032E-3</v>
      </c>
      <c r="P45" s="29">
        <v>4.7360646624728548E-11</v>
      </c>
      <c r="Q45" s="2">
        <v>0.11</v>
      </c>
      <c r="R45" s="2">
        <f t="shared" si="13"/>
        <v>111000.00000000001</v>
      </c>
      <c r="S45" s="2">
        <f t="shared" si="14"/>
        <v>5.1398579432804297E-3</v>
      </c>
      <c r="T45" s="2">
        <v>0.06</v>
      </c>
      <c r="U45" s="2">
        <f t="shared" si="15"/>
        <v>106000</v>
      </c>
      <c r="V45" s="2">
        <f t="shared" si="19"/>
        <v>5.2679900990099018</v>
      </c>
      <c r="W45" s="2">
        <f t="shared" si="16"/>
        <v>5</v>
      </c>
      <c r="X45" s="2">
        <f t="shared" si="20"/>
        <v>2.1078045136680924E-7</v>
      </c>
      <c r="Y45" s="2">
        <f t="shared" si="3"/>
        <v>105055.80193346798</v>
      </c>
      <c r="Z45" s="2">
        <f t="shared" si="17"/>
        <v>1.0312956408483959E-14</v>
      </c>
      <c r="AA45" s="2">
        <f t="shared" si="18"/>
        <v>6210462349.1890402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</row>
    <row r="46" spans="1:75" s="4" customFormat="1" x14ac:dyDescent="0.25">
      <c r="A46" s="1">
        <v>132</v>
      </c>
      <c r="B46" s="1">
        <f t="shared" si="4"/>
        <v>2.2000000000000002</v>
      </c>
      <c r="C46" s="1">
        <v>20</v>
      </c>
      <c r="D46" s="1">
        <f t="shared" si="0"/>
        <v>29.146000000000001</v>
      </c>
      <c r="E46" s="1">
        <f t="shared" si="5"/>
        <v>4.8576666666666667E-7</v>
      </c>
      <c r="F46" s="1">
        <v>21.1</v>
      </c>
      <c r="G46" s="1">
        <f t="shared" si="6"/>
        <v>294.10000000000002</v>
      </c>
      <c r="H46" s="1">
        <v>101.3</v>
      </c>
      <c r="I46" s="1">
        <f t="shared" si="7"/>
        <v>101300</v>
      </c>
      <c r="J46" s="1">
        <f t="shared" si="8"/>
        <v>2.0124824921938581E-5</v>
      </c>
      <c r="K46" s="28">
        <v>43.584158415841586</v>
      </c>
      <c r="L46" s="1">
        <f t="shared" si="9"/>
        <v>4.3584158415841583E-5</v>
      </c>
      <c r="M46" s="1">
        <f t="shared" si="10"/>
        <v>4.7762865441819992E-3</v>
      </c>
      <c r="N46" s="64">
        <f t="shared" si="11"/>
        <v>1.8364131828675005E-7</v>
      </c>
      <c r="O46" s="29">
        <f t="shared" si="12"/>
        <v>2.032E-3</v>
      </c>
      <c r="P46" s="29">
        <v>4.7360646624728548E-11</v>
      </c>
      <c r="Q46" s="2">
        <v>0.11</v>
      </c>
      <c r="R46" s="2">
        <f t="shared" si="13"/>
        <v>111000.00000000001</v>
      </c>
      <c r="S46" s="2">
        <f t="shared" si="14"/>
        <v>5.1398579432804297E-3</v>
      </c>
      <c r="T46" s="2">
        <v>0.06</v>
      </c>
      <c r="U46" s="2">
        <f t="shared" si="15"/>
        <v>106000</v>
      </c>
      <c r="V46" s="2">
        <f t="shared" si="19"/>
        <v>4.619920792079208</v>
      </c>
      <c r="W46" s="2">
        <f t="shared" si="16"/>
        <v>5</v>
      </c>
      <c r="X46" s="12">
        <f t="shared" si="20"/>
        <v>1.8162131499159559E-7</v>
      </c>
      <c r="Y46" s="2">
        <f t="shared" si="3"/>
        <v>105868.36691655172</v>
      </c>
      <c r="Z46" s="12">
        <f t="shared" si="17"/>
        <v>8.8180116897428648E-15</v>
      </c>
      <c r="AA46" s="12">
        <f t="shared" si="18"/>
        <v>5310206639.5631533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</row>
    <row r="47" spans="1:75" s="4" customFormat="1" x14ac:dyDescent="0.25">
      <c r="A47" s="1">
        <v>135</v>
      </c>
      <c r="B47" s="1">
        <f t="shared" si="4"/>
        <v>2.25</v>
      </c>
      <c r="C47" s="1">
        <v>20</v>
      </c>
      <c r="D47" s="1">
        <f t="shared" si="0"/>
        <v>29.146000000000001</v>
      </c>
      <c r="E47" s="1">
        <f t="shared" si="5"/>
        <v>4.8576666666666667E-7</v>
      </c>
      <c r="F47" s="1">
        <v>21.1</v>
      </c>
      <c r="G47" s="1">
        <f t="shared" si="6"/>
        <v>294.10000000000002</v>
      </c>
      <c r="H47" s="1">
        <v>101.3</v>
      </c>
      <c r="I47" s="1">
        <f t="shared" si="7"/>
        <v>101300</v>
      </c>
      <c r="J47" s="1">
        <f t="shared" si="8"/>
        <v>2.0124824921938581E-5</v>
      </c>
      <c r="K47" s="28">
        <v>43.905940594059409</v>
      </c>
      <c r="L47" s="1">
        <f t="shared" si="9"/>
        <v>4.3905940594059407E-5</v>
      </c>
      <c r="M47" s="1">
        <f t="shared" si="10"/>
        <v>4.7762865441819992E-3</v>
      </c>
      <c r="N47" s="64">
        <f t="shared" si="11"/>
        <v>1.8499714355806293E-7</v>
      </c>
      <c r="O47" s="29">
        <f t="shared" si="12"/>
        <v>2.032E-3</v>
      </c>
      <c r="P47" s="29">
        <v>4.7360646624728548E-11</v>
      </c>
      <c r="Q47" s="2">
        <v>0.11</v>
      </c>
      <c r="R47" s="2">
        <f t="shared" si="13"/>
        <v>111000.00000000001</v>
      </c>
      <c r="S47" s="2">
        <f t="shared" si="14"/>
        <v>5.1398579432804297E-3</v>
      </c>
      <c r="T47" s="2">
        <v>0.06</v>
      </c>
      <c r="U47" s="2">
        <f t="shared" si="15"/>
        <v>106000</v>
      </c>
      <c r="V47" s="2">
        <f t="shared" si="19"/>
        <v>4.6540297029702975</v>
      </c>
      <c r="W47" s="2">
        <f t="shared" si="16"/>
        <v>5</v>
      </c>
      <c r="X47" s="12">
        <f t="shared" si="20"/>
        <v>1.8316173321785044E-7</v>
      </c>
      <c r="Y47" s="2">
        <f t="shared" si="3"/>
        <v>105825.36243449563</v>
      </c>
      <c r="Z47" s="12">
        <f t="shared" si="17"/>
        <v>8.8964183246966615E-15</v>
      </c>
      <c r="AA47" s="12">
        <f t="shared" si="18"/>
        <v>5357423115.1323299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</row>
    <row r="48" spans="1:75" s="4" customFormat="1" x14ac:dyDescent="0.25">
      <c r="A48" s="1">
        <v>138</v>
      </c>
      <c r="B48" s="1">
        <f t="shared" si="4"/>
        <v>2.2999999999999998</v>
      </c>
      <c r="C48" s="1">
        <v>20</v>
      </c>
      <c r="D48" s="1">
        <f t="shared" si="0"/>
        <v>29.146000000000001</v>
      </c>
      <c r="E48" s="1">
        <f t="shared" si="5"/>
        <v>4.8576666666666667E-7</v>
      </c>
      <c r="F48" s="1">
        <v>21.1</v>
      </c>
      <c r="G48" s="1">
        <f t="shared" si="6"/>
        <v>294.10000000000002</v>
      </c>
      <c r="H48" s="1">
        <v>101.3</v>
      </c>
      <c r="I48" s="1">
        <f t="shared" si="7"/>
        <v>101300</v>
      </c>
      <c r="J48" s="1">
        <f t="shared" si="8"/>
        <v>2.0124824921938581E-5</v>
      </c>
      <c r="K48" s="28">
        <v>45.514851485148519</v>
      </c>
      <c r="L48" s="1">
        <f t="shared" si="9"/>
        <v>4.5514851485148522E-5</v>
      </c>
      <c r="M48" s="1">
        <f t="shared" si="10"/>
        <v>4.7762865441819992E-3</v>
      </c>
      <c r="N48" s="64">
        <f t="shared" si="11"/>
        <v>1.9177626991462745E-7</v>
      </c>
      <c r="O48" s="29">
        <f t="shared" si="12"/>
        <v>2.032E-3</v>
      </c>
      <c r="P48" s="29">
        <v>4.7360646624728548E-11</v>
      </c>
      <c r="Q48" s="2">
        <v>0.11</v>
      </c>
      <c r="R48" s="2">
        <f t="shared" si="13"/>
        <v>111000.00000000001</v>
      </c>
      <c r="S48" s="2">
        <f t="shared" si="14"/>
        <v>5.1398579432804297E-3</v>
      </c>
      <c r="T48" s="2">
        <v>0.06</v>
      </c>
      <c r="U48" s="2">
        <f t="shared" si="15"/>
        <v>106000</v>
      </c>
      <c r="V48" s="2">
        <f t="shared" si="19"/>
        <v>4.8245742574257431</v>
      </c>
      <c r="W48" s="2">
        <f t="shared" si="16"/>
        <v>5</v>
      </c>
      <c r="X48" s="12">
        <f t="shared" si="20"/>
        <v>1.9085384147156865E-7</v>
      </c>
      <c r="Y48" s="2">
        <f t="shared" si="3"/>
        <v>105610.74945112498</v>
      </c>
      <c r="Z48" s="12">
        <f t="shared" si="17"/>
        <v>9.2888882346041619E-15</v>
      </c>
      <c r="AA48" s="12">
        <f t="shared" si="18"/>
        <v>5593768494.8786268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</row>
    <row r="49" spans="1:75" s="4" customFormat="1" x14ac:dyDescent="0.25">
      <c r="A49" s="1">
        <v>141</v>
      </c>
      <c r="B49" s="1">
        <f t="shared" si="4"/>
        <v>2.35</v>
      </c>
      <c r="C49" s="1">
        <v>20</v>
      </c>
      <c r="D49" s="1">
        <f t="shared" si="0"/>
        <v>29.146000000000001</v>
      </c>
      <c r="E49" s="1">
        <f t="shared" si="5"/>
        <v>4.8576666666666667E-7</v>
      </c>
      <c r="F49" s="1">
        <v>21.1</v>
      </c>
      <c r="G49" s="1">
        <f t="shared" si="6"/>
        <v>294.10000000000002</v>
      </c>
      <c r="H49" s="1">
        <v>101.3</v>
      </c>
      <c r="I49" s="1">
        <f t="shared" si="7"/>
        <v>101300</v>
      </c>
      <c r="J49" s="1">
        <f t="shared" si="8"/>
        <v>2.0124824921938581E-5</v>
      </c>
      <c r="K49" s="28">
        <v>45.688118811881189</v>
      </c>
      <c r="L49" s="1">
        <f t="shared" si="9"/>
        <v>4.5688118811881192E-5</v>
      </c>
      <c r="M49" s="1">
        <f t="shared" si="10"/>
        <v>4.7762865441819992E-3</v>
      </c>
      <c r="N49" s="64">
        <f t="shared" si="11"/>
        <v>1.9250632967610362E-7</v>
      </c>
      <c r="O49" s="29">
        <f t="shared" si="12"/>
        <v>2.032E-3</v>
      </c>
      <c r="P49" s="29">
        <v>4.7360646624728548E-11</v>
      </c>
      <c r="Q49" s="2">
        <v>0.11</v>
      </c>
      <c r="R49" s="2">
        <f t="shared" si="13"/>
        <v>111000.00000000001</v>
      </c>
      <c r="S49" s="2">
        <f t="shared" si="14"/>
        <v>5.1398579432804297E-3</v>
      </c>
      <c r="T49" s="2">
        <v>0.06</v>
      </c>
      <c r="U49" s="2">
        <f t="shared" si="15"/>
        <v>106000</v>
      </c>
      <c r="V49" s="2">
        <f t="shared" si="19"/>
        <v>4.8429405940594066</v>
      </c>
      <c r="W49" s="2">
        <f t="shared" si="16"/>
        <v>5</v>
      </c>
      <c r="X49" s="12">
        <f t="shared" si="20"/>
        <v>1.9168125308865613E-7</v>
      </c>
      <c r="Y49" s="2">
        <f t="shared" si="3"/>
        <v>105587.67730300695</v>
      </c>
      <c r="Z49" s="12">
        <f t="shared" si="17"/>
        <v>9.3311987428176913E-15</v>
      </c>
      <c r="AA49" s="12">
        <f t="shared" si="18"/>
        <v>5619247882.9248142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</row>
    <row r="50" spans="1:75" s="4" customFormat="1" x14ac:dyDescent="0.25">
      <c r="A50" s="1">
        <v>144</v>
      </c>
      <c r="B50" s="1">
        <f t="shared" si="4"/>
        <v>2.4</v>
      </c>
      <c r="C50" s="1">
        <v>20</v>
      </c>
      <c r="D50" s="1">
        <f t="shared" si="0"/>
        <v>29.146000000000001</v>
      </c>
      <c r="E50" s="1">
        <f t="shared" si="5"/>
        <v>4.8576666666666667E-7</v>
      </c>
      <c r="F50" s="1">
        <v>21.1</v>
      </c>
      <c r="G50" s="1">
        <f t="shared" si="6"/>
        <v>294.10000000000002</v>
      </c>
      <c r="H50" s="1">
        <v>101.3</v>
      </c>
      <c r="I50" s="1">
        <f t="shared" si="7"/>
        <v>101300</v>
      </c>
      <c r="J50" s="1">
        <f t="shared" si="8"/>
        <v>2.0124824921938581E-5</v>
      </c>
      <c r="K50" s="28">
        <v>43.089108910891092</v>
      </c>
      <c r="L50" s="1">
        <f t="shared" si="9"/>
        <v>4.3089108910891089E-5</v>
      </c>
      <c r="M50" s="1">
        <f t="shared" si="10"/>
        <v>4.7762865441819992E-3</v>
      </c>
      <c r="N50" s="64">
        <f t="shared" si="11"/>
        <v>1.8155543325396096E-7</v>
      </c>
      <c r="O50" s="29">
        <f t="shared" si="12"/>
        <v>2.032E-3</v>
      </c>
      <c r="P50" s="29">
        <v>4.7360646624728548E-11</v>
      </c>
      <c r="Q50" s="2">
        <v>0.11</v>
      </c>
      <c r="R50" s="2">
        <f t="shared" si="13"/>
        <v>111000.00000000001</v>
      </c>
      <c r="S50" s="2">
        <f t="shared" si="14"/>
        <v>5.1398579432804297E-3</v>
      </c>
      <c r="T50" s="2">
        <v>0.06</v>
      </c>
      <c r="U50" s="2">
        <f t="shared" si="15"/>
        <v>106000</v>
      </c>
      <c r="V50" s="2">
        <f t="shared" si="19"/>
        <v>4.5674455445544551</v>
      </c>
      <c r="W50" s="2">
        <f t="shared" si="16"/>
        <v>5</v>
      </c>
      <c r="X50" s="12">
        <f t="shared" si="20"/>
        <v>1.7925010506007605E-7</v>
      </c>
      <c r="Y50" s="2">
        <f t="shared" si="3"/>
        <v>105934.58202267248</v>
      </c>
      <c r="Z50" s="12">
        <f t="shared" si="17"/>
        <v>8.6974412304651189E-15</v>
      </c>
      <c r="AA50" s="12">
        <f t="shared" si="18"/>
        <v>5237599108.9860945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</row>
    <row r="51" spans="1:75" s="4" customFormat="1" x14ac:dyDescent="0.25">
      <c r="A51" s="1">
        <v>147</v>
      </c>
      <c r="B51" s="1">
        <f t="shared" si="4"/>
        <v>2.4500000000000002</v>
      </c>
      <c r="C51" s="1">
        <v>20</v>
      </c>
      <c r="D51" s="1">
        <f t="shared" si="0"/>
        <v>29.146000000000001</v>
      </c>
      <c r="E51" s="1">
        <f t="shared" si="5"/>
        <v>4.8576666666666667E-7</v>
      </c>
      <c r="F51" s="1">
        <v>21.1</v>
      </c>
      <c r="G51" s="1">
        <f t="shared" si="6"/>
        <v>294.10000000000002</v>
      </c>
      <c r="H51" s="1">
        <v>101.3</v>
      </c>
      <c r="I51" s="1">
        <f t="shared" si="7"/>
        <v>101300</v>
      </c>
      <c r="J51" s="1">
        <f t="shared" si="8"/>
        <v>2.0124824921938581E-5</v>
      </c>
      <c r="K51" s="28">
        <v>42.321782178217823</v>
      </c>
      <c r="L51" s="1">
        <f t="shared" si="9"/>
        <v>4.2321782178217822E-5</v>
      </c>
      <c r="M51" s="1">
        <f t="shared" si="10"/>
        <v>4.7762865441819992E-3</v>
      </c>
      <c r="N51" s="64">
        <f t="shared" si="11"/>
        <v>1.7832231145313789E-7</v>
      </c>
      <c r="O51" s="29">
        <f t="shared" si="12"/>
        <v>2.032E-3</v>
      </c>
      <c r="P51" s="29">
        <v>4.7360646624728548E-11</v>
      </c>
      <c r="Q51" s="2">
        <v>0.11</v>
      </c>
      <c r="R51" s="2">
        <f t="shared" si="13"/>
        <v>111000.00000000001</v>
      </c>
      <c r="S51" s="2">
        <f t="shared" si="14"/>
        <v>5.1398579432804297E-3</v>
      </c>
      <c r="T51" s="2">
        <v>0.06</v>
      </c>
      <c r="U51" s="2">
        <f t="shared" si="15"/>
        <v>106000</v>
      </c>
      <c r="V51" s="2">
        <f t="shared" si="19"/>
        <v>4.4861089108910894</v>
      </c>
      <c r="W51" s="2">
        <f t="shared" si="16"/>
        <v>5</v>
      </c>
      <c r="X51" s="12">
        <f t="shared" si="20"/>
        <v>1.7557147071345888E-7</v>
      </c>
      <c r="Y51" s="2">
        <f t="shared" si="3"/>
        <v>106037.34740996732</v>
      </c>
      <c r="Z51" s="12">
        <f t="shared" si="17"/>
        <v>8.510686284300129E-15</v>
      </c>
      <c r="AA51" s="12">
        <f t="shared" si="18"/>
        <v>5125135280.4055376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</row>
    <row r="52" spans="1:75" s="4" customFormat="1" x14ac:dyDescent="0.25">
      <c r="A52" s="1">
        <v>150</v>
      </c>
      <c r="B52" s="1">
        <f t="shared" si="4"/>
        <v>2.5</v>
      </c>
      <c r="C52" s="1">
        <v>20</v>
      </c>
      <c r="D52" s="1">
        <f t="shared" si="0"/>
        <v>29.146000000000001</v>
      </c>
      <c r="E52" s="1">
        <f t="shared" si="5"/>
        <v>4.8576666666666667E-7</v>
      </c>
      <c r="F52" s="1">
        <v>21.1</v>
      </c>
      <c r="G52" s="1">
        <f t="shared" si="6"/>
        <v>294.10000000000002</v>
      </c>
      <c r="H52" s="1">
        <v>101.3</v>
      </c>
      <c r="I52" s="1">
        <f t="shared" si="7"/>
        <v>101300</v>
      </c>
      <c r="J52" s="1">
        <f t="shared" si="8"/>
        <v>2.0124824921938581E-5</v>
      </c>
      <c r="K52" s="28">
        <v>43.039603960396036</v>
      </c>
      <c r="L52" s="1">
        <f t="shared" si="9"/>
        <v>4.3039603960396037E-5</v>
      </c>
      <c r="M52" s="1">
        <f t="shared" si="10"/>
        <v>4.7762865441819992E-3</v>
      </c>
      <c r="N52" s="64">
        <f t="shared" si="11"/>
        <v>1.8134684475068203E-7</v>
      </c>
      <c r="O52" s="29">
        <f t="shared" si="12"/>
        <v>2.032E-3</v>
      </c>
      <c r="P52" s="29">
        <v>4.7360646624728548E-11</v>
      </c>
      <c r="Q52" s="2">
        <v>0.11</v>
      </c>
      <c r="R52" s="2">
        <f t="shared" si="13"/>
        <v>111000.00000000001</v>
      </c>
      <c r="S52" s="2">
        <f t="shared" si="14"/>
        <v>5.1398579432804297E-3</v>
      </c>
      <c r="T52" s="2">
        <v>0.06</v>
      </c>
      <c r="U52" s="2">
        <f t="shared" si="15"/>
        <v>106000</v>
      </c>
      <c r="V52" s="2">
        <f t="shared" si="19"/>
        <v>4.56219801980198</v>
      </c>
      <c r="W52" s="2">
        <f t="shared" si="16"/>
        <v>5</v>
      </c>
      <c r="X52" s="12">
        <f t="shared" si="20"/>
        <v>1.790128941253145E-7</v>
      </c>
      <c r="Y52" s="2">
        <f t="shared" si="3"/>
        <v>105941.20718387079</v>
      </c>
      <c r="Z52" s="12">
        <f t="shared" si="17"/>
        <v>8.6853878178085216E-15</v>
      </c>
      <c r="AA52" s="12">
        <f t="shared" si="18"/>
        <v>5230340543.8842916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</row>
    <row r="53" spans="1:75" s="4" customFormat="1" x14ac:dyDescent="0.25">
      <c r="A53" s="1">
        <v>153</v>
      </c>
      <c r="B53" s="1">
        <f t="shared" si="4"/>
        <v>2.5499999999999998</v>
      </c>
      <c r="C53" s="1">
        <v>20</v>
      </c>
      <c r="D53" s="1">
        <f t="shared" si="0"/>
        <v>29.146000000000001</v>
      </c>
      <c r="E53" s="1">
        <f t="shared" si="5"/>
        <v>4.8576666666666667E-7</v>
      </c>
      <c r="F53" s="1">
        <v>21.1</v>
      </c>
      <c r="G53" s="1">
        <f t="shared" si="6"/>
        <v>294.10000000000002</v>
      </c>
      <c r="H53" s="1">
        <v>101.3</v>
      </c>
      <c r="I53" s="1">
        <f t="shared" si="7"/>
        <v>101300</v>
      </c>
      <c r="J53" s="1">
        <f t="shared" si="8"/>
        <v>2.0124824921938581E-5</v>
      </c>
      <c r="K53" s="28">
        <v>36.257425742574263</v>
      </c>
      <c r="L53" s="1">
        <f t="shared" si="9"/>
        <v>3.625742574257426E-5</v>
      </c>
      <c r="M53" s="1">
        <f t="shared" si="10"/>
        <v>4.7762865441819992E-3</v>
      </c>
      <c r="N53" s="64">
        <f t="shared" si="11"/>
        <v>1.5277021980147174E-7</v>
      </c>
      <c r="O53" s="29">
        <f t="shared" si="12"/>
        <v>2.032E-3</v>
      </c>
      <c r="P53" s="29">
        <v>4.7360646624728548E-11</v>
      </c>
      <c r="Q53" s="2">
        <v>0.11</v>
      </c>
      <c r="R53" s="2">
        <f t="shared" si="13"/>
        <v>111000.00000000001</v>
      </c>
      <c r="S53" s="2">
        <f t="shared" si="14"/>
        <v>5.1398579432804297E-3</v>
      </c>
      <c r="T53" s="2">
        <v>0.06</v>
      </c>
      <c r="U53" s="2">
        <f t="shared" si="15"/>
        <v>106000</v>
      </c>
      <c r="V53" s="2">
        <f t="shared" si="19"/>
        <v>3.8432871287128716</v>
      </c>
      <c r="W53" s="2">
        <f t="shared" si="16"/>
        <v>5</v>
      </c>
      <c r="X53" s="12">
        <f t="shared" si="20"/>
        <v>1.4634582186022675E-7</v>
      </c>
      <c r="Y53" s="2">
        <f t="shared" si="3"/>
        <v>106855.5578800855</v>
      </c>
      <c r="Z53" s="12">
        <f t="shared" si="17"/>
        <v>7.0396318657086929E-15</v>
      </c>
      <c r="AA53" s="12">
        <f t="shared" si="18"/>
        <v>4239266309.5297751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</row>
    <row r="54" spans="1:75" s="4" customFormat="1" x14ac:dyDescent="0.25">
      <c r="A54" s="1">
        <v>156</v>
      </c>
      <c r="B54" s="1">
        <f t="shared" si="4"/>
        <v>2.6</v>
      </c>
      <c r="C54" s="1">
        <v>20</v>
      </c>
      <c r="D54" s="1">
        <f t="shared" si="0"/>
        <v>29.146000000000001</v>
      </c>
      <c r="E54" s="1">
        <f t="shared" si="5"/>
        <v>4.8576666666666667E-7</v>
      </c>
      <c r="F54" s="1">
        <v>21.1</v>
      </c>
      <c r="G54" s="1">
        <f t="shared" si="6"/>
        <v>294.10000000000002</v>
      </c>
      <c r="H54" s="1">
        <v>101.3</v>
      </c>
      <c r="I54" s="1">
        <f t="shared" si="7"/>
        <v>101300</v>
      </c>
      <c r="J54" s="1">
        <f t="shared" si="8"/>
        <v>2.0124824921938581E-5</v>
      </c>
      <c r="K54" s="28">
        <v>44.004950495049506</v>
      </c>
      <c r="L54" s="1">
        <f t="shared" si="9"/>
        <v>4.4004950495049503E-5</v>
      </c>
      <c r="M54" s="1">
        <f t="shared" si="10"/>
        <v>4.7762865441819992E-3</v>
      </c>
      <c r="N54" s="64">
        <f t="shared" si="11"/>
        <v>1.8541432056462072E-7</v>
      </c>
      <c r="O54" s="29">
        <f t="shared" si="12"/>
        <v>2.032E-3</v>
      </c>
      <c r="P54" s="29">
        <v>4.7360646624728548E-11</v>
      </c>
      <c r="Q54" s="2">
        <v>0.11</v>
      </c>
      <c r="R54" s="2">
        <f t="shared" si="13"/>
        <v>111000.00000000001</v>
      </c>
      <c r="S54" s="2">
        <f t="shared" si="14"/>
        <v>5.1398579432804297E-3</v>
      </c>
      <c r="T54" s="2">
        <v>0.06</v>
      </c>
      <c r="U54" s="2">
        <f t="shared" si="15"/>
        <v>106000</v>
      </c>
      <c r="V54" s="2">
        <f t="shared" si="19"/>
        <v>4.6645247524752476</v>
      </c>
      <c r="W54" s="2">
        <f t="shared" si="16"/>
        <v>5</v>
      </c>
      <c r="X54" s="12">
        <f t="shared" si="20"/>
        <v>1.8363557187327437E-7</v>
      </c>
      <c r="Y54" s="2">
        <f t="shared" si="3"/>
        <v>105812.13584500097</v>
      </c>
      <c r="Z54" s="12">
        <f t="shared" si="17"/>
        <v>8.9205491917002827E-15</v>
      </c>
      <c r="AA54" s="12">
        <f t="shared" si="18"/>
        <v>5371954723.2419109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</row>
    <row r="55" spans="1:75" s="4" customFormat="1" x14ac:dyDescent="0.25">
      <c r="A55" s="1">
        <v>159</v>
      </c>
      <c r="B55" s="1">
        <f t="shared" si="4"/>
        <v>2.65</v>
      </c>
      <c r="C55" s="1">
        <v>20</v>
      </c>
      <c r="D55" s="1">
        <f t="shared" si="0"/>
        <v>29.146000000000001</v>
      </c>
      <c r="E55" s="1">
        <f t="shared" si="5"/>
        <v>4.8576666666666667E-7</v>
      </c>
      <c r="F55" s="1">
        <v>21.1</v>
      </c>
      <c r="G55" s="1">
        <f t="shared" si="6"/>
        <v>294.10000000000002</v>
      </c>
      <c r="H55" s="1">
        <v>101.3</v>
      </c>
      <c r="I55" s="1">
        <f t="shared" si="7"/>
        <v>101300</v>
      </c>
      <c r="J55" s="1">
        <f t="shared" si="8"/>
        <v>2.0124824921938581E-5</v>
      </c>
      <c r="K55" s="28">
        <v>43.534653465346537</v>
      </c>
      <c r="L55" s="1">
        <f t="shared" si="9"/>
        <v>4.3534653465346538E-5</v>
      </c>
      <c r="M55" s="1">
        <f t="shared" si="10"/>
        <v>4.7762865441819992E-3</v>
      </c>
      <c r="N55" s="64">
        <f t="shared" si="11"/>
        <v>1.8343272978347114E-7</v>
      </c>
      <c r="O55" s="29">
        <f t="shared" si="12"/>
        <v>2.032E-3</v>
      </c>
      <c r="P55" s="29">
        <v>4.7360646624728548E-11</v>
      </c>
      <c r="Q55" s="2">
        <v>0.11</v>
      </c>
      <c r="R55" s="2">
        <f t="shared" si="13"/>
        <v>111000.00000000001</v>
      </c>
      <c r="S55" s="2">
        <f t="shared" si="14"/>
        <v>5.1398579432804297E-3</v>
      </c>
      <c r="T55" s="2">
        <v>0.06</v>
      </c>
      <c r="U55" s="2">
        <f t="shared" si="15"/>
        <v>106000</v>
      </c>
      <c r="V55" s="2">
        <f t="shared" si="19"/>
        <v>4.614673267326733</v>
      </c>
      <c r="W55" s="2">
        <f t="shared" si="16"/>
        <v>5</v>
      </c>
      <c r="X55" s="12">
        <f t="shared" si="20"/>
        <v>1.8138426716755433E-7</v>
      </c>
      <c r="Y55" s="2">
        <f t="shared" si="3"/>
        <v>105874.9854526753</v>
      </c>
      <c r="Z55" s="12">
        <f t="shared" si="17"/>
        <v>8.8059516512866124E-15</v>
      </c>
      <c r="AA55" s="12">
        <f t="shared" si="18"/>
        <v>5302944084.4047985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</row>
    <row r="56" spans="1:75" s="4" customFormat="1" x14ac:dyDescent="0.25">
      <c r="A56" s="1">
        <v>162</v>
      </c>
      <c r="B56" s="1">
        <f t="shared" si="4"/>
        <v>2.7</v>
      </c>
      <c r="C56" s="1">
        <v>20</v>
      </c>
      <c r="D56" s="1">
        <f t="shared" si="0"/>
        <v>29.146000000000001</v>
      </c>
      <c r="E56" s="1">
        <f t="shared" si="5"/>
        <v>4.8576666666666667E-7</v>
      </c>
      <c r="F56" s="1">
        <v>21.1</v>
      </c>
      <c r="G56" s="1">
        <f t="shared" si="6"/>
        <v>294.10000000000002</v>
      </c>
      <c r="H56" s="1">
        <v>101.3</v>
      </c>
      <c r="I56" s="1">
        <f t="shared" si="7"/>
        <v>101300</v>
      </c>
      <c r="J56" s="1">
        <f t="shared" si="8"/>
        <v>2.0124824921938581E-5</v>
      </c>
      <c r="K56" s="28">
        <v>44.450495049504951</v>
      </c>
      <c r="L56" s="1">
        <f t="shared" si="9"/>
        <v>4.4450495049504953E-5</v>
      </c>
      <c r="M56" s="1">
        <f t="shared" si="10"/>
        <v>4.7762865441819992E-3</v>
      </c>
      <c r="N56" s="64">
        <f t="shared" si="11"/>
        <v>1.872916170941309E-7</v>
      </c>
      <c r="O56" s="29">
        <f t="shared" si="12"/>
        <v>2.032E-3</v>
      </c>
      <c r="P56" s="29">
        <v>4.7360646624728548E-11</v>
      </c>
      <c r="Q56" s="2">
        <v>0.11</v>
      </c>
      <c r="R56" s="2">
        <f t="shared" si="13"/>
        <v>111000.00000000001</v>
      </c>
      <c r="S56" s="2">
        <f t="shared" si="14"/>
        <v>5.1398579432804297E-3</v>
      </c>
      <c r="T56" s="2">
        <v>0.06</v>
      </c>
      <c r="U56" s="2">
        <f t="shared" si="15"/>
        <v>106000</v>
      </c>
      <c r="V56" s="2">
        <f t="shared" si="19"/>
        <v>4.7117524752475246</v>
      </c>
      <c r="W56" s="2">
        <f t="shared" si="16"/>
        <v>5</v>
      </c>
      <c r="X56" s="12">
        <f t="shared" si="20"/>
        <v>1.8576706052358064E-7</v>
      </c>
      <c r="Y56" s="2">
        <f t="shared" si="3"/>
        <v>105752.64833538617</v>
      </c>
      <c r="Z56" s="12">
        <f t="shared" si="17"/>
        <v>9.0291719392875856E-15</v>
      </c>
      <c r="AA56" s="12">
        <f t="shared" si="18"/>
        <v>5437367341.8389845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</row>
    <row r="57" spans="1:75" s="4" customFormat="1" x14ac:dyDescent="0.25">
      <c r="A57" s="1">
        <v>165</v>
      </c>
      <c r="B57" s="1">
        <f t="shared" si="4"/>
        <v>2.75</v>
      </c>
      <c r="C57" s="1">
        <v>20</v>
      </c>
      <c r="D57" s="1">
        <f t="shared" si="0"/>
        <v>29.146000000000001</v>
      </c>
      <c r="E57" s="1">
        <f t="shared" si="5"/>
        <v>4.8576666666666667E-7</v>
      </c>
      <c r="F57" s="1">
        <v>21.1</v>
      </c>
      <c r="G57" s="1">
        <f t="shared" si="6"/>
        <v>294.10000000000002</v>
      </c>
      <c r="H57" s="1">
        <v>101.3</v>
      </c>
      <c r="I57" s="1">
        <f t="shared" si="7"/>
        <v>101300</v>
      </c>
      <c r="J57" s="1">
        <f t="shared" si="8"/>
        <v>2.0124824921938581E-5</v>
      </c>
      <c r="K57" s="28">
        <v>36.430693069306933</v>
      </c>
      <c r="L57" s="1">
        <f t="shared" si="9"/>
        <v>3.643069306930693E-5</v>
      </c>
      <c r="M57" s="1">
        <f t="shared" si="10"/>
        <v>4.7762865441819992E-3</v>
      </c>
      <c r="N57" s="64">
        <f t="shared" si="11"/>
        <v>1.5350027956294791E-7</v>
      </c>
      <c r="O57" s="29">
        <f t="shared" si="12"/>
        <v>2.032E-3</v>
      </c>
      <c r="P57" s="29">
        <v>4.7360646624728548E-11</v>
      </c>
      <c r="Q57" s="2">
        <v>0.11</v>
      </c>
      <c r="R57" s="2">
        <f t="shared" si="13"/>
        <v>111000.00000000001</v>
      </c>
      <c r="S57" s="2">
        <f t="shared" si="14"/>
        <v>5.1398579432804297E-3</v>
      </c>
      <c r="T57" s="2">
        <v>0.06</v>
      </c>
      <c r="U57" s="2">
        <f t="shared" si="15"/>
        <v>106000</v>
      </c>
      <c r="V57" s="2">
        <f t="shared" si="19"/>
        <v>3.8616534653465346</v>
      </c>
      <c r="W57" s="2">
        <f t="shared" si="16"/>
        <v>5</v>
      </c>
      <c r="X57" s="12">
        <f t="shared" si="20"/>
        <v>1.4718492947565787E-7</v>
      </c>
      <c r="Y57" s="2">
        <f t="shared" si="3"/>
        <v>106832.02211175696</v>
      </c>
      <c r="Z57" s="12">
        <f t="shared" si="17"/>
        <v>7.0815562642959698E-15</v>
      </c>
      <c r="AA57" s="12">
        <f t="shared" si="18"/>
        <v>4264513182.3590331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</row>
    <row r="58" spans="1:75" s="4" customFormat="1" x14ac:dyDescent="0.25">
      <c r="A58" s="1">
        <v>168</v>
      </c>
      <c r="B58" s="1">
        <f t="shared" si="4"/>
        <v>2.8</v>
      </c>
      <c r="C58" s="1">
        <v>20</v>
      </c>
      <c r="D58" s="1">
        <f t="shared" si="0"/>
        <v>29.146000000000001</v>
      </c>
      <c r="E58" s="1">
        <f t="shared" si="5"/>
        <v>4.8576666666666667E-7</v>
      </c>
      <c r="F58" s="1">
        <v>21.1</v>
      </c>
      <c r="G58" s="1">
        <f t="shared" si="6"/>
        <v>294.10000000000002</v>
      </c>
      <c r="H58" s="1">
        <v>101.3</v>
      </c>
      <c r="I58" s="1">
        <f t="shared" si="7"/>
        <v>101300</v>
      </c>
      <c r="J58" s="1">
        <f t="shared" si="8"/>
        <v>2.0124824921938581E-5</v>
      </c>
      <c r="K58" s="28">
        <v>43.633663366336634</v>
      </c>
      <c r="L58" s="1">
        <f t="shared" si="9"/>
        <v>4.3633663366336634E-5</v>
      </c>
      <c r="M58" s="1">
        <f t="shared" si="10"/>
        <v>4.7762865441819992E-3</v>
      </c>
      <c r="N58" s="64">
        <f t="shared" si="11"/>
        <v>1.8384990679002893E-7</v>
      </c>
      <c r="O58" s="29">
        <f t="shared" si="12"/>
        <v>2.032E-3</v>
      </c>
      <c r="P58" s="29">
        <v>4.7360646624728548E-11</v>
      </c>
      <c r="Q58" s="2">
        <v>0.11</v>
      </c>
      <c r="R58" s="2">
        <f t="shared" si="13"/>
        <v>111000.00000000001</v>
      </c>
      <c r="S58" s="2">
        <f t="shared" si="14"/>
        <v>5.1398579432804297E-3</v>
      </c>
      <c r="T58" s="2">
        <v>0.06</v>
      </c>
      <c r="U58" s="2">
        <f t="shared" si="15"/>
        <v>106000</v>
      </c>
      <c r="V58" s="2">
        <f t="shared" si="19"/>
        <v>4.6251683168316831</v>
      </c>
      <c r="W58" s="2">
        <f t="shared" si="16"/>
        <v>5</v>
      </c>
      <c r="X58" s="12">
        <f t="shared" si="20"/>
        <v>1.8185834665749929E-7</v>
      </c>
      <c r="Y58" s="2">
        <f t="shared" si="3"/>
        <v>105861.74903843112</v>
      </c>
      <c r="Z58" s="12">
        <f t="shared" si="17"/>
        <v>8.8300723980210713E-15</v>
      </c>
      <c r="AA58" s="12">
        <f t="shared" si="18"/>
        <v>5317469598.0882893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</row>
    <row r="59" spans="1:75" s="4" customFormat="1" x14ac:dyDescent="0.25">
      <c r="A59" s="1">
        <v>171</v>
      </c>
      <c r="B59" s="1">
        <f t="shared" si="4"/>
        <v>2.85</v>
      </c>
      <c r="C59" s="1">
        <v>20</v>
      </c>
      <c r="D59" s="1">
        <f t="shared" si="0"/>
        <v>29.146000000000001</v>
      </c>
      <c r="E59" s="1">
        <f t="shared" si="5"/>
        <v>4.8576666666666667E-7</v>
      </c>
      <c r="F59" s="1">
        <v>21.1</v>
      </c>
      <c r="G59" s="1">
        <f t="shared" si="6"/>
        <v>294.10000000000002</v>
      </c>
      <c r="H59" s="1">
        <v>101.3</v>
      </c>
      <c r="I59" s="1">
        <f t="shared" si="7"/>
        <v>101300</v>
      </c>
      <c r="J59" s="1">
        <f t="shared" si="8"/>
        <v>2.0124824921938581E-5</v>
      </c>
      <c r="K59" s="28">
        <v>39.400990099009903</v>
      </c>
      <c r="L59" s="1">
        <f t="shared" si="9"/>
        <v>3.9400990099009902E-5</v>
      </c>
      <c r="M59" s="1">
        <f t="shared" si="10"/>
        <v>4.7762865441819992E-3</v>
      </c>
      <c r="N59" s="64">
        <f t="shared" si="11"/>
        <v>1.6601558975968234E-7</v>
      </c>
      <c r="O59" s="29">
        <f t="shared" si="12"/>
        <v>2.032E-3</v>
      </c>
      <c r="P59" s="29">
        <v>4.7360646624728548E-11</v>
      </c>
      <c r="Q59" s="2">
        <v>0.11</v>
      </c>
      <c r="R59" s="2">
        <f t="shared" si="13"/>
        <v>111000.00000000001</v>
      </c>
      <c r="S59" s="2">
        <f t="shared" si="14"/>
        <v>5.1398579432804297E-3</v>
      </c>
      <c r="T59" s="2">
        <v>0.06</v>
      </c>
      <c r="U59" s="2">
        <f t="shared" si="15"/>
        <v>106000</v>
      </c>
      <c r="V59" s="2">
        <f t="shared" si="19"/>
        <v>4.1765049504950493</v>
      </c>
      <c r="W59" s="2">
        <f t="shared" si="16"/>
        <v>5</v>
      </c>
      <c r="X59" s="12">
        <f t="shared" si="20"/>
        <v>1.6153082393924226E-7</v>
      </c>
      <c r="Y59" s="2">
        <f t="shared" si="3"/>
        <v>106430.04130233172</v>
      </c>
      <c r="Z59" s="12">
        <f t="shared" si="17"/>
        <v>7.8011627163134536E-15</v>
      </c>
      <c r="AA59" s="12">
        <f t="shared" si="18"/>
        <v>4697860187.7639618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</row>
    <row r="60" spans="1:75" s="4" customFormat="1" x14ac:dyDescent="0.25">
      <c r="A60" s="1">
        <v>174</v>
      </c>
      <c r="B60" s="1">
        <f t="shared" si="4"/>
        <v>2.9</v>
      </c>
      <c r="C60" s="1">
        <v>20</v>
      </c>
      <c r="D60" s="1">
        <f t="shared" si="0"/>
        <v>29.146000000000001</v>
      </c>
      <c r="E60" s="1">
        <f t="shared" si="5"/>
        <v>4.8576666666666667E-7</v>
      </c>
      <c r="F60" s="1">
        <v>21.1</v>
      </c>
      <c r="G60" s="1">
        <f t="shared" si="6"/>
        <v>294.10000000000002</v>
      </c>
      <c r="H60" s="1">
        <v>101.3</v>
      </c>
      <c r="I60" s="1">
        <f t="shared" si="7"/>
        <v>101300</v>
      </c>
      <c r="J60" s="1">
        <f t="shared" si="8"/>
        <v>2.0124824921938581E-5</v>
      </c>
      <c r="K60" s="28">
        <v>40.440594059405939</v>
      </c>
      <c r="L60" s="1">
        <f t="shared" si="9"/>
        <v>4.0440594059405941E-5</v>
      </c>
      <c r="M60" s="1">
        <f t="shared" si="10"/>
        <v>4.7762865441819992E-3</v>
      </c>
      <c r="N60" s="64">
        <f t="shared" si="11"/>
        <v>1.7039594832853942E-7</v>
      </c>
      <c r="O60" s="29">
        <f t="shared" si="12"/>
        <v>2.032E-3</v>
      </c>
      <c r="P60" s="29">
        <v>4.7360646624728548E-11</v>
      </c>
      <c r="Q60" s="2">
        <v>0.11</v>
      </c>
      <c r="R60" s="2">
        <f t="shared" si="13"/>
        <v>111000.00000000001</v>
      </c>
      <c r="S60" s="2">
        <f t="shared" si="14"/>
        <v>5.1398579432804297E-3</v>
      </c>
      <c r="T60" s="2">
        <v>0.06</v>
      </c>
      <c r="U60" s="2">
        <f t="shared" si="15"/>
        <v>106000</v>
      </c>
      <c r="V60" s="2">
        <f t="shared" si="19"/>
        <v>4.2867029702970294</v>
      </c>
      <c r="W60" s="2">
        <f t="shared" si="16"/>
        <v>5</v>
      </c>
      <c r="X60" s="12">
        <f t="shared" si="20"/>
        <v>1.6653548405577276E-7</v>
      </c>
      <c r="Y60" s="2">
        <f t="shared" si="3"/>
        <v>106289.98591046744</v>
      </c>
      <c r="Z60" s="12">
        <f t="shared" si="17"/>
        <v>8.0534703816648257E-15</v>
      </c>
      <c r="AA60" s="12">
        <f t="shared" si="18"/>
        <v>4849799863.8385582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</row>
    <row r="61" spans="1:75" s="4" customFormat="1" x14ac:dyDescent="0.25">
      <c r="A61" s="1">
        <v>177</v>
      </c>
      <c r="B61" s="1">
        <f t="shared" si="4"/>
        <v>2.95</v>
      </c>
      <c r="C61" s="1">
        <v>20</v>
      </c>
      <c r="D61" s="1">
        <f t="shared" si="0"/>
        <v>29.146000000000001</v>
      </c>
      <c r="E61" s="1">
        <f t="shared" si="5"/>
        <v>4.8576666666666667E-7</v>
      </c>
      <c r="F61" s="1">
        <v>21.1</v>
      </c>
      <c r="G61" s="1">
        <f t="shared" si="6"/>
        <v>294.10000000000002</v>
      </c>
      <c r="H61" s="1">
        <v>101.3</v>
      </c>
      <c r="I61" s="1">
        <f t="shared" si="7"/>
        <v>101300</v>
      </c>
      <c r="J61" s="1">
        <f t="shared" si="8"/>
        <v>2.0124824921938581E-5</v>
      </c>
      <c r="K61" s="28">
        <v>42.866336633663366</v>
      </c>
      <c r="L61" s="1">
        <f t="shared" si="9"/>
        <v>4.2866336633663367E-5</v>
      </c>
      <c r="M61" s="1">
        <f t="shared" si="10"/>
        <v>4.7762865441819992E-3</v>
      </c>
      <c r="N61" s="64">
        <f t="shared" si="11"/>
        <v>1.8061678498920588E-7</v>
      </c>
      <c r="O61" s="29">
        <f t="shared" si="12"/>
        <v>2.032E-3</v>
      </c>
      <c r="P61" s="29">
        <v>4.7360646624728548E-11</v>
      </c>
      <c r="Q61" s="2">
        <v>0.11</v>
      </c>
      <c r="R61" s="2">
        <f t="shared" si="13"/>
        <v>111000.00000000001</v>
      </c>
      <c r="S61" s="2">
        <f t="shared" si="14"/>
        <v>5.1398579432804297E-3</v>
      </c>
      <c r="T61" s="2">
        <v>0.06</v>
      </c>
      <c r="U61" s="2">
        <f t="shared" si="15"/>
        <v>106000</v>
      </c>
      <c r="V61" s="2">
        <f t="shared" si="19"/>
        <v>4.5438316831683165</v>
      </c>
      <c r="W61" s="2">
        <f t="shared" si="16"/>
        <v>5</v>
      </c>
      <c r="X61" s="12">
        <f t="shared" si="20"/>
        <v>1.7818252599884963E-7</v>
      </c>
      <c r="Y61" s="2">
        <f t="shared" si="3"/>
        <v>105964.40050669265</v>
      </c>
      <c r="Z61" s="12">
        <f t="shared" si="17"/>
        <v>8.6432060248809035E-15</v>
      </c>
      <c r="AA61" s="12">
        <f t="shared" si="18"/>
        <v>5204938668.18328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</row>
    <row r="62" spans="1:75" s="4" customFormat="1" x14ac:dyDescent="0.25">
      <c r="A62" s="1">
        <v>180</v>
      </c>
      <c r="B62" s="1">
        <f t="shared" si="4"/>
        <v>3</v>
      </c>
      <c r="C62" s="1">
        <v>20</v>
      </c>
      <c r="D62" s="1">
        <f t="shared" si="0"/>
        <v>29.146000000000001</v>
      </c>
      <c r="E62" s="1">
        <f t="shared" si="5"/>
        <v>4.8576666666666667E-7</v>
      </c>
      <c r="F62" s="1">
        <v>21.1</v>
      </c>
      <c r="G62" s="1">
        <f t="shared" si="6"/>
        <v>294.10000000000002</v>
      </c>
      <c r="H62" s="1">
        <v>101.3</v>
      </c>
      <c r="I62" s="1">
        <f t="shared" si="7"/>
        <v>101300</v>
      </c>
      <c r="J62" s="1">
        <f t="shared" si="8"/>
        <v>2.0124824921938581E-5</v>
      </c>
      <c r="K62" s="28">
        <v>45.094059405940598</v>
      </c>
      <c r="L62" s="1">
        <f t="shared" si="9"/>
        <v>4.5094059405940601E-5</v>
      </c>
      <c r="M62" s="1">
        <f t="shared" si="10"/>
        <v>4.7762865441819992E-3</v>
      </c>
      <c r="N62" s="64">
        <f t="shared" si="11"/>
        <v>1.9000326763675673E-7</v>
      </c>
      <c r="O62" s="29">
        <f t="shared" si="12"/>
        <v>2.032E-3</v>
      </c>
      <c r="P62" s="29">
        <v>4.7360646624728548E-11</v>
      </c>
      <c r="Q62" s="2">
        <v>0.11</v>
      </c>
      <c r="R62" s="2">
        <f t="shared" si="13"/>
        <v>111000.00000000001</v>
      </c>
      <c r="S62" s="2">
        <f t="shared" si="14"/>
        <v>5.1398579432804297E-3</v>
      </c>
      <c r="T62" s="2">
        <v>0.06</v>
      </c>
      <c r="U62" s="2">
        <f t="shared" si="15"/>
        <v>106000</v>
      </c>
      <c r="V62" s="2">
        <f t="shared" si="19"/>
        <v>4.7799702970297036</v>
      </c>
      <c r="W62" s="2">
        <f t="shared" si="16"/>
        <v>5</v>
      </c>
      <c r="X62" s="12">
        <f t="shared" si="20"/>
        <v>1.8884363895244115E-7</v>
      </c>
      <c r="Y62" s="2">
        <f t="shared" si="3"/>
        <v>105666.81390254544</v>
      </c>
      <c r="Z62" s="12">
        <f t="shared" si="17"/>
        <v>9.1861706763099404E-15</v>
      </c>
      <c r="AA62" s="12">
        <f t="shared" si="18"/>
        <v>5531911981.2738466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</row>
    <row r="63" spans="1:75" s="4" customFormat="1" x14ac:dyDescent="0.25">
      <c r="A63" s="1">
        <v>183</v>
      </c>
      <c r="B63" s="1">
        <f t="shared" si="4"/>
        <v>3.05</v>
      </c>
      <c r="C63" s="1">
        <v>20</v>
      </c>
      <c r="D63" s="1">
        <f t="shared" si="0"/>
        <v>29.146000000000001</v>
      </c>
      <c r="E63" s="1">
        <f t="shared" si="5"/>
        <v>4.8576666666666667E-7</v>
      </c>
      <c r="F63" s="1">
        <v>21.1</v>
      </c>
      <c r="G63" s="1">
        <f t="shared" si="6"/>
        <v>294.10000000000002</v>
      </c>
      <c r="H63" s="1">
        <v>101.3</v>
      </c>
      <c r="I63" s="1">
        <f t="shared" si="7"/>
        <v>101300</v>
      </c>
      <c r="J63" s="1">
        <f t="shared" si="8"/>
        <v>2.0124824921938581E-5</v>
      </c>
      <c r="K63" s="28">
        <v>45.440594059405946</v>
      </c>
      <c r="L63" s="1">
        <f t="shared" si="9"/>
        <v>4.5440594059405948E-5</v>
      </c>
      <c r="M63" s="1">
        <f t="shared" si="10"/>
        <v>4.7762865441819992E-3</v>
      </c>
      <c r="N63" s="64">
        <f t="shared" si="11"/>
        <v>1.9146338715970909E-7</v>
      </c>
      <c r="O63" s="29">
        <f t="shared" si="12"/>
        <v>2.032E-3</v>
      </c>
      <c r="P63" s="29">
        <v>4.7360646624728548E-11</v>
      </c>
      <c r="Q63" s="2">
        <v>0.11</v>
      </c>
      <c r="R63" s="2">
        <f t="shared" si="13"/>
        <v>111000.00000000001</v>
      </c>
      <c r="S63" s="2">
        <f t="shared" si="14"/>
        <v>5.1398579432804297E-3</v>
      </c>
      <c r="T63" s="2">
        <v>0.06</v>
      </c>
      <c r="U63" s="2">
        <f t="shared" si="15"/>
        <v>106000</v>
      </c>
      <c r="V63" s="2">
        <f t="shared" si="19"/>
        <v>4.8167029702970305</v>
      </c>
      <c r="W63" s="2">
        <f t="shared" si="16"/>
        <v>5</v>
      </c>
      <c r="X63" s="12">
        <f t="shared" si="20"/>
        <v>1.9049917977564676E-7</v>
      </c>
      <c r="Y63" s="2">
        <f t="shared" si="3"/>
        <v>105620.63986788677</v>
      </c>
      <c r="Z63" s="12">
        <f t="shared" si="17"/>
        <v>9.2707578563238944E-15</v>
      </c>
      <c r="AA63" s="12">
        <f t="shared" si="18"/>
        <v>5582850381.078249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</row>
    <row r="64" spans="1:75" s="4" customFormat="1" x14ac:dyDescent="0.25">
      <c r="A64" s="1">
        <v>186</v>
      </c>
      <c r="B64" s="1">
        <f t="shared" si="4"/>
        <v>3.1</v>
      </c>
      <c r="C64" s="1">
        <v>20</v>
      </c>
      <c r="D64" s="1">
        <f t="shared" si="0"/>
        <v>29.146000000000001</v>
      </c>
      <c r="E64" s="1">
        <f t="shared" si="5"/>
        <v>4.8576666666666667E-7</v>
      </c>
      <c r="F64" s="1">
        <v>21.1</v>
      </c>
      <c r="G64" s="1">
        <f t="shared" si="6"/>
        <v>294.10000000000002</v>
      </c>
      <c r="H64" s="1">
        <v>101.3</v>
      </c>
      <c r="I64" s="1">
        <f t="shared" si="7"/>
        <v>101300</v>
      </c>
      <c r="J64" s="1">
        <f t="shared" si="8"/>
        <v>2.0124824921938581E-5</v>
      </c>
      <c r="K64" s="28">
        <v>47.17326732673267</v>
      </c>
      <c r="L64" s="1">
        <f t="shared" si="9"/>
        <v>4.7173267326732667E-5</v>
      </c>
      <c r="M64" s="1">
        <f t="shared" si="10"/>
        <v>4.7762865441819992E-3</v>
      </c>
      <c r="N64" s="64">
        <f t="shared" si="11"/>
        <v>1.9876398477447077E-7</v>
      </c>
      <c r="O64" s="29">
        <f t="shared" si="12"/>
        <v>2.032E-3</v>
      </c>
      <c r="P64" s="29">
        <v>4.7360646624728548E-11</v>
      </c>
      <c r="Q64" s="2">
        <v>0.11</v>
      </c>
      <c r="R64" s="2">
        <f t="shared" si="13"/>
        <v>111000.00000000001</v>
      </c>
      <c r="S64" s="2">
        <f t="shared" si="14"/>
        <v>5.1398579432804297E-3</v>
      </c>
      <c r="T64" s="2">
        <v>0.06</v>
      </c>
      <c r="U64" s="2">
        <f t="shared" si="15"/>
        <v>106000</v>
      </c>
      <c r="V64" s="2">
        <f t="shared" si="19"/>
        <v>5.0003663366336628</v>
      </c>
      <c r="W64" s="2">
        <f t="shared" si="16"/>
        <v>5</v>
      </c>
      <c r="X64" s="12">
        <f t="shared" si="20"/>
        <v>1.9876589397399483E-7</v>
      </c>
      <c r="Y64" s="2">
        <f t="shared" si="3"/>
        <v>105390.22720257533</v>
      </c>
      <c r="Z64" s="12">
        <f t="shared" si="17"/>
        <v>9.6942284005614229E-15</v>
      </c>
      <c r="AA64" s="12">
        <f t="shared" si="18"/>
        <v>5837864342.8180895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</row>
    <row r="65" spans="1:75" s="4" customFormat="1" x14ac:dyDescent="0.25">
      <c r="A65" s="1">
        <v>189</v>
      </c>
      <c r="B65" s="1">
        <f t="shared" si="4"/>
        <v>3.15</v>
      </c>
      <c r="C65" s="1">
        <v>20</v>
      </c>
      <c r="D65" s="1">
        <f t="shared" si="0"/>
        <v>29.146000000000001</v>
      </c>
      <c r="E65" s="1">
        <f t="shared" si="5"/>
        <v>4.8576666666666667E-7</v>
      </c>
      <c r="F65" s="1">
        <v>21.1</v>
      </c>
      <c r="G65" s="1">
        <f t="shared" si="6"/>
        <v>294.10000000000002</v>
      </c>
      <c r="H65" s="1">
        <v>101.3</v>
      </c>
      <c r="I65" s="1">
        <f t="shared" si="7"/>
        <v>101300</v>
      </c>
      <c r="J65" s="1">
        <f t="shared" si="8"/>
        <v>2.0124824921938581E-5</v>
      </c>
      <c r="K65" s="28">
        <v>45.168316831683171</v>
      </c>
      <c r="L65" s="1">
        <f t="shared" si="9"/>
        <v>4.5168316831683168E-5</v>
      </c>
      <c r="M65" s="1">
        <f t="shared" si="10"/>
        <v>4.7762865441819992E-3</v>
      </c>
      <c r="N65" s="64">
        <f t="shared" si="11"/>
        <v>1.9031615039167506E-7</v>
      </c>
      <c r="O65" s="29">
        <f t="shared" si="12"/>
        <v>2.032E-3</v>
      </c>
      <c r="P65" s="29">
        <v>4.7360646624728548E-11</v>
      </c>
      <c r="Q65" s="2">
        <v>0.11</v>
      </c>
      <c r="R65" s="2">
        <f t="shared" si="13"/>
        <v>111000.00000000001</v>
      </c>
      <c r="S65" s="2">
        <f t="shared" si="14"/>
        <v>5.1398579432804297E-3</v>
      </c>
      <c r="T65" s="2">
        <v>0.06</v>
      </c>
      <c r="U65" s="2">
        <f t="shared" si="15"/>
        <v>106000</v>
      </c>
      <c r="V65" s="2">
        <f t="shared" si="19"/>
        <v>4.7878415841584161</v>
      </c>
      <c r="W65" s="2">
        <f t="shared" si="16"/>
        <v>5</v>
      </c>
      <c r="X65" s="12">
        <f t="shared" si="20"/>
        <v>1.8919846073909922E-7</v>
      </c>
      <c r="Y65" s="2">
        <f t="shared" si="3"/>
        <v>105656.91685877291</v>
      </c>
      <c r="Z65" s="12">
        <f t="shared" si="17"/>
        <v>9.2042935654243114E-15</v>
      </c>
      <c r="AA65" s="12">
        <f t="shared" si="18"/>
        <v>5542825585.0985203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</row>
    <row r="66" spans="1:75" s="4" customFormat="1" x14ac:dyDescent="0.25">
      <c r="A66" s="1">
        <v>192</v>
      </c>
      <c r="B66" s="1">
        <f t="shared" si="4"/>
        <v>3.2</v>
      </c>
      <c r="C66" s="1">
        <v>20</v>
      </c>
      <c r="D66" s="1">
        <f t="shared" ref="D66:D114" si="21">(C66*1.4573)</f>
        <v>29.146000000000001</v>
      </c>
      <c r="E66" s="1">
        <f t="shared" si="5"/>
        <v>4.8576666666666667E-7</v>
      </c>
      <c r="F66" s="1">
        <v>21.1</v>
      </c>
      <c r="G66" s="1">
        <f t="shared" si="6"/>
        <v>294.10000000000002</v>
      </c>
      <c r="H66" s="1">
        <v>101.3</v>
      </c>
      <c r="I66" s="1">
        <f t="shared" si="7"/>
        <v>101300</v>
      </c>
      <c r="J66" s="1">
        <f t="shared" si="8"/>
        <v>2.0124824921938581E-5</v>
      </c>
      <c r="K66" s="28">
        <v>43.287128712871286</v>
      </c>
      <c r="L66" s="1">
        <f t="shared" si="9"/>
        <v>4.3287128712871288E-5</v>
      </c>
      <c r="M66" s="1">
        <f t="shared" si="10"/>
        <v>4.7762865441819992E-3</v>
      </c>
      <c r="N66" s="64">
        <f t="shared" si="11"/>
        <v>1.8238978726707658E-7</v>
      </c>
      <c r="O66" s="29">
        <f t="shared" si="12"/>
        <v>2.032E-3</v>
      </c>
      <c r="P66" s="29">
        <v>4.7360646624728548E-11</v>
      </c>
      <c r="Q66" s="2">
        <v>0.11</v>
      </c>
      <c r="R66" s="2">
        <f t="shared" si="13"/>
        <v>111000.00000000001</v>
      </c>
      <c r="S66" s="2">
        <f t="shared" si="14"/>
        <v>5.1398579432804297E-3</v>
      </c>
      <c r="T66" s="2">
        <v>0.06</v>
      </c>
      <c r="U66" s="2">
        <f t="shared" si="15"/>
        <v>106000</v>
      </c>
      <c r="V66" s="2">
        <f t="shared" ref="V66:V97" si="22">(L66*U66)</f>
        <v>4.5884356435643561</v>
      </c>
      <c r="W66" s="2">
        <f t="shared" si="16"/>
        <v>5</v>
      </c>
      <c r="X66" s="12">
        <f t="shared" ref="X66:X97" si="23">(N66+((P66/O66)*(SQRT(V66)-SQRT(W66))))</f>
        <v>1.8019878470761905E-7</v>
      </c>
      <c r="Y66" s="2">
        <f t="shared" si="3"/>
        <v>105908.08803184009</v>
      </c>
      <c r="Z66" s="12">
        <f t="shared" si="17"/>
        <v>8.7456614604849167E-15</v>
      </c>
      <c r="AA66" s="12">
        <f t="shared" si="18"/>
        <v>5266637331.5040169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</row>
    <row r="67" spans="1:75" s="4" customFormat="1" x14ac:dyDescent="0.25">
      <c r="A67" s="1">
        <v>195</v>
      </c>
      <c r="B67" s="1">
        <f t="shared" ref="B67:B114" si="24">(A67/60)</f>
        <v>3.25</v>
      </c>
      <c r="C67" s="1">
        <v>20</v>
      </c>
      <c r="D67" s="1">
        <f t="shared" si="21"/>
        <v>29.146000000000001</v>
      </c>
      <c r="E67" s="1">
        <f t="shared" ref="E67:E114" si="25">(D67/(1000000*60))</f>
        <v>4.8576666666666667E-7</v>
      </c>
      <c r="F67" s="1">
        <v>21.1</v>
      </c>
      <c r="G67" s="1">
        <f t="shared" ref="G67:G114" si="26">(273+F67)</f>
        <v>294.10000000000002</v>
      </c>
      <c r="H67" s="1">
        <v>101.3</v>
      </c>
      <c r="I67" s="1">
        <f t="shared" ref="I67:I114" si="27">(H67*1000)</f>
        <v>101300</v>
      </c>
      <c r="J67" s="1">
        <f t="shared" ref="J67:J114" si="28">((I67*E67)/(8.314*G67))</f>
        <v>2.0124824921938581E-5</v>
      </c>
      <c r="K67" s="28">
        <v>41.10891089108911</v>
      </c>
      <c r="L67" s="1">
        <f t="shared" ref="L67:L114" si="29">(K67/1000000)</f>
        <v>4.1108910891089112E-5</v>
      </c>
      <c r="M67" s="1">
        <f t="shared" ref="M67:M114" si="30">(3.142*3.07*3.07*25.4*25.4)/(4*1000000)</f>
        <v>4.7762865441819992E-3</v>
      </c>
      <c r="N67" s="64">
        <f t="shared" ref="N67:N114" si="31">(L67*J67)/M67</f>
        <v>1.7321189312280467E-7</v>
      </c>
      <c r="O67" s="29">
        <f t="shared" ref="O67:O114" si="32">(2.032/1000)</f>
        <v>2.032E-3</v>
      </c>
      <c r="P67" s="29">
        <v>4.7360646624728548E-11</v>
      </c>
      <c r="Q67" s="2">
        <v>0.11</v>
      </c>
      <c r="R67" s="2">
        <f t="shared" ref="R67:R114" si="33">(1+Q67)*100000*1</f>
        <v>111000.00000000001</v>
      </c>
      <c r="S67" s="2">
        <f t="shared" ref="S67:S114" si="34">(5.13985794328043/1000)</f>
        <v>5.1398579432804297E-3</v>
      </c>
      <c r="T67" s="2">
        <v>0.06</v>
      </c>
      <c r="U67" s="2">
        <f t="shared" ref="U67:U114" si="35">(1+T67)*100000</f>
        <v>106000</v>
      </c>
      <c r="V67" s="2">
        <f t="shared" si="22"/>
        <v>4.3575445544554459</v>
      </c>
      <c r="W67" s="2">
        <f t="shared" ref="W67:W114" si="36">(50/1000000)*100000</f>
        <v>5</v>
      </c>
      <c r="X67" s="12">
        <f t="shared" si="23"/>
        <v>1.697485355688232E-7</v>
      </c>
      <c r="Y67" s="2">
        <f t="shared" ref="Y67:Y114" si="37">(SQRT(R67)-(X67*O67/P67))^2</f>
        <v>106200.11728265337</v>
      </c>
      <c r="Z67" s="12">
        <f t="shared" ref="Z67:Z114" si="38">(X67*S67)/(Y67-V67)</f>
        <v>8.215802222756954E-15</v>
      </c>
      <c r="AA67" s="12">
        <f t="shared" ref="AA67:AA114" si="39">(Z67*6.022E+23)</f>
        <v>4947556098.5442381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</row>
    <row r="68" spans="1:75" s="4" customFormat="1" x14ac:dyDescent="0.25">
      <c r="A68" s="1">
        <v>198</v>
      </c>
      <c r="B68" s="1">
        <f t="shared" si="24"/>
        <v>3.3</v>
      </c>
      <c r="C68" s="1">
        <v>20</v>
      </c>
      <c r="D68" s="1">
        <f t="shared" si="21"/>
        <v>29.146000000000001</v>
      </c>
      <c r="E68" s="1">
        <f t="shared" si="25"/>
        <v>4.8576666666666667E-7</v>
      </c>
      <c r="F68" s="1">
        <v>21.1</v>
      </c>
      <c r="G68" s="1">
        <f t="shared" si="26"/>
        <v>294.10000000000002</v>
      </c>
      <c r="H68" s="1">
        <v>101.3</v>
      </c>
      <c r="I68" s="1">
        <f t="shared" si="27"/>
        <v>101300</v>
      </c>
      <c r="J68" s="1">
        <f t="shared" si="28"/>
        <v>2.0124824921938581E-5</v>
      </c>
      <c r="K68" s="28">
        <v>39.821782178217823</v>
      </c>
      <c r="L68" s="1">
        <f t="shared" si="29"/>
        <v>3.9821782178217822E-5</v>
      </c>
      <c r="M68" s="1">
        <f t="shared" si="30"/>
        <v>4.7762865441819992E-3</v>
      </c>
      <c r="N68" s="64">
        <f t="shared" si="31"/>
        <v>1.6778859203755307E-7</v>
      </c>
      <c r="O68" s="29">
        <f t="shared" si="32"/>
        <v>2.032E-3</v>
      </c>
      <c r="P68" s="29">
        <v>4.7360646624728548E-11</v>
      </c>
      <c r="Q68" s="2">
        <v>0.11</v>
      </c>
      <c r="R68" s="2">
        <f t="shared" si="33"/>
        <v>111000.00000000001</v>
      </c>
      <c r="S68" s="2">
        <f t="shared" si="34"/>
        <v>5.1398579432804297E-3</v>
      </c>
      <c r="T68" s="2">
        <v>0.06</v>
      </c>
      <c r="U68" s="2">
        <f t="shared" si="35"/>
        <v>106000</v>
      </c>
      <c r="V68" s="2">
        <f t="shared" si="22"/>
        <v>4.2211089108910889</v>
      </c>
      <c r="W68" s="2">
        <f t="shared" si="36"/>
        <v>5</v>
      </c>
      <c r="X68" s="12">
        <f t="shared" si="23"/>
        <v>1.6355750019804562E-7</v>
      </c>
      <c r="Y68" s="2">
        <f t="shared" si="37"/>
        <v>106373.31366581107</v>
      </c>
      <c r="Z68" s="12">
        <f t="shared" si="38"/>
        <v>7.903257387725842E-15</v>
      </c>
      <c r="AA68" s="12">
        <f t="shared" si="39"/>
        <v>4759341598.8885021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</row>
    <row r="69" spans="1:75" s="4" customFormat="1" x14ac:dyDescent="0.25">
      <c r="A69" s="1">
        <v>201</v>
      </c>
      <c r="B69" s="1">
        <f t="shared" si="24"/>
        <v>3.35</v>
      </c>
      <c r="C69" s="1">
        <v>20</v>
      </c>
      <c r="D69" s="1">
        <f t="shared" si="21"/>
        <v>29.146000000000001</v>
      </c>
      <c r="E69" s="1">
        <f t="shared" si="25"/>
        <v>4.8576666666666667E-7</v>
      </c>
      <c r="F69" s="1">
        <v>21.1</v>
      </c>
      <c r="G69" s="1">
        <f t="shared" si="26"/>
        <v>294.10000000000002</v>
      </c>
      <c r="H69" s="1">
        <v>101.3</v>
      </c>
      <c r="I69" s="1">
        <f t="shared" si="27"/>
        <v>101300</v>
      </c>
      <c r="J69" s="1">
        <f t="shared" si="28"/>
        <v>2.0124824921938581E-5</v>
      </c>
      <c r="K69" s="28">
        <v>37.495049504950494</v>
      </c>
      <c r="L69" s="1">
        <f t="shared" si="29"/>
        <v>3.7495049504950492E-5</v>
      </c>
      <c r="M69" s="1">
        <f t="shared" si="30"/>
        <v>4.7762865441819992E-3</v>
      </c>
      <c r="N69" s="64">
        <f t="shared" si="31"/>
        <v>1.5798493238344442E-7</v>
      </c>
      <c r="O69" s="29">
        <f t="shared" si="32"/>
        <v>2.032E-3</v>
      </c>
      <c r="P69" s="29">
        <v>4.7360646624728548E-11</v>
      </c>
      <c r="Q69" s="2">
        <v>0.11</v>
      </c>
      <c r="R69" s="2">
        <f t="shared" si="33"/>
        <v>111000.00000000001</v>
      </c>
      <c r="S69" s="2">
        <f t="shared" si="34"/>
        <v>5.1398579432804297E-3</v>
      </c>
      <c r="T69" s="2">
        <v>0.06</v>
      </c>
      <c r="U69" s="2">
        <f t="shared" si="35"/>
        <v>106000</v>
      </c>
      <c r="V69" s="2">
        <f t="shared" si="22"/>
        <v>3.9744752475247522</v>
      </c>
      <c r="W69" s="2">
        <f t="shared" si="36"/>
        <v>5</v>
      </c>
      <c r="X69" s="12">
        <f t="shared" si="23"/>
        <v>1.5233383350157987E-7</v>
      </c>
      <c r="Y69" s="2">
        <f t="shared" si="37"/>
        <v>106687.65947468828</v>
      </c>
      <c r="Z69" s="12">
        <f t="shared" si="38"/>
        <v>7.3392127780134162E-15</v>
      </c>
      <c r="AA69" s="12">
        <f t="shared" si="39"/>
        <v>4419673934.9196796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</row>
    <row r="70" spans="1:75" s="4" customFormat="1" x14ac:dyDescent="0.25">
      <c r="A70" s="1">
        <v>204</v>
      </c>
      <c r="B70" s="1">
        <f t="shared" si="24"/>
        <v>3.4</v>
      </c>
      <c r="C70" s="1">
        <v>20</v>
      </c>
      <c r="D70" s="1">
        <f t="shared" si="21"/>
        <v>29.146000000000001</v>
      </c>
      <c r="E70" s="1">
        <f t="shared" si="25"/>
        <v>4.8576666666666667E-7</v>
      </c>
      <c r="F70" s="1">
        <v>21.1</v>
      </c>
      <c r="G70" s="1">
        <f t="shared" si="26"/>
        <v>294.10000000000002</v>
      </c>
      <c r="H70" s="1">
        <v>101.3</v>
      </c>
      <c r="I70" s="1">
        <f t="shared" si="27"/>
        <v>101300</v>
      </c>
      <c r="J70" s="1">
        <f t="shared" si="28"/>
        <v>2.0124824921938581E-5</v>
      </c>
      <c r="K70" s="28">
        <v>43.881188118811885</v>
      </c>
      <c r="L70" s="1">
        <f t="shared" si="29"/>
        <v>4.3881188118811885E-5</v>
      </c>
      <c r="M70" s="1">
        <f t="shared" si="30"/>
        <v>4.7762865441819992E-3</v>
      </c>
      <c r="N70" s="64">
        <f t="shared" si="31"/>
        <v>1.8489284930642348E-7</v>
      </c>
      <c r="O70" s="29">
        <f t="shared" si="32"/>
        <v>2.032E-3</v>
      </c>
      <c r="P70" s="29">
        <v>4.7360646624728548E-11</v>
      </c>
      <c r="Q70" s="2">
        <v>0.11</v>
      </c>
      <c r="R70" s="2">
        <f t="shared" si="33"/>
        <v>111000.00000000001</v>
      </c>
      <c r="S70" s="2">
        <f t="shared" si="34"/>
        <v>5.1398579432804297E-3</v>
      </c>
      <c r="T70" s="2">
        <v>0.06</v>
      </c>
      <c r="U70" s="2">
        <f t="shared" si="35"/>
        <v>106000</v>
      </c>
      <c r="V70" s="2">
        <f t="shared" si="22"/>
        <v>4.65140594059406</v>
      </c>
      <c r="W70" s="2">
        <f t="shared" si="36"/>
        <v>5</v>
      </c>
      <c r="X70" s="12">
        <f t="shared" si="23"/>
        <v>1.8304326357441228E-7</v>
      </c>
      <c r="Y70" s="2">
        <f t="shared" si="37"/>
        <v>105828.66948960793</v>
      </c>
      <c r="Z70" s="12">
        <f t="shared" si="38"/>
        <v>8.8903860322434672E-15</v>
      </c>
      <c r="AA70" s="12">
        <f t="shared" si="39"/>
        <v>5353790468.6170158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</row>
    <row r="71" spans="1:75" s="4" customFormat="1" x14ac:dyDescent="0.25">
      <c r="A71" s="1">
        <v>207</v>
      </c>
      <c r="B71" s="1">
        <f t="shared" si="24"/>
        <v>3.45</v>
      </c>
      <c r="C71" s="1">
        <v>20</v>
      </c>
      <c r="D71" s="1">
        <f t="shared" si="21"/>
        <v>29.146000000000001</v>
      </c>
      <c r="E71" s="1">
        <f t="shared" si="25"/>
        <v>4.8576666666666667E-7</v>
      </c>
      <c r="F71" s="1">
        <v>21.1</v>
      </c>
      <c r="G71" s="1">
        <f t="shared" si="26"/>
        <v>294.10000000000002</v>
      </c>
      <c r="H71" s="1">
        <v>101.3</v>
      </c>
      <c r="I71" s="1">
        <f t="shared" si="27"/>
        <v>101300</v>
      </c>
      <c r="J71" s="1">
        <f t="shared" si="28"/>
        <v>2.0124824921938581E-5</v>
      </c>
      <c r="K71" s="28">
        <v>45.589108910891092</v>
      </c>
      <c r="L71" s="1">
        <f t="shared" si="29"/>
        <v>4.5589108910891089E-5</v>
      </c>
      <c r="M71" s="1">
        <f t="shared" si="30"/>
        <v>4.7762865441819992E-3</v>
      </c>
      <c r="N71" s="64">
        <f t="shared" si="31"/>
        <v>1.9208915266954576E-7</v>
      </c>
      <c r="O71" s="29">
        <f t="shared" si="32"/>
        <v>2.032E-3</v>
      </c>
      <c r="P71" s="29">
        <v>4.7360646624728548E-11</v>
      </c>
      <c r="Q71" s="2">
        <v>0.11</v>
      </c>
      <c r="R71" s="2">
        <f t="shared" si="33"/>
        <v>111000.00000000001</v>
      </c>
      <c r="S71" s="2">
        <f t="shared" si="34"/>
        <v>5.1398579432804297E-3</v>
      </c>
      <c r="T71" s="2">
        <v>0.06</v>
      </c>
      <c r="U71" s="2">
        <f t="shared" si="35"/>
        <v>106000</v>
      </c>
      <c r="V71" s="2">
        <f t="shared" si="22"/>
        <v>4.8324455445544556</v>
      </c>
      <c r="W71" s="2">
        <f t="shared" si="36"/>
        <v>5</v>
      </c>
      <c r="X71" s="12">
        <f t="shared" si="23"/>
        <v>1.9120846910022253E-7</v>
      </c>
      <c r="Y71" s="2">
        <f t="shared" si="37"/>
        <v>105600.86044742282</v>
      </c>
      <c r="Z71" s="12">
        <f t="shared" si="38"/>
        <v>9.3070202291111576E-15</v>
      </c>
      <c r="AA71" s="12">
        <f t="shared" si="39"/>
        <v>5604687581.9707394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</row>
    <row r="72" spans="1:75" s="4" customFormat="1" x14ac:dyDescent="0.25">
      <c r="A72" s="1">
        <v>210</v>
      </c>
      <c r="B72" s="1">
        <f t="shared" si="24"/>
        <v>3.5</v>
      </c>
      <c r="C72" s="1">
        <v>20</v>
      </c>
      <c r="D72" s="1">
        <f t="shared" si="21"/>
        <v>29.146000000000001</v>
      </c>
      <c r="E72" s="1">
        <f t="shared" si="25"/>
        <v>4.8576666666666667E-7</v>
      </c>
      <c r="F72" s="1">
        <v>21.1</v>
      </c>
      <c r="G72" s="1">
        <f t="shared" si="26"/>
        <v>294.10000000000002</v>
      </c>
      <c r="H72" s="1">
        <v>101.3</v>
      </c>
      <c r="I72" s="1">
        <f t="shared" si="27"/>
        <v>101300</v>
      </c>
      <c r="J72" s="1">
        <f t="shared" si="28"/>
        <v>2.0124824921938581E-5</v>
      </c>
      <c r="K72" s="28">
        <v>36.554455445544555</v>
      </c>
      <c r="L72" s="1">
        <f t="shared" si="29"/>
        <v>3.6554455445544555E-5</v>
      </c>
      <c r="M72" s="1">
        <f t="shared" si="30"/>
        <v>4.7762865441819992E-3</v>
      </c>
      <c r="N72" s="64">
        <f t="shared" si="31"/>
        <v>1.5402175082114518E-7</v>
      </c>
      <c r="O72" s="29">
        <f t="shared" si="32"/>
        <v>2.032E-3</v>
      </c>
      <c r="P72" s="29">
        <v>4.7360646624728548E-11</v>
      </c>
      <c r="Q72" s="2">
        <v>0.11</v>
      </c>
      <c r="R72" s="2">
        <f t="shared" si="33"/>
        <v>111000.00000000001</v>
      </c>
      <c r="S72" s="2">
        <f t="shared" si="34"/>
        <v>5.1398579432804297E-3</v>
      </c>
      <c r="T72" s="2">
        <v>0.06</v>
      </c>
      <c r="U72" s="2">
        <f t="shared" si="35"/>
        <v>106000</v>
      </c>
      <c r="V72" s="2">
        <f t="shared" si="22"/>
        <v>3.8747722772277227</v>
      </c>
      <c r="W72" s="2">
        <f t="shared" si="36"/>
        <v>5</v>
      </c>
      <c r="X72" s="12">
        <f t="shared" si="23"/>
        <v>1.4778413337099596E-7</v>
      </c>
      <c r="Y72" s="2">
        <f t="shared" si="37"/>
        <v>106815.21688611043</v>
      </c>
      <c r="Z72" s="12">
        <f t="shared" si="38"/>
        <v>7.1115055458080715E-15</v>
      </c>
      <c r="AA72" s="12">
        <f t="shared" si="39"/>
        <v>4282548639.6856208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</row>
    <row r="73" spans="1:75" s="4" customFormat="1" x14ac:dyDescent="0.25">
      <c r="A73" s="1">
        <v>213</v>
      </c>
      <c r="B73" s="1">
        <f t="shared" si="24"/>
        <v>3.55</v>
      </c>
      <c r="C73" s="1">
        <v>20</v>
      </c>
      <c r="D73" s="1">
        <f t="shared" si="21"/>
        <v>29.146000000000001</v>
      </c>
      <c r="E73" s="1">
        <f t="shared" si="25"/>
        <v>4.8576666666666667E-7</v>
      </c>
      <c r="F73" s="1">
        <v>21.1</v>
      </c>
      <c r="G73" s="1">
        <f t="shared" si="26"/>
        <v>294.10000000000002</v>
      </c>
      <c r="H73" s="1">
        <v>101.3</v>
      </c>
      <c r="I73" s="1">
        <f t="shared" si="27"/>
        <v>101300</v>
      </c>
      <c r="J73" s="1">
        <f t="shared" si="28"/>
        <v>2.0124824921938581E-5</v>
      </c>
      <c r="K73" s="28">
        <v>42.198019801980202</v>
      </c>
      <c r="L73" s="1">
        <f t="shared" si="29"/>
        <v>4.2198019801980203E-5</v>
      </c>
      <c r="M73" s="1">
        <f t="shared" si="30"/>
        <v>4.7762865441819992E-3</v>
      </c>
      <c r="N73" s="64">
        <f t="shared" si="31"/>
        <v>1.7780084019494063E-7</v>
      </c>
      <c r="O73" s="29">
        <f t="shared" si="32"/>
        <v>2.032E-3</v>
      </c>
      <c r="P73" s="29">
        <v>4.7360646624728548E-11</v>
      </c>
      <c r="Q73" s="2">
        <v>0.11</v>
      </c>
      <c r="R73" s="2">
        <f t="shared" si="33"/>
        <v>111000.00000000001</v>
      </c>
      <c r="S73" s="2">
        <f t="shared" si="34"/>
        <v>5.1398579432804297E-3</v>
      </c>
      <c r="T73" s="2">
        <v>0.06</v>
      </c>
      <c r="U73" s="2">
        <f t="shared" si="35"/>
        <v>106000</v>
      </c>
      <c r="V73" s="2">
        <f t="shared" si="22"/>
        <v>4.4729900990099019</v>
      </c>
      <c r="W73" s="2">
        <f t="shared" si="36"/>
        <v>5</v>
      </c>
      <c r="X73" s="12">
        <f t="shared" si="23"/>
        <v>1.7497776550352833E-7</v>
      </c>
      <c r="Y73" s="2">
        <f t="shared" si="37"/>
        <v>106053.93767597801</v>
      </c>
      <c r="Z73" s="12">
        <f t="shared" si="38"/>
        <v>8.4805789504425908E-15</v>
      </c>
      <c r="AA73" s="12">
        <f t="shared" si="39"/>
        <v>5107004643.9565287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</row>
    <row r="74" spans="1:75" s="4" customFormat="1" x14ac:dyDescent="0.25">
      <c r="A74" s="1">
        <v>216</v>
      </c>
      <c r="B74" s="1">
        <f t="shared" si="24"/>
        <v>3.6</v>
      </c>
      <c r="C74" s="1">
        <v>20</v>
      </c>
      <c r="D74" s="1">
        <f t="shared" si="21"/>
        <v>29.146000000000001</v>
      </c>
      <c r="E74" s="1">
        <f t="shared" si="25"/>
        <v>4.8576666666666667E-7</v>
      </c>
      <c r="F74" s="1">
        <v>21.1</v>
      </c>
      <c r="G74" s="1">
        <f t="shared" si="26"/>
        <v>294.10000000000002</v>
      </c>
      <c r="H74" s="1">
        <v>101.3</v>
      </c>
      <c r="I74" s="1">
        <f t="shared" si="27"/>
        <v>101300</v>
      </c>
      <c r="J74" s="1">
        <f t="shared" si="28"/>
        <v>2.0124824921938581E-5</v>
      </c>
      <c r="K74" s="28">
        <v>47.519801980198018</v>
      </c>
      <c r="L74" s="1">
        <f t="shared" si="29"/>
        <v>4.751980198019802E-5</v>
      </c>
      <c r="M74" s="1">
        <f t="shared" si="30"/>
        <v>4.7762865441819992E-3</v>
      </c>
      <c r="N74" s="64">
        <f t="shared" si="31"/>
        <v>2.0022410429742319E-7</v>
      </c>
      <c r="O74" s="29">
        <f t="shared" si="32"/>
        <v>2.032E-3</v>
      </c>
      <c r="P74" s="29">
        <v>4.7360646624728548E-11</v>
      </c>
      <c r="Q74" s="2">
        <v>0.11</v>
      </c>
      <c r="R74" s="2">
        <f t="shared" si="33"/>
        <v>111000.00000000001</v>
      </c>
      <c r="S74" s="2">
        <f t="shared" si="34"/>
        <v>5.1398579432804297E-3</v>
      </c>
      <c r="T74" s="2">
        <v>0.06</v>
      </c>
      <c r="U74" s="2">
        <f t="shared" si="35"/>
        <v>106000</v>
      </c>
      <c r="V74" s="2">
        <f t="shared" si="22"/>
        <v>5.0370990099009898</v>
      </c>
      <c r="W74" s="2">
        <f t="shared" si="36"/>
        <v>5</v>
      </c>
      <c r="X74" s="12">
        <f t="shared" si="23"/>
        <v>2.0041709566280123E-7</v>
      </c>
      <c r="Y74" s="2">
        <f t="shared" si="37"/>
        <v>105344.23449460599</v>
      </c>
      <c r="Z74" s="12">
        <f t="shared" si="38"/>
        <v>9.7790321796652369E-15</v>
      </c>
      <c r="AA74" s="12">
        <f t="shared" si="39"/>
        <v>5888933178.5944061</v>
      </c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</row>
    <row r="75" spans="1:75" s="4" customFormat="1" x14ac:dyDescent="0.25">
      <c r="A75" s="1">
        <v>219</v>
      </c>
      <c r="B75" s="1">
        <f t="shared" si="24"/>
        <v>3.65</v>
      </c>
      <c r="C75" s="1">
        <v>20</v>
      </c>
      <c r="D75" s="1">
        <f t="shared" si="21"/>
        <v>29.146000000000001</v>
      </c>
      <c r="E75" s="1">
        <f t="shared" si="25"/>
        <v>4.8576666666666667E-7</v>
      </c>
      <c r="F75" s="1">
        <v>21.1</v>
      </c>
      <c r="G75" s="1">
        <f t="shared" si="26"/>
        <v>294.10000000000002</v>
      </c>
      <c r="H75" s="1">
        <v>101.3</v>
      </c>
      <c r="I75" s="1">
        <f t="shared" si="27"/>
        <v>101300</v>
      </c>
      <c r="J75" s="1">
        <f t="shared" si="28"/>
        <v>2.0124824921938581E-5</v>
      </c>
      <c r="K75" s="28">
        <v>46.009900990099013</v>
      </c>
      <c r="L75" s="1">
        <f t="shared" si="29"/>
        <v>4.6009900990099016E-5</v>
      </c>
      <c r="M75" s="1">
        <f t="shared" si="30"/>
        <v>4.7762865441819992E-3</v>
      </c>
      <c r="N75" s="64">
        <f t="shared" si="31"/>
        <v>1.9386215494741651E-7</v>
      </c>
      <c r="O75" s="29">
        <f t="shared" si="32"/>
        <v>2.032E-3</v>
      </c>
      <c r="P75" s="29">
        <v>4.7360646624728548E-11</v>
      </c>
      <c r="Q75" s="2">
        <v>0.11</v>
      </c>
      <c r="R75" s="2">
        <f t="shared" si="33"/>
        <v>111000.00000000001</v>
      </c>
      <c r="S75" s="2">
        <f t="shared" si="34"/>
        <v>5.1398579432804297E-3</v>
      </c>
      <c r="T75" s="2">
        <v>0.06</v>
      </c>
      <c r="U75" s="2">
        <f t="shared" si="35"/>
        <v>106000</v>
      </c>
      <c r="V75" s="2">
        <f t="shared" si="22"/>
        <v>4.8770495049504961</v>
      </c>
      <c r="W75" s="2">
        <f t="shared" si="36"/>
        <v>5</v>
      </c>
      <c r="X75" s="12">
        <f t="shared" si="23"/>
        <v>1.9321738616706065E-7</v>
      </c>
      <c r="Y75" s="2">
        <f t="shared" si="37"/>
        <v>105544.84933302735</v>
      </c>
      <c r="Z75" s="12">
        <f t="shared" si="38"/>
        <v>9.4097989186766158E-15</v>
      </c>
      <c r="AA75" s="12">
        <f t="shared" si="39"/>
        <v>5666580908.8270578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</row>
    <row r="76" spans="1:75" s="4" customFormat="1" x14ac:dyDescent="0.25">
      <c r="A76" s="1">
        <v>222</v>
      </c>
      <c r="B76" s="1">
        <f t="shared" si="24"/>
        <v>3.7</v>
      </c>
      <c r="C76" s="1">
        <v>20</v>
      </c>
      <c r="D76" s="1">
        <f t="shared" si="21"/>
        <v>29.146000000000001</v>
      </c>
      <c r="E76" s="1">
        <f t="shared" si="25"/>
        <v>4.8576666666666667E-7</v>
      </c>
      <c r="F76" s="1">
        <v>21.1</v>
      </c>
      <c r="G76" s="1">
        <f t="shared" si="26"/>
        <v>294.10000000000002</v>
      </c>
      <c r="H76" s="1">
        <v>101.3</v>
      </c>
      <c r="I76" s="1">
        <f t="shared" si="27"/>
        <v>101300</v>
      </c>
      <c r="J76" s="1">
        <f t="shared" si="28"/>
        <v>2.0124824921938581E-5</v>
      </c>
      <c r="K76" s="28">
        <v>42.420792079207921</v>
      </c>
      <c r="L76" s="1">
        <f t="shared" si="29"/>
        <v>4.2420792079207918E-5</v>
      </c>
      <c r="M76" s="1">
        <f t="shared" si="30"/>
        <v>4.7762865441819992E-3</v>
      </c>
      <c r="N76" s="64">
        <f t="shared" si="31"/>
        <v>1.7873948845969568E-7</v>
      </c>
      <c r="O76" s="29">
        <f t="shared" si="32"/>
        <v>2.032E-3</v>
      </c>
      <c r="P76" s="29">
        <v>4.7360646624728548E-11</v>
      </c>
      <c r="Q76" s="2">
        <v>0.11</v>
      </c>
      <c r="R76" s="2">
        <f t="shared" si="33"/>
        <v>111000.00000000001</v>
      </c>
      <c r="S76" s="2">
        <f t="shared" si="34"/>
        <v>5.1398579432804297E-3</v>
      </c>
      <c r="T76" s="2">
        <v>0.06</v>
      </c>
      <c r="U76" s="2">
        <f t="shared" si="35"/>
        <v>106000</v>
      </c>
      <c r="V76" s="2">
        <f t="shared" si="22"/>
        <v>4.4966039603960395</v>
      </c>
      <c r="W76" s="2">
        <f t="shared" si="36"/>
        <v>5</v>
      </c>
      <c r="X76" s="12">
        <f t="shared" si="23"/>
        <v>1.7604635887001358E-7</v>
      </c>
      <c r="Y76" s="2">
        <f t="shared" si="37"/>
        <v>106024.07825533992</v>
      </c>
      <c r="Z76" s="12">
        <f t="shared" si="38"/>
        <v>8.5347750097621927E-15</v>
      </c>
      <c r="AA76" s="12">
        <f t="shared" si="39"/>
        <v>5139641510.8787928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</row>
    <row r="77" spans="1:75" s="4" customFormat="1" x14ac:dyDescent="0.25">
      <c r="A77" s="1">
        <v>225</v>
      </c>
      <c r="B77" s="1">
        <f t="shared" si="24"/>
        <v>3.75</v>
      </c>
      <c r="C77" s="1">
        <v>20</v>
      </c>
      <c r="D77" s="1">
        <f t="shared" si="21"/>
        <v>29.146000000000001</v>
      </c>
      <c r="E77" s="1">
        <f t="shared" si="25"/>
        <v>4.8576666666666667E-7</v>
      </c>
      <c r="F77" s="1">
        <v>21.1</v>
      </c>
      <c r="G77" s="1">
        <f t="shared" si="26"/>
        <v>294.10000000000002</v>
      </c>
      <c r="H77" s="1">
        <v>101.3</v>
      </c>
      <c r="I77" s="1">
        <f t="shared" si="27"/>
        <v>101300</v>
      </c>
      <c r="J77" s="1">
        <f t="shared" si="28"/>
        <v>2.0124824921938581E-5</v>
      </c>
      <c r="K77" s="28">
        <v>49.128712871287128</v>
      </c>
      <c r="L77" s="1">
        <f t="shared" si="29"/>
        <v>4.9128712871287128E-5</v>
      </c>
      <c r="M77" s="1">
        <f t="shared" si="30"/>
        <v>4.7762865441819992E-3</v>
      </c>
      <c r="N77" s="64">
        <f t="shared" si="31"/>
        <v>2.0700323065398763E-7</v>
      </c>
      <c r="O77" s="29">
        <f t="shared" si="32"/>
        <v>2.032E-3</v>
      </c>
      <c r="P77" s="29">
        <v>4.7360646624728548E-11</v>
      </c>
      <c r="Q77" s="2">
        <v>0.11</v>
      </c>
      <c r="R77" s="2">
        <f t="shared" si="33"/>
        <v>111000.00000000001</v>
      </c>
      <c r="S77" s="2">
        <f t="shared" si="34"/>
        <v>5.1398579432804297E-3</v>
      </c>
      <c r="T77" s="2">
        <v>0.06</v>
      </c>
      <c r="U77" s="2">
        <f t="shared" si="35"/>
        <v>106000</v>
      </c>
      <c r="V77" s="2">
        <f t="shared" si="22"/>
        <v>5.2076435643564354</v>
      </c>
      <c r="W77" s="2">
        <f t="shared" si="36"/>
        <v>5</v>
      </c>
      <c r="X77" s="12">
        <f t="shared" si="23"/>
        <v>2.0807439748424577E-7</v>
      </c>
      <c r="Y77" s="2">
        <f t="shared" si="37"/>
        <v>105131.07858864285</v>
      </c>
      <c r="Z77" s="12">
        <f t="shared" si="38"/>
        <v>1.0173260255426763E-14</v>
      </c>
      <c r="AA77" s="12">
        <f t="shared" si="39"/>
        <v>6126337325.817997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</row>
    <row r="78" spans="1:75" s="4" customFormat="1" x14ac:dyDescent="0.25">
      <c r="A78" s="1">
        <v>228</v>
      </c>
      <c r="B78" s="1">
        <f t="shared" si="24"/>
        <v>3.8</v>
      </c>
      <c r="C78" s="1">
        <v>20</v>
      </c>
      <c r="D78" s="1">
        <f t="shared" si="21"/>
        <v>29.146000000000001</v>
      </c>
      <c r="E78" s="1">
        <f t="shared" si="25"/>
        <v>4.8576666666666667E-7</v>
      </c>
      <c r="F78" s="1">
        <v>21.1</v>
      </c>
      <c r="G78" s="1">
        <f t="shared" si="26"/>
        <v>294.10000000000002</v>
      </c>
      <c r="H78" s="1">
        <v>101.3</v>
      </c>
      <c r="I78" s="1">
        <f t="shared" si="27"/>
        <v>101300</v>
      </c>
      <c r="J78" s="1">
        <f t="shared" si="28"/>
        <v>2.0124824921938581E-5</v>
      </c>
      <c r="K78" s="28">
        <v>41.603960396039611</v>
      </c>
      <c r="L78" s="1">
        <f t="shared" si="29"/>
        <v>4.1603960396039613E-5</v>
      </c>
      <c r="M78" s="1">
        <f t="shared" si="30"/>
        <v>4.7762865441819992E-3</v>
      </c>
      <c r="N78" s="64">
        <f t="shared" si="31"/>
        <v>1.7529777815559379E-7</v>
      </c>
      <c r="O78" s="29">
        <f t="shared" si="32"/>
        <v>2.032E-3</v>
      </c>
      <c r="P78" s="29">
        <v>4.7360646624728548E-11</v>
      </c>
      <c r="Q78" s="2">
        <v>0.11</v>
      </c>
      <c r="R78" s="2">
        <f t="shared" si="33"/>
        <v>111000.00000000001</v>
      </c>
      <c r="S78" s="2">
        <f t="shared" si="34"/>
        <v>5.1398579432804297E-3</v>
      </c>
      <c r="T78" s="2">
        <v>0.06</v>
      </c>
      <c r="U78" s="2">
        <f t="shared" si="35"/>
        <v>106000</v>
      </c>
      <c r="V78" s="2">
        <f t="shared" si="22"/>
        <v>4.4100198019801988</v>
      </c>
      <c r="W78" s="2">
        <f t="shared" si="36"/>
        <v>5</v>
      </c>
      <c r="X78" s="12">
        <f t="shared" si="23"/>
        <v>1.7212649660755711E-7</v>
      </c>
      <c r="Y78" s="2">
        <f t="shared" si="37"/>
        <v>106133.63049959995</v>
      </c>
      <c r="Z78" s="12">
        <f t="shared" si="38"/>
        <v>8.3361183360975577E-15</v>
      </c>
      <c r="AA78" s="12">
        <f t="shared" si="39"/>
        <v>5020010461.9979496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</row>
    <row r="79" spans="1:75" s="4" customFormat="1" x14ac:dyDescent="0.25">
      <c r="A79" s="1">
        <v>231</v>
      </c>
      <c r="B79" s="1">
        <f t="shared" si="24"/>
        <v>3.85</v>
      </c>
      <c r="C79" s="1">
        <v>20</v>
      </c>
      <c r="D79" s="1">
        <f t="shared" si="21"/>
        <v>29.146000000000001</v>
      </c>
      <c r="E79" s="1">
        <f t="shared" si="25"/>
        <v>4.8576666666666667E-7</v>
      </c>
      <c r="F79" s="1">
        <v>21.1</v>
      </c>
      <c r="G79" s="1">
        <f t="shared" si="26"/>
        <v>294.10000000000002</v>
      </c>
      <c r="H79" s="1">
        <v>101.3</v>
      </c>
      <c r="I79" s="1">
        <f t="shared" si="27"/>
        <v>101300</v>
      </c>
      <c r="J79" s="1">
        <f t="shared" si="28"/>
        <v>2.0124824921938581E-5</v>
      </c>
      <c r="K79" s="28">
        <v>46.381188118811878</v>
      </c>
      <c r="L79" s="1">
        <f t="shared" si="29"/>
        <v>4.6381188118811878E-5</v>
      </c>
      <c r="M79" s="1">
        <f t="shared" si="30"/>
        <v>4.7762865441819992E-3</v>
      </c>
      <c r="N79" s="64">
        <f t="shared" si="31"/>
        <v>1.954265687220083E-7</v>
      </c>
      <c r="O79" s="29">
        <f t="shared" si="32"/>
        <v>2.032E-3</v>
      </c>
      <c r="P79" s="29">
        <v>4.7360646624728548E-11</v>
      </c>
      <c r="Q79" s="2">
        <v>0.11</v>
      </c>
      <c r="R79" s="2">
        <f t="shared" si="33"/>
        <v>111000.00000000001</v>
      </c>
      <c r="S79" s="2">
        <f t="shared" si="34"/>
        <v>5.1398579432804297E-3</v>
      </c>
      <c r="T79" s="2">
        <v>0.06</v>
      </c>
      <c r="U79" s="2">
        <f t="shared" si="35"/>
        <v>106000</v>
      </c>
      <c r="V79" s="2">
        <f t="shared" si="22"/>
        <v>4.9164059405940588</v>
      </c>
      <c r="W79" s="2">
        <f t="shared" si="36"/>
        <v>5</v>
      </c>
      <c r="X79" s="12">
        <f t="shared" si="23"/>
        <v>1.9498906571052826E-7</v>
      </c>
      <c r="Y79" s="2">
        <f t="shared" si="37"/>
        <v>105495.4650266367</v>
      </c>
      <c r="Z79" s="12">
        <f t="shared" si="38"/>
        <v>9.5005297758823526E-15</v>
      </c>
      <c r="AA79" s="12">
        <f t="shared" si="39"/>
        <v>5721219031.0363531</v>
      </c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</row>
    <row r="80" spans="1:75" s="4" customFormat="1" x14ac:dyDescent="0.25">
      <c r="A80" s="1">
        <v>234</v>
      </c>
      <c r="B80" s="1">
        <f t="shared" si="24"/>
        <v>3.9</v>
      </c>
      <c r="C80" s="1">
        <v>20</v>
      </c>
      <c r="D80" s="1">
        <f t="shared" si="21"/>
        <v>29.146000000000001</v>
      </c>
      <c r="E80" s="1">
        <f t="shared" si="25"/>
        <v>4.8576666666666667E-7</v>
      </c>
      <c r="F80" s="1">
        <v>21.1</v>
      </c>
      <c r="G80" s="1">
        <f t="shared" si="26"/>
        <v>294.10000000000002</v>
      </c>
      <c r="H80" s="1">
        <v>101.3</v>
      </c>
      <c r="I80" s="1">
        <f t="shared" si="27"/>
        <v>101300</v>
      </c>
      <c r="J80" s="1">
        <f t="shared" si="28"/>
        <v>2.0124824921938581E-5</v>
      </c>
      <c r="K80" s="28">
        <v>38.707920792079214</v>
      </c>
      <c r="L80" s="1">
        <f t="shared" si="29"/>
        <v>3.8707920792079215E-5</v>
      </c>
      <c r="M80" s="1">
        <f t="shared" si="30"/>
        <v>4.7762865441819992E-3</v>
      </c>
      <c r="N80" s="64">
        <f t="shared" si="31"/>
        <v>1.6309535071377769E-7</v>
      </c>
      <c r="O80" s="29">
        <f t="shared" si="32"/>
        <v>2.032E-3</v>
      </c>
      <c r="P80" s="29">
        <v>4.7360646624728548E-11</v>
      </c>
      <c r="Q80" s="2">
        <v>0.11</v>
      </c>
      <c r="R80" s="2">
        <f t="shared" si="33"/>
        <v>111000.00000000001</v>
      </c>
      <c r="S80" s="2">
        <f t="shared" si="34"/>
        <v>5.1398579432804297E-3</v>
      </c>
      <c r="T80" s="2">
        <v>0.06</v>
      </c>
      <c r="U80" s="2">
        <f t="shared" si="35"/>
        <v>106000</v>
      </c>
      <c r="V80" s="2">
        <f t="shared" si="22"/>
        <v>4.1030396039603971</v>
      </c>
      <c r="W80" s="2">
        <f t="shared" si="36"/>
        <v>5</v>
      </c>
      <c r="X80" s="12">
        <f t="shared" si="23"/>
        <v>1.5818979770949202E-7</v>
      </c>
      <c r="Y80" s="2">
        <f t="shared" si="37"/>
        <v>106523.59123499232</v>
      </c>
      <c r="Z80" s="12">
        <f t="shared" si="38"/>
        <v>7.6330923296555801E-15</v>
      </c>
      <c r="AA80" s="12">
        <f t="shared" si="39"/>
        <v>4596648200.9185905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</row>
    <row r="81" spans="1:75" s="4" customFormat="1" x14ac:dyDescent="0.25">
      <c r="A81" s="1">
        <v>237</v>
      </c>
      <c r="B81" s="1">
        <f t="shared" si="24"/>
        <v>3.95</v>
      </c>
      <c r="C81" s="1">
        <v>20</v>
      </c>
      <c r="D81" s="1">
        <f t="shared" si="21"/>
        <v>29.146000000000001</v>
      </c>
      <c r="E81" s="1">
        <f t="shared" si="25"/>
        <v>4.8576666666666667E-7</v>
      </c>
      <c r="F81" s="1">
        <v>21.1</v>
      </c>
      <c r="G81" s="1">
        <f t="shared" si="26"/>
        <v>294.10000000000002</v>
      </c>
      <c r="H81" s="1">
        <v>101.3</v>
      </c>
      <c r="I81" s="1">
        <f t="shared" si="27"/>
        <v>101300</v>
      </c>
      <c r="J81" s="1">
        <f t="shared" si="28"/>
        <v>2.0124824921938581E-5</v>
      </c>
      <c r="K81" s="28">
        <v>41.628712871287128</v>
      </c>
      <c r="L81" s="1">
        <f t="shared" si="29"/>
        <v>4.1628712871287129E-5</v>
      </c>
      <c r="M81" s="1">
        <f t="shared" si="30"/>
        <v>4.7762865441819992E-3</v>
      </c>
      <c r="N81" s="64">
        <f t="shared" si="31"/>
        <v>1.7540207240723319E-7</v>
      </c>
      <c r="O81" s="29">
        <f t="shared" si="32"/>
        <v>2.032E-3</v>
      </c>
      <c r="P81" s="29">
        <v>4.7360646624728548E-11</v>
      </c>
      <c r="Q81" s="2">
        <v>0.11</v>
      </c>
      <c r="R81" s="2">
        <f t="shared" si="33"/>
        <v>111000.00000000001</v>
      </c>
      <c r="S81" s="2">
        <f t="shared" si="34"/>
        <v>5.1398579432804297E-3</v>
      </c>
      <c r="T81" s="2">
        <v>0.06</v>
      </c>
      <c r="U81" s="2">
        <f t="shared" si="35"/>
        <v>106000</v>
      </c>
      <c r="V81" s="2">
        <f t="shared" si="22"/>
        <v>4.4126435643564355</v>
      </c>
      <c r="W81" s="2">
        <f t="shared" si="36"/>
        <v>5</v>
      </c>
      <c r="X81" s="12">
        <f t="shared" si="23"/>
        <v>1.7224534892145655E-7</v>
      </c>
      <c r="Y81" s="2">
        <f t="shared" si="37"/>
        <v>106130.3079855316</v>
      </c>
      <c r="Z81" s="12">
        <f t="shared" si="38"/>
        <v>8.3421357435366791E-15</v>
      </c>
      <c r="AA81" s="12">
        <f t="shared" si="39"/>
        <v>5023634144.7577887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</row>
    <row r="82" spans="1:75" s="4" customFormat="1" x14ac:dyDescent="0.25">
      <c r="A82" s="1">
        <v>240</v>
      </c>
      <c r="B82" s="1">
        <f t="shared" si="24"/>
        <v>4</v>
      </c>
      <c r="C82" s="1">
        <v>20</v>
      </c>
      <c r="D82" s="1">
        <f t="shared" si="21"/>
        <v>29.146000000000001</v>
      </c>
      <c r="E82" s="1">
        <f t="shared" si="25"/>
        <v>4.8576666666666667E-7</v>
      </c>
      <c r="F82" s="1">
        <v>21.1</v>
      </c>
      <c r="G82" s="1">
        <f t="shared" si="26"/>
        <v>294.10000000000002</v>
      </c>
      <c r="H82" s="1">
        <v>101.3</v>
      </c>
      <c r="I82" s="1">
        <f t="shared" si="27"/>
        <v>101300</v>
      </c>
      <c r="J82" s="1">
        <f t="shared" si="28"/>
        <v>2.0124824921938581E-5</v>
      </c>
      <c r="K82" s="28">
        <v>43.534653465346537</v>
      </c>
      <c r="L82" s="1">
        <f t="shared" si="29"/>
        <v>4.3534653465346538E-5</v>
      </c>
      <c r="M82" s="1">
        <f t="shared" si="30"/>
        <v>4.7762865441819992E-3</v>
      </c>
      <c r="N82" s="64">
        <f t="shared" si="31"/>
        <v>1.8343272978347114E-7</v>
      </c>
      <c r="O82" s="29">
        <f t="shared" si="32"/>
        <v>2.032E-3</v>
      </c>
      <c r="P82" s="29">
        <v>4.7360646624728548E-11</v>
      </c>
      <c r="Q82" s="2">
        <v>0.11</v>
      </c>
      <c r="R82" s="2">
        <f t="shared" si="33"/>
        <v>111000.00000000001</v>
      </c>
      <c r="S82" s="2">
        <f t="shared" si="34"/>
        <v>5.1398579432804297E-3</v>
      </c>
      <c r="T82" s="2">
        <v>0.06</v>
      </c>
      <c r="U82" s="2">
        <f t="shared" si="35"/>
        <v>106000</v>
      </c>
      <c r="V82" s="2">
        <f t="shared" si="22"/>
        <v>4.614673267326733</v>
      </c>
      <c r="W82" s="2">
        <f t="shared" si="36"/>
        <v>5</v>
      </c>
      <c r="X82" s="12">
        <f t="shared" si="23"/>
        <v>1.8138426716755433E-7</v>
      </c>
      <c r="Y82" s="2">
        <f t="shared" si="37"/>
        <v>105874.9854526753</v>
      </c>
      <c r="Z82" s="12">
        <f t="shared" si="38"/>
        <v>8.8059516512866124E-15</v>
      </c>
      <c r="AA82" s="12">
        <f t="shared" si="39"/>
        <v>5302944084.4047985</v>
      </c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</row>
    <row r="83" spans="1:75" s="4" customFormat="1" x14ac:dyDescent="0.25">
      <c r="A83" s="1">
        <v>243</v>
      </c>
      <c r="B83" s="1">
        <f t="shared" si="24"/>
        <v>4.05</v>
      </c>
      <c r="C83" s="1">
        <v>20</v>
      </c>
      <c r="D83" s="1">
        <f t="shared" si="21"/>
        <v>29.146000000000001</v>
      </c>
      <c r="E83" s="1">
        <f t="shared" si="25"/>
        <v>4.8576666666666667E-7</v>
      </c>
      <c r="F83" s="1">
        <v>21.1</v>
      </c>
      <c r="G83" s="1">
        <f t="shared" si="26"/>
        <v>294.10000000000002</v>
      </c>
      <c r="H83" s="1">
        <v>101.3</v>
      </c>
      <c r="I83" s="1">
        <f t="shared" si="27"/>
        <v>101300</v>
      </c>
      <c r="J83" s="1">
        <f t="shared" si="28"/>
        <v>2.0124824921938581E-5</v>
      </c>
      <c r="K83" s="28">
        <v>40.341584158415841</v>
      </c>
      <c r="L83" s="1">
        <f t="shared" si="29"/>
        <v>4.0341584158415839E-5</v>
      </c>
      <c r="M83" s="1">
        <f t="shared" si="30"/>
        <v>4.7762865441819992E-3</v>
      </c>
      <c r="N83" s="64">
        <f t="shared" si="31"/>
        <v>1.6997877132198158E-7</v>
      </c>
      <c r="O83" s="29">
        <f t="shared" si="32"/>
        <v>2.032E-3</v>
      </c>
      <c r="P83" s="29">
        <v>4.7360646624728548E-11</v>
      </c>
      <c r="Q83" s="2">
        <v>0.11</v>
      </c>
      <c r="R83" s="2">
        <f t="shared" si="33"/>
        <v>111000.00000000001</v>
      </c>
      <c r="S83" s="2">
        <f t="shared" si="34"/>
        <v>5.1398579432804297E-3</v>
      </c>
      <c r="T83" s="2">
        <v>0.06</v>
      </c>
      <c r="U83" s="2">
        <f t="shared" si="35"/>
        <v>106000</v>
      </c>
      <c r="V83" s="2">
        <f t="shared" si="22"/>
        <v>4.2762079207920785</v>
      </c>
      <c r="W83" s="2">
        <f t="shared" si="36"/>
        <v>5</v>
      </c>
      <c r="X83" s="12">
        <f t="shared" si="23"/>
        <v>1.6605919816211427E-7</v>
      </c>
      <c r="Y83" s="2">
        <f t="shared" si="37"/>
        <v>106303.31079886599</v>
      </c>
      <c r="Z83" s="12">
        <f t="shared" si="38"/>
        <v>8.0294302955130206E-15</v>
      </c>
      <c r="AA83" s="12">
        <f t="shared" si="39"/>
        <v>4835322923.9579411</v>
      </c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</row>
    <row r="84" spans="1:75" s="4" customFormat="1" x14ac:dyDescent="0.25">
      <c r="A84" s="1">
        <v>246</v>
      </c>
      <c r="B84" s="1">
        <f t="shared" si="24"/>
        <v>4.0999999999999996</v>
      </c>
      <c r="C84" s="1">
        <v>20</v>
      </c>
      <c r="D84" s="1">
        <f t="shared" si="21"/>
        <v>29.146000000000001</v>
      </c>
      <c r="E84" s="1">
        <f t="shared" si="25"/>
        <v>4.8576666666666667E-7</v>
      </c>
      <c r="F84" s="1">
        <v>21.1</v>
      </c>
      <c r="G84" s="1">
        <f t="shared" si="26"/>
        <v>294.10000000000002</v>
      </c>
      <c r="H84" s="1">
        <v>101.3</v>
      </c>
      <c r="I84" s="1">
        <f t="shared" si="27"/>
        <v>101300</v>
      </c>
      <c r="J84" s="1">
        <f t="shared" si="28"/>
        <v>2.0124824921938581E-5</v>
      </c>
      <c r="K84" s="28">
        <v>38.955445544554458</v>
      </c>
      <c r="L84" s="1">
        <f t="shared" si="29"/>
        <v>3.8955445544554459E-5</v>
      </c>
      <c r="M84" s="1">
        <f t="shared" si="30"/>
        <v>4.7762865441819992E-3</v>
      </c>
      <c r="N84" s="64">
        <f t="shared" si="31"/>
        <v>1.6413829323017219E-7</v>
      </c>
      <c r="O84" s="29">
        <f t="shared" si="32"/>
        <v>2.032E-3</v>
      </c>
      <c r="P84" s="29">
        <v>4.7360646624728548E-11</v>
      </c>
      <c r="Q84" s="2">
        <v>0.11</v>
      </c>
      <c r="R84" s="2">
        <f t="shared" si="33"/>
        <v>111000.00000000001</v>
      </c>
      <c r="S84" s="2">
        <f t="shared" si="34"/>
        <v>5.1398579432804297E-3</v>
      </c>
      <c r="T84" s="2">
        <v>0.06</v>
      </c>
      <c r="U84" s="2">
        <f t="shared" si="35"/>
        <v>106000</v>
      </c>
      <c r="V84" s="2">
        <f t="shared" si="22"/>
        <v>4.1292772277227723</v>
      </c>
      <c r="W84" s="2">
        <f t="shared" si="36"/>
        <v>5</v>
      </c>
      <c r="X84" s="12">
        <f t="shared" si="23"/>
        <v>1.5938345052618103E-7</v>
      </c>
      <c r="Y84" s="2">
        <f t="shared" si="37"/>
        <v>106490.16380960002</v>
      </c>
      <c r="Z84" s="12">
        <f t="shared" si="38"/>
        <v>7.693105465068205E-15</v>
      </c>
      <c r="AA84" s="12">
        <f t="shared" si="39"/>
        <v>4632788111.0640736</v>
      </c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</row>
    <row r="85" spans="1:75" s="4" customFormat="1" x14ac:dyDescent="0.25">
      <c r="A85" s="1">
        <v>249</v>
      </c>
      <c r="B85" s="1">
        <f t="shared" si="24"/>
        <v>4.1500000000000004</v>
      </c>
      <c r="C85" s="1">
        <v>20</v>
      </c>
      <c r="D85" s="1">
        <f t="shared" si="21"/>
        <v>29.146000000000001</v>
      </c>
      <c r="E85" s="1">
        <f t="shared" si="25"/>
        <v>4.8576666666666667E-7</v>
      </c>
      <c r="F85" s="1">
        <v>21.1</v>
      </c>
      <c r="G85" s="1">
        <f t="shared" si="26"/>
        <v>294.10000000000002</v>
      </c>
      <c r="H85" s="1">
        <v>101.3</v>
      </c>
      <c r="I85" s="1">
        <f t="shared" si="27"/>
        <v>101300</v>
      </c>
      <c r="J85" s="1">
        <f t="shared" si="28"/>
        <v>2.0124824921938581E-5</v>
      </c>
      <c r="K85" s="28">
        <v>39.351485148514854</v>
      </c>
      <c r="L85" s="1">
        <f t="shared" si="29"/>
        <v>3.9351485148514857E-5</v>
      </c>
      <c r="M85" s="1">
        <f t="shared" si="30"/>
        <v>4.7762865441819992E-3</v>
      </c>
      <c r="N85" s="64">
        <f t="shared" si="31"/>
        <v>1.6580700125640346E-7</v>
      </c>
      <c r="O85" s="29">
        <f t="shared" si="32"/>
        <v>2.032E-3</v>
      </c>
      <c r="P85" s="29">
        <v>4.7360646624728548E-11</v>
      </c>
      <c r="Q85" s="2">
        <v>0.11</v>
      </c>
      <c r="R85" s="2">
        <f t="shared" si="33"/>
        <v>111000.00000000001</v>
      </c>
      <c r="S85" s="2">
        <f t="shared" si="34"/>
        <v>5.1398579432804297E-3</v>
      </c>
      <c r="T85" s="2">
        <v>0.06</v>
      </c>
      <c r="U85" s="2">
        <f t="shared" si="35"/>
        <v>106000</v>
      </c>
      <c r="V85" s="2">
        <f t="shared" si="22"/>
        <v>4.1712574257425752</v>
      </c>
      <c r="W85" s="2">
        <f t="shared" si="36"/>
        <v>5</v>
      </c>
      <c r="X85" s="12">
        <f t="shared" si="23"/>
        <v>1.6129230256317148E-7</v>
      </c>
      <c r="Y85" s="2">
        <f t="shared" si="37"/>
        <v>106436.71862417045</v>
      </c>
      <c r="Z85" s="12">
        <f t="shared" si="38"/>
        <v>7.7891541923043163E-15</v>
      </c>
      <c r="AA85" s="12">
        <f t="shared" si="39"/>
        <v>4690628654.6056595</v>
      </c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</row>
    <row r="86" spans="1:75" s="4" customFormat="1" x14ac:dyDescent="0.25">
      <c r="A86" s="1">
        <v>252</v>
      </c>
      <c r="B86" s="1">
        <f t="shared" si="24"/>
        <v>4.2</v>
      </c>
      <c r="C86" s="1">
        <v>20</v>
      </c>
      <c r="D86" s="1">
        <f t="shared" si="21"/>
        <v>29.146000000000001</v>
      </c>
      <c r="E86" s="1">
        <f t="shared" si="25"/>
        <v>4.8576666666666667E-7</v>
      </c>
      <c r="F86" s="1">
        <v>21.1</v>
      </c>
      <c r="G86" s="1">
        <f t="shared" si="26"/>
        <v>294.10000000000002</v>
      </c>
      <c r="H86" s="1">
        <v>101.3</v>
      </c>
      <c r="I86" s="1">
        <f t="shared" si="27"/>
        <v>101300</v>
      </c>
      <c r="J86" s="1">
        <f t="shared" si="28"/>
        <v>2.0124824921938581E-5</v>
      </c>
      <c r="K86" s="28">
        <v>38.014851485148519</v>
      </c>
      <c r="L86" s="1">
        <f t="shared" si="29"/>
        <v>3.8014851485148515E-5</v>
      </c>
      <c r="M86" s="1">
        <f t="shared" si="30"/>
        <v>4.7762865441819992E-3</v>
      </c>
      <c r="N86" s="64">
        <f t="shared" si="31"/>
        <v>1.6017511166787295E-7</v>
      </c>
      <c r="O86" s="29">
        <f t="shared" si="32"/>
        <v>2.032E-3</v>
      </c>
      <c r="P86" s="29">
        <v>4.7360646624728548E-11</v>
      </c>
      <c r="Q86" s="2">
        <v>0.11</v>
      </c>
      <c r="R86" s="2">
        <f t="shared" si="33"/>
        <v>111000.00000000001</v>
      </c>
      <c r="S86" s="2">
        <f t="shared" si="34"/>
        <v>5.1398579432804297E-3</v>
      </c>
      <c r="T86" s="2">
        <v>0.06</v>
      </c>
      <c r="U86" s="2">
        <f t="shared" si="35"/>
        <v>106000</v>
      </c>
      <c r="V86" s="2">
        <f t="shared" si="22"/>
        <v>4.0295742574257423</v>
      </c>
      <c r="W86" s="2">
        <f t="shared" si="36"/>
        <v>5</v>
      </c>
      <c r="X86" s="12">
        <f t="shared" si="23"/>
        <v>1.5484498719381261E-7</v>
      </c>
      <c r="Y86" s="2">
        <f t="shared" si="37"/>
        <v>106617.28829508991</v>
      </c>
      <c r="Z86" s="12">
        <f t="shared" si="38"/>
        <v>7.4651243846630224E-15</v>
      </c>
      <c r="AA86" s="12">
        <f t="shared" si="39"/>
        <v>4495497904.4440727</v>
      </c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</row>
    <row r="87" spans="1:75" s="4" customFormat="1" x14ac:dyDescent="0.25">
      <c r="A87" s="1">
        <v>255</v>
      </c>
      <c r="B87" s="1">
        <f t="shared" si="24"/>
        <v>4.25</v>
      </c>
      <c r="C87" s="1">
        <v>20</v>
      </c>
      <c r="D87" s="1">
        <f t="shared" si="21"/>
        <v>29.146000000000001</v>
      </c>
      <c r="E87" s="1">
        <f t="shared" si="25"/>
        <v>4.8576666666666667E-7</v>
      </c>
      <c r="F87" s="1">
        <v>21.1</v>
      </c>
      <c r="G87" s="1">
        <f t="shared" si="26"/>
        <v>294.10000000000002</v>
      </c>
      <c r="H87" s="1">
        <v>101.3</v>
      </c>
      <c r="I87" s="1">
        <f t="shared" si="27"/>
        <v>101300</v>
      </c>
      <c r="J87" s="1">
        <f t="shared" si="28"/>
        <v>2.0124824921938581E-5</v>
      </c>
      <c r="K87" s="28">
        <v>46.059405940594061</v>
      </c>
      <c r="L87" s="1">
        <f t="shared" si="29"/>
        <v>4.605940594059406E-5</v>
      </c>
      <c r="M87" s="1">
        <f t="shared" si="30"/>
        <v>4.7762865441819992E-3</v>
      </c>
      <c r="N87" s="64">
        <f t="shared" si="31"/>
        <v>1.9407074345069542E-7</v>
      </c>
      <c r="O87" s="29">
        <f t="shared" si="32"/>
        <v>2.032E-3</v>
      </c>
      <c r="P87" s="29">
        <v>4.7360646624728548E-11</v>
      </c>
      <c r="Q87" s="2">
        <v>0.11</v>
      </c>
      <c r="R87" s="2">
        <f t="shared" si="33"/>
        <v>111000.00000000001</v>
      </c>
      <c r="S87" s="2">
        <f t="shared" si="34"/>
        <v>5.1398579432804297E-3</v>
      </c>
      <c r="T87" s="2">
        <v>0.06</v>
      </c>
      <c r="U87" s="2">
        <f t="shared" si="35"/>
        <v>106000</v>
      </c>
      <c r="V87" s="2">
        <f t="shared" si="22"/>
        <v>4.8822970297029702</v>
      </c>
      <c r="W87" s="2">
        <f t="shared" si="36"/>
        <v>5</v>
      </c>
      <c r="X87" s="12">
        <f t="shared" si="23"/>
        <v>1.9345365830209942E-7</v>
      </c>
      <c r="Y87" s="2">
        <f t="shared" si="37"/>
        <v>105538.26274761235</v>
      </c>
      <c r="Z87" s="12">
        <f t="shared" si="38"/>
        <v>9.4218939830730509E-15</v>
      </c>
      <c r="AA87" s="12">
        <f t="shared" si="39"/>
        <v>5673864556.6065912</v>
      </c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</row>
    <row r="88" spans="1:75" s="4" customFormat="1" x14ac:dyDescent="0.25">
      <c r="A88" s="1">
        <v>258</v>
      </c>
      <c r="B88" s="1">
        <f t="shared" si="24"/>
        <v>4.3</v>
      </c>
      <c r="C88" s="1">
        <v>20</v>
      </c>
      <c r="D88" s="1">
        <f t="shared" si="21"/>
        <v>29.146000000000001</v>
      </c>
      <c r="E88" s="1">
        <f t="shared" si="25"/>
        <v>4.8576666666666667E-7</v>
      </c>
      <c r="F88" s="1">
        <v>21.1</v>
      </c>
      <c r="G88" s="1">
        <f t="shared" si="26"/>
        <v>294.10000000000002</v>
      </c>
      <c r="H88" s="1">
        <v>101.3</v>
      </c>
      <c r="I88" s="1">
        <f t="shared" si="27"/>
        <v>101300</v>
      </c>
      <c r="J88" s="1">
        <f t="shared" si="28"/>
        <v>2.0124824921938581E-5</v>
      </c>
      <c r="K88" s="28">
        <v>45.267326732673268</v>
      </c>
      <c r="L88" s="1">
        <f t="shared" si="29"/>
        <v>4.5267326732673271E-5</v>
      </c>
      <c r="M88" s="1">
        <f t="shared" si="30"/>
        <v>4.7762865441819992E-3</v>
      </c>
      <c r="N88" s="64">
        <f t="shared" si="31"/>
        <v>1.907333273982329E-7</v>
      </c>
      <c r="O88" s="29">
        <f t="shared" si="32"/>
        <v>2.032E-3</v>
      </c>
      <c r="P88" s="29">
        <v>4.7360646624728548E-11</v>
      </c>
      <c r="Q88" s="2">
        <v>0.11</v>
      </c>
      <c r="R88" s="2">
        <f t="shared" si="33"/>
        <v>111000.00000000001</v>
      </c>
      <c r="S88" s="2">
        <f t="shared" si="34"/>
        <v>5.1398579432804297E-3</v>
      </c>
      <c r="T88" s="2">
        <v>0.06</v>
      </c>
      <c r="U88" s="2">
        <f t="shared" si="35"/>
        <v>106000</v>
      </c>
      <c r="V88" s="2">
        <f t="shared" si="22"/>
        <v>4.798336633663367</v>
      </c>
      <c r="W88" s="2">
        <f t="shared" si="36"/>
        <v>5</v>
      </c>
      <c r="X88" s="12">
        <f t="shared" si="23"/>
        <v>1.8967150286475886E-7</v>
      </c>
      <c r="Y88" s="2">
        <f t="shared" si="37"/>
        <v>105643.72301608526</v>
      </c>
      <c r="Z88" s="12">
        <f t="shared" si="38"/>
        <v>9.2284599031231698E-15</v>
      </c>
      <c r="AA88" s="12">
        <f t="shared" si="39"/>
        <v>5557378553.6607733</v>
      </c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</row>
    <row r="89" spans="1:75" s="4" customFormat="1" x14ac:dyDescent="0.25">
      <c r="A89" s="1">
        <v>261</v>
      </c>
      <c r="B89" s="1">
        <f t="shared" si="24"/>
        <v>4.3499999999999996</v>
      </c>
      <c r="C89" s="1">
        <v>20</v>
      </c>
      <c r="D89" s="1">
        <f t="shared" si="21"/>
        <v>29.146000000000001</v>
      </c>
      <c r="E89" s="1">
        <f t="shared" si="25"/>
        <v>4.8576666666666667E-7</v>
      </c>
      <c r="F89" s="1">
        <v>21.1</v>
      </c>
      <c r="G89" s="1">
        <f t="shared" si="26"/>
        <v>294.10000000000002</v>
      </c>
      <c r="H89" s="1">
        <v>101.3</v>
      </c>
      <c r="I89" s="1">
        <f t="shared" si="27"/>
        <v>101300</v>
      </c>
      <c r="J89" s="1">
        <f t="shared" si="28"/>
        <v>2.0124824921938581E-5</v>
      </c>
      <c r="K89" s="28">
        <v>46.232673267326732</v>
      </c>
      <c r="L89" s="1">
        <f t="shared" si="29"/>
        <v>4.623267326732673E-5</v>
      </c>
      <c r="M89" s="1">
        <f t="shared" si="30"/>
        <v>4.7762865441819992E-3</v>
      </c>
      <c r="N89" s="64">
        <f t="shared" si="31"/>
        <v>1.9480080321217156E-7</v>
      </c>
      <c r="O89" s="29">
        <f t="shared" si="32"/>
        <v>2.032E-3</v>
      </c>
      <c r="P89" s="29">
        <v>4.7360646624728548E-11</v>
      </c>
      <c r="Q89" s="2">
        <v>0.11</v>
      </c>
      <c r="R89" s="2">
        <f t="shared" si="33"/>
        <v>111000.00000000001</v>
      </c>
      <c r="S89" s="2">
        <f t="shared" si="34"/>
        <v>5.1398579432804297E-3</v>
      </c>
      <c r="T89" s="2">
        <v>0.06</v>
      </c>
      <c r="U89" s="2">
        <f t="shared" si="35"/>
        <v>106000</v>
      </c>
      <c r="V89" s="2">
        <f t="shared" si="22"/>
        <v>4.9006633663366337</v>
      </c>
      <c r="W89" s="2">
        <f t="shared" si="36"/>
        <v>5</v>
      </c>
      <c r="X89" s="12">
        <f t="shared" si="23"/>
        <v>1.942804938046402E-7</v>
      </c>
      <c r="Y89" s="2">
        <f t="shared" si="37"/>
        <v>105515.21457756037</v>
      </c>
      <c r="Z89" s="12">
        <f t="shared" si="38"/>
        <v>9.4642324741665707E-15</v>
      </c>
      <c r="AA89" s="12">
        <f t="shared" si="39"/>
        <v>5699360795.9431095</v>
      </c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</row>
    <row r="90" spans="1:75" s="4" customFormat="1" x14ac:dyDescent="0.25">
      <c r="A90" s="1">
        <v>264</v>
      </c>
      <c r="B90" s="1">
        <f t="shared" si="24"/>
        <v>4.4000000000000004</v>
      </c>
      <c r="C90" s="1">
        <v>20</v>
      </c>
      <c r="D90" s="1">
        <f t="shared" si="21"/>
        <v>29.146000000000001</v>
      </c>
      <c r="E90" s="1">
        <f t="shared" si="25"/>
        <v>4.8576666666666667E-7</v>
      </c>
      <c r="F90" s="1">
        <v>21.1</v>
      </c>
      <c r="G90" s="1">
        <f t="shared" si="26"/>
        <v>294.10000000000002</v>
      </c>
      <c r="H90" s="1">
        <v>101.3</v>
      </c>
      <c r="I90" s="1">
        <f t="shared" si="27"/>
        <v>101300</v>
      </c>
      <c r="J90" s="1">
        <f t="shared" si="28"/>
        <v>2.0124824921938581E-5</v>
      </c>
      <c r="K90" s="28">
        <v>37.693069306930695</v>
      </c>
      <c r="L90" s="1">
        <f t="shared" si="29"/>
        <v>3.7693069306930698E-5</v>
      </c>
      <c r="M90" s="1">
        <f t="shared" si="30"/>
        <v>4.7762865441819992E-3</v>
      </c>
      <c r="N90" s="64">
        <f t="shared" si="31"/>
        <v>1.5881928639656007E-7</v>
      </c>
      <c r="O90" s="29">
        <f t="shared" si="32"/>
        <v>2.032E-3</v>
      </c>
      <c r="P90" s="29">
        <v>4.7360646624728548E-11</v>
      </c>
      <c r="Q90" s="2">
        <v>0.11</v>
      </c>
      <c r="R90" s="2">
        <f t="shared" si="33"/>
        <v>111000.00000000001</v>
      </c>
      <c r="S90" s="2">
        <f t="shared" si="34"/>
        <v>5.1398579432804297E-3</v>
      </c>
      <c r="T90" s="2">
        <v>0.06</v>
      </c>
      <c r="U90" s="2">
        <f t="shared" si="35"/>
        <v>106000</v>
      </c>
      <c r="V90" s="2">
        <f t="shared" si="22"/>
        <v>3.9954653465346541</v>
      </c>
      <c r="W90" s="2">
        <f t="shared" si="36"/>
        <v>5</v>
      </c>
      <c r="X90" s="12">
        <f t="shared" si="23"/>
        <v>1.5329072423249196E-7</v>
      </c>
      <c r="Y90" s="2">
        <f t="shared" si="37"/>
        <v>106660.84136129165</v>
      </c>
      <c r="Z90" s="12">
        <f t="shared" si="38"/>
        <v>7.3871727591331097E-15</v>
      </c>
      <c r="AA90" s="12">
        <f t="shared" si="39"/>
        <v>4448555435.5499592</v>
      </c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</row>
    <row r="91" spans="1:75" s="4" customFormat="1" x14ac:dyDescent="0.25">
      <c r="A91" s="1">
        <v>267</v>
      </c>
      <c r="B91" s="1">
        <f t="shared" si="24"/>
        <v>4.45</v>
      </c>
      <c r="C91" s="1">
        <v>20</v>
      </c>
      <c r="D91" s="1">
        <f t="shared" si="21"/>
        <v>29.146000000000001</v>
      </c>
      <c r="E91" s="1">
        <f t="shared" si="25"/>
        <v>4.8576666666666667E-7</v>
      </c>
      <c r="F91" s="1">
        <v>21.1</v>
      </c>
      <c r="G91" s="1">
        <f t="shared" si="26"/>
        <v>294.10000000000002</v>
      </c>
      <c r="H91" s="1">
        <v>101.3</v>
      </c>
      <c r="I91" s="1">
        <f t="shared" si="27"/>
        <v>101300</v>
      </c>
      <c r="J91" s="1">
        <f t="shared" si="28"/>
        <v>2.0124824921938581E-5</v>
      </c>
      <c r="K91" s="28">
        <v>46.851485148514854</v>
      </c>
      <c r="L91" s="1">
        <f t="shared" si="29"/>
        <v>4.6851485148514856E-5</v>
      </c>
      <c r="M91" s="1">
        <f t="shared" si="30"/>
        <v>4.7762865441819992E-3</v>
      </c>
      <c r="N91" s="64">
        <f t="shared" si="31"/>
        <v>1.9740815950315791E-7</v>
      </c>
      <c r="O91" s="29">
        <f t="shared" si="32"/>
        <v>2.032E-3</v>
      </c>
      <c r="P91" s="29">
        <v>4.7360646624728548E-11</v>
      </c>
      <c r="Q91" s="2">
        <v>0.11</v>
      </c>
      <c r="R91" s="2">
        <f t="shared" si="33"/>
        <v>111000.00000000001</v>
      </c>
      <c r="S91" s="2">
        <f t="shared" si="34"/>
        <v>5.1398579432804297E-3</v>
      </c>
      <c r="T91" s="2">
        <v>0.06</v>
      </c>
      <c r="U91" s="2">
        <f t="shared" si="35"/>
        <v>106000</v>
      </c>
      <c r="V91" s="2">
        <f t="shared" si="22"/>
        <v>4.9662574257425751</v>
      </c>
      <c r="W91" s="2">
        <f t="shared" si="36"/>
        <v>5</v>
      </c>
      <c r="X91" s="12">
        <f t="shared" si="23"/>
        <v>1.9723200582896523E-7</v>
      </c>
      <c r="Y91" s="2">
        <f t="shared" si="37"/>
        <v>105432.96124289982</v>
      </c>
      <c r="Z91" s="12">
        <f t="shared" si="38"/>
        <v>9.6155152335849032E-15</v>
      </c>
      <c r="AA91" s="12">
        <f t="shared" si="39"/>
        <v>5790463273.6648293</v>
      </c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</row>
    <row r="92" spans="1:75" s="4" customFormat="1" x14ac:dyDescent="0.25">
      <c r="A92" s="1">
        <v>270</v>
      </c>
      <c r="B92" s="1">
        <f t="shared" si="24"/>
        <v>4.5</v>
      </c>
      <c r="C92" s="1">
        <v>20</v>
      </c>
      <c r="D92" s="1">
        <f t="shared" si="21"/>
        <v>29.146000000000001</v>
      </c>
      <c r="E92" s="1">
        <f t="shared" si="25"/>
        <v>4.8576666666666667E-7</v>
      </c>
      <c r="F92" s="1">
        <v>21.1</v>
      </c>
      <c r="G92" s="1">
        <f t="shared" si="26"/>
        <v>294.10000000000002</v>
      </c>
      <c r="H92" s="1">
        <v>101.3</v>
      </c>
      <c r="I92" s="1">
        <f t="shared" si="27"/>
        <v>101300</v>
      </c>
      <c r="J92" s="1">
        <f t="shared" si="28"/>
        <v>2.0124824921938581E-5</v>
      </c>
      <c r="K92" s="28">
        <v>43.435643564356432</v>
      </c>
      <c r="L92" s="1">
        <f t="shared" si="29"/>
        <v>4.3435643564356435E-5</v>
      </c>
      <c r="M92" s="1">
        <f t="shared" si="30"/>
        <v>4.7762865441819992E-3</v>
      </c>
      <c r="N92" s="64">
        <f t="shared" si="31"/>
        <v>1.830155527769133E-7</v>
      </c>
      <c r="O92" s="29">
        <f t="shared" si="32"/>
        <v>2.032E-3</v>
      </c>
      <c r="P92" s="29">
        <v>4.7360646624728548E-11</v>
      </c>
      <c r="Q92" s="2">
        <v>0.11</v>
      </c>
      <c r="R92" s="2">
        <f t="shared" si="33"/>
        <v>111000.00000000001</v>
      </c>
      <c r="S92" s="2">
        <f t="shared" si="34"/>
        <v>5.1398579432804297E-3</v>
      </c>
      <c r="T92" s="2">
        <v>0.06</v>
      </c>
      <c r="U92" s="2">
        <f t="shared" si="35"/>
        <v>106000</v>
      </c>
      <c r="V92" s="2">
        <f t="shared" si="22"/>
        <v>4.604178217821782</v>
      </c>
      <c r="W92" s="2">
        <f t="shared" si="36"/>
        <v>5</v>
      </c>
      <c r="X92" s="12">
        <f t="shared" si="23"/>
        <v>1.8091012293470495E-7</v>
      </c>
      <c r="Y92" s="2">
        <f t="shared" si="37"/>
        <v>105888.22450218177</v>
      </c>
      <c r="Z92" s="12">
        <f t="shared" si="38"/>
        <v>8.7818335786100329E-15</v>
      </c>
      <c r="AA92" s="12">
        <f t="shared" si="39"/>
        <v>5288420181.0389624</v>
      </c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</row>
    <row r="93" spans="1:75" s="4" customFormat="1" x14ac:dyDescent="0.25">
      <c r="A93" s="1">
        <v>273</v>
      </c>
      <c r="B93" s="1">
        <f t="shared" si="24"/>
        <v>4.55</v>
      </c>
      <c r="C93" s="1">
        <v>20</v>
      </c>
      <c r="D93" s="1">
        <f t="shared" si="21"/>
        <v>29.146000000000001</v>
      </c>
      <c r="E93" s="1">
        <f t="shared" si="25"/>
        <v>4.8576666666666667E-7</v>
      </c>
      <c r="F93" s="1">
        <v>21.1</v>
      </c>
      <c r="G93" s="1">
        <f t="shared" si="26"/>
        <v>294.10000000000002</v>
      </c>
      <c r="H93" s="1">
        <v>101.3</v>
      </c>
      <c r="I93" s="1">
        <f t="shared" si="27"/>
        <v>101300</v>
      </c>
      <c r="J93" s="1">
        <f t="shared" si="28"/>
        <v>2.0124824921938581E-5</v>
      </c>
      <c r="K93" s="28">
        <v>47.569306930693067</v>
      </c>
      <c r="L93" s="1">
        <f t="shared" si="29"/>
        <v>4.7569306930693065E-5</v>
      </c>
      <c r="M93" s="1">
        <f t="shared" si="30"/>
        <v>4.7762865441819992E-3</v>
      </c>
      <c r="N93" s="64">
        <f t="shared" si="31"/>
        <v>2.0043269280070207E-7</v>
      </c>
      <c r="O93" s="29">
        <f t="shared" si="32"/>
        <v>2.032E-3</v>
      </c>
      <c r="P93" s="29">
        <v>4.7360646624728548E-11</v>
      </c>
      <c r="Q93" s="2">
        <v>0.11</v>
      </c>
      <c r="R93" s="2">
        <f t="shared" si="33"/>
        <v>111000.00000000001</v>
      </c>
      <c r="S93" s="2">
        <f t="shared" si="34"/>
        <v>5.1398579432804297E-3</v>
      </c>
      <c r="T93" s="2">
        <v>0.06</v>
      </c>
      <c r="U93" s="2">
        <f t="shared" si="35"/>
        <v>106000</v>
      </c>
      <c r="V93" s="2">
        <f t="shared" si="22"/>
        <v>5.0423465346534648</v>
      </c>
      <c r="W93" s="2">
        <f t="shared" si="36"/>
        <v>5</v>
      </c>
      <c r="X93" s="12">
        <f t="shared" si="23"/>
        <v>2.006529246683459E-7</v>
      </c>
      <c r="Y93" s="2">
        <f t="shared" si="37"/>
        <v>105337.66651324018</v>
      </c>
      <c r="Z93" s="12">
        <f t="shared" si="38"/>
        <v>9.7911500530624635E-15</v>
      </c>
      <c r="AA93" s="12">
        <f t="shared" si="39"/>
        <v>5896230561.954216</v>
      </c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</row>
    <row r="94" spans="1:75" s="4" customFormat="1" x14ac:dyDescent="0.25">
      <c r="A94" s="1">
        <v>276</v>
      </c>
      <c r="B94" s="1">
        <f t="shared" si="24"/>
        <v>4.5999999999999996</v>
      </c>
      <c r="C94" s="1">
        <v>20</v>
      </c>
      <c r="D94" s="1">
        <f t="shared" si="21"/>
        <v>29.146000000000001</v>
      </c>
      <c r="E94" s="1">
        <f t="shared" si="25"/>
        <v>4.8576666666666667E-7</v>
      </c>
      <c r="F94" s="1">
        <v>21.1</v>
      </c>
      <c r="G94" s="1">
        <f t="shared" si="26"/>
        <v>294.10000000000002</v>
      </c>
      <c r="H94" s="1">
        <v>101.3</v>
      </c>
      <c r="I94" s="1">
        <f t="shared" si="27"/>
        <v>101300</v>
      </c>
      <c r="J94" s="1">
        <f t="shared" si="28"/>
        <v>2.0124824921938581E-5</v>
      </c>
      <c r="K94" s="28">
        <v>36.975247524752476</v>
      </c>
      <c r="L94" s="1">
        <f t="shared" si="29"/>
        <v>3.6975247524752476E-5</v>
      </c>
      <c r="M94" s="1">
        <f t="shared" si="30"/>
        <v>4.7762865441819992E-3</v>
      </c>
      <c r="N94" s="64">
        <f t="shared" si="31"/>
        <v>1.5579475309901591E-7</v>
      </c>
      <c r="O94" s="29">
        <f t="shared" si="32"/>
        <v>2.032E-3</v>
      </c>
      <c r="P94" s="29">
        <v>4.7360646624728548E-11</v>
      </c>
      <c r="Q94" s="2">
        <v>0.11</v>
      </c>
      <c r="R94" s="2">
        <f t="shared" si="33"/>
        <v>111000.00000000001</v>
      </c>
      <c r="S94" s="2">
        <f t="shared" si="34"/>
        <v>5.1398579432804297E-3</v>
      </c>
      <c r="T94" s="2">
        <v>0.06</v>
      </c>
      <c r="U94" s="2">
        <f t="shared" si="35"/>
        <v>106000</v>
      </c>
      <c r="V94" s="2">
        <f t="shared" si="22"/>
        <v>3.9193762376237626</v>
      </c>
      <c r="W94" s="2">
        <f t="shared" si="36"/>
        <v>5</v>
      </c>
      <c r="X94" s="12">
        <f t="shared" si="23"/>
        <v>1.4982044712201473E-7</v>
      </c>
      <c r="Y94" s="2">
        <f t="shared" si="37"/>
        <v>106758.11646892299</v>
      </c>
      <c r="Z94" s="12">
        <f t="shared" si="38"/>
        <v>7.2133540055323608E-15</v>
      </c>
      <c r="AA94" s="12">
        <f t="shared" si="39"/>
        <v>4343881782.131588</v>
      </c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</row>
    <row r="95" spans="1:75" s="4" customFormat="1" x14ac:dyDescent="0.25">
      <c r="A95" s="1">
        <v>279</v>
      </c>
      <c r="B95" s="1">
        <f t="shared" si="24"/>
        <v>4.6500000000000004</v>
      </c>
      <c r="C95" s="1">
        <v>20</v>
      </c>
      <c r="D95" s="1">
        <f t="shared" si="21"/>
        <v>29.146000000000001</v>
      </c>
      <c r="E95" s="1">
        <f t="shared" si="25"/>
        <v>4.8576666666666667E-7</v>
      </c>
      <c r="F95" s="1">
        <v>21.1</v>
      </c>
      <c r="G95" s="1">
        <f t="shared" si="26"/>
        <v>294.10000000000002</v>
      </c>
      <c r="H95" s="1">
        <v>101.3</v>
      </c>
      <c r="I95" s="1">
        <f t="shared" si="27"/>
        <v>101300</v>
      </c>
      <c r="J95" s="1">
        <f t="shared" si="28"/>
        <v>2.0124824921938581E-5</v>
      </c>
      <c r="K95" s="28">
        <v>44.252475247524757</v>
      </c>
      <c r="L95" s="1">
        <f t="shared" si="29"/>
        <v>4.4252475247524754E-5</v>
      </c>
      <c r="M95" s="1">
        <f t="shared" si="30"/>
        <v>4.7762865441819992E-3</v>
      </c>
      <c r="N95" s="64">
        <f t="shared" si="31"/>
        <v>1.8645726308101527E-7</v>
      </c>
      <c r="O95" s="29">
        <f t="shared" si="32"/>
        <v>2.032E-3</v>
      </c>
      <c r="P95" s="29">
        <v>4.7360646624728548E-11</v>
      </c>
      <c r="Q95" s="2">
        <v>0.11</v>
      </c>
      <c r="R95" s="2">
        <f t="shared" si="33"/>
        <v>111000.00000000001</v>
      </c>
      <c r="S95" s="2">
        <f t="shared" si="34"/>
        <v>5.1398579432804297E-3</v>
      </c>
      <c r="T95" s="2">
        <v>0.06</v>
      </c>
      <c r="U95" s="2">
        <f t="shared" si="35"/>
        <v>106000</v>
      </c>
      <c r="V95" s="2">
        <f t="shared" si="22"/>
        <v>4.6907623762376236</v>
      </c>
      <c r="W95" s="2">
        <f t="shared" si="36"/>
        <v>5</v>
      </c>
      <c r="X95" s="12">
        <f t="shared" si="23"/>
        <v>1.8481989025897157E-7</v>
      </c>
      <c r="Y95" s="2">
        <f t="shared" si="37"/>
        <v>105779.08075331429</v>
      </c>
      <c r="Z95" s="12">
        <f t="shared" si="38"/>
        <v>8.9808882954104161E-15</v>
      </c>
      <c r="AA95" s="12">
        <f t="shared" si="39"/>
        <v>5408290931.4961529</v>
      </c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</row>
    <row r="96" spans="1:75" s="4" customFormat="1" x14ac:dyDescent="0.25">
      <c r="A96" s="1">
        <v>282</v>
      </c>
      <c r="B96" s="1">
        <f t="shared" si="24"/>
        <v>4.7</v>
      </c>
      <c r="C96" s="1">
        <v>20</v>
      </c>
      <c r="D96" s="1">
        <f t="shared" si="21"/>
        <v>29.146000000000001</v>
      </c>
      <c r="E96" s="1">
        <f t="shared" si="25"/>
        <v>4.8576666666666667E-7</v>
      </c>
      <c r="F96" s="1">
        <v>21.1</v>
      </c>
      <c r="G96" s="1">
        <f t="shared" si="26"/>
        <v>294.10000000000002</v>
      </c>
      <c r="H96" s="1">
        <v>101.3</v>
      </c>
      <c r="I96" s="1">
        <f t="shared" si="27"/>
        <v>101300</v>
      </c>
      <c r="J96" s="1">
        <f t="shared" si="28"/>
        <v>2.0124824921938581E-5</v>
      </c>
      <c r="K96" s="28">
        <v>42.866336633663366</v>
      </c>
      <c r="L96" s="1">
        <f t="shared" si="29"/>
        <v>4.2866336633663367E-5</v>
      </c>
      <c r="M96" s="1">
        <f t="shared" si="30"/>
        <v>4.7762865441819992E-3</v>
      </c>
      <c r="N96" s="64">
        <f t="shared" si="31"/>
        <v>1.8061678498920588E-7</v>
      </c>
      <c r="O96" s="29">
        <f t="shared" si="32"/>
        <v>2.032E-3</v>
      </c>
      <c r="P96" s="29">
        <v>4.7360646624728548E-11</v>
      </c>
      <c r="Q96" s="2">
        <v>0.11</v>
      </c>
      <c r="R96" s="2">
        <f t="shared" si="33"/>
        <v>111000.00000000001</v>
      </c>
      <c r="S96" s="2">
        <f t="shared" si="34"/>
        <v>5.1398579432804297E-3</v>
      </c>
      <c r="T96" s="2">
        <v>0.06</v>
      </c>
      <c r="U96" s="2">
        <f t="shared" si="35"/>
        <v>106000</v>
      </c>
      <c r="V96" s="2">
        <f t="shared" si="22"/>
        <v>4.5438316831683165</v>
      </c>
      <c r="W96" s="2">
        <f t="shared" si="36"/>
        <v>5</v>
      </c>
      <c r="X96" s="12">
        <f t="shared" si="23"/>
        <v>1.7818252599884963E-7</v>
      </c>
      <c r="Y96" s="2">
        <f t="shared" si="37"/>
        <v>105964.40050669265</v>
      </c>
      <c r="Z96" s="12">
        <f t="shared" si="38"/>
        <v>8.6432060248809035E-15</v>
      </c>
      <c r="AA96" s="12">
        <f t="shared" si="39"/>
        <v>5204938668.18328</v>
      </c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</row>
    <row r="97" spans="1:75" s="4" customFormat="1" x14ac:dyDescent="0.25">
      <c r="A97" s="1">
        <v>285</v>
      </c>
      <c r="B97" s="1">
        <f t="shared" si="24"/>
        <v>4.75</v>
      </c>
      <c r="C97" s="1">
        <v>20</v>
      </c>
      <c r="D97" s="1">
        <f t="shared" si="21"/>
        <v>29.146000000000001</v>
      </c>
      <c r="E97" s="1">
        <f t="shared" si="25"/>
        <v>4.8576666666666667E-7</v>
      </c>
      <c r="F97" s="1">
        <v>21.1</v>
      </c>
      <c r="G97" s="1">
        <f t="shared" si="26"/>
        <v>294.10000000000002</v>
      </c>
      <c r="H97" s="1">
        <v>101.3</v>
      </c>
      <c r="I97" s="1">
        <f t="shared" si="27"/>
        <v>101300</v>
      </c>
      <c r="J97" s="1">
        <f t="shared" si="28"/>
        <v>2.0124824921938581E-5</v>
      </c>
      <c r="K97" s="28">
        <v>45.118811881188122</v>
      </c>
      <c r="L97" s="1">
        <f t="shared" si="29"/>
        <v>4.5118811881188124E-5</v>
      </c>
      <c r="M97" s="1">
        <f t="shared" si="30"/>
        <v>4.7762865441819992E-3</v>
      </c>
      <c r="N97" s="64">
        <f t="shared" si="31"/>
        <v>1.9010756188839618E-7</v>
      </c>
      <c r="O97" s="29">
        <f t="shared" si="32"/>
        <v>2.032E-3</v>
      </c>
      <c r="P97" s="29">
        <v>4.7360646624728548E-11</v>
      </c>
      <c r="Q97" s="2">
        <v>0.11</v>
      </c>
      <c r="R97" s="2">
        <f t="shared" si="33"/>
        <v>111000.00000000001</v>
      </c>
      <c r="S97" s="2">
        <f t="shared" si="34"/>
        <v>5.1398579432804297E-3</v>
      </c>
      <c r="T97" s="2">
        <v>0.06</v>
      </c>
      <c r="U97" s="2">
        <f t="shared" si="35"/>
        <v>106000</v>
      </c>
      <c r="V97" s="2">
        <f t="shared" si="22"/>
        <v>4.7825940594059411</v>
      </c>
      <c r="W97" s="2">
        <f t="shared" si="36"/>
        <v>5</v>
      </c>
      <c r="X97" s="12">
        <f t="shared" si="23"/>
        <v>1.8896191671547302E-7</v>
      </c>
      <c r="Y97" s="2">
        <f t="shared" si="37"/>
        <v>105663.51472950639</v>
      </c>
      <c r="Z97" s="12">
        <f t="shared" si="38"/>
        <v>9.192211462110502E-15</v>
      </c>
      <c r="AA97" s="12">
        <f t="shared" si="39"/>
        <v>5535549742.4829445</v>
      </c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</row>
    <row r="98" spans="1:75" s="4" customFormat="1" x14ac:dyDescent="0.25">
      <c r="A98" s="1">
        <v>288</v>
      </c>
      <c r="B98" s="1">
        <f t="shared" si="24"/>
        <v>4.8</v>
      </c>
      <c r="C98" s="1">
        <v>20</v>
      </c>
      <c r="D98" s="1">
        <f t="shared" si="21"/>
        <v>29.146000000000001</v>
      </c>
      <c r="E98" s="1">
        <f t="shared" si="25"/>
        <v>4.8576666666666667E-7</v>
      </c>
      <c r="F98" s="1">
        <v>21.1</v>
      </c>
      <c r="G98" s="1">
        <f t="shared" si="26"/>
        <v>294.10000000000002</v>
      </c>
      <c r="H98" s="1">
        <v>101.3</v>
      </c>
      <c r="I98" s="1">
        <f t="shared" si="27"/>
        <v>101300</v>
      </c>
      <c r="J98" s="1">
        <f t="shared" si="28"/>
        <v>2.0124824921938581E-5</v>
      </c>
      <c r="K98" s="28">
        <v>39.351485148514854</v>
      </c>
      <c r="L98" s="1">
        <f t="shared" si="29"/>
        <v>3.9351485148514857E-5</v>
      </c>
      <c r="M98" s="1">
        <f t="shared" si="30"/>
        <v>4.7762865441819992E-3</v>
      </c>
      <c r="N98" s="64">
        <f t="shared" si="31"/>
        <v>1.6580700125640346E-7</v>
      </c>
      <c r="O98" s="29">
        <f t="shared" si="32"/>
        <v>2.032E-3</v>
      </c>
      <c r="P98" s="29">
        <v>4.7360646624728548E-11</v>
      </c>
      <c r="Q98" s="2">
        <v>0.11</v>
      </c>
      <c r="R98" s="2">
        <f t="shared" si="33"/>
        <v>111000.00000000001</v>
      </c>
      <c r="S98" s="2">
        <f t="shared" si="34"/>
        <v>5.1398579432804297E-3</v>
      </c>
      <c r="T98" s="2">
        <v>0.06</v>
      </c>
      <c r="U98" s="2">
        <f t="shared" si="35"/>
        <v>106000</v>
      </c>
      <c r="V98" s="2">
        <f t="shared" ref="V98:V114" si="40">(L98*U98)</f>
        <v>4.1712574257425752</v>
      </c>
      <c r="W98" s="2">
        <f t="shared" si="36"/>
        <v>5</v>
      </c>
      <c r="X98" s="12">
        <f t="shared" ref="X98:X114" si="41">(N98+((P98/O98)*(SQRT(V98)-SQRT(W98))))</f>
        <v>1.6129230256317148E-7</v>
      </c>
      <c r="Y98" s="2">
        <f t="shared" si="37"/>
        <v>106436.71862417045</v>
      </c>
      <c r="Z98" s="12">
        <f t="shared" si="38"/>
        <v>7.7891541923043163E-15</v>
      </c>
      <c r="AA98" s="12">
        <f t="shared" si="39"/>
        <v>4690628654.6056595</v>
      </c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</row>
    <row r="99" spans="1:75" s="4" customFormat="1" x14ac:dyDescent="0.25">
      <c r="A99" s="1">
        <v>291</v>
      </c>
      <c r="B99" s="1">
        <f t="shared" si="24"/>
        <v>4.8499999999999996</v>
      </c>
      <c r="C99" s="1">
        <v>20</v>
      </c>
      <c r="D99" s="1">
        <f t="shared" si="21"/>
        <v>29.146000000000001</v>
      </c>
      <c r="E99" s="1">
        <f t="shared" si="25"/>
        <v>4.8576666666666667E-7</v>
      </c>
      <c r="F99" s="1">
        <v>21.1</v>
      </c>
      <c r="G99" s="1">
        <f t="shared" si="26"/>
        <v>294.10000000000002</v>
      </c>
      <c r="H99" s="1">
        <v>101.3</v>
      </c>
      <c r="I99" s="1">
        <f t="shared" si="27"/>
        <v>101300</v>
      </c>
      <c r="J99" s="1">
        <f t="shared" si="28"/>
        <v>2.0124824921938581E-5</v>
      </c>
      <c r="K99" s="28">
        <v>44.376237623762378</v>
      </c>
      <c r="L99" s="1">
        <f t="shared" si="29"/>
        <v>4.4376237623762379E-5</v>
      </c>
      <c r="M99" s="1">
        <f t="shared" si="30"/>
        <v>4.7762865441819992E-3</v>
      </c>
      <c r="N99" s="64">
        <f t="shared" si="31"/>
        <v>1.8697873433921257E-7</v>
      </c>
      <c r="O99" s="29">
        <f t="shared" si="32"/>
        <v>2.032E-3</v>
      </c>
      <c r="P99" s="29">
        <v>4.7360646624728548E-11</v>
      </c>
      <c r="Q99" s="2">
        <v>0.11</v>
      </c>
      <c r="R99" s="2">
        <f t="shared" si="33"/>
        <v>111000.00000000001</v>
      </c>
      <c r="S99" s="2">
        <f t="shared" si="34"/>
        <v>5.1398579432804297E-3</v>
      </c>
      <c r="T99" s="2">
        <v>0.06</v>
      </c>
      <c r="U99" s="2">
        <f t="shared" si="35"/>
        <v>106000</v>
      </c>
      <c r="V99" s="2">
        <f t="shared" si="40"/>
        <v>4.7038811881188121</v>
      </c>
      <c r="W99" s="2">
        <f t="shared" si="36"/>
        <v>5</v>
      </c>
      <c r="X99" s="12">
        <f t="shared" si="41"/>
        <v>1.8541190117983031E-7</v>
      </c>
      <c r="Y99" s="2">
        <f t="shared" si="37"/>
        <v>105762.55928165976</v>
      </c>
      <c r="Z99" s="12">
        <f t="shared" si="38"/>
        <v>9.0110642793313191E-15</v>
      </c>
      <c r="AA99" s="12">
        <f t="shared" si="39"/>
        <v>5426462909.0133209</v>
      </c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</row>
    <row r="100" spans="1:75" s="4" customFormat="1" x14ac:dyDescent="0.25">
      <c r="A100" s="1">
        <v>294</v>
      </c>
      <c r="B100" s="1">
        <f t="shared" si="24"/>
        <v>4.9000000000000004</v>
      </c>
      <c r="C100" s="1">
        <v>20</v>
      </c>
      <c r="D100" s="1">
        <f t="shared" si="21"/>
        <v>29.146000000000001</v>
      </c>
      <c r="E100" s="1">
        <f t="shared" si="25"/>
        <v>4.8576666666666667E-7</v>
      </c>
      <c r="F100" s="1">
        <v>21.1</v>
      </c>
      <c r="G100" s="1">
        <f t="shared" si="26"/>
        <v>294.10000000000002</v>
      </c>
      <c r="H100" s="1">
        <v>101.3</v>
      </c>
      <c r="I100" s="1">
        <f t="shared" si="27"/>
        <v>101300</v>
      </c>
      <c r="J100" s="1">
        <f t="shared" si="28"/>
        <v>2.0124824921938581E-5</v>
      </c>
      <c r="K100" s="28">
        <v>43.534653465346537</v>
      </c>
      <c r="L100" s="1">
        <f t="shared" si="29"/>
        <v>4.3534653465346538E-5</v>
      </c>
      <c r="M100" s="1">
        <f t="shared" si="30"/>
        <v>4.7762865441819992E-3</v>
      </c>
      <c r="N100" s="64">
        <f t="shared" si="31"/>
        <v>1.8343272978347114E-7</v>
      </c>
      <c r="O100" s="29">
        <f t="shared" si="32"/>
        <v>2.032E-3</v>
      </c>
      <c r="P100" s="29">
        <v>4.7360646624728548E-11</v>
      </c>
      <c r="Q100" s="2">
        <v>0.11</v>
      </c>
      <c r="R100" s="2">
        <f t="shared" si="33"/>
        <v>111000.00000000001</v>
      </c>
      <c r="S100" s="2">
        <f t="shared" si="34"/>
        <v>5.1398579432804297E-3</v>
      </c>
      <c r="T100" s="2">
        <v>0.06</v>
      </c>
      <c r="U100" s="2">
        <f t="shared" si="35"/>
        <v>106000</v>
      </c>
      <c r="V100" s="2">
        <f t="shared" si="40"/>
        <v>4.614673267326733</v>
      </c>
      <c r="W100" s="2">
        <f t="shared" si="36"/>
        <v>5</v>
      </c>
      <c r="X100" s="12">
        <f t="shared" si="41"/>
        <v>1.8138426716755433E-7</v>
      </c>
      <c r="Y100" s="2">
        <f t="shared" si="37"/>
        <v>105874.9854526753</v>
      </c>
      <c r="Z100" s="12">
        <f t="shared" si="38"/>
        <v>8.8059516512866124E-15</v>
      </c>
      <c r="AA100" s="12">
        <f t="shared" si="39"/>
        <v>5302944084.4047985</v>
      </c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</row>
    <row r="101" spans="1:75" s="4" customFormat="1" x14ac:dyDescent="0.25">
      <c r="A101" s="1">
        <v>297</v>
      </c>
      <c r="B101" s="1">
        <f t="shared" si="24"/>
        <v>4.95</v>
      </c>
      <c r="C101" s="1">
        <v>20</v>
      </c>
      <c r="D101" s="1">
        <f t="shared" si="21"/>
        <v>29.146000000000001</v>
      </c>
      <c r="E101" s="1">
        <f t="shared" si="25"/>
        <v>4.8576666666666667E-7</v>
      </c>
      <c r="F101" s="1">
        <v>21.1</v>
      </c>
      <c r="G101" s="1">
        <f t="shared" si="26"/>
        <v>294.10000000000002</v>
      </c>
      <c r="H101" s="1">
        <v>101.3</v>
      </c>
      <c r="I101" s="1">
        <f t="shared" si="27"/>
        <v>101300</v>
      </c>
      <c r="J101" s="1">
        <f t="shared" si="28"/>
        <v>2.0124824921938581E-5</v>
      </c>
      <c r="K101" s="28">
        <v>42.767326732673268</v>
      </c>
      <c r="L101" s="1">
        <f t="shared" si="29"/>
        <v>4.2767326732673271E-5</v>
      </c>
      <c r="M101" s="1">
        <f t="shared" si="30"/>
        <v>4.7762865441819992E-3</v>
      </c>
      <c r="N101" s="64">
        <f t="shared" si="31"/>
        <v>1.8019960798264807E-7</v>
      </c>
      <c r="O101" s="29">
        <f t="shared" si="32"/>
        <v>2.032E-3</v>
      </c>
      <c r="P101" s="29">
        <v>4.7360646624728548E-11</v>
      </c>
      <c r="Q101" s="2">
        <v>0.11</v>
      </c>
      <c r="R101" s="2">
        <f t="shared" si="33"/>
        <v>111000.00000000001</v>
      </c>
      <c r="S101" s="2">
        <f t="shared" si="34"/>
        <v>5.1398579432804297E-3</v>
      </c>
      <c r="T101" s="2">
        <v>0.06</v>
      </c>
      <c r="U101" s="2">
        <f t="shared" si="35"/>
        <v>106000</v>
      </c>
      <c r="V101" s="2">
        <f t="shared" si="40"/>
        <v>4.5333366336633665</v>
      </c>
      <c r="W101" s="2">
        <f t="shared" si="36"/>
        <v>5</v>
      </c>
      <c r="X101" s="12">
        <f t="shared" si="41"/>
        <v>1.7770793889384688E-7</v>
      </c>
      <c r="Y101" s="2">
        <f t="shared" si="37"/>
        <v>105977.65751673836</v>
      </c>
      <c r="Z101" s="12">
        <f t="shared" si="38"/>
        <v>8.619105724911824E-15</v>
      </c>
      <c r="AA101" s="12">
        <f t="shared" si="39"/>
        <v>5190425467.5419006</v>
      </c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</row>
    <row r="102" spans="1:75" s="4" customFormat="1" x14ac:dyDescent="0.25">
      <c r="A102" s="1">
        <v>300</v>
      </c>
      <c r="B102" s="1">
        <f t="shared" si="24"/>
        <v>5</v>
      </c>
      <c r="C102" s="1">
        <v>20</v>
      </c>
      <c r="D102" s="1">
        <f t="shared" si="21"/>
        <v>29.146000000000001</v>
      </c>
      <c r="E102" s="1">
        <f t="shared" si="25"/>
        <v>4.8576666666666667E-7</v>
      </c>
      <c r="F102" s="1">
        <v>21.1</v>
      </c>
      <c r="G102" s="1">
        <f t="shared" si="26"/>
        <v>294.10000000000002</v>
      </c>
      <c r="H102" s="1">
        <v>101.3</v>
      </c>
      <c r="I102" s="1">
        <f t="shared" si="27"/>
        <v>101300</v>
      </c>
      <c r="J102" s="1">
        <f t="shared" si="28"/>
        <v>2.0124824921938581E-5</v>
      </c>
      <c r="K102" s="28">
        <v>44.896039603960396</v>
      </c>
      <c r="L102" s="1">
        <f t="shared" si="29"/>
        <v>4.4896039603960395E-5</v>
      </c>
      <c r="M102" s="1">
        <f t="shared" si="30"/>
        <v>4.7762865441819992E-3</v>
      </c>
      <c r="N102" s="64">
        <f t="shared" si="31"/>
        <v>1.8916891362364105E-7</v>
      </c>
      <c r="O102" s="29">
        <f t="shared" si="32"/>
        <v>2.032E-3</v>
      </c>
      <c r="P102" s="29">
        <v>4.7360646624728548E-11</v>
      </c>
      <c r="Q102" s="2">
        <v>0.11</v>
      </c>
      <c r="R102" s="2">
        <f t="shared" si="33"/>
        <v>111000.00000000001</v>
      </c>
      <c r="S102" s="2">
        <f t="shared" si="34"/>
        <v>5.1398579432804297E-3</v>
      </c>
      <c r="T102" s="2">
        <v>0.06</v>
      </c>
      <c r="U102" s="2">
        <f t="shared" si="35"/>
        <v>106000</v>
      </c>
      <c r="V102" s="2">
        <f t="shared" si="40"/>
        <v>4.7589801980198017</v>
      </c>
      <c r="W102" s="2">
        <f t="shared" si="36"/>
        <v>5</v>
      </c>
      <c r="X102" s="12">
        <f t="shared" si="41"/>
        <v>1.8789727840119497E-7</v>
      </c>
      <c r="Y102" s="2">
        <f t="shared" si="37"/>
        <v>105693.21300330806</v>
      </c>
      <c r="Z102" s="12">
        <f t="shared" si="38"/>
        <v>9.1378507504706248E-15</v>
      </c>
      <c r="AA102" s="12">
        <f t="shared" si="39"/>
        <v>5502813721.9334106</v>
      </c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</row>
    <row r="103" spans="1:75" s="4" customFormat="1" x14ac:dyDescent="0.25">
      <c r="A103" s="1">
        <v>303</v>
      </c>
      <c r="B103" s="1">
        <f t="shared" si="24"/>
        <v>5.05</v>
      </c>
      <c r="C103" s="1">
        <v>20</v>
      </c>
      <c r="D103" s="1">
        <f t="shared" si="21"/>
        <v>29.146000000000001</v>
      </c>
      <c r="E103" s="1">
        <f t="shared" si="25"/>
        <v>4.8576666666666667E-7</v>
      </c>
      <c r="F103" s="1">
        <v>21.1</v>
      </c>
      <c r="G103" s="1">
        <f t="shared" si="26"/>
        <v>294.10000000000002</v>
      </c>
      <c r="H103" s="1">
        <v>101.3</v>
      </c>
      <c r="I103" s="1">
        <f t="shared" si="27"/>
        <v>101300</v>
      </c>
      <c r="J103" s="1">
        <f t="shared" si="28"/>
        <v>2.0124824921938581E-5</v>
      </c>
      <c r="K103" s="28">
        <v>45.267326732673268</v>
      </c>
      <c r="L103" s="1">
        <f t="shared" si="29"/>
        <v>4.5267326732673271E-5</v>
      </c>
      <c r="M103" s="1">
        <f t="shared" si="30"/>
        <v>4.7762865441819992E-3</v>
      </c>
      <c r="N103" s="64">
        <f t="shared" si="31"/>
        <v>1.907333273982329E-7</v>
      </c>
      <c r="O103" s="29">
        <f t="shared" si="32"/>
        <v>2.032E-3</v>
      </c>
      <c r="P103" s="29">
        <v>4.7360646624728548E-11</v>
      </c>
      <c r="Q103" s="2">
        <v>0.11</v>
      </c>
      <c r="R103" s="2">
        <f t="shared" si="33"/>
        <v>111000.00000000001</v>
      </c>
      <c r="S103" s="2">
        <f t="shared" si="34"/>
        <v>5.1398579432804297E-3</v>
      </c>
      <c r="T103" s="2">
        <v>0.06</v>
      </c>
      <c r="U103" s="2">
        <f t="shared" si="35"/>
        <v>106000</v>
      </c>
      <c r="V103" s="2">
        <f t="shared" si="40"/>
        <v>4.798336633663367</v>
      </c>
      <c r="W103" s="2">
        <f t="shared" si="36"/>
        <v>5</v>
      </c>
      <c r="X103" s="12">
        <f t="shared" si="41"/>
        <v>1.8967150286475886E-7</v>
      </c>
      <c r="Y103" s="2">
        <f t="shared" si="37"/>
        <v>105643.72301608526</v>
      </c>
      <c r="Z103" s="12">
        <f t="shared" si="38"/>
        <v>9.2284599031231698E-15</v>
      </c>
      <c r="AA103" s="12">
        <f t="shared" si="39"/>
        <v>5557378553.6607733</v>
      </c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</row>
    <row r="104" spans="1:75" s="4" customFormat="1" x14ac:dyDescent="0.25">
      <c r="A104" s="1">
        <v>306</v>
      </c>
      <c r="B104" s="1">
        <f t="shared" si="24"/>
        <v>5.0999999999999996</v>
      </c>
      <c r="C104" s="1">
        <v>20</v>
      </c>
      <c r="D104" s="1">
        <f t="shared" si="21"/>
        <v>29.146000000000001</v>
      </c>
      <c r="E104" s="1">
        <f t="shared" si="25"/>
        <v>4.8576666666666667E-7</v>
      </c>
      <c r="F104" s="1">
        <v>21.1</v>
      </c>
      <c r="G104" s="1">
        <f t="shared" si="26"/>
        <v>294.10000000000002</v>
      </c>
      <c r="H104" s="1">
        <v>101.3</v>
      </c>
      <c r="I104" s="1">
        <f t="shared" si="27"/>
        <v>101300</v>
      </c>
      <c r="J104" s="1">
        <f t="shared" si="28"/>
        <v>2.0124824921938581E-5</v>
      </c>
      <c r="K104" s="28">
        <v>42.173267326732677</v>
      </c>
      <c r="L104" s="1">
        <f t="shared" si="29"/>
        <v>4.2173267326732674E-5</v>
      </c>
      <c r="M104" s="1">
        <f t="shared" si="30"/>
        <v>4.7762865441819992E-3</v>
      </c>
      <c r="N104" s="64">
        <f t="shared" si="31"/>
        <v>1.7769654594330118E-7</v>
      </c>
      <c r="O104" s="29">
        <f t="shared" si="32"/>
        <v>2.032E-3</v>
      </c>
      <c r="P104" s="29">
        <v>4.7360646624728548E-11</v>
      </c>
      <c r="Q104" s="2">
        <v>0.11</v>
      </c>
      <c r="R104" s="2">
        <f t="shared" si="33"/>
        <v>111000.00000000001</v>
      </c>
      <c r="S104" s="2">
        <f t="shared" si="34"/>
        <v>5.1398579432804297E-3</v>
      </c>
      <c r="T104" s="2">
        <v>0.06</v>
      </c>
      <c r="U104" s="2">
        <f t="shared" si="35"/>
        <v>106000</v>
      </c>
      <c r="V104" s="2">
        <f t="shared" si="40"/>
        <v>4.4703663366336635</v>
      </c>
      <c r="W104" s="2">
        <f t="shared" si="36"/>
        <v>5</v>
      </c>
      <c r="X104" s="12">
        <f t="shared" si="41"/>
        <v>1.7485901175584615E-7</v>
      </c>
      <c r="Y104" s="2">
        <f t="shared" si="37"/>
        <v>106057.25623997001</v>
      </c>
      <c r="Z104" s="12">
        <f t="shared" si="38"/>
        <v>8.4745579583204273E-15</v>
      </c>
      <c r="AA104" s="12">
        <f t="shared" si="39"/>
        <v>5103378802.5005617</v>
      </c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</row>
    <row r="105" spans="1:75" s="4" customFormat="1" x14ac:dyDescent="0.25">
      <c r="A105" s="1">
        <v>309</v>
      </c>
      <c r="B105" s="1">
        <f t="shared" si="24"/>
        <v>5.15</v>
      </c>
      <c r="C105" s="1">
        <v>20</v>
      </c>
      <c r="D105" s="1">
        <f t="shared" si="21"/>
        <v>29.146000000000001</v>
      </c>
      <c r="E105" s="1">
        <f t="shared" si="25"/>
        <v>4.8576666666666667E-7</v>
      </c>
      <c r="F105" s="1">
        <v>21.1</v>
      </c>
      <c r="G105" s="1">
        <f t="shared" si="26"/>
        <v>294.10000000000002</v>
      </c>
      <c r="H105" s="1">
        <v>101.3</v>
      </c>
      <c r="I105" s="1">
        <f t="shared" si="27"/>
        <v>101300</v>
      </c>
      <c r="J105" s="1">
        <f t="shared" si="28"/>
        <v>2.0124824921938581E-5</v>
      </c>
      <c r="K105" s="28">
        <v>39.846534653465348</v>
      </c>
      <c r="L105" s="1">
        <f t="shared" si="29"/>
        <v>3.9846534653465344E-5</v>
      </c>
      <c r="M105" s="1">
        <f t="shared" si="30"/>
        <v>4.7762865441819992E-3</v>
      </c>
      <c r="N105" s="64">
        <f t="shared" si="31"/>
        <v>1.6789288628919252E-7</v>
      </c>
      <c r="O105" s="29">
        <f t="shared" si="32"/>
        <v>2.032E-3</v>
      </c>
      <c r="P105" s="29">
        <v>4.7360646624728548E-11</v>
      </c>
      <c r="Q105" s="2">
        <v>0.11</v>
      </c>
      <c r="R105" s="2">
        <f t="shared" si="33"/>
        <v>111000.00000000001</v>
      </c>
      <c r="S105" s="2">
        <f t="shared" si="34"/>
        <v>5.1398579432804297E-3</v>
      </c>
      <c r="T105" s="2">
        <v>0.06</v>
      </c>
      <c r="U105" s="2">
        <f t="shared" si="35"/>
        <v>106000</v>
      </c>
      <c r="V105" s="2">
        <f t="shared" si="40"/>
        <v>4.2237326732673264</v>
      </c>
      <c r="W105" s="2">
        <f t="shared" si="36"/>
        <v>5</v>
      </c>
      <c r="X105" s="12">
        <f t="shared" si="41"/>
        <v>1.6367667461217427E-7</v>
      </c>
      <c r="Y105" s="2">
        <f t="shared" si="37"/>
        <v>106369.97838779098</v>
      </c>
      <c r="Z105" s="12">
        <f t="shared" si="38"/>
        <v>7.9092642069139204E-15</v>
      </c>
      <c r="AA105" s="12">
        <f t="shared" si="39"/>
        <v>4762958905.4035635</v>
      </c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</row>
    <row r="106" spans="1:75" s="4" customFormat="1" x14ac:dyDescent="0.25">
      <c r="A106" s="1">
        <v>312</v>
      </c>
      <c r="B106" s="1">
        <f t="shared" si="24"/>
        <v>5.2</v>
      </c>
      <c r="C106" s="1">
        <v>20</v>
      </c>
      <c r="D106" s="1">
        <f t="shared" si="21"/>
        <v>29.146000000000001</v>
      </c>
      <c r="E106" s="1">
        <f t="shared" si="25"/>
        <v>4.8576666666666667E-7</v>
      </c>
      <c r="F106" s="1">
        <v>21.1</v>
      </c>
      <c r="G106" s="1">
        <f t="shared" si="26"/>
        <v>294.10000000000002</v>
      </c>
      <c r="H106" s="1">
        <v>101.3</v>
      </c>
      <c r="I106" s="1">
        <f t="shared" si="27"/>
        <v>101300</v>
      </c>
      <c r="J106" s="1">
        <f t="shared" si="28"/>
        <v>2.0124824921938581E-5</v>
      </c>
      <c r="K106" s="28">
        <v>41.133663366336634</v>
      </c>
      <c r="L106" s="1">
        <f t="shared" si="29"/>
        <v>4.1133663366336635E-5</v>
      </c>
      <c r="M106" s="1">
        <f t="shared" si="30"/>
        <v>4.7762865441819992E-3</v>
      </c>
      <c r="N106" s="64">
        <f t="shared" si="31"/>
        <v>1.7331618737444413E-7</v>
      </c>
      <c r="O106" s="29">
        <f t="shared" si="32"/>
        <v>2.032E-3</v>
      </c>
      <c r="P106" s="29">
        <v>4.7360646624728548E-11</v>
      </c>
      <c r="Q106" s="2">
        <v>0.11</v>
      </c>
      <c r="R106" s="2">
        <f t="shared" si="33"/>
        <v>111000.00000000001</v>
      </c>
      <c r="S106" s="2">
        <f t="shared" si="34"/>
        <v>5.1398579432804297E-3</v>
      </c>
      <c r="T106" s="2">
        <v>0.06</v>
      </c>
      <c r="U106" s="2">
        <f t="shared" si="35"/>
        <v>106000</v>
      </c>
      <c r="V106" s="2">
        <f t="shared" si="40"/>
        <v>4.3601683168316834</v>
      </c>
      <c r="W106" s="2">
        <f t="shared" si="36"/>
        <v>5</v>
      </c>
      <c r="X106" s="12">
        <f t="shared" si="41"/>
        <v>1.6986747525110538E-7</v>
      </c>
      <c r="Y106" s="2">
        <f t="shared" si="37"/>
        <v>106196.79128492804</v>
      </c>
      <c r="Z106" s="12">
        <f t="shared" si="38"/>
        <v>8.2218165908230294E-15</v>
      </c>
      <c r="AA106" s="12">
        <f t="shared" si="39"/>
        <v>4951177950.9936285</v>
      </c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</row>
    <row r="107" spans="1:75" s="4" customFormat="1" x14ac:dyDescent="0.25">
      <c r="A107" s="1">
        <v>315</v>
      </c>
      <c r="B107" s="1">
        <f t="shared" si="24"/>
        <v>5.25</v>
      </c>
      <c r="C107" s="1">
        <v>20</v>
      </c>
      <c r="D107" s="1">
        <f t="shared" si="21"/>
        <v>29.146000000000001</v>
      </c>
      <c r="E107" s="1">
        <f t="shared" si="25"/>
        <v>4.8576666666666667E-7</v>
      </c>
      <c r="F107" s="1">
        <v>21.1</v>
      </c>
      <c r="G107" s="1">
        <f t="shared" si="26"/>
        <v>294.10000000000002</v>
      </c>
      <c r="H107" s="1">
        <v>101.3</v>
      </c>
      <c r="I107" s="1">
        <f t="shared" si="27"/>
        <v>101300</v>
      </c>
      <c r="J107" s="1">
        <f t="shared" si="28"/>
        <v>2.0124824921938581E-5</v>
      </c>
      <c r="K107" s="28">
        <v>45.069306930693074</v>
      </c>
      <c r="L107" s="1">
        <f t="shared" si="29"/>
        <v>4.5069306930693072E-5</v>
      </c>
      <c r="M107" s="1">
        <f t="shared" si="30"/>
        <v>4.7762865441819992E-3</v>
      </c>
      <c r="N107" s="64">
        <f t="shared" si="31"/>
        <v>1.8989897338511725E-7</v>
      </c>
      <c r="O107" s="29">
        <f t="shared" si="32"/>
        <v>2.032E-3</v>
      </c>
      <c r="P107" s="29">
        <v>4.7360646624728548E-11</v>
      </c>
      <c r="Q107" s="2">
        <v>0.11</v>
      </c>
      <c r="R107" s="2">
        <f t="shared" si="33"/>
        <v>111000.00000000001</v>
      </c>
      <c r="S107" s="2">
        <f t="shared" si="34"/>
        <v>5.1398579432804297E-3</v>
      </c>
      <c r="T107" s="2">
        <v>0.06</v>
      </c>
      <c r="U107" s="2">
        <f t="shared" si="35"/>
        <v>106000</v>
      </c>
      <c r="V107" s="2">
        <f t="shared" si="40"/>
        <v>4.777346534653466</v>
      </c>
      <c r="W107" s="2">
        <f t="shared" si="36"/>
        <v>5</v>
      </c>
      <c r="X107" s="12">
        <f t="shared" si="41"/>
        <v>1.8872535735105399E-7</v>
      </c>
      <c r="Y107" s="2">
        <f t="shared" si="37"/>
        <v>105670.11323415682</v>
      </c>
      <c r="Z107" s="12">
        <f t="shared" si="38"/>
        <v>9.1801300675454785E-15</v>
      </c>
      <c r="AA107" s="12">
        <f t="shared" si="39"/>
        <v>5528274326.6758871</v>
      </c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</row>
    <row r="108" spans="1:75" s="4" customFormat="1" x14ac:dyDescent="0.25">
      <c r="A108" s="1">
        <v>318</v>
      </c>
      <c r="B108" s="1">
        <f t="shared" si="24"/>
        <v>5.3</v>
      </c>
      <c r="C108" s="1">
        <v>20</v>
      </c>
      <c r="D108" s="1">
        <f t="shared" si="21"/>
        <v>29.146000000000001</v>
      </c>
      <c r="E108" s="1">
        <f t="shared" si="25"/>
        <v>4.8576666666666667E-7</v>
      </c>
      <c r="F108" s="1">
        <v>21.1</v>
      </c>
      <c r="G108" s="1">
        <f t="shared" si="26"/>
        <v>294.10000000000002</v>
      </c>
      <c r="H108" s="1">
        <v>101.3</v>
      </c>
      <c r="I108" s="1">
        <f t="shared" si="27"/>
        <v>101300</v>
      </c>
      <c r="J108" s="1">
        <f t="shared" si="28"/>
        <v>2.0124824921938581E-5</v>
      </c>
      <c r="K108" s="28">
        <v>42.618811881188122</v>
      </c>
      <c r="L108" s="1">
        <f t="shared" si="29"/>
        <v>4.2618811881188124E-5</v>
      </c>
      <c r="M108" s="1">
        <f t="shared" si="30"/>
        <v>4.7762865441819992E-3</v>
      </c>
      <c r="N108" s="64">
        <f t="shared" si="31"/>
        <v>1.7957384247281136E-7</v>
      </c>
      <c r="O108" s="29">
        <f t="shared" si="32"/>
        <v>2.032E-3</v>
      </c>
      <c r="P108" s="29">
        <v>4.7360646624728548E-11</v>
      </c>
      <c r="Q108" s="2">
        <v>0.11</v>
      </c>
      <c r="R108" s="2">
        <f t="shared" si="33"/>
        <v>111000.00000000001</v>
      </c>
      <c r="S108" s="2">
        <f t="shared" si="34"/>
        <v>5.1398579432804297E-3</v>
      </c>
      <c r="T108" s="2">
        <v>0.06</v>
      </c>
      <c r="U108" s="2">
        <f t="shared" si="35"/>
        <v>106000</v>
      </c>
      <c r="V108" s="2">
        <f t="shared" si="40"/>
        <v>4.5175940594059414</v>
      </c>
      <c r="W108" s="2">
        <f t="shared" si="36"/>
        <v>5</v>
      </c>
      <c r="X108" s="12">
        <f t="shared" si="41"/>
        <v>1.769959334894356E-7</v>
      </c>
      <c r="Y108" s="2">
        <f t="shared" si="37"/>
        <v>105997.54807169781</v>
      </c>
      <c r="Z108" s="12">
        <f t="shared" si="38"/>
        <v>8.5829601302506291E-15</v>
      </c>
      <c r="AA108" s="12">
        <f t="shared" si="39"/>
        <v>5168658590.4369287</v>
      </c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</row>
    <row r="109" spans="1:75" s="4" customFormat="1" x14ac:dyDescent="0.25">
      <c r="A109" s="1">
        <v>321</v>
      </c>
      <c r="B109" s="1">
        <f t="shared" si="24"/>
        <v>5.35</v>
      </c>
      <c r="C109" s="1">
        <v>20</v>
      </c>
      <c r="D109" s="1">
        <f t="shared" si="21"/>
        <v>29.146000000000001</v>
      </c>
      <c r="E109" s="1">
        <f t="shared" si="25"/>
        <v>4.8576666666666667E-7</v>
      </c>
      <c r="F109" s="1">
        <v>21.1</v>
      </c>
      <c r="G109" s="1">
        <f t="shared" si="26"/>
        <v>294.10000000000002</v>
      </c>
      <c r="H109" s="1">
        <v>101.3</v>
      </c>
      <c r="I109" s="1">
        <f t="shared" si="27"/>
        <v>101300</v>
      </c>
      <c r="J109" s="1">
        <f t="shared" si="28"/>
        <v>2.0124824921938581E-5</v>
      </c>
      <c r="K109" s="28">
        <v>46.702970297029708</v>
      </c>
      <c r="L109" s="1">
        <f t="shared" si="29"/>
        <v>4.6702970297029709E-5</v>
      </c>
      <c r="M109" s="1">
        <f t="shared" si="30"/>
        <v>4.7762865441819992E-3</v>
      </c>
      <c r="N109" s="64">
        <f t="shared" si="31"/>
        <v>1.9678239399332125E-7</v>
      </c>
      <c r="O109" s="29">
        <f t="shared" si="32"/>
        <v>2.032E-3</v>
      </c>
      <c r="P109" s="29">
        <v>4.7360646624728548E-11</v>
      </c>
      <c r="Q109" s="2">
        <v>0.11</v>
      </c>
      <c r="R109" s="2">
        <f t="shared" si="33"/>
        <v>111000.00000000001</v>
      </c>
      <c r="S109" s="2">
        <f t="shared" si="34"/>
        <v>5.1398579432804297E-3</v>
      </c>
      <c r="T109" s="2">
        <v>0.06</v>
      </c>
      <c r="U109" s="2">
        <f t="shared" si="35"/>
        <v>106000</v>
      </c>
      <c r="V109" s="2">
        <f t="shared" si="40"/>
        <v>4.9505148514851491</v>
      </c>
      <c r="W109" s="2">
        <f t="shared" si="36"/>
        <v>5</v>
      </c>
      <c r="X109" s="12">
        <f t="shared" si="41"/>
        <v>1.9652385124185862E-7</v>
      </c>
      <c r="Y109" s="2">
        <f t="shared" si="37"/>
        <v>105452.69331389409</v>
      </c>
      <c r="Z109" s="12">
        <f t="shared" si="38"/>
        <v>9.5791967759285182E-15</v>
      </c>
      <c r="AA109" s="12">
        <f t="shared" si="39"/>
        <v>5768592298.4641542</v>
      </c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</row>
    <row r="110" spans="1:75" s="4" customFormat="1" x14ac:dyDescent="0.25">
      <c r="A110" s="1">
        <v>324</v>
      </c>
      <c r="B110" s="1">
        <f t="shared" si="24"/>
        <v>5.4</v>
      </c>
      <c r="C110" s="1">
        <v>20</v>
      </c>
      <c r="D110" s="1">
        <f t="shared" si="21"/>
        <v>29.146000000000001</v>
      </c>
      <c r="E110" s="1">
        <f t="shared" si="25"/>
        <v>4.8576666666666667E-7</v>
      </c>
      <c r="F110" s="1">
        <v>21.1</v>
      </c>
      <c r="G110" s="1">
        <f t="shared" si="26"/>
        <v>294.10000000000002</v>
      </c>
      <c r="H110" s="1">
        <v>101.3</v>
      </c>
      <c r="I110" s="1">
        <f t="shared" si="27"/>
        <v>101300</v>
      </c>
      <c r="J110" s="1">
        <f t="shared" si="28"/>
        <v>2.0124824921938581E-5</v>
      </c>
      <c r="K110" s="28">
        <v>41.504950495049506</v>
      </c>
      <c r="L110" s="1">
        <f t="shared" si="29"/>
        <v>4.1504950495049504E-5</v>
      </c>
      <c r="M110" s="1">
        <f t="shared" si="30"/>
        <v>4.7762865441819992E-3</v>
      </c>
      <c r="N110" s="64">
        <f t="shared" si="31"/>
        <v>1.7488060114903592E-7</v>
      </c>
      <c r="O110" s="29">
        <f t="shared" si="32"/>
        <v>2.032E-3</v>
      </c>
      <c r="P110" s="29">
        <v>4.7360646624728548E-11</v>
      </c>
      <c r="Q110" s="2">
        <v>0.11</v>
      </c>
      <c r="R110" s="2">
        <f t="shared" si="33"/>
        <v>111000.00000000001</v>
      </c>
      <c r="S110" s="2">
        <f t="shared" si="34"/>
        <v>5.1398579432804297E-3</v>
      </c>
      <c r="T110" s="2">
        <v>0.06</v>
      </c>
      <c r="U110" s="2">
        <f t="shared" si="35"/>
        <v>106000</v>
      </c>
      <c r="V110" s="2">
        <f t="shared" si="40"/>
        <v>4.399524752475247</v>
      </c>
      <c r="W110" s="2">
        <f t="shared" si="36"/>
        <v>5</v>
      </c>
      <c r="X110" s="12">
        <f t="shared" si="41"/>
        <v>1.7165104399985808E-7</v>
      </c>
      <c r="Y110" s="2">
        <f t="shared" si="37"/>
        <v>106146.92228793075</v>
      </c>
      <c r="Z110" s="12">
        <f t="shared" si="38"/>
        <v>8.3120502415749354E-15</v>
      </c>
      <c r="AA110" s="12">
        <f t="shared" si="39"/>
        <v>5005516655.4764261</v>
      </c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</row>
    <row r="111" spans="1:75" s="4" customFormat="1" x14ac:dyDescent="0.25">
      <c r="A111" s="1">
        <v>327</v>
      </c>
      <c r="B111" s="1">
        <f t="shared" si="24"/>
        <v>5.45</v>
      </c>
      <c r="C111" s="1">
        <v>20</v>
      </c>
      <c r="D111" s="1">
        <f t="shared" si="21"/>
        <v>29.146000000000001</v>
      </c>
      <c r="E111" s="1">
        <f t="shared" si="25"/>
        <v>4.8576666666666667E-7</v>
      </c>
      <c r="F111" s="1">
        <v>21.1</v>
      </c>
      <c r="G111" s="1">
        <f t="shared" si="26"/>
        <v>294.10000000000002</v>
      </c>
      <c r="H111" s="1">
        <v>101.3</v>
      </c>
      <c r="I111" s="1">
        <f t="shared" si="27"/>
        <v>101300</v>
      </c>
      <c r="J111" s="1">
        <f t="shared" si="28"/>
        <v>2.0124824921938581E-5</v>
      </c>
      <c r="K111" s="28">
        <v>45.589108910891092</v>
      </c>
      <c r="L111" s="1">
        <f t="shared" si="29"/>
        <v>4.5589108910891089E-5</v>
      </c>
      <c r="M111" s="1">
        <f t="shared" si="30"/>
        <v>4.7762865441819992E-3</v>
      </c>
      <c r="N111" s="64">
        <f t="shared" si="31"/>
        <v>1.9208915266954576E-7</v>
      </c>
      <c r="O111" s="29">
        <f t="shared" si="32"/>
        <v>2.032E-3</v>
      </c>
      <c r="P111" s="29">
        <v>4.7360646624728548E-11</v>
      </c>
      <c r="Q111" s="2">
        <v>0.11</v>
      </c>
      <c r="R111" s="2">
        <f t="shared" si="33"/>
        <v>111000.00000000001</v>
      </c>
      <c r="S111" s="2">
        <f t="shared" si="34"/>
        <v>5.1398579432804297E-3</v>
      </c>
      <c r="T111" s="2">
        <v>0.06</v>
      </c>
      <c r="U111" s="2">
        <f t="shared" si="35"/>
        <v>106000</v>
      </c>
      <c r="V111" s="2">
        <f t="shared" si="40"/>
        <v>4.8324455445544556</v>
      </c>
      <c r="W111" s="2">
        <f t="shared" si="36"/>
        <v>5</v>
      </c>
      <c r="X111" s="12">
        <f t="shared" si="41"/>
        <v>1.9120846910022253E-7</v>
      </c>
      <c r="Y111" s="2">
        <f t="shared" si="37"/>
        <v>105600.86044742282</v>
      </c>
      <c r="Z111" s="12">
        <f t="shared" si="38"/>
        <v>9.3070202291111576E-15</v>
      </c>
      <c r="AA111" s="12">
        <f t="shared" si="39"/>
        <v>5604687581.9707394</v>
      </c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</row>
    <row r="112" spans="1:75" s="4" customFormat="1" x14ac:dyDescent="0.25">
      <c r="A112" s="1">
        <v>330</v>
      </c>
      <c r="B112" s="1">
        <f t="shared" si="24"/>
        <v>5.5</v>
      </c>
      <c r="C112" s="1">
        <v>20</v>
      </c>
      <c r="D112" s="1">
        <f t="shared" si="21"/>
        <v>29.146000000000001</v>
      </c>
      <c r="E112" s="1">
        <f t="shared" si="25"/>
        <v>4.8576666666666667E-7</v>
      </c>
      <c r="F112" s="1">
        <v>21.1</v>
      </c>
      <c r="G112" s="1">
        <f t="shared" si="26"/>
        <v>294.10000000000002</v>
      </c>
      <c r="H112" s="1">
        <v>101.3</v>
      </c>
      <c r="I112" s="1">
        <f t="shared" si="27"/>
        <v>101300</v>
      </c>
      <c r="J112" s="1">
        <f t="shared" si="28"/>
        <v>2.0124824921938581E-5</v>
      </c>
      <c r="K112" s="28">
        <v>42.445544554455452</v>
      </c>
      <c r="L112" s="1">
        <f t="shared" si="29"/>
        <v>4.2445544554455454E-5</v>
      </c>
      <c r="M112" s="1">
        <f t="shared" si="30"/>
        <v>4.7762865441819992E-3</v>
      </c>
      <c r="N112" s="64">
        <f t="shared" si="31"/>
        <v>1.7884378271133519E-7</v>
      </c>
      <c r="O112" s="29">
        <f t="shared" si="32"/>
        <v>2.032E-3</v>
      </c>
      <c r="P112" s="29">
        <v>4.7360646624728548E-11</v>
      </c>
      <c r="Q112" s="2">
        <v>0.11</v>
      </c>
      <c r="R112" s="2">
        <f t="shared" si="33"/>
        <v>111000.00000000001</v>
      </c>
      <c r="S112" s="2">
        <f t="shared" si="34"/>
        <v>5.1398579432804297E-3</v>
      </c>
      <c r="T112" s="2">
        <v>0.06</v>
      </c>
      <c r="U112" s="2">
        <f t="shared" si="35"/>
        <v>106000</v>
      </c>
      <c r="V112" s="2">
        <f t="shared" si="40"/>
        <v>4.4992277227722779</v>
      </c>
      <c r="W112" s="2">
        <f t="shared" si="36"/>
        <v>5</v>
      </c>
      <c r="X112" s="12">
        <f t="shared" si="41"/>
        <v>1.7616507038283325E-7</v>
      </c>
      <c r="Y112" s="2">
        <f t="shared" si="37"/>
        <v>106020.76139052324</v>
      </c>
      <c r="Z112" s="12">
        <f t="shared" si="38"/>
        <v>8.5407975895746595E-15</v>
      </c>
      <c r="AA112" s="12">
        <f t="shared" si="39"/>
        <v>5143268308.4418602</v>
      </c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</row>
    <row r="113" spans="1:75" s="4" customFormat="1" x14ac:dyDescent="0.25">
      <c r="A113" s="1">
        <v>333</v>
      </c>
      <c r="B113" s="1">
        <f t="shared" si="24"/>
        <v>5.55</v>
      </c>
      <c r="C113" s="1">
        <v>20</v>
      </c>
      <c r="D113" s="1">
        <f t="shared" si="21"/>
        <v>29.146000000000001</v>
      </c>
      <c r="E113" s="1">
        <f t="shared" si="25"/>
        <v>4.8576666666666667E-7</v>
      </c>
      <c r="F113" s="1">
        <v>21.1</v>
      </c>
      <c r="G113" s="1">
        <f t="shared" si="26"/>
        <v>294.10000000000002</v>
      </c>
      <c r="H113" s="1">
        <v>101.3</v>
      </c>
      <c r="I113" s="1">
        <f t="shared" si="27"/>
        <v>101300</v>
      </c>
      <c r="J113" s="1">
        <f t="shared" si="28"/>
        <v>2.0124824921938581E-5</v>
      </c>
      <c r="K113" s="28">
        <v>43.435643564356432</v>
      </c>
      <c r="L113" s="1">
        <f t="shared" si="29"/>
        <v>4.3435643564356435E-5</v>
      </c>
      <c r="M113" s="1">
        <f t="shared" si="30"/>
        <v>4.7762865441819992E-3</v>
      </c>
      <c r="N113" s="64">
        <f t="shared" si="31"/>
        <v>1.830155527769133E-7</v>
      </c>
      <c r="O113" s="29">
        <f t="shared" si="32"/>
        <v>2.032E-3</v>
      </c>
      <c r="P113" s="29">
        <v>4.7360646624728548E-11</v>
      </c>
      <c r="Q113" s="2">
        <v>0.11</v>
      </c>
      <c r="R113" s="2">
        <f t="shared" si="33"/>
        <v>111000.00000000001</v>
      </c>
      <c r="S113" s="2">
        <f t="shared" si="34"/>
        <v>5.1398579432804297E-3</v>
      </c>
      <c r="T113" s="2">
        <v>0.06</v>
      </c>
      <c r="U113" s="2">
        <f t="shared" si="35"/>
        <v>106000</v>
      </c>
      <c r="V113" s="2">
        <f t="shared" si="40"/>
        <v>4.604178217821782</v>
      </c>
      <c r="W113" s="2">
        <f t="shared" si="36"/>
        <v>5</v>
      </c>
      <c r="X113" s="12">
        <f t="shared" si="41"/>
        <v>1.8091012293470495E-7</v>
      </c>
      <c r="Y113" s="2">
        <f t="shared" si="37"/>
        <v>105888.22450218177</v>
      </c>
      <c r="Z113" s="12">
        <f t="shared" si="38"/>
        <v>8.7818335786100329E-15</v>
      </c>
      <c r="AA113" s="12">
        <f t="shared" si="39"/>
        <v>5288420181.0389624</v>
      </c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</row>
    <row r="114" spans="1:75" s="4" customFormat="1" x14ac:dyDescent="0.25">
      <c r="A114" s="1">
        <v>336</v>
      </c>
      <c r="B114" s="1">
        <f t="shared" si="24"/>
        <v>5.6</v>
      </c>
      <c r="C114" s="1">
        <v>20</v>
      </c>
      <c r="D114" s="1">
        <f t="shared" si="21"/>
        <v>29.146000000000001</v>
      </c>
      <c r="E114" s="1">
        <f t="shared" si="25"/>
        <v>4.8576666666666667E-7</v>
      </c>
      <c r="F114" s="1">
        <v>21.1</v>
      </c>
      <c r="G114" s="1">
        <f t="shared" si="26"/>
        <v>294.10000000000002</v>
      </c>
      <c r="H114" s="1">
        <v>101.3</v>
      </c>
      <c r="I114" s="1">
        <f t="shared" si="27"/>
        <v>101300</v>
      </c>
      <c r="J114" s="1">
        <f t="shared" si="28"/>
        <v>2.0124824921938581E-5</v>
      </c>
      <c r="K114" s="28">
        <v>41.009900990099013</v>
      </c>
      <c r="L114" s="1">
        <f t="shared" si="29"/>
        <v>4.1009900990099009E-5</v>
      </c>
      <c r="M114" s="1">
        <f t="shared" si="30"/>
        <v>4.7762865441819992E-3</v>
      </c>
      <c r="N114" s="64">
        <f t="shared" si="31"/>
        <v>1.7279471611624684E-7</v>
      </c>
      <c r="O114" s="29">
        <f t="shared" si="32"/>
        <v>2.032E-3</v>
      </c>
      <c r="P114" s="29">
        <v>4.7360646624728548E-11</v>
      </c>
      <c r="Q114" s="2">
        <v>0.11</v>
      </c>
      <c r="R114" s="2">
        <f t="shared" si="33"/>
        <v>111000.00000000001</v>
      </c>
      <c r="S114" s="2">
        <f t="shared" si="34"/>
        <v>5.1398579432804297E-3</v>
      </c>
      <c r="T114" s="2">
        <v>0.06</v>
      </c>
      <c r="U114" s="2">
        <f t="shared" si="35"/>
        <v>106000</v>
      </c>
      <c r="V114" s="2">
        <f t="shared" si="40"/>
        <v>4.3470495049504949</v>
      </c>
      <c r="W114" s="2">
        <f t="shared" si="36"/>
        <v>5</v>
      </c>
      <c r="X114" s="12">
        <f t="shared" si="41"/>
        <v>1.6927273270167089E-7</v>
      </c>
      <c r="Y114" s="2">
        <f t="shared" si="37"/>
        <v>106213.42302873549</v>
      </c>
      <c r="Z114" s="12">
        <f t="shared" si="38"/>
        <v>8.1917462489515144E-15</v>
      </c>
      <c r="AA114" s="12">
        <f t="shared" si="39"/>
        <v>4933069591.1186018</v>
      </c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</row>
    <row r="115" spans="1:75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2"/>
      <c r="L115" s="1"/>
      <c r="M115" s="1"/>
      <c r="N115" s="29"/>
      <c r="O115" s="29"/>
      <c r="P115" s="29"/>
      <c r="Q115" s="2"/>
      <c r="R115" s="5"/>
      <c r="S115" s="2"/>
      <c r="T115" s="2"/>
      <c r="U115" s="2"/>
      <c r="V115" s="2"/>
      <c r="W115" s="2"/>
      <c r="X115" s="2"/>
      <c r="Y115" s="2"/>
      <c r="Z115" s="3"/>
      <c r="AA115" s="3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</row>
    <row r="116" spans="1:75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2"/>
      <c r="L116" s="1"/>
      <c r="M116" s="1"/>
      <c r="N116" s="29"/>
      <c r="O116" s="29"/>
      <c r="P116" s="29"/>
      <c r="Q116" s="2"/>
      <c r="R116" s="5"/>
      <c r="S116" s="2"/>
      <c r="T116" s="2"/>
      <c r="U116" s="2"/>
      <c r="V116" s="2"/>
      <c r="W116" s="2"/>
      <c r="X116" s="2"/>
      <c r="Y116" s="2"/>
      <c r="Z116" s="3"/>
      <c r="AA116" s="3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</row>
    <row r="117" spans="1:75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2"/>
      <c r="L117" s="1"/>
      <c r="M117" s="1"/>
      <c r="N117" s="29"/>
      <c r="O117" s="29"/>
      <c r="P117" s="29"/>
      <c r="Q117" s="2"/>
      <c r="R117" s="5"/>
      <c r="S117" s="2"/>
      <c r="T117" s="2"/>
      <c r="U117" s="2"/>
      <c r="V117" s="2"/>
      <c r="W117" s="2"/>
      <c r="X117" s="2"/>
      <c r="Y117" s="2"/>
      <c r="Z117" s="3"/>
      <c r="AA117" s="3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</row>
    <row r="118" spans="1:75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2"/>
      <c r="L118" s="1"/>
      <c r="M118" s="1"/>
      <c r="N118" s="29"/>
      <c r="O118" s="29"/>
      <c r="P118" s="29"/>
      <c r="Q118" s="2"/>
      <c r="R118" s="5"/>
      <c r="S118" s="2"/>
      <c r="T118" s="2"/>
      <c r="U118" s="2"/>
      <c r="V118" s="2"/>
      <c r="W118" s="2"/>
      <c r="X118" s="2"/>
      <c r="Y118" s="2"/>
      <c r="Z118" s="3"/>
      <c r="AA118" s="3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</row>
    <row r="119" spans="1:75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2"/>
      <c r="L119" s="1"/>
      <c r="M119" s="1"/>
      <c r="N119" s="29"/>
      <c r="O119" s="29"/>
      <c r="P119" s="29"/>
      <c r="Q119" s="2"/>
      <c r="R119" s="5"/>
      <c r="S119" s="2"/>
      <c r="T119" s="2"/>
      <c r="U119" s="2"/>
      <c r="V119" s="2"/>
      <c r="W119" s="2"/>
      <c r="X119" s="2"/>
      <c r="Y119" s="2"/>
      <c r="Z119" s="45">
        <f>AVERAGE(Z46:Z114)</f>
        <v>8.6473342940878031E-15</v>
      </c>
      <c r="AA119" s="45">
        <f>AVERAGE(AA46:AA114)</f>
        <v>5207424711.8996754</v>
      </c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</row>
    <row r="120" spans="1:75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2"/>
      <c r="L120" s="1"/>
      <c r="M120" s="1"/>
      <c r="N120" s="29"/>
      <c r="O120" s="29"/>
      <c r="P120" s="29"/>
      <c r="Q120" s="2"/>
      <c r="R120" s="5"/>
      <c r="S120" s="2"/>
      <c r="T120" s="2"/>
      <c r="U120" s="2"/>
      <c r="V120" s="2"/>
      <c r="W120" s="34"/>
      <c r="X120" s="34"/>
      <c r="Y120" s="34"/>
      <c r="Z120" s="13"/>
      <c r="AA120" s="13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</row>
    <row r="121" spans="1:75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2"/>
      <c r="L121" s="1"/>
      <c r="M121" s="1"/>
      <c r="N121" s="29"/>
      <c r="O121" s="29"/>
      <c r="P121" s="29"/>
      <c r="Q121" s="2"/>
      <c r="R121" s="5"/>
      <c r="S121" s="2"/>
      <c r="T121" s="2"/>
      <c r="U121" s="2"/>
      <c r="V121" s="2"/>
      <c r="W121" s="34"/>
      <c r="X121" s="34"/>
      <c r="Y121" s="34"/>
      <c r="Z121" s="13"/>
      <c r="AA121" s="13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</row>
    <row r="122" spans="1:75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2"/>
      <c r="L122" s="1"/>
      <c r="M122" s="1"/>
      <c r="N122" s="29"/>
      <c r="O122" s="29"/>
      <c r="P122" s="29"/>
      <c r="Q122" s="2"/>
      <c r="R122" s="5"/>
      <c r="S122" s="2"/>
      <c r="T122" s="2"/>
      <c r="U122" s="2"/>
      <c r="V122" s="2"/>
      <c r="W122" s="34"/>
      <c r="X122" s="34"/>
      <c r="Y122" s="34"/>
      <c r="Z122" s="13"/>
      <c r="AA122" s="13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</row>
    <row r="123" spans="1:75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2"/>
      <c r="L123" s="1"/>
      <c r="M123" s="1"/>
      <c r="N123" s="29"/>
      <c r="O123" s="29"/>
      <c r="P123" s="29"/>
      <c r="Q123" s="2"/>
      <c r="R123" s="5"/>
      <c r="S123" s="2"/>
      <c r="T123" s="2"/>
      <c r="U123" s="2"/>
      <c r="V123" s="2"/>
      <c r="W123" s="34"/>
      <c r="X123" s="34"/>
      <c r="Y123" s="34"/>
      <c r="Z123" s="13"/>
      <c r="AA123" s="13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</row>
    <row r="124" spans="1:75" s="40" customForma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6"/>
      <c r="L124" s="35"/>
      <c r="M124" s="35"/>
      <c r="N124" s="37"/>
      <c r="O124" s="37"/>
      <c r="P124" s="37"/>
      <c r="Q124" s="38"/>
      <c r="R124" s="39"/>
      <c r="S124" s="38"/>
      <c r="T124" s="38"/>
      <c r="U124" s="38"/>
      <c r="V124" s="38"/>
      <c r="W124" s="34"/>
      <c r="X124" s="34"/>
      <c r="Y124" s="34"/>
      <c r="Z124" s="13"/>
      <c r="AA124" s="13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</row>
    <row r="125" spans="1:75" s="8" customForma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41"/>
      <c r="L125" s="30"/>
      <c r="M125" s="30"/>
      <c r="N125" s="42"/>
      <c r="O125" s="42"/>
      <c r="P125" s="42"/>
      <c r="Q125" s="34"/>
      <c r="R125" s="11"/>
      <c r="S125" s="34"/>
      <c r="T125" s="34"/>
      <c r="U125" s="34"/>
      <c r="V125" s="34"/>
      <c r="W125" s="34"/>
      <c r="X125" s="34"/>
      <c r="Y125" s="34"/>
      <c r="Z125" s="13"/>
      <c r="AA125" s="13"/>
    </row>
    <row r="126" spans="1:75" s="8" customForma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41"/>
      <c r="L126" s="30"/>
      <c r="M126" s="30"/>
      <c r="N126" s="42"/>
      <c r="O126" s="42"/>
      <c r="P126" s="42"/>
      <c r="Q126" s="34"/>
      <c r="R126" s="11"/>
      <c r="S126" s="34"/>
      <c r="T126" s="34"/>
      <c r="U126" s="34"/>
      <c r="V126" s="34"/>
      <c r="W126" s="34"/>
      <c r="X126" s="34"/>
      <c r="Y126" s="34"/>
      <c r="Z126" s="13"/>
      <c r="AA126" s="13"/>
    </row>
    <row r="127" spans="1:75" s="8" customForma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41"/>
      <c r="L127" s="30"/>
      <c r="M127" s="30"/>
      <c r="N127" s="42"/>
      <c r="O127" s="42"/>
      <c r="P127" s="42"/>
      <c r="Q127" s="34"/>
      <c r="R127" s="11"/>
      <c r="S127" s="34"/>
      <c r="T127" s="34"/>
      <c r="U127" s="34"/>
      <c r="V127" s="34"/>
      <c r="W127" s="34"/>
      <c r="X127" s="34"/>
      <c r="Y127" s="34"/>
      <c r="Z127" s="13"/>
      <c r="AA127" s="13"/>
    </row>
    <row r="128" spans="1:75" s="8" customForma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41"/>
      <c r="L128" s="30"/>
      <c r="M128" s="30"/>
      <c r="N128" s="42"/>
      <c r="O128" s="42"/>
      <c r="P128" s="42"/>
      <c r="Q128" s="34"/>
      <c r="R128" s="11"/>
      <c r="S128" s="34"/>
      <c r="T128" s="34"/>
      <c r="U128" s="34"/>
      <c r="V128" s="34"/>
      <c r="W128" s="34"/>
      <c r="X128" s="34"/>
      <c r="Y128" s="34"/>
      <c r="Z128" s="13"/>
      <c r="AA128" s="13"/>
    </row>
    <row r="129" spans="1:27" s="8" customForma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41"/>
      <c r="L129" s="30"/>
      <c r="M129" s="30"/>
      <c r="N129" s="42"/>
      <c r="O129" s="42"/>
      <c r="P129" s="42"/>
      <c r="Q129" s="34"/>
      <c r="R129" s="11"/>
      <c r="S129" s="34"/>
      <c r="T129" s="34"/>
      <c r="U129" s="34"/>
      <c r="V129" s="34"/>
      <c r="W129" s="34"/>
      <c r="X129" s="34"/>
      <c r="Y129" s="34"/>
      <c r="Z129" s="13"/>
      <c r="AA129" s="13"/>
    </row>
    <row r="130" spans="1:27" s="8" customForma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41"/>
      <c r="L130" s="30"/>
      <c r="M130" s="30"/>
      <c r="N130" s="42"/>
      <c r="O130" s="42"/>
      <c r="P130" s="42"/>
      <c r="Q130" s="34"/>
      <c r="R130" s="11"/>
      <c r="S130" s="34"/>
      <c r="T130" s="34"/>
      <c r="U130" s="34"/>
      <c r="V130" s="34"/>
      <c r="W130" s="34"/>
      <c r="X130" s="34"/>
      <c r="Y130" s="34"/>
      <c r="Z130" s="13"/>
      <c r="AA130" s="13"/>
    </row>
    <row r="131" spans="1:27" s="8" customForma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41"/>
      <c r="L131" s="30"/>
      <c r="M131" s="30"/>
      <c r="N131" s="42"/>
      <c r="O131" s="42"/>
      <c r="P131" s="42"/>
      <c r="Q131" s="34"/>
      <c r="R131" s="11"/>
      <c r="S131" s="34"/>
      <c r="T131" s="34"/>
      <c r="U131" s="34"/>
      <c r="V131" s="34"/>
      <c r="W131" s="34"/>
      <c r="X131" s="34"/>
      <c r="Y131" s="34"/>
      <c r="Z131" s="13"/>
      <c r="AA131" s="13"/>
    </row>
    <row r="132" spans="1:27" s="8" customForma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41"/>
      <c r="L132" s="30"/>
      <c r="M132" s="30"/>
      <c r="N132" s="42"/>
      <c r="O132" s="42"/>
      <c r="P132" s="42"/>
      <c r="Q132" s="34"/>
      <c r="R132" s="11"/>
      <c r="S132" s="34"/>
      <c r="T132" s="34"/>
      <c r="U132" s="34"/>
      <c r="V132" s="34"/>
      <c r="W132" s="34"/>
      <c r="X132" s="34"/>
      <c r="Y132" s="34"/>
      <c r="Z132" s="13"/>
      <c r="AA132" s="13"/>
    </row>
    <row r="133" spans="1:27" s="8" customForma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41"/>
      <c r="L133" s="30"/>
      <c r="M133" s="30"/>
      <c r="N133" s="42"/>
      <c r="O133" s="42"/>
      <c r="P133" s="42"/>
      <c r="Q133" s="34"/>
      <c r="R133" s="11"/>
      <c r="S133" s="34"/>
      <c r="T133" s="34"/>
      <c r="U133" s="34"/>
      <c r="V133" s="34"/>
      <c r="W133" s="34"/>
      <c r="X133" s="34"/>
      <c r="Y133" s="34"/>
      <c r="Z133" s="13"/>
      <c r="AA133" s="13"/>
    </row>
    <row r="134" spans="1:27" s="8" customForma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41"/>
      <c r="L134" s="30"/>
      <c r="M134" s="30"/>
      <c r="N134" s="42"/>
      <c r="O134" s="42"/>
      <c r="P134" s="42"/>
      <c r="Q134" s="34"/>
      <c r="R134" s="11"/>
      <c r="S134" s="34"/>
      <c r="T134" s="34"/>
      <c r="U134" s="34"/>
      <c r="V134" s="34"/>
      <c r="W134" s="34"/>
      <c r="X134" s="34"/>
      <c r="Y134" s="34"/>
      <c r="Z134" s="13"/>
      <c r="AA134" s="13"/>
    </row>
    <row r="135" spans="1:27" s="8" customForma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41"/>
      <c r="L135" s="30"/>
      <c r="M135" s="30"/>
      <c r="N135" s="42"/>
      <c r="O135" s="42"/>
      <c r="P135" s="42"/>
      <c r="Q135" s="34"/>
      <c r="R135" s="11"/>
      <c r="S135" s="34"/>
      <c r="T135" s="34"/>
      <c r="U135" s="34"/>
      <c r="V135" s="34"/>
      <c r="W135" s="34"/>
      <c r="X135" s="34"/>
      <c r="Y135" s="34"/>
      <c r="Z135" s="13"/>
      <c r="AA135" s="13"/>
    </row>
    <row r="136" spans="1:27" s="8" customForma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41"/>
      <c r="L136" s="30"/>
      <c r="M136" s="30"/>
      <c r="N136" s="42"/>
      <c r="O136" s="42"/>
      <c r="P136" s="42"/>
      <c r="Q136" s="34"/>
      <c r="R136" s="11"/>
      <c r="S136" s="34"/>
      <c r="T136" s="34"/>
      <c r="U136" s="34"/>
      <c r="V136" s="34"/>
      <c r="W136" s="34"/>
      <c r="X136" s="34"/>
      <c r="Y136" s="34"/>
      <c r="Z136" s="13"/>
      <c r="AA136" s="13"/>
    </row>
    <row r="137" spans="1:27" s="8" customForma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41"/>
      <c r="L137" s="30"/>
      <c r="M137" s="30"/>
      <c r="N137" s="42"/>
      <c r="O137" s="42"/>
      <c r="P137" s="42"/>
      <c r="Q137" s="34"/>
      <c r="R137" s="11"/>
      <c r="S137" s="34"/>
      <c r="T137" s="34"/>
      <c r="U137" s="34"/>
      <c r="V137" s="34"/>
      <c r="W137" s="34"/>
      <c r="X137" s="34"/>
      <c r="Y137" s="34"/>
      <c r="Z137" s="13"/>
      <c r="AA137" s="13"/>
    </row>
    <row r="138" spans="1:27" s="8" customForma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41"/>
      <c r="L138" s="30"/>
      <c r="M138" s="30"/>
      <c r="N138" s="42"/>
      <c r="O138" s="42"/>
      <c r="P138" s="42"/>
      <c r="Q138" s="34"/>
      <c r="R138" s="11"/>
      <c r="S138" s="34"/>
      <c r="T138" s="34"/>
      <c r="U138" s="34"/>
      <c r="V138" s="34"/>
      <c r="W138" s="34"/>
      <c r="X138" s="34"/>
      <c r="Y138" s="34"/>
      <c r="Z138" s="13"/>
      <c r="AA138" s="13"/>
    </row>
    <row r="139" spans="1:27" s="8" customForma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41"/>
      <c r="L139" s="30"/>
      <c r="M139" s="30"/>
      <c r="N139" s="42"/>
      <c r="O139" s="42"/>
      <c r="P139" s="42"/>
      <c r="Q139" s="34"/>
      <c r="R139" s="11"/>
      <c r="S139" s="34"/>
      <c r="T139" s="34"/>
      <c r="U139" s="34"/>
      <c r="V139" s="34"/>
      <c r="W139" s="34"/>
      <c r="X139" s="34"/>
      <c r="Y139" s="34"/>
      <c r="Z139" s="13"/>
      <c r="AA139" s="13"/>
    </row>
    <row r="140" spans="1:27" s="8" customForma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41"/>
      <c r="L140" s="30"/>
      <c r="M140" s="30"/>
      <c r="N140" s="42"/>
      <c r="O140" s="42"/>
      <c r="P140" s="42"/>
      <c r="Q140" s="34"/>
      <c r="R140" s="11"/>
      <c r="S140" s="34"/>
      <c r="T140" s="34"/>
      <c r="U140" s="34"/>
      <c r="V140" s="34"/>
      <c r="W140" s="34"/>
      <c r="X140" s="34"/>
      <c r="Y140" s="34"/>
      <c r="Z140" s="13"/>
      <c r="AA140" s="13"/>
    </row>
    <row r="141" spans="1:27" s="8" customForma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41"/>
      <c r="L141" s="30"/>
      <c r="M141" s="30"/>
      <c r="N141" s="42"/>
      <c r="O141" s="42"/>
      <c r="P141" s="42"/>
      <c r="Q141" s="34"/>
      <c r="R141" s="11"/>
      <c r="S141" s="34"/>
      <c r="T141" s="34"/>
      <c r="U141" s="34"/>
      <c r="V141" s="34"/>
      <c r="W141" s="34"/>
      <c r="X141" s="34"/>
      <c r="Y141" s="34"/>
      <c r="Z141" s="13"/>
      <c r="AA141" s="13"/>
    </row>
    <row r="142" spans="1:27" s="8" customForma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41"/>
      <c r="L142" s="30"/>
      <c r="M142" s="30"/>
      <c r="N142" s="42"/>
      <c r="O142" s="42"/>
      <c r="P142" s="42"/>
      <c r="Q142" s="34"/>
      <c r="R142" s="11"/>
      <c r="S142" s="34"/>
      <c r="T142" s="34"/>
      <c r="U142" s="34"/>
      <c r="V142" s="34"/>
      <c r="W142" s="34"/>
      <c r="X142" s="34"/>
      <c r="Y142" s="34"/>
      <c r="Z142" s="13"/>
      <c r="AA142" s="13"/>
    </row>
    <row r="143" spans="1:27" s="8" customForma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41"/>
      <c r="L143" s="30"/>
      <c r="M143" s="30"/>
      <c r="N143" s="42"/>
      <c r="O143" s="42"/>
      <c r="P143" s="42"/>
      <c r="Q143" s="34"/>
      <c r="R143" s="11"/>
      <c r="S143" s="34"/>
      <c r="T143" s="34"/>
      <c r="U143" s="34"/>
      <c r="V143" s="34"/>
      <c r="W143" s="34"/>
      <c r="X143" s="34"/>
      <c r="Y143" s="34"/>
      <c r="Z143" s="13"/>
      <c r="AA143" s="13"/>
    </row>
    <row r="144" spans="1:27" s="8" customForma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41"/>
      <c r="L144" s="30"/>
      <c r="M144" s="30"/>
      <c r="N144" s="42"/>
      <c r="O144" s="42"/>
      <c r="P144" s="42"/>
      <c r="Q144" s="34"/>
      <c r="R144" s="11"/>
      <c r="S144" s="34"/>
      <c r="T144" s="34"/>
      <c r="U144" s="34"/>
      <c r="V144" s="34"/>
      <c r="W144" s="34"/>
      <c r="X144" s="34"/>
      <c r="Y144" s="34"/>
      <c r="Z144" s="13"/>
      <c r="AA144" s="13"/>
    </row>
    <row r="145" spans="1:27" s="8" customForma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41"/>
      <c r="L145" s="30"/>
      <c r="M145" s="30"/>
      <c r="N145" s="42"/>
      <c r="O145" s="42"/>
      <c r="P145" s="42"/>
      <c r="Q145" s="34"/>
      <c r="R145" s="11"/>
      <c r="S145" s="34"/>
      <c r="T145" s="34"/>
      <c r="U145" s="34"/>
      <c r="V145" s="34"/>
      <c r="W145" s="34"/>
      <c r="X145" s="34"/>
      <c r="Y145" s="34"/>
      <c r="Z145" s="13"/>
      <c r="AA145" s="13"/>
    </row>
    <row r="146" spans="1:27" s="8" customForma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41"/>
      <c r="L146" s="30"/>
      <c r="M146" s="30"/>
      <c r="N146" s="42"/>
      <c r="O146" s="42"/>
      <c r="P146" s="42"/>
      <c r="Q146" s="34"/>
      <c r="R146" s="11"/>
      <c r="S146" s="34"/>
      <c r="T146" s="34"/>
      <c r="U146" s="34"/>
      <c r="V146" s="34"/>
      <c r="W146" s="34"/>
      <c r="X146" s="34"/>
      <c r="Y146" s="34"/>
      <c r="Z146" s="13"/>
      <c r="AA146" s="13"/>
    </row>
    <row r="147" spans="1:27" s="8" customForma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41"/>
      <c r="L147" s="30"/>
      <c r="M147" s="30"/>
      <c r="N147" s="42"/>
      <c r="O147" s="42"/>
      <c r="P147" s="42"/>
      <c r="Q147" s="34"/>
      <c r="R147" s="11"/>
      <c r="S147" s="34"/>
      <c r="T147" s="34"/>
      <c r="U147" s="34"/>
      <c r="V147" s="34"/>
      <c r="W147" s="34"/>
      <c r="X147" s="34"/>
      <c r="Y147" s="34"/>
      <c r="Z147" s="13"/>
      <c r="AA147" s="13"/>
    </row>
    <row r="148" spans="1:27" s="8" customForma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41"/>
      <c r="L148" s="30"/>
      <c r="M148" s="30"/>
      <c r="N148" s="42"/>
      <c r="O148" s="42"/>
      <c r="P148" s="42"/>
      <c r="Q148" s="34"/>
      <c r="R148" s="11"/>
      <c r="S148" s="34"/>
      <c r="T148" s="34"/>
      <c r="U148" s="34"/>
      <c r="V148" s="34"/>
      <c r="W148" s="34"/>
      <c r="X148" s="34"/>
      <c r="Y148" s="34"/>
      <c r="Z148" s="13"/>
      <c r="AA148" s="13"/>
    </row>
    <row r="149" spans="1:27" s="8" customForma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41"/>
      <c r="L149" s="30"/>
      <c r="M149" s="30"/>
      <c r="N149" s="42"/>
      <c r="O149" s="42"/>
      <c r="P149" s="42"/>
      <c r="Q149" s="34"/>
      <c r="R149" s="11"/>
      <c r="S149" s="34"/>
      <c r="T149" s="34"/>
      <c r="U149" s="34"/>
      <c r="V149" s="34"/>
      <c r="W149" s="34"/>
      <c r="X149" s="34"/>
      <c r="Y149" s="34"/>
      <c r="Z149" s="13"/>
      <c r="AA149" s="13"/>
    </row>
    <row r="150" spans="1:27" s="8" customForma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41"/>
      <c r="L150" s="30"/>
      <c r="M150" s="30"/>
      <c r="N150" s="42"/>
      <c r="O150" s="42"/>
      <c r="P150" s="42"/>
      <c r="Q150" s="34"/>
      <c r="R150" s="11"/>
      <c r="S150" s="34"/>
      <c r="T150" s="34"/>
      <c r="U150" s="34"/>
      <c r="V150" s="34"/>
      <c r="W150" s="34"/>
      <c r="X150" s="34"/>
      <c r="Y150" s="34"/>
      <c r="Z150" s="13"/>
      <c r="AA150" s="13"/>
    </row>
    <row r="151" spans="1:27" s="8" customForma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41"/>
      <c r="L151" s="30"/>
      <c r="M151" s="30"/>
      <c r="N151" s="42"/>
      <c r="O151" s="42"/>
      <c r="P151" s="42"/>
      <c r="Q151" s="34"/>
      <c r="R151" s="11"/>
      <c r="S151" s="34"/>
      <c r="T151" s="34"/>
      <c r="U151" s="34"/>
      <c r="V151" s="34"/>
      <c r="W151" s="34"/>
      <c r="X151" s="34"/>
      <c r="Y151" s="34"/>
      <c r="Z151" s="13"/>
      <c r="AA151" s="13"/>
    </row>
    <row r="152" spans="1:27" s="8" customForma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41"/>
      <c r="L152" s="30"/>
      <c r="M152" s="30"/>
      <c r="N152" s="42"/>
      <c r="O152" s="42"/>
      <c r="P152" s="42"/>
      <c r="Q152" s="34"/>
      <c r="R152" s="11"/>
      <c r="S152" s="34"/>
      <c r="T152" s="34"/>
      <c r="U152" s="34"/>
      <c r="V152" s="34"/>
      <c r="W152" s="34"/>
      <c r="X152" s="34"/>
      <c r="Y152" s="34"/>
      <c r="Z152" s="13"/>
      <c r="AA152" s="13"/>
    </row>
    <row r="153" spans="1:27" s="8" customForma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41"/>
      <c r="L153" s="30"/>
      <c r="M153" s="30"/>
      <c r="N153" s="42"/>
      <c r="O153" s="42"/>
      <c r="P153" s="42"/>
      <c r="Q153" s="34"/>
      <c r="R153" s="11"/>
      <c r="S153" s="34"/>
      <c r="T153" s="34"/>
      <c r="U153" s="34"/>
      <c r="V153" s="34"/>
      <c r="W153" s="34"/>
      <c r="X153" s="34"/>
      <c r="Y153" s="34"/>
      <c r="Z153" s="13"/>
      <c r="AA153" s="13"/>
    </row>
    <row r="154" spans="1:27" s="8" customForma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41"/>
      <c r="L154" s="30"/>
      <c r="M154" s="30"/>
      <c r="N154" s="42"/>
      <c r="O154" s="42"/>
      <c r="P154" s="42"/>
      <c r="Q154" s="34"/>
      <c r="R154" s="11"/>
      <c r="S154" s="34"/>
      <c r="T154" s="34"/>
      <c r="U154" s="34"/>
      <c r="V154" s="34"/>
      <c r="W154" s="34"/>
      <c r="X154" s="34"/>
      <c r="Y154" s="34"/>
      <c r="Z154" s="13"/>
      <c r="AA154" s="13"/>
    </row>
    <row r="155" spans="1:27" s="8" customForma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41"/>
      <c r="L155" s="30"/>
      <c r="M155" s="30"/>
      <c r="N155" s="42"/>
      <c r="O155" s="42"/>
      <c r="P155" s="42"/>
      <c r="Q155" s="34"/>
      <c r="R155" s="11"/>
      <c r="S155" s="34"/>
      <c r="T155" s="34"/>
      <c r="U155" s="34"/>
      <c r="V155" s="34"/>
      <c r="W155" s="34"/>
      <c r="X155" s="34"/>
      <c r="Y155" s="34"/>
      <c r="Z155" s="13"/>
      <c r="AA155" s="13"/>
    </row>
    <row r="156" spans="1:27" s="8" customForma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41"/>
      <c r="L156" s="30"/>
      <c r="M156" s="30"/>
      <c r="N156" s="42"/>
      <c r="O156" s="42"/>
      <c r="P156" s="42"/>
      <c r="Q156" s="34"/>
      <c r="R156" s="11"/>
      <c r="S156" s="34"/>
      <c r="T156" s="34"/>
      <c r="U156" s="34"/>
      <c r="V156" s="34"/>
      <c r="W156" s="34"/>
      <c r="X156" s="34"/>
      <c r="Y156" s="34"/>
      <c r="Z156" s="13"/>
      <c r="AA156" s="13"/>
    </row>
    <row r="157" spans="1:27" s="8" customForma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41"/>
      <c r="L157" s="30"/>
      <c r="M157" s="30"/>
      <c r="N157" s="42"/>
      <c r="O157" s="42"/>
      <c r="P157" s="42"/>
      <c r="Q157" s="34"/>
      <c r="R157" s="11"/>
      <c r="S157" s="34"/>
      <c r="T157" s="34"/>
      <c r="U157" s="34"/>
      <c r="V157" s="34"/>
      <c r="W157" s="34"/>
      <c r="X157" s="34"/>
      <c r="Y157" s="34"/>
      <c r="Z157" s="13"/>
      <c r="AA157" s="13"/>
    </row>
    <row r="158" spans="1:27" s="8" customForma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41"/>
      <c r="L158" s="30"/>
      <c r="M158" s="30"/>
      <c r="N158" s="42"/>
      <c r="O158" s="42"/>
      <c r="P158" s="42"/>
      <c r="Q158" s="34"/>
      <c r="R158" s="11"/>
      <c r="S158" s="34"/>
      <c r="T158" s="34"/>
      <c r="U158" s="34"/>
      <c r="V158" s="34"/>
      <c r="W158" s="34"/>
      <c r="X158" s="34"/>
      <c r="Y158" s="34"/>
      <c r="Z158" s="13"/>
      <c r="AA158" s="13"/>
    </row>
    <row r="159" spans="1:27" s="8" customForma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41"/>
      <c r="L159" s="30"/>
      <c r="M159" s="30"/>
      <c r="N159" s="42"/>
      <c r="O159" s="42"/>
      <c r="P159" s="42"/>
      <c r="Q159" s="34"/>
      <c r="R159" s="11"/>
      <c r="S159" s="34"/>
      <c r="T159" s="34"/>
      <c r="U159" s="34"/>
      <c r="V159" s="34"/>
      <c r="W159" s="34"/>
      <c r="X159" s="34"/>
      <c r="Y159" s="34"/>
      <c r="Z159" s="13"/>
      <c r="AA159" s="13"/>
    </row>
    <row r="160" spans="1:27" s="8" customForma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41"/>
      <c r="L160" s="30"/>
      <c r="M160" s="30"/>
      <c r="N160" s="42"/>
      <c r="O160" s="42"/>
      <c r="P160" s="42"/>
      <c r="Q160" s="34"/>
      <c r="R160" s="11"/>
      <c r="S160" s="34"/>
      <c r="T160" s="34"/>
      <c r="U160" s="34"/>
      <c r="V160" s="34"/>
      <c r="W160" s="34"/>
      <c r="X160" s="34"/>
      <c r="Y160" s="34"/>
      <c r="Z160" s="13"/>
      <c r="AA160" s="13"/>
    </row>
    <row r="161" spans="1:27" s="8" customForma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41"/>
      <c r="L161" s="30"/>
      <c r="M161" s="30"/>
      <c r="N161" s="42"/>
      <c r="O161" s="42"/>
      <c r="P161" s="42"/>
      <c r="Q161" s="34"/>
      <c r="R161" s="11"/>
      <c r="S161" s="34"/>
      <c r="T161" s="34"/>
      <c r="U161" s="34"/>
      <c r="V161" s="34"/>
      <c r="W161" s="34"/>
      <c r="X161" s="34"/>
      <c r="Y161" s="34"/>
      <c r="Z161" s="13"/>
      <c r="AA161" s="13"/>
    </row>
    <row r="162" spans="1:27" s="8" customForma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41"/>
      <c r="L162" s="30"/>
      <c r="M162" s="30"/>
      <c r="N162" s="42"/>
      <c r="O162" s="42"/>
      <c r="P162" s="42"/>
      <c r="Q162" s="34"/>
      <c r="R162" s="11"/>
      <c r="S162" s="34"/>
      <c r="T162" s="34"/>
      <c r="U162" s="34"/>
      <c r="V162" s="34"/>
      <c r="W162" s="34"/>
      <c r="X162" s="34"/>
      <c r="Y162" s="34"/>
      <c r="Z162" s="13"/>
      <c r="AA162" s="13"/>
    </row>
    <row r="163" spans="1:27" s="8" customForma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41"/>
      <c r="L163" s="30"/>
      <c r="M163" s="30"/>
      <c r="N163" s="42"/>
      <c r="O163" s="42"/>
      <c r="P163" s="42"/>
      <c r="Q163" s="34"/>
      <c r="R163" s="11"/>
      <c r="S163" s="34"/>
      <c r="T163" s="34"/>
      <c r="U163" s="34"/>
      <c r="V163" s="34"/>
      <c r="W163" s="34"/>
      <c r="X163" s="34"/>
      <c r="Y163" s="34"/>
      <c r="Z163" s="13"/>
      <c r="AA163" s="13"/>
    </row>
    <row r="164" spans="1:27" s="8" customForma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41"/>
      <c r="L164" s="30"/>
      <c r="M164" s="30"/>
      <c r="N164" s="42"/>
      <c r="O164" s="42"/>
      <c r="P164" s="42"/>
      <c r="Q164" s="34"/>
      <c r="R164" s="11"/>
      <c r="S164" s="34"/>
      <c r="T164" s="34"/>
      <c r="U164" s="34"/>
      <c r="V164" s="34"/>
      <c r="W164" s="34"/>
      <c r="X164" s="34"/>
      <c r="Y164" s="34"/>
      <c r="Z164" s="13"/>
      <c r="AA164" s="13"/>
    </row>
    <row r="165" spans="1:27" s="8" customForma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41"/>
      <c r="L165" s="30"/>
      <c r="M165" s="30"/>
      <c r="N165" s="42"/>
      <c r="O165" s="42"/>
      <c r="P165" s="42"/>
      <c r="Q165" s="34"/>
      <c r="R165" s="11"/>
      <c r="S165" s="34"/>
      <c r="T165" s="34"/>
      <c r="U165" s="34"/>
      <c r="V165" s="34"/>
      <c r="W165" s="34"/>
      <c r="X165" s="34"/>
      <c r="Y165" s="34"/>
      <c r="Z165" s="13"/>
      <c r="AA165" s="13"/>
    </row>
    <row r="166" spans="1:27" s="8" customForma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41"/>
      <c r="L166" s="30"/>
      <c r="M166" s="30"/>
      <c r="N166" s="42"/>
      <c r="O166" s="42"/>
      <c r="P166" s="42"/>
      <c r="Q166" s="34"/>
      <c r="R166" s="11"/>
      <c r="S166" s="34"/>
      <c r="T166" s="34"/>
      <c r="U166" s="34"/>
      <c r="V166" s="34"/>
      <c r="W166" s="34"/>
      <c r="X166" s="34"/>
      <c r="Y166" s="34"/>
      <c r="Z166" s="13"/>
      <c r="AA166" s="13"/>
    </row>
    <row r="167" spans="1:27" s="8" customForma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41"/>
      <c r="L167" s="30"/>
      <c r="M167" s="30"/>
      <c r="N167" s="42"/>
      <c r="O167" s="42"/>
      <c r="P167" s="42"/>
      <c r="Q167" s="34"/>
      <c r="R167" s="11"/>
      <c r="S167" s="34"/>
      <c r="T167" s="34"/>
      <c r="U167" s="34"/>
      <c r="V167" s="34"/>
      <c r="W167" s="34"/>
      <c r="X167" s="34"/>
      <c r="Y167" s="34"/>
      <c r="Z167" s="13"/>
      <c r="AA167" s="13"/>
    </row>
    <row r="168" spans="1:27" s="8" customForma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41"/>
      <c r="L168" s="30"/>
      <c r="M168" s="30"/>
      <c r="N168" s="42"/>
      <c r="O168" s="42"/>
      <c r="P168" s="42"/>
      <c r="Q168" s="34"/>
      <c r="R168" s="11"/>
      <c r="S168" s="34"/>
      <c r="T168" s="34"/>
      <c r="U168" s="34"/>
      <c r="V168" s="34"/>
      <c r="W168" s="34"/>
      <c r="X168" s="34"/>
      <c r="Y168" s="34"/>
      <c r="Z168" s="13"/>
      <c r="AA168" s="13"/>
    </row>
    <row r="169" spans="1:27" s="8" customForma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41"/>
      <c r="L169" s="30"/>
      <c r="M169" s="30"/>
      <c r="N169" s="42"/>
      <c r="O169" s="42"/>
      <c r="P169" s="42"/>
      <c r="Q169" s="34"/>
      <c r="R169" s="11"/>
      <c r="S169" s="34"/>
      <c r="T169" s="34"/>
      <c r="U169" s="34"/>
      <c r="V169" s="34"/>
      <c r="W169" s="34"/>
      <c r="X169" s="34"/>
      <c r="Y169" s="34"/>
      <c r="Z169" s="13"/>
      <c r="AA169" s="13"/>
    </row>
    <row r="170" spans="1:27" s="8" customForma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41"/>
      <c r="L170" s="30"/>
      <c r="M170" s="30"/>
      <c r="N170" s="42"/>
      <c r="O170" s="42"/>
      <c r="P170" s="42"/>
      <c r="Q170" s="34"/>
      <c r="R170" s="11"/>
      <c r="S170" s="34"/>
      <c r="T170" s="34"/>
      <c r="U170" s="34"/>
      <c r="V170" s="34"/>
      <c r="W170" s="34"/>
      <c r="X170" s="34"/>
      <c r="Y170" s="34"/>
      <c r="Z170" s="13"/>
      <c r="AA170" s="13"/>
    </row>
    <row r="171" spans="1:27" s="8" customForma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41"/>
      <c r="L171" s="30"/>
      <c r="M171" s="30"/>
      <c r="N171" s="42"/>
      <c r="O171" s="42"/>
      <c r="P171" s="42"/>
      <c r="Q171" s="34"/>
      <c r="R171" s="11"/>
      <c r="S171" s="34"/>
      <c r="T171" s="34"/>
      <c r="U171" s="34"/>
      <c r="V171" s="34"/>
      <c r="W171" s="34"/>
      <c r="X171" s="34"/>
      <c r="Y171" s="34"/>
      <c r="Z171" s="13"/>
      <c r="AA171" s="13"/>
    </row>
    <row r="172" spans="1:27" s="8" customForma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41"/>
      <c r="L172" s="30"/>
      <c r="M172" s="30"/>
      <c r="N172" s="42"/>
      <c r="O172" s="42"/>
      <c r="P172" s="42"/>
      <c r="Q172" s="34"/>
      <c r="R172" s="11"/>
      <c r="S172" s="34"/>
      <c r="T172" s="34"/>
      <c r="U172" s="34"/>
      <c r="V172" s="34"/>
      <c r="W172" s="34"/>
      <c r="X172" s="34"/>
      <c r="Y172" s="34"/>
      <c r="Z172" s="13"/>
      <c r="AA172" s="13"/>
    </row>
    <row r="173" spans="1:27" s="8" customForma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41"/>
      <c r="L173" s="30"/>
      <c r="M173" s="30"/>
      <c r="N173" s="42"/>
      <c r="O173" s="42"/>
      <c r="P173" s="42"/>
      <c r="Q173" s="34"/>
      <c r="R173" s="11"/>
      <c r="S173" s="34"/>
      <c r="T173" s="34"/>
      <c r="U173" s="34"/>
      <c r="V173" s="34"/>
      <c r="W173" s="34"/>
      <c r="X173" s="34"/>
      <c r="Y173" s="34"/>
      <c r="Z173" s="13"/>
      <c r="AA173" s="13"/>
    </row>
    <row r="174" spans="1:27" s="8" customForma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41"/>
      <c r="L174" s="30"/>
      <c r="M174" s="30"/>
      <c r="N174" s="42"/>
      <c r="O174" s="42"/>
      <c r="P174" s="42"/>
      <c r="Q174" s="34"/>
      <c r="R174" s="11"/>
      <c r="S174" s="34"/>
      <c r="T174" s="34"/>
      <c r="U174" s="34"/>
      <c r="V174" s="34"/>
      <c r="W174" s="34"/>
      <c r="X174" s="34"/>
      <c r="Y174" s="34"/>
      <c r="Z174" s="13"/>
      <c r="AA174" s="13"/>
    </row>
    <row r="175" spans="1:27" s="8" customForma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41"/>
      <c r="L175" s="30"/>
      <c r="M175" s="30"/>
      <c r="N175" s="42"/>
      <c r="O175" s="42"/>
      <c r="P175" s="42"/>
      <c r="Q175" s="34"/>
      <c r="R175" s="11"/>
      <c r="S175" s="34"/>
      <c r="T175" s="34"/>
      <c r="U175" s="34"/>
      <c r="V175" s="34"/>
      <c r="W175" s="34"/>
      <c r="X175" s="34"/>
      <c r="Y175" s="34"/>
      <c r="Z175" s="13"/>
      <c r="AA175" s="13"/>
    </row>
    <row r="176" spans="1:27" s="8" customForma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41"/>
      <c r="L176" s="30"/>
      <c r="M176" s="30"/>
      <c r="N176" s="42"/>
      <c r="O176" s="42"/>
      <c r="P176" s="42"/>
      <c r="Q176" s="34"/>
      <c r="R176" s="11"/>
      <c r="S176" s="34"/>
      <c r="T176" s="34"/>
      <c r="U176" s="34"/>
      <c r="V176" s="34"/>
      <c r="W176" s="34"/>
      <c r="X176" s="34"/>
      <c r="Y176" s="34"/>
      <c r="Z176" s="13"/>
      <c r="AA176" s="13"/>
    </row>
    <row r="177" spans="1:27" s="8" customForma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41"/>
      <c r="L177" s="30"/>
      <c r="M177" s="30"/>
      <c r="N177" s="42"/>
      <c r="O177" s="42"/>
      <c r="P177" s="42"/>
      <c r="Q177" s="34"/>
      <c r="R177" s="11"/>
      <c r="S177" s="34"/>
      <c r="T177" s="34"/>
      <c r="U177" s="34"/>
      <c r="V177" s="34"/>
      <c r="W177" s="34"/>
      <c r="X177" s="34"/>
      <c r="Y177" s="34"/>
      <c r="Z177" s="13"/>
      <c r="AA177" s="13"/>
    </row>
    <row r="178" spans="1:27" s="8" customForma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41"/>
      <c r="L178" s="30"/>
      <c r="M178" s="30"/>
      <c r="N178" s="42"/>
      <c r="O178" s="42"/>
      <c r="P178" s="42"/>
      <c r="Q178" s="34"/>
      <c r="R178" s="11"/>
      <c r="S178" s="34"/>
      <c r="T178" s="34"/>
      <c r="U178" s="34"/>
      <c r="V178" s="34"/>
      <c r="W178" s="34"/>
      <c r="X178" s="34"/>
      <c r="Y178" s="34"/>
      <c r="Z178" s="13"/>
      <c r="AA178" s="13"/>
    </row>
    <row r="179" spans="1:27" s="8" customForma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41"/>
      <c r="L179" s="30"/>
      <c r="M179" s="30"/>
      <c r="N179" s="42"/>
      <c r="O179" s="42"/>
      <c r="P179" s="42"/>
      <c r="Q179" s="34"/>
      <c r="R179" s="11"/>
      <c r="S179" s="34"/>
      <c r="T179" s="34"/>
      <c r="U179" s="34"/>
      <c r="V179" s="34"/>
      <c r="W179" s="34"/>
      <c r="X179" s="34"/>
      <c r="Y179" s="34"/>
      <c r="Z179" s="13"/>
      <c r="AA179" s="13"/>
    </row>
    <row r="180" spans="1:27" s="8" customForma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41"/>
      <c r="L180" s="30"/>
      <c r="M180" s="30"/>
      <c r="N180" s="42"/>
      <c r="O180" s="42"/>
      <c r="P180" s="42"/>
      <c r="Q180" s="34"/>
      <c r="R180" s="11"/>
      <c r="S180" s="34"/>
      <c r="T180" s="34"/>
      <c r="U180" s="34"/>
      <c r="V180" s="34"/>
      <c r="W180" s="34"/>
      <c r="X180" s="34"/>
      <c r="Y180" s="34"/>
      <c r="Z180" s="13"/>
      <c r="AA180" s="13"/>
    </row>
    <row r="181" spans="1:27" s="8" customForma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41"/>
      <c r="L181" s="30"/>
      <c r="M181" s="30"/>
      <c r="N181" s="42"/>
      <c r="O181" s="42"/>
      <c r="P181" s="42"/>
      <c r="Q181" s="34"/>
      <c r="R181" s="11"/>
      <c r="S181" s="34"/>
      <c r="T181" s="34"/>
      <c r="U181" s="34"/>
      <c r="V181" s="34"/>
      <c r="W181" s="34"/>
      <c r="X181" s="34"/>
      <c r="Y181" s="34"/>
      <c r="Z181" s="13"/>
      <c r="AA181" s="13"/>
    </row>
    <row r="182" spans="1:27" s="8" customForma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41"/>
      <c r="L182" s="30"/>
      <c r="M182" s="30"/>
      <c r="N182" s="42"/>
      <c r="O182" s="42"/>
      <c r="P182" s="42"/>
      <c r="Q182" s="34"/>
      <c r="R182" s="11"/>
      <c r="S182" s="34"/>
      <c r="T182" s="34"/>
      <c r="U182" s="34"/>
      <c r="V182" s="34"/>
      <c r="W182" s="34"/>
      <c r="X182" s="34"/>
      <c r="Y182" s="34"/>
      <c r="Z182" s="13"/>
      <c r="AA182" s="13"/>
    </row>
    <row r="183" spans="1:27" s="8" customForma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41"/>
      <c r="L183" s="30"/>
      <c r="M183" s="30"/>
      <c r="N183" s="65"/>
      <c r="O183" s="42"/>
      <c r="P183" s="42"/>
      <c r="Q183" s="34"/>
      <c r="R183" s="11"/>
      <c r="S183" s="34"/>
      <c r="T183" s="34"/>
      <c r="U183" s="34"/>
      <c r="V183" s="34"/>
      <c r="W183" s="34"/>
      <c r="X183" s="34"/>
      <c r="Y183" s="34"/>
      <c r="Z183" s="13"/>
      <c r="AA183" s="13"/>
    </row>
    <row r="184" spans="1:27" s="8" customForma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41"/>
      <c r="L184" s="30"/>
      <c r="M184" s="30"/>
      <c r="N184" s="42"/>
      <c r="O184" s="42"/>
      <c r="P184" s="42"/>
      <c r="Q184" s="34"/>
      <c r="R184" s="11"/>
      <c r="S184" s="34"/>
      <c r="T184" s="34"/>
      <c r="U184" s="34"/>
      <c r="V184" s="34"/>
      <c r="W184" s="34"/>
      <c r="X184" s="34"/>
      <c r="Y184" s="34"/>
      <c r="Z184" s="13"/>
      <c r="AA184" s="13"/>
    </row>
    <row r="185" spans="1:27" s="8" customForma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41"/>
      <c r="L185" s="30"/>
      <c r="M185" s="30"/>
      <c r="N185" s="42"/>
      <c r="O185" s="42"/>
      <c r="P185" s="42"/>
      <c r="Q185" s="34"/>
      <c r="R185" s="11"/>
      <c r="S185" s="34"/>
      <c r="T185" s="34"/>
      <c r="U185" s="34"/>
      <c r="V185" s="34"/>
      <c r="W185" s="34"/>
      <c r="X185" s="34"/>
      <c r="Y185" s="34"/>
      <c r="Z185" s="13"/>
      <c r="AA185" s="13"/>
    </row>
    <row r="186" spans="1:27" s="8" customForma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41"/>
      <c r="L186" s="30"/>
      <c r="M186" s="30"/>
      <c r="N186" s="42"/>
      <c r="O186" s="42"/>
      <c r="P186" s="42"/>
      <c r="Q186" s="34"/>
      <c r="R186" s="11"/>
      <c r="S186" s="34"/>
      <c r="T186" s="34"/>
      <c r="U186" s="34"/>
      <c r="V186" s="34"/>
      <c r="W186" s="34"/>
      <c r="X186" s="34"/>
      <c r="Y186" s="34"/>
      <c r="Z186" s="13"/>
      <c r="AA186" s="13"/>
    </row>
    <row r="187" spans="1:27" s="8" customForma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41"/>
      <c r="L187" s="30"/>
      <c r="M187" s="30"/>
      <c r="N187" s="42"/>
      <c r="O187" s="42"/>
      <c r="P187" s="42"/>
      <c r="Q187" s="34"/>
      <c r="R187" s="11"/>
      <c r="S187" s="34"/>
      <c r="T187" s="34"/>
      <c r="U187" s="34"/>
      <c r="V187" s="34"/>
      <c r="W187" s="34"/>
      <c r="X187" s="34"/>
      <c r="Y187" s="34"/>
      <c r="Z187" s="13"/>
      <c r="AA187" s="13"/>
    </row>
    <row r="188" spans="1:27" s="8" customForma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41"/>
      <c r="L188" s="30"/>
      <c r="M188" s="30"/>
      <c r="N188" s="42"/>
      <c r="O188" s="42"/>
      <c r="P188" s="42"/>
      <c r="Q188" s="34"/>
      <c r="R188" s="11"/>
      <c r="S188" s="34"/>
      <c r="T188" s="34"/>
      <c r="U188" s="34"/>
      <c r="V188" s="34"/>
      <c r="W188" s="34"/>
      <c r="X188" s="34"/>
      <c r="Y188" s="34"/>
      <c r="Z188" s="13"/>
      <c r="AA188" s="13"/>
    </row>
    <row r="189" spans="1:27" s="8" customForma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41"/>
      <c r="L189" s="30"/>
      <c r="M189" s="30"/>
      <c r="N189" s="42"/>
      <c r="O189" s="42"/>
      <c r="P189" s="42"/>
      <c r="Q189" s="34"/>
      <c r="R189" s="11"/>
      <c r="S189" s="34"/>
      <c r="T189" s="34"/>
      <c r="U189" s="34"/>
      <c r="V189" s="34"/>
      <c r="W189" s="34"/>
      <c r="X189" s="34"/>
      <c r="Y189" s="34"/>
      <c r="Z189" s="13"/>
      <c r="AA189" s="13"/>
    </row>
    <row r="190" spans="1:27" s="8" customForma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41"/>
      <c r="L190" s="30"/>
      <c r="M190" s="30"/>
      <c r="N190" s="42"/>
      <c r="O190" s="42"/>
      <c r="P190" s="42"/>
      <c r="Q190" s="34"/>
      <c r="R190" s="11"/>
      <c r="S190" s="34"/>
      <c r="T190" s="34"/>
      <c r="U190" s="34"/>
      <c r="V190" s="34"/>
      <c r="W190" s="34"/>
      <c r="X190" s="34"/>
      <c r="Y190" s="34"/>
      <c r="Z190" s="13"/>
      <c r="AA190" s="13"/>
    </row>
    <row r="191" spans="1:27" s="8" customForma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41"/>
      <c r="L191" s="30"/>
      <c r="M191" s="30"/>
      <c r="N191" s="42"/>
      <c r="O191" s="42"/>
      <c r="P191" s="42"/>
      <c r="Q191" s="34"/>
      <c r="R191" s="11"/>
      <c r="S191" s="34"/>
      <c r="T191" s="34"/>
      <c r="U191" s="34"/>
      <c r="V191" s="34"/>
      <c r="W191" s="34"/>
      <c r="X191" s="34"/>
      <c r="Y191" s="34"/>
      <c r="Z191" s="13"/>
      <c r="AA191" s="13"/>
    </row>
    <row r="192" spans="1:27" s="8" customForma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41"/>
      <c r="L192" s="30"/>
      <c r="M192" s="30"/>
      <c r="N192" s="42"/>
      <c r="O192" s="42"/>
      <c r="P192" s="42"/>
      <c r="Q192" s="34"/>
      <c r="R192" s="11"/>
      <c r="S192" s="34"/>
      <c r="T192" s="34"/>
      <c r="U192" s="34"/>
      <c r="V192" s="34"/>
      <c r="W192" s="34"/>
      <c r="X192" s="34"/>
      <c r="Y192" s="34"/>
      <c r="Z192" s="13"/>
      <c r="AA192" s="13"/>
    </row>
    <row r="193" spans="1:27" s="8" customForma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41"/>
      <c r="L193" s="30"/>
      <c r="M193" s="30"/>
      <c r="N193" s="42"/>
      <c r="O193" s="42"/>
      <c r="P193" s="42"/>
      <c r="Q193" s="34"/>
      <c r="R193" s="11"/>
      <c r="S193" s="34"/>
      <c r="T193" s="34"/>
      <c r="U193" s="34"/>
      <c r="V193" s="34"/>
      <c r="W193" s="34"/>
      <c r="X193" s="34"/>
      <c r="Y193" s="34"/>
      <c r="Z193" s="13"/>
      <c r="AA193" s="13"/>
    </row>
    <row r="194" spans="1:27" s="8" customForma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41"/>
      <c r="L194" s="30"/>
      <c r="M194" s="30"/>
      <c r="N194" s="42"/>
      <c r="O194" s="42"/>
      <c r="P194" s="42"/>
      <c r="Q194" s="34"/>
      <c r="R194" s="11"/>
      <c r="S194" s="34"/>
      <c r="T194" s="34"/>
      <c r="U194" s="34"/>
      <c r="V194" s="34"/>
      <c r="W194" s="34"/>
      <c r="X194" s="34"/>
      <c r="Y194" s="34"/>
      <c r="Z194" s="13"/>
      <c r="AA194" s="13"/>
    </row>
    <row r="195" spans="1:27" s="8" customForma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41"/>
      <c r="L195" s="30"/>
      <c r="M195" s="30"/>
      <c r="N195" s="42"/>
      <c r="O195" s="42"/>
      <c r="P195" s="42"/>
      <c r="Q195" s="34"/>
      <c r="R195" s="11"/>
      <c r="S195" s="34"/>
      <c r="T195" s="34"/>
      <c r="U195" s="34"/>
      <c r="V195" s="34"/>
      <c r="W195" s="34"/>
      <c r="X195" s="34"/>
      <c r="Y195" s="34"/>
      <c r="Z195" s="13"/>
      <c r="AA195" s="13"/>
    </row>
    <row r="196" spans="1:27" s="8" customForma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41"/>
      <c r="L196" s="30"/>
      <c r="M196" s="30"/>
      <c r="N196" s="42"/>
      <c r="O196" s="42"/>
      <c r="P196" s="42"/>
      <c r="Q196" s="34"/>
      <c r="R196" s="11"/>
      <c r="S196" s="34"/>
      <c r="T196" s="34"/>
      <c r="U196" s="34"/>
      <c r="V196" s="34"/>
      <c r="W196" s="34"/>
      <c r="X196" s="34"/>
      <c r="Y196" s="34"/>
      <c r="Z196" s="13"/>
      <c r="AA196" s="13"/>
    </row>
    <row r="197" spans="1:27" s="8" customForma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41"/>
      <c r="L197" s="30"/>
      <c r="M197" s="30"/>
      <c r="N197" s="42"/>
      <c r="O197" s="42"/>
      <c r="P197" s="42"/>
      <c r="Q197" s="34"/>
      <c r="R197" s="11"/>
      <c r="S197" s="34"/>
      <c r="T197" s="34"/>
      <c r="U197" s="34"/>
      <c r="V197" s="34"/>
      <c r="W197" s="34"/>
      <c r="X197" s="34"/>
      <c r="Y197" s="34"/>
      <c r="Z197" s="13"/>
      <c r="AA197" s="13"/>
    </row>
    <row r="198" spans="1:27" s="8" customForma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41"/>
      <c r="L198" s="30"/>
      <c r="M198" s="30"/>
      <c r="N198" s="42"/>
      <c r="O198" s="42"/>
      <c r="P198" s="42"/>
      <c r="Q198" s="34"/>
      <c r="R198" s="11"/>
      <c r="S198" s="34"/>
      <c r="T198" s="34"/>
      <c r="U198" s="34"/>
      <c r="V198" s="34"/>
      <c r="W198" s="34"/>
      <c r="X198" s="34"/>
      <c r="Y198" s="34"/>
      <c r="Z198" s="13"/>
      <c r="AA198" s="13"/>
    </row>
    <row r="199" spans="1:27" s="8" customForma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41"/>
      <c r="L199" s="30"/>
      <c r="M199" s="30"/>
      <c r="N199" s="42"/>
      <c r="O199" s="42"/>
      <c r="P199" s="42"/>
      <c r="Q199" s="34"/>
      <c r="R199" s="11"/>
      <c r="S199" s="34"/>
      <c r="T199" s="34"/>
      <c r="U199" s="34"/>
      <c r="V199" s="34"/>
      <c r="W199" s="34"/>
      <c r="X199" s="34"/>
      <c r="Y199" s="34"/>
      <c r="Z199" s="13"/>
      <c r="AA199" s="13"/>
    </row>
    <row r="200" spans="1:27" s="8" customForma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41"/>
      <c r="L200" s="30"/>
      <c r="M200" s="30"/>
      <c r="N200" s="42"/>
      <c r="O200" s="42"/>
      <c r="P200" s="42"/>
      <c r="Q200" s="34"/>
      <c r="R200" s="11"/>
      <c r="S200" s="34"/>
      <c r="T200" s="34"/>
      <c r="U200" s="34"/>
      <c r="V200" s="34"/>
      <c r="W200" s="34"/>
      <c r="X200" s="34"/>
      <c r="Y200" s="34"/>
      <c r="Z200" s="13"/>
      <c r="AA200" s="13"/>
    </row>
    <row r="201" spans="1:27" s="8" customForma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41"/>
      <c r="L201" s="30"/>
      <c r="M201" s="30"/>
      <c r="N201" s="42"/>
      <c r="O201" s="42"/>
      <c r="P201" s="42"/>
      <c r="Q201" s="34"/>
      <c r="R201" s="11"/>
      <c r="S201" s="34"/>
      <c r="T201" s="34"/>
      <c r="U201" s="34"/>
      <c r="V201" s="34"/>
      <c r="W201" s="34"/>
      <c r="X201" s="34"/>
      <c r="Y201" s="34"/>
      <c r="Z201" s="13"/>
      <c r="AA201" s="13"/>
    </row>
    <row r="202" spans="1:27" s="8" customForma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41"/>
      <c r="L202" s="30"/>
      <c r="M202" s="30"/>
      <c r="N202" s="42"/>
      <c r="O202" s="42"/>
      <c r="P202" s="42"/>
      <c r="Q202" s="34"/>
      <c r="R202" s="11"/>
      <c r="S202" s="34"/>
      <c r="T202" s="34"/>
      <c r="U202" s="34"/>
      <c r="V202" s="34"/>
      <c r="W202" s="34"/>
      <c r="X202" s="34"/>
      <c r="Y202" s="34"/>
      <c r="Z202" s="13"/>
      <c r="AA202" s="13"/>
    </row>
    <row r="203" spans="1:27" s="8" customForma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41"/>
      <c r="L203" s="30"/>
      <c r="M203" s="30"/>
      <c r="N203" s="42"/>
      <c r="O203" s="42"/>
      <c r="P203" s="42"/>
      <c r="Q203" s="34"/>
      <c r="R203" s="11"/>
      <c r="S203" s="34"/>
      <c r="T203" s="34"/>
      <c r="U203" s="34"/>
      <c r="V203" s="34"/>
      <c r="W203" s="34"/>
      <c r="X203" s="34"/>
      <c r="Y203" s="34"/>
      <c r="Z203" s="13"/>
      <c r="AA203" s="13"/>
    </row>
    <row r="204" spans="1:27" s="8" customForma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41"/>
      <c r="L204" s="30"/>
      <c r="M204" s="30"/>
      <c r="N204" s="42"/>
      <c r="O204" s="42"/>
      <c r="P204" s="42"/>
      <c r="Q204" s="34"/>
      <c r="R204" s="11"/>
      <c r="S204" s="34"/>
      <c r="T204" s="34"/>
      <c r="U204" s="34"/>
      <c r="V204" s="34"/>
      <c r="W204" s="34"/>
      <c r="X204" s="34"/>
      <c r="Y204" s="34"/>
      <c r="Z204" s="13"/>
      <c r="AA204" s="13"/>
    </row>
    <row r="205" spans="1:27" s="8" customForma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41"/>
      <c r="L205" s="30"/>
      <c r="M205" s="30"/>
      <c r="N205" s="42"/>
      <c r="O205" s="42"/>
      <c r="P205" s="42"/>
      <c r="Q205" s="34"/>
      <c r="R205" s="11"/>
      <c r="S205" s="34"/>
      <c r="T205" s="34"/>
      <c r="U205" s="34"/>
      <c r="V205" s="34"/>
      <c r="W205" s="34"/>
      <c r="X205" s="34"/>
      <c r="Y205" s="34"/>
      <c r="Z205" s="13"/>
      <c r="AA205" s="13"/>
    </row>
    <row r="206" spans="1:27" s="8" customForma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41"/>
      <c r="L206" s="30"/>
      <c r="M206" s="30"/>
      <c r="N206" s="42"/>
      <c r="O206" s="42"/>
      <c r="P206" s="42"/>
      <c r="Q206" s="34"/>
      <c r="R206" s="11"/>
      <c r="S206" s="34"/>
      <c r="T206" s="34"/>
      <c r="U206" s="34"/>
      <c r="V206" s="34"/>
      <c r="W206" s="34"/>
      <c r="X206" s="34"/>
      <c r="Y206" s="34"/>
      <c r="Z206" s="13"/>
      <c r="AA206" s="13"/>
    </row>
    <row r="207" spans="1:27" s="8" customForma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41"/>
      <c r="L207" s="30"/>
      <c r="M207" s="30"/>
      <c r="N207" s="42"/>
      <c r="O207" s="42"/>
      <c r="P207" s="42"/>
      <c r="Q207" s="34"/>
      <c r="R207" s="11"/>
      <c r="S207" s="34"/>
      <c r="T207" s="34"/>
      <c r="U207" s="34"/>
      <c r="V207" s="34"/>
      <c r="W207" s="34"/>
      <c r="X207" s="34"/>
      <c r="Y207" s="34"/>
      <c r="Z207" s="13"/>
      <c r="AA207" s="13"/>
    </row>
    <row r="208" spans="1:27" s="8" customForma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41"/>
      <c r="L208" s="30"/>
      <c r="M208" s="30"/>
      <c r="N208" s="42"/>
      <c r="O208" s="42"/>
      <c r="P208" s="42"/>
      <c r="Q208" s="34"/>
      <c r="R208" s="11"/>
      <c r="S208" s="34"/>
      <c r="T208" s="34"/>
      <c r="U208" s="34"/>
      <c r="V208" s="34"/>
      <c r="W208" s="34"/>
      <c r="X208" s="34"/>
      <c r="Y208" s="34"/>
      <c r="Z208" s="13"/>
      <c r="AA208" s="13"/>
    </row>
    <row r="209" spans="1:27" s="8" customForma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41"/>
      <c r="L209" s="30"/>
      <c r="M209" s="30"/>
      <c r="N209" s="42"/>
      <c r="O209" s="42"/>
      <c r="P209" s="42"/>
      <c r="Q209" s="34"/>
      <c r="R209" s="11"/>
      <c r="S209" s="34"/>
      <c r="T209" s="34"/>
      <c r="U209" s="34"/>
      <c r="V209" s="34"/>
      <c r="W209" s="34"/>
      <c r="X209" s="34"/>
      <c r="Y209" s="34"/>
      <c r="Z209" s="13"/>
      <c r="AA209" s="13"/>
    </row>
    <row r="210" spans="1:27" s="8" customForma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41"/>
      <c r="L210" s="30"/>
      <c r="M210" s="30"/>
      <c r="N210" s="42"/>
      <c r="O210" s="42"/>
      <c r="P210" s="42"/>
      <c r="Q210" s="34"/>
      <c r="R210" s="11"/>
      <c r="S210" s="34"/>
      <c r="T210" s="34"/>
      <c r="U210" s="34"/>
      <c r="V210" s="34"/>
      <c r="W210" s="34"/>
      <c r="X210" s="34"/>
      <c r="Y210" s="34"/>
      <c r="Z210" s="13"/>
      <c r="AA210" s="13"/>
    </row>
    <row r="211" spans="1:27" s="8" customForma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41"/>
      <c r="L211" s="30"/>
      <c r="M211" s="30"/>
      <c r="N211" s="42"/>
      <c r="O211" s="42"/>
      <c r="P211" s="42"/>
      <c r="Q211" s="34"/>
      <c r="R211" s="11"/>
      <c r="S211" s="34"/>
      <c r="T211" s="34"/>
      <c r="U211" s="34"/>
      <c r="V211" s="34"/>
      <c r="W211" s="34"/>
      <c r="X211" s="34"/>
      <c r="Y211" s="34"/>
      <c r="Z211" s="13"/>
      <c r="AA211" s="13"/>
    </row>
    <row r="212" spans="1:27" s="8" customForma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41"/>
      <c r="L212" s="30"/>
      <c r="M212" s="30"/>
      <c r="N212" s="42"/>
      <c r="O212" s="42"/>
      <c r="P212" s="42"/>
      <c r="Q212" s="34"/>
      <c r="R212" s="11"/>
      <c r="S212" s="34"/>
      <c r="T212" s="34"/>
      <c r="U212" s="34"/>
      <c r="V212" s="34"/>
      <c r="W212" s="34"/>
      <c r="X212" s="34"/>
      <c r="Y212" s="34"/>
      <c r="Z212" s="13"/>
      <c r="AA212" s="13"/>
    </row>
    <row r="213" spans="1:27" s="8" customForma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41"/>
      <c r="L213" s="30"/>
      <c r="M213" s="30"/>
      <c r="N213" s="42"/>
      <c r="O213" s="42"/>
      <c r="P213" s="42"/>
      <c r="Q213" s="34"/>
      <c r="R213" s="11"/>
      <c r="S213" s="34"/>
      <c r="T213" s="34"/>
      <c r="U213" s="34"/>
      <c r="V213" s="34"/>
      <c r="W213" s="34"/>
      <c r="X213" s="34"/>
      <c r="Y213" s="34"/>
      <c r="Z213" s="13"/>
      <c r="AA213" s="13"/>
    </row>
    <row r="214" spans="1:27" s="8" customForma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41"/>
      <c r="L214" s="30"/>
      <c r="M214" s="30"/>
      <c r="N214" s="42"/>
      <c r="O214" s="42"/>
      <c r="P214" s="42"/>
      <c r="Q214" s="34"/>
      <c r="R214" s="11"/>
      <c r="S214" s="34"/>
      <c r="T214" s="34"/>
      <c r="U214" s="34"/>
      <c r="V214" s="34"/>
      <c r="W214" s="34"/>
      <c r="X214" s="34"/>
      <c r="Y214" s="34"/>
      <c r="Z214" s="13"/>
      <c r="AA214" s="13"/>
    </row>
    <row r="215" spans="1:27" s="8" customForma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41"/>
      <c r="L215" s="30"/>
      <c r="M215" s="30"/>
      <c r="N215" s="42"/>
      <c r="O215" s="42"/>
      <c r="P215" s="42"/>
      <c r="Q215" s="34"/>
      <c r="R215" s="11"/>
      <c r="S215" s="34"/>
      <c r="T215" s="34"/>
      <c r="U215" s="34"/>
      <c r="V215" s="34"/>
      <c r="W215" s="34"/>
      <c r="X215" s="34"/>
      <c r="Y215" s="34"/>
      <c r="Z215" s="13"/>
      <c r="AA215" s="13"/>
    </row>
    <row r="216" spans="1:27" s="8" customForma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41"/>
      <c r="L216" s="30"/>
      <c r="M216" s="30"/>
      <c r="N216" s="42"/>
      <c r="O216" s="42"/>
      <c r="P216" s="42"/>
      <c r="Q216" s="34"/>
      <c r="R216" s="11"/>
      <c r="S216" s="34"/>
      <c r="T216" s="34"/>
      <c r="U216" s="34"/>
      <c r="V216" s="34"/>
      <c r="W216" s="34"/>
      <c r="X216" s="34"/>
      <c r="Y216" s="34"/>
      <c r="Z216" s="13"/>
      <c r="AA216" s="13"/>
    </row>
    <row r="217" spans="1:27" s="8" customForma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41"/>
      <c r="L217" s="30"/>
      <c r="M217" s="30"/>
      <c r="N217" s="42"/>
      <c r="O217" s="42"/>
      <c r="P217" s="42"/>
      <c r="Q217" s="34"/>
      <c r="R217" s="11"/>
      <c r="S217" s="34"/>
      <c r="T217" s="34"/>
      <c r="U217" s="34"/>
      <c r="V217" s="34"/>
      <c r="W217" s="34"/>
      <c r="X217" s="34"/>
      <c r="Y217" s="34"/>
      <c r="Z217" s="13"/>
      <c r="AA217" s="13"/>
    </row>
    <row r="218" spans="1:27" s="8" customForma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41"/>
      <c r="L218" s="30"/>
      <c r="M218" s="30"/>
      <c r="N218" s="42"/>
      <c r="O218" s="42"/>
      <c r="P218" s="42"/>
      <c r="Q218" s="34"/>
      <c r="R218" s="11"/>
      <c r="S218" s="34"/>
      <c r="T218" s="34"/>
      <c r="U218" s="34"/>
      <c r="V218" s="34"/>
      <c r="W218" s="34"/>
      <c r="X218" s="34"/>
      <c r="Y218" s="34"/>
      <c r="Z218" s="13"/>
      <c r="AA218" s="13"/>
    </row>
    <row r="219" spans="1:27" s="8" customForma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41"/>
      <c r="L219" s="30"/>
      <c r="M219" s="30"/>
      <c r="N219" s="42"/>
      <c r="O219" s="42"/>
      <c r="P219" s="42"/>
      <c r="Q219" s="34"/>
      <c r="R219" s="11"/>
      <c r="S219" s="34"/>
      <c r="T219" s="34"/>
      <c r="U219" s="34"/>
      <c r="V219" s="34"/>
      <c r="W219" s="34"/>
      <c r="X219" s="34"/>
      <c r="Y219" s="34"/>
      <c r="Z219" s="13"/>
      <c r="AA219" s="13"/>
    </row>
    <row r="220" spans="1:27" s="8" customForma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41"/>
      <c r="L220" s="30"/>
      <c r="M220" s="30"/>
      <c r="N220" s="42"/>
      <c r="O220" s="42"/>
      <c r="P220" s="42"/>
      <c r="Q220" s="34"/>
      <c r="R220" s="11"/>
      <c r="S220" s="34"/>
      <c r="T220" s="34"/>
      <c r="U220" s="34"/>
      <c r="V220" s="34"/>
      <c r="W220" s="34"/>
      <c r="X220" s="34"/>
      <c r="Y220" s="34"/>
      <c r="Z220" s="13"/>
      <c r="AA220" s="13"/>
    </row>
    <row r="221" spans="1:27" s="8" customFormat="1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41"/>
      <c r="L221" s="30"/>
      <c r="M221" s="30"/>
      <c r="N221" s="42"/>
      <c r="O221" s="42"/>
      <c r="P221" s="42"/>
      <c r="Q221" s="34"/>
      <c r="R221" s="11"/>
      <c r="S221" s="34"/>
      <c r="T221" s="34"/>
      <c r="U221" s="34"/>
      <c r="V221" s="34"/>
      <c r="W221" s="34"/>
      <c r="X221" s="34"/>
      <c r="Y221" s="34"/>
      <c r="Z221" s="13"/>
      <c r="AA221" s="13"/>
    </row>
    <row r="222" spans="1:27" s="8" customFormat="1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41"/>
      <c r="L222" s="30"/>
      <c r="M222" s="30"/>
      <c r="N222" s="42"/>
      <c r="O222" s="42"/>
      <c r="P222" s="42"/>
      <c r="Q222" s="34"/>
      <c r="R222" s="11"/>
      <c r="S222" s="34"/>
      <c r="T222" s="34"/>
      <c r="U222" s="34"/>
      <c r="V222" s="34"/>
      <c r="W222" s="34"/>
      <c r="X222" s="34"/>
      <c r="Y222" s="34"/>
      <c r="Z222" s="13"/>
      <c r="AA222" s="13"/>
    </row>
    <row r="223" spans="1:27" s="8" customFormat="1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41"/>
      <c r="L223" s="30"/>
      <c r="M223" s="30"/>
      <c r="N223" s="42"/>
      <c r="O223" s="42"/>
      <c r="P223" s="42"/>
      <c r="Q223" s="34"/>
      <c r="R223" s="11"/>
      <c r="S223" s="34"/>
      <c r="T223" s="34"/>
      <c r="U223" s="34"/>
      <c r="V223" s="34"/>
      <c r="W223" s="34"/>
      <c r="X223" s="34"/>
      <c r="Y223" s="34"/>
      <c r="Z223" s="13"/>
      <c r="AA223" s="13"/>
    </row>
    <row r="224" spans="1:27" s="8" customForma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41"/>
      <c r="L224" s="30"/>
      <c r="M224" s="30"/>
      <c r="N224" s="42"/>
      <c r="O224" s="42"/>
      <c r="P224" s="42"/>
      <c r="Q224" s="34"/>
      <c r="R224" s="11"/>
      <c r="S224" s="34"/>
      <c r="T224" s="34"/>
      <c r="U224" s="34"/>
      <c r="V224" s="34"/>
      <c r="W224" s="34"/>
      <c r="X224" s="34"/>
      <c r="Y224" s="34"/>
      <c r="Z224" s="13"/>
      <c r="AA224" s="13"/>
    </row>
    <row r="225" spans="1:27" s="8" customFormat="1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41"/>
      <c r="L225" s="30"/>
      <c r="M225" s="30"/>
      <c r="N225" s="42"/>
      <c r="O225" s="42"/>
      <c r="P225" s="42"/>
      <c r="Q225" s="34"/>
      <c r="R225" s="11"/>
      <c r="S225" s="34"/>
      <c r="T225" s="34"/>
      <c r="U225" s="34"/>
      <c r="V225" s="34"/>
      <c r="W225" s="34"/>
      <c r="X225" s="34"/>
      <c r="Y225" s="34"/>
      <c r="Z225" s="13"/>
      <c r="AA225" s="13"/>
    </row>
    <row r="226" spans="1:27" s="8" customFormat="1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41"/>
      <c r="L226" s="30"/>
      <c r="M226" s="30"/>
      <c r="N226" s="42"/>
      <c r="O226" s="42"/>
      <c r="P226" s="42"/>
      <c r="Q226" s="34"/>
      <c r="R226" s="11"/>
      <c r="S226" s="34"/>
      <c r="T226" s="34"/>
      <c r="U226" s="34"/>
      <c r="V226" s="34"/>
      <c r="W226" s="34"/>
      <c r="X226" s="34"/>
      <c r="Y226" s="34"/>
      <c r="Z226" s="13"/>
      <c r="AA226" s="13"/>
    </row>
    <row r="227" spans="1:27" s="8" customForma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41"/>
      <c r="L227" s="30"/>
      <c r="M227" s="30"/>
      <c r="N227" s="42"/>
      <c r="O227" s="42"/>
      <c r="P227" s="42"/>
      <c r="Q227" s="34"/>
      <c r="R227" s="11"/>
      <c r="S227" s="34"/>
      <c r="T227" s="34"/>
      <c r="U227" s="34"/>
      <c r="V227" s="34"/>
      <c r="W227" s="34"/>
      <c r="X227" s="34"/>
      <c r="Y227" s="34"/>
      <c r="Z227" s="13"/>
      <c r="AA227" s="13"/>
    </row>
    <row r="228" spans="1:27" s="8" customFormat="1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41"/>
      <c r="L228" s="30"/>
      <c r="M228" s="30"/>
      <c r="N228" s="42"/>
      <c r="O228" s="42"/>
      <c r="P228" s="42"/>
      <c r="Q228" s="34"/>
      <c r="R228" s="11"/>
      <c r="S228" s="34"/>
      <c r="T228" s="34"/>
      <c r="U228" s="34"/>
      <c r="V228" s="34"/>
      <c r="W228" s="34"/>
      <c r="X228" s="34"/>
      <c r="Y228" s="34"/>
      <c r="Z228" s="13"/>
      <c r="AA228" s="13"/>
    </row>
    <row r="229" spans="1:27" s="8" customFormat="1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41"/>
      <c r="L229" s="30"/>
      <c r="M229" s="30"/>
      <c r="N229" s="42"/>
      <c r="O229" s="42"/>
      <c r="P229" s="42"/>
      <c r="Q229" s="34"/>
      <c r="R229" s="11"/>
      <c r="S229" s="34"/>
      <c r="T229" s="34"/>
      <c r="U229" s="34"/>
      <c r="V229" s="34"/>
      <c r="W229" s="34"/>
      <c r="X229" s="34"/>
      <c r="Y229" s="34"/>
      <c r="Z229" s="13"/>
      <c r="AA229" s="13"/>
    </row>
    <row r="230" spans="1:27" s="8" customFormat="1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41"/>
      <c r="L230" s="30"/>
      <c r="M230" s="30"/>
      <c r="N230" s="42"/>
      <c r="O230" s="42"/>
      <c r="P230" s="42"/>
      <c r="Q230" s="34"/>
      <c r="R230" s="11"/>
      <c r="S230" s="34"/>
      <c r="T230" s="34"/>
      <c r="U230" s="34"/>
      <c r="V230" s="34"/>
      <c r="W230" s="34"/>
      <c r="X230" s="34"/>
      <c r="Y230" s="34"/>
      <c r="Z230" s="13"/>
      <c r="AA230" s="13"/>
    </row>
    <row r="231" spans="1:27" s="8" customFormat="1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41"/>
      <c r="L231" s="30"/>
      <c r="M231" s="30"/>
      <c r="N231" s="42"/>
      <c r="O231" s="42"/>
      <c r="P231" s="42"/>
      <c r="Q231" s="34"/>
      <c r="R231" s="11"/>
      <c r="S231" s="34"/>
      <c r="T231" s="34"/>
      <c r="U231" s="34"/>
      <c r="V231" s="34"/>
      <c r="W231" s="34"/>
      <c r="X231" s="34"/>
      <c r="Y231" s="34"/>
      <c r="Z231" s="13"/>
      <c r="AA231" s="13"/>
    </row>
    <row r="232" spans="1:27" s="8" customFormat="1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41"/>
      <c r="L232" s="30"/>
      <c r="M232" s="30"/>
      <c r="N232" s="42"/>
      <c r="O232" s="42"/>
      <c r="P232" s="42"/>
      <c r="Q232" s="34"/>
      <c r="R232" s="11"/>
      <c r="S232" s="34"/>
      <c r="T232" s="34"/>
      <c r="U232" s="34"/>
      <c r="V232" s="34"/>
      <c r="W232" s="34"/>
      <c r="X232" s="34"/>
      <c r="Y232" s="34"/>
      <c r="Z232" s="13"/>
      <c r="AA232" s="13"/>
    </row>
    <row r="233" spans="1:27" s="8" customFormat="1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41"/>
      <c r="L233" s="30"/>
      <c r="M233" s="30"/>
      <c r="N233" s="42"/>
      <c r="O233" s="42"/>
      <c r="P233" s="42"/>
      <c r="Q233" s="34"/>
      <c r="R233" s="11"/>
      <c r="S233" s="34"/>
      <c r="T233" s="34"/>
      <c r="U233" s="34"/>
      <c r="V233" s="34"/>
      <c r="W233" s="34"/>
      <c r="X233" s="34"/>
      <c r="Y233" s="34"/>
      <c r="Z233" s="13"/>
      <c r="AA233" s="13"/>
    </row>
    <row r="234" spans="1:27" s="8" customForma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41"/>
      <c r="L234" s="30"/>
      <c r="M234" s="30"/>
      <c r="N234" s="42"/>
      <c r="O234" s="42"/>
      <c r="P234" s="42"/>
      <c r="Q234" s="34"/>
      <c r="R234" s="11"/>
      <c r="S234" s="34"/>
      <c r="T234" s="34"/>
      <c r="U234" s="34"/>
      <c r="V234" s="34"/>
      <c r="W234" s="34"/>
      <c r="X234" s="34"/>
      <c r="Y234" s="34"/>
      <c r="Z234" s="13"/>
      <c r="AA234" s="13"/>
    </row>
    <row r="235" spans="1:27" s="8" customFormat="1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41"/>
      <c r="L235" s="30"/>
      <c r="M235" s="30"/>
      <c r="N235" s="42"/>
      <c r="O235" s="42"/>
      <c r="P235" s="42"/>
      <c r="Q235" s="34"/>
      <c r="R235" s="11"/>
      <c r="S235" s="34"/>
      <c r="T235" s="34"/>
      <c r="U235" s="34"/>
      <c r="V235" s="34"/>
      <c r="W235" s="34"/>
      <c r="X235" s="34"/>
      <c r="Y235" s="34"/>
      <c r="Z235" s="13"/>
      <c r="AA235" s="13"/>
    </row>
    <row r="236" spans="1:27" s="8" customFormat="1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41"/>
      <c r="L236" s="30"/>
      <c r="M236" s="30"/>
      <c r="N236" s="42"/>
      <c r="O236" s="42"/>
      <c r="P236" s="42"/>
      <c r="Q236" s="34"/>
      <c r="R236" s="11"/>
      <c r="S236" s="34"/>
      <c r="T236" s="34"/>
      <c r="U236" s="34"/>
      <c r="V236" s="34"/>
      <c r="W236" s="34"/>
      <c r="X236" s="34"/>
      <c r="Y236" s="34"/>
      <c r="Z236" s="13"/>
      <c r="AA236" s="13"/>
    </row>
    <row r="237" spans="1:27" s="8" customFormat="1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41"/>
      <c r="L237" s="30"/>
      <c r="M237" s="30"/>
      <c r="N237" s="42"/>
      <c r="O237" s="42"/>
      <c r="P237" s="42"/>
      <c r="Q237" s="34"/>
      <c r="R237" s="11"/>
      <c r="S237" s="34"/>
      <c r="T237" s="34"/>
      <c r="U237" s="34"/>
      <c r="V237" s="34"/>
      <c r="W237" s="34"/>
      <c r="X237" s="34"/>
      <c r="Y237" s="34"/>
      <c r="Z237" s="13"/>
      <c r="AA237" s="13"/>
    </row>
    <row r="238" spans="1:27" s="8" customFormat="1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41"/>
      <c r="L238" s="30"/>
      <c r="M238" s="30"/>
      <c r="N238" s="42"/>
      <c r="O238" s="42"/>
      <c r="P238" s="42"/>
      <c r="Q238" s="34"/>
      <c r="R238" s="11"/>
      <c r="S238" s="34"/>
      <c r="T238" s="34"/>
      <c r="U238" s="34"/>
      <c r="V238" s="34"/>
      <c r="W238" s="34"/>
      <c r="X238" s="34"/>
      <c r="Y238" s="34"/>
      <c r="Z238" s="13"/>
      <c r="AA238" s="13"/>
    </row>
    <row r="239" spans="1:27" s="8" customFormat="1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41"/>
      <c r="L239" s="30"/>
      <c r="M239" s="30"/>
      <c r="N239" s="42"/>
      <c r="O239" s="42"/>
      <c r="P239" s="42"/>
      <c r="Q239" s="34"/>
      <c r="R239" s="11"/>
      <c r="S239" s="34"/>
      <c r="T239" s="34"/>
      <c r="U239" s="34"/>
      <c r="V239" s="34"/>
      <c r="W239" s="34"/>
      <c r="X239" s="34"/>
      <c r="Y239" s="34"/>
      <c r="Z239" s="13"/>
      <c r="AA239" s="13"/>
    </row>
    <row r="240" spans="1:27" s="8" customFormat="1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41"/>
      <c r="L240" s="30"/>
      <c r="M240" s="30"/>
      <c r="N240" s="42"/>
      <c r="O240" s="42"/>
      <c r="P240" s="42"/>
      <c r="Q240" s="34"/>
      <c r="R240" s="11"/>
      <c r="S240" s="34"/>
      <c r="T240" s="34"/>
      <c r="U240" s="34"/>
      <c r="V240" s="34"/>
      <c r="W240" s="34"/>
      <c r="X240" s="34"/>
      <c r="Y240" s="34"/>
      <c r="Z240" s="13"/>
      <c r="AA240" s="13"/>
    </row>
    <row r="241" spans="1:27" s="8" customFormat="1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41"/>
      <c r="L241" s="30"/>
      <c r="M241" s="30"/>
      <c r="N241" s="42"/>
      <c r="O241" s="42"/>
      <c r="P241" s="42"/>
      <c r="Q241" s="34"/>
      <c r="R241" s="11"/>
      <c r="S241" s="34"/>
      <c r="T241" s="34"/>
      <c r="U241" s="34"/>
      <c r="V241" s="34"/>
      <c r="W241" s="34"/>
      <c r="X241" s="34"/>
      <c r="Y241" s="34"/>
      <c r="Z241" s="13"/>
      <c r="AA241" s="13"/>
    </row>
    <row r="242" spans="1:27" s="8" customForma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41"/>
      <c r="L242" s="30"/>
      <c r="M242" s="30"/>
      <c r="N242" s="42"/>
      <c r="O242" s="42"/>
      <c r="P242" s="42"/>
      <c r="Q242" s="34"/>
      <c r="R242" s="11"/>
      <c r="S242" s="34"/>
      <c r="T242" s="34"/>
      <c r="U242" s="34"/>
      <c r="V242" s="34"/>
      <c r="W242" s="34"/>
      <c r="X242" s="34"/>
      <c r="Y242" s="34"/>
      <c r="Z242" s="13"/>
      <c r="AA242" s="13"/>
    </row>
    <row r="243" spans="1:27" s="8" customForma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41"/>
      <c r="L243" s="30"/>
      <c r="M243" s="30"/>
      <c r="N243" s="42"/>
      <c r="O243" s="42"/>
      <c r="P243" s="42"/>
      <c r="Q243" s="34"/>
      <c r="R243" s="11"/>
      <c r="S243" s="34"/>
      <c r="T243" s="34"/>
      <c r="U243" s="34"/>
      <c r="V243" s="34"/>
      <c r="W243" s="34"/>
      <c r="X243" s="34"/>
      <c r="Y243" s="34"/>
      <c r="Z243" s="13"/>
      <c r="AA243" s="13"/>
    </row>
    <row r="244" spans="1:27" s="8" customFormat="1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41"/>
      <c r="L244" s="30"/>
      <c r="M244" s="30"/>
      <c r="N244" s="42"/>
      <c r="O244" s="42"/>
      <c r="P244" s="42"/>
      <c r="Q244" s="34"/>
      <c r="R244" s="11"/>
      <c r="S244" s="34"/>
      <c r="T244" s="34"/>
      <c r="U244" s="34"/>
      <c r="V244" s="34"/>
      <c r="W244" s="34"/>
      <c r="X244" s="34"/>
      <c r="Y244" s="34"/>
      <c r="Z244" s="13"/>
      <c r="AA244" s="13"/>
    </row>
    <row r="245" spans="1:27" s="8" customFormat="1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41"/>
      <c r="L245" s="30"/>
      <c r="M245" s="30"/>
      <c r="N245" s="42"/>
      <c r="O245" s="42"/>
      <c r="P245" s="42"/>
      <c r="Q245" s="34"/>
      <c r="R245" s="11"/>
      <c r="S245" s="34"/>
      <c r="T245" s="34"/>
      <c r="U245" s="34"/>
      <c r="V245" s="34"/>
      <c r="W245" s="34"/>
      <c r="X245" s="34"/>
      <c r="Y245" s="34"/>
      <c r="Z245" s="13"/>
      <c r="AA245" s="13"/>
    </row>
    <row r="246" spans="1:27" s="8" customFormat="1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41"/>
      <c r="L246" s="30"/>
      <c r="M246" s="30"/>
      <c r="N246" s="42"/>
      <c r="O246" s="42"/>
      <c r="P246" s="42"/>
      <c r="Q246" s="34"/>
      <c r="R246" s="11"/>
      <c r="S246" s="34"/>
      <c r="T246" s="34"/>
      <c r="U246" s="34"/>
      <c r="V246" s="34"/>
      <c r="W246" s="34"/>
      <c r="X246" s="34"/>
      <c r="Y246" s="34"/>
      <c r="Z246" s="13"/>
      <c r="AA246" s="13"/>
    </row>
    <row r="247" spans="1:27" s="8" customFormat="1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41"/>
      <c r="L247" s="30"/>
      <c r="M247" s="30"/>
      <c r="N247" s="42"/>
      <c r="O247" s="42"/>
      <c r="P247" s="42"/>
      <c r="Q247" s="34"/>
      <c r="R247" s="11"/>
      <c r="S247" s="34"/>
      <c r="T247" s="34"/>
      <c r="U247" s="34"/>
      <c r="V247" s="34"/>
      <c r="W247" s="34"/>
      <c r="X247" s="34"/>
      <c r="Y247" s="34"/>
      <c r="Z247" s="13"/>
      <c r="AA247" s="13"/>
    </row>
    <row r="248" spans="1:27" s="8" customFormat="1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41"/>
      <c r="L248" s="30"/>
      <c r="M248" s="30"/>
      <c r="N248" s="42"/>
      <c r="O248" s="42"/>
      <c r="P248" s="42"/>
      <c r="Q248" s="34"/>
      <c r="R248" s="11"/>
      <c r="S248" s="34"/>
      <c r="T248" s="34"/>
      <c r="U248" s="34"/>
      <c r="V248" s="34"/>
      <c r="W248" s="34"/>
      <c r="X248" s="34"/>
      <c r="Y248" s="34"/>
      <c r="Z248" s="13"/>
      <c r="AA248" s="13"/>
    </row>
    <row r="249" spans="1:27" s="8" customForma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41"/>
      <c r="L249" s="30"/>
      <c r="M249" s="30"/>
      <c r="N249" s="42"/>
      <c r="O249" s="42"/>
      <c r="P249" s="42"/>
      <c r="Q249" s="34"/>
      <c r="R249" s="11"/>
      <c r="S249" s="34"/>
      <c r="T249" s="34"/>
      <c r="U249" s="34"/>
      <c r="V249" s="34"/>
      <c r="W249" s="34"/>
      <c r="X249" s="34"/>
      <c r="Y249" s="34"/>
      <c r="Z249" s="13"/>
      <c r="AA249" s="13"/>
    </row>
    <row r="250" spans="1:27" s="8" customFormat="1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41"/>
      <c r="L250" s="30"/>
      <c r="M250" s="30"/>
      <c r="N250" s="42"/>
      <c r="O250" s="42"/>
      <c r="P250" s="42"/>
      <c r="Q250" s="34"/>
      <c r="R250" s="11"/>
      <c r="S250" s="34"/>
      <c r="T250" s="34"/>
      <c r="U250" s="34"/>
      <c r="V250" s="34"/>
      <c r="W250" s="34"/>
      <c r="X250" s="34"/>
      <c r="Y250" s="34"/>
      <c r="Z250" s="13"/>
      <c r="AA250" s="13"/>
    </row>
    <row r="251" spans="1:27" s="8" customFormat="1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41"/>
      <c r="L251" s="30"/>
      <c r="M251" s="30"/>
      <c r="N251" s="42"/>
      <c r="O251" s="42"/>
      <c r="P251" s="42"/>
      <c r="Q251" s="34"/>
      <c r="R251" s="11"/>
      <c r="S251" s="34"/>
      <c r="T251" s="34"/>
      <c r="U251" s="34"/>
      <c r="V251" s="34"/>
      <c r="W251" s="34"/>
      <c r="X251" s="34"/>
      <c r="Y251" s="34"/>
      <c r="Z251" s="13"/>
      <c r="AA251" s="13"/>
    </row>
    <row r="252" spans="1:27" s="8" customFormat="1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41"/>
      <c r="L252" s="30"/>
      <c r="M252" s="30"/>
      <c r="N252" s="42"/>
      <c r="O252" s="42"/>
      <c r="P252" s="42"/>
      <c r="Q252" s="34"/>
      <c r="R252" s="11"/>
      <c r="S252" s="34"/>
      <c r="T252" s="34"/>
      <c r="U252" s="34"/>
      <c r="V252" s="34"/>
      <c r="W252" s="34"/>
      <c r="X252" s="34"/>
      <c r="Y252" s="34"/>
      <c r="Z252" s="13"/>
      <c r="AA252" s="13"/>
    </row>
    <row r="253" spans="1:27" s="8" customFormat="1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41"/>
      <c r="L253" s="30"/>
      <c r="M253" s="30"/>
      <c r="N253" s="42"/>
      <c r="O253" s="42"/>
      <c r="P253" s="42"/>
      <c r="Q253" s="34"/>
      <c r="R253" s="11"/>
      <c r="S253" s="34"/>
      <c r="T253" s="34"/>
      <c r="U253" s="34"/>
      <c r="V253" s="34"/>
      <c r="W253" s="34"/>
      <c r="X253" s="34"/>
      <c r="Y253" s="34"/>
      <c r="Z253" s="13"/>
      <c r="AA253" s="13"/>
    </row>
    <row r="254" spans="1:27" s="8" customFormat="1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41"/>
      <c r="L254" s="30"/>
      <c r="M254" s="30"/>
      <c r="N254" s="42"/>
      <c r="O254" s="42"/>
      <c r="P254" s="42"/>
      <c r="Q254" s="34"/>
      <c r="R254" s="11"/>
      <c r="S254" s="34"/>
      <c r="T254" s="34"/>
      <c r="U254" s="34"/>
      <c r="V254" s="34"/>
      <c r="W254" s="34"/>
      <c r="X254" s="34"/>
      <c r="Y254" s="34"/>
      <c r="Z254" s="13"/>
      <c r="AA254" s="13"/>
    </row>
    <row r="255" spans="1:27" s="8" customFormat="1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41"/>
      <c r="L255" s="30"/>
      <c r="M255" s="30"/>
      <c r="N255" s="42"/>
      <c r="O255" s="42"/>
      <c r="P255" s="42"/>
      <c r="Q255" s="34"/>
      <c r="R255" s="11"/>
      <c r="S255" s="34"/>
      <c r="T255" s="34"/>
      <c r="U255" s="34"/>
      <c r="V255" s="34"/>
      <c r="W255" s="34"/>
      <c r="X255" s="34"/>
      <c r="Y255" s="34"/>
      <c r="Z255" s="13"/>
      <c r="AA255" s="13"/>
    </row>
    <row r="256" spans="1:27" s="8" customForma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41"/>
      <c r="L256" s="30"/>
      <c r="M256" s="30"/>
      <c r="N256" s="42"/>
      <c r="O256" s="42"/>
      <c r="P256" s="42"/>
      <c r="Q256" s="34"/>
      <c r="R256" s="11"/>
      <c r="S256" s="34"/>
      <c r="T256" s="34"/>
      <c r="U256" s="34"/>
      <c r="V256" s="34"/>
      <c r="W256" s="34"/>
      <c r="X256" s="34"/>
      <c r="Y256" s="34"/>
      <c r="Z256" s="13"/>
      <c r="AA256" s="13"/>
    </row>
    <row r="257" spans="1:27" s="8" customFormat="1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41"/>
      <c r="L257" s="30"/>
      <c r="M257" s="30"/>
      <c r="N257" s="42"/>
      <c r="O257" s="42"/>
      <c r="P257" s="42"/>
      <c r="Q257" s="34"/>
      <c r="R257" s="11"/>
      <c r="S257" s="34"/>
      <c r="T257" s="34"/>
      <c r="U257" s="34"/>
      <c r="V257" s="34"/>
      <c r="W257" s="34"/>
      <c r="X257" s="34"/>
      <c r="Y257" s="34"/>
      <c r="Z257" s="13"/>
      <c r="AA257" s="13"/>
    </row>
    <row r="258" spans="1:27" s="8" customFormat="1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41"/>
      <c r="L258" s="30"/>
      <c r="M258" s="30"/>
      <c r="N258" s="42"/>
      <c r="O258" s="42"/>
      <c r="P258" s="42"/>
      <c r="Q258" s="34"/>
      <c r="R258" s="11"/>
      <c r="S258" s="34"/>
      <c r="T258" s="34"/>
      <c r="U258" s="34"/>
      <c r="V258" s="34"/>
      <c r="W258" s="34"/>
      <c r="X258" s="34"/>
      <c r="Y258" s="34"/>
      <c r="Z258" s="13"/>
      <c r="AA258" s="13"/>
    </row>
    <row r="259" spans="1:27" s="8" customFormat="1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41"/>
      <c r="L259" s="30"/>
      <c r="M259" s="30"/>
      <c r="N259" s="42"/>
      <c r="O259" s="42"/>
      <c r="P259" s="42"/>
      <c r="Q259" s="34"/>
      <c r="R259" s="11"/>
      <c r="S259" s="34"/>
      <c r="T259" s="34"/>
      <c r="U259" s="34"/>
      <c r="V259" s="34"/>
      <c r="W259" s="34"/>
      <c r="X259" s="34"/>
      <c r="Y259" s="34"/>
      <c r="Z259" s="13"/>
      <c r="AA259" s="13"/>
    </row>
    <row r="260" spans="1:27" s="8" customFormat="1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41"/>
      <c r="L260" s="30"/>
      <c r="M260" s="30"/>
      <c r="N260" s="42"/>
      <c r="O260" s="42"/>
      <c r="P260" s="42"/>
      <c r="Q260" s="34"/>
      <c r="R260" s="11"/>
      <c r="S260" s="34"/>
      <c r="T260" s="34"/>
      <c r="U260" s="34"/>
      <c r="V260" s="34"/>
      <c r="W260" s="34"/>
      <c r="X260" s="34"/>
      <c r="Y260" s="34"/>
      <c r="Z260" s="13"/>
      <c r="AA260" s="13"/>
    </row>
    <row r="261" spans="1:27" s="8" customFormat="1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41"/>
      <c r="L261" s="30"/>
      <c r="M261" s="30"/>
      <c r="N261" s="42"/>
      <c r="O261" s="42"/>
      <c r="P261" s="42"/>
      <c r="Q261" s="34"/>
      <c r="R261" s="11"/>
      <c r="S261" s="34"/>
      <c r="T261" s="34"/>
      <c r="U261" s="34"/>
      <c r="V261" s="34"/>
      <c r="W261" s="34"/>
      <c r="X261" s="34"/>
      <c r="Y261" s="34"/>
      <c r="Z261" s="13"/>
      <c r="AA261" s="13"/>
    </row>
    <row r="262" spans="1:27" s="8" customFormat="1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41"/>
      <c r="L262" s="30"/>
      <c r="M262" s="30"/>
      <c r="N262" s="42"/>
      <c r="O262" s="42"/>
      <c r="P262" s="42"/>
      <c r="Q262" s="34"/>
      <c r="R262" s="11"/>
      <c r="S262" s="34"/>
      <c r="T262" s="34"/>
      <c r="U262" s="34"/>
      <c r="V262" s="34"/>
      <c r="W262" s="34"/>
      <c r="X262" s="34"/>
      <c r="Y262" s="34"/>
      <c r="Z262" s="13"/>
      <c r="AA262" s="13"/>
    </row>
    <row r="263" spans="1:27" s="8" customForma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41"/>
      <c r="L263" s="30"/>
      <c r="M263" s="30"/>
      <c r="N263" s="42"/>
      <c r="O263" s="42"/>
      <c r="P263" s="42"/>
      <c r="Q263" s="34"/>
      <c r="R263" s="11"/>
      <c r="S263" s="34"/>
      <c r="T263" s="34"/>
      <c r="U263" s="34"/>
      <c r="V263" s="34"/>
      <c r="W263" s="34"/>
      <c r="X263" s="34"/>
      <c r="Y263" s="34"/>
      <c r="Z263" s="13"/>
      <c r="AA263" s="13"/>
    </row>
    <row r="264" spans="1:27" s="8" customFormat="1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41"/>
      <c r="L264" s="30"/>
      <c r="M264" s="30"/>
      <c r="N264" s="42"/>
      <c r="O264" s="42"/>
      <c r="P264" s="42"/>
      <c r="Q264" s="34"/>
      <c r="R264" s="11"/>
      <c r="S264" s="34"/>
      <c r="T264" s="34"/>
      <c r="U264" s="34"/>
      <c r="V264" s="34"/>
      <c r="W264" s="34"/>
      <c r="X264" s="34"/>
      <c r="Y264" s="34"/>
      <c r="Z264" s="13"/>
      <c r="AA264" s="13"/>
    </row>
    <row r="265" spans="1:27" s="8" customFormat="1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41"/>
      <c r="L265" s="30"/>
      <c r="M265" s="30"/>
      <c r="N265" s="42"/>
      <c r="O265" s="42"/>
      <c r="P265" s="42"/>
      <c r="Q265" s="34"/>
      <c r="R265" s="11"/>
      <c r="S265" s="34"/>
      <c r="T265" s="34"/>
      <c r="U265" s="34"/>
      <c r="V265" s="34"/>
      <c r="W265" s="34"/>
      <c r="X265" s="34"/>
      <c r="Y265" s="34"/>
      <c r="Z265" s="13"/>
      <c r="AA265" s="13"/>
    </row>
    <row r="266" spans="1:27" s="8" customFormat="1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41"/>
      <c r="L266" s="30"/>
      <c r="M266" s="30"/>
      <c r="N266" s="42"/>
      <c r="O266" s="42"/>
      <c r="P266" s="42"/>
      <c r="Q266" s="34"/>
      <c r="R266" s="11"/>
      <c r="S266" s="34"/>
      <c r="T266" s="34"/>
      <c r="U266" s="34"/>
      <c r="V266" s="34"/>
      <c r="W266" s="34"/>
      <c r="X266" s="34"/>
      <c r="Y266" s="34"/>
      <c r="Z266" s="13"/>
      <c r="AA266" s="13"/>
    </row>
    <row r="267" spans="1:27" s="8" customFormat="1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41"/>
      <c r="L267" s="30"/>
      <c r="M267" s="30"/>
      <c r="N267" s="42"/>
      <c r="O267" s="42"/>
      <c r="P267" s="42"/>
      <c r="Q267" s="34"/>
      <c r="R267" s="11"/>
      <c r="S267" s="34"/>
      <c r="T267" s="34"/>
      <c r="U267" s="34"/>
      <c r="V267" s="34"/>
      <c r="W267" s="34"/>
      <c r="X267" s="34"/>
      <c r="Y267" s="34"/>
      <c r="Z267" s="13"/>
      <c r="AA267" s="13"/>
    </row>
    <row r="268" spans="1:27" s="8" customFormat="1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41"/>
      <c r="L268" s="30"/>
      <c r="M268" s="30"/>
      <c r="N268" s="42"/>
      <c r="O268" s="42"/>
      <c r="P268" s="42"/>
      <c r="Q268" s="34"/>
      <c r="R268" s="11"/>
      <c r="S268" s="34"/>
      <c r="T268" s="34"/>
      <c r="U268" s="34"/>
      <c r="V268" s="34"/>
      <c r="W268" s="34"/>
      <c r="X268" s="34"/>
      <c r="Y268" s="34"/>
      <c r="Z268" s="13"/>
      <c r="AA268" s="1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C59D-B976-4931-BBC2-36F7C599A2C2}">
  <dimension ref="A1:BW216"/>
  <sheetViews>
    <sheetView topLeftCell="Y59" zoomScale="130" zoomScaleNormal="130" workbookViewId="0">
      <selection activeCell="Z74" sqref="Z74"/>
    </sheetView>
  </sheetViews>
  <sheetFormatPr defaultRowHeight="13.8" x14ac:dyDescent="0.25"/>
  <cols>
    <col min="1" max="4" width="22.109375" style="30" customWidth="1"/>
    <col min="5" max="5" width="18.77734375" style="30" customWidth="1"/>
    <col min="6" max="6" width="17.33203125" style="30" customWidth="1"/>
    <col min="7" max="7" width="16.6640625" style="30" customWidth="1"/>
    <col min="8" max="8" width="20.88671875" style="30" customWidth="1"/>
    <col min="9" max="9" width="19.21875" style="30" customWidth="1"/>
    <col min="10" max="10" width="23.109375" style="30" customWidth="1"/>
    <col min="11" max="11" width="13.6640625" style="41" customWidth="1"/>
    <col min="12" max="12" width="20.88671875" style="30" customWidth="1"/>
    <col min="13" max="13" width="31.5546875" style="30" customWidth="1"/>
    <col min="14" max="15" width="20.6640625" style="42" customWidth="1"/>
    <col min="16" max="16" width="36.33203125" style="42" customWidth="1"/>
    <col min="17" max="17" width="23.21875" style="34" customWidth="1"/>
    <col min="18" max="18" width="30.88671875" style="11" customWidth="1"/>
    <col min="19" max="22" width="20.6640625" style="34" customWidth="1"/>
    <col min="23" max="23" width="30" style="34" customWidth="1"/>
    <col min="24" max="25" width="38.6640625" style="34" customWidth="1"/>
    <col min="26" max="26" width="50.5546875" style="13" customWidth="1"/>
    <col min="27" max="27" width="50.33203125" style="13" customWidth="1"/>
    <col min="28" max="16384" width="8.88671875" style="7"/>
  </cols>
  <sheetData>
    <row r="1" spans="1:27" s="31" customFormat="1" ht="53.4" customHeight="1" x14ac:dyDescent="0.3">
      <c r="A1" s="14" t="s">
        <v>7</v>
      </c>
      <c r="B1" s="15" t="s">
        <v>6</v>
      </c>
      <c r="C1" s="14" t="s">
        <v>2</v>
      </c>
      <c r="D1" s="14" t="s">
        <v>1</v>
      </c>
      <c r="E1" s="15" t="s">
        <v>0</v>
      </c>
      <c r="F1" s="14" t="s">
        <v>3</v>
      </c>
      <c r="G1" s="15" t="s">
        <v>11</v>
      </c>
      <c r="H1" s="14" t="s">
        <v>4</v>
      </c>
      <c r="I1" s="15" t="s">
        <v>12</v>
      </c>
      <c r="J1" s="15" t="s">
        <v>8</v>
      </c>
      <c r="K1" s="21" t="s">
        <v>5</v>
      </c>
      <c r="L1" s="15" t="s">
        <v>10</v>
      </c>
      <c r="M1" s="15" t="s">
        <v>40</v>
      </c>
      <c r="N1" s="32" t="s">
        <v>9</v>
      </c>
      <c r="O1" s="32" t="s">
        <v>31</v>
      </c>
      <c r="P1" s="32" t="s">
        <v>32</v>
      </c>
      <c r="Q1" s="26" t="s">
        <v>13</v>
      </c>
      <c r="R1" s="17" t="s">
        <v>22</v>
      </c>
      <c r="S1" s="25" t="s">
        <v>30</v>
      </c>
      <c r="T1" s="25" t="s">
        <v>14</v>
      </c>
      <c r="U1" s="25" t="s">
        <v>15</v>
      </c>
      <c r="V1" s="25" t="s">
        <v>26</v>
      </c>
      <c r="W1" s="25" t="s">
        <v>34</v>
      </c>
      <c r="X1" s="25" t="s">
        <v>41</v>
      </c>
      <c r="Y1" s="25" t="s">
        <v>52</v>
      </c>
      <c r="Z1" s="44" t="s">
        <v>44</v>
      </c>
      <c r="AA1" s="44" t="s">
        <v>45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18.559405940594061</v>
      </c>
      <c r="L2" s="1">
        <f>(K2/1000000)</f>
        <v>1.8559405940594063E-5</v>
      </c>
      <c r="M2" s="1">
        <f>(3.142*3.07*3.07*25.4*25.4)/(4*1000000)</f>
        <v>4.7762865441819992E-3</v>
      </c>
      <c r="N2" s="29">
        <f>(L2*J2)/M2</f>
        <v>7.8199829879262379E-8</v>
      </c>
      <c r="O2" s="29">
        <f>(2.032/1000)</f>
        <v>2.032E-3</v>
      </c>
      <c r="P2" s="29">
        <v>4.7360646624728548E-11</v>
      </c>
      <c r="Q2" s="2">
        <v>0.05</v>
      </c>
      <c r="R2" s="2">
        <f>(1+Q2)*100000*1</f>
        <v>105000</v>
      </c>
      <c r="S2" s="2">
        <f>(5.13985794328043/1000)</f>
        <v>5.1398579432804297E-3</v>
      </c>
      <c r="T2" s="2">
        <v>0.08</v>
      </c>
      <c r="U2" s="2">
        <f>(1+T2)*100000</f>
        <v>108000</v>
      </c>
      <c r="V2" s="2">
        <f t="shared" ref="V2:V33" si="1">(L2*U2)</f>
        <v>2.0044158415841586</v>
      </c>
      <c r="W2" s="2">
        <f>(30/1000000)*100000</f>
        <v>3</v>
      </c>
      <c r="X2" s="16">
        <f t="shared" ref="X2:X33" si="2">(N2+((P2/O2)*(SQRT(V2)-SQRT(W2))))</f>
        <v>7.0828236824337957E-8</v>
      </c>
      <c r="Y2" s="2">
        <f>(SQRT(R2)-(X2*O2/P2))^2</f>
        <v>103039.82013335115</v>
      </c>
      <c r="Z2" s="2">
        <f>(X2*S2)/(Y2-V2)</f>
        <v>3.5331404602772175E-15</v>
      </c>
      <c r="AA2" s="2">
        <f>(Z2*6.022E+23)</f>
        <v>2127657185.1789405</v>
      </c>
    </row>
    <row r="3" spans="1:27" x14ac:dyDescent="0.25">
      <c r="A3" s="1">
        <v>3</v>
      </c>
      <c r="B3" s="1">
        <f t="shared" ref="B3:B62" si="3">(A3/60)</f>
        <v>0.05</v>
      </c>
      <c r="C3" s="1">
        <v>20</v>
      </c>
      <c r="D3" s="1">
        <f t="shared" si="0"/>
        <v>29.146000000000001</v>
      </c>
      <c r="E3" s="1">
        <f t="shared" ref="E3:E62" si="4">(D3/(1000000*60))</f>
        <v>4.8576666666666667E-7</v>
      </c>
      <c r="F3" s="1">
        <v>21.1</v>
      </c>
      <c r="G3" s="1">
        <f t="shared" ref="G3:G62" si="5">(273+F3)</f>
        <v>294.10000000000002</v>
      </c>
      <c r="H3" s="1">
        <v>101.3</v>
      </c>
      <c r="I3" s="1">
        <f t="shared" ref="I3:I62" si="6">(H3*1000)</f>
        <v>101300</v>
      </c>
      <c r="J3" s="1">
        <f t="shared" ref="J3:J62" si="7">((I3*E3)/(8.314*G3))</f>
        <v>2.0124824921938581E-5</v>
      </c>
      <c r="K3" s="22">
        <v>20.316831683168317</v>
      </c>
      <c r="L3" s="1">
        <f t="shared" ref="L3:L62" si="8">(K3/1000000)</f>
        <v>2.0316831683168318E-5</v>
      </c>
      <c r="M3" s="1">
        <f t="shared" ref="M3:M62" si="9">(3.142*3.07*3.07*25.4*25.4)/(4*1000000)</f>
        <v>4.7762865441819992E-3</v>
      </c>
      <c r="N3" s="29">
        <f t="shared" ref="N3:N62" si="10">(L3*J3)/M3</f>
        <v>8.5604721745663576E-8</v>
      </c>
      <c r="O3" s="29">
        <f t="shared" ref="O3:O62" si="11">(2.032/1000)</f>
        <v>2.032E-3</v>
      </c>
      <c r="P3" s="29">
        <v>4.7360646624728548E-11</v>
      </c>
      <c r="Q3" s="2">
        <v>0.05</v>
      </c>
      <c r="R3" s="2">
        <f t="shared" ref="R3:R62" si="12">(1+Q3)*100000*1</f>
        <v>105000</v>
      </c>
      <c r="S3" s="2">
        <f t="shared" ref="S3:S62" si="13">(5.13985794328043/1000)</f>
        <v>5.1398579432804297E-3</v>
      </c>
      <c r="T3" s="2">
        <v>0.08</v>
      </c>
      <c r="U3" s="2">
        <f t="shared" ref="U3:U62" si="14">(1+T3)*100000</f>
        <v>108000</v>
      </c>
      <c r="V3" s="2">
        <f t="shared" si="1"/>
        <v>2.1942178217821784</v>
      </c>
      <c r="W3" s="2">
        <f t="shared" ref="W3:W62" si="15">(30/1000000)*100000</f>
        <v>3</v>
      </c>
      <c r="X3" s="2">
        <f t="shared" si="2"/>
        <v>7.9760120445987959E-8</v>
      </c>
      <c r="Y3" s="2">
        <f t="shared" ref="Y3:Y62" si="16">(SQRT(R3)-(X3*O3/P3))^2</f>
        <v>102793.94061087808</v>
      </c>
      <c r="Z3" s="2">
        <f t="shared" ref="Z3:Z62" si="17">(X3*S3)/(Y3-V3)</f>
        <v>3.9882160097146484E-15</v>
      </c>
      <c r="AA3" s="2">
        <f t="shared" ref="AA3:AA62" si="18">(Z3*6.022E+23)</f>
        <v>2401703681.0501614</v>
      </c>
    </row>
    <row r="4" spans="1:27" x14ac:dyDescent="0.25">
      <c r="A4" s="1">
        <v>6</v>
      </c>
      <c r="B4" s="1">
        <f t="shared" si="3"/>
        <v>0.1</v>
      </c>
      <c r="C4" s="1">
        <v>20</v>
      </c>
      <c r="D4" s="1">
        <f t="shared" si="0"/>
        <v>29.146000000000001</v>
      </c>
      <c r="E4" s="1">
        <f t="shared" si="4"/>
        <v>4.8576666666666667E-7</v>
      </c>
      <c r="F4" s="1">
        <v>21.1</v>
      </c>
      <c r="G4" s="1">
        <f t="shared" si="5"/>
        <v>294.10000000000002</v>
      </c>
      <c r="H4" s="1">
        <v>101.3</v>
      </c>
      <c r="I4" s="1">
        <f t="shared" si="6"/>
        <v>101300</v>
      </c>
      <c r="J4" s="1">
        <f t="shared" si="7"/>
        <v>2.0124824921938581E-5</v>
      </c>
      <c r="K4" s="22">
        <v>22.173267326732674</v>
      </c>
      <c r="L4" s="1">
        <f t="shared" si="8"/>
        <v>2.2173267326732673E-5</v>
      </c>
      <c r="M4" s="1">
        <f t="shared" si="9"/>
        <v>4.7762865441819992E-3</v>
      </c>
      <c r="N4" s="29">
        <f t="shared" si="10"/>
        <v>9.3426790618622598E-8</v>
      </c>
      <c r="O4" s="29">
        <f t="shared" si="11"/>
        <v>2.032E-3</v>
      </c>
      <c r="P4" s="29">
        <v>4.7360646624728548E-11</v>
      </c>
      <c r="Q4" s="2">
        <v>0.05</v>
      </c>
      <c r="R4" s="2">
        <f t="shared" si="12"/>
        <v>105000</v>
      </c>
      <c r="S4" s="2">
        <f t="shared" si="13"/>
        <v>5.1398579432804297E-3</v>
      </c>
      <c r="T4" s="2">
        <v>0.08</v>
      </c>
      <c r="U4" s="2">
        <f t="shared" si="14"/>
        <v>108000</v>
      </c>
      <c r="V4" s="2">
        <f t="shared" si="1"/>
        <v>2.3947128712871288</v>
      </c>
      <c r="W4" s="2">
        <f t="shared" si="15"/>
        <v>3</v>
      </c>
      <c r="X4" s="2">
        <f t="shared" si="2"/>
        <v>8.9125063562000526E-8</v>
      </c>
      <c r="Y4" s="2">
        <f t="shared" si="16"/>
        <v>102536.45512192098</v>
      </c>
      <c r="Z4" s="2">
        <f t="shared" si="17"/>
        <v>4.4676877524113966E-15</v>
      </c>
      <c r="AA4" s="2">
        <f t="shared" si="18"/>
        <v>2690441564.5021429</v>
      </c>
    </row>
    <row r="5" spans="1:27" x14ac:dyDescent="0.25">
      <c r="A5" s="1">
        <v>9</v>
      </c>
      <c r="B5" s="1">
        <f t="shared" si="3"/>
        <v>0.15</v>
      </c>
      <c r="C5" s="1">
        <v>20</v>
      </c>
      <c r="D5" s="1">
        <f t="shared" si="0"/>
        <v>29.146000000000001</v>
      </c>
      <c r="E5" s="1">
        <f t="shared" si="4"/>
        <v>4.8576666666666667E-7</v>
      </c>
      <c r="F5" s="1">
        <v>21.1</v>
      </c>
      <c r="G5" s="1">
        <f t="shared" si="5"/>
        <v>294.10000000000002</v>
      </c>
      <c r="H5" s="1">
        <v>101.3</v>
      </c>
      <c r="I5" s="1">
        <f t="shared" si="6"/>
        <v>101300</v>
      </c>
      <c r="J5" s="1">
        <f t="shared" si="7"/>
        <v>2.0124824921938581E-5</v>
      </c>
      <c r="K5" s="22">
        <v>18.262376237623762</v>
      </c>
      <c r="L5" s="1">
        <f t="shared" si="8"/>
        <v>1.8262376237623761E-5</v>
      </c>
      <c r="M5" s="1">
        <f t="shared" si="9"/>
        <v>4.7762865441819992E-3</v>
      </c>
      <c r="N5" s="29">
        <f t="shared" si="10"/>
        <v>7.6948298859588905E-8</v>
      </c>
      <c r="O5" s="29">
        <f t="shared" si="11"/>
        <v>2.032E-3</v>
      </c>
      <c r="P5" s="29">
        <v>4.7360646624728548E-11</v>
      </c>
      <c r="Q5" s="2">
        <v>0.05</v>
      </c>
      <c r="R5" s="2">
        <f t="shared" si="12"/>
        <v>105000</v>
      </c>
      <c r="S5" s="2">
        <f t="shared" si="13"/>
        <v>5.1398579432804297E-3</v>
      </c>
      <c r="T5" s="2">
        <v>0.08</v>
      </c>
      <c r="U5" s="2">
        <f t="shared" si="14"/>
        <v>108000</v>
      </c>
      <c r="V5" s="2">
        <f t="shared" si="1"/>
        <v>1.9723366336633661</v>
      </c>
      <c r="W5" s="2">
        <f t="shared" si="15"/>
        <v>3</v>
      </c>
      <c r="X5" s="2">
        <f t="shared" si="2"/>
        <v>6.9311586219932858E-8</v>
      </c>
      <c r="Y5" s="2">
        <f t="shared" si="16"/>
        <v>103081.60010890922</v>
      </c>
      <c r="Z5" s="2">
        <f t="shared" si="17"/>
        <v>3.4560825906446113E-15</v>
      </c>
      <c r="AA5" s="2">
        <f t="shared" si="18"/>
        <v>2081252936.086185</v>
      </c>
    </row>
    <row r="6" spans="1:27" x14ac:dyDescent="0.25">
      <c r="A6" s="1">
        <v>12</v>
      </c>
      <c r="B6" s="1">
        <f t="shared" si="3"/>
        <v>0.2</v>
      </c>
      <c r="C6" s="1">
        <v>20</v>
      </c>
      <c r="D6" s="1">
        <f t="shared" si="0"/>
        <v>29.146000000000001</v>
      </c>
      <c r="E6" s="1">
        <f t="shared" si="4"/>
        <v>4.8576666666666667E-7</v>
      </c>
      <c r="F6" s="1">
        <v>21.1</v>
      </c>
      <c r="G6" s="1">
        <f t="shared" si="5"/>
        <v>294.10000000000002</v>
      </c>
      <c r="H6" s="1">
        <v>101.3</v>
      </c>
      <c r="I6" s="1">
        <f t="shared" si="6"/>
        <v>101300</v>
      </c>
      <c r="J6" s="1">
        <f t="shared" si="7"/>
        <v>2.0124824921938581E-5</v>
      </c>
      <c r="K6" s="22">
        <v>20.316831683168317</v>
      </c>
      <c r="L6" s="1">
        <f t="shared" si="8"/>
        <v>2.0316831683168318E-5</v>
      </c>
      <c r="M6" s="1">
        <f t="shared" si="9"/>
        <v>4.7762865441819992E-3</v>
      </c>
      <c r="N6" s="29">
        <f t="shared" si="10"/>
        <v>8.5604721745663576E-8</v>
      </c>
      <c r="O6" s="29">
        <f t="shared" si="11"/>
        <v>2.032E-3</v>
      </c>
      <c r="P6" s="29">
        <v>4.7360646624728548E-11</v>
      </c>
      <c r="Q6" s="2">
        <v>0.05</v>
      </c>
      <c r="R6" s="2">
        <f t="shared" si="12"/>
        <v>105000</v>
      </c>
      <c r="S6" s="2">
        <f t="shared" si="13"/>
        <v>5.1398579432804297E-3</v>
      </c>
      <c r="T6" s="2">
        <v>0.08</v>
      </c>
      <c r="U6" s="2">
        <f t="shared" si="14"/>
        <v>108000</v>
      </c>
      <c r="V6" s="2">
        <f t="shared" si="1"/>
        <v>2.1942178217821784</v>
      </c>
      <c r="W6" s="2">
        <f t="shared" si="15"/>
        <v>3</v>
      </c>
      <c r="X6" s="2">
        <f t="shared" si="2"/>
        <v>7.9760120445987959E-8</v>
      </c>
      <c r="Y6" s="2">
        <f t="shared" si="16"/>
        <v>102793.94061087808</v>
      </c>
      <c r="Z6" s="2">
        <f t="shared" si="17"/>
        <v>3.9882160097146484E-15</v>
      </c>
      <c r="AA6" s="2">
        <f t="shared" si="18"/>
        <v>2401703681.0501614</v>
      </c>
    </row>
    <row r="7" spans="1:27" x14ac:dyDescent="0.25">
      <c r="A7" s="1">
        <v>15</v>
      </c>
      <c r="B7" s="1">
        <f t="shared" si="3"/>
        <v>0.25</v>
      </c>
      <c r="C7" s="1">
        <v>20</v>
      </c>
      <c r="D7" s="1">
        <f t="shared" si="0"/>
        <v>29.146000000000001</v>
      </c>
      <c r="E7" s="1">
        <f t="shared" si="4"/>
        <v>4.8576666666666667E-7</v>
      </c>
      <c r="F7" s="1">
        <v>21.1</v>
      </c>
      <c r="G7" s="1">
        <f t="shared" si="5"/>
        <v>294.10000000000002</v>
      </c>
      <c r="H7" s="1">
        <v>101.3</v>
      </c>
      <c r="I7" s="1">
        <f t="shared" si="6"/>
        <v>101300</v>
      </c>
      <c r="J7" s="1">
        <f t="shared" si="7"/>
        <v>2.0124824921938581E-5</v>
      </c>
      <c r="K7" s="22">
        <v>20.242574257425744</v>
      </c>
      <c r="L7" s="1">
        <f t="shared" si="8"/>
        <v>2.0242574257425744E-5</v>
      </c>
      <c r="M7" s="1">
        <f t="shared" si="9"/>
        <v>4.7762865441819992E-3</v>
      </c>
      <c r="N7" s="29">
        <f t="shared" si="10"/>
        <v>8.5291838990745217E-8</v>
      </c>
      <c r="O7" s="29">
        <f t="shared" si="11"/>
        <v>2.032E-3</v>
      </c>
      <c r="P7" s="29">
        <v>4.7360646624728548E-11</v>
      </c>
      <c r="Q7" s="2">
        <v>0.05</v>
      </c>
      <c r="R7" s="2">
        <f t="shared" si="12"/>
        <v>105000</v>
      </c>
      <c r="S7" s="2">
        <f t="shared" si="13"/>
        <v>5.1398579432804297E-3</v>
      </c>
      <c r="T7" s="2">
        <v>0.08</v>
      </c>
      <c r="U7" s="2">
        <f t="shared" si="14"/>
        <v>108000</v>
      </c>
      <c r="V7" s="2">
        <f t="shared" si="1"/>
        <v>2.1861980198019806</v>
      </c>
      <c r="W7" s="2">
        <f t="shared" si="15"/>
        <v>3</v>
      </c>
      <c r="X7" s="2">
        <f t="shared" si="2"/>
        <v>7.9384085986346384E-8</v>
      </c>
      <c r="Y7" s="2">
        <f t="shared" si="16"/>
        <v>102804.28627574173</v>
      </c>
      <c r="Z7" s="2">
        <f t="shared" si="17"/>
        <v>3.9690135183862946E-15</v>
      </c>
      <c r="AA7" s="2">
        <f t="shared" si="18"/>
        <v>2390139940.7722268</v>
      </c>
    </row>
    <row r="8" spans="1:27" x14ac:dyDescent="0.25">
      <c r="A8" s="1">
        <v>18</v>
      </c>
      <c r="B8" s="1">
        <f t="shared" si="3"/>
        <v>0.3</v>
      </c>
      <c r="C8" s="1">
        <v>20</v>
      </c>
      <c r="D8" s="1">
        <f t="shared" si="0"/>
        <v>29.146000000000001</v>
      </c>
      <c r="E8" s="1">
        <f t="shared" si="4"/>
        <v>4.8576666666666667E-7</v>
      </c>
      <c r="F8" s="1">
        <v>21.1</v>
      </c>
      <c r="G8" s="1">
        <f t="shared" si="5"/>
        <v>294.10000000000002</v>
      </c>
      <c r="H8" s="1">
        <v>101.3</v>
      </c>
      <c r="I8" s="1">
        <f t="shared" si="6"/>
        <v>101300</v>
      </c>
      <c r="J8" s="1">
        <f t="shared" si="7"/>
        <v>2.0124824921938581E-5</v>
      </c>
      <c r="K8" s="22">
        <v>18.782178217821784</v>
      </c>
      <c r="L8" s="1">
        <f t="shared" si="8"/>
        <v>1.8782178217821784E-5</v>
      </c>
      <c r="M8" s="1">
        <f t="shared" si="9"/>
        <v>4.7762865441819992E-3</v>
      </c>
      <c r="N8" s="29">
        <f t="shared" si="10"/>
        <v>7.9138478144017456E-8</v>
      </c>
      <c r="O8" s="29">
        <f t="shared" si="11"/>
        <v>2.032E-3</v>
      </c>
      <c r="P8" s="29">
        <v>4.7360646624728548E-11</v>
      </c>
      <c r="Q8" s="2">
        <v>0.05</v>
      </c>
      <c r="R8" s="2">
        <f t="shared" si="12"/>
        <v>105000</v>
      </c>
      <c r="S8" s="2">
        <f t="shared" si="13"/>
        <v>5.1398579432804297E-3</v>
      </c>
      <c r="T8" s="2">
        <v>0.08</v>
      </c>
      <c r="U8" s="2">
        <f t="shared" si="14"/>
        <v>108000</v>
      </c>
      <c r="V8" s="2">
        <f t="shared" si="1"/>
        <v>2.0284752475247525</v>
      </c>
      <c r="W8" s="2">
        <f t="shared" si="15"/>
        <v>3</v>
      </c>
      <c r="X8" s="2">
        <f t="shared" si="2"/>
        <v>7.1964335256776191E-8</v>
      </c>
      <c r="Y8" s="2">
        <f t="shared" si="16"/>
        <v>103008.52897739268</v>
      </c>
      <c r="Z8" s="2">
        <f t="shared" si="17"/>
        <v>3.5909040536207123E-15</v>
      </c>
      <c r="AA8" s="2">
        <f t="shared" si="18"/>
        <v>2162442421.0903931</v>
      </c>
    </row>
    <row r="9" spans="1:27" x14ac:dyDescent="0.25">
      <c r="A9" s="1">
        <v>21</v>
      </c>
      <c r="B9" s="1">
        <f t="shared" si="3"/>
        <v>0.35</v>
      </c>
      <c r="C9" s="1">
        <v>20</v>
      </c>
      <c r="D9" s="1">
        <f t="shared" si="0"/>
        <v>29.146000000000001</v>
      </c>
      <c r="E9" s="1">
        <f t="shared" si="4"/>
        <v>4.8576666666666667E-7</v>
      </c>
      <c r="F9" s="1">
        <v>21.1</v>
      </c>
      <c r="G9" s="1">
        <f t="shared" si="5"/>
        <v>294.10000000000002</v>
      </c>
      <c r="H9" s="1">
        <v>101.3</v>
      </c>
      <c r="I9" s="1">
        <f t="shared" si="6"/>
        <v>101300</v>
      </c>
      <c r="J9" s="1">
        <f t="shared" si="7"/>
        <v>2.0124824921938581E-5</v>
      </c>
      <c r="K9" s="22">
        <v>22.965346534653467</v>
      </c>
      <c r="L9" s="1">
        <f t="shared" si="8"/>
        <v>2.2965346534653465E-5</v>
      </c>
      <c r="M9" s="1">
        <f t="shared" si="9"/>
        <v>4.7762865441819992E-3</v>
      </c>
      <c r="N9" s="29">
        <f t="shared" si="10"/>
        <v>9.6764206671085118E-8</v>
      </c>
      <c r="O9" s="29">
        <f t="shared" si="11"/>
        <v>2.032E-3</v>
      </c>
      <c r="P9" s="29">
        <v>4.7360646624728548E-11</v>
      </c>
      <c r="Q9" s="2">
        <v>0.05</v>
      </c>
      <c r="R9" s="2">
        <f t="shared" si="12"/>
        <v>105000</v>
      </c>
      <c r="S9" s="2">
        <f t="shared" si="13"/>
        <v>5.1398579432804297E-3</v>
      </c>
      <c r="T9" s="2">
        <v>0.08</v>
      </c>
      <c r="U9" s="2">
        <f t="shared" si="14"/>
        <v>108000</v>
      </c>
      <c r="V9" s="2">
        <f t="shared" si="1"/>
        <v>2.4802574257425745</v>
      </c>
      <c r="W9" s="2">
        <f t="shared" si="15"/>
        <v>3</v>
      </c>
      <c r="X9" s="2">
        <f t="shared" si="2"/>
        <v>9.3101040071979252E-8</v>
      </c>
      <c r="Y9" s="2">
        <f t="shared" si="16"/>
        <v>102427.23482868179</v>
      </c>
      <c r="Z9" s="2">
        <f t="shared" si="17"/>
        <v>4.6719772221540994E-15</v>
      </c>
      <c r="AA9" s="2">
        <f t="shared" si="18"/>
        <v>2813464683.1811986</v>
      </c>
    </row>
    <row r="10" spans="1:27" x14ac:dyDescent="0.25">
      <c r="A10" s="1">
        <v>24</v>
      </c>
      <c r="B10" s="1">
        <f t="shared" si="3"/>
        <v>0.4</v>
      </c>
      <c r="C10" s="1">
        <v>20</v>
      </c>
      <c r="D10" s="1">
        <f t="shared" si="0"/>
        <v>29.146000000000001</v>
      </c>
      <c r="E10" s="1">
        <f t="shared" si="4"/>
        <v>4.8576666666666667E-7</v>
      </c>
      <c r="F10" s="1">
        <v>21.1</v>
      </c>
      <c r="G10" s="1">
        <f t="shared" si="5"/>
        <v>294.10000000000002</v>
      </c>
      <c r="H10" s="1">
        <v>101.3</v>
      </c>
      <c r="I10" s="1">
        <f t="shared" si="6"/>
        <v>101300</v>
      </c>
      <c r="J10" s="1">
        <f t="shared" si="7"/>
        <v>2.0124824921938581E-5</v>
      </c>
      <c r="K10" s="22">
        <v>20.019801980198018</v>
      </c>
      <c r="L10" s="1">
        <f t="shared" si="8"/>
        <v>2.001980198019802E-5</v>
      </c>
      <c r="M10" s="1">
        <f t="shared" si="9"/>
        <v>4.7762865441819992E-3</v>
      </c>
      <c r="N10" s="29">
        <f t="shared" si="10"/>
        <v>8.4353190725990128E-8</v>
      </c>
      <c r="O10" s="29">
        <f t="shared" si="11"/>
        <v>2.032E-3</v>
      </c>
      <c r="P10" s="29">
        <v>4.7360646624728548E-11</v>
      </c>
      <c r="Q10" s="2">
        <v>0.05</v>
      </c>
      <c r="R10" s="2">
        <f t="shared" si="12"/>
        <v>105000</v>
      </c>
      <c r="S10" s="2">
        <f t="shared" si="13"/>
        <v>5.1398579432804297E-3</v>
      </c>
      <c r="T10" s="2">
        <v>0.08</v>
      </c>
      <c r="U10" s="2">
        <f t="shared" si="14"/>
        <v>108000</v>
      </c>
      <c r="V10" s="2">
        <f t="shared" si="1"/>
        <v>2.1621386138613863</v>
      </c>
      <c r="W10" s="2">
        <f t="shared" si="15"/>
        <v>3</v>
      </c>
      <c r="X10" s="2">
        <f t="shared" si="2"/>
        <v>7.8255284405086009E-8</v>
      </c>
      <c r="Y10" s="2">
        <f t="shared" si="16"/>
        <v>102835.34560659126</v>
      </c>
      <c r="Z10" s="2">
        <f t="shared" si="17"/>
        <v>3.911393497590235E-15</v>
      </c>
      <c r="AA10" s="2">
        <f t="shared" si="18"/>
        <v>2355441164.2488399</v>
      </c>
    </row>
    <row r="11" spans="1:27" x14ac:dyDescent="0.25">
      <c r="A11" s="1">
        <v>27</v>
      </c>
      <c r="B11" s="1">
        <f t="shared" si="3"/>
        <v>0.45</v>
      </c>
      <c r="C11" s="1">
        <v>20</v>
      </c>
      <c r="D11" s="1">
        <f t="shared" si="0"/>
        <v>29.146000000000001</v>
      </c>
      <c r="E11" s="1">
        <f t="shared" si="4"/>
        <v>4.8576666666666667E-7</v>
      </c>
      <c r="F11" s="1">
        <v>21.1</v>
      </c>
      <c r="G11" s="1">
        <f t="shared" si="5"/>
        <v>294.10000000000002</v>
      </c>
      <c r="H11" s="1">
        <v>101.3</v>
      </c>
      <c r="I11" s="1">
        <f t="shared" si="6"/>
        <v>101300</v>
      </c>
      <c r="J11" s="1">
        <f t="shared" si="7"/>
        <v>2.0124824921938581E-5</v>
      </c>
      <c r="K11" s="22">
        <v>14.846534653465348</v>
      </c>
      <c r="L11" s="1">
        <f t="shared" si="8"/>
        <v>1.4846534653465348E-5</v>
      </c>
      <c r="M11" s="1">
        <f t="shared" si="9"/>
        <v>4.7762865441819992E-3</v>
      </c>
      <c r="N11" s="29">
        <f t="shared" si="10"/>
        <v>6.2555692133344323E-8</v>
      </c>
      <c r="O11" s="29">
        <f t="shared" si="11"/>
        <v>2.032E-3</v>
      </c>
      <c r="P11" s="29">
        <v>4.7360646624728548E-11</v>
      </c>
      <c r="Q11" s="2">
        <v>0.05</v>
      </c>
      <c r="R11" s="2">
        <f t="shared" si="12"/>
        <v>105000</v>
      </c>
      <c r="S11" s="2">
        <f t="shared" si="13"/>
        <v>5.1398579432804297E-3</v>
      </c>
      <c r="T11" s="2">
        <v>0.08</v>
      </c>
      <c r="U11" s="2">
        <f t="shared" si="14"/>
        <v>108000</v>
      </c>
      <c r="V11" s="2">
        <f t="shared" si="1"/>
        <v>1.6034257425742575</v>
      </c>
      <c r="W11" s="2">
        <f t="shared" si="15"/>
        <v>3</v>
      </c>
      <c r="X11" s="2">
        <f t="shared" si="2"/>
        <v>5.1699421715350595E-8</v>
      </c>
      <c r="Y11" s="2">
        <f t="shared" si="16"/>
        <v>103567.39188347929</v>
      </c>
      <c r="Z11" s="2">
        <f t="shared" si="17"/>
        <v>2.5657863211758205E-15</v>
      </c>
      <c r="AA11" s="2">
        <f t="shared" si="18"/>
        <v>1545116522.6120791</v>
      </c>
    </row>
    <row r="12" spans="1:27" x14ac:dyDescent="0.25">
      <c r="A12" s="1">
        <v>30</v>
      </c>
      <c r="B12" s="1">
        <f t="shared" si="3"/>
        <v>0.5</v>
      </c>
      <c r="C12" s="1">
        <v>20</v>
      </c>
      <c r="D12" s="1">
        <f t="shared" si="0"/>
        <v>29.146000000000001</v>
      </c>
      <c r="E12" s="1">
        <f t="shared" si="4"/>
        <v>4.8576666666666667E-7</v>
      </c>
      <c r="F12" s="1">
        <v>21.1</v>
      </c>
      <c r="G12" s="1">
        <f t="shared" si="5"/>
        <v>294.10000000000002</v>
      </c>
      <c r="H12" s="1">
        <v>101.3</v>
      </c>
      <c r="I12" s="1">
        <f t="shared" si="6"/>
        <v>101300</v>
      </c>
      <c r="J12" s="1">
        <f t="shared" si="7"/>
        <v>2.0124824921938581E-5</v>
      </c>
      <c r="K12" s="22">
        <v>19.970297029702969</v>
      </c>
      <c r="L12" s="1">
        <f t="shared" si="8"/>
        <v>1.9970297029702968E-5</v>
      </c>
      <c r="M12" s="1">
        <f t="shared" si="9"/>
        <v>4.7762865441819992E-3</v>
      </c>
      <c r="N12" s="29">
        <f t="shared" si="10"/>
        <v>8.4144602222711209E-8</v>
      </c>
      <c r="O12" s="29">
        <f t="shared" si="11"/>
        <v>2.032E-3</v>
      </c>
      <c r="P12" s="29">
        <v>4.7360646624728548E-11</v>
      </c>
      <c r="Q12" s="2">
        <v>0.05</v>
      </c>
      <c r="R12" s="2">
        <f t="shared" si="12"/>
        <v>105000</v>
      </c>
      <c r="S12" s="2">
        <f t="shared" si="13"/>
        <v>5.1398579432804297E-3</v>
      </c>
      <c r="T12" s="2">
        <v>0.08</v>
      </c>
      <c r="U12" s="2">
        <f t="shared" si="14"/>
        <v>108000</v>
      </c>
      <c r="V12" s="2">
        <f t="shared" si="1"/>
        <v>2.1567920792079205</v>
      </c>
      <c r="W12" s="2">
        <f t="shared" si="15"/>
        <v>3</v>
      </c>
      <c r="X12" s="2">
        <f t="shared" si="2"/>
        <v>7.8004296153980918E-8</v>
      </c>
      <c r="Y12" s="2">
        <f t="shared" si="16"/>
        <v>102842.25226482777</v>
      </c>
      <c r="Z12" s="2">
        <f t="shared" si="17"/>
        <v>3.8985864351251993E-15</v>
      </c>
      <c r="AA12" s="2">
        <f t="shared" si="18"/>
        <v>2347728751.2323952</v>
      </c>
    </row>
    <row r="13" spans="1:27" x14ac:dyDescent="0.25">
      <c r="A13" s="1">
        <v>33</v>
      </c>
      <c r="B13" s="1">
        <f t="shared" si="3"/>
        <v>0.55000000000000004</v>
      </c>
      <c r="C13" s="1">
        <v>20</v>
      </c>
      <c r="D13" s="1">
        <f t="shared" si="0"/>
        <v>29.146000000000001</v>
      </c>
      <c r="E13" s="1">
        <f t="shared" si="4"/>
        <v>4.8576666666666667E-7</v>
      </c>
      <c r="F13" s="1">
        <v>21.1</v>
      </c>
      <c r="G13" s="1">
        <f t="shared" si="5"/>
        <v>294.10000000000002</v>
      </c>
      <c r="H13" s="1">
        <v>101.3</v>
      </c>
      <c r="I13" s="1">
        <f t="shared" si="6"/>
        <v>101300</v>
      </c>
      <c r="J13" s="1">
        <f t="shared" si="7"/>
        <v>2.0124824921938581E-5</v>
      </c>
      <c r="K13" s="22">
        <v>26.207920792079207</v>
      </c>
      <c r="L13" s="1">
        <f t="shared" si="8"/>
        <v>2.6207920792079206E-5</v>
      </c>
      <c r="M13" s="1">
        <f t="shared" si="9"/>
        <v>4.7762865441819992E-3</v>
      </c>
      <c r="N13" s="29">
        <f t="shared" si="10"/>
        <v>1.1042675363585356E-7</v>
      </c>
      <c r="O13" s="29">
        <f t="shared" si="11"/>
        <v>2.032E-3</v>
      </c>
      <c r="P13" s="29">
        <v>4.7360646624728548E-11</v>
      </c>
      <c r="Q13" s="2">
        <v>0.05</v>
      </c>
      <c r="R13" s="2">
        <f t="shared" si="12"/>
        <v>105000</v>
      </c>
      <c r="S13" s="2">
        <f t="shared" si="13"/>
        <v>5.1398579432804297E-3</v>
      </c>
      <c r="T13" s="2">
        <v>0.08</v>
      </c>
      <c r="U13" s="2">
        <f t="shared" si="14"/>
        <v>108000</v>
      </c>
      <c r="V13" s="2">
        <f t="shared" si="1"/>
        <v>2.8304554455445543</v>
      </c>
      <c r="W13" s="2">
        <f t="shared" si="15"/>
        <v>3</v>
      </c>
      <c r="X13" s="2">
        <f t="shared" si="2"/>
        <v>1.0926942300950521E-7</v>
      </c>
      <c r="Y13" s="2">
        <f t="shared" si="16"/>
        <v>101983.68802020322</v>
      </c>
      <c r="Z13" s="2">
        <f t="shared" si="17"/>
        <v>5.5072032656367987E-15</v>
      </c>
      <c r="AA13" s="2">
        <f t="shared" si="18"/>
        <v>3316437806.5664802</v>
      </c>
    </row>
    <row r="14" spans="1:27" x14ac:dyDescent="0.25">
      <c r="A14" s="1">
        <v>36</v>
      </c>
      <c r="B14" s="1">
        <f t="shared" si="3"/>
        <v>0.6</v>
      </c>
      <c r="C14" s="1">
        <v>20</v>
      </c>
      <c r="D14" s="1">
        <f t="shared" si="0"/>
        <v>29.146000000000001</v>
      </c>
      <c r="E14" s="1">
        <f t="shared" si="4"/>
        <v>4.8576666666666667E-7</v>
      </c>
      <c r="F14" s="1">
        <v>21.1</v>
      </c>
      <c r="G14" s="1">
        <f t="shared" si="5"/>
        <v>294.10000000000002</v>
      </c>
      <c r="H14" s="1">
        <v>101.3</v>
      </c>
      <c r="I14" s="1">
        <f t="shared" si="6"/>
        <v>101300</v>
      </c>
      <c r="J14" s="1">
        <f t="shared" si="7"/>
        <v>2.0124824921938581E-5</v>
      </c>
      <c r="K14" s="22">
        <v>25.242574257425744</v>
      </c>
      <c r="L14" s="1">
        <f t="shared" si="8"/>
        <v>2.5242574257425744E-5</v>
      </c>
      <c r="M14" s="1">
        <f t="shared" si="9"/>
        <v>4.7762865441819992E-3</v>
      </c>
      <c r="N14" s="29">
        <f t="shared" si="10"/>
        <v>1.0635927782191485E-7</v>
      </c>
      <c r="O14" s="29">
        <f t="shared" si="11"/>
        <v>2.032E-3</v>
      </c>
      <c r="P14" s="29">
        <v>4.7360646624728548E-11</v>
      </c>
      <c r="Q14" s="2">
        <v>0.05</v>
      </c>
      <c r="R14" s="2">
        <f t="shared" si="12"/>
        <v>105000</v>
      </c>
      <c r="S14" s="2">
        <f t="shared" si="13"/>
        <v>5.1398579432804297E-3</v>
      </c>
      <c r="T14" s="2">
        <v>0.08</v>
      </c>
      <c r="U14" s="2">
        <f t="shared" si="14"/>
        <v>108000</v>
      </c>
      <c r="V14" s="2">
        <f t="shared" si="1"/>
        <v>2.7261980198019802</v>
      </c>
      <c r="W14" s="2">
        <f t="shared" si="15"/>
        <v>3</v>
      </c>
      <c r="X14" s="2">
        <f t="shared" si="2"/>
        <v>1.0447299612853518E-7</v>
      </c>
      <c r="Y14" s="2">
        <f t="shared" si="16"/>
        <v>102115.16786083835</v>
      </c>
      <c r="Z14" s="2">
        <f t="shared" si="17"/>
        <v>5.2586771040367987E-15</v>
      </c>
      <c r="AA14" s="2">
        <f t="shared" si="18"/>
        <v>3166775352.0509605</v>
      </c>
    </row>
    <row r="15" spans="1:27" x14ac:dyDescent="0.25">
      <c r="A15" s="1">
        <v>39</v>
      </c>
      <c r="B15" s="1">
        <f t="shared" si="3"/>
        <v>0.65</v>
      </c>
      <c r="C15" s="1">
        <v>20</v>
      </c>
      <c r="D15" s="1">
        <f t="shared" si="0"/>
        <v>29.146000000000001</v>
      </c>
      <c r="E15" s="1">
        <f t="shared" si="4"/>
        <v>4.8576666666666667E-7</v>
      </c>
      <c r="F15" s="1">
        <v>21.1</v>
      </c>
      <c r="G15" s="1">
        <f t="shared" si="5"/>
        <v>294.10000000000002</v>
      </c>
      <c r="H15" s="1">
        <v>101.3</v>
      </c>
      <c r="I15" s="1">
        <f t="shared" si="6"/>
        <v>101300</v>
      </c>
      <c r="J15" s="1">
        <f t="shared" si="7"/>
        <v>2.0124824921938581E-5</v>
      </c>
      <c r="K15" s="22">
        <v>25.96039603960396</v>
      </c>
      <c r="L15" s="1">
        <f t="shared" si="8"/>
        <v>2.5960396039603959E-5</v>
      </c>
      <c r="M15" s="1">
        <f t="shared" si="9"/>
        <v>4.7762865441819992E-3</v>
      </c>
      <c r="N15" s="29">
        <f t="shared" si="10"/>
        <v>1.09383811119459E-7</v>
      </c>
      <c r="O15" s="29">
        <f t="shared" si="11"/>
        <v>2.032E-3</v>
      </c>
      <c r="P15" s="29">
        <v>4.7360646624728548E-11</v>
      </c>
      <c r="Q15" s="2">
        <v>0.05</v>
      </c>
      <c r="R15" s="2">
        <f t="shared" si="12"/>
        <v>105000</v>
      </c>
      <c r="S15" s="2">
        <f t="shared" si="13"/>
        <v>5.1398579432804297E-3</v>
      </c>
      <c r="T15" s="2">
        <v>0.08</v>
      </c>
      <c r="U15" s="2">
        <f t="shared" si="14"/>
        <v>108000</v>
      </c>
      <c r="V15" s="2">
        <f t="shared" si="1"/>
        <v>2.8037227722772275</v>
      </c>
      <c r="W15" s="2">
        <f t="shared" si="15"/>
        <v>3</v>
      </c>
      <c r="X15" s="2">
        <f t="shared" si="2"/>
        <v>1.0804086798287607E-7</v>
      </c>
      <c r="Y15" s="2">
        <f t="shared" si="16"/>
        <v>102017.35714955325</v>
      </c>
      <c r="Z15" s="2">
        <f t="shared" si="17"/>
        <v>5.4434852170309655E-15</v>
      </c>
      <c r="AA15" s="2">
        <f t="shared" si="18"/>
        <v>3278066797.6960478</v>
      </c>
    </row>
    <row r="16" spans="1:27" x14ac:dyDescent="0.25">
      <c r="A16" s="1">
        <v>42</v>
      </c>
      <c r="B16" s="1">
        <f t="shared" si="3"/>
        <v>0.7</v>
      </c>
      <c r="C16" s="1">
        <v>20</v>
      </c>
      <c r="D16" s="1">
        <f t="shared" si="0"/>
        <v>29.146000000000001</v>
      </c>
      <c r="E16" s="1">
        <f t="shared" si="4"/>
        <v>4.8576666666666667E-7</v>
      </c>
      <c r="F16" s="1">
        <v>21.1</v>
      </c>
      <c r="G16" s="1">
        <f t="shared" si="5"/>
        <v>294.10000000000002</v>
      </c>
      <c r="H16" s="1">
        <v>101.3</v>
      </c>
      <c r="I16" s="1">
        <f t="shared" si="6"/>
        <v>101300</v>
      </c>
      <c r="J16" s="1">
        <f t="shared" si="7"/>
        <v>2.0124824921938581E-5</v>
      </c>
      <c r="K16" s="22">
        <v>24.623762376237622</v>
      </c>
      <c r="L16" s="1">
        <f t="shared" si="8"/>
        <v>2.4623762376237621E-5</v>
      </c>
      <c r="M16" s="1">
        <f t="shared" si="9"/>
        <v>4.7762865441819992E-3</v>
      </c>
      <c r="N16" s="29">
        <f t="shared" si="10"/>
        <v>1.0375192153092852E-7</v>
      </c>
      <c r="O16" s="29">
        <f t="shared" si="11"/>
        <v>2.032E-3</v>
      </c>
      <c r="P16" s="29">
        <v>4.7360646624728548E-11</v>
      </c>
      <c r="Q16" s="2">
        <v>0.05</v>
      </c>
      <c r="R16" s="2">
        <f t="shared" si="12"/>
        <v>105000</v>
      </c>
      <c r="S16" s="2">
        <f t="shared" si="13"/>
        <v>5.1398579432804297E-3</v>
      </c>
      <c r="T16" s="2">
        <v>0.08</v>
      </c>
      <c r="U16" s="2">
        <f t="shared" si="14"/>
        <v>108000</v>
      </c>
      <c r="V16" s="2">
        <f t="shared" si="1"/>
        <v>2.6593663366336631</v>
      </c>
      <c r="W16" s="2">
        <f t="shared" si="15"/>
        <v>3</v>
      </c>
      <c r="X16" s="2">
        <f t="shared" si="2"/>
        <v>1.0139101105510027E-7</v>
      </c>
      <c r="Y16" s="2">
        <f t="shared" si="16"/>
        <v>102199.69605312216</v>
      </c>
      <c r="Z16" s="2">
        <f t="shared" si="17"/>
        <v>5.0993200042186335E-15</v>
      </c>
      <c r="AA16" s="2">
        <f t="shared" si="18"/>
        <v>3070810506.5404611</v>
      </c>
    </row>
    <row r="17" spans="1:75" s="4" customFormat="1" x14ac:dyDescent="0.25">
      <c r="A17" s="1">
        <v>45</v>
      </c>
      <c r="B17" s="1">
        <f t="shared" si="3"/>
        <v>0.75</v>
      </c>
      <c r="C17" s="1">
        <v>20</v>
      </c>
      <c r="D17" s="1">
        <f t="shared" si="0"/>
        <v>29.146000000000001</v>
      </c>
      <c r="E17" s="1">
        <f t="shared" si="4"/>
        <v>4.8576666666666667E-7</v>
      </c>
      <c r="F17" s="1">
        <v>21.1</v>
      </c>
      <c r="G17" s="1">
        <f t="shared" si="5"/>
        <v>294.10000000000002</v>
      </c>
      <c r="H17" s="1">
        <v>101.3</v>
      </c>
      <c r="I17" s="1">
        <f t="shared" si="6"/>
        <v>101300</v>
      </c>
      <c r="J17" s="1">
        <f t="shared" si="7"/>
        <v>2.0124824921938581E-5</v>
      </c>
      <c r="K17" s="22">
        <v>21.306930693069308</v>
      </c>
      <c r="L17" s="1">
        <f t="shared" si="8"/>
        <v>2.130693069306931E-5</v>
      </c>
      <c r="M17" s="1">
        <f t="shared" si="9"/>
        <v>4.7762865441819992E-3</v>
      </c>
      <c r="N17" s="29">
        <f t="shared" si="10"/>
        <v>8.9776491811241733E-8</v>
      </c>
      <c r="O17" s="29">
        <f t="shared" si="11"/>
        <v>2.032E-3</v>
      </c>
      <c r="P17" s="29">
        <v>4.7360646624728548E-11</v>
      </c>
      <c r="Q17" s="2">
        <v>0.05</v>
      </c>
      <c r="R17" s="2">
        <f t="shared" si="12"/>
        <v>105000</v>
      </c>
      <c r="S17" s="2">
        <f t="shared" si="13"/>
        <v>5.1398579432804297E-3</v>
      </c>
      <c r="T17" s="2">
        <v>0.08</v>
      </c>
      <c r="U17" s="2">
        <f t="shared" si="14"/>
        <v>108000</v>
      </c>
      <c r="V17" s="2">
        <f t="shared" si="1"/>
        <v>2.3011485148514854</v>
      </c>
      <c r="W17" s="2">
        <f t="shared" si="15"/>
        <v>3</v>
      </c>
      <c r="X17" s="2">
        <f t="shared" si="2"/>
        <v>8.4763136345717139E-8</v>
      </c>
      <c r="Y17" s="2">
        <f t="shared" si="16"/>
        <v>102656.34445179078</v>
      </c>
      <c r="Z17" s="2">
        <f t="shared" si="17"/>
        <v>4.2440654612772869E-15</v>
      </c>
      <c r="AA17" s="2">
        <f t="shared" si="18"/>
        <v>2555776220.7811823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spans="1:75" s="4" customFormat="1" x14ac:dyDescent="0.25">
      <c r="A18" s="1">
        <v>48</v>
      </c>
      <c r="B18" s="1">
        <f t="shared" si="3"/>
        <v>0.8</v>
      </c>
      <c r="C18" s="1">
        <v>20</v>
      </c>
      <c r="D18" s="1">
        <f t="shared" si="0"/>
        <v>29.146000000000001</v>
      </c>
      <c r="E18" s="1">
        <f t="shared" si="4"/>
        <v>4.8576666666666667E-7</v>
      </c>
      <c r="F18" s="1">
        <v>21.1</v>
      </c>
      <c r="G18" s="1">
        <f t="shared" si="5"/>
        <v>294.10000000000002</v>
      </c>
      <c r="H18" s="1">
        <v>101.3</v>
      </c>
      <c r="I18" s="1">
        <f t="shared" si="6"/>
        <v>101300</v>
      </c>
      <c r="J18" s="1">
        <f t="shared" si="7"/>
        <v>2.0124824921938581E-5</v>
      </c>
      <c r="K18" s="22">
        <v>31.504950495049503</v>
      </c>
      <c r="L18" s="1">
        <f t="shared" si="8"/>
        <v>3.1504950495049504E-5</v>
      </c>
      <c r="M18" s="1">
        <f t="shared" si="9"/>
        <v>4.7762865441819992E-3</v>
      </c>
      <c r="N18" s="29">
        <f t="shared" si="10"/>
        <v>1.3274572348669663E-7</v>
      </c>
      <c r="O18" s="29">
        <f t="shared" si="11"/>
        <v>2.032E-3</v>
      </c>
      <c r="P18" s="29">
        <v>4.7360646624728548E-11</v>
      </c>
      <c r="Q18" s="2">
        <v>0.05</v>
      </c>
      <c r="R18" s="2">
        <f t="shared" si="12"/>
        <v>105000</v>
      </c>
      <c r="S18" s="2">
        <f t="shared" si="13"/>
        <v>5.1398579432804297E-3</v>
      </c>
      <c r="T18" s="2">
        <v>0.08</v>
      </c>
      <c r="U18" s="2">
        <f t="shared" si="14"/>
        <v>108000</v>
      </c>
      <c r="V18" s="2">
        <f t="shared" si="1"/>
        <v>3.4025346534653464</v>
      </c>
      <c r="W18" s="2">
        <f t="shared" si="15"/>
        <v>3</v>
      </c>
      <c r="X18" s="2">
        <f t="shared" si="2"/>
        <v>1.3536886142993584E-7</v>
      </c>
      <c r="Y18" s="2">
        <f t="shared" si="16"/>
        <v>101269.73357200429</v>
      </c>
      <c r="Z18" s="2">
        <f t="shared" si="17"/>
        <v>6.870760602918011E-15</v>
      </c>
      <c r="AA18" s="2">
        <f t="shared" si="18"/>
        <v>4137572035.0772266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 spans="1:75" s="4" customFormat="1" x14ac:dyDescent="0.25">
      <c r="A19" s="1">
        <v>51</v>
      </c>
      <c r="B19" s="1">
        <f t="shared" si="3"/>
        <v>0.85</v>
      </c>
      <c r="C19" s="1">
        <v>20</v>
      </c>
      <c r="D19" s="1">
        <f t="shared" si="0"/>
        <v>29.146000000000001</v>
      </c>
      <c r="E19" s="1">
        <f t="shared" si="4"/>
        <v>4.8576666666666667E-7</v>
      </c>
      <c r="F19" s="1">
        <v>21.1</v>
      </c>
      <c r="G19" s="1">
        <f t="shared" si="5"/>
        <v>294.10000000000002</v>
      </c>
      <c r="H19" s="1">
        <v>101.3</v>
      </c>
      <c r="I19" s="1">
        <f t="shared" si="6"/>
        <v>101300</v>
      </c>
      <c r="J19" s="1">
        <f t="shared" si="7"/>
        <v>2.0124824921938581E-5</v>
      </c>
      <c r="K19" s="22">
        <v>30.341584158415841</v>
      </c>
      <c r="L19" s="1">
        <f t="shared" si="8"/>
        <v>3.0341584158415843E-5</v>
      </c>
      <c r="M19" s="1">
        <f t="shared" si="9"/>
        <v>4.7762865441819992E-3</v>
      </c>
      <c r="N19" s="29">
        <f t="shared" si="10"/>
        <v>1.2784389365964231E-7</v>
      </c>
      <c r="O19" s="29">
        <f t="shared" si="11"/>
        <v>2.032E-3</v>
      </c>
      <c r="P19" s="29">
        <v>4.7360646624728548E-11</v>
      </c>
      <c r="Q19" s="2">
        <v>0.05</v>
      </c>
      <c r="R19" s="2">
        <f t="shared" si="12"/>
        <v>105000</v>
      </c>
      <c r="S19" s="2">
        <f t="shared" si="13"/>
        <v>5.1398579432804297E-3</v>
      </c>
      <c r="T19" s="2">
        <v>0.08</v>
      </c>
      <c r="U19" s="2">
        <f t="shared" si="14"/>
        <v>108000</v>
      </c>
      <c r="V19" s="2">
        <f t="shared" si="1"/>
        <v>3.2768910891089109</v>
      </c>
      <c r="W19" s="2">
        <f t="shared" si="15"/>
        <v>3</v>
      </c>
      <c r="X19" s="2">
        <f t="shared" si="2"/>
        <v>1.2966578017159205E-7</v>
      </c>
      <c r="Y19" s="2">
        <f t="shared" si="16"/>
        <v>101425.52817323727</v>
      </c>
      <c r="Z19" s="2">
        <f t="shared" si="17"/>
        <v>6.5711782351642495E-15</v>
      </c>
      <c r="AA19" s="2">
        <f t="shared" si="18"/>
        <v>3957163533.2159114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 spans="1:75" s="4" customFormat="1" x14ac:dyDescent="0.25">
      <c r="A20" s="1">
        <v>54</v>
      </c>
      <c r="B20" s="1">
        <f t="shared" si="3"/>
        <v>0.9</v>
      </c>
      <c r="C20" s="1">
        <v>20</v>
      </c>
      <c r="D20" s="1">
        <f t="shared" si="0"/>
        <v>29.146000000000001</v>
      </c>
      <c r="E20" s="1">
        <f t="shared" si="4"/>
        <v>4.8576666666666667E-7</v>
      </c>
      <c r="F20" s="1">
        <v>21.1</v>
      </c>
      <c r="G20" s="1">
        <f t="shared" si="5"/>
        <v>294.10000000000002</v>
      </c>
      <c r="H20" s="1">
        <v>101.3</v>
      </c>
      <c r="I20" s="1">
        <f t="shared" si="6"/>
        <v>101300</v>
      </c>
      <c r="J20" s="1">
        <f t="shared" si="7"/>
        <v>2.0124824921938581E-5</v>
      </c>
      <c r="K20" s="22">
        <v>34.400990099009903</v>
      </c>
      <c r="L20" s="1">
        <f t="shared" si="8"/>
        <v>3.4400990099009902E-5</v>
      </c>
      <c r="M20" s="1">
        <f t="shared" si="9"/>
        <v>4.7762865441819992E-3</v>
      </c>
      <c r="N20" s="29">
        <f t="shared" si="10"/>
        <v>1.4494815092851272E-7</v>
      </c>
      <c r="O20" s="29">
        <f t="shared" si="11"/>
        <v>2.032E-3</v>
      </c>
      <c r="P20" s="29">
        <v>4.7360646624728548E-11</v>
      </c>
      <c r="Q20" s="2">
        <v>0.05</v>
      </c>
      <c r="R20" s="2">
        <f t="shared" si="12"/>
        <v>105000</v>
      </c>
      <c r="S20" s="2">
        <f t="shared" si="13"/>
        <v>5.1398579432804297E-3</v>
      </c>
      <c r="T20" s="2">
        <v>0.08</v>
      </c>
      <c r="U20" s="2">
        <f t="shared" si="14"/>
        <v>108000</v>
      </c>
      <c r="V20" s="2">
        <f t="shared" si="1"/>
        <v>3.7153069306930693</v>
      </c>
      <c r="W20" s="2">
        <f t="shared" si="15"/>
        <v>3</v>
      </c>
      <c r="X20" s="2">
        <f t="shared" si="2"/>
        <v>1.4950387079658871E-7</v>
      </c>
      <c r="Y20" s="2">
        <f t="shared" si="16"/>
        <v>100884.11495911202</v>
      </c>
      <c r="Z20" s="2">
        <f t="shared" si="17"/>
        <v>7.6172245601170349E-15</v>
      </c>
      <c r="AA20" s="2">
        <f t="shared" si="18"/>
        <v>4587092630.102479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 spans="1:75" s="4" customFormat="1" x14ac:dyDescent="0.25">
      <c r="A21" s="1">
        <v>57</v>
      </c>
      <c r="B21" s="1">
        <f t="shared" si="3"/>
        <v>0.95</v>
      </c>
      <c r="C21" s="1">
        <v>20</v>
      </c>
      <c r="D21" s="1">
        <f t="shared" si="0"/>
        <v>29.146000000000001</v>
      </c>
      <c r="E21" s="1">
        <f t="shared" si="4"/>
        <v>4.8576666666666667E-7</v>
      </c>
      <c r="F21" s="1">
        <v>21.1</v>
      </c>
      <c r="G21" s="1">
        <f t="shared" si="5"/>
        <v>294.10000000000002</v>
      </c>
      <c r="H21" s="1">
        <v>101.3</v>
      </c>
      <c r="I21" s="1">
        <f t="shared" si="6"/>
        <v>101300</v>
      </c>
      <c r="J21" s="1">
        <f t="shared" si="7"/>
        <v>2.0124824921938581E-5</v>
      </c>
      <c r="K21" s="22">
        <v>33.089108910891092</v>
      </c>
      <c r="L21" s="1">
        <f t="shared" si="8"/>
        <v>3.308910891089109E-5</v>
      </c>
      <c r="M21" s="1">
        <f t="shared" si="9"/>
        <v>4.7762865441819992E-3</v>
      </c>
      <c r="N21" s="29">
        <f t="shared" si="10"/>
        <v>1.3942055559162167E-7</v>
      </c>
      <c r="O21" s="29">
        <f t="shared" si="11"/>
        <v>2.032E-3</v>
      </c>
      <c r="P21" s="29">
        <v>4.7360646624728548E-11</v>
      </c>
      <c r="Q21" s="2">
        <v>0.05</v>
      </c>
      <c r="R21" s="2">
        <f t="shared" si="12"/>
        <v>105000</v>
      </c>
      <c r="S21" s="2">
        <f t="shared" si="13"/>
        <v>5.1398579432804297E-3</v>
      </c>
      <c r="T21" s="2">
        <v>0.08</v>
      </c>
      <c r="U21" s="2">
        <f t="shared" si="14"/>
        <v>108000</v>
      </c>
      <c r="V21" s="2">
        <f t="shared" si="1"/>
        <v>3.5736237623762377</v>
      </c>
      <c r="W21" s="2">
        <f t="shared" si="15"/>
        <v>3</v>
      </c>
      <c r="X21" s="2">
        <f t="shared" si="2"/>
        <v>1.4311133584973539E-7</v>
      </c>
      <c r="Y21" s="2">
        <f t="shared" si="16"/>
        <v>101058.41923846632</v>
      </c>
      <c r="Z21" s="2">
        <f t="shared" si="17"/>
        <v>7.2789378071515924E-15</v>
      </c>
      <c r="AA21" s="2">
        <f t="shared" si="18"/>
        <v>4383376347.4666891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 spans="1:75" s="4" customFormat="1" x14ac:dyDescent="0.25">
      <c r="A22" s="1">
        <v>60</v>
      </c>
      <c r="B22" s="1">
        <f t="shared" si="3"/>
        <v>1</v>
      </c>
      <c r="C22" s="1">
        <v>20</v>
      </c>
      <c r="D22" s="1">
        <f t="shared" si="0"/>
        <v>29.146000000000001</v>
      </c>
      <c r="E22" s="1">
        <f t="shared" si="4"/>
        <v>4.8576666666666667E-7</v>
      </c>
      <c r="F22" s="1">
        <v>21.1</v>
      </c>
      <c r="G22" s="1">
        <f t="shared" si="5"/>
        <v>294.10000000000002</v>
      </c>
      <c r="H22" s="1">
        <v>101.3</v>
      </c>
      <c r="I22" s="1">
        <f t="shared" si="6"/>
        <v>101300</v>
      </c>
      <c r="J22" s="1">
        <f t="shared" si="7"/>
        <v>2.0124824921938581E-5</v>
      </c>
      <c r="K22" s="22">
        <v>33.831683168316836</v>
      </c>
      <c r="L22" s="1">
        <f t="shared" si="8"/>
        <v>3.3831683168316834E-5</v>
      </c>
      <c r="M22" s="1">
        <f t="shared" si="9"/>
        <v>4.7762865441819992E-3</v>
      </c>
      <c r="N22" s="29">
        <f t="shared" si="10"/>
        <v>1.4254938314080528E-7</v>
      </c>
      <c r="O22" s="29">
        <f t="shared" si="11"/>
        <v>2.032E-3</v>
      </c>
      <c r="P22" s="29">
        <v>4.7360646624728548E-11</v>
      </c>
      <c r="Q22" s="2">
        <v>0.05</v>
      </c>
      <c r="R22" s="2">
        <f t="shared" si="12"/>
        <v>105000</v>
      </c>
      <c r="S22" s="2">
        <f t="shared" si="13"/>
        <v>5.1398579432804297E-3</v>
      </c>
      <c r="T22" s="2">
        <v>0.08</v>
      </c>
      <c r="U22" s="2">
        <f t="shared" si="14"/>
        <v>108000</v>
      </c>
      <c r="V22" s="2">
        <f t="shared" si="1"/>
        <v>3.653821782178218</v>
      </c>
      <c r="W22" s="2">
        <f t="shared" si="15"/>
        <v>3</v>
      </c>
      <c r="X22" s="2">
        <f t="shared" si="2"/>
        <v>1.4673181429766192E-7</v>
      </c>
      <c r="Y22" s="2">
        <f t="shared" si="16"/>
        <v>100959.68172776663</v>
      </c>
      <c r="Z22" s="2">
        <f t="shared" si="17"/>
        <v>7.4703878202510028E-15</v>
      </c>
      <c r="AA22" s="2">
        <f t="shared" si="18"/>
        <v>4498667545.355154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 spans="1:75" s="4" customFormat="1" x14ac:dyDescent="0.25">
      <c r="A23" s="1">
        <v>63</v>
      </c>
      <c r="B23" s="1">
        <f t="shared" si="3"/>
        <v>1.05</v>
      </c>
      <c r="C23" s="1">
        <v>20</v>
      </c>
      <c r="D23" s="1">
        <f t="shared" si="0"/>
        <v>29.146000000000001</v>
      </c>
      <c r="E23" s="1">
        <f t="shared" si="4"/>
        <v>4.8576666666666667E-7</v>
      </c>
      <c r="F23" s="1">
        <v>21.1</v>
      </c>
      <c r="G23" s="1">
        <f t="shared" si="5"/>
        <v>294.10000000000002</v>
      </c>
      <c r="H23" s="1">
        <v>101.3</v>
      </c>
      <c r="I23" s="1">
        <f t="shared" si="6"/>
        <v>101300</v>
      </c>
      <c r="J23" s="1">
        <f t="shared" si="7"/>
        <v>2.0124824921938581E-5</v>
      </c>
      <c r="K23" s="22">
        <v>40.118811881188122</v>
      </c>
      <c r="L23" s="1">
        <f t="shared" si="8"/>
        <v>4.0118811881188124E-5</v>
      </c>
      <c r="M23" s="1">
        <f t="shared" si="9"/>
        <v>4.7762865441819992E-3</v>
      </c>
      <c r="N23" s="29">
        <f t="shared" si="10"/>
        <v>1.6904012305722653E-7</v>
      </c>
      <c r="O23" s="29">
        <f t="shared" si="11"/>
        <v>2.032E-3</v>
      </c>
      <c r="P23" s="29">
        <v>4.7360646624728548E-11</v>
      </c>
      <c r="Q23" s="2">
        <v>0.05</v>
      </c>
      <c r="R23" s="2">
        <f t="shared" si="12"/>
        <v>105000</v>
      </c>
      <c r="S23" s="2">
        <f t="shared" si="13"/>
        <v>5.1398579432804297E-3</v>
      </c>
      <c r="T23" s="2">
        <v>0.08</v>
      </c>
      <c r="U23" s="2">
        <f t="shared" si="14"/>
        <v>108000</v>
      </c>
      <c r="V23" s="2">
        <f t="shared" si="1"/>
        <v>4.3328316831683171</v>
      </c>
      <c r="W23" s="2">
        <f t="shared" si="15"/>
        <v>3</v>
      </c>
      <c r="X23" s="2">
        <f t="shared" si="2"/>
        <v>1.7718593742313247E-7</v>
      </c>
      <c r="Y23" s="2">
        <f t="shared" si="16"/>
        <v>100131.04862011244</v>
      </c>
      <c r="Z23" s="2">
        <f t="shared" si="17"/>
        <v>9.095579943181548E-15</v>
      </c>
      <c r="AA23" s="2">
        <f t="shared" si="18"/>
        <v>5477358241.7839289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 spans="1:75" s="4" customFormat="1" x14ac:dyDescent="0.25">
      <c r="A24" s="1">
        <v>66</v>
      </c>
      <c r="B24" s="1">
        <f t="shared" si="3"/>
        <v>1.1000000000000001</v>
      </c>
      <c r="C24" s="1">
        <v>20</v>
      </c>
      <c r="D24" s="1">
        <f t="shared" si="0"/>
        <v>29.146000000000001</v>
      </c>
      <c r="E24" s="1">
        <f t="shared" si="4"/>
        <v>4.8576666666666667E-7</v>
      </c>
      <c r="F24" s="1">
        <v>21.1</v>
      </c>
      <c r="G24" s="1">
        <f t="shared" si="5"/>
        <v>294.10000000000002</v>
      </c>
      <c r="H24" s="1">
        <v>101.3</v>
      </c>
      <c r="I24" s="1">
        <f t="shared" si="6"/>
        <v>101300</v>
      </c>
      <c r="J24" s="1">
        <f t="shared" si="7"/>
        <v>2.0124824921938581E-5</v>
      </c>
      <c r="K24" s="22">
        <v>37.420792079207921</v>
      </c>
      <c r="L24" s="1">
        <f t="shared" si="8"/>
        <v>3.7420792079207918E-5</v>
      </c>
      <c r="M24" s="1">
        <f t="shared" si="9"/>
        <v>4.7762865441819992E-3</v>
      </c>
      <c r="N24" s="29">
        <f t="shared" si="10"/>
        <v>1.5767204962852606E-7</v>
      </c>
      <c r="O24" s="29">
        <f t="shared" si="11"/>
        <v>2.032E-3</v>
      </c>
      <c r="P24" s="29">
        <v>4.7360646624728548E-11</v>
      </c>
      <c r="Q24" s="2">
        <v>0.05</v>
      </c>
      <c r="R24" s="2">
        <f t="shared" si="12"/>
        <v>105000</v>
      </c>
      <c r="S24" s="2">
        <f t="shared" si="13"/>
        <v>5.1398579432804297E-3</v>
      </c>
      <c r="T24" s="2">
        <v>0.08</v>
      </c>
      <c r="U24" s="2">
        <f t="shared" si="14"/>
        <v>108000</v>
      </c>
      <c r="V24" s="2">
        <f t="shared" si="1"/>
        <v>4.0414455445544553</v>
      </c>
      <c r="W24" s="2">
        <f t="shared" si="15"/>
        <v>3</v>
      </c>
      <c r="X24" s="2">
        <f t="shared" si="2"/>
        <v>1.6415812461214587E-7</v>
      </c>
      <c r="Y24" s="2">
        <f t="shared" si="16"/>
        <v>100485.10740231347</v>
      </c>
      <c r="Z24" s="2">
        <f t="shared" si="17"/>
        <v>8.3970988236208835E-15</v>
      </c>
      <c r="AA24" s="2">
        <f t="shared" si="18"/>
        <v>5056732911.5844965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 spans="1:75" s="4" customFormat="1" x14ac:dyDescent="0.25">
      <c r="A25" s="1">
        <v>69</v>
      </c>
      <c r="B25" s="1">
        <f t="shared" si="3"/>
        <v>1.1499999999999999</v>
      </c>
      <c r="C25" s="1">
        <v>20</v>
      </c>
      <c r="D25" s="1">
        <f t="shared" si="0"/>
        <v>29.146000000000001</v>
      </c>
      <c r="E25" s="1">
        <f t="shared" si="4"/>
        <v>4.8576666666666667E-7</v>
      </c>
      <c r="F25" s="1">
        <v>21.1</v>
      </c>
      <c r="G25" s="1">
        <f t="shared" si="5"/>
        <v>294.10000000000002</v>
      </c>
      <c r="H25" s="1">
        <v>101.3</v>
      </c>
      <c r="I25" s="1">
        <f t="shared" si="6"/>
        <v>101300</v>
      </c>
      <c r="J25" s="1">
        <f t="shared" si="7"/>
        <v>2.0124824921938581E-5</v>
      </c>
      <c r="K25" s="22">
        <v>47.915841584158414</v>
      </c>
      <c r="L25" s="1">
        <f t="shared" si="8"/>
        <v>4.7915841584158412E-5</v>
      </c>
      <c r="M25" s="1">
        <f t="shared" si="9"/>
        <v>4.7762865441819992E-3</v>
      </c>
      <c r="N25" s="29">
        <f t="shared" si="10"/>
        <v>2.0189281232365439E-7</v>
      </c>
      <c r="O25" s="29">
        <f t="shared" si="11"/>
        <v>2.032E-3</v>
      </c>
      <c r="P25" s="29">
        <v>4.7360646624728548E-11</v>
      </c>
      <c r="Q25" s="2">
        <v>0.05</v>
      </c>
      <c r="R25" s="2">
        <f t="shared" si="12"/>
        <v>105000</v>
      </c>
      <c r="S25" s="2">
        <f t="shared" si="13"/>
        <v>5.1398579432804297E-3</v>
      </c>
      <c r="T25" s="2">
        <v>0.08</v>
      </c>
      <c r="U25" s="2">
        <f t="shared" si="14"/>
        <v>108000</v>
      </c>
      <c r="V25" s="2">
        <f t="shared" si="1"/>
        <v>5.1749108910891088</v>
      </c>
      <c r="W25" s="2">
        <f t="shared" si="15"/>
        <v>3</v>
      </c>
      <c r="X25" s="2">
        <f t="shared" si="2"/>
        <v>2.1454389080271845E-7</v>
      </c>
      <c r="Y25" s="2">
        <f t="shared" si="16"/>
        <v>99119.231033151998</v>
      </c>
      <c r="Z25" s="2">
        <f t="shared" si="17"/>
        <v>1.1125819732010451E-14</v>
      </c>
      <c r="AA25" s="2">
        <f t="shared" si="18"/>
        <v>6699968642.6166935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 spans="1:75" s="4" customFormat="1" x14ac:dyDescent="0.25">
      <c r="A26" s="1">
        <v>72</v>
      </c>
      <c r="B26" s="1">
        <f t="shared" si="3"/>
        <v>1.2</v>
      </c>
      <c r="C26" s="1">
        <v>20</v>
      </c>
      <c r="D26" s="1">
        <f t="shared" si="0"/>
        <v>29.146000000000001</v>
      </c>
      <c r="E26" s="1">
        <f t="shared" si="4"/>
        <v>4.8576666666666667E-7</v>
      </c>
      <c r="F26" s="1">
        <v>21.1</v>
      </c>
      <c r="G26" s="1">
        <f t="shared" si="5"/>
        <v>294.10000000000002</v>
      </c>
      <c r="H26" s="1">
        <v>101.3</v>
      </c>
      <c r="I26" s="1">
        <f t="shared" si="6"/>
        <v>101300</v>
      </c>
      <c r="J26" s="1">
        <f t="shared" si="7"/>
        <v>2.0124824921938581E-5</v>
      </c>
      <c r="K26" s="22">
        <v>42.024752475247524</v>
      </c>
      <c r="L26" s="1">
        <f t="shared" si="8"/>
        <v>4.2024752475247527E-5</v>
      </c>
      <c r="M26" s="1">
        <f t="shared" si="9"/>
        <v>4.7762865441819992E-3</v>
      </c>
      <c r="N26" s="29">
        <f t="shared" si="10"/>
        <v>1.7707078043346446E-7</v>
      </c>
      <c r="O26" s="29">
        <f t="shared" si="11"/>
        <v>2.032E-3</v>
      </c>
      <c r="P26" s="29">
        <v>4.7360646624728548E-11</v>
      </c>
      <c r="Q26" s="2">
        <v>0.05</v>
      </c>
      <c r="R26" s="2">
        <f t="shared" si="12"/>
        <v>105000</v>
      </c>
      <c r="S26" s="2">
        <f t="shared" si="13"/>
        <v>5.1398579432804297E-3</v>
      </c>
      <c r="T26" s="2">
        <v>0.08</v>
      </c>
      <c r="U26" s="2">
        <f t="shared" si="14"/>
        <v>108000</v>
      </c>
      <c r="V26" s="2">
        <f t="shared" si="1"/>
        <v>4.5386732673267325</v>
      </c>
      <c r="W26" s="2">
        <f t="shared" si="15"/>
        <v>3</v>
      </c>
      <c r="X26" s="2">
        <f t="shared" si="2"/>
        <v>1.8635564435623499E-7</v>
      </c>
      <c r="Y26" s="2">
        <f t="shared" si="16"/>
        <v>99882.216837976797</v>
      </c>
      <c r="Z26" s="2">
        <f t="shared" si="17"/>
        <v>9.5901462320734899E-15</v>
      </c>
      <c r="AA26" s="2">
        <f t="shared" si="18"/>
        <v>5775186060.9546556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 spans="1:75" s="4" customFormat="1" x14ac:dyDescent="0.25">
      <c r="A27" s="1">
        <v>75</v>
      </c>
      <c r="B27" s="1">
        <f t="shared" si="3"/>
        <v>1.25</v>
      </c>
      <c r="C27" s="1">
        <v>20</v>
      </c>
      <c r="D27" s="1">
        <f t="shared" si="0"/>
        <v>29.146000000000001</v>
      </c>
      <c r="E27" s="1">
        <f t="shared" si="4"/>
        <v>4.8576666666666667E-7</v>
      </c>
      <c r="F27" s="1">
        <v>21.1</v>
      </c>
      <c r="G27" s="1">
        <f t="shared" si="5"/>
        <v>294.10000000000002</v>
      </c>
      <c r="H27" s="1">
        <v>101.3</v>
      </c>
      <c r="I27" s="1">
        <f t="shared" si="6"/>
        <v>101300</v>
      </c>
      <c r="J27" s="1">
        <f t="shared" si="7"/>
        <v>2.0124824921938581E-5</v>
      </c>
      <c r="K27" s="22">
        <v>37.693069306930695</v>
      </c>
      <c r="L27" s="1">
        <f t="shared" si="8"/>
        <v>3.7693069306930698E-5</v>
      </c>
      <c r="M27" s="1">
        <f t="shared" si="9"/>
        <v>4.7762865441819992E-3</v>
      </c>
      <c r="N27" s="29">
        <f t="shared" si="10"/>
        <v>1.5881928639656007E-7</v>
      </c>
      <c r="O27" s="29">
        <f t="shared" si="11"/>
        <v>2.032E-3</v>
      </c>
      <c r="P27" s="29">
        <v>4.7360646624728548E-11</v>
      </c>
      <c r="Q27" s="2">
        <v>0.05</v>
      </c>
      <c r="R27" s="2">
        <f t="shared" si="12"/>
        <v>105000</v>
      </c>
      <c r="S27" s="2">
        <f t="shared" si="13"/>
        <v>5.1398579432804297E-3</v>
      </c>
      <c r="T27" s="2">
        <v>0.08</v>
      </c>
      <c r="U27" s="2">
        <f t="shared" si="14"/>
        <v>108000</v>
      </c>
      <c r="V27" s="2">
        <f t="shared" si="1"/>
        <v>4.0708514851485154</v>
      </c>
      <c r="W27" s="2">
        <f t="shared" si="15"/>
        <v>3</v>
      </c>
      <c r="X27" s="2">
        <f t="shared" si="2"/>
        <v>1.6547551562534177E-7</v>
      </c>
      <c r="Y27" s="2">
        <f t="shared" si="16"/>
        <v>100449.27607449723</v>
      </c>
      <c r="Z27" s="2">
        <f t="shared" si="17"/>
        <v>8.467508643314342E-15</v>
      </c>
      <c r="AA27" s="2">
        <f t="shared" si="18"/>
        <v>5099133705.0038967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 spans="1:75" s="4" customFormat="1" x14ac:dyDescent="0.25">
      <c r="A28" s="1">
        <v>78</v>
      </c>
      <c r="B28" s="1">
        <f t="shared" si="3"/>
        <v>1.3</v>
      </c>
      <c r="C28" s="1">
        <v>20</v>
      </c>
      <c r="D28" s="1">
        <f t="shared" si="0"/>
        <v>29.146000000000001</v>
      </c>
      <c r="E28" s="1">
        <f t="shared" si="4"/>
        <v>4.8576666666666667E-7</v>
      </c>
      <c r="F28" s="1">
        <v>21.1</v>
      </c>
      <c r="G28" s="1">
        <f t="shared" si="5"/>
        <v>294.10000000000002</v>
      </c>
      <c r="H28" s="1">
        <v>101.3</v>
      </c>
      <c r="I28" s="1">
        <f t="shared" si="6"/>
        <v>101300</v>
      </c>
      <c r="J28" s="1">
        <f t="shared" si="7"/>
        <v>2.0124824921938581E-5</v>
      </c>
      <c r="K28" s="22">
        <v>44.623762376237622</v>
      </c>
      <c r="L28" s="1">
        <f t="shared" si="8"/>
        <v>4.4623762376237623E-5</v>
      </c>
      <c r="M28" s="1">
        <f t="shared" si="9"/>
        <v>4.7762865441819992E-3</v>
      </c>
      <c r="N28" s="29">
        <f t="shared" si="10"/>
        <v>1.8802167685560707E-7</v>
      </c>
      <c r="O28" s="29">
        <f t="shared" si="11"/>
        <v>2.032E-3</v>
      </c>
      <c r="P28" s="29">
        <v>4.7360646624728548E-11</v>
      </c>
      <c r="Q28" s="2">
        <v>0.05</v>
      </c>
      <c r="R28" s="2">
        <f t="shared" si="12"/>
        <v>105000</v>
      </c>
      <c r="S28" s="2">
        <f t="shared" si="13"/>
        <v>5.1398579432804297E-3</v>
      </c>
      <c r="T28" s="2">
        <v>0.08</v>
      </c>
      <c r="U28" s="2">
        <f t="shared" si="14"/>
        <v>108000</v>
      </c>
      <c r="V28" s="2">
        <f t="shared" si="1"/>
        <v>4.8193663366336636</v>
      </c>
      <c r="W28" s="2">
        <f t="shared" si="15"/>
        <v>3</v>
      </c>
      <c r="X28" s="2">
        <f t="shared" si="2"/>
        <v>1.9881894203565485E-7</v>
      </c>
      <c r="Y28" s="2">
        <f t="shared" si="16"/>
        <v>99544.505558384582</v>
      </c>
      <c r="Z28" s="2">
        <f t="shared" si="17"/>
        <v>1.0266268235213804E-14</v>
      </c>
      <c r="AA28" s="2">
        <f t="shared" si="18"/>
        <v>6182346731.2457533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 spans="1:75" s="4" customFormat="1" x14ac:dyDescent="0.25">
      <c r="A29" s="1">
        <v>81</v>
      </c>
      <c r="B29" s="1">
        <f t="shared" si="3"/>
        <v>1.35</v>
      </c>
      <c r="C29" s="1">
        <v>20</v>
      </c>
      <c r="D29" s="1">
        <f t="shared" si="0"/>
        <v>29.146000000000001</v>
      </c>
      <c r="E29" s="1">
        <f t="shared" si="4"/>
        <v>4.8576666666666667E-7</v>
      </c>
      <c r="F29" s="1">
        <v>21.1</v>
      </c>
      <c r="G29" s="1">
        <f t="shared" si="5"/>
        <v>294.10000000000002</v>
      </c>
      <c r="H29" s="1">
        <v>101.3</v>
      </c>
      <c r="I29" s="1">
        <f t="shared" si="6"/>
        <v>101300</v>
      </c>
      <c r="J29" s="1">
        <f t="shared" si="7"/>
        <v>2.0124824921938581E-5</v>
      </c>
      <c r="K29" s="22">
        <v>45.910891089108915</v>
      </c>
      <c r="L29" s="1">
        <f t="shared" si="8"/>
        <v>4.5910891089108913E-5</v>
      </c>
      <c r="M29" s="1">
        <f t="shared" si="9"/>
        <v>4.7762865441819992E-3</v>
      </c>
      <c r="N29" s="29">
        <f t="shared" si="10"/>
        <v>1.9344497794085867E-7</v>
      </c>
      <c r="O29" s="29">
        <f t="shared" si="11"/>
        <v>2.032E-3</v>
      </c>
      <c r="P29" s="29">
        <v>4.7360646624728548E-11</v>
      </c>
      <c r="Q29" s="2">
        <v>0.05</v>
      </c>
      <c r="R29" s="2">
        <f t="shared" si="12"/>
        <v>105000</v>
      </c>
      <c r="S29" s="2">
        <f t="shared" si="13"/>
        <v>5.1398579432804297E-3</v>
      </c>
      <c r="T29" s="2">
        <v>0.08</v>
      </c>
      <c r="U29" s="2">
        <f t="shared" si="14"/>
        <v>108000</v>
      </c>
      <c r="V29" s="2">
        <f t="shared" si="1"/>
        <v>4.9583762376237628</v>
      </c>
      <c r="W29" s="2">
        <f t="shared" si="15"/>
        <v>3</v>
      </c>
      <c r="X29" s="2">
        <f t="shared" si="2"/>
        <v>2.0497492648314152E-7</v>
      </c>
      <c r="Y29" s="2">
        <f t="shared" si="16"/>
        <v>99377.911151178821</v>
      </c>
      <c r="Z29" s="2">
        <f t="shared" si="17"/>
        <v>1.0601898953770126E-14</v>
      </c>
      <c r="AA29" s="2">
        <f t="shared" si="18"/>
        <v>6384463549.9603701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</row>
    <row r="30" spans="1:75" s="4" customFormat="1" x14ac:dyDescent="0.25">
      <c r="A30" s="1">
        <v>84</v>
      </c>
      <c r="B30" s="1">
        <f t="shared" si="3"/>
        <v>1.4</v>
      </c>
      <c r="C30" s="1">
        <v>20</v>
      </c>
      <c r="D30" s="1">
        <f t="shared" si="0"/>
        <v>29.146000000000001</v>
      </c>
      <c r="E30" s="1">
        <f t="shared" si="4"/>
        <v>4.8576666666666667E-7</v>
      </c>
      <c r="F30" s="1">
        <v>21.1</v>
      </c>
      <c r="G30" s="1">
        <f t="shared" si="5"/>
        <v>294.10000000000002</v>
      </c>
      <c r="H30" s="1">
        <v>101.3</v>
      </c>
      <c r="I30" s="1">
        <f t="shared" si="6"/>
        <v>101300</v>
      </c>
      <c r="J30" s="1">
        <f t="shared" si="7"/>
        <v>2.0124824921938581E-5</v>
      </c>
      <c r="K30" s="22">
        <v>38.361386138613867</v>
      </c>
      <c r="L30" s="1">
        <f t="shared" si="8"/>
        <v>3.8361386138613869E-5</v>
      </c>
      <c r="M30" s="1">
        <f t="shared" si="9"/>
        <v>4.7762865441819992E-3</v>
      </c>
      <c r="N30" s="29">
        <f t="shared" si="10"/>
        <v>1.6163523119082535E-7</v>
      </c>
      <c r="O30" s="29">
        <f t="shared" si="11"/>
        <v>2.032E-3</v>
      </c>
      <c r="P30" s="29">
        <v>4.7360646624728548E-11</v>
      </c>
      <c r="Q30" s="2">
        <v>0.05</v>
      </c>
      <c r="R30" s="2">
        <f t="shared" si="12"/>
        <v>105000</v>
      </c>
      <c r="S30" s="2">
        <f t="shared" si="13"/>
        <v>5.1398579432804297E-3</v>
      </c>
      <c r="T30" s="2">
        <v>0.08</v>
      </c>
      <c r="U30" s="2">
        <f t="shared" si="14"/>
        <v>108000</v>
      </c>
      <c r="V30" s="2">
        <f t="shared" si="1"/>
        <v>4.1430297029702983</v>
      </c>
      <c r="W30" s="2">
        <f t="shared" si="15"/>
        <v>3</v>
      </c>
      <c r="X30" s="2">
        <f t="shared" si="2"/>
        <v>1.6870652441290752E-7</v>
      </c>
      <c r="Y30" s="2">
        <f t="shared" si="16"/>
        <v>100361.42387644852</v>
      </c>
      <c r="Z30" s="2">
        <f t="shared" si="17"/>
        <v>8.64040518306885E-15</v>
      </c>
      <c r="AA30" s="2">
        <f t="shared" si="18"/>
        <v>5203252001.2440615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</row>
    <row r="31" spans="1:75" s="4" customFormat="1" x14ac:dyDescent="0.25">
      <c r="A31" s="1">
        <v>87</v>
      </c>
      <c r="B31" s="1">
        <f t="shared" si="3"/>
        <v>1.45</v>
      </c>
      <c r="C31" s="1">
        <v>20</v>
      </c>
      <c r="D31" s="1">
        <f t="shared" si="0"/>
        <v>29.146000000000001</v>
      </c>
      <c r="E31" s="1">
        <f t="shared" si="4"/>
        <v>4.8576666666666667E-7</v>
      </c>
      <c r="F31" s="1">
        <v>21.1</v>
      </c>
      <c r="G31" s="1">
        <f t="shared" si="5"/>
        <v>294.10000000000002</v>
      </c>
      <c r="H31" s="1">
        <v>101.3</v>
      </c>
      <c r="I31" s="1">
        <f t="shared" si="6"/>
        <v>101300</v>
      </c>
      <c r="J31" s="1">
        <f t="shared" si="7"/>
        <v>2.0124824921938581E-5</v>
      </c>
      <c r="K31" s="22">
        <v>45.46534653465347</v>
      </c>
      <c r="L31" s="1">
        <f t="shared" si="8"/>
        <v>4.546534653465347E-5</v>
      </c>
      <c r="M31" s="1">
        <f t="shared" si="9"/>
        <v>4.7762865441819992E-3</v>
      </c>
      <c r="N31" s="29">
        <f t="shared" si="10"/>
        <v>1.9156768141134852E-7</v>
      </c>
      <c r="O31" s="29">
        <f t="shared" si="11"/>
        <v>2.032E-3</v>
      </c>
      <c r="P31" s="29">
        <v>4.7360646624728548E-11</v>
      </c>
      <c r="Q31" s="2">
        <v>0.05</v>
      </c>
      <c r="R31" s="2">
        <f t="shared" si="12"/>
        <v>105000</v>
      </c>
      <c r="S31" s="2">
        <f t="shared" si="13"/>
        <v>5.1398579432804297E-3</v>
      </c>
      <c r="T31" s="2">
        <v>0.08</v>
      </c>
      <c r="U31" s="2">
        <f t="shared" si="14"/>
        <v>108000</v>
      </c>
      <c r="V31" s="2">
        <f t="shared" si="1"/>
        <v>4.9102574257425751</v>
      </c>
      <c r="W31" s="2">
        <f t="shared" si="15"/>
        <v>3</v>
      </c>
      <c r="X31" s="2">
        <f t="shared" si="2"/>
        <v>2.0284518505781232E-7</v>
      </c>
      <c r="Y31" s="2">
        <f t="shared" si="16"/>
        <v>99435.530828796618</v>
      </c>
      <c r="Z31" s="2">
        <f t="shared" si="17"/>
        <v>1.0485657533709295E-14</v>
      </c>
      <c r="AA31" s="2">
        <f t="shared" si="18"/>
        <v>6314462966.7997379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</row>
    <row r="32" spans="1:75" s="4" customFormat="1" x14ac:dyDescent="0.25">
      <c r="A32" s="1">
        <v>90</v>
      </c>
      <c r="B32" s="1">
        <f t="shared" si="3"/>
        <v>1.5</v>
      </c>
      <c r="C32" s="1">
        <v>20</v>
      </c>
      <c r="D32" s="1">
        <f t="shared" si="0"/>
        <v>29.146000000000001</v>
      </c>
      <c r="E32" s="1">
        <f t="shared" si="4"/>
        <v>4.8576666666666667E-7</v>
      </c>
      <c r="F32" s="1">
        <v>21.1</v>
      </c>
      <c r="G32" s="1">
        <f t="shared" si="5"/>
        <v>294.10000000000002</v>
      </c>
      <c r="H32" s="1">
        <v>101.3</v>
      </c>
      <c r="I32" s="1">
        <f t="shared" si="6"/>
        <v>101300</v>
      </c>
      <c r="J32" s="1">
        <f t="shared" si="7"/>
        <v>2.0124824921938581E-5</v>
      </c>
      <c r="K32" s="22">
        <v>39.5</v>
      </c>
      <c r="L32" s="1">
        <f t="shared" si="8"/>
        <v>3.9499999999999998E-5</v>
      </c>
      <c r="M32" s="1">
        <f t="shared" si="9"/>
        <v>4.7762865441819992E-3</v>
      </c>
      <c r="N32" s="29">
        <f t="shared" si="10"/>
        <v>1.6643276676624016E-7</v>
      </c>
      <c r="O32" s="29">
        <f t="shared" si="11"/>
        <v>2.032E-3</v>
      </c>
      <c r="P32" s="29">
        <v>4.7360646624728548E-11</v>
      </c>
      <c r="Q32" s="2">
        <v>0.05</v>
      </c>
      <c r="R32" s="2">
        <f t="shared" si="12"/>
        <v>105000</v>
      </c>
      <c r="S32" s="2">
        <f t="shared" si="13"/>
        <v>5.1398579432804297E-3</v>
      </c>
      <c r="T32" s="2">
        <v>0.08</v>
      </c>
      <c r="U32" s="2">
        <f t="shared" si="14"/>
        <v>108000</v>
      </c>
      <c r="V32" s="2">
        <f t="shared" si="1"/>
        <v>4.266</v>
      </c>
      <c r="W32" s="2">
        <f t="shared" si="15"/>
        <v>3</v>
      </c>
      <c r="X32" s="2">
        <f t="shared" si="2"/>
        <v>1.7420296444650594E-7</v>
      </c>
      <c r="Y32" s="2">
        <f t="shared" si="16"/>
        <v>100212.06215732695</v>
      </c>
      <c r="Z32" s="2">
        <f t="shared" si="17"/>
        <v>8.9352178661590493E-15</v>
      </c>
      <c r="AA32" s="2">
        <f t="shared" si="18"/>
        <v>5380788199.0009794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</row>
    <row r="33" spans="1:75" s="4" customFormat="1" x14ac:dyDescent="0.25">
      <c r="A33" s="1">
        <v>93</v>
      </c>
      <c r="B33" s="1">
        <f t="shared" si="3"/>
        <v>1.55</v>
      </c>
      <c r="C33" s="1">
        <v>20</v>
      </c>
      <c r="D33" s="1">
        <f t="shared" si="0"/>
        <v>29.146000000000001</v>
      </c>
      <c r="E33" s="1">
        <f t="shared" si="4"/>
        <v>4.8576666666666667E-7</v>
      </c>
      <c r="F33" s="1">
        <v>21.1</v>
      </c>
      <c r="G33" s="1">
        <f t="shared" si="5"/>
        <v>294.10000000000002</v>
      </c>
      <c r="H33" s="1">
        <v>101.3</v>
      </c>
      <c r="I33" s="1">
        <f t="shared" si="6"/>
        <v>101300</v>
      </c>
      <c r="J33" s="1">
        <f t="shared" si="7"/>
        <v>2.0124824921938581E-5</v>
      </c>
      <c r="K33" s="22">
        <v>44.871287128712872</v>
      </c>
      <c r="L33" s="1">
        <f t="shared" si="8"/>
        <v>4.4871287128712873E-5</v>
      </c>
      <c r="M33" s="1">
        <f t="shared" si="9"/>
        <v>4.7762865441819992E-3</v>
      </c>
      <c r="N33" s="29">
        <f t="shared" si="10"/>
        <v>1.8906461937200162E-7</v>
      </c>
      <c r="O33" s="29">
        <f t="shared" si="11"/>
        <v>2.032E-3</v>
      </c>
      <c r="P33" s="29">
        <v>4.7360646624728548E-11</v>
      </c>
      <c r="Q33" s="2">
        <v>0.05</v>
      </c>
      <c r="R33" s="2">
        <f t="shared" si="12"/>
        <v>105000</v>
      </c>
      <c r="S33" s="2">
        <f t="shared" si="13"/>
        <v>5.1398579432804297E-3</v>
      </c>
      <c r="T33" s="2">
        <v>0.08</v>
      </c>
      <c r="U33" s="2">
        <f t="shared" si="14"/>
        <v>108000</v>
      </c>
      <c r="V33" s="2">
        <f t="shared" si="1"/>
        <v>4.84609900990099</v>
      </c>
      <c r="W33" s="2">
        <f t="shared" si="15"/>
        <v>3</v>
      </c>
      <c r="X33" s="2">
        <f t="shared" si="2"/>
        <v>2.0000359776463005E-7</v>
      </c>
      <c r="Y33" s="2">
        <f t="shared" si="16"/>
        <v>99512.435341383767</v>
      </c>
      <c r="Z33" s="2">
        <f t="shared" si="17"/>
        <v>1.033077063249205E-14</v>
      </c>
      <c r="AA33" s="2">
        <f t="shared" si="18"/>
        <v>6221190074.886713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 spans="1:75" s="4" customFormat="1" x14ac:dyDescent="0.25">
      <c r="A34" s="1">
        <v>96</v>
      </c>
      <c r="B34" s="1">
        <f t="shared" si="3"/>
        <v>1.6</v>
      </c>
      <c r="C34" s="1">
        <v>20</v>
      </c>
      <c r="D34" s="1">
        <f t="shared" si="0"/>
        <v>29.146000000000001</v>
      </c>
      <c r="E34" s="1">
        <f t="shared" si="4"/>
        <v>4.8576666666666667E-7</v>
      </c>
      <c r="F34" s="1">
        <v>21.1</v>
      </c>
      <c r="G34" s="1">
        <f t="shared" si="5"/>
        <v>294.10000000000002</v>
      </c>
      <c r="H34" s="1">
        <v>101.3</v>
      </c>
      <c r="I34" s="1">
        <f t="shared" si="6"/>
        <v>101300</v>
      </c>
      <c r="J34" s="1">
        <f t="shared" si="7"/>
        <v>2.0124824921938581E-5</v>
      </c>
      <c r="K34" s="22">
        <v>48.163366336633665</v>
      </c>
      <c r="L34" s="1">
        <f t="shared" si="8"/>
        <v>4.8163366336633662E-5</v>
      </c>
      <c r="M34" s="1">
        <f t="shared" si="9"/>
        <v>4.7762865441819992E-3</v>
      </c>
      <c r="N34" s="29">
        <f t="shared" si="10"/>
        <v>2.0293575484004897E-7</v>
      </c>
      <c r="O34" s="29">
        <f t="shared" si="11"/>
        <v>2.032E-3</v>
      </c>
      <c r="P34" s="29">
        <v>4.7360646624728548E-11</v>
      </c>
      <c r="Q34" s="2">
        <v>0.05</v>
      </c>
      <c r="R34" s="2">
        <f t="shared" si="12"/>
        <v>105000</v>
      </c>
      <c r="S34" s="2">
        <f t="shared" si="13"/>
        <v>5.1398579432804297E-3</v>
      </c>
      <c r="T34" s="2">
        <v>0.08</v>
      </c>
      <c r="U34" s="2">
        <f t="shared" si="14"/>
        <v>108000</v>
      </c>
      <c r="V34" s="2">
        <f t="shared" ref="V34:V62" si="19">(L34*U34)</f>
        <v>5.2016435643564352</v>
      </c>
      <c r="W34" s="2">
        <f t="shared" si="15"/>
        <v>3</v>
      </c>
      <c r="X34" s="2">
        <f t="shared" ref="X34:X62" si="20">(N34+((P34/O34)*(SQRT(V34)-SQRT(W34))))</f>
        <v>2.1572360465465331E-7</v>
      </c>
      <c r="Y34" s="2">
        <f t="shared" si="16"/>
        <v>99087.362886662333</v>
      </c>
      <c r="Z34" s="2">
        <f t="shared" si="17"/>
        <v>1.1190598479345795E-14</v>
      </c>
      <c r="AA34" s="2">
        <f t="shared" si="18"/>
        <v>6738978404.2620382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 spans="1:75" s="4" customFormat="1" x14ac:dyDescent="0.25">
      <c r="A35" s="1">
        <v>99</v>
      </c>
      <c r="B35" s="1">
        <f t="shared" si="3"/>
        <v>1.65</v>
      </c>
      <c r="C35" s="1">
        <v>20</v>
      </c>
      <c r="D35" s="1">
        <f t="shared" si="0"/>
        <v>29.146000000000001</v>
      </c>
      <c r="E35" s="1">
        <f t="shared" si="4"/>
        <v>4.8576666666666667E-7</v>
      </c>
      <c r="F35" s="1">
        <v>21.1</v>
      </c>
      <c r="G35" s="1">
        <f t="shared" si="5"/>
        <v>294.10000000000002</v>
      </c>
      <c r="H35" s="1">
        <v>101.3</v>
      </c>
      <c r="I35" s="1">
        <f t="shared" si="6"/>
        <v>101300</v>
      </c>
      <c r="J35" s="1">
        <f t="shared" si="7"/>
        <v>2.0124824921938581E-5</v>
      </c>
      <c r="K35" s="22">
        <v>43.435643564356432</v>
      </c>
      <c r="L35" s="1">
        <f t="shared" si="8"/>
        <v>4.3435643564356435E-5</v>
      </c>
      <c r="M35" s="1">
        <f t="shared" si="9"/>
        <v>4.7762865441819992E-3</v>
      </c>
      <c r="N35" s="29">
        <f t="shared" si="10"/>
        <v>1.830155527769133E-7</v>
      </c>
      <c r="O35" s="29">
        <f t="shared" si="11"/>
        <v>2.032E-3</v>
      </c>
      <c r="P35" s="29">
        <v>4.7360646624728548E-11</v>
      </c>
      <c r="Q35" s="2">
        <v>0.05</v>
      </c>
      <c r="R35" s="2">
        <f t="shared" si="12"/>
        <v>105000</v>
      </c>
      <c r="S35" s="2">
        <f t="shared" si="13"/>
        <v>5.1398579432804297E-3</v>
      </c>
      <c r="T35" s="2">
        <v>0.08</v>
      </c>
      <c r="U35" s="2">
        <f t="shared" si="14"/>
        <v>108000</v>
      </c>
      <c r="V35" s="2">
        <f t="shared" si="19"/>
        <v>4.6910495049504952</v>
      </c>
      <c r="W35" s="2">
        <f t="shared" si="15"/>
        <v>3</v>
      </c>
      <c r="X35" s="2">
        <f t="shared" si="20"/>
        <v>1.9312705712026351E-7</v>
      </c>
      <c r="Y35" s="2">
        <f t="shared" si="16"/>
        <v>99698.664555976953</v>
      </c>
      <c r="Z35" s="2">
        <f t="shared" si="17"/>
        <v>9.9569272212579464E-15</v>
      </c>
      <c r="AA35" s="2">
        <f t="shared" si="18"/>
        <v>5996061572.6415358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 spans="1:75" s="4" customFormat="1" x14ac:dyDescent="0.25">
      <c r="A36" s="1">
        <v>102</v>
      </c>
      <c r="B36" s="1">
        <f t="shared" si="3"/>
        <v>1.7</v>
      </c>
      <c r="C36" s="1">
        <v>20</v>
      </c>
      <c r="D36" s="1">
        <f t="shared" si="0"/>
        <v>29.146000000000001</v>
      </c>
      <c r="E36" s="1">
        <f t="shared" si="4"/>
        <v>4.8576666666666667E-7</v>
      </c>
      <c r="F36" s="1">
        <v>21.1</v>
      </c>
      <c r="G36" s="1">
        <f t="shared" si="5"/>
        <v>294.10000000000002</v>
      </c>
      <c r="H36" s="1">
        <v>101.3</v>
      </c>
      <c r="I36" s="1">
        <f t="shared" si="6"/>
        <v>101300</v>
      </c>
      <c r="J36" s="1">
        <f t="shared" si="7"/>
        <v>2.0124824921938581E-5</v>
      </c>
      <c r="K36" s="28">
        <v>48.336633663366342</v>
      </c>
      <c r="L36" s="1">
        <f t="shared" si="8"/>
        <v>4.8336633663366346E-5</v>
      </c>
      <c r="M36" s="1">
        <f t="shared" si="9"/>
        <v>4.7762865441819992E-3</v>
      </c>
      <c r="N36" s="64">
        <f t="shared" si="10"/>
        <v>2.0366581460152516E-7</v>
      </c>
      <c r="O36" s="29">
        <f t="shared" si="11"/>
        <v>2.032E-3</v>
      </c>
      <c r="P36" s="29">
        <v>4.7360646624728548E-11</v>
      </c>
      <c r="Q36" s="2">
        <v>0.05</v>
      </c>
      <c r="R36" s="2">
        <f t="shared" si="12"/>
        <v>105000</v>
      </c>
      <c r="S36" s="2">
        <f t="shared" si="13"/>
        <v>5.1398579432804297E-3</v>
      </c>
      <c r="T36" s="2">
        <v>0.08</v>
      </c>
      <c r="U36" s="2">
        <f t="shared" si="14"/>
        <v>108000</v>
      </c>
      <c r="V36" s="2">
        <f t="shared" si="19"/>
        <v>5.2203564356435654</v>
      </c>
      <c r="W36" s="2">
        <f t="shared" si="15"/>
        <v>3</v>
      </c>
      <c r="X36" s="12">
        <f t="shared" si="20"/>
        <v>2.1654919534330545E-7</v>
      </c>
      <c r="Y36" s="2">
        <f t="shared" si="16"/>
        <v>99065.063877734865</v>
      </c>
      <c r="Z36" s="12">
        <f t="shared" si="17"/>
        <v>1.1235956591804598E-14</v>
      </c>
      <c r="AA36" s="12">
        <f t="shared" si="18"/>
        <v>6766293059.5847292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 spans="1:75" s="4" customFormat="1" x14ac:dyDescent="0.25">
      <c r="A37" s="1">
        <v>105</v>
      </c>
      <c r="B37" s="1">
        <f t="shared" si="3"/>
        <v>1.75</v>
      </c>
      <c r="C37" s="1">
        <v>20</v>
      </c>
      <c r="D37" s="1">
        <f t="shared" si="0"/>
        <v>29.146000000000001</v>
      </c>
      <c r="E37" s="1">
        <f t="shared" si="4"/>
        <v>4.8576666666666667E-7</v>
      </c>
      <c r="F37" s="1">
        <v>21.1</v>
      </c>
      <c r="G37" s="1">
        <f t="shared" si="5"/>
        <v>294.10000000000002</v>
      </c>
      <c r="H37" s="1">
        <v>101.3</v>
      </c>
      <c r="I37" s="1">
        <f t="shared" si="6"/>
        <v>101300</v>
      </c>
      <c r="J37" s="1">
        <f t="shared" si="7"/>
        <v>2.0124824921938581E-5</v>
      </c>
      <c r="K37" s="28">
        <v>39.920792079207921</v>
      </c>
      <c r="L37" s="1">
        <f t="shared" si="8"/>
        <v>3.9920792079207918E-5</v>
      </c>
      <c r="M37" s="1">
        <f t="shared" si="9"/>
        <v>4.7762865441819992E-3</v>
      </c>
      <c r="N37" s="64">
        <f t="shared" si="10"/>
        <v>1.6820576904411088E-7</v>
      </c>
      <c r="O37" s="29">
        <f t="shared" si="11"/>
        <v>2.032E-3</v>
      </c>
      <c r="P37" s="29">
        <v>4.7360646624728548E-11</v>
      </c>
      <c r="Q37" s="2">
        <v>0.05</v>
      </c>
      <c r="R37" s="2">
        <f t="shared" si="12"/>
        <v>105000</v>
      </c>
      <c r="S37" s="2">
        <f t="shared" si="13"/>
        <v>5.1398579432804297E-3</v>
      </c>
      <c r="T37" s="2">
        <v>0.08</v>
      </c>
      <c r="U37" s="2">
        <f t="shared" si="14"/>
        <v>108000</v>
      </c>
      <c r="V37" s="2">
        <f t="shared" si="19"/>
        <v>4.3114455445544548</v>
      </c>
      <c r="W37" s="2">
        <f t="shared" si="15"/>
        <v>3</v>
      </c>
      <c r="X37" s="12">
        <f t="shared" si="20"/>
        <v>1.7623170325711497E-7</v>
      </c>
      <c r="Y37" s="2">
        <f t="shared" si="16"/>
        <v>100156.96077402656</v>
      </c>
      <c r="Z37" s="12">
        <f t="shared" si="17"/>
        <v>9.0442532066530505E-15</v>
      </c>
      <c r="AA37" s="12">
        <f t="shared" si="18"/>
        <v>5446449281.0464668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</row>
    <row r="38" spans="1:75" s="4" customFormat="1" x14ac:dyDescent="0.25">
      <c r="A38" s="1">
        <v>108</v>
      </c>
      <c r="B38" s="1">
        <f t="shared" si="3"/>
        <v>1.8</v>
      </c>
      <c r="C38" s="1">
        <v>20</v>
      </c>
      <c r="D38" s="1">
        <f t="shared" si="0"/>
        <v>29.146000000000001</v>
      </c>
      <c r="E38" s="1">
        <f t="shared" si="4"/>
        <v>4.8576666666666667E-7</v>
      </c>
      <c r="F38" s="1">
        <v>21.1</v>
      </c>
      <c r="G38" s="1">
        <f t="shared" si="5"/>
        <v>294.10000000000002</v>
      </c>
      <c r="H38" s="1">
        <v>101.3</v>
      </c>
      <c r="I38" s="1">
        <f t="shared" si="6"/>
        <v>101300</v>
      </c>
      <c r="J38" s="1">
        <f t="shared" si="7"/>
        <v>2.0124824921938581E-5</v>
      </c>
      <c r="K38" s="28">
        <v>44.599009900990104</v>
      </c>
      <c r="L38" s="1">
        <f t="shared" si="8"/>
        <v>4.4599009900990107E-5</v>
      </c>
      <c r="M38" s="1">
        <f t="shared" si="9"/>
        <v>4.7762865441819992E-3</v>
      </c>
      <c r="N38" s="64">
        <f t="shared" si="10"/>
        <v>1.8791738260396764E-7</v>
      </c>
      <c r="O38" s="29">
        <f t="shared" si="11"/>
        <v>2.032E-3</v>
      </c>
      <c r="P38" s="29">
        <v>4.7360646624728548E-11</v>
      </c>
      <c r="Q38" s="2">
        <v>0.05</v>
      </c>
      <c r="R38" s="2">
        <f t="shared" si="12"/>
        <v>105000</v>
      </c>
      <c r="S38" s="2">
        <f t="shared" si="13"/>
        <v>5.1398579432804297E-3</v>
      </c>
      <c r="T38" s="2">
        <v>0.08</v>
      </c>
      <c r="U38" s="2">
        <f t="shared" si="14"/>
        <v>108000</v>
      </c>
      <c r="V38" s="2">
        <f t="shared" si="19"/>
        <v>4.8166930693069316</v>
      </c>
      <c r="W38" s="2">
        <f t="shared" si="15"/>
        <v>3</v>
      </c>
      <c r="X38" s="12">
        <f t="shared" si="20"/>
        <v>1.9870045486966318E-7</v>
      </c>
      <c r="Y38" s="2">
        <f t="shared" si="16"/>
        <v>99547.71344887231</v>
      </c>
      <c r="Z38" s="12">
        <f t="shared" si="17"/>
        <v>1.0259819078810715E-14</v>
      </c>
      <c r="AA38" s="12">
        <f t="shared" si="18"/>
        <v>6178463049.2598124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</row>
    <row r="39" spans="1:75" s="4" customFormat="1" x14ac:dyDescent="0.25">
      <c r="A39" s="1">
        <v>111</v>
      </c>
      <c r="B39" s="1">
        <f t="shared" si="3"/>
        <v>1.85</v>
      </c>
      <c r="C39" s="1">
        <v>20</v>
      </c>
      <c r="D39" s="1">
        <f t="shared" si="0"/>
        <v>29.146000000000001</v>
      </c>
      <c r="E39" s="1">
        <f t="shared" si="4"/>
        <v>4.8576666666666667E-7</v>
      </c>
      <c r="F39" s="1">
        <v>21.1</v>
      </c>
      <c r="G39" s="1">
        <f t="shared" si="5"/>
        <v>294.10000000000002</v>
      </c>
      <c r="H39" s="1">
        <v>101.3</v>
      </c>
      <c r="I39" s="1">
        <f t="shared" si="6"/>
        <v>101300</v>
      </c>
      <c r="J39" s="1">
        <f t="shared" si="7"/>
        <v>2.0124824921938581E-5</v>
      </c>
      <c r="K39" s="28">
        <v>44.846534653465348</v>
      </c>
      <c r="L39" s="1">
        <f t="shared" si="8"/>
        <v>4.4846534653465351E-5</v>
      </c>
      <c r="M39" s="1">
        <f t="shared" si="9"/>
        <v>4.7762865441819992E-3</v>
      </c>
      <c r="N39" s="64">
        <f t="shared" si="10"/>
        <v>1.8896032512036217E-7</v>
      </c>
      <c r="O39" s="29">
        <f t="shared" si="11"/>
        <v>2.032E-3</v>
      </c>
      <c r="P39" s="29">
        <v>4.7360646624728548E-11</v>
      </c>
      <c r="Q39" s="2">
        <v>0.05</v>
      </c>
      <c r="R39" s="2">
        <f t="shared" si="12"/>
        <v>105000</v>
      </c>
      <c r="S39" s="2">
        <f t="shared" si="13"/>
        <v>5.1398579432804297E-3</v>
      </c>
      <c r="T39" s="2">
        <v>0.08</v>
      </c>
      <c r="U39" s="2">
        <f t="shared" si="14"/>
        <v>108000</v>
      </c>
      <c r="V39" s="2">
        <f t="shared" si="19"/>
        <v>4.843425742574258</v>
      </c>
      <c r="W39" s="2">
        <f t="shared" si="15"/>
        <v>3</v>
      </c>
      <c r="X39" s="12">
        <f t="shared" si="20"/>
        <v>1.9988514980999329E-7</v>
      </c>
      <c r="Y39" s="2">
        <f t="shared" si="16"/>
        <v>99515.641653656086</v>
      </c>
      <c r="Z39" s="12">
        <f t="shared" si="17"/>
        <v>1.0324319503915953E-14</v>
      </c>
      <c r="AA39" s="12">
        <f t="shared" si="18"/>
        <v>6217305205.2581873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</row>
    <row r="40" spans="1:75" s="4" customFormat="1" x14ac:dyDescent="0.25">
      <c r="A40" s="1">
        <v>114</v>
      </c>
      <c r="B40" s="1">
        <f t="shared" si="3"/>
        <v>1.9</v>
      </c>
      <c r="C40" s="1">
        <v>20</v>
      </c>
      <c r="D40" s="1">
        <f t="shared" si="0"/>
        <v>29.146000000000001</v>
      </c>
      <c r="E40" s="1">
        <f t="shared" si="4"/>
        <v>4.8576666666666667E-7</v>
      </c>
      <c r="F40" s="1">
        <v>21.1</v>
      </c>
      <c r="G40" s="1">
        <f t="shared" si="5"/>
        <v>294.10000000000002</v>
      </c>
      <c r="H40" s="1">
        <v>101.3</v>
      </c>
      <c r="I40" s="1">
        <f t="shared" si="6"/>
        <v>101300</v>
      </c>
      <c r="J40" s="1">
        <f t="shared" si="7"/>
        <v>2.0124824921938581E-5</v>
      </c>
      <c r="K40" s="28">
        <v>44.549504950495056</v>
      </c>
      <c r="L40" s="1">
        <f t="shared" si="8"/>
        <v>4.4549504950495056E-5</v>
      </c>
      <c r="M40" s="1">
        <f t="shared" si="9"/>
        <v>4.7762865441819992E-3</v>
      </c>
      <c r="N40" s="64">
        <f t="shared" si="10"/>
        <v>1.8770879410068876E-7</v>
      </c>
      <c r="O40" s="29">
        <f t="shared" si="11"/>
        <v>2.032E-3</v>
      </c>
      <c r="P40" s="29">
        <v>4.7360646624728548E-11</v>
      </c>
      <c r="Q40" s="2">
        <v>0.05</v>
      </c>
      <c r="R40" s="2">
        <f t="shared" si="12"/>
        <v>105000</v>
      </c>
      <c r="S40" s="2">
        <f t="shared" si="13"/>
        <v>5.1398579432804297E-3</v>
      </c>
      <c r="T40" s="2">
        <v>0.08</v>
      </c>
      <c r="U40" s="2">
        <f t="shared" si="14"/>
        <v>108000</v>
      </c>
      <c r="V40" s="2">
        <f t="shared" si="19"/>
        <v>4.8113465346534658</v>
      </c>
      <c r="W40" s="2">
        <f t="shared" si="15"/>
        <v>3</v>
      </c>
      <c r="X40" s="12">
        <f t="shared" si="20"/>
        <v>1.9846346871714494E-7</v>
      </c>
      <c r="Y40" s="2">
        <f t="shared" si="16"/>
        <v>99554.129704948937</v>
      </c>
      <c r="Z40" s="12">
        <f t="shared" si="17"/>
        <v>1.0246921354741591E-14</v>
      </c>
      <c r="AA40" s="12">
        <f t="shared" si="18"/>
        <v>6170696039.825387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</row>
    <row r="41" spans="1:75" s="4" customFormat="1" x14ac:dyDescent="0.25">
      <c r="A41" s="1">
        <v>117</v>
      </c>
      <c r="B41" s="1">
        <f t="shared" si="3"/>
        <v>1.95</v>
      </c>
      <c r="C41" s="1">
        <v>20</v>
      </c>
      <c r="D41" s="1">
        <f t="shared" si="0"/>
        <v>29.146000000000001</v>
      </c>
      <c r="E41" s="1">
        <f t="shared" si="4"/>
        <v>4.8576666666666667E-7</v>
      </c>
      <c r="F41" s="1">
        <v>21.1</v>
      </c>
      <c r="G41" s="1">
        <f t="shared" si="5"/>
        <v>294.10000000000002</v>
      </c>
      <c r="H41" s="1">
        <v>101.3</v>
      </c>
      <c r="I41" s="1">
        <f t="shared" si="6"/>
        <v>101300</v>
      </c>
      <c r="J41" s="1">
        <f t="shared" si="7"/>
        <v>2.0124824921938581E-5</v>
      </c>
      <c r="K41" s="28">
        <v>47.594059405940598</v>
      </c>
      <c r="L41" s="1">
        <f t="shared" si="8"/>
        <v>4.7594059405940601E-5</v>
      </c>
      <c r="M41" s="1">
        <f t="shared" si="9"/>
        <v>4.7762865441819992E-3</v>
      </c>
      <c r="N41" s="64">
        <f t="shared" si="10"/>
        <v>2.0053698705234155E-7</v>
      </c>
      <c r="O41" s="29">
        <f t="shared" si="11"/>
        <v>2.032E-3</v>
      </c>
      <c r="P41" s="29">
        <v>4.7360646624728548E-11</v>
      </c>
      <c r="Q41" s="2">
        <v>0.05</v>
      </c>
      <c r="R41" s="2">
        <f t="shared" si="12"/>
        <v>105000</v>
      </c>
      <c r="S41" s="2">
        <f t="shared" si="13"/>
        <v>5.1398579432804297E-3</v>
      </c>
      <c r="T41" s="2">
        <v>0.08</v>
      </c>
      <c r="U41" s="2">
        <f t="shared" si="14"/>
        <v>108000</v>
      </c>
      <c r="V41" s="2">
        <f t="shared" si="19"/>
        <v>5.1401584158415847</v>
      </c>
      <c r="W41" s="2">
        <f t="shared" si="15"/>
        <v>3</v>
      </c>
      <c r="X41" s="12">
        <f t="shared" si="20"/>
        <v>2.1300973356207503E-7</v>
      </c>
      <c r="Y41" s="2">
        <f t="shared" si="16"/>
        <v>99160.681584281599</v>
      </c>
      <c r="Z41" s="12">
        <f t="shared" si="17"/>
        <v>1.1041639784334626E-14</v>
      </c>
      <c r="AA41" s="12">
        <f t="shared" si="18"/>
        <v>6649275478.1263123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</row>
    <row r="42" spans="1:75" s="4" customFormat="1" x14ac:dyDescent="0.25">
      <c r="A42" s="1">
        <v>120</v>
      </c>
      <c r="B42" s="1">
        <f t="shared" si="3"/>
        <v>2</v>
      </c>
      <c r="C42" s="1">
        <v>20</v>
      </c>
      <c r="D42" s="1">
        <f t="shared" si="0"/>
        <v>29.146000000000001</v>
      </c>
      <c r="E42" s="1">
        <f t="shared" si="4"/>
        <v>4.8576666666666667E-7</v>
      </c>
      <c r="F42" s="1">
        <v>21.1</v>
      </c>
      <c r="G42" s="1">
        <f t="shared" si="5"/>
        <v>294.10000000000002</v>
      </c>
      <c r="H42" s="1">
        <v>101.3</v>
      </c>
      <c r="I42" s="1">
        <f t="shared" si="6"/>
        <v>101300</v>
      </c>
      <c r="J42" s="1">
        <f t="shared" si="7"/>
        <v>2.0124824921938581E-5</v>
      </c>
      <c r="K42" s="28">
        <v>43.683168316831683</v>
      </c>
      <c r="L42" s="1">
        <f t="shared" si="8"/>
        <v>4.3683168316831686E-5</v>
      </c>
      <c r="M42" s="1">
        <f t="shared" si="9"/>
        <v>4.7762865441819992E-3</v>
      </c>
      <c r="N42" s="64">
        <f t="shared" si="10"/>
        <v>1.8405849529330786E-7</v>
      </c>
      <c r="O42" s="29">
        <f t="shared" si="11"/>
        <v>2.032E-3</v>
      </c>
      <c r="P42" s="29">
        <v>4.7360646624728548E-11</v>
      </c>
      <c r="Q42" s="2">
        <v>0.05</v>
      </c>
      <c r="R42" s="2">
        <f t="shared" si="12"/>
        <v>105000</v>
      </c>
      <c r="S42" s="2">
        <f t="shared" si="13"/>
        <v>5.1398579432804297E-3</v>
      </c>
      <c r="T42" s="2">
        <v>0.08</v>
      </c>
      <c r="U42" s="2">
        <f t="shared" si="14"/>
        <v>108000</v>
      </c>
      <c r="V42" s="2">
        <f t="shared" si="19"/>
        <v>4.7177821782178224</v>
      </c>
      <c r="W42" s="2">
        <f t="shared" si="15"/>
        <v>3</v>
      </c>
      <c r="X42" s="12">
        <f t="shared" si="20"/>
        <v>1.9431363252726852E-7</v>
      </c>
      <c r="Y42" s="2">
        <f t="shared" si="16"/>
        <v>99666.517509619604</v>
      </c>
      <c r="Z42" s="12">
        <f t="shared" si="17"/>
        <v>1.0021336864920735E-14</v>
      </c>
      <c r="AA42" s="12">
        <f t="shared" si="18"/>
        <v>6034849060.0552664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</row>
    <row r="43" spans="1:75" s="4" customFormat="1" x14ac:dyDescent="0.25">
      <c r="A43" s="1">
        <v>123</v>
      </c>
      <c r="B43" s="1">
        <f t="shared" si="3"/>
        <v>2.0499999999999998</v>
      </c>
      <c r="C43" s="1">
        <v>20</v>
      </c>
      <c r="D43" s="1">
        <f t="shared" si="0"/>
        <v>29.146000000000001</v>
      </c>
      <c r="E43" s="1">
        <f t="shared" si="4"/>
        <v>4.8576666666666667E-7</v>
      </c>
      <c r="F43" s="1">
        <v>21.1</v>
      </c>
      <c r="G43" s="1">
        <f t="shared" si="5"/>
        <v>294.10000000000002</v>
      </c>
      <c r="H43" s="1">
        <v>101.3</v>
      </c>
      <c r="I43" s="1">
        <f t="shared" si="6"/>
        <v>101300</v>
      </c>
      <c r="J43" s="1">
        <f t="shared" si="7"/>
        <v>2.0124824921938581E-5</v>
      </c>
      <c r="K43" s="28">
        <v>42.594059405940591</v>
      </c>
      <c r="L43" s="1">
        <f t="shared" si="8"/>
        <v>4.2594059405940588E-5</v>
      </c>
      <c r="M43" s="1">
        <f t="shared" si="9"/>
        <v>4.7762865441819992E-3</v>
      </c>
      <c r="N43" s="64">
        <f t="shared" si="10"/>
        <v>1.7946954822117185E-7</v>
      </c>
      <c r="O43" s="29">
        <f t="shared" si="11"/>
        <v>2.032E-3</v>
      </c>
      <c r="P43" s="29">
        <v>4.7360646624728548E-11</v>
      </c>
      <c r="Q43" s="2">
        <v>0.05</v>
      </c>
      <c r="R43" s="2">
        <f t="shared" si="12"/>
        <v>105000</v>
      </c>
      <c r="S43" s="2">
        <f t="shared" si="13"/>
        <v>5.1398579432804297E-3</v>
      </c>
      <c r="T43" s="2">
        <v>0.08</v>
      </c>
      <c r="U43" s="2">
        <f t="shared" si="14"/>
        <v>108000</v>
      </c>
      <c r="V43" s="2">
        <f t="shared" si="19"/>
        <v>4.6001584158415838</v>
      </c>
      <c r="W43" s="2">
        <f t="shared" si="15"/>
        <v>3</v>
      </c>
      <c r="X43" s="12">
        <f t="shared" si="20"/>
        <v>1.8908961388537334E-7</v>
      </c>
      <c r="Y43" s="2">
        <f t="shared" si="16"/>
        <v>99808.08696951867</v>
      </c>
      <c r="Z43" s="12">
        <f t="shared" si="17"/>
        <v>9.7380741392338355E-15</v>
      </c>
      <c r="AA43" s="12">
        <f t="shared" si="18"/>
        <v>5864268246.646616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</row>
    <row r="44" spans="1:75" s="4" customFormat="1" x14ac:dyDescent="0.25">
      <c r="A44" s="1">
        <v>126</v>
      </c>
      <c r="B44" s="1">
        <f t="shared" si="3"/>
        <v>2.1</v>
      </c>
      <c r="C44" s="1">
        <v>20</v>
      </c>
      <c r="D44" s="1">
        <f t="shared" si="0"/>
        <v>29.146000000000001</v>
      </c>
      <c r="E44" s="1">
        <f t="shared" si="4"/>
        <v>4.8576666666666667E-7</v>
      </c>
      <c r="F44" s="1">
        <v>21.1</v>
      </c>
      <c r="G44" s="1">
        <f t="shared" si="5"/>
        <v>294.10000000000002</v>
      </c>
      <c r="H44" s="1">
        <v>101.3</v>
      </c>
      <c r="I44" s="1">
        <f t="shared" si="6"/>
        <v>101300</v>
      </c>
      <c r="J44" s="1">
        <f t="shared" si="7"/>
        <v>2.0124824921938581E-5</v>
      </c>
      <c r="K44" s="28">
        <v>46.504950495049506</v>
      </c>
      <c r="L44" s="1">
        <f t="shared" si="8"/>
        <v>4.6504950495049503E-5</v>
      </c>
      <c r="M44" s="1">
        <f t="shared" si="9"/>
        <v>4.7762865441819992E-3</v>
      </c>
      <c r="N44" s="64">
        <f t="shared" si="10"/>
        <v>1.9594803998020554E-7</v>
      </c>
      <c r="O44" s="29">
        <f t="shared" si="11"/>
        <v>2.032E-3</v>
      </c>
      <c r="P44" s="29">
        <v>4.7360646624728548E-11</v>
      </c>
      <c r="Q44" s="2">
        <v>0.05</v>
      </c>
      <c r="R44" s="2">
        <f t="shared" si="12"/>
        <v>105000</v>
      </c>
      <c r="S44" s="2">
        <f t="shared" si="13"/>
        <v>5.1398579432804297E-3</v>
      </c>
      <c r="T44" s="2">
        <v>0.08</v>
      </c>
      <c r="U44" s="2">
        <f t="shared" si="14"/>
        <v>108000</v>
      </c>
      <c r="V44" s="2">
        <f t="shared" si="19"/>
        <v>5.0225346534653461</v>
      </c>
      <c r="W44" s="2">
        <f t="shared" si="15"/>
        <v>3</v>
      </c>
      <c r="X44" s="12">
        <f t="shared" si="20"/>
        <v>2.078126838950991E-7</v>
      </c>
      <c r="Y44" s="2">
        <f t="shared" si="16"/>
        <v>99301.162208772963</v>
      </c>
      <c r="Z44" s="12">
        <f t="shared" si="17"/>
        <v>1.0756990931753679E-14</v>
      </c>
      <c r="AA44" s="12">
        <f t="shared" si="18"/>
        <v>6477859939.102066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</row>
    <row r="45" spans="1:75" s="4" customFormat="1" x14ac:dyDescent="0.25">
      <c r="A45" s="1">
        <v>129</v>
      </c>
      <c r="B45" s="1">
        <f t="shared" si="3"/>
        <v>2.15</v>
      </c>
      <c r="C45" s="1">
        <v>20</v>
      </c>
      <c r="D45" s="1">
        <f t="shared" si="0"/>
        <v>29.146000000000001</v>
      </c>
      <c r="E45" s="1">
        <f t="shared" si="4"/>
        <v>4.8576666666666667E-7</v>
      </c>
      <c r="F45" s="1">
        <v>21.1</v>
      </c>
      <c r="G45" s="1">
        <f t="shared" si="5"/>
        <v>294.10000000000002</v>
      </c>
      <c r="H45" s="1">
        <v>101.3</v>
      </c>
      <c r="I45" s="1">
        <f t="shared" si="6"/>
        <v>101300</v>
      </c>
      <c r="J45" s="1">
        <f t="shared" si="7"/>
        <v>2.0124824921938581E-5</v>
      </c>
      <c r="K45" s="28">
        <v>40.638613861386141</v>
      </c>
      <c r="L45" s="1">
        <f t="shared" si="8"/>
        <v>4.0638613861386141E-5</v>
      </c>
      <c r="M45" s="1">
        <f t="shared" si="9"/>
        <v>4.7762865441819992E-3</v>
      </c>
      <c r="N45" s="64">
        <f t="shared" si="10"/>
        <v>1.7123030234165504E-7</v>
      </c>
      <c r="O45" s="29">
        <f t="shared" si="11"/>
        <v>2.032E-3</v>
      </c>
      <c r="P45" s="29">
        <v>4.7360646624728548E-11</v>
      </c>
      <c r="Q45" s="2">
        <v>0.05</v>
      </c>
      <c r="R45" s="2">
        <f t="shared" si="12"/>
        <v>105000</v>
      </c>
      <c r="S45" s="2">
        <f t="shared" si="13"/>
        <v>5.1398579432804297E-3</v>
      </c>
      <c r="T45" s="2">
        <v>0.08</v>
      </c>
      <c r="U45" s="2">
        <f t="shared" si="14"/>
        <v>108000</v>
      </c>
      <c r="V45" s="2">
        <f t="shared" si="19"/>
        <v>4.3889702970297035</v>
      </c>
      <c r="W45" s="2">
        <f t="shared" si="15"/>
        <v>3</v>
      </c>
      <c r="X45" s="12">
        <f t="shared" si="20"/>
        <v>1.7968940181104732E-7</v>
      </c>
      <c r="Y45" s="2">
        <f t="shared" si="16"/>
        <v>100063.08317565013</v>
      </c>
      <c r="Z45" s="12">
        <f t="shared" si="17"/>
        <v>9.2303623044124177E-15</v>
      </c>
      <c r="AA45" s="12">
        <f t="shared" si="18"/>
        <v>5558524179.7171583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</row>
    <row r="46" spans="1:75" s="57" customFormat="1" x14ac:dyDescent="0.25">
      <c r="A46" s="53">
        <v>132</v>
      </c>
      <c r="B46" s="53">
        <f t="shared" si="3"/>
        <v>2.2000000000000002</v>
      </c>
      <c r="C46" s="53">
        <v>20</v>
      </c>
      <c r="D46" s="53">
        <f t="shared" si="0"/>
        <v>29.146000000000001</v>
      </c>
      <c r="E46" s="53">
        <f t="shared" si="4"/>
        <v>4.8576666666666667E-7</v>
      </c>
      <c r="F46" s="53">
        <v>21.1</v>
      </c>
      <c r="G46" s="53">
        <f t="shared" si="5"/>
        <v>294.10000000000002</v>
      </c>
      <c r="H46" s="53">
        <v>101.3</v>
      </c>
      <c r="I46" s="53">
        <f t="shared" si="6"/>
        <v>101300</v>
      </c>
      <c r="J46" s="53">
        <f t="shared" si="7"/>
        <v>2.0124824921938581E-5</v>
      </c>
      <c r="K46" s="28">
        <v>41.10891089108911</v>
      </c>
      <c r="L46" s="53">
        <f t="shared" si="8"/>
        <v>4.1108910891089112E-5</v>
      </c>
      <c r="M46" s="53">
        <f t="shared" si="9"/>
        <v>4.7762865441819992E-3</v>
      </c>
      <c r="N46" s="64">
        <f t="shared" si="10"/>
        <v>1.7321189312280467E-7</v>
      </c>
      <c r="O46" s="29">
        <f t="shared" si="11"/>
        <v>2.032E-3</v>
      </c>
      <c r="P46" s="54">
        <v>4.7360646624728548E-11</v>
      </c>
      <c r="Q46" s="2">
        <v>0.05</v>
      </c>
      <c r="R46" s="55">
        <f t="shared" si="12"/>
        <v>105000</v>
      </c>
      <c r="S46" s="55">
        <f t="shared" si="13"/>
        <v>5.1398579432804297E-3</v>
      </c>
      <c r="T46" s="2">
        <v>0.08</v>
      </c>
      <c r="U46" s="55">
        <f t="shared" si="14"/>
        <v>108000</v>
      </c>
      <c r="V46" s="55">
        <f t="shared" si="19"/>
        <v>4.4397623762376242</v>
      </c>
      <c r="W46" s="2">
        <f t="shared" si="15"/>
        <v>3</v>
      </c>
      <c r="X46" s="12">
        <f t="shared" si="20"/>
        <v>1.8195271897969678E-7</v>
      </c>
      <c r="Y46" s="2">
        <f t="shared" si="16"/>
        <v>100001.65724171011</v>
      </c>
      <c r="Z46" s="12">
        <f t="shared" si="17"/>
        <v>9.3523715111627335E-15</v>
      </c>
      <c r="AA46" s="12">
        <f t="shared" si="18"/>
        <v>5631998124.0221987</v>
      </c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</row>
    <row r="47" spans="1:75" s="4" customFormat="1" x14ac:dyDescent="0.25">
      <c r="A47" s="1">
        <v>135</v>
      </c>
      <c r="B47" s="1">
        <f t="shared" si="3"/>
        <v>2.25</v>
      </c>
      <c r="C47" s="1">
        <v>20</v>
      </c>
      <c r="D47" s="1">
        <f t="shared" si="0"/>
        <v>29.146000000000001</v>
      </c>
      <c r="E47" s="1">
        <f t="shared" si="4"/>
        <v>4.8576666666666667E-7</v>
      </c>
      <c r="F47" s="1">
        <v>21.1</v>
      </c>
      <c r="G47" s="1">
        <f t="shared" si="5"/>
        <v>294.10000000000002</v>
      </c>
      <c r="H47" s="1">
        <v>101.3</v>
      </c>
      <c r="I47" s="1">
        <f t="shared" si="6"/>
        <v>101300</v>
      </c>
      <c r="J47" s="1">
        <f t="shared" si="7"/>
        <v>2.0124824921938581E-5</v>
      </c>
      <c r="K47" s="28">
        <v>41.306930693069312</v>
      </c>
      <c r="L47" s="1">
        <f t="shared" si="8"/>
        <v>4.1306930693069311E-5</v>
      </c>
      <c r="M47" s="1">
        <f t="shared" si="9"/>
        <v>4.7762865441819992E-3</v>
      </c>
      <c r="N47" s="64">
        <f t="shared" si="10"/>
        <v>1.740462471359203E-7</v>
      </c>
      <c r="O47" s="29">
        <f t="shared" si="11"/>
        <v>2.032E-3</v>
      </c>
      <c r="P47" s="29">
        <v>4.7360646624728548E-11</v>
      </c>
      <c r="Q47" s="2">
        <v>0.05</v>
      </c>
      <c r="R47" s="2">
        <f t="shared" si="12"/>
        <v>105000</v>
      </c>
      <c r="S47" s="2">
        <f t="shared" si="13"/>
        <v>5.1398579432804297E-3</v>
      </c>
      <c r="T47" s="2">
        <v>0.08</v>
      </c>
      <c r="U47" s="2">
        <f t="shared" si="14"/>
        <v>108000</v>
      </c>
      <c r="V47" s="2">
        <f t="shared" si="19"/>
        <v>4.4611485148514856</v>
      </c>
      <c r="W47" s="2">
        <f t="shared" si="15"/>
        <v>3</v>
      </c>
      <c r="X47" s="12">
        <f t="shared" si="20"/>
        <v>1.8290521229083224E-7</v>
      </c>
      <c r="Y47" s="2">
        <f t="shared" si="16"/>
        <v>99975.812419660215</v>
      </c>
      <c r="Z47" s="12">
        <f t="shared" si="17"/>
        <v>9.4037621409221618E-15</v>
      </c>
      <c r="AA47" s="12">
        <f t="shared" si="18"/>
        <v>5662945561.2633257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</row>
    <row r="48" spans="1:75" s="4" customFormat="1" x14ac:dyDescent="0.25">
      <c r="A48" s="1">
        <v>138</v>
      </c>
      <c r="B48" s="1">
        <f t="shared" si="3"/>
        <v>2.2999999999999998</v>
      </c>
      <c r="C48" s="1">
        <v>20</v>
      </c>
      <c r="D48" s="1">
        <f t="shared" si="0"/>
        <v>29.146000000000001</v>
      </c>
      <c r="E48" s="1">
        <f t="shared" si="4"/>
        <v>4.8576666666666667E-7</v>
      </c>
      <c r="F48" s="1">
        <v>21.1</v>
      </c>
      <c r="G48" s="1">
        <f t="shared" si="5"/>
        <v>294.10000000000002</v>
      </c>
      <c r="H48" s="1">
        <v>101.3</v>
      </c>
      <c r="I48" s="1">
        <f t="shared" si="6"/>
        <v>101300</v>
      </c>
      <c r="J48" s="1">
        <f t="shared" si="7"/>
        <v>2.0124824921938581E-5</v>
      </c>
      <c r="K48" s="28">
        <v>36.876237623762378</v>
      </c>
      <c r="L48" s="1">
        <f t="shared" si="8"/>
        <v>3.687623762376238E-5</v>
      </c>
      <c r="M48" s="1">
        <f t="shared" si="9"/>
        <v>4.7762865441819992E-3</v>
      </c>
      <c r="N48" s="64">
        <f t="shared" si="10"/>
        <v>1.5537757609245809E-7</v>
      </c>
      <c r="O48" s="29">
        <f t="shared" si="11"/>
        <v>2.032E-3</v>
      </c>
      <c r="P48" s="29">
        <v>4.7360646624728548E-11</v>
      </c>
      <c r="Q48" s="2">
        <v>0.05</v>
      </c>
      <c r="R48" s="2">
        <f t="shared" si="12"/>
        <v>105000</v>
      </c>
      <c r="S48" s="2">
        <f t="shared" si="13"/>
        <v>5.1398579432804297E-3</v>
      </c>
      <c r="T48" s="2">
        <v>0.08</v>
      </c>
      <c r="U48" s="2">
        <f t="shared" si="14"/>
        <v>108000</v>
      </c>
      <c r="V48" s="2">
        <f t="shared" si="19"/>
        <v>3.9826336633663368</v>
      </c>
      <c r="W48" s="2">
        <f t="shared" si="15"/>
        <v>3</v>
      </c>
      <c r="X48" s="12">
        <f t="shared" si="20"/>
        <v>1.6152147526460977E-7</v>
      </c>
      <c r="Y48" s="2">
        <f t="shared" si="16"/>
        <v>100556.8400380153</v>
      </c>
      <c r="Z48" s="12">
        <f t="shared" si="17"/>
        <v>8.2563286522104049E-15</v>
      </c>
      <c r="AA48" s="12">
        <f t="shared" si="18"/>
        <v>4971961114.3611059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</row>
    <row r="49" spans="1:75" s="4" customFormat="1" x14ac:dyDescent="0.25">
      <c r="A49" s="1">
        <v>141</v>
      </c>
      <c r="B49" s="1">
        <f t="shared" si="3"/>
        <v>2.35</v>
      </c>
      <c r="C49" s="1">
        <v>20</v>
      </c>
      <c r="D49" s="1">
        <f t="shared" si="0"/>
        <v>29.146000000000001</v>
      </c>
      <c r="E49" s="1">
        <f t="shared" si="4"/>
        <v>4.8576666666666667E-7</v>
      </c>
      <c r="F49" s="1">
        <v>21.1</v>
      </c>
      <c r="G49" s="1">
        <f t="shared" si="5"/>
        <v>294.10000000000002</v>
      </c>
      <c r="H49" s="1">
        <v>101.3</v>
      </c>
      <c r="I49" s="1">
        <f t="shared" si="6"/>
        <v>101300</v>
      </c>
      <c r="J49" s="1">
        <f t="shared" si="7"/>
        <v>2.0124824921938581E-5</v>
      </c>
      <c r="K49" s="28">
        <v>46.579207920792079</v>
      </c>
      <c r="L49" s="1">
        <f t="shared" si="8"/>
        <v>4.6579207920792077E-5</v>
      </c>
      <c r="M49" s="1">
        <f t="shared" si="9"/>
        <v>4.7762865441819992E-3</v>
      </c>
      <c r="N49" s="64">
        <f t="shared" si="10"/>
        <v>1.962609227351239E-7</v>
      </c>
      <c r="O49" s="29">
        <f t="shared" si="11"/>
        <v>2.032E-3</v>
      </c>
      <c r="P49" s="29">
        <v>4.7360646624728548E-11</v>
      </c>
      <c r="Q49" s="2">
        <v>0.05</v>
      </c>
      <c r="R49" s="2">
        <f t="shared" si="12"/>
        <v>105000</v>
      </c>
      <c r="S49" s="2">
        <f t="shared" si="13"/>
        <v>5.1398579432804297E-3</v>
      </c>
      <c r="T49" s="2">
        <v>0.08</v>
      </c>
      <c r="U49" s="2">
        <f t="shared" si="14"/>
        <v>108000</v>
      </c>
      <c r="V49" s="2">
        <f t="shared" si="19"/>
        <v>5.0305544554455439</v>
      </c>
      <c r="W49" s="2">
        <f t="shared" si="15"/>
        <v>3</v>
      </c>
      <c r="X49" s="12">
        <f t="shared" si="20"/>
        <v>2.0816725290065892E-7</v>
      </c>
      <c r="Y49" s="2">
        <f t="shared" si="16"/>
        <v>99291.574749591062</v>
      </c>
      <c r="Z49" s="12">
        <f t="shared" si="17"/>
        <v>1.0776385833809073E-14</v>
      </c>
      <c r="AA49" s="12">
        <f t="shared" si="18"/>
        <v>6489539549.1198244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</row>
    <row r="50" spans="1:75" s="4" customFormat="1" x14ac:dyDescent="0.25">
      <c r="A50" s="1">
        <v>144</v>
      </c>
      <c r="B50" s="1">
        <f t="shared" si="3"/>
        <v>2.4</v>
      </c>
      <c r="C50" s="1">
        <v>20</v>
      </c>
      <c r="D50" s="1">
        <f t="shared" si="0"/>
        <v>29.146000000000001</v>
      </c>
      <c r="E50" s="1">
        <f t="shared" si="4"/>
        <v>4.8576666666666667E-7</v>
      </c>
      <c r="F50" s="1">
        <v>21.1</v>
      </c>
      <c r="G50" s="1">
        <f t="shared" si="5"/>
        <v>294.10000000000002</v>
      </c>
      <c r="H50" s="1">
        <v>101.3</v>
      </c>
      <c r="I50" s="1">
        <f t="shared" si="6"/>
        <v>101300</v>
      </c>
      <c r="J50" s="1">
        <f t="shared" si="7"/>
        <v>2.0124824921938581E-5</v>
      </c>
      <c r="K50" s="28">
        <v>42.569306930693074</v>
      </c>
      <c r="L50" s="1">
        <f t="shared" si="8"/>
        <v>4.2569306930693072E-5</v>
      </c>
      <c r="M50" s="1">
        <f t="shared" si="9"/>
        <v>4.7762865441819992E-3</v>
      </c>
      <c r="N50" s="64">
        <f t="shared" si="10"/>
        <v>1.7936525396953242E-7</v>
      </c>
      <c r="O50" s="29">
        <f t="shared" si="11"/>
        <v>2.032E-3</v>
      </c>
      <c r="P50" s="29">
        <v>4.7360646624728548E-11</v>
      </c>
      <c r="Q50" s="2">
        <v>0.05</v>
      </c>
      <c r="R50" s="2">
        <f t="shared" si="12"/>
        <v>105000</v>
      </c>
      <c r="S50" s="2">
        <f t="shared" si="13"/>
        <v>5.1398579432804297E-3</v>
      </c>
      <c r="T50" s="2">
        <v>0.08</v>
      </c>
      <c r="U50" s="2">
        <f t="shared" si="14"/>
        <v>108000</v>
      </c>
      <c r="V50" s="2">
        <f t="shared" si="19"/>
        <v>4.5974851485148518</v>
      </c>
      <c r="W50" s="2">
        <f t="shared" si="15"/>
        <v>3</v>
      </c>
      <c r="X50" s="12">
        <f t="shared" si="20"/>
        <v>1.8897079239648809E-7</v>
      </c>
      <c r="Y50" s="2">
        <f t="shared" si="16"/>
        <v>99811.308167630035</v>
      </c>
      <c r="Z50" s="12">
        <f t="shared" si="17"/>
        <v>9.7316405049863026E-15</v>
      </c>
      <c r="AA50" s="12">
        <f t="shared" si="18"/>
        <v>5860393912.1027517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</row>
    <row r="51" spans="1:75" s="4" customFormat="1" x14ac:dyDescent="0.25">
      <c r="A51" s="1">
        <v>147</v>
      </c>
      <c r="B51" s="1">
        <f t="shared" si="3"/>
        <v>2.4500000000000002</v>
      </c>
      <c r="C51" s="1">
        <v>20</v>
      </c>
      <c r="D51" s="1">
        <f t="shared" si="0"/>
        <v>29.146000000000001</v>
      </c>
      <c r="E51" s="1">
        <f t="shared" si="4"/>
        <v>4.8576666666666667E-7</v>
      </c>
      <c r="F51" s="1">
        <v>21.1</v>
      </c>
      <c r="G51" s="1">
        <f t="shared" si="5"/>
        <v>294.10000000000002</v>
      </c>
      <c r="H51" s="1">
        <v>101.3</v>
      </c>
      <c r="I51" s="1">
        <f t="shared" si="6"/>
        <v>101300</v>
      </c>
      <c r="J51" s="1">
        <f t="shared" si="7"/>
        <v>2.0124824921938581E-5</v>
      </c>
      <c r="K51" s="28">
        <v>46.975247524752476</v>
      </c>
      <c r="L51" s="1">
        <f t="shared" si="8"/>
        <v>4.6975247524752475E-5</v>
      </c>
      <c r="M51" s="1">
        <f t="shared" si="9"/>
        <v>4.7762865441819992E-3</v>
      </c>
      <c r="N51" s="64">
        <f t="shared" si="10"/>
        <v>1.9792963076135515E-7</v>
      </c>
      <c r="O51" s="29">
        <f t="shared" si="11"/>
        <v>2.032E-3</v>
      </c>
      <c r="P51" s="29">
        <v>4.7360646624728548E-11</v>
      </c>
      <c r="Q51" s="2">
        <v>0.05</v>
      </c>
      <c r="R51" s="2">
        <f t="shared" si="12"/>
        <v>105000</v>
      </c>
      <c r="S51" s="2">
        <f t="shared" si="13"/>
        <v>5.1398579432804297E-3</v>
      </c>
      <c r="T51" s="2">
        <v>0.08</v>
      </c>
      <c r="U51" s="2">
        <f t="shared" si="14"/>
        <v>108000</v>
      </c>
      <c r="V51" s="2">
        <f t="shared" si="19"/>
        <v>5.0733267326732676</v>
      </c>
      <c r="W51" s="2">
        <f t="shared" si="15"/>
        <v>3</v>
      </c>
      <c r="X51" s="12">
        <f t="shared" si="20"/>
        <v>2.1005772855541057E-7</v>
      </c>
      <c r="Y51" s="2">
        <f t="shared" si="16"/>
        <v>99240.464563128931</v>
      </c>
      <c r="Z51" s="12">
        <f t="shared" si="17"/>
        <v>1.0879857188157941E-14</v>
      </c>
      <c r="AA51" s="12">
        <f t="shared" si="18"/>
        <v>6551849998.7087126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</row>
    <row r="52" spans="1:75" s="4" customFormat="1" x14ac:dyDescent="0.25">
      <c r="A52" s="1">
        <v>150</v>
      </c>
      <c r="B52" s="1">
        <f t="shared" si="3"/>
        <v>2.5</v>
      </c>
      <c r="C52" s="1">
        <v>20</v>
      </c>
      <c r="D52" s="1">
        <f t="shared" si="0"/>
        <v>29.146000000000001</v>
      </c>
      <c r="E52" s="1">
        <f t="shared" si="4"/>
        <v>4.8576666666666667E-7</v>
      </c>
      <c r="F52" s="1">
        <v>21.1</v>
      </c>
      <c r="G52" s="1">
        <f t="shared" si="5"/>
        <v>294.10000000000002</v>
      </c>
      <c r="H52" s="1">
        <v>101.3</v>
      </c>
      <c r="I52" s="1">
        <f t="shared" si="6"/>
        <v>101300</v>
      </c>
      <c r="J52" s="1">
        <f t="shared" si="7"/>
        <v>2.0124824921938581E-5</v>
      </c>
      <c r="K52" s="28">
        <v>45.490099009900995</v>
      </c>
      <c r="L52" s="1">
        <f t="shared" si="8"/>
        <v>4.5490099009900993E-5</v>
      </c>
      <c r="M52" s="1">
        <f t="shared" si="9"/>
        <v>4.7762865441819992E-3</v>
      </c>
      <c r="N52" s="64">
        <f t="shared" si="10"/>
        <v>1.9167197566298797E-7</v>
      </c>
      <c r="O52" s="29">
        <f t="shared" si="11"/>
        <v>2.032E-3</v>
      </c>
      <c r="P52" s="29">
        <v>4.7360646624728548E-11</v>
      </c>
      <c r="Q52" s="2">
        <v>0.05</v>
      </c>
      <c r="R52" s="2">
        <f t="shared" si="12"/>
        <v>105000</v>
      </c>
      <c r="S52" s="2">
        <f t="shared" si="13"/>
        <v>5.1398579432804297E-3</v>
      </c>
      <c r="T52" s="2">
        <v>0.08</v>
      </c>
      <c r="U52" s="2">
        <f t="shared" si="14"/>
        <v>108000</v>
      </c>
      <c r="V52" s="2">
        <f t="shared" si="19"/>
        <v>4.9129306930693071</v>
      </c>
      <c r="W52" s="2">
        <f t="shared" si="15"/>
        <v>3</v>
      </c>
      <c r="X52" s="12">
        <f t="shared" si="20"/>
        <v>2.0296353638845603E-7</v>
      </c>
      <c r="Y52" s="2">
        <f t="shared" si="16"/>
        <v>99432.328421824233</v>
      </c>
      <c r="Z52" s="12">
        <f t="shared" si="17"/>
        <v>1.0492113664520879E-14</v>
      </c>
      <c r="AA52" s="12">
        <f t="shared" si="18"/>
        <v>6318350848.7744741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</row>
    <row r="53" spans="1:75" s="4" customFormat="1" x14ac:dyDescent="0.25">
      <c r="A53" s="1">
        <v>153</v>
      </c>
      <c r="B53" s="1">
        <f t="shared" si="3"/>
        <v>2.5499999999999998</v>
      </c>
      <c r="C53" s="1">
        <v>20</v>
      </c>
      <c r="D53" s="1">
        <f t="shared" si="0"/>
        <v>29.146000000000001</v>
      </c>
      <c r="E53" s="1">
        <f t="shared" si="4"/>
        <v>4.8576666666666667E-7</v>
      </c>
      <c r="F53" s="1">
        <v>21.1</v>
      </c>
      <c r="G53" s="1">
        <f t="shared" si="5"/>
        <v>294.10000000000002</v>
      </c>
      <c r="H53" s="1">
        <v>101.3</v>
      </c>
      <c r="I53" s="1">
        <f t="shared" si="6"/>
        <v>101300</v>
      </c>
      <c r="J53" s="1">
        <f t="shared" si="7"/>
        <v>2.0124824921938581E-5</v>
      </c>
      <c r="K53" s="28">
        <v>45.267326732673268</v>
      </c>
      <c r="L53" s="1">
        <f t="shared" si="8"/>
        <v>4.5267326732673271E-5</v>
      </c>
      <c r="M53" s="1">
        <f t="shared" si="9"/>
        <v>4.7762865441819992E-3</v>
      </c>
      <c r="N53" s="64">
        <f t="shared" si="10"/>
        <v>1.907333273982329E-7</v>
      </c>
      <c r="O53" s="29">
        <f t="shared" si="11"/>
        <v>2.032E-3</v>
      </c>
      <c r="P53" s="29">
        <v>4.7360646624728548E-11</v>
      </c>
      <c r="Q53" s="2">
        <v>0.05</v>
      </c>
      <c r="R53" s="2">
        <f t="shared" si="12"/>
        <v>105000</v>
      </c>
      <c r="S53" s="2">
        <f t="shared" si="13"/>
        <v>5.1398579432804297E-3</v>
      </c>
      <c r="T53" s="2">
        <v>0.08</v>
      </c>
      <c r="U53" s="2">
        <f t="shared" si="14"/>
        <v>108000</v>
      </c>
      <c r="V53" s="2">
        <f t="shared" si="19"/>
        <v>4.8888712871287137</v>
      </c>
      <c r="W53" s="2">
        <f t="shared" si="15"/>
        <v>3</v>
      </c>
      <c r="X53" s="12">
        <f t="shared" si="20"/>
        <v>2.0189823637618462E-7</v>
      </c>
      <c r="Y53" s="2">
        <f t="shared" si="16"/>
        <v>99461.155676627037</v>
      </c>
      <c r="Z53" s="12">
        <f t="shared" si="17"/>
        <v>1.0434015746876252E-14</v>
      </c>
      <c r="AA53" s="12">
        <f t="shared" si="18"/>
        <v>6283364282.7688789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</row>
    <row r="54" spans="1:75" s="4" customFormat="1" x14ac:dyDescent="0.25">
      <c r="A54" s="1">
        <v>156</v>
      </c>
      <c r="B54" s="1">
        <f t="shared" si="3"/>
        <v>2.6</v>
      </c>
      <c r="C54" s="1">
        <v>20</v>
      </c>
      <c r="D54" s="1">
        <f t="shared" si="0"/>
        <v>29.146000000000001</v>
      </c>
      <c r="E54" s="1">
        <f t="shared" si="4"/>
        <v>4.8576666666666667E-7</v>
      </c>
      <c r="F54" s="1">
        <v>21.1</v>
      </c>
      <c r="G54" s="1">
        <f t="shared" si="5"/>
        <v>294.10000000000002</v>
      </c>
      <c r="H54" s="1">
        <v>101.3</v>
      </c>
      <c r="I54" s="1">
        <f t="shared" si="6"/>
        <v>101300</v>
      </c>
      <c r="J54" s="1">
        <f t="shared" si="7"/>
        <v>2.0124824921938581E-5</v>
      </c>
      <c r="K54" s="28">
        <v>42.470297029702969</v>
      </c>
      <c r="L54" s="1">
        <f t="shared" si="8"/>
        <v>4.2470297029702969E-5</v>
      </c>
      <c r="M54" s="1">
        <f t="shared" si="9"/>
        <v>4.7762865441819992E-3</v>
      </c>
      <c r="N54" s="64">
        <f t="shared" si="10"/>
        <v>1.7894807696297461E-7</v>
      </c>
      <c r="O54" s="29">
        <f t="shared" si="11"/>
        <v>2.032E-3</v>
      </c>
      <c r="P54" s="29">
        <v>4.7360646624728548E-11</v>
      </c>
      <c r="Q54" s="2">
        <v>0.05</v>
      </c>
      <c r="R54" s="2">
        <f t="shared" si="12"/>
        <v>105000</v>
      </c>
      <c r="S54" s="2">
        <f t="shared" si="13"/>
        <v>5.1398579432804297E-3</v>
      </c>
      <c r="T54" s="2">
        <v>0.08</v>
      </c>
      <c r="U54" s="2">
        <f t="shared" si="14"/>
        <v>108000</v>
      </c>
      <c r="V54" s="2">
        <f t="shared" si="19"/>
        <v>4.5867920792079211</v>
      </c>
      <c r="W54" s="2">
        <f t="shared" si="15"/>
        <v>3</v>
      </c>
      <c r="X54" s="12">
        <f t="shared" si="20"/>
        <v>1.8849546416265561E-7</v>
      </c>
      <c r="Y54" s="2">
        <f t="shared" si="16"/>
        <v>99824.194626099692</v>
      </c>
      <c r="Z54" s="12">
        <f t="shared" si="17"/>
        <v>9.7059077847684894E-15</v>
      </c>
      <c r="AA54" s="12">
        <f t="shared" si="18"/>
        <v>5844897667.9875851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</row>
    <row r="55" spans="1:75" s="4" customFormat="1" x14ac:dyDescent="0.25">
      <c r="A55" s="1">
        <v>159</v>
      </c>
      <c r="B55" s="1">
        <f t="shared" si="3"/>
        <v>2.65</v>
      </c>
      <c r="C55" s="1">
        <v>20</v>
      </c>
      <c r="D55" s="1">
        <f t="shared" si="0"/>
        <v>29.146000000000001</v>
      </c>
      <c r="E55" s="1">
        <f t="shared" si="4"/>
        <v>4.8576666666666667E-7</v>
      </c>
      <c r="F55" s="1">
        <v>21.1</v>
      </c>
      <c r="G55" s="1">
        <f t="shared" si="5"/>
        <v>294.10000000000002</v>
      </c>
      <c r="H55" s="1">
        <v>101.3</v>
      </c>
      <c r="I55" s="1">
        <f t="shared" si="6"/>
        <v>101300</v>
      </c>
      <c r="J55" s="1">
        <f t="shared" si="7"/>
        <v>2.0124824921938581E-5</v>
      </c>
      <c r="K55" s="28">
        <v>49.178217821782184</v>
      </c>
      <c r="L55" s="1">
        <f t="shared" si="8"/>
        <v>4.9178217821782186E-5</v>
      </c>
      <c r="M55" s="1">
        <f t="shared" si="9"/>
        <v>4.7762865441819992E-3</v>
      </c>
      <c r="N55" s="64">
        <f t="shared" si="10"/>
        <v>2.0721181915726662E-7</v>
      </c>
      <c r="O55" s="29">
        <f t="shared" si="11"/>
        <v>2.032E-3</v>
      </c>
      <c r="P55" s="29">
        <v>4.7360646624728548E-11</v>
      </c>
      <c r="Q55" s="2">
        <v>0.05</v>
      </c>
      <c r="R55" s="2">
        <f t="shared" si="12"/>
        <v>105000</v>
      </c>
      <c r="S55" s="2">
        <f t="shared" si="13"/>
        <v>5.1398579432804297E-3</v>
      </c>
      <c r="T55" s="2">
        <v>0.08</v>
      </c>
      <c r="U55" s="2">
        <f t="shared" si="14"/>
        <v>108000</v>
      </c>
      <c r="V55" s="2">
        <f t="shared" si="19"/>
        <v>5.311247524752476</v>
      </c>
      <c r="W55" s="2">
        <f t="shared" si="15"/>
        <v>3</v>
      </c>
      <c r="X55" s="12">
        <f t="shared" si="20"/>
        <v>2.2055679055971896E-7</v>
      </c>
      <c r="Y55" s="2">
        <f t="shared" si="16"/>
        <v>98956.855336037755</v>
      </c>
      <c r="Z55" s="12">
        <f t="shared" si="17"/>
        <v>1.1456421244814203E-14</v>
      </c>
      <c r="AA55" s="12">
        <f t="shared" si="18"/>
        <v>6899056873.6271133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</row>
    <row r="56" spans="1:75" s="4" customFormat="1" x14ac:dyDescent="0.25">
      <c r="A56" s="1">
        <v>162</v>
      </c>
      <c r="B56" s="1">
        <f t="shared" si="3"/>
        <v>2.7</v>
      </c>
      <c r="C56" s="1">
        <v>20</v>
      </c>
      <c r="D56" s="1">
        <f t="shared" si="0"/>
        <v>29.146000000000001</v>
      </c>
      <c r="E56" s="1">
        <f t="shared" si="4"/>
        <v>4.8576666666666667E-7</v>
      </c>
      <c r="F56" s="1">
        <v>21.1</v>
      </c>
      <c r="G56" s="1">
        <f t="shared" si="5"/>
        <v>294.10000000000002</v>
      </c>
      <c r="H56" s="1">
        <v>101.3</v>
      </c>
      <c r="I56" s="1">
        <f t="shared" si="6"/>
        <v>101300</v>
      </c>
      <c r="J56" s="1">
        <f t="shared" si="7"/>
        <v>2.0124824921938581E-5</v>
      </c>
      <c r="K56" s="28">
        <v>47.816831683168317</v>
      </c>
      <c r="L56" s="1">
        <f t="shared" si="8"/>
        <v>4.7816831683168316E-5</v>
      </c>
      <c r="M56" s="1">
        <f t="shared" si="9"/>
        <v>4.7762865441819992E-3</v>
      </c>
      <c r="N56" s="64">
        <f t="shared" si="10"/>
        <v>2.014756353170966E-7</v>
      </c>
      <c r="O56" s="29">
        <f t="shared" si="11"/>
        <v>2.032E-3</v>
      </c>
      <c r="P56" s="29">
        <v>4.7360646624728548E-11</v>
      </c>
      <c r="Q56" s="2">
        <v>0.05</v>
      </c>
      <c r="R56" s="2">
        <f t="shared" si="12"/>
        <v>105000</v>
      </c>
      <c r="S56" s="2">
        <f t="shared" si="13"/>
        <v>5.1398579432804297E-3</v>
      </c>
      <c r="T56" s="2">
        <v>0.08</v>
      </c>
      <c r="U56" s="2">
        <f t="shared" si="14"/>
        <v>108000</v>
      </c>
      <c r="V56" s="2">
        <f t="shared" si="19"/>
        <v>5.1642178217821781</v>
      </c>
      <c r="W56" s="2">
        <f t="shared" si="15"/>
        <v>3</v>
      </c>
      <c r="X56" s="12">
        <f t="shared" si="20"/>
        <v>2.1407190637212017E-7</v>
      </c>
      <c r="Y56" s="2">
        <f t="shared" si="16"/>
        <v>99131.982398165244</v>
      </c>
      <c r="Z56" s="12">
        <f t="shared" si="17"/>
        <v>1.1099914317819921E-14</v>
      </c>
      <c r="AA56" s="12">
        <f t="shared" si="18"/>
        <v>6684368402.1911564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</row>
    <row r="57" spans="1:75" s="4" customFormat="1" x14ac:dyDescent="0.25">
      <c r="A57" s="1">
        <v>165</v>
      </c>
      <c r="B57" s="1">
        <f t="shared" si="3"/>
        <v>2.75</v>
      </c>
      <c r="C57" s="1">
        <v>20</v>
      </c>
      <c r="D57" s="1">
        <f t="shared" si="0"/>
        <v>29.146000000000001</v>
      </c>
      <c r="E57" s="1">
        <f t="shared" si="4"/>
        <v>4.8576666666666667E-7</v>
      </c>
      <c r="F57" s="1">
        <v>21.1</v>
      </c>
      <c r="G57" s="1">
        <f t="shared" si="5"/>
        <v>294.10000000000002</v>
      </c>
      <c r="H57" s="1">
        <v>101.3</v>
      </c>
      <c r="I57" s="1">
        <f t="shared" si="6"/>
        <v>101300</v>
      </c>
      <c r="J57" s="1">
        <f t="shared" si="7"/>
        <v>2.0124824921938581E-5</v>
      </c>
      <c r="K57" s="28">
        <v>50.118811881188122</v>
      </c>
      <c r="L57" s="1">
        <f t="shared" si="8"/>
        <v>5.0118811881188123E-5</v>
      </c>
      <c r="M57" s="1">
        <f t="shared" si="9"/>
        <v>4.7762865441819992E-3</v>
      </c>
      <c r="N57" s="64">
        <f t="shared" si="10"/>
        <v>2.111750007195658E-7</v>
      </c>
      <c r="O57" s="29">
        <f t="shared" si="11"/>
        <v>2.032E-3</v>
      </c>
      <c r="P57" s="29">
        <v>4.7360646624728548E-11</v>
      </c>
      <c r="Q57" s="2">
        <v>0.05</v>
      </c>
      <c r="R57" s="2">
        <f t="shared" si="12"/>
        <v>105000</v>
      </c>
      <c r="S57" s="2">
        <f t="shared" si="13"/>
        <v>5.1398579432804297E-3</v>
      </c>
      <c r="T57" s="2">
        <v>0.08</v>
      </c>
      <c r="U57" s="2">
        <f t="shared" si="14"/>
        <v>108000</v>
      </c>
      <c r="V57" s="2">
        <f t="shared" si="19"/>
        <v>5.4128316831683172</v>
      </c>
      <c r="W57" s="2">
        <f t="shared" si="15"/>
        <v>3</v>
      </c>
      <c r="X57" s="12">
        <f t="shared" si="20"/>
        <v>2.2503121794598762E-7</v>
      </c>
      <c r="Y57" s="2">
        <f t="shared" si="16"/>
        <v>98836.111784738474</v>
      </c>
      <c r="Z57" s="12">
        <f t="shared" si="17"/>
        <v>1.1703129749139523E-14</v>
      </c>
      <c r="AA57" s="12">
        <f t="shared" si="18"/>
        <v>7047624734.9318209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</row>
    <row r="58" spans="1:75" s="4" customFormat="1" x14ac:dyDescent="0.25">
      <c r="A58" s="1">
        <v>168</v>
      </c>
      <c r="B58" s="1">
        <f t="shared" si="3"/>
        <v>2.8</v>
      </c>
      <c r="C58" s="1">
        <v>20</v>
      </c>
      <c r="D58" s="1">
        <f t="shared" si="0"/>
        <v>29.146000000000001</v>
      </c>
      <c r="E58" s="1">
        <f t="shared" si="4"/>
        <v>4.8576666666666667E-7</v>
      </c>
      <c r="F58" s="1">
        <v>21.1</v>
      </c>
      <c r="G58" s="1">
        <f t="shared" si="5"/>
        <v>294.10000000000002</v>
      </c>
      <c r="H58" s="1">
        <v>101.3</v>
      </c>
      <c r="I58" s="1">
        <f t="shared" si="6"/>
        <v>101300</v>
      </c>
      <c r="J58" s="1">
        <f t="shared" si="7"/>
        <v>2.0124824921938581E-5</v>
      </c>
      <c r="K58" s="28">
        <v>38.460396039603964</v>
      </c>
      <c r="L58" s="1">
        <f t="shared" si="8"/>
        <v>3.8460396039603965E-5</v>
      </c>
      <c r="M58" s="1">
        <f t="shared" si="9"/>
        <v>4.7762865441819992E-3</v>
      </c>
      <c r="N58" s="64">
        <f t="shared" si="10"/>
        <v>1.6205240819738313E-7</v>
      </c>
      <c r="O58" s="29">
        <f t="shared" si="11"/>
        <v>2.032E-3</v>
      </c>
      <c r="P58" s="29">
        <v>4.7360646624728548E-11</v>
      </c>
      <c r="Q58" s="2">
        <v>0.05</v>
      </c>
      <c r="R58" s="2">
        <f t="shared" si="12"/>
        <v>105000</v>
      </c>
      <c r="S58" s="2">
        <f t="shared" si="13"/>
        <v>5.1398579432804297E-3</v>
      </c>
      <c r="T58" s="2">
        <v>0.08</v>
      </c>
      <c r="U58" s="2">
        <f t="shared" si="14"/>
        <v>108000</v>
      </c>
      <c r="V58" s="2">
        <f t="shared" si="19"/>
        <v>4.1537227722772281</v>
      </c>
      <c r="W58" s="2">
        <f t="shared" si="15"/>
        <v>3</v>
      </c>
      <c r="X58" s="12">
        <f t="shared" si="20"/>
        <v>1.6918488393468621E-7</v>
      </c>
      <c r="Y58" s="2">
        <f t="shared" si="16"/>
        <v>100348.4203891448</v>
      </c>
      <c r="Z58" s="12">
        <f t="shared" si="17"/>
        <v>8.6660284485001983E-15</v>
      </c>
      <c r="AA58" s="12">
        <f t="shared" si="18"/>
        <v>5218682331.68682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</row>
    <row r="59" spans="1:75" s="4" customFormat="1" x14ac:dyDescent="0.25">
      <c r="A59" s="1">
        <v>171</v>
      </c>
      <c r="B59" s="1">
        <f t="shared" si="3"/>
        <v>2.85</v>
      </c>
      <c r="C59" s="1">
        <v>20</v>
      </c>
      <c r="D59" s="1">
        <f t="shared" si="0"/>
        <v>29.146000000000001</v>
      </c>
      <c r="E59" s="1">
        <f t="shared" si="4"/>
        <v>4.8576666666666667E-7</v>
      </c>
      <c r="F59" s="1">
        <v>21.1</v>
      </c>
      <c r="G59" s="1">
        <f t="shared" si="5"/>
        <v>294.10000000000002</v>
      </c>
      <c r="H59" s="1">
        <v>101.3</v>
      </c>
      <c r="I59" s="1">
        <f t="shared" si="6"/>
        <v>101300</v>
      </c>
      <c r="J59" s="1">
        <f t="shared" si="7"/>
        <v>2.0124824921938581E-5</v>
      </c>
      <c r="K59" s="28">
        <v>40.787128712871286</v>
      </c>
      <c r="L59" s="1">
        <f t="shared" si="8"/>
        <v>4.0787128712871288E-5</v>
      </c>
      <c r="M59" s="1">
        <f t="shared" si="9"/>
        <v>4.7762865441819992E-3</v>
      </c>
      <c r="N59" s="64">
        <f t="shared" si="10"/>
        <v>1.7185606785149176E-7</v>
      </c>
      <c r="O59" s="29">
        <f t="shared" si="11"/>
        <v>2.032E-3</v>
      </c>
      <c r="P59" s="29">
        <v>4.7360646624728548E-11</v>
      </c>
      <c r="Q59" s="2">
        <v>0.05</v>
      </c>
      <c r="R59" s="2">
        <f t="shared" si="12"/>
        <v>105000</v>
      </c>
      <c r="S59" s="2">
        <f t="shared" si="13"/>
        <v>5.1398579432804297E-3</v>
      </c>
      <c r="T59" s="2">
        <v>0.08</v>
      </c>
      <c r="U59" s="2">
        <f t="shared" si="14"/>
        <v>108000</v>
      </c>
      <c r="V59" s="2">
        <f t="shared" si="19"/>
        <v>4.4050099009900991</v>
      </c>
      <c r="W59" s="2">
        <f t="shared" si="15"/>
        <v>3</v>
      </c>
      <c r="X59" s="12">
        <f t="shared" si="20"/>
        <v>1.8040430883396724E-7</v>
      </c>
      <c r="Y59" s="2">
        <f t="shared" si="16"/>
        <v>100043.67871735666</v>
      </c>
      <c r="Z59" s="12">
        <f t="shared" si="17"/>
        <v>9.2688849628581077E-15</v>
      </c>
      <c r="AA59" s="12">
        <f t="shared" si="18"/>
        <v>5581722524.633153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</row>
    <row r="60" spans="1:75" s="4" customFormat="1" x14ac:dyDescent="0.25">
      <c r="A60" s="1">
        <v>174</v>
      </c>
      <c r="B60" s="1">
        <f t="shared" si="3"/>
        <v>2.9</v>
      </c>
      <c r="C60" s="1">
        <v>20</v>
      </c>
      <c r="D60" s="1">
        <f t="shared" si="0"/>
        <v>29.146000000000001</v>
      </c>
      <c r="E60" s="1">
        <f t="shared" si="4"/>
        <v>4.8576666666666667E-7</v>
      </c>
      <c r="F60" s="1">
        <v>21.1</v>
      </c>
      <c r="G60" s="1">
        <f t="shared" si="5"/>
        <v>294.10000000000002</v>
      </c>
      <c r="H60" s="1">
        <v>101.3</v>
      </c>
      <c r="I60" s="1">
        <f t="shared" si="6"/>
        <v>101300</v>
      </c>
      <c r="J60" s="1">
        <f t="shared" si="7"/>
        <v>2.0124824921938581E-5</v>
      </c>
      <c r="K60" s="28">
        <v>57.519801980198018</v>
      </c>
      <c r="L60" s="1">
        <f t="shared" si="8"/>
        <v>5.751980198019802E-5</v>
      </c>
      <c r="M60" s="1">
        <f t="shared" si="9"/>
        <v>4.7762865441819992E-3</v>
      </c>
      <c r="N60" s="64">
        <f t="shared" si="10"/>
        <v>2.4235898195976246E-7</v>
      </c>
      <c r="O60" s="29">
        <f t="shared" si="11"/>
        <v>2.032E-3</v>
      </c>
      <c r="P60" s="29">
        <v>4.7360646624728548E-11</v>
      </c>
      <c r="Q60" s="2">
        <v>0.05</v>
      </c>
      <c r="R60" s="2">
        <f t="shared" si="12"/>
        <v>105000</v>
      </c>
      <c r="S60" s="2">
        <f t="shared" si="13"/>
        <v>5.1398579432804297E-3</v>
      </c>
      <c r="T60" s="2">
        <v>0.08</v>
      </c>
      <c r="U60" s="2">
        <f t="shared" si="14"/>
        <v>108000</v>
      </c>
      <c r="V60" s="2">
        <f t="shared" si="19"/>
        <v>6.2121386138613861</v>
      </c>
      <c r="W60" s="2">
        <f t="shared" si="15"/>
        <v>3</v>
      </c>
      <c r="X60" s="12">
        <f t="shared" si="20"/>
        <v>2.6008112645049489E-7</v>
      </c>
      <c r="Y60" s="2">
        <f t="shared" si="16"/>
        <v>97892.831303181214</v>
      </c>
      <c r="Z60" s="12">
        <f t="shared" si="17"/>
        <v>1.3656412440156896E-14</v>
      </c>
      <c r="AA60" s="12">
        <f t="shared" si="18"/>
        <v>8223891571.4624834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</row>
    <row r="61" spans="1:75" s="4" customFormat="1" x14ac:dyDescent="0.25">
      <c r="A61" s="1">
        <v>177</v>
      </c>
      <c r="B61" s="1">
        <f t="shared" si="3"/>
        <v>2.95</v>
      </c>
      <c r="C61" s="1">
        <v>20</v>
      </c>
      <c r="D61" s="1">
        <f t="shared" si="0"/>
        <v>29.146000000000001</v>
      </c>
      <c r="E61" s="1">
        <f t="shared" si="4"/>
        <v>4.8576666666666667E-7</v>
      </c>
      <c r="F61" s="1">
        <v>21.1</v>
      </c>
      <c r="G61" s="1">
        <f t="shared" si="5"/>
        <v>294.10000000000002</v>
      </c>
      <c r="H61" s="1">
        <v>101.3</v>
      </c>
      <c r="I61" s="1">
        <f t="shared" si="6"/>
        <v>101300</v>
      </c>
      <c r="J61" s="1">
        <f t="shared" si="7"/>
        <v>2.0124824921938581E-5</v>
      </c>
      <c r="K61" s="28">
        <v>47.618811881188122</v>
      </c>
      <c r="L61" s="1">
        <f t="shared" si="8"/>
        <v>4.7618811881188123E-5</v>
      </c>
      <c r="M61" s="1">
        <f t="shared" si="9"/>
        <v>4.7762865441819992E-3</v>
      </c>
      <c r="N61" s="64">
        <f t="shared" si="10"/>
        <v>2.0064128130398098E-7</v>
      </c>
      <c r="O61" s="29">
        <f t="shared" si="11"/>
        <v>2.032E-3</v>
      </c>
      <c r="P61" s="29">
        <v>4.7360646624728548E-11</v>
      </c>
      <c r="Q61" s="2">
        <v>0.05</v>
      </c>
      <c r="R61" s="2">
        <f t="shared" si="12"/>
        <v>105000</v>
      </c>
      <c r="S61" s="2">
        <f t="shared" si="13"/>
        <v>5.1398579432804297E-3</v>
      </c>
      <c r="T61" s="2">
        <v>0.08</v>
      </c>
      <c r="U61" s="2">
        <f t="shared" si="14"/>
        <v>108000</v>
      </c>
      <c r="V61" s="2">
        <f t="shared" si="19"/>
        <v>5.1428316831683176</v>
      </c>
      <c r="W61" s="2">
        <f t="shared" si="15"/>
        <v>3</v>
      </c>
      <c r="X61" s="12">
        <f t="shared" si="20"/>
        <v>2.1312776701882338E-7</v>
      </c>
      <c r="Y61" s="2">
        <f t="shared" si="16"/>
        <v>99157.4921955053</v>
      </c>
      <c r="Z61" s="12">
        <f t="shared" si="17"/>
        <v>1.1048113869957553E-14</v>
      </c>
      <c r="AA61" s="12">
        <f t="shared" si="18"/>
        <v>6653174172.4884386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</row>
    <row r="62" spans="1:75" s="4" customFormat="1" x14ac:dyDescent="0.25">
      <c r="A62" s="1">
        <v>180</v>
      </c>
      <c r="B62" s="1">
        <f t="shared" si="3"/>
        <v>3</v>
      </c>
      <c r="C62" s="1">
        <v>20</v>
      </c>
      <c r="D62" s="1">
        <f t="shared" si="0"/>
        <v>29.146000000000001</v>
      </c>
      <c r="E62" s="1">
        <f t="shared" si="4"/>
        <v>4.8576666666666667E-7</v>
      </c>
      <c r="F62" s="1">
        <v>21.1</v>
      </c>
      <c r="G62" s="1">
        <f t="shared" si="5"/>
        <v>294.10000000000002</v>
      </c>
      <c r="H62" s="1">
        <v>101.3</v>
      </c>
      <c r="I62" s="1">
        <f t="shared" si="6"/>
        <v>101300</v>
      </c>
      <c r="J62" s="1">
        <f t="shared" si="7"/>
        <v>2.0124824921938581E-5</v>
      </c>
      <c r="K62" s="28">
        <v>45.663366336633665</v>
      </c>
      <c r="L62" s="1">
        <f t="shared" si="8"/>
        <v>4.5663366336633662E-5</v>
      </c>
      <c r="M62" s="1">
        <f t="shared" si="9"/>
        <v>4.7762865441819992E-3</v>
      </c>
      <c r="N62" s="64">
        <f t="shared" si="10"/>
        <v>1.9240203542446414E-7</v>
      </c>
      <c r="O62" s="29">
        <f t="shared" si="11"/>
        <v>2.032E-3</v>
      </c>
      <c r="P62" s="29">
        <v>4.7360646624728548E-11</v>
      </c>
      <c r="Q62" s="2">
        <v>0.05</v>
      </c>
      <c r="R62" s="2">
        <f t="shared" si="12"/>
        <v>105000</v>
      </c>
      <c r="S62" s="2">
        <f t="shared" si="13"/>
        <v>5.1398579432804297E-3</v>
      </c>
      <c r="T62" s="2">
        <v>0.08</v>
      </c>
      <c r="U62" s="2">
        <f t="shared" si="14"/>
        <v>108000</v>
      </c>
      <c r="V62" s="2">
        <f t="shared" si="19"/>
        <v>4.9316435643564356</v>
      </c>
      <c r="W62" s="2">
        <f t="shared" si="15"/>
        <v>3</v>
      </c>
      <c r="X62" s="12">
        <f t="shared" si="20"/>
        <v>2.0379188880781381E-7</v>
      </c>
      <c r="Y62" s="2">
        <f t="shared" si="16"/>
        <v>99409.915909019372</v>
      </c>
      <c r="Z62" s="12">
        <f t="shared" si="17"/>
        <v>1.0537312250538481E-14</v>
      </c>
      <c r="AA62" s="12">
        <f t="shared" si="18"/>
        <v>6345569437.2742739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</row>
    <row r="63" spans="1:75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2"/>
      <c r="L63" s="1"/>
      <c r="M63" s="1"/>
      <c r="N63" s="29"/>
      <c r="O63" s="29"/>
      <c r="P63" s="29"/>
      <c r="Q63" s="2"/>
      <c r="R63" s="5"/>
      <c r="S63" s="2"/>
      <c r="T63" s="2"/>
      <c r="U63" s="2"/>
      <c r="V63" s="2"/>
      <c r="W63" s="2"/>
      <c r="X63" s="2"/>
      <c r="Y63" s="2"/>
      <c r="Z63" s="3"/>
      <c r="AA63" s="3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</row>
    <row r="64" spans="1:75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2"/>
      <c r="L64" s="1"/>
      <c r="M64" s="1"/>
      <c r="N64" s="29"/>
      <c r="O64" s="29"/>
      <c r="P64" s="29"/>
      <c r="Q64" s="2"/>
      <c r="R64" s="5"/>
      <c r="S64" s="2"/>
      <c r="T64" s="2"/>
      <c r="U64" s="2"/>
      <c r="V64" s="2"/>
      <c r="W64" s="2"/>
      <c r="X64" s="2"/>
      <c r="Y64" s="2"/>
      <c r="Z64" s="3"/>
      <c r="AA64" s="3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</row>
    <row r="65" spans="1:75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2"/>
      <c r="L65" s="1"/>
      <c r="M65" s="1"/>
      <c r="N65" s="29"/>
      <c r="O65" s="29"/>
      <c r="P65" s="29"/>
      <c r="Q65" s="2"/>
      <c r="R65" s="5"/>
      <c r="S65" s="2"/>
      <c r="T65" s="2"/>
      <c r="U65" s="2"/>
      <c r="V65" s="2"/>
      <c r="W65" s="2"/>
      <c r="X65" s="2"/>
      <c r="Y65" s="2"/>
      <c r="Z65" s="3"/>
      <c r="AA65" s="3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</row>
    <row r="66" spans="1:75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2"/>
      <c r="L66" s="1"/>
      <c r="M66" s="1"/>
      <c r="N66" s="29"/>
      <c r="O66" s="29"/>
      <c r="P66" s="29"/>
      <c r="Q66" s="2"/>
      <c r="R66" s="5"/>
      <c r="S66" s="2"/>
      <c r="T66" s="2"/>
      <c r="U66" s="2"/>
      <c r="V66" s="2"/>
      <c r="W66" s="2"/>
      <c r="X66" s="2"/>
      <c r="Y66" s="2"/>
      <c r="Z66" s="3"/>
      <c r="AA66" s="3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</row>
    <row r="67" spans="1:75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2"/>
      <c r="L67" s="1"/>
      <c r="M67" s="1"/>
      <c r="N67" s="29"/>
      <c r="O67" s="29"/>
      <c r="P67" s="29"/>
      <c r="Q67" s="2"/>
      <c r="R67" s="5"/>
      <c r="S67" s="2"/>
      <c r="T67" s="2"/>
      <c r="U67" s="2"/>
      <c r="V67" s="2"/>
      <c r="W67" s="2"/>
      <c r="X67" s="2"/>
      <c r="Y67" s="2"/>
      <c r="Z67" s="45">
        <f>AVERAGE(Z36:Z62)</f>
        <v>1.0309936076732606E-14</v>
      </c>
      <c r="AA67" s="45">
        <f>AVERAGE(AA36:AA62)</f>
        <v>6208643505.4083738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</row>
    <row r="68" spans="1:75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2"/>
      <c r="L68" s="1"/>
      <c r="M68" s="1"/>
      <c r="N68" s="29"/>
      <c r="O68" s="29"/>
      <c r="P68" s="29"/>
      <c r="Q68" s="2"/>
      <c r="R68" s="5"/>
      <c r="S68" s="2"/>
      <c r="T68" s="2"/>
      <c r="U68" s="2"/>
      <c r="V68" s="2"/>
      <c r="W68" s="34"/>
      <c r="X68" s="34"/>
      <c r="Y68" s="34"/>
      <c r="Z68" s="13"/>
      <c r="AA68" s="13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</row>
    <row r="69" spans="1:75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2"/>
      <c r="L69" s="1"/>
      <c r="M69" s="1"/>
      <c r="N69" s="29"/>
      <c r="O69" s="29"/>
      <c r="P69" s="29"/>
      <c r="Q69" s="2"/>
      <c r="R69" s="5"/>
      <c r="S69" s="2"/>
      <c r="T69" s="2"/>
      <c r="U69" s="2"/>
      <c r="V69" s="2"/>
      <c r="W69" s="34"/>
      <c r="X69" s="34"/>
      <c r="Y69" s="34"/>
      <c r="Z69" s="13"/>
      <c r="AA69" s="13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</row>
    <row r="70" spans="1:75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2"/>
      <c r="L70" s="1"/>
      <c r="M70" s="1"/>
      <c r="N70" s="29"/>
      <c r="O70" s="29"/>
      <c r="P70" s="29"/>
      <c r="Q70" s="2"/>
      <c r="R70" s="5"/>
      <c r="S70" s="2"/>
      <c r="T70" s="2"/>
      <c r="U70" s="2"/>
      <c r="V70" s="2"/>
      <c r="W70" s="34"/>
      <c r="X70" s="34"/>
      <c r="Y70" s="34"/>
      <c r="Z70" s="13"/>
      <c r="AA70" s="13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</row>
    <row r="71" spans="1:75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2"/>
      <c r="L71" s="1"/>
      <c r="M71" s="1"/>
      <c r="N71" s="29"/>
      <c r="O71" s="29"/>
      <c r="P71" s="29"/>
      <c r="Q71" s="2"/>
      <c r="R71" s="5"/>
      <c r="S71" s="2"/>
      <c r="T71" s="2"/>
      <c r="U71" s="2"/>
      <c r="V71" s="2"/>
      <c r="W71" s="34"/>
      <c r="X71" s="34"/>
      <c r="Y71" s="34"/>
      <c r="Z71" s="13"/>
      <c r="AA71" s="13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</row>
    <row r="72" spans="1:75" s="40" customForma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6"/>
      <c r="L72" s="35"/>
      <c r="M72" s="35"/>
      <c r="N72" s="37"/>
      <c r="O72" s="37"/>
      <c r="P72" s="37"/>
      <c r="Q72" s="38"/>
      <c r="R72" s="39"/>
      <c r="S72" s="38"/>
      <c r="T72" s="38"/>
      <c r="U72" s="38"/>
      <c r="V72" s="38"/>
      <c r="W72" s="34"/>
      <c r="X72" s="34"/>
      <c r="Y72" s="34"/>
      <c r="Z72" s="13"/>
      <c r="AA72" s="13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</row>
    <row r="73" spans="1:75" s="8" customForma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41"/>
      <c r="L73" s="30"/>
      <c r="M73" s="30"/>
      <c r="N73" s="42"/>
      <c r="O73" s="42"/>
      <c r="P73" s="42"/>
      <c r="Q73" s="34"/>
      <c r="R73" s="11"/>
      <c r="S73" s="34"/>
      <c r="T73" s="34"/>
      <c r="U73" s="34"/>
      <c r="V73" s="34"/>
      <c r="W73" s="34"/>
      <c r="X73" s="34"/>
      <c r="Y73" s="34"/>
      <c r="Z73" s="13"/>
      <c r="AA73" s="13"/>
    </row>
    <row r="74" spans="1:75" s="8" customForma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41"/>
      <c r="L74" s="30"/>
      <c r="M74" s="30"/>
      <c r="N74" s="42"/>
      <c r="O74" s="42"/>
      <c r="P74" s="42"/>
      <c r="Q74" s="34"/>
      <c r="R74" s="11"/>
      <c r="S74" s="34"/>
      <c r="T74" s="34"/>
      <c r="U74" s="34"/>
      <c r="V74" s="34"/>
      <c r="W74" s="34"/>
      <c r="X74" s="34"/>
      <c r="Y74" s="34"/>
      <c r="Z74" s="13"/>
      <c r="AA74" s="13"/>
    </row>
    <row r="75" spans="1:75" s="8" customForma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41"/>
      <c r="L75" s="30"/>
      <c r="M75" s="30"/>
      <c r="N75" s="42"/>
      <c r="O75" s="42"/>
      <c r="P75" s="42"/>
      <c r="Q75" s="34"/>
      <c r="R75" s="11"/>
      <c r="S75" s="34"/>
      <c r="T75" s="34"/>
      <c r="U75" s="34"/>
      <c r="V75" s="34"/>
      <c r="W75" s="34"/>
      <c r="X75" s="34"/>
      <c r="Y75" s="34"/>
      <c r="Z75" s="13"/>
      <c r="AA75" s="13"/>
    </row>
    <row r="76" spans="1:75" s="8" customForma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41"/>
      <c r="L76" s="30"/>
      <c r="M76" s="30"/>
      <c r="N76" s="42"/>
      <c r="O76" s="42"/>
      <c r="P76" s="42"/>
      <c r="Q76" s="34"/>
      <c r="R76" s="11"/>
      <c r="S76" s="34"/>
      <c r="T76" s="34"/>
      <c r="U76" s="34"/>
      <c r="V76" s="34"/>
      <c r="W76" s="34"/>
      <c r="X76" s="34"/>
      <c r="Y76" s="34"/>
      <c r="Z76" s="13"/>
      <c r="AA76" s="13"/>
    </row>
    <row r="77" spans="1:75" s="8" customForma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41"/>
      <c r="L77" s="30"/>
      <c r="M77" s="30"/>
      <c r="N77" s="42"/>
      <c r="O77" s="42"/>
      <c r="P77" s="42"/>
      <c r="Q77" s="34"/>
      <c r="R77" s="11"/>
      <c r="S77" s="34"/>
      <c r="T77" s="34"/>
      <c r="U77" s="34"/>
      <c r="V77" s="34"/>
      <c r="W77" s="34"/>
      <c r="X77" s="34"/>
      <c r="Y77" s="34"/>
      <c r="Z77" s="13"/>
      <c r="AA77" s="13"/>
    </row>
    <row r="78" spans="1:75" s="8" customForma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41"/>
      <c r="L78" s="30"/>
      <c r="M78" s="30"/>
      <c r="N78" s="42"/>
      <c r="O78" s="42"/>
      <c r="P78" s="42"/>
      <c r="Q78" s="34"/>
      <c r="R78" s="11"/>
      <c r="S78" s="34"/>
      <c r="T78" s="34"/>
      <c r="U78" s="34"/>
      <c r="V78" s="34"/>
      <c r="W78" s="34"/>
      <c r="X78" s="34"/>
      <c r="Y78" s="34"/>
      <c r="Z78" s="13"/>
      <c r="AA78" s="13"/>
    </row>
    <row r="79" spans="1:75" s="8" customForma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41"/>
      <c r="L79" s="30"/>
      <c r="M79" s="30"/>
      <c r="N79" s="42"/>
      <c r="O79" s="42"/>
      <c r="P79" s="42"/>
      <c r="Q79" s="34"/>
      <c r="R79" s="11"/>
      <c r="S79" s="34"/>
      <c r="T79" s="34"/>
      <c r="U79" s="34"/>
      <c r="V79" s="34"/>
      <c r="W79" s="34"/>
      <c r="X79" s="34"/>
      <c r="Y79" s="34"/>
      <c r="Z79" s="13"/>
      <c r="AA79" s="13"/>
    </row>
    <row r="80" spans="1:75" s="8" customForma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41"/>
      <c r="L80" s="30"/>
      <c r="M80" s="30"/>
      <c r="N80" s="42"/>
      <c r="O80" s="42"/>
      <c r="P80" s="42"/>
      <c r="Q80" s="34"/>
      <c r="R80" s="11"/>
      <c r="S80" s="34"/>
      <c r="T80" s="34"/>
      <c r="U80" s="34"/>
      <c r="V80" s="34"/>
      <c r="W80" s="34"/>
      <c r="X80" s="34"/>
      <c r="Y80" s="34"/>
      <c r="Z80" s="13"/>
      <c r="AA80" s="13"/>
    </row>
    <row r="81" spans="1:27" s="8" customForma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41"/>
      <c r="L81" s="30"/>
      <c r="M81" s="30"/>
      <c r="N81" s="42"/>
      <c r="O81" s="42"/>
      <c r="P81" s="42"/>
      <c r="Q81" s="34"/>
      <c r="R81" s="11"/>
      <c r="S81" s="34"/>
      <c r="T81" s="34"/>
      <c r="U81" s="34"/>
      <c r="V81" s="34"/>
      <c r="W81" s="34"/>
      <c r="X81" s="34"/>
      <c r="Y81" s="34"/>
      <c r="Z81" s="13"/>
      <c r="AA81" s="13"/>
    </row>
    <row r="82" spans="1:27" s="8" customForma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41"/>
      <c r="L82" s="30"/>
      <c r="M82" s="30"/>
      <c r="N82" s="42"/>
      <c r="O82" s="42"/>
      <c r="P82" s="42"/>
      <c r="Q82" s="34"/>
      <c r="R82" s="11"/>
      <c r="S82" s="34"/>
      <c r="T82" s="34"/>
      <c r="U82" s="34"/>
      <c r="V82" s="34"/>
      <c r="W82" s="34"/>
      <c r="X82" s="34"/>
      <c r="Y82" s="34"/>
      <c r="Z82" s="13"/>
      <c r="AA82" s="13"/>
    </row>
    <row r="83" spans="1:27" s="8" customForma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41"/>
      <c r="L83" s="30"/>
      <c r="M83" s="30"/>
      <c r="N83" s="42"/>
      <c r="O83" s="42"/>
      <c r="P83" s="42"/>
      <c r="Q83" s="34"/>
      <c r="R83" s="11"/>
      <c r="S83" s="34"/>
      <c r="T83" s="34"/>
      <c r="U83" s="34"/>
      <c r="V83" s="34"/>
      <c r="W83" s="34"/>
      <c r="X83" s="34"/>
      <c r="Y83" s="34"/>
      <c r="Z83" s="13"/>
      <c r="AA83" s="13"/>
    </row>
    <row r="84" spans="1:27" s="8" customForma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41"/>
      <c r="L84" s="30"/>
      <c r="M84" s="30"/>
      <c r="N84" s="42"/>
      <c r="O84" s="42"/>
      <c r="P84" s="42"/>
      <c r="Q84" s="34"/>
      <c r="R84" s="11"/>
      <c r="S84" s="34"/>
      <c r="T84" s="34"/>
      <c r="U84" s="34"/>
      <c r="V84" s="34"/>
      <c r="W84" s="34"/>
      <c r="X84" s="34"/>
      <c r="Y84" s="34"/>
      <c r="Z84" s="13"/>
      <c r="AA84" s="13"/>
    </row>
    <row r="85" spans="1:27" s="8" customForma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41"/>
      <c r="L85" s="30"/>
      <c r="M85" s="30"/>
      <c r="N85" s="42"/>
      <c r="O85" s="42"/>
      <c r="P85" s="42"/>
      <c r="Q85" s="34"/>
      <c r="R85" s="11"/>
      <c r="S85" s="34"/>
      <c r="T85" s="34"/>
      <c r="U85" s="34"/>
      <c r="V85" s="34"/>
      <c r="W85" s="34"/>
      <c r="X85" s="34"/>
      <c r="Y85" s="34"/>
      <c r="Z85" s="13"/>
      <c r="AA85" s="13"/>
    </row>
    <row r="86" spans="1:27" s="8" customForma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41"/>
      <c r="L86" s="30"/>
      <c r="M86" s="30"/>
      <c r="N86" s="42"/>
      <c r="O86" s="42"/>
      <c r="P86" s="42"/>
      <c r="Q86" s="34"/>
      <c r="R86" s="11"/>
      <c r="S86" s="34"/>
      <c r="T86" s="34"/>
      <c r="U86" s="34"/>
      <c r="V86" s="34"/>
      <c r="W86" s="34"/>
      <c r="X86" s="34"/>
      <c r="Y86" s="34"/>
      <c r="Z86" s="13"/>
      <c r="AA86" s="13"/>
    </row>
    <row r="87" spans="1:27" s="8" customForma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41"/>
      <c r="L87" s="30"/>
      <c r="M87" s="30"/>
      <c r="N87" s="42"/>
      <c r="O87" s="42"/>
      <c r="P87" s="42"/>
      <c r="Q87" s="34"/>
      <c r="R87" s="11"/>
      <c r="S87" s="34"/>
      <c r="T87" s="34"/>
      <c r="U87" s="34"/>
      <c r="V87" s="34"/>
      <c r="W87" s="34"/>
      <c r="X87" s="34"/>
      <c r="Y87" s="34"/>
      <c r="Z87" s="13"/>
      <c r="AA87" s="13"/>
    </row>
    <row r="88" spans="1:27" s="8" customForma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41"/>
      <c r="L88" s="30"/>
      <c r="M88" s="30"/>
      <c r="N88" s="42"/>
      <c r="O88" s="42"/>
      <c r="P88" s="42"/>
      <c r="Q88" s="34"/>
      <c r="R88" s="11"/>
      <c r="S88" s="34"/>
      <c r="T88" s="34"/>
      <c r="U88" s="34"/>
      <c r="V88" s="34"/>
      <c r="W88" s="34"/>
      <c r="X88" s="34"/>
      <c r="Y88" s="34"/>
      <c r="Z88" s="13"/>
      <c r="AA88" s="13"/>
    </row>
    <row r="89" spans="1:27" s="8" customForma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41"/>
      <c r="L89" s="30"/>
      <c r="M89" s="30"/>
      <c r="N89" s="42"/>
      <c r="O89" s="42"/>
      <c r="P89" s="42"/>
      <c r="Q89" s="34"/>
      <c r="R89" s="11"/>
      <c r="S89" s="34"/>
      <c r="T89" s="34"/>
      <c r="U89" s="34"/>
      <c r="V89" s="34"/>
      <c r="W89" s="34"/>
      <c r="X89" s="34"/>
      <c r="Y89" s="34"/>
      <c r="Z89" s="13"/>
      <c r="AA89" s="13"/>
    </row>
    <row r="90" spans="1:27" s="8" customForma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41"/>
      <c r="L90" s="30"/>
      <c r="M90" s="30"/>
      <c r="N90" s="42"/>
      <c r="O90" s="42"/>
      <c r="P90" s="42"/>
      <c r="Q90" s="34"/>
      <c r="R90" s="11"/>
      <c r="S90" s="34"/>
      <c r="T90" s="34"/>
      <c r="U90" s="34"/>
      <c r="V90" s="34"/>
      <c r="W90" s="34"/>
      <c r="X90" s="34"/>
      <c r="Y90" s="34"/>
      <c r="Z90" s="13"/>
      <c r="AA90" s="13"/>
    </row>
    <row r="91" spans="1:27" s="8" customForma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41"/>
      <c r="L91" s="30"/>
      <c r="M91" s="30"/>
      <c r="N91" s="42"/>
      <c r="O91" s="42"/>
      <c r="P91" s="42"/>
      <c r="Q91" s="34"/>
      <c r="R91" s="11"/>
      <c r="S91" s="34"/>
      <c r="T91" s="34"/>
      <c r="U91" s="34"/>
      <c r="V91" s="34"/>
      <c r="W91" s="34"/>
      <c r="X91" s="34"/>
      <c r="Y91" s="34"/>
      <c r="Z91" s="13"/>
      <c r="AA91" s="13"/>
    </row>
    <row r="92" spans="1:27" s="8" customForma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41"/>
      <c r="L92" s="30"/>
      <c r="M92" s="30"/>
      <c r="N92" s="42"/>
      <c r="O92" s="42"/>
      <c r="P92" s="42"/>
      <c r="Q92" s="34"/>
      <c r="R92" s="11"/>
      <c r="S92" s="34"/>
      <c r="T92" s="34"/>
      <c r="U92" s="34"/>
      <c r="V92" s="34"/>
      <c r="W92" s="34"/>
      <c r="X92" s="34"/>
      <c r="Y92" s="34"/>
      <c r="Z92" s="13"/>
      <c r="AA92" s="13"/>
    </row>
    <row r="93" spans="1:27" s="8" customForma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41"/>
      <c r="L93" s="30"/>
      <c r="M93" s="30"/>
      <c r="N93" s="42"/>
      <c r="O93" s="42"/>
      <c r="P93" s="42"/>
      <c r="Q93" s="34"/>
      <c r="R93" s="11"/>
      <c r="S93" s="34"/>
      <c r="T93" s="34"/>
      <c r="U93" s="34"/>
      <c r="V93" s="34"/>
      <c r="W93" s="34"/>
      <c r="X93" s="34"/>
      <c r="Y93" s="34"/>
      <c r="Z93" s="13"/>
      <c r="AA93" s="13"/>
    </row>
    <row r="94" spans="1:27" s="8" customForma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41"/>
      <c r="L94" s="30"/>
      <c r="M94" s="30"/>
      <c r="N94" s="42"/>
      <c r="O94" s="42"/>
      <c r="P94" s="42"/>
      <c r="Q94" s="34"/>
      <c r="R94" s="11"/>
      <c r="S94" s="34"/>
      <c r="T94" s="34"/>
      <c r="U94" s="34"/>
      <c r="V94" s="34"/>
      <c r="W94" s="34"/>
      <c r="X94" s="34"/>
      <c r="Y94" s="34"/>
      <c r="Z94" s="13"/>
      <c r="AA94" s="13"/>
    </row>
    <row r="95" spans="1:27" s="8" customForma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41"/>
      <c r="L95" s="30"/>
      <c r="M95" s="30"/>
      <c r="N95" s="42"/>
      <c r="O95" s="42"/>
      <c r="P95" s="42"/>
      <c r="Q95" s="34"/>
      <c r="R95" s="11"/>
      <c r="S95" s="34"/>
      <c r="T95" s="34"/>
      <c r="U95" s="34"/>
      <c r="V95" s="34"/>
      <c r="W95" s="34"/>
      <c r="X95" s="34"/>
      <c r="Y95" s="34"/>
      <c r="Z95" s="13"/>
      <c r="AA95" s="13"/>
    </row>
    <row r="96" spans="1:27" s="8" customForma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41"/>
      <c r="L96" s="30"/>
      <c r="M96" s="30"/>
      <c r="N96" s="42"/>
      <c r="O96" s="42"/>
      <c r="P96" s="42"/>
      <c r="Q96" s="34"/>
      <c r="R96" s="11"/>
      <c r="S96" s="34"/>
      <c r="T96" s="34"/>
      <c r="U96" s="34"/>
      <c r="V96" s="34"/>
      <c r="W96" s="34"/>
      <c r="X96" s="34"/>
      <c r="Y96" s="34"/>
      <c r="Z96" s="13"/>
      <c r="AA96" s="13"/>
    </row>
    <row r="97" spans="1:27" s="8" customForma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41"/>
      <c r="L97" s="30"/>
      <c r="M97" s="30"/>
      <c r="N97" s="42"/>
      <c r="O97" s="42"/>
      <c r="P97" s="42"/>
      <c r="Q97" s="34"/>
      <c r="R97" s="11"/>
      <c r="S97" s="34"/>
      <c r="T97" s="34"/>
      <c r="U97" s="34"/>
      <c r="V97" s="34"/>
      <c r="W97" s="34"/>
      <c r="X97" s="34"/>
      <c r="Y97" s="34"/>
      <c r="Z97" s="13"/>
      <c r="AA97" s="13"/>
    </row>
    <row r="98" spans="1:27" s="8" customForma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41"/>
      <c r="L98" s="30"/>
      <c r="M98" s="30"/>
      <c r="N98" s="42"/>
      <c r="O98" s="42"/>
      <c r="P98" s="42"/>
      <c r="Q98" s="34"/>
      <c r="R98" s="11"/>
      <c r="S98" s="34"/>
      <c r="T98" s="34"/>
      <c r="U98" s="34"/>
      <c r="V98" s="34"/>
      <c r="W98" s="34"/>
      <c r="X98" s="34"/>
      <c r="Y98" s="34"/>
      <c r="Z98" s="13"/>
      <c r="AA98" s="13"/>
    </row>
    <row r="99" spans="1:27" s="8" customForma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41"/>
      <c r="L99" s="30"/>
      <c r="M99" s="30"/>
      <c r="N99" s="42"/>
      <c r="O99" s="42"/>
      <c r="P99" s="42"/>
      <c r="Q99" s="34"/>
      <c r="R99" s="11"/>
      <c r="S99" s="34"/>
      <c r="T99" s="34"/>
      <c r="U99" s="34"/>
      <c r="V99" s="34"/>
      <c r="W99" s="34"/>
      <c r="X99" s="34"/>
      <c r="Y99" s="34"/>
      <c r="Z99" s="13"/>
      <c r="AA99" s="13"/>
    </row>
    <row r="100" spans="1:27" s="8" customForma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41"/>
      <c r="L100" s="30"/>
      <c r="M100" s="30"/>
      <c r="N100" s="42"/>
      <c r="O100" s="42"/>
      <c r="P100" s="42"/>
      <c r="Q100" s="34"/>
      <c r="R100" s="11"/>
      <c r="S100" s="34"/>
      <c r="T100" s="34"/>
      <c r="U100" s="34"/>
      <c r="V100" s="34"/>
      <c r="W100" s="34"/>
      <c r="X100" s="34"/>
      <c r="Y100" s="34"/>
      <c r="Z100" s="13"/>
      <c r="AA100" s="13"/>
    </row>
    <row r="101" spans="1:27" s="8" customForma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41"/>
      <c r="L101" s="30"/>
      <c r="M101" s="30"/>
      <c r="N101" s="42"/>
      <c r="O101" s="42"/>
      <c r="P101" s="42"/>
      <c r="Q101" s="34"/>
      <c r="R101" s="11"/>
      <c r="S101" s="34"/>
      <c r="T101" s="34"/>
      <c r="U101" s="34"/>
      <c r="V101" s="34"/>
      <c r="W101" s="34"/>
      <c r="X101" s="34"/>
      <c r="Y101" s="34"/>
      <c r="Z101" s="13"/>
      <c r="AA101" s="13"/>
    </row>
    <row r="102" spans="1:27" s="8" customForma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41"/>
      <c r="L102" s="30"/>
      <c r="M102" s="30"/>
      <c r="N102" s="42"/>
      <c r="O102" s="42"/>
      <c r="P102" s="42"/>
      <c r="Q102" s="34"/>
      <c r="R102" s="11"/>
      <c r="S102" s="34"/>
      <c r="T102" s="34"/>
      <c r="U102" s="34"/>
      <c r="V102" s="34"/>
      <c r="W102" s="34"/>
      <c r="X102" s="34"/>
      <c r="Y102" s="34"/>
      <c r="Z102" s="13"/>
      <c r="AA102" s="13"/>
    </row>
    <row r="103" spans="1:27" s="8" customForma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41"/>
      <c r="L103" s="30"/>
      <c r="M103" s="30"/>
      <c r="N103" s="42"/>
      <c r="O103" s="42"/>
      <c r="P103" s="42"/>
      <c r="Q103" s="34"/>
      <c r="R103" s="11"/>
      <c r="S103" s="34"/>
      <c r="T103" s="34"/>
      <c r="U103" s="34"/>
      <c r="V103" s="34"/>
      <c r="W103" s="34"/>
      <c r="X103" s="34"/>
      <c r="Y103" s="34"/>
      <c r="Z103" s="13"/>
      <c r="AA103" s="13"/>
    </row>
    <row r="104" spans="1:27" s="8" customForma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41"/>
      <c r="L104" s="30"/>
      <c r="M104" s="30"/>
      <c r="N104" s="42"/>
      <c r="O104" s="42"/>
      <c r="P104" s="42"/>
      <c r="Q104" s="34"/>
      <c r="R104" s="11"/>
      <c r="S104" s="34"/>
      <c r="T104" s="34"/>
      <c r="U104" s="34"/>
      <c r="V104" s="34"/>
      <c r="W104" s="34"/>
      <c r="X104" s="34"/>
      <c r="Y104" s="34"/>
      <c r="Z104" s="13"/>
      <c r="AA104" s="13"/>
    </row>
    <row r="105" spans="1:27" s="8" customForma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41"/>
      <c r="L105" s="30"/>
      <c r="M105" s="30"/>
      <c r="N105" s="42"/>
      <c r="O105" s="42"/>
      <c r="P105" s="42"/>
      <c r="Q105" s="34"/>
      <c r="R105" s="11"/>
      <c r="S105" s="34"/>
      <c r="T105" s="34"/>
      <c r="U105" s="34"/>
      <c r="V105" s="34"/>
      <c r="W105" s="34"/>
      <c r="X105" s="34"/>
      <c r="Y105" s="34"/>
      <c r="Z105" s="13"/>
      <c r="AA105" s="13"/>
    </row>
    <row r="106" spans="1:27" s="8" customForma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41"/>
      <c r="L106" s="30"/>
      <c r="M106" s="30"/>
      <c r="N106" s="42"/>
      <c r="O106" s="42"/>
      <c r="P106" s="42"/>
      <c r="Q106" s="34"/>
      <c r="R106" s="11"/>
      <c r="S106" s="34"/>
      <c r="T106" s="34"/>
      <c r="U106" s="34"/>
      <c r="V106" s="34"/>
      <c r="W106" s="34"/>
      <c r="X106" s="34"/>
      <c r="Y106" s="34"/>
      <c r="Z106" s="13"/>
      <c r="AA106" s="13"/>
    </row>
    <row r="107" spans="1:27" s="8" customForma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41"/>
      <c r="L107" s="30"/>
      <c r="M107" s="30"/>
      <c r="N107" s="42"/>
      <c r="O107" s="42"/>
      <c r="P107" s="42"/>
      <c r="Q107" s="34"/>
      <c r="R107" s="11"/>
      <c r="S107" s="34"/>
      <c r="T107" s="34"/>
      <c r="U107" s="34"/>
      <c r="V107" s="34"/>
      <c r="W107" s="34"/>
      <c r="X107" s="34"/>
      <c r="Y107" s="34"/>
      <c r="Z107" s="13"/>
      <c r="AA107" s="13"/>
    </row>
    <row r="108" spans="1:27" s="8" customForma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41"/>
      <c r="L108" s="30"/>
      <c r="M108" s="30"/>
      <c r="N108" s="42"/>
      <c r="O108" s="42"/>
      <c r="P108" s="42"/>
      <c r="Q108" s="34"/>
      <c r="R108" s="11"/>
      <c r="S108" s="34"/>
      <c r="T108" s="34"/>
      <c r="U108" s="34"/>
      <c r="V108" s="34"/>
      <c r="W108" s="34"/>
      <c r="X108" s="34"/>
      <c r="Y108" s="34"/>
      <c r="Z108" s="13"/>
      <c r="AA108" s="13"/>
    </row>
    <row r="109" spans="1:27" s="8" customForma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41"/>
      <c r="L109" s="30"/>
      <c r="M109" s="30"/>
      <c r="N109" s="42"/>
      <c r="O109" s="42"/>
      <c r="P109" s="42"/>
      <c r="Q109" s="34"/>
      <c r="R109" s="11"/>
      <c r="S109" s="34"/>
      <c r="T109" s="34"/>
      <c r="U109" s="34"/>
      <c r="V109" s="34"/>
      <c r="W109" s="34"/>
      <c r="X109" s="34"/>
      <c r="Y109" s="34"/>
      <c r="Z109" s="13"/>
      <c r="AA109" s="13"/>
    </row>
    <row r="110" spans="1:27" s="8" customForma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41"/>
      <c r="L110" s="30"/>
      <c r="M110" s="30"/>
      <c r="N110" s="42"/>
      <c r="O110" s="42"/>
      <c r="P110" s="42"/>
      <c r="Q110" s="34"/>
      <c r="R110" s="11"/>
      <c r="S110" s="34"/>
      <c r="T110" s="34"/>
      <c r="U110" s="34"/>
      <c r="V110" s="34"/>
      <c r="W110" s="34"/>
      <c r="X110" s="34"/>
      <c r="Y110" s="34"/>
      <c r="Z110" s="13"/>
      <c r="AA110" s="13"/>
    </row>
    <row r="111" spans="1:27" s="8" customForma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41"/>
      <c r="L111" s="30"/>
      <c r="M111" s="30"/>
      <c r="N111" s="42"/>
      <c r="O111" s="42"/>
      <c r="P111" s="42"/>
      <c r="Q111" s="34"/>
      <c r="R111" s="11"/>
      <c r="S111" s="34"/>
      <c r="T111" s="34"/>
      <c r="U111" s="34"/>
      <c r="V111" s="34"/>
      <c r="W111" s="34"/>
      <c r="X111" s="34"/>
      <c r="Y111" s="34"/>
      <c r="Z111" s="13"/>
      <c r="AA111" s="13"/>
    </row>
    <row r="112" spans="1:27" s="8" customForma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41"/>
      <c r="L112" s="30"/>
      <c r="M112" s="30"/>
      <c r="N112" s="42"/>
      <c r="O112" s="42"/>
      <c r="P112" s="42"/>
      <c r="Q112" s="34"/>
      <c r="R112" s="11"/>
      <c r="S112" s="34"/>
      <c r="T112" s="34"/>
      <c r="U112" s="34"/>
      <c r="V112" s="34"/>
      <c r="W112" s="34"/>
      <c r="X112" s="34"/>
      <c r="Y112" s="34"/>
      <c r="Z112" s="13"/>
      <c r="AA112" s="13"/>
    </row>
    <row r="113" spans="1:27" s="8" customForma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41"/>
      <c r="L113" s="30"/>
      <c r="M113" s="30"/>
      <c r="N113" s="42"/>
      <c r="O113" s="42"/>
      <c r="P113" s="42"/>
      <c r="Q113" s="34"/>
      <c r="R113" s="11"/>
      <c r="S113" s="34"/>
      <c r="T113" s="34"/>
      <c r="U113" s="34"/>
      <c r="V113" s="34"/>
      <c r="W113" s="34"/>
      <c r="X113" s="34"/>
      <c r="Y113" s="34"/>
      <c r="Z113" s="13"/>
      <c r="AA113" s="13"/>
    </row>
    <row r="114" spans="1:27" s="8" customForma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41"/>
      <c r="L114" s="30"/>
      <c r="M114" s="30"/>
      <c r="N114" s="42"/>
      <c r="O114" s="42"/>
      <c r="P114" s="42"/>
      <c r="Q114" s="34"/>
      <c r="R114" s="11"/>
      <c r="S114" s="34"/>
      <c r="T114" s="34"/>
      <c r="U114" s="34"/>
      <c r="V114" s="34"/>
      <c r="W114" s="34"/>
      <c r="X114" s="34"/>
      <c r="Y114" s="34"/>
      <c r="Z114" s="13"/>
      <c r="AA114" s="13"/>
    </row>
    <row r="115" spans="1:27" s="8" customForma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41"/>
      <c r="L115" s="30"/>
      <c r="M115" s="30"/>
      <c r="N115" s="42"/>
      <c r="O115" s="42"/>
      <c r="P115" s="42"/>
      <c r="Q115" s="34"/>
      <c r="R115" s="11"/>
      <c r="S115" s="34"/>
      <c r="T115" s="34"/>
      <c r="U115" s="34"/>
      <c r="V115" s="34"/>
      <c r="W115" s="34"/>
      <c r="X115" s="34"/>
      <c r="Y115" s="34"/>
      <c r="Z115" s="13"/>
      <c r="AA115" s="13"/>
    </row>
    <row r="116" spans="1:27" s="8" customForma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41"/>
      <c r="L116" s="30"/>
      <c r="M116" s="30"/>
      <c r="N116" s="42"/>
      <c r="O116" s="42"/>
      <c r="P116" s="42"/>
      <c r="Q116" s="34"/>
      <c r="R116" s="11"/>
      <c r="S116" s="34"/>
      <c r="T116" s="34"/>
      <c r="U116" s="34"/>
      <c r="V116" s="34"/>
      <c r="W116" s="34"/>
      <c r="X116" s="34"/>
      <c r="Y116" s="34"/>
      <c r="Z116" s="13"/>
      <c r="AA116" s="13"/>
    </row>
    <row r="117" spans="1:27" s="8" customForma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41"/>
      <c r="L117" s="30"/>
      <c r="M117" s="30"/>
      <c r="N117" s="42"/>
      <c r="O117" s="42"/>
      <c r="P117" s="42"/>
      <c r="Q117" s="34"/>
      <c r="R117" s="11"/>
      <c r="S117" s="34"/>
      <c r="T117" s="34"/>
      <c r="U117" s="34"/>
      <c r="V117" s="34"/>
      <c r="W117" s="34"/>
      <c r="X117" s="34"/>
      <c r="Y117" s="34"/>
      <c r="Z117" s="13"/>
      <c r="AA117" s="13"/>
    </row>
    <row r="118" spans="1:27" s="8" customForma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41"/>
      <c r="L118" s="30"/>
      <c r="M118" s="30"/>
      <c r="N118" s="42"/>
      <c r="O118" s="42"/>
      <c r="P118" s="42"/>
      <c r="Q118" s="34"/>
      <c r="R118" s="11"/>
      <c r="S118" s="34"/>
      <c r="T118" s="34"/>
      <c r="U118" s="34"/>
      <c r="V118" s="34"/>
      <c r="W118" s="34"/>
      <c r="X118" s="34"/>
      <c r="Y118" s="34"/>
      <c r="Z118" s="13"/>
      <c r="AA118" s="13"/>
    </row>
    <row r="119" spans="1:27" s="8" customForma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41"/>
      <c r="L119" s="30"/>
      <c r="M119" s="30"/>
      <c r="N119" s="42"/>
      <c r="O119" s="42"/>
      <c r="P119" s="42"/>
      <c r="Q119" s="34"/>
      <c r="R119" s="11"/>
      <c r="S119" s="34"/>
      <c r="T119" s="34"/>
      <c r="U119" s="34"/>
      <c r="V119" s="34"/>
      <c r="W119" s="34"/>
      <c r="X119" s="34"/>
      <c r="Y119" s="34"/>
      <c r="Z119" s="13"/>
      <c r="AA119" s="13"/>
    </row>
    <row r="120" spans="1:27" s="8" customForma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41"/>
      <c r="L120" s="30"/>
      <c r="M120" s="30"/>
      <c r="N120" s="42"/>
      <c r="O120" s="42"/>
      <c r="P120" s="42"/>
      <c r="Q120" s="34"/>
      <c r="R120" s="11"/>
      <c r="S120" s="34"/>
      <c r="T120" s="34"/>
      <c r="U120" s="34"/>
      <c r="V120" s="34"/>
      <c r="W120" s="34"/>
      <c r="X120" s="34"/>
      <c r="Y120" s="34"/>
      <c r="Z120" s="13"/>
      <c r="AA120" s="13"/>
    </row>
    <row r="121" spans="1:27" s="8" customForma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41"/>
      <c r="L121" s="30"/>
      <c r="M121" s="30"/>
      <c r="N121" s="42"/>
      <c r="O121" s="42"/>
      <c r="P121" s="42"/>
      <c r="Q121" s="34"/>
      <c r="R121" s="11"/>
      <c r="S121" s="34"/>
      <c r="T121" s="34"/>
      <c r="U121" s="34"/>
      <c r="V121" s="34"/>
      <c r="W121" s="34"/>
      <c r="X121" s="34"/>
      <c r="Y121" s="34"/>
      <c r="Z121" s="13"/>
      <c r="AA121" s="13"/>
    </row>
    <row r="122" spans="1:27" s="8" customForma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41"/>
      <c r="L122" s="30"/>
      <c r="M122" s="30"/>
      <c r="N122" s="42"/>
      <c r="O122" s="42"/>
      <c r="P122" s="42"/>
      <c r="Q122" s="34"/>
      <c r="R122" s="11"/>
      <c r="S122" s="34"/>
      <c r="T122" s="34"/>
      <c r="U122" s="34"/>
      <c r="V122" s="34"/>
      <c r="W122" s="34"/>
      <c r="X122" s="34"/>
      <c r="Y122" s="34"/>
      <c r="Z122" s="13"/>
      <c r="AA122" s="13"/>
    </row>
    <row r="123" spans="1:27" s="8" customForma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41"/>
      <c r="L123" s="30"/>
      <c r="M123" s="30"/>
      <c r="N123" s="42"/>
      <c r="O123" s="42"/>
      <c r="P123" s="42"/>
      <c r="Q123" s="34"/>
      <c r="R123" s="11"/>
      <c r="S123" s="34"/>
      <c r="T123" s="34"/>
      <c r="U123" s="34"/>
      <c r="V123" s="34"/>
      <c r="W123" s="34"/>
      <c r="X123" s="34"/>
      <c r="Y123" s="34"/>
      <c r="Z123" s="13"/>
      <c r="AA123" s="13"/>
    </row>
    <row r="124" spans="1:27" s="8" customForma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41"/>
      <c r="L124" s="30"/>
      <c r="M124" s="30"/>
      <c r="N124" s="42"/>
      <c r="O124" s="42"/>
      <c r="P124" s="42"/>
      <c r="Q124" s="34"/>
      <c r="R124" s="11"/>
      <c r="S124" s="34"/>
      <c r="T124" s="34"/>
      <c r="U124" s="34"/>
      <c r="V124" s="34"/>
      <c r="W124" s="34"/>
      <c r="X124" s="34"/>
      <c r="Y124" s="34"/>
      <c r="Z124" s="13"/>
      <c r="AA124" s="13"/>
    </row>
    <row r="125" spans="1:27" s="8" customForma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41"/>
      <c r="L125" s="30"/>
      <c r="M125" s="30"/>
      <c r="N125" s="42"/>
      <c r="O125" s="42"/>
      <c r="P125" s="42"/>
      <c r="Q125" s="34"/>
      <c r="R125" s="11"/>
      <c r="S125" s="34"/>
      <c r="T125" s="34"/>
      <c r="U125" s="34"/>
      <c r="V125" s="34"/>
      <c r="W125" s="34"/>
      <c r="X125" s="34"/>
      <c r="Y125" s="34"/>
      <c r="Z125" s="13"/>
      <c r="AA125" s="13"/>
    </row>
    <row r="126" spans="1:27" s="8" customForma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41"/>
      <c r="L126" s="30"/>
      <c r="M126" s="30"/>
      <c r="N126" s="42"/>
      <c r="O126" s="42"/>
      <c r="P126" s="42"/>
      <c r="Q126" s="34"/>
      <c r="R126" s="11"/>
      <c r="S126" s="34"/>
      <c r="T126" s="34"/>
      <c r="U126" s="34"/>
      <c r="V126" s="34"/>
      <c r="W126" s="34"/>
      <c r="X126" s="34"/>
      <c r="Y126" s="34"/>
      <c r="Z126" s="13"/>
      <c r="AA126" s="13"/>
    </row>
    <row r="127" spans="1:27" s="8" customForma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41"/>
      <c r="L127" s="30"/>
      <c r="M127" s="30"/>
      <c r="N127" s="42"/>
      <c r="O127" s="42"/>
      <c r="P127" s="42"/>
      <c r="Q127" s="34"/>
      <c r="R127" s="11"/>
      <c r="S127" s="34"/>
      <c r="T127" s="34"/>
      <c r="U127" s="34"/>
      <c r="V127" s="34"/>
      <c r="W127" s="34"/>
      <c r="X127" s="34"/>
      <c r="Y127" s="34"/>
      <c r="Z127" s="13"/>
      <c r="AA127" s="13"/>
    </row>
    <row r="128" spans="1:27" s="8" customForma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41"/>
      <c r="L128" s="30"/>
      <c r="M128" s="30"/>
      <c r="N128" s="42"/>
      <c r="O128" s="42"/>
      <c r="P128" s="42"/>
      <c r="Q128" s="34"/>
      <c r="R128" s="11"/>
      <c r="S128" s="34"/>
      <c r="T128" s="34"/>
      <c r="U128" s="34"/>
      <c r="V128" s="34"/>
      <c r="W128" s="34"/>
      <c r="X128" s="34"/>
      <c r="Y128" s="34"/>
      <c r="Z128" s="13"/>
      <c r="AA128" s="13"/>
    </row>
    <row r="129" spans="1:27" s="8" customForma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41"/>
      <c r="L129" s="30"/>
      <c r="M129" s="30"/>
      <c r="N129" s="42"/>
      <c r="O129" s="42"/>
      <c r="P129" s="42"/>
      <c r="Q129" s="34"/>
      <c r="R129" s="11"/>
      <c r="S129" s="34"/>
      <c r="T129" s="34"/>
      <c r="U129" s="34"/>
      <c r="V129" s="34"/>
      <c r="W129" s="34"/>
      <c r="X129" s="34"/>
      <c r="Y129" s="34"/>
      <c r="Z129" s="13"/>
      <c r="AA129" s="13"/>
    </row>
    <row r="130" spans="1:27" s="8" customForma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41"/>
      <c r="L130" s="30"/>
      <c r="M130" s="30"/>
      <c r="N130" s="42"/>
      <c r="O130" s="42"/>
      <c r="P130" s="42"/>
      <c r="Q130" s="34"/>
      <c r="R130" s="11"/>
      <c r="S130" s="34"/>
      <c r="T130" s="34"/>
      <c r="U130" s="34"/>
      <c r="V130" s="34"/>
      <c r="W130" s="34"/>
      <c r="X130" s="34"/>
      <c r="Y130" s="34"/>
      <c r="Z130" s="13"/>
      <c r="AA130" s="13"/>
    </row>
    <row r="131" spans="1:27" s="8" customForma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41"/>
      <c r="L131" s="30"/>
      <c r="M131" s="30"/>
      <c r="N131" s="65"/>
      <c r="O131" s="42"/>
      <c r="P131" s="42"/>
      <c r="Q131" s="34"/>
      <c r="R131" s="11"/>
      <c r="S131" s="34"/>
      <c r="T131" s="34"/>
      <c r="U131" s="34"/>
      <c r="V131" s="34"/>
      <c r="W131" s="34"/>
      <c r="X131" s="34"/>
      <c r="Y131" s="34"/>
      <c r="Z131" s="13"/>
      <c r="AA131" s="13"/>
    </row>
    <row r="132" spans="1:27" s="8" customForma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41"/>
      <c r="L132" s="30"/>
      <c r="M132" s="30"/>
      <c r="N132" s="42"/>
      <c r="O132" s="42"/>
      <c r="P132" s="42"/>
      <c r="Q132" s="34"/>
      <c r="R132" s="11"/>
      <c r="S132" s="34"/>
      <c r="T132" s="34"/>
      <c r="U132" s="34"/>
      <c r="V132" s="34"/>
      <c r="W132" s="34"/>
      <c r="X132" s="34"/>
      <c r="Y132" s="34"/>
      <c r="Z132" s="13"/>
      <c r="AA132" s="13"/>
    </row>
    <row r="133" spans="1:27" s="8" customForma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41"/>
      <c r="L133" s="30"/>
      <c r="M133" s="30"/>
      <c r="N133" s="42"/>
      <c r="O133" s="42"/>
      <c r="P133" s="42"/>
      <c r="Q133" s="34"/>
      <c r="R133" s="11"/>
      <c r="S133" s="34"/>
      <c r="T133" s="34"/>
      <c r="U133" s="34"/>
      <c r="V133" s="34"/>
      <c r="W133" s="34"/>
      <c r="X133" s="34"/>
      <c r="Y133" s="34"/>
      <c r="Z133" s="13"/>
      <c r="AA133" s="13"/>
    </row>
    <row r="134" spans="1:27" s="8" customForma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41"/>
      <c r="L134" s="30"/>
      <c r="M134" s="30"/>
      <c r="N134" s="42"/>
      <c r="O134" s="42"/>
      <c r="P134" s="42"/>
      <c r="Q134" s="34"/>
      <c r="R134" s="11"/>
      <c r="S134" s="34"/>
      <c r="T134" s="34"/>
      <c r="U134" s="34"/>
      <c r="V134" s="34"/>
      <c r="W134" s="34"/>
      <c r="X134" s="34"/>
      <c r="Y134" s="34"/>
      <c r="Z134" s="13"/>
      <c r="AA134" s="13"/>
    </row>
    <row r="135" spans="1:27" s="8" customForma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41"/>
      <c r="L135" s="30"/>
      <c r="M135" s="30"/>
      <c r="N135" s="42"/>
      <c r="O135" s="42"/>
      <c r="P135" s="42"/>
      <c r="Q135" s="34"/>
      <c r="R135" s="11"/>
      <c r="S135" s="34"/>
      <c r="T135" s="34"/>
      <c r="U135" s="34"/>
      <c r="V135" s="34"/>
      <c r="W135" s="34"/>
      <c r="X135" s="34"/>
      <c r="Y135" s="34"/>
      <c r="Z135" s="13"/>
      <c r="AA135" s="13"/>
    </row>
    <row r="136" spans="1:27" s="8" customForma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41"/>
      <c r="L136" s="30"/>
      <c r="M136" s="30"/>
      <c r="N136" s="42"/>
      <c r="O136" s="42"/>
      <c r="P136" s="42"/>
      <c r="Q136" s="34"/>
      <c r="R136" s="11"/>
      <c r="S136" s="34"/>
      <c r="T136" s="34"/>
      <c r="U136" s="34"/>
      <c r="V136" s="34"/>
      <c r="W136" s="34"/>
      <c r="X136" s="34"/>
      <c r="Y136" s="34"/>
      <c r="Z136" s="13"/>
      <c r="AA136" s="13"/>
    </row>
    <row r="137" spans="1:27" s="8" customForma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41"/>
      <c r="L137" s="30"/>
      <c r="M137" s="30"/>
      <c r="N137" s="42"/>
      <c r="O137" s="42"/>
      <c r="P137" s="42"/>
      <c r="Q137" s="34"/>
      <c r="R137" s="11"/>
      <c r="S137" s="34"/>
      <c r="T137" s="34"/>
      <c r="U137" s="34"/>
      <c r="V137" s="34"/>
      <c r="W137" s="34"/>
      <c r="X137" s="34"/>
      <c r="Y137" s="34"/>
      <c r="Z137" s="13"/>
      <c r="AA137" s="13"/>
    </row>
    <row r="138" spans="1:27" s="8" customForma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41"/>
      <c r="L138" s="30"/>
      <c r="M138" s="30"/>
      <c r="N138" s="42"/>
      <c r="O138" s="42"/>
      <c r="P138" s="42"/>
      <c r="Q138" s="34"/>
      <c r="R138" s="11"/>
      <c r="S138" s="34"/>
      <c r="T138" s="34"/>
      <c r="U138" s="34"/>
      <c r="V138" s="34"/>
      <c r="W138" s="34"/>
      <c r="X138" s="34"/>
      <c r="Y138" s="34"/>
      <c r="Z138" s="13"/>
      <c r="AA138" s="13"/>
    </row>
    <row r="139" spans="1:27" s="8" customForma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41"/>
      <c r="L139" s="30"/>
      <c r="M139" s="30"/>
      <c r="N139" s="42"/>
      <c r="O139" s="42"/>
      <c r="P139" s="42"/>
      <c r="Q139" s="34"/>
      <c r="R139" s="11"/>
      <c r="S139" s="34"/>
      <c r="T139" s="34"/>
      <c r="U139" s="34"/>
      <c r="V139" s="34"/>
      <c r="W139" s="34"/>
      <c r="X139" s="34"/>
      <c r="Y139" s="34"/>
      <c r="Z139" s="13"/>
      <c r="AA139" s="13"/>
    </row>
    <row r="140" spans="1:27" s="8" customForma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41"/>
      <c r="L140" s="30"/>
      <c r="M140" s="30"/>
      <c r="N140" s="42"/>
      <c r="O140" s="42"/>
      <c r="P140" s="42"/>
      <c r="Q140" s="34"/>
      <c r="R140" s="11"/>
      <c r="S140" s="34"/>
      <c r="T140" s="34"/>
      <c r="U140" s="34"/>
      <c r="V140" s="34"/>
      <c r="W140" s="34"/>
      <c r="X140" s="34"/>
      <c r="Y140" s="34"/>
      <c r="Z140" s="13"/>
      <c r="AA140" s="13"/>
    </row>
    <row r="141" spans="1:27" s="8" customForma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41"/>
      <c r="L141" s="30"/>
      <c r="M141" s="30"/>
      <c r="N141" s="42"/>
      <c r="O141" s="42"/>
      <c r="P141" s="42"/>
      <c r="Q141" s="34"/>
      <c r="R141" s="11"/>
      <c r="S141" s="34"/>
      <c r="T141" s="34"/>
      <c r="U141" s="34"/>
      <c r="V141" s="34"/>
      <c r="W141" s="34"/>
      <c r="X141" s="34"/>
      <c r="Y141" s="34"/>
      <c r="Z141" s="13"/>
      <c r="AA141" s="13"/>
    </row>
    <row r="142" spans="1:27" s="8" customForma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41"/>
      <c r="L142" s="30"/>
      <c r="M142" s="30"/>
      <c r="N142" s="42"/>
      <c r="O142" s="42"/>
      <c r="P142" s="42"/>
      <c r="Q142" s="34"/>
      <c r="R142" s="11"/>
      <c r="S142" s="34"/>
      <c r="T142" s="34"/>
      <c r="U142" s="34"/>
      <c r="V142" s="34"/>
      <c r="W142" s="34"/>
      <c r="X142" s="34"/>
      <c r="Y142" s="34"/>
      <c r="Z142" s="13"/>
      <c r="AA142" s="13"/>
    </row>
    <row r="143" spans="1:27" s="8" customForma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41"/>
      <c r="L143" s="30"/>
      <c r="M143" s="30"/>
      <c r="N143" s="42"/>
      <c r="O143" s="42"/>
      <c r="P143" s="42"/>
      <c r="Q143" s="34"/>
      <c r="R143" s="11"/>
      <c r="S143" s="34"/>
      <c r="T143" s="34"/>
      <c r="U143" s="34"/>
      <c r="V143" s="34"/>
      <c r="W143" s="34"/>
      <c r="X143" s="34"/>
      <c r="Y143" s="34"/>
      <c r="Z143" s="13"/>
      <c r="AA143" s="13"/>
    </row>
    <row r="144" spans="1:27" s="8" customForma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41"/>
      <c r="L144" s="30"/>
      <c r="M144" s="30"/>
      <c r="N144" s="42"/>
      <c r="O144" s="42"/>
      <c r="P144" s="42"/>
      <c r="Q144" s="34"/>
      <c r="R144" s="11"/>
      <c r="S144" s="34"/>
      <c r="T144" s="34"/>
      <c r="U144" s="34"/>
      <c r="V144" s="34"/>
      <c r="W144" s="34"/>
      <c r="X144" s="34"/>
      <c r="Y144" s="34"/>
      <c r="Z144" s="13"/>
      <c r="AA144" s="13"/>
    </row>
    <row r="145" spans="1:27" s="8" customForma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41"/>
      <c r="L145" s="30"/>
      <c r="M145" s="30"/>
      <c r="N145" s="42"/>
      <c r="O145" s="42"/>
      <c r="P145" s="42"/>
      <c r="Q145" s="34"/>
      <c r="R145" s="11"/>
      <c r="S145" s="34"/>
      <c r="T145" s="34"/>
      <c r="U145" s="34"/>
      <c r="V145" s="34"/>
      <c r="W145" s="34"/>
      <c r="X145" s="34"/>
      <c r="Y145" s="34"/>
      <c r="Z145" s="13"/>
      <c r="AA145" s="13"/>
    </row>
    <row r="146" spans="1:27" s="8" customForma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41"/>
      <c r="L146" s="30"/>
      <c r="M146" s="30"/>
      <c r="N146" s="42"/>
      <c r="O146" s="42"/>
      <c r="P146" s="42"/>
      <c r="Q146" s="34"/>
      <c r="R146" s="11"/>
      <c r="S146" s="34"/>
      <c r="T146" s="34"/>
      <c r="U146" s="34"/>
      <c r="V146" s="34"/>
      <c r="W146" s="34"/>
      <c r="X146" s="34"/>
      <c r="Y146" s="34"/>
      <c r="Z146" s="13"/>
      <c r="AA146" s="13"/>
    </row>
    <row r="147" spans="1:27" s="8" customForma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41"/>
      <c r="L147" s="30"/>
      <c r="M147" s="30"/>
      <c r="N147" s="42"/>
      <c r="O147" s="42"/>
      <c r="P147" s="42"/>
      <c r="Q147" s="34"/>
      <c r="R147" s="11"/>
      <c r="S147" s="34"/>
      <c r="T147" s="34"/>
      <c r="U147" s="34"/>
      <c r="V147" s="34"/>
      <c r="W147" s="34"/>
      <c r="X147" s="34"/>
      <c r="Y147" s="34"/>
      <c r="Z147" s="13"/>
      <c r="AA147" s="13"/>
    </row>
    <row r="148" spans="1:27" s="8" customForma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41"/>
      <c r="L148" s="30"/>
      <c r="M148" s="30"/>
      <c r="N148" s="42"/>
      <c r="O148" s="42"/>
      <c r="P148" s="42"/>
      <c r="Q148" s="34"/>
      <c r="R148" s="11"/>
      <c r="S148" s="34"/>
      <c r="T148" s="34"/>
      <c r="U148" s="34"/>
      <c r="V148" s="34"/>
      <c r="W148" s="34"/>
      <c r="X148" s="34"/>
      <c r="Y148" s="34"/>
      <c r="Z148" s="13"/>
      <c r="AA148" s="13"/>
    </row>
    <row r="149" spans="1:27" s="8" customForma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41"/>
      <c r="L149" s="30"/>
      <c r="M149" s="30"/>
      <c r="N149" s="42"/>
      <c r="O149" s="42"/>
      <c r="P149" s="42"/>
      <c r="Q149" s="34"/>
      <c r="R149" s="11"/>
      <c r="S149" s="34"/>
      <c r="T149" s="34"/>
      <c r="U149" s="34"/>
      <c r="V149" s="34"/>
      <c r="W149" s="34"/>
      <c r="X149" s="34"/>
      <c r="Y149" s="34"/>
      <c r="Z149" s="13"/>
      <c r="AA149" s="13"/>
    </row>
    <row r="150" spans="1:27" s="8" customForma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41"/>
      <c r="L150" s="30"/>
      <c r="M150" s="30"/>
      <c r="N150" s="42"/>
      <c r="O150" s="42"/>
      <c r="P150" s="42"/>
      <c r="Q150" s="34"/>
      <c r="R150" s="11"/>
      <c r="S150" s="34"/>
      <c r="T150" s="34"/>
      <c r="U150" s="34"/>
      <c r="V150" s="34"/>
      <c r="W150" s="34"/>
      <c r="X150" s="34"/>
      <c r="Y150" s="34"/>
      <c r="Z150" s="13"/>
      <c r="AA150" s="13"/>
    </row>
    <row r="151" spans="1:27" s="8" customForma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41"/>
      <c r="L151" s="30"/>
      <c r="M151" s="30"/>
      <c r="N151" s="42"/>
      <c r="O151" s="42"/>
      <c r="P151" s="42"/>
      <c r="Q151" s="34"/>
      <c r="R151" s="11"/>
      <c r="S151" s="34"/>
      <c r="T151" s="34"/>
      <c r="U151" s="34"/>
      <c r="V151" s="34"/>
      <c r="W151" s="34"/>
      <c r="X151" s="34"/>
      <c r="Y151" s="34"/>
      <c r="Z151" s="13"/>
      <c r="AA151" s="13"/>
    </row>
    <row r="152" spans="1:27" s="8" customForma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41"/>
      <c r="L152" s="30"/>
      <c r="M152" s="30"/>
      <c r="N152" s="42"/>
      <c r="O152" s="42"/>
      <c r="P152" s="42"/>
      <c r="Q152" s="34"/>
      <c r="R152" s="11"/>
      <c r="S152" s="34"/>
      <c r="T152" s="34"/>
      <c r="U152" s="34"/>
      <c r="V152" s="34"/>
      <c r="W152" s="34"/>
      <c r="X152" s="34"/>
      <c r="Y152" s="34"/>
      <c r="Z152" s="13"/>
      <c r="AA152" s="13"/>
    </row>
    <row r="153" spans="1:27" s="8" customForma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41"/>
      <c r="L153" s="30"/>
      <c r="M153" s="30"/>
      <c r="N153" s="42"/>
      <c r="O153" s="42"/>
      <c r="P153" s="42"/>
      <c r="Q153" s="34"/>
      <c r="R153" s="11"/>
      <c r="S153" s="34"/>
      <c r="T153" s="34"/>
      <c r="U153" s="34"/>
      <c r="V153" s="34"/>
      <c r="W153" s="34"/>
      <c r="X153" s="34"/>
      <c r="Y153" s="34"/>
      <c r="Z153" s="13"/>
      <c r="AA153" s="13"/>
    </row>
    <row r="154" spans="1:27" s="8" customForma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41"/>
      <c r="L154" s="30"/>
      <c r="M154" s="30"/>
      <c r="N154" s="42"/>
      <c r="O154" s="42"/>
      <c r="P154" s="42"/>
      <c r="Q154" s="34"/>
      <c r="R154" s="11"/>
      <c r="S154" s="34"/>
      <c r="T154" s="34"/>
      <c r="U154" s="34"/>
      <c r="V154" s="34"/>
      <c r="W154" s="34"/>
      <c r="X154" s="34"/>
      <c r="Y154" s="34"/>
      <c r="Z154" s="13"/>
      <c r="AA154" s="13"/>
    </row>
    <row r="155" spans="1:27" s="8" customForma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41"/>
      <c r="L155" s="30"/>
      <c r="M155" s="30"/>
      <c r="N155" s="42"/>
      <c r="O155" s="42"/>
      <c r="P155" s="42"/>
      <c r="Q155" s="34"/>
      <c r="R155" s="11"/>
      <c r="S155" s="34"/>
      <c r="T155" s="34"/>
      <c r="U155" s="34"/>
      <c r="V155" s="34"/>
      <c r="W155" s="34"/>
      <c r="X155" s="34"/>
      <c r="Y155" s="34"/>
      <c r="Z155" s="13"/>
      <c r="AA155" s="13"/>
    </row>
    <row r="156" spans="1:27" s="8" customForma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41"/>
      <c r="L156" s="30"/>
      <c r="M156" s="30"/>
      <c r="N156" s="42"/>
      <c r="O156" s="42"/>
      <c r="P156" s="42"/>
      <c r="Q156" s="34"/>
      <c r="R156" s="11"/>
      <c r="S156" s="34"/>
      <c r="T156" s="34"/>
      <c r="U156" s="34"/>
      <c r="V156" s="34"/>
      <c r="W156" s="34"/>
      <c r="X156" s="34"/>
      <c r="Y156" s="34"/>
      <c r="Z156" s="13"/>
      <c r="AA156" s="13"/>
    </row>
    <row r="157" spans="1:27" s="8" customForma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41"/>
      <c r="L157" s="30"/>
      <c r="M157" s="30"/>
      <c r="N157" s="42"/>
      <c r="O157" s="42"/>
      <c r="P157" s="42"/>
      <c r="Q157" s="34"/>
      <c r="R157" s="11"/>
      <c r="S157" s="34"/>
      <c r="T157" s="34"/>
      <c r="U157" s="34"/>
      <c r="V157" s="34"/>
      <c r="W157" s="34"/>
      <c r="X157" s="34"/>
      <c r="Y157" s="34"/>
      <c r="Z157" s="13"/>
      <c r="AA157" s="13"/>
    </row>
    <row r="158" spans="1:27" s="8" customForma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41"/>
      <c r="L158" s="30"/>
      <c r="M158" s="30"/>
      <c r="N158" s="42"/>
      <c r="O158" s="42"/>
      <c r="P158" s="42"/>
      <c r="Q158" s="34"/>
      <c r="R158" s="11"/>
      <c r="S158" s="34"/>
      <c r="T158" s="34"/>
      <c r="U158" s="34"/>
      <c r="V158" s="34"/>
      <c r="W158" s="34"/>
      <c r="X158" s="34"/>
      <c r="Y158" s="34"/>
      <c r="Z158" s="13"/>
      <c r="AA158" s="13"/>
    </row>
    <row r="159" spans="1:27" s="8" customForma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41"/>
      <c r="L159" s="30"/>
      <c r="M159" s="30"/>
      <c r="N159" s="42"/>
      <c r="O159" s="42"/>
      <c r="P159" s="42"/>
      <c r="Q159" s="34"/>
      <c r="R159" s="11"/>
      <c r="S159" s="34"/>
      <c r="T159" s="34"/>
      <c r="U159" s="34"/>
      <c r="V159" s="34"/>
      <c r="W159" s="34"/>
      <c r="X159" s="34"/>
      <c r="Y159" s="34"/>
      <c r="Z159" s="13"/>
      <c r="AA159" s="13"/>
    </row>
    <row r="160" spans="1:27" s="8" customForma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41"/>
      <c r="L160" s="30"/>
      <c r="M160" s="30"/>
      <c r="N160" s="42"/>
      <c r="O160" s="42"/>
      <c r="P160" s="42"/>
      <c r="Q160" s="34"/>
      <c r="R160" s="11"/>
      <c r="S160" s="34"/>
      <c r="T160" s="34"/>
      <c r="U160" s="34"/>
      <c r="V160" s="34"/>
      <c r="W160" s="34"/>
      <c r="X160" s="34"/>
      <c r="Y160" s="34"/>
      <c r="Z160" s="13"/>
      <c r="AA160" s="13"/>
    </row>
    <row r="161" spans="1:27" s="8" customForma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41"/>
      <c r="L161" s="30"/>
      <c r="M161" s="30"/>
      <c r="N161" s="42"/>
      <c r="O161" s="42"/>
      <c r="P161" s="42"/>
      <c r="Q161" s="34"/>
      <c r="R161" s="11"/>
      <c r="S161" s="34"/>
      <c r="T161" s="34"/>
      <c r="U161" s="34"/>
      <c r="V161" s="34"/>
      <c r="W161" s="34"/>
      <c r="X161" s="34"/>
      <c r="Y161" s="34"/>
      <c r="Z161" s="13"/>
      <c r="AA161" s="13"/>
    </row>
    <row r="162" spans="1:27" s="8" customForma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41"/>
      <c r="L162" s="30"/>
      <c r="M162" s="30"/>
      <c r="N162" s="42"/>
      <c r="O162" s="42"/>
      <c r="P162" s="42"/>
      <c r="Q162" s="34"/>
      <c r="R162" s="11"/>
      <c r="S162" s="34"/>
      <c r="T162" s="34"/>
      <c r="U162" s="34"/>
      <c r="V162" s="34"/>
      <c r="W162" s="34"/>
      <c r="X162" s="34"/>
      <c r="Y162" s="34"/>
      <c r="Z162" s="13"/>
      <c r="AA162" s="13"/>
    </row>
    <row r="163" spans="1:27" s="8" customForma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41"/>
      <c r="L163" s="30"/>
      <c r="M163" s="30"/>
      <c r="N163" s="42"/>
      <c r="O163" s="42"/>
      <c r="P163" s="42"/>
      <c r="Q163" s="34"/>
      <c r="R163" s="11"/>
      <c r="S163" s="34"/>
      <c r="T163" s="34"/>
      <c r="U163" s="34"/>
      <c r="V163" s="34"/>
      <c r="W163" s="34"/>
      <c r="X163" s="34"/>
      <c r="Y163" s="34"/>
      <c r="Z163" s="13"/>
      <c r="AA163" s="13"/>
    </row>
    <row r="164" spans="1:27" s="8" customForma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41"/>
      <c r="L164" s="30"/>
      <c r="M164" s="30"/>
      <c r="N164" s="42"/>
      <c r="O164" s="42"/>
      <c r="P164" s="42"/>
      <c r="Q164" s="34"/>
      <c r="R164" s="11"/>
      <c r="S164" s="34"/>
      <c r="T164" s="34"/>
      <c r="U164" s="34"/>
      <c r="V164" s="34"/>
      <c r="W164" s="34"/>
      <c r="X164" s="34"/>
      <c r="Y164" s="34"/>
      <c r="Z164" s="13"/>
      <c r="AA164" s="13"/>
    </row>
    <row r="165" spans="1:27" s="8" customForma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41"/>
      <c r="L165" s="30"/>
      <c r="M165" s="30"/>
      <c r="N165" s="42"/>
      <c r="O165" s="42"/>
      <c r="P165" s="42"/>
      <c r="Q165" s="34"/>
      <c r="R165" s="11"/>
      <c r="S165" s="34"/>
      <c r="T165" s="34"/>
      <c r="U165" s="34"/>
      <c r="V165" s="34"/>
      <c r="W165" s="34"/>
      <c r="X165" s="34"/>
      <c r="Y165" s="34"/>
      <c r="Z165" s="13"/>
      <c r="AA165" s="13"/>
    </row>
    <row r="166" spans="1:27" s="8" customForma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41"/>
      <c r="L166" s="30"/>
      <c r="M166" s="30"/>
      <c r="N166" s="42"/>
      <c r="O166" s="42"/>
      <c r="P166" s="42"/>
      <c r="Q166" s="34"/>
      <c r="R166" s="11"/>
      <c r="S166" s="34"/>
      <c r="T166" s="34"/>
      <c r="U166" s="34"/>
      <c r="V166" s="34"/>
      <c r="W166" s="34"/>
      <c r="X166" s="34"/>
      <c r="Y166" s="34"/>
      <c r="Z166" s="13"/>
      <c r="AA166" s="13"/>
    </row>
    <row r="167" spans="1:27" s="8" customForma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41"/>
      <c r="L167" s="30"/>
      <c r="M167" s="30"/>
      <c r="N167" s="42"/>
      <c r="O167" s="42"/>
      <c r="P167" s="42"/>
      <c r="Q167" s="34"/>
      <c r="R167" s="11"/>
      <c r="S167" s="34"/>
      <c r="T167" s="34"/>
      <c r="U167" s="34"/>
      <c r="V167" s="34"/>
      <c r="W167" s="34"/>
      <c r="X167" s="34"/>
      <c r="Y167" s="34"/>
      <c r="Z167" s="13"/>
      <c r="AA167" s="13"/>
    </row>
    <row r="168" spans="1:27" s="8" customForma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41"/>
      <c r="L168" s="30"/>
      <c r="M168" s="30"/>
      <c r="N168" s="42"/>
      <c r="O168" s="42"/>
      <c r="P168" s="42"/>
      <c r="Q168" s="34"/>
      <c r="R168" s="11"/>
      <c r="S168" s="34"/>
      <c r="T168" s="34"/>
      <c r="U168" s="34"/>
      <c r="V168" s="34"/>
      <c r="W168" s="34"/>
      <c r="X168" s="34"/>
      <c r="Y168" s="34"/>
      <c r="Z168" s="13"/>
      <c r="AA168" s="13"/>
    </row>
    <row r="169" spans="1:27" s="8" customForma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41"/>
      <c r="L169" s="30"/>
      <c r="M169" s="30"/>
      <c r="N169" s="42"/>
      <c r="O169" s="42"/>
      <c r="P169" s="42"/>
      <c r="Q169" s="34"/>
      <c r="R169" s="11"/>
      <c r="S169" s="34"/>
      <c r="T169" s="34"/>
      <c r="U169" s="34"/>
      <c r="V169" s="34"/>
      <c r="W169" s="34"/>
      <c r="X169" s="34"/>
      <c r="Y169" s="34"/>
      <c r="Z169" s="13"/>
      <c r="AA169" s="13"/>
    </row>
    <row r="170" spans="1:27" s="8" customForma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41"/>
      <c r="L170" s="30"/>
      <c r="M170" s="30"/>
      <c r="N170" s="42"/>
      <c r="O170" s="42"/>
      <c r="P170" s="42"/>
      <c r="Q170" s="34"/>
      <c r="R170" s="11"/>
      <c r="S170" s="34"/>
      <c r="T170" s="34"/>
      <c r="U170" s="34"/>
      <c r="V170" s="34"/>
      <c r="W170" s="34"/>
      <c r="X170" s="34"/>
      <c r="Y170" s="34"/>
      <c r="Z170" s="13"/>
      <c r="AA170" s="13"/>
    </row>
    <row r="171" spans="1:27" s="8" customForma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41"/>
      <c r="L171" s="30"/>
      <c r="M171" s="30"/>
      <c r="N171" s="42"/>
      <c r="O171" s="42"/>
      <c r="P171" s="42"/>
      <c r="Q171" s="34"/>
      <c r="R171" s="11"/>
      <c r="S171" s="34"/>
      <c r="T171" s="34"/>
      <c r="U171" s="34"/>
      <c r="V171" s="34"/>
      <c r="W171" s="34"/>
      <c r="X171" s="34"/>
      <c r="Y171" s="34"/>
      <c r="Z171" s="13"/>
      <c r="AA171" s="13"/>
    </row>
    <row r="172" spans="1:27" s="8" customForma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41"/>
      <c r="L172" s="30"/>
      <c r="M172" s="30"/>
      <c r="N172" s="42"/>
      <c r="O172" s="42"/>
      <c r="P172" s="42"/>
      <c r="Q172" s="34"/>
      <c r="R172" s="11"/>
      <c r="S172" s="34"/>
      <c r="T172" s="34"/>
      <c r="U172" s="34"/>
      <c r="V172" s="34"/>
      <c r="W172" s="34"/>
      <c r="X172" s="34"/>
      <c r="Y172" s="34"/>
      <c r="Z172" s="13"/>
      <c r="AA172" s="13"/>
    </row>
    <row r="173" spans="1:27" s="8" customForma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41"/>
      <c r="L173" s="30"/>
      <c r="M173" s="30"/>
      <c r="N173" s="42"/>
      <c r="O173" s="42"/>
      <c r="P173" s="42"/>
      <c r="Q173" s="34"/>
      <c r="R173" s="11"/>
      <c r="S173" s="34"/>
      <c r="T173" s="34"/>
      <c r="U173" s="34"/>
      <c r="V173" s="34"/>
      <c r="W173" s="34"/>
      <c r="X173" s="34"/>
      <c r="Y173" s="34"/>
      <c r="Z173" s="13"/>
      <c r="AA173" s="13"/>
    </row>
    <row r="174" spans="1:27" s="8" customForma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41"/>
      <c r="L174" s="30"/>
      <c r="M174" s="30"/>
      <c r="N174" s="42"/>
      <c r="O174" s="42"/>
      <c r="P174" s="42"/>
      <c r="Q174" s="34"/>
      <c r="R174" s="11"/>
      <c r="S174" s="34"/>
      <c r="T174" s="34"/>
      <c r="U174" s="34"/>
      <c r="V174" s="34"/>
      <c r="W174" s="34"/>
      <c r="X174" s="34"/>
      <c r="Y174" s="34"/>
      <c r="Z174" s="13"/>
      <c r="AA174" s="13"/>
    </row>
    <row r="175" spans="1:27" s="8" customForma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41"/>
      <c r="L175" s="30"/>
      <c r="M175" s="30"/>
      <c r="N175" s="42"/>
      <c r="O175" s="42"/>
      <c r="P175" s="42"/>
      <c r="Q175" s="34"/>
      <c r="R175" s="11"/>
      <c r="S175" s="34"/>
      <c r="T175" s="34"/>
      <c r="U175" s="34"/>
      <c r="V175" s="34"/>
      <c r="W175" s="34"/>
      <c r="X175" s="34"/>
      <c r="Y175" s="34"/>
      <c r="Z175" s="13"/>
      <c r="AA175" s="13"/>
    </row>
    <row r="176" spans="1:27" s="8" customForma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41"/>
      <c r="L176" s="30"/>
      <c r="M176" s="30"/>
      <c r="N176" s="42"/>
      <c r="O176" s="42"/>
      <c r="P176" s="42"/>
      <c r="Q176" s="34"/>
      <c r="R176" s="11"/>
      <c r="S176" s="34"/>
      <c r="T176" s="34"/>
      <c r="U176" s="34"/>
      <c r="V176" s="34"/>
      <c r="W176" s="34"/>
      <c r="X176" s="34"/>
      <c r="Y176" s="34"/>
      <c r="Z176" s="13"/>
      <c r="AA176" s="13"/>
    </row>
    <row r="177" spans="1:27" s="8" customForma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41"/>
      <c r="L177" s="30"/>
      <c r="M177" s="30"/>
      <c r="N177" s="42"/>
      <c r="O177" s="42"/>
      <c r="P177" s="42"/>
      <c r="Q177" s="34"/>
      <c r="R177" s="11"/>
      <c r="S177" s="34"/>
      <c r="T177" s="34"/>
      <c r="U177" s="34"/>
      <c r="V177" s="34"/>
      <c r="W177" s="34"/>
      <c r="X177" s="34"/>
      <c r="Y177" s="34"/>
      <c r="Z177" s="13"/>
      <c r="AA177" s="13"/>
    </row>
    <row r="178" spans="1:27" s="8" customForma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41"/>
      <c r="L178" s="30"/>
      <c r="M178" s="30"/>
      <c r="N178" s="42"/>
      <c r="O178" s="42"/>
      <c r="P178" s="42"/>
      <c r="Q178" s="34"/>
      <c r="R178" s="11"/>
      <c r="S178" s="34"/>
      <c r="T178" s="34"/>
      <c r="U178" s="34"/>
      <c r="V178" s="34"/>
      <c r="W178" s="34"/>
      <c r="X178" s="34"/>
      <c r="Y178" s="34"/>
      <c r="Z178" s="13"/>
      <c r="AA178" s="13"/>
    </row>
    <row r="179" spans="1:27" s="8" customForma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41"/>
      <c r="L179" s="30"/>
      <c r="M179" s="30"/>
      <c r="N179" s="42"/>
      <c r="O179" s="42"/>
      <c r="P179" s="42"/>
      <c r="Q179" s="34"/>
      <c r="R179" s="11"/>
      <c r="S179" s="34"/>
      <c r="T179" s="34"/>
      <c r="U179" s="34"/>
      <c r="V179" s="34"/>
      <c r="W179" s="34"/>
      <c r="X179" s="34"/>
      <c r="Y179" s="34"/>
      <c r="Z179" s="13"/>
      <c r="AA179" s="13"/>
    </row>
    <row r="180" spans="1:27" s="8" customForma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41"/>
      <c r="L180" s="30"/>
      <c r="M180" s="30"/>
      <c r="N180" s="42"/>
      <c r="O180" s="42"/>
      <c r="P180" s="42"/>
      <c r="Q180" s="34"/>
      <c r="R180" s="11"/>
      <c r="S180" s="34"/>
      <c r="T180" s="34"/>
      <c r="U180" s="34"/>
      <c r="V180" s="34"/>
      <c r="W180" s="34"/>
      <c r="X180" s="34"/>
      <c r="Y180" s="34"/>
      <c r="Z180" s="13"/>
      <c r="AA180" s="13"/>
    </row>
    <row r="181" spans="1:27" s="8" customForma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41"/>
      <c r="L181" s="30"/>
      <c r="M181" s="30"/>
      <c r="N181" s="42"/>
      <c r="O181" s="42"/>
      <c r="P181" s="42"/>
      <c r="Q181" s="34"/>
      <c r="R181" s="11"/>
      <c r="S181" s="34"/>
      <c r="T181" s="34"/>
      <c r="U181" s="34"/>
      <c r="V181" s="34"/>
      <c r="W181" s="34"/>
      <c r="X181" s="34"/>
      <c r="Y181" s="34"/>
      <c r="Z181" s="13"/>
      <c r="AA181" s="13"/>
    </row>
    <row r="182" spans="1:27" s="8" customForma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41"/>
      <c r="L182" s="30"/>
      <c r="M182" s="30"/>
      <c r="N182" s="42"/>
      <c r="O182" s="42"/>
      <c r="P182" s="42"/>
      <c r="Q182" s="34"/>
      <c r="R182" s="11"/>
      <c r="S182" s="34"/>
      <c r="T182" s="34"/>
      <c r="U182" s="34"/>
      <c r="V182" s="34"/>
      <c r="W182" s="34"/>
      <c r="X182" s="34"/>
      <c r="Y182" s="34"/>
      <c r="Z182" s="13"/>
      <c r="AA182" s="13"/>
    </row>
    <row r="183" spans="1:27" s="8" customForma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41"/>
      <c r="L183" s="30"/>
      <c r="M183" s="30"/>
      <c r="N183" s="42"/>
      <c r="O183" s="42"/>
      <c r="P183" s="42"/>
      <c r="Q183" s="34"/>
      <c r="R183" s="11"/>
      <c r="S183" s="34"/>
      <c r="T183" s="34"/>
      <c r="U183" s="34"/>
      <c r="V183" s="34"/>
      <c r="W183" s="34"/>
      <c r="X183" s="34"/>
      <c r="Y183" s="34"/>
      <c r="Z183" s="13"/>
      <c r="AA183" s="13"/>
    </row>
    <row r="184" spans="1:27" s="8" customForma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41"/>
      <c r="L184" s="30"/>
      <c r="M184" s="30"/>
      <c r="N184" s="42"/>
      <c r="O184" s="42"/>
      <c r="P184" s="42"/>
      <c r="Q184" s="34"/>
      <c r="R184" s="11"/>
      <c r="S184" s="34"/>
      <c r="T184" s="34"/>
      <c r="U184" s="34"/>
      <c r="V184" s="34"/>
      <c r="W184" s="34"/>
      <c r="X184" s="34"/>
      <c r="Y184" s="34"/>
      <c r="Z184" s="13"/>
      <c r="AA184" s="13"/>
    </row>
    <row r="185" spans="1:27" s="8" customForma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41"/>
      <c r="L185" s="30"/>
      <c r="M185" s="30"/>
      <c r="N185" s="42"/>
      <c r="O185" s="42"/>
      <c r="P185" s="42"/>
      <c r="Q185" s="34"/>
      <c r="R185" s="11"/>
      <c r="S185" s="34"/>
      <c r="T185" s="34"/>
      <c r="U185" s="34"/>
      <c r="V185" s="34"/>
      <c r="W185" s="34"/>
      <c r="X185" s="34"/>
      <c r="Y185" s="34"/>
      <c r="Z185" s="13"/>
      <c r="AA185" s="13"/>
    </row>
    <row r="186" spans="1:27" s="8" customForma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41"/>
      <c r="L186" s="30"/>
      <c r="M186" s="30"/>
      <c r="N186" s="42"/>
      <c r="O186" s="42"/>
      <c r="P186" s="42"/>
      <c r="Q186" s="34"/>
      <c r="R186" s="11"/>
      <c r="S186" s="34"/>
      <c r="T186" s="34"/>
      <c r="U186" s="34"/>
      <c r="V186" s="34"/>
      <c r="W186" s="34"/>
      <c r="X186" s="34"/>
      <c r="Y186" s="34"/>
      <c r="Z186" s="13"/>
      <c r="AA186" s="13"/>
    </row>
    <row r="187" spans="1:27" s="8" customForma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41"/>
      <c r="L187" s="30"/>
      <c r="M187" s="30"/>
      <c r="N187" s="42"/>
      <c r="O187" s="42"/>
      <c r="P187" s="42"/>
      <c r="Q187" s="34"/>
      <c r="R187" s="11"/>
      <c r="S187" s="34"/>
      <c r="T187" s="34"/>
      <c r="U187" s="34"/>
      <c r="V187" s="34"/>
      <c r="W187" s="34"/>
      <c r="X187" s="34"/>
      <c r="Y187" s="34"/>
      <c r="Z187" s="13"/>
      <c r="AA187" s="13"/>
    </row>
    <row r="188" spans="1:27" s="8" customForma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41"/>
      <c r="L188" s="30"/>
      <c r="M188" s="30"/>
      <c r="N188" s="42"/>
      <c r="O188" s="42"/>
      <c r="P188" s="42"/>
      <c r="Q188" s="34"/>
      <c r="R188" s="11"/>
      <c r="S188" s="34"/>
      <c r="T188" s="34"/>
      <c r="U188" s="34"/>
      <c r="V188" s="34"/>
      <c r="W188" s="34"/>
      <c r="X188" s="34"/>
      <c r="Y188" s="34"/>
      <c r="Z188" s="13"/>
      <c r="AA188" s="13"/>
    </row>
    <row r="189" spans="1:27" s="8" customForma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41"/>
      <c r="L189" s="30"/>
      <c r="M189" s="30"/>
      <c r="N189" s="42"/>
      <c r="O189" s="42"/>
      <c r="P189" s="42"/>
      <c r="Q189" s="34"/>
      <c r="R189" s="11"/>
      <c r="S189" s="34"/>
      <c r="T189" s="34"/>
      <c r="U189" s="34"/>
      <c r="V189" s="34"/>
      <c r="W189" s="34"/>
      <c r="X189" s="34"/>
      <c r="Y189" s="34"/>
      <c r="Z189" s="13"/>
      <c r="AA189" s="13"/>
    </row>
    <row r="190" spans="1:27" s="8" customForma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41"/>
      <c r="L190" s="30"/>
      <c r="M190" s="30"/>
      <c r="N190" s="42"/>
      <c r="O190" s="42"/>
      <c r="P190" s="42"/>
      <c r="Q190" s="34"/>
      <c r="R190" s="11"/>
      <c r="S190" s="34"/>
      <c r="T190" s="34"/>
      <c r="U190" s="34"/>
      <c r="V190" s="34"/>
      <c r="W190" s="34"/>
      <c r="X190" s="34"/>
      <c r="Y190" s="34"/>
      <c r="Z190" s="13"/>
      <c r="AA190" s="13"/>
    </row>
    <row r="191" spans="1:27" s="8" customForma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41"/>
      <c r="L191" s="30"/>
      <c r="M191" s="30"/>
      <c r="N191" s="42"/>
      <c r="O191" s="42"/>
      <c r="P191" s="42"/>
      <c r="Q191" s="34"/>
      <c r="R191" s="11"/>
      <c r="S191" s="34"/>
      <c r="T191" s="34"/>
      <c r="U191" s="34"/>
      <c r="V191" s="34"/>
      <c r="W191" s="34"/>
      <c r="X191" s="34"/>
      <c r="Y191" s="34"/>
      <c r="Z191" s="13"/>
      <c r="AA191" s="13"/>
    </row>
    <row r="192" spans="1:27" s="8" customForma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41"/>
      <c r="L192" s="30"/>
      <c r="M192" s="30"/>
      <c r="N192" s="42"/>
      <c r="O192" s="42"/>
      <c r="P192" s="42"/>
      <c r="Q192" s="34"/>
      <c r="R192" s="11"/>
      <c r="S192" s="34"/>
      <c r="T192" s="34"/>
      <c r="U192" s="34"/>
      <c r="V192" s="34"/>
      <c r="W192" s="34"/>
      <c r="X192" s="34"/>
      <c r="Y192" s="34"/>
      <c r="Z192" s="13"/>
      <c r="AA192" s="13"/>
    </row>
    <row r="193" spans="1:27" s="8" customForma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41"/>
      <c r="L193" s="30"/>
      <c r="M193" s="30"/>
      <c r="N193" s="42"/>
      <c r="O193" s="42"/>
      <c r="P193" s="42"/>
      <c r="Q193" s="34"/>
      <c r="R193" s="11"/>
      <c r="S193" s="34"/>
      <c r="T193" s="34"/>
      <c r="U193" s="34"/>
      <c r="V193" s="34"/>
      <c r="W193" s="34"/>
      <c r="X193" s="34"/>
      <c r="Y193" s="34"/>
      <c r="Z193" s="13"/>
      <c r="AA193" s="13"/>
    </row>
    <row r="194" spans="1:27" s="8" customForma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41"/>
      <c r="L194" s="30"/>
      <c r="M194" s="30"/>
      <c r="N194" s="42"/>
      <c r="O194" s="42"/>
      <c r="P194" s="42"/>
      <c r="Q194" s="34"/>
      <c r="R194" s="11"/>
      <c r="S194" s="34"/>
      <c r="T194" s="34"/>
      <c r="U194" s="34"/>
      <c r="V194" s="34"/>
      <c r="W194" s="34"/>
      <c r="X194" s="34"/>
      <c r="Y194" s="34"/>
      <c r="Z194" s="13"/>
      <c r="AA194" s="13"/>
    </row>
    <row r="195" spans="1:27" s="8" customForma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41"/>
      <c r="L195" s="30"/>
      <c r="M195" s="30"/>
      <c r="N195" s="42"/>
      <c r="O195" s="42"/>
      <c r="P195" s="42"/>
      <c r="Q195" s="34"/>
      <c r="R195" s="11"/>
      <c r="S195" s="34"/>
      <c r="T195" s="34"/>
      <c r="U195" s="34"/>
      <c r="V195" s="34"/>
      <c r="W195" s="34"/>
      <c r="X195" s="34"/>
      <c r="Y195" s="34"/>
      <c r="Z195" s="13"/>
      <c r="AA195" s="13"/>
    </row>
    <row r="196" spans="1:27" s="8" customForma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41"/>
      <c r="L196" s="30"/>
      <c r="M196" s="30"/>
      <c r="N196" s="42"/>
      <c r="O196" s="42"/>
      <c r="P196" s="42"/>
      <c r="Q196" s="34"/>
      <c r="R196" s="11"/>
      <c r="S196" s="34"/>
      <c r="T196" s="34"/>
      <c r="U196" s="34"/>
      <c r="V196" s="34"/>
      <c r="W196" s="34"/>
      <c r="X196" s="34"/>
      <c r="Y196" s="34"/>
      <c r="Z196" s="13"/>
      <c r="AA196" s="13"/>
    </row>
    <row r="197" spans="1:27" s="8" customForma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41"/>
      <c r="L197" s="30"/>
      <c r="M197" s="30"/>
      <c r="N197" s="42"/>
      <c r="O197" s="42"/>
      <c r="P197" s="42"/>
      <c r="Q197" s="34"/>
      <c r="R197" s="11"/>
      <c r="S197" s="34"/>
      <c r="T197" s="34"/>
      <c r="U197" s="34"/>
      <c r="V197" s="34"/>
      <c r="W197" s="34"/>
      <c r="X197" s="34"/>
      <c r="Y197" s="34"/>
      <c r="Z197" s="13"/>
      <c r="AA197" s="13"/>
    </row>
    <row r="198" spans="1:27" s="8" customForma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41"/>
      <c r="L198" s="30"/>
      <c r="M198" s="30"/>
      <c r="N198" s="42"/>
      <c r="O198" s="42"/>
      <c r="P198" s="42"/>
      <c r="Q198" s="34"/>
      <c r="R198" s="11"/>
      <c r="S198" s="34"/>
      <c r="T198" s="34"/>
      <c r="U198" s="34"/>
      <c r="V198" s="34"/>
      <c r="W198" s="34"/>
      <c r="X198" s="34"/>
      <c r="Y198" s="34"/>
      <c r="Z198" s="13"/>
      <c r="AA198" s="13"/>
    </row>
    <row r="199" spans="1:27" s="8" customForma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41"/>
      <c r="L199" s="30"/>
      <c r="M199" s="30"/>
      <c r="N199" s="42"/>
      <c r="O199" s="42"/>
      <c r="P199" s="42"/>
      <c r="Q199" s="34"/>
      <c r="R199" s="11"/>
      <c r="S199" s="34"/>
      <c r="T199" s="34"/>
      <c r="U199" s="34"/>
      <c r="V199" s="34"/>
      <c r="W199" s="34"/>
      <c r="X199" s="34"/>
      <c r="Y199" s="34"/>
      <c r="Z199" s="13"/>
      <c r="AA199" s="13"/>
    </row>
    <row r="200" spans="1:27" s="8" customForma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41"/>
      <c r="L200" s="30"/>
      <c r="M200" s="30"/>
      <c r="N200" s="42"/>
      <c r="O200" s="42"/>
      <c r="P200" s="42"/>
      <c r="Q200" s="34"/>
      <c r="R200" s="11"/>
      <c r="S200" s="34"/>
      <c r="T200" s="34"/>
      <c r="U200" s="34"/>
      <c r="V200" s="34"/>
      <c r="W200" s="34"/>
      <c r="X200" s="34"/>
      <c r="Y200" s="34"/>
      <c r="Z200" s="13"/>
      <c r="AA200" s="13"/>
    </row>
    <row r="201" spans="1:27" s="8" customForma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41"/>
      <c r="L201" s="30"/>
      <c r="M201" s="30"/>
      <c r="N201" s="42"/>
      <c r="O201" s="42"/>
      <c r="P201" s="42"/>
      <c r="Q201" s="34"/>
      <c r="R201" s="11"/>
      <c r="S201" s="34"/>
      <c r="T201" s="34"/>
      <c r="U201" s="34"/>
      <c r="V201" s="34"/>
      <c r="W201" s="34"/>
      <c r="X201" s="34"/>
      <c r="Y201" s="34"/>
      <c r="Z201" s="13"/>
      <c r="AA201" s="13"/>
    </row>
    <row r="202" spans="1:27" s="8" customForma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41"/>
      <c r="L202" s="30"/>
      <c r="M202" s="30"/>
      <c r="N202" s="42"/>
      <c r="O202" s="42"/>
      <c r="P202" s="42"/>
      <c r="Q202" s="34"/>
      <c r="R202" s="11"/>
      <c r="S202" s="34"/>
      <c r="T202" s="34"/>
      <c r="U202" s="34"/>
      <c r="V202" s="34"/>
      <c r="W202" s="34"/>
      <c r="X202" s="34"/>
      <c r="Y202" s="34"/>
      <c r="Z202" s="13"/>
      <c r="AA202" s="13"/>
    </row>
    <row r="203" spans="1:27" s="8" customForma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41"/>
      <c r="L203" s="30"/>
      <c r="M203" s="30"/>
      <c r="N203" s="42"/>
      <c r="O203" s="42"/>
      <c r="P203" s="42"/>
      <c r="Q203" s="34"/>
      <c r="R203" s="11"/>
      <c r="S203" s="34"/>
      <c r="T203" s="34"/>
      <c r="U203" s="34"/>
      <c r="V203" s="34"/>
      <c r="W203" s="34"/>
      <c r="X203" s="34"/>
      <c r="Y203" s="34"/>
      <c r="Z203" s="13"/>
      <c r="AA203" s="13"/>
    </row>
    <row r="204" spans="1:27" s="8" customForma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41"/>
      <c r="L204" s="30"/>
      <c r="M204" s="30"/>
      <c r="N204" s="42"/>
      <c r="O204" s="42"/>
      <c r="P204" s="42"/>
      <c r="Q204" s="34"/>
      <c r="R204" s="11"/>
      <c r="S204" s="34"/>
      <c r="T204" s="34"/>
      <c r="U204" s="34"/>
      <c r="V204" s="34"/>
      <c r="W204" s="34"/>
      <c r="X204" s="34"/>
      <c r="Y204" s="34"/>
      <c r="Z204" s="13"/>
      <c r="AA204" s="13"/>
    </row>
    <row r="205" spans="1:27" s="8" customForma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41"/>
      <c r="L205" s="30"/>
      <c r="M205" s="30"/>
      <c r="N205" s="42"/>
      <c r="O205" s="42"/>
      <c r="P205" s="42"/>
      <c r="Q205" s="34"/>
      <c r="R205" s="11"/>
      <c r="S205" s="34"/>
      <c r="T205" s="34"/>
      <c r="U205" s="34"/>
      <c r="V205" s="34"/>
      <c r="W205" s="34"/>
      <c r="X205" s="34"/>
      <c r="Y205" s="34"/>
      <c r="Z205" s="13"/>
      <c r="AA205" s="13"/>
    </row>
    <row r="206" spans="1:27" s="8" customForma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41"/>
      <c r="L206" s="30"/>
      <c r="M206" s="30"/>
      <c r="N206" s="42"/>
      <c r="O206" s="42"/>
      <c r="P206" s="42"/>
      <c r="Q206" s="34"/>
      <c r="R206" s="11"/>
      <c r="S206" s="34"/>
      <c r="T206" s="34"/>
      <c r="U206" s="34"/>
      <c r="V206" s="34"/>
      <c r="W206" s="34"/>
      <c r="X206" s="34"/>
      <c r="Y206" s="34"/>
      <c r="Z206" s="13"/>
      <c r="AA206" s="13"/>
    </row>
    <row r="207" spans="1:27" s="8" customForma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41"/>
      <c r="L207" s="30"/>
      <c r="M207" s="30"/>
      <c r="N207" s="42"/>
      <c r="O207" s="42"/>
      <c r="P207" s="42"/>
      <c r="Q207" s="34"/>
      <c r="R207" s="11"/>
      <c r="S207" s="34"/>
      <c r="T207" s="34"/>
      <c r="U207" s="34"/>
      <c r="V207" s="34"/>
      <c r="W207" s="34"/>
      <c r="X207" s="34"/>
      <c r="Y207" s="34"/>
      <c r="Z207" s="13"/>
      <c r="AA207" s="13"/>
    </row>
    <row r="208" spans="1:27" s="8" customForma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41"/>
      <c r="L208" s="30"/>
      <c r="M208" s="30"/>
      <c r="N208" s="42"/>
      <c r="O208" s="42"/>
      <c r="P208" s="42"/>
      <c r="Q208" s="34"/>
      <c r="R208" s="11"/>
      <c r="S208" s="34"/>
      <c r="T208" s="34"/>
      <c r="U208" s="34"/>
      <c r="V208" s="34"/>
      <c r="W208" s="34"/>
      <c r="X208" s="34"/>
      <c r="Y208" s="34"/>
      <c r="Z208" s="13"/>
      <c r="AA208" s="13"/>
    </row>
    <row r="209" spans="1:27" s="8" customForma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41"/>
      <c r="L209" s="30"/>
      <c r="M209" s="30"/>
      <c r="N209" s="42"/>
      <c r="O209" s="42"/>
      <c r="P209" s="42"/>
      <c r="Q209" s="34"/>
      <c r="R209" s="11"/>
      <c r="S209" s="34"/>
      <c r="T209" s="34"/>
      <c r="U209" s="34"/>
      <c r="V209" s="34"/>
      <c r="W209" s="34"/>
      <c r="X209" s="34"/>
      <c r="Y209" s="34"/>
      <c r="Z209" s="13"/>
      <c r="AA209" s="13"/>
    </row>
    <row r="210" spans="1:27" s="8" customForma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41"/>
      <c r="L210" s="30"/>
      <c r="M210" s="30"/>
      <c r="N210" s="42"/>
      <c r="O210" s="42"/>
      <c r="P210" s="42"/>
      <c r="Q210" s="34"/>
      <c r="R210" s="11"/>
      <c r="S210" s="34"/>
      <c r="T210" s="34"/>
      <c r="U210" s="34"/>
      <c r="V210" s="34"/>
      <c r="W210" s="34"/>
      <c r="X210" s="34"/>
      <c r="Y210" s="34"/>
      <c r="Z210" s="13"/>
      <c r="AA210" s="13"/>
    </row>
    <row r="211" spans="1:27" s="8" customForma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41"/>
      <c r="L211" s="30"/>
      <c r="M211" s="30"/>
      <c r="N211" s="42"/>
      <c r="O211" s="42"/>
      <c r="P211" s="42"/>
      <c r="Q211" s="34"/>
      <c r="R211" s="11"/>
      <c r="S211" s="34"/>
      <c r="T211" s="34"/>
      <c r="U211" s="34"/>
      <c r="V211" s="34"/>
      <c r="W211" s="34"/>
      <c r="X211" s="34"/>
      <c r="Y211" s="34"/>
      <c r="Z211" s="13"/>
      <c r="AA211" s="13"/>
    </row>
    <row r="212" spans="1:27" s="8" customForma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41"/>
      <c r="L212" s="30"/>
      <c r="M212" s="30"/>
      <c r="N212" s="42"/>
      <c r="O212" s="42"/>
      <c r="P212" s="42"/>
      <c r="Q212" s="34"/>
      <c r="R212" s="11"/>
      <c r="S212" s="34"/>
      <c r="T212" s="34"/>
      <c r="U212" s="34"/>
      <c r="V212" s="34"/>
      <c r="W212" s="34"/>
      <c r="X212" s="34"/>
      <c r="Y212" s="34"/>
      <c r="Z212" s="13"/>
      <c r="AA212" s="13"/>
    </row>
    <row r="213" spans="1:27" s="8" customForma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41"/>
      <c r="L213" s="30"/>
      <c r="M213" s="30"/>
      <c r="N213" s="42"/>
      <c r="O213" s="42"/>
      <c r="P213" s="42"/>
      <c r="Q213" s="34"/>
      <c r="R213" s="11"/>
      <c r="S213" s="34"/>
      <c r="T213" s="34"/>
      <c r="U213" s="34"/>
      <c r="V213" s="34"/>
      <c r="W213" s="34"/>
      <c r="X213" s="34"/>
      <c r="Y213" s="34"/>
      <c r="Z213" s="13"/>
      <c r="AA213" s="13"/>
    </row>
    <row r="214" spans="1:27" s="8" customForma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41"/>
      <c r="L214" s="30"/>
      <c r="M214" s="30"/>
      <c r="N214" s="42"/>
      <c r="O214" s="42"/>
      <c r="P214" s="42"/>
      <c r="Q214" s="34"/>
      <c r="R214" s="11"/>
      <c r="S214" s="34"/>
      <c r="T214" s="34"/>
      <c r="U214" s="34"/>
      <c r="V214" s="34"/>
      <c r="W214" s="34"/>
      <c r="X214" s="34"/>
      <c r="Y214" s="34"/>
      <c r="Z214" s="13"/>
      <c r="AA214" s="13"/>
    </row>
    <row r="215" spans="1:27" s="8" customForma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41"/>
      <c r="L215" s="30"/>
      <c r="M215" s="30"/>
      <c r="N215" s="42"/>
      <c r="O215" s="42"/>
      <c r="P215" s="42"/>
      <c r="Q215" s="34"/>
      <c r="R215" s="11"/>
      <c r="S215" s="34"/>
      <c r="T215" s="34"/>
      <c r="U215" s="34"/>
      <c r="V215" s="34"/>
      <c r="W215" s="34"/>
      <c r="X215" s="34"/>
      <c r="Y215" s="34"/>
      <c r="Z215" s="13"/>
      <c r="AA215" s="13"/>
    </row>
    <row r="216" spans="1:27" s="8" customForma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41"/>
      <c r="L216" s="30"/>
      <c r="M216" s="30"/>
      <c r="N216" s="42"/>
      <c r="O216" s="42"/>
      <c r="P216" s="42"/>
      <c r="Q216" s="34"/>
      <c r="R216" s="11"/>
      <c r="S216" s="34"/>
      <c r="T216" s="34"/>
      <c r="U216" s="34"/>
      <c r="V216" s="34"/>
      <c r="W216" s="34"/>
      <c r="X216" s="34"/>
      <c r="Y216" s="34"/>
      <c r="Z216" s="13"/>
      <c r="AA216" s="13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512A-AC67-4979-ABA6-CDC7CB309D8B}">
  <dimension ref="A1:BW267"/>
  <sheetViews>
    <sheetView topLeftCell="Y75" zoomScale="140" zoomScaleNormal="140" workbookViewId="0">
      <selection activeCell="Z84" sqref="Z84"/>
    </sheetView>
  </sheetViews>
  <sheetFormatPr defaultRowHeight="13.8" x14ac:dyDescent="0.25"/>
  <cols>
    <col min="1" max="4" width="22.109375" style="3" customWidth="1"/>
    <col min="5" max="5" width="18.77734375" style="3" customWidth="1"/>
    <col min="6" max="6" width="17.33203125" style="3" customWidth="1"/>
    <col min="7" max="7" width="16.6640625" style="3" customWidth="1"/>
    <col min="8" max="8" width="20.88671875" style="3" customWidth="1"/>
    <col min="9" max="9" width="19.21875" style="3" customWidth="1"/>
    <col min="10" max="10" width="23.109375" style="3" customWidth="1"/>
    <col min="11" max="11" width="13.6640625" style="22" customWidth="1"/>
    <col min="12" max="12" width="20.88671875" style="3" customWidth="1"/>
    <col min="13" max="13" width="28.109375" style="3" customWidth="1"/>
    <col min="14" max="15" width="20.6640625" style="33" customWidth="1"/>
    <col min="16" max="16" width="36.33203125" style="33" customWidth="1"/>
    <col min="17" max="17" width="23.21875" style="19" customWidth="1"/>
    <col min="18" max="18" width="30.88671875" style="9" customWidth="1"/>
    <col min="19" max="22" width="20.6640625" style="9" customWidth="1"/>
    <col min="23" max="25" width="34.109375" style="7" customWidth="1"/>
    <col min="26" max="26" width="44.6640625" style="7" customWidth="1"/>
    <col min="27" max="27" width="45.77734375" style="7" customWidth="1"/>
    <col min="28" max="16384" width="8.88671875" style="7"/>
  </cols>
  <sheetData>
    <row r="1" spans="1:27" s="6" customFormat="1" ht="53.4" customHeight="1" x14ac:dyDescent="0.3">
      <c r="A1" s="23" t="s">
        <v>7</v>
      </c>
      <c r="B1" s="24" t="s">
        <v>6</v>
      </c>
      <c r="C1" s="23" t="s">
        <v>2</v>
      </c>
      <c r="D1" s="23" t="s">
        <v>1</v>
      </c>
      <c r="E1" s="24" t="s">
        <v>0</v>
      </c>
      <c r="F1" s="23" t="s">
        <v>3</v>
      </c>
      <c r="G1" s="24" t="s">
        <v>11</v>
      </c>
      <c r="H1" s="23" t="s">
        <v>4</v>
      </c>
      <c r="I1" s="24" t="s">
        <v>12</v>
      </c>
      <c r="J1" s="24" t="s">
        <v>8</v>
      </c>
      <c r="K1" s="21" t="s">
        <v>5</v>
      </c>
      <c r="L1" s="24" t="s">
        <v>10</v>
      </c>
      <c r="M1" s="15" t="s">
        <v>40</v>
      </c>
      <c r="N1" s="32" t="s">
        <v>9</v>
      </c>
      <c r="O1" s="32" t="s">
        <v>31</v>
      </c>
      <c r="P1" s="32" t="s">
        <v>35</v>
      </c>
      <c r="Q1" s="20" t="s">
        <v>13</v>
      </c>
      <c r="R1" s="25" t="s">
        <v>24</v>
      </c>
      <c r="S1" s="25" t="s">
        <v>25</v>
      </c>
      <c r="T1" s="25" t="s">
        <v>14</v>
      </c>
      <c r="U1" s="25" t="s">
        <v>15</v>
      </c>
      <c r="V1" s="25" t="s">
        <v>26</v>
      </c>
      <c r="W1" s="25" t="s">
        <v>34</v>
      </c>
      <c r="X1" s="25" t="s">
        <v>41</v>
      </c>
      <c r="Y1" s="25" t="s">
        <v>52</v>
      </c>
      <c r="Z1" s="44" t="s">
        <v>44</v>
      </c>
      <c r="AA1" s="44" t="s">
        <v>45</v>
      </c>
    </row>
    <row r="2" spans="1:27" x14ac:dyDescent="0.25">
      <c r="A2" s="3">
        <v>0</v>
      </c>
      <c r="B2" s="3">
        <f>(A2/60)</f>
        <v>0</v>
      </c>
      <c r="C2" s="3">
        <v>20</v>
      </c>
      <c r="D2" s="3">
        <f t="shared" ref="D2:D65" si="0">(C2*1.4573)</f>
        <v>29.146000000000001</v>
      </c>
      <c r="E2" s="3">
        <f>(D2/(1000000*60))</f>
        <v>4.8576666666666667E-7</v>
      </c>
      <c r="F2" s="3">
        <v>21.1</v>
      </c>
      <c r="G2" s="3">
        <f>(273+F2)</f>
        <v>294.10000000000002</v>
      </c>
      <c r="H2" s="3">
        <v>101.3</v>
      </c>
      <c r="I2" s="3">
        <f>(H2*1000)</f>
        <v>101300</v>
      </c>
      <c r="J2" s="3">
        <f>((I2*E2)/(8.314*G2))</f>
        <v>2.0124824921938581E-5</v>
      </c>
      <c r="K2" s="22">
        <v>18.064356435643564</v>
      </c>
      <c r="L2" s="3">
        <f>(K2/1000000)</f>
        <v>1.8064356435643565E-5</v>
      </c>
      <c r="M2" s="3">
        <f>(3.142*3.07*3.07*25.4*25.4)/(4*1000000)</f>
        <v>4.7762865441819992E-3</v>
      </c>
      <c r="N2" s="29">
        <f>(L2*J2)/M2</f>
        <v>7.6113944846473295E-8</v>
      </c>
      <c r="O2" s="29">
        <f>(2.032/1000)</f>
        <v>2.032E-3</v>
      </c>
      <c r="P2" s="29">
        <v>7.43403717661394E-11</v>
      </c>
      <c r="Q2" s="16">
        <v>0.1</v>
      </c>
      <c r="R2" s="2">
        <f>(1+Q2)*100000*1</f>
        <v>110000.00000000001</v>
      </c>
      <c r="S2" s="2">
        <f>(5.19402087617513/1000)</f>
        <v>5.1940208761751296E-3</v>
      </c>
      <c r="T2" s="2">
        <v>0.13</v>
      </c>
      <c r="U2" s="2">
        <f>(1+T2)*100000</f>
        <v>112999.99999999999</v>
      </c>
      <c r="V2" s="2">
        <f t="shared" ref="V2:V33" si="1">(L2*U2)</f>
        <v>2.0412722772277228</v>
      </c>
      <c r="W2" s="2">
        <f>(50/1000000)*100000</f>
        <v>5</v>
      </c>
      <c r="X2" s="2">
        <f t="shared" ref="X2:X33" si="2">(N2+((P2/O2)*(SQRT(V2)-SQRT(W2))))</f>
        <v>4.6577659969879051E-8</v>
      </c>
      <c r="Y2" s="2">
        <f>(SQRT(R2)-(X2*O2/P2))^2</f>
        <v>109157.1144226115</v>
      </c>
      <c r="Z2" s="2">
        <f>(X2*S2)/(Y2-V2)</f>
        <v>2.2163453448814585E-15</v>
      </c>
      <c r="AA2" s="2">
        <f>(Z2*6.022E+23)</f>
        <v>1334683166.6876144</v>
      </c>
    </row>
    <row r="3" spans="1:27" x14ac:dyDescent="0.25">
      <c r="A3" s="3">
        <v>3</v>
      </c>
      <c r="B3" s="3">
        <f t="shared" ref="B3:B66" si="3">(A3/60)</f>
        <v>0.05</v>
      </c>
      <c r="C3" s="3">
        <v>20</v>
      </c>
      <c r="D3" s="3">
        <f t="shared" si="0"/>
        <v>29.146000000000001</v>
      </c>
      <c r="E3" s="3">
        <f t="shared" ref="E3:E66" si="4">(D3/(1000000*60))</f>
        <v>4.8576666666666667E-7</v>
      </c>
      <c r="F3" s="3">
        <v>21.1</v>
      </c>
      <c r="G3" s="3">
        <f t="shared" ref="G3:G66" si="5">(273+F3)</f>
        <v>294.10000000000002</v>
      </c>
      <c r="H3" s="3">
        <v>101.3</v>
      </c>
      <c r="I3" s="3">
        <f t="shared" ref="I3:I66" si="6">(H3*1000)</f>
        <v>101300</v>
      </c>
      <c r="J3" s="3">
        <f t="shared" ref="J3:J66" si="7">((I3*E3)/(8.314*G3))</f>
        <v>2.0124824921938581E-5</v>
      </c>
      <c r="K3" s="22">
        <v>11.158415841584159</v>
      </c>
      <c r="L3" s="3">
        <f t="shared" ref="L3:L66" si="8">(K3/1000000)</f>
        <v>1.1158415841584158E-5</v>
      </c>
      <c r="M3" s="3">
        <f t="shared" ref="M3:M66" si="9">(3.142*3.07*3.07*25.4*25.4)/(4*1000000)</f>
        <v>4.7762865441819992E-3</v>
      </c>
      <c r="N3" s="29">
        <f t="shared" ref="N3:N66" si="10">(L3*J3)/M3</f>
        <v>4.7015848639065712E-8</v>
      </c>
      <c r="O3" s="29">
        <f t="shared" ref="O3:O66" si="11">(2.032/1000)</f>
        <v>2.032E-3</v>
      </c>
      <c r="P3" s="29">
        <v>7.43403717661394E-11</v>
      </c>
      <c r="Q3" s="16">
        <v>0.1</v>
      </c>
      <c r="R3" s="2">
        <f t="shared" ref="R3:R66" si="12">(1+Q3)*100000*1</f>
        <v>110000.00000000001</v>
      </c>
      <c r="S3" s="2">
        <f t="shared" ref="S3:S66" si="13">(5.19402087617513/1000)</f>
        <v>5.1940208761751296E-3</v>
      </c>
      <c r="T3" s="2">
        <v>0.13</v>
      </c>
      <c r="U3" s="2">
        <f t="shared" ref="U3:U66" si="14">(1+T3)*100000</f>
        <v>112999.99999999999</v>
      </c>
      <c r="V3" s="2">
        <f t="shared" si="1"/>
        <v>1.2609009900990096</v>
      </c>
      <c r="W3" s="2">
        <f t="shared" ref="W3:W66" si="15">(50/1000000)*100000</f>
        <v>5</v>
      </c>
      <c r="X3" s="2">
        <f t="shared" si="2"/>
        <v>6.2907332399598125E-9</v>
      </c>
      <c r="Y3" s="2">
        <f t="shared" ref="Y3:Y66" si="16">(SQRT(R3)-(X3*O3/P3))^2</f>
        <v>109885.97134843445</v>
      </c>
      <c r="Z3" s="2">
        <f t="shared" ref="Z3:Z66" si="17">(X3*S3)/(Y3-V3)</f>
        <v>2.97349828213157E-16</v>
      </c>
      <c r="AA3" s="2">
        <f t="shared" ref="AA3:AA66" si="18">(Z3*6.022E+23)</f>
        <v>179064066.54996315</v>
      </c>
    </row>
    <row r="4" spans="1:27" x14ac:dyDescent="0.25">
      <c r="A4" s="3">
        <v>6</v>
      </c>
      <c r="B4" s="3">
        <f t="shared" si="3"/>
        <v>0.1</v>
      </c>
      <c r="C4" s="3">
        <v>20</v>
      </c>
      <c r="D4" s="3">
        <f t="shared" si="0"/>
        <v>29.146000000000001</v>
      </c>
      <c r="E4" s="3">
        <f t="shared" si="4"/>
        <v>4.8576666666666667E-7</v>
      </c>
      <c r="F4" s="3">
        <v>21.1</v>
      </c>
      <c r="G4" s="3">
        <f t="shared" si="5"/>
        <v>294.10000000000002</v>
      </c>
      <c r="H4" s="3">
        <v>101.3</v>
      </c>
      <c r="I4" s="3">
        <f t="shared" si="6"/>
        <v>101300</v>
      </c>
      <c r="J4" s="3">
        <f t="shared" si="7"/>
        <v>2.0124824921938581E-5</v>
      </c>
      <c r="K4" s="22">
        <v>12.173267326732674</v>
      </c>
      <c r="L4" s="3">
        <f t="shared" si="8"/>
        <v>1.2173267326732674E-5</v>
      </c>
      <c r="M4" s="3">
        <f t="shared" si="9"/>
        <v>4.7762865441819992E-3</v>
      </c>
      <c r="N4" s="29">
        <f t="shared" si="10"/>
        <v>5.1291912956283322E-8</v>
      </c>
      <c r="O4" s="29">
        <f t="shared" si="11"/>
        <v>2.032E-3</v>
      </c>
      <c r="P4" s="29">
        <v>7.43403717661394E-11</v>
      </c>
      <c r="Q4" s="16">
        <v>0.1</v>
      </c>
      <c r="R4" s="2">
        <f t="shared" si="12"/>
        <v>110000.00000000001</v>
      </c>
      <c r="S4" s="2">
        <f t="shared" si="13"/>
        <v>5.1940208761751296E-3</v>
      </c>
      <c r="T4" s="2">
        <v>0.13</v>
      </c>
      <c r="U4" s="2">
        <f t="shared" si="14"/>
        <v>112999.99999999999</v>
      </c>
      <c r="V4" s="2">
        <f t="shared" si="1"/>
        <v>1.375579207920792</v>
      </c>
      <c r="W4" s="2">
        <f t="shared" si="15"/>
        <v>5</v>
      </c>
      <c r="X4" s="2">
        <f t="shared" si="2"/>
        <v>1.2394297983719935E-8</v>
      </c>
      <c r="Y4" s="2">
        <f t="shared" si="16"/>
        <v>109775.39191712745</v>
      </c>
      <c r="Z4" s="2">
        <f t="shared" si="17"/>
        <v>5.8644335536385944E-16</v>
      </c>
      <c r="AA4" s="2">
        <f t="shared" si="18"/>
        <v>353156188.60011619</v>
      </c>
    </row>
    <row r="5" spans="1:27" x14ac:dyDescent="0.25">
      <c r="A5" s="3">
        <v>9</v>
      </c>
      <c r="B5" s="3">
        <f t="shared" si="3"/>
        <v>0.15</v>
      </c>
      <c r="C5" s="3">
        <v>20</v>
      </c>
      <c r="D5" s="3">
        <f t="shared" si="0"/>
        <v>29.146000000000001</v>
      </c>
      <c r="E5" s="3">
        <f t="shared" si="4"/>
        <v>4.8576666666666667E-7</v>
      </c>
      <c r="F5" s="3">
        <v>21.1</v>
      </c>
      <c r="G5" s="3">
        <f t="shared" si="5"/>
        <v>294.10000000000002</v>
      </c>
      <c r="H5" s="3">
        <v>101.3</v>
      </c>
      <c r="I5" s="3">
        <f t="shared" si="6"/>
        <v>101300</v>
      </c>
      <c r="J5" s="3">
        <f t="shared" si="7"/>
        <v>2.0124824921938581E-5</v>
      </c>
      <c r="K5" s="22">
        <v>20.613861386138613</v>
      </c>
      <c r="L5" s="3">
        <f t="shared" si="8"/>
        <v>2.0613861386138613E-5</v>
      </c>
      <c r="M5" s="3">
        <f t="shared" si="9"/>
        <v>4.7762865441819992E-3</v>
      </c>
      <c r="N5" s="29">
        <f t="shared" si="10"/>
        <v>8.6856252765337024E-8</v>
      </c>
      <c r="O5" s="29">
        <f t="shared" si="11"/>
        <v>2.032E-3</v>
      </c>
      <c r="P5" s="29">
        <v>7.43403717661394E-11</v>
      </c>
      <c r="Q5" s="16">
        <v>0.1</v>
      </c>
      <c r="R5" s="2">
        <f t="shared" si="12"/>
        <v>110000.00000000001</v>
      </c>
      <c r="S5" s="2">
        <f t="shared" si="13"/>
        <v>5.1940208761751296E-3</v>
      </c>
      <c r="T5" s="2">
        <v>0.13</v>
      </c>
      <c r="U5" s="2">
        <f t="shared" si="14"/>
        <v>112999.99999999999</v>
      </c>
      <c r="V5" s="2">
        <f t="shared" si="1"/>
        <v>2.329366336633663</v>
      </c>
      <c r="W5" s="2">
        <f t="shared" si="15"/>
        <v>5</v>
      </c>
      <c r="X5" s="2">
        <f t="shared" si="2"/>
        <v>6.0886812062523883E-8</v>
      </c>
      <c r="Y5" s="2">
        <f t="shared" si="16"/>
        <v>108898.82194764751</v>
      </c>
      <c r="Z5" s="2">
        <f t="shared" si="17"/>
        <v>2.904109815110574E-15</v>
      </c>
      <c r="AA5" s="2">
        <f t="shared" si="18"/>
        <v>1748854930.6595879</v>
      </c>
    </row>
    <row r="6" spans="1:27" x14ac:dyDescent="0.25">
      <c r="A6" s="3">
        <v>12</v>
      </c>
      <c r="B6" s="3">
        <f t="shared" si="3"/>
        <v>0.2</v>
      </c>
      <c r="C6" s="3">
        <v>20</v>
      </c>
      <c r="D6" s="3">
        <f t="shared" si="0"/>
        <v>29.146000000000001</v>
      </c>
      <c r="E6" s="3">
        <f t="shared" si="4"/>
        <v>4.8576666666666667E-7</v>
      </c>
      <c r="F6" s="3">
        <v>21.1</v>
      </c>
      <c r="G6" s="3">
        <f t="shared" si="5"/>
        <v>294.10000000000002</v>
      </c>
      <c r="H6" s="3">
        <v>101.3</v>
      </c>
      <c r="I6" s="3">
        <f t="shared" si="6"/>
        <v>101300</v>
      </c>
      <c r="J6" s="3">
        <f t="shared" si="7"/>
        <v>2.0124824921938581E-5</v>
      </c>
      <c r="K6" s="22">
        <v>10.737623762376238</v>
      </c>
      <c r="L6" s="3">
        <f t="shared" si="8"/>
        <v>1.0737623762376238E-5</v>
      </c>
      <c r="M6" s="3">
        <f t="shared" si="9"/>
        <v>4.7762865441819992E-3</v>
      </c>
      <c r="N6" s="29">
        <f t="shared" si="10"/>
        <v>4.5242846361195006E-8</v>
      </c>
      <c r="O6" s="29">
        <f t="shared" si="11"/>
        <v>2.032E-3</v>
      </c>
      <c r="P6" s="29">
        <v>7.43403717661394E-11</v>
      </c>
      <c r="Q6" s="16">
        <v>0.1</v>
      </c>
      <c r="R6" s="2">
        <f t="shared" si="12"/>
        <v>110000.00000000001</v>
      </c>
      <c r="S6" s="2">
        <f t="shared" si="13"/>
        <v>5.1940208761751296E-3</v>
      </c>
      <c r="T6" s="2">
        <v>0.13</v>
      </c>
      <c r="U6" s="2">
        <f t="shared" si="14"/>
        <v>112999.99999999999</v>
      </c>
      <c r="V6" s="2">
        <f t="shared" si="1"/>
        <v>1.2133514851485148</v>
      </c>
      <c r="W6" s="2">
        <f t="shared" si="15"/>
        <v>5</v>
      </c>
      <c r="X6" s="2">
        <f t="shared" si="2"/>
        <v>3.7356889719219741E-9</v>
      </c>
      <c r="Y6" s="2">
        <f t="shared" si="16"/>
        <v>109932.27809528318</v>
      </c>
      <c r="Z6" s="2">
        <f t="shared" si="17"/>
        <v>1.7650376217387279E-16</v>
      </c>
      <c r="AA6" s="2">
        <f t="shared" si="18"/>
        <v>106290565.5811062</v>
      </c>
    </row>
    <row r="7" spans="1:27" x14ac:dyDescent="0.25">
      <c r="A7" s="3">
        <v>15</v>
      </c>
      <c r="B7" s="3">
        <f t="shared" si="3"/>
        <v>0.25</v>
      </c>
      <c r="C7" s="3">
        <v>20</v>
      </c>
      <c r="D7" s="3">
        <f t="shared" si="0"/>
        <v>29.146000000000001</v>
      </c>
      <c r="E7" s="3">
        <f t="shared" si="4"/>
        <v>4.8576666666666667E-7</v>
      </c>
      <c r="F7" s="3">
        <v>21.1</v>
      </c>
      <c r="G7" s="3">
        <f t="shared" si="5"/>
        <v>294.10000000000002</v>
      </c>
      <c r="H7" s="3">
        <v>101.3</v>
      </c>
      <c r="I7" s="3">
        <f t="shared" si="6"/>
        <v>101300</v>
      </c>
      <c r="J7" s="3">
        <f t="shared" si="7"/>
        <v>2.0124824921938581E-5</v>
      </c>
      <c r="K7" s="22">
        <v>12.891089108910892</v>
      </c>
      <c r="L7" s="3">
        <f t="shared" si="8"/>
        <v>1.2891089108910892E-5</v>
      </c>
      <c r="M7" s="3">
        <f t="shared" si="9"/>
        <v>4.7762865441819992E-3</v>
      </c>
      <c r="N7" s="29">
        <f t="shared" si="10"/>
        <v>5.4316446253827476E-8</v>
      </c>
      <c r="O7" s="29">
        <f t="shared" si="11"/>
        <v>2.032E-3</v>
      </c>
      <c r="P7" s="29">
        <v>7.43403717661394E-11</v>
      </c>
      <c r="Q7" s="16">
        <v>0.1</v>
      </c>
      <c r="R7" s="2">
        <f t="shared" si="12"/>
        <v>110000.00000000001</v>
      </c>
      <c r="S7" s="2">
        <f t="shared" si="13"/>
        <v>5.1940208761751296E-3</v>
      </c>
      <c r="T7" s="2">
        <v>0.13</v>
      </c>
      <c r="U7" s="2">
        <f t="shared" si="14"/>
        <v>112999.99999999999</v>
      </c>
      <c r="V7" s="2">
        <f t="shared" si="1"/>
        <v>1.4566930693069307</v>
      </c>
      <c r="W7" s="2">
        <f t="shared" si="15"/>
        <v>5</v>
      </c>
      <c r="X7" s="2">
        <f t="shared" si="2"/>
        <v>1.6665807418017165E-8</v>
      </c>
      <c r="Y7" s="2">
        <f t="shared" si="16"/>
        <v>109698.03728756617</v>
      </c>
      <c r="Z7" s="2">
        <f t="shared" si="17"/>
        <v>7.8910893282518662E-16</v>
      </c>
      <c r="AA7" s="2">
        <f t="shared" si="18"/>
        <v>475201399.34732741</v>
      </c>
    </row>
    <row r="8" spans="1:27" x14ac:dyDescent="0.25">
      <c r="A8" s="3">
        <v>18</v>
      </c>
      <c r="B8" s="3">
        <f t="shared" si="3"/>
        <v>0.3</v>
      </c>
      <c r="C8" s="3">
        <v>20</v>
      </c>
      <c r="D8" s="3">
        <f t="shared" si="0"/>
        <v>29.146000000000001</v>
      </c>
      <c r="E8" s="3">
        <f t="shared" si="4"/>
        <v>4.8576666666666667E-7</v>
      </c>
      <c r="F8" s="3">
        <v>21.1</v>
      </c>
      <c r="G8" s="3">
        <f t="shared" si="5"/>
        <v>294.10000000000002</v>
      </c>
      <c r="H8" s="3">
        <v>101.3</v>
      </c>
      <c r="I8" s="3">
        <f t="shared" si="6"/>
        <v>101300</v>
      </c>
      <c r="J8" s="3">
        <f t="shared" si="7"/>
        <v>2.0124824921938581E-5</v>
      </c>
      <c r="K8" s="22">
        <v>17.56930693069307</v>
      </c>
      <c r="L8" s="3">
        <f t="shared" si="8"/>
        <v>1.7569306930693071E-5</v>
      </c>
      <c r="M8" s="3">
        <f t="shared" si="9"/>
        <v>4.7762865441819992E-3</v>
      </c>
      <c r="N8" s="29">
        <f t="shared" si="10"/>
        <v>7.4028059813684223E-8</v>
      </c>
      <c r="O8" s="29">
        <f t="shared" si="11"/>
        <v>2.032E-3</v>
      </c>
      <c r="P8" s="29">
        <v>7.43403717661394E-11</v>
      </c>
      <c r="Q8" s="16">
        <v>0.1</v>
      </c>
      <c r="R8" s="2">
        <f t="shared" si="12"/>
        <v>110000.00000000001</v>
      </c>
      <c r="S8" s="2">
        <f t="shared" si="13"/>
        <v>5.1940208761751296E-3</v>
      </c>
      <c r="T8" s="2">
        <v>0.13</v>
      </c>
      <c r="U8" s="2">
        <f t="shared" si="14"/>
        <v>112999.99999999999</v>
      </c>
      <c r="V8" s="2">
        <f t="shared" si="1"/>
        <v>1.9853316831683168</v>
      </c>
      <c r="W8" s="2">
        <f t="shared" si="15"/>
        <v>5</v>
      </c>
      <c r="X8" s="2">
        <f t="shared" si="2"/>
        <v>4.3770577588188635E-8</v>
      </c>
      <c r="Y8" s="2">
        <f t="shared" si="16"/>
        <v>109207.8205658191</v>
      </c>
      <c r="Z8" s="2">
        <f t="shared" si="17"/>
        <v>2.0818053656919484E-15</v>
      </c>
      <c r="AA8" s="2">
        <f t="shared" si="18"/>
        <v>1253663191.2196913</v>
      </c>
    </row>
    <row r="9" spans="1:27" x14ac:dyDescent="0.25">
      <c r="A9" s="3">
        <v>21</v>
      </c>
      <c r="B9" s="3">
        <f t="shared" si="3"/>
        <v>0.35</v>
      </c>
      <c r="C9" s="3">
        <v>20</v>
      </c>
      <c r="D9" s="3">
        <f t="shared" si="0"/>
        <v>29.146000000000001</v>
      </c>
      <c r="E9" s="3">
        <f t="shared" si="4"/>
        <v>4.8576666666666667E-7</v>
      </c>
      <c r="F9" s="3">
        <v>21.1</v>
      </c>
      <c r="G9" s="3">
        <f t="shared" si="5"/>
        <v>294.10000000000002</v>
      </c>
      <c r="H9" s="3">
        <v>101.3</v>
      </c>
      <c r="I9" s="3">
        <f t="shared" si="6"/>
        <v>101300</v>
      </c>
      <c r="J9" s="3">
        <f t="shared" si="7"/>
        <v>2.0124824921938581E-5</v>
      </c>
      <c r="K9" s="22">
        <v>14.970297029702971</v>
      </c>
      <c r="L9" s="3">
        <f t="shared" si="8"/>
        <v>1.4970297029702972E-5</v>
      </c>
      <c r="M9" s="3">
        <f t="shared" si="9"/>
        <v>4.7762865441819992E-3</v>
      </c>
      <c r="N9" s="29">
        <f t="shared" si="10"/>
        <v>6.3077163391541587E-8</v>
      </c>
      <c r="O9" s="29">
        <f t="shared" si="11"/>
        <v>2.032E-3</v>
      </c>
      <c r="P9" s="29">
        <v>7.43403717661394E-11</v>
      </c>
      <c r="Q9" s="16">
        <v>0.1</v>
      </c>
      <c r="R9" s="2">
        <f t="shared" si="12"/>
        <v>110000.00000000001</v>
      </c>
      <c r="S9" s="2">
        <f t="shared" si="13"/>
        <v>5.1940208761751296E-3</v>
      </c>
      <c r="T9" s="2">
        <v>0.13</v>
      </c>
      <c r="U9" s="2">
        <f t="shared" si="14"/>
        <v>112999.99999999999</v>
      </c>
      <c r="V9" s="2">
        <f t="shared" si="1"/>
        <v>1.6916435643564356</v>
      </c>
      <c r="W9" s="2">
        <f t="shared" si="15"/>
        <v>5</v>
      </c>
      <c r="X9" s="2">
        <f t="shared" si="2"/>
        <v>2.8854397971789233E-8</v>
      </c>
      <c r="Y9" s="2">
        <f t="shared" si="16"/>
        <v>109477.4586727877</v>
      </c>
      <c r="Z9" s="2">
        <f t="shared" si="17"/>
        <v>1.3689819172030314E-15</v>
      </c>
      <c r="AA9" s="2">
        <f t="shared" si="18"/>
        <v>824400910.53966558</v>
      </c>
    </row>
    <row r="10" spans="1:27" x14ac:dyDescent="0.25">
      <c r="A10" s="3">
        <v>24</v>
      </c>
      <c r="B10" s="3">
        <f t="shared" si="3"/>
        <v>0.4</v>
      </c>
      <c r="C10" s="3">
        <v>20</v>
      </c>
      <c r="D10" s="3">
        <f t="shared" si="0"/>
        <v>29.146000000000001</v>
      </c>
      <c r="E10" s="3">
        <f t="shared" si="4"/>
        <v>4.8576666666666667E-7</v>
      </c>
      <c r="F10" s="3">
        <v>21.1</v>
      </c>
      <c r="G10" s="3">
        <f t="shared" si="5"/>
        <v>294.10000000000002</v>
      </c>
      <c r="H10" s="3">
        <v>101.3</v>
      </c>
      <c r="I10" s="3">
        <f t="shared" si="6"/>
        <v>101300</v>
      </c>
      <c r="J10" s="3">
        <f t="shared" si="7"/>
        <v>2.0124824921938581E-5</v>
      </c>
      <c r="K10" s="22">
        <v>18.559405940594061</v>
      </c>
      <c r="L10" s="3">
        <f t="shared" si="8"/>
        <v>1.8559405940594063E-5</v>
      </c>
      <c r="M10" s="3">
        <f t="shared" si="9"/>
        <v>4.7762865441819992E-3</v>
      </c>
      <c r="N10" s="29">
        <f t="shared" si="10"/>
        <v>7.8199829879262379E-8</v>
      </c>
      <c r="O10" s="29">
        <f t="shared" si="11"/>
        <v>2.032E-3</v>
      </c>
      <c r="P10" s="29">
        <v>7.43403717661394E-11</v>
      </c>
      <c r="Q10" s="16">
        <v>0.1</v>
      </c>
      <c r="R10" s="2">
        <f t="shared" si="12"/>
        <v>110000.00000000001</v>
      </c>
      <c r="S10" s="2">
        <f t="shared" si="13"/>
        <v>5.1940208761751296E-3</v>
      </c>
      <c r="T10" s="2">
        <v>0.13</v>
      </c>
      <c r="U10" s="2">
        <f t="shared" si="14"/>
        <v>112999.99999999999</v>
      </c>
      <c r="V10" s="2">
        <f t="shared" si="1"/>
        <v>2.097212871287129</v>
      </c>
      <c r="W10" s="2">
        <f t="shared" si="15"/>
        <v>5</v>
      </c>
      <c r="X10" s="2">
        <f t="shared" si="2"/>
        <v>4.937492609886157E-8</v>
      </c>
      <c r="Y10" s="2">
        <f t="shared" si="16"/>
        <v>109106.59730941655</v>
      </c>
      <c r="Z10" s="2">
        <f t="shared" si="17"/>
        <v>2.3505391316596272E-15</v>
      </c>
      <c r="AA10" s="2">
        <f t="shared" si="18"/>
        <v>1415494665.0854275</v>
      </c>
    </row>
    <row r="11" spans="1:27" x14ac:dyDescent="0.25">
      <c r="A11" s="3">
        <v>27</v>
      </c>
      <c r="B11" s="3">
        <f t="shared" si="3"/>
        <v>0.45</v>
      </c>
      <c r="C11" s="3">
        <v>20</v>
      </c>
      <c r="D11" s="3">
        <f t="shared" si="0"/>
        <v>29.146000000000001</v>
      </c>
      <c r="E11" s="3">
        <f t="shared" si="4"/>
        <v>4.8576666666666667E-7</v>
      </c>
      <c r="F11" s="3">
        <v>21.1</v>
      </c>
      <c r="G11" s="3">
        <f t="shared" si="5"/>
        <v>294.10000000000002</v>
      </c>
      <c r="H11" s="3">
        <v>101.3</v>
      </c>
      <c r="I11" s="3">
        <f t="shared" si="6"/>
        <v>101300</v>
      </c>
      <c r="J11" s="3">
        <f t="shared" si="7"/>
        <v>2.0124824921938581E-5</v>
      </c>
      <c r="K11" s="22">
        <v>14.574257425742575</v>
      </c>
      <c r="L11" s="3">
        <f t="shared" si="8"/>
        <v>1.4574257425742576E-5</v>
      </c>
      <c r="M11" s="3">
        <f t="shared" si="9"/>
        <v>4.7762865441819992E-3</v>
      </c>
      <c r="N11" s="29">
        <f t="shared" si="10"/>
        <v>6.1408455365310327E-8</v>
      </c>
      <c r="O11" s="29">
        <f t="shared" si="11"/>
        <v>2.032E-3</v>
      </c>
      <c r="P11" s="29">
        <v>7.43403717661394E-11</v>
      </c>
      <c r="Q11" s="16">
        <v>0.1</v>
      </c>
      <c r="R11" s="2">
        <f t="shared" si="12"/>
        <v>110000.00000000001</v>
      </c>
      <c r="S11" s="2">
        <f t="shared" si="13"/>
        <v>5.1940208761751296E-3</v>
      </c>
      <c r="T11" s="2">
        <v>0.13</v>
      </c>
      <c r="U11" s="2">
        <f t="shared" si="14"/>
        <v>112999.99999999999</v>
      </c>
      <c r="V11" s="2">
        <f t="shared" si="1"/>
        <v>1.6468910891089108</v>
      </c>
      <c r="W11" s="2">
        <f t="shared" si="15"/>
        <v>5</v>
      </c>
      <c r="X11" s="2">
        <f t="shared" si="2"/>
        <v>2.6552061159308383E-8</v>
      </c>
      <c r="Y11" s="2">
        <f t="shared" si="16"/>
        <v>109519.10737574191</v>
      </c>
      <c r="Z11" s="2">
        <f t="shared" si="17"/>
        <v>1.2592691554078979E-15</v>
      </c>
      <c r="AA11" s="2">
        <f t="shared" si="18"/>
        <v>758331885.38663614</v>
      </c>
    </row>
    <row r="12" spans="1:27" x14ac:dyDescent="0.25">
      <c r="A12" s="3">
        <v>30</v>
      </c>
      <c r="B12" s="3">
        <f t="shared" si="3"/>
        <v>0.5</v>
      </c>
      <c r="C12" s="3">
        <v>20</v>
      </c>
      <c r="D12" s="3">
        <f t="shared" si="0"/>
        <v>29.146000000000001</v>
      </c>
      <c r="E12" s="3">
        <f t="shared" si="4"/>
        <v>4.8576666666666667E-7</v>
      </c>
      <c r="F12" s="3">
        <v>21.1</v>
      </c>
      <c r="G12" s="3">
        <f t="shared" si="5"/>
        <v>294.10000000000002</v>
      </c>
      <c r="H12" s="3">
        <v>101.3</v>
      </c>
      <c r="I12" s="3">
        <f t="shared" si="6"/>
        <v>101300</v>
      </c>
      <c r="J12" s="3">
        <f t="shared" si="7"/>
        <v>2.0124824921938581E-5</v>
      </c>
      <c r="K12" s="22">
        <v>21.801980198019802</v>
      </c>
      <c r="L12" s="3">
        <f t="shared" si="8"/>
        <v>2.18019801980198E-5</v>
      </c>
      <c r="M12" s="3">
        <f t="shared" si="9"/>
        <v>4.7762865441819992E-3</v>
      </c>
      <c r="N12" s="29">
        <f t="shared" si="10"/>
        <v>9.1862376844030791E-8</v>
      </c>
      <c r="O12" s="29">
        <f t="shared" si="11"/>
        <v>2.032E-3</v>
      </c>
      <c r="P12" s="29">
        <v>7.43403717661394E-11</v>
      </c>
      <c r="Q12" s="16">
        <v>0.1</v>
      </c>
      <c r="R12" s="2">
        <f t="shared" si="12"/>
        <v>110000.00000000001</v>
      </c>
      <c r="S12" s="2">
        <f t="shared" si="13"/>
        <v>5.1940208761751296E-3</v>
      </c>
      <c r="T12" s="2">
        <v>0.13</v>
      </c>
      <c r="U12" s="2">
        <f t="shared" si="14"/>
        <v>112999.99999999999</v>
      </c>
      <c r="V12" s="2">
        <f t="shared" si="1"/>
        <v>2.4636237623762369</v>
      </c>
      <c r="W12" s="2">
        <f t="shared" si="15"/>
        <v>5</v>
      </c>
      <c r="X12" s="2">
        <f t="shared" si="2"/>
        <v>6.7479522384860013E-8</v>
      </c>
      <c r="Y12" s="2">
        <f t="shared" si="16"/>
        <v>108779.92082353805</v>
      </c>
      <c r="Z12" s="2">
        <f t="shared" si="17"/>
        <v>3.2220834813006887E-15</v>
      </c>
      <c r="AA12" s="2">
        <f t="shared" si="18"/>
        <v>1940338672.4392748</v>
      </c>
    </row>
    <row r="13" spans="1:27" x14ac:dyDescent="0.25">
      <c r="A13" s="3">
        <v>33</v>
      </c>
      <c r="B13" s="3">
        <f t="shared" si="3"/>
        <v>0.55000000000000004</v>
      </c>
      <c r="C13" s="3">
        <v>20</v>
      </c>
      <c r="D13" s="3">
        <f t="shared" si="0"/>
        <v>29.146000000000001</v>
      </c>
      <c r="E13" s="3">
        <f t="shared" si="4"/>
        <v>4.8576666666666667E-7</v>
      </c>
      <c r="F13" s="3">
        <v>21.1</v>
      </c>
      <c r="G13" s="3">
        <f t="shared" si="5"/>
        <v>294.10000000000002</v>
      </c>
      <c r="H13" s="3">
        <v>101.3</v>
      </c>
      <c r="I13" s="3">
        <f t="shared" si="6"/>
        <v>101300</v>
      </c>
      <c r="J13" s="3">
        <f t="shared" si="7"/>
        <v>2.0124824921938581E-5</v>
      </c>
      <c r="K13" s="22">
        <v>25.490099009900991</v>
      </c>
      <c r="L13" s="3">
        <f t="shared" si="8"/>
        <v>2.5490099009900991E-5</v>
      </c>
      <c r="M13" s="3">
        <f t="shared" si="9"/>
        <v>4.7762865441819992E-3</v>
      </c>
      <c r="N13" s="29">
        <f t="shared" si="10"/>
        <v>1.0740222033830941E-7</v>
      </c>
      <c r="O13" s="29">
        <f t="shared" si="11"/>
        <v>2.032E-3</v>
      </c>
      <c r="P13" s="29">
        <v>7.43403717661394E-11</v>
      </c>
      <c r="Q13" s="16">
        <v>0.1</v>
      </c>
      <c r="R13" s="2">
        <f t="shared" si="12"/>
        <v>110000.00000000001</v>
      </c>
      <c r="S13" s="2">
        <f t="shared" si="13"/>
        <v>5.1940208761751296E-3</v>
      </c>
      <c r="T13" s="2">
        <v>0.13</v>
      </c>
      <c r="U13" s="2">
        <f t="shared" si="14"/>
        <v>112999.99999999999</v>
      </c>
      <c r="V13" s="2">
        <f t="shared" si="1"/>
        <v>2.8803811881188115</v>
      </c>
      <c r="W13" s="2">
        <f t="shared" si="15"/>
        <v>5</v>
      </c>
      <c r="X13" s="2">
        <f t="shared" si="2"/>
        <v>8.7686678225784394E-8</v>
      </c>
      <c r="Y13" s="2">
        <f t="shared" si="16"/>
        <v>108415.88449312575</v>
      </c>
      <c r="Z13" s="2">
        <f t="shared" si="17"/>
        <v>4.201031426054035E-15</v>
      </c>
      <c r="AA13" s="2">
        <f t="shared" si="18"/>
        <v>2529861124.7697401</v>
      </c>
    </row>
    <row r="14" spans="1:27" x14ac:dyDescent="0.25">
      <c r="A14" s="3">
        <v>36</v>
      </c>
      <c r="B14" s="3">
        <f t="shared" si="3"/>
        <v>0.6</v>
      </c>
      <c r="C14" s="3">
        <v>20</v>
      </c>
      <c r="D14" s="3">
        <f t="shared" si="0"/>
        <v>29.146000000000001</v>
      </c>
      <c r="E14" s="3">
        <f t="shared" si="4"/>
        <v>4.8576666666666667E-7</v>
      </c>
      <c r="F14" s="3">
        <v>21.1</v>
      </c>
      <c r="G14" s="3">
        <f t="shared" si="5"/>
        <v>294.10000000000002</v>
      </c>
      <c r="H14" s="3">
        <v>101.3</v>
      </c>
      <c r="I14" s="3">
        <f t="shared" si="6"/>
        <v>101300</v>
      </c>
      <c r="J14" s="3">
        <f t="shared" si="7"/>
        <v>2.0124824921938581E-5</v>
      </c>
      <c r="K14" s="22">
        <v>27.519801980198018</v>
      </c>
      <c r="L14" s="3">
        <f t="shared" si="8"/>
        <v>2.7519801980198019E-5</v>
      </c>
      <c r="M14" s="3">
        <f t="shared" si="9"/>
        <v>4.7762865441819992E-3</v>
      </c>
      <c r="N14" s="29">
        <f t="shared" si="10"/>
        <v>1.1595434897274459E-7</v>
      </c>
      <c r="O14" s="29">
        <f t="shared" si="11"/>
        <v>2.032E-3</v>
      </c>
      <c r="P14" s="29">
        <v>7.43403717661394E-11</v>
      </c>
      <c r="Q14" s="16">
        <v>0.1</v>
      </c>
      <c r="R14" s="2">
        <f t="shared" si="12"/>
        <v>110000.00000000001</v>
      </c>
      <c r="S14" s="2">
        <f t="shared" si="13"/>
        <v>5.1940208761751296E-3</v>
      </c>
      <c r="T14" s="2">
        <v>0.13</v>
      </c>
      <c r="U14" s="2">
        <f t="shared" si="14"/>
        <v>112999.99999999999</v>
      </c>
      <c r="V14" s="2">
        <f t="shared" si="1"/>
        <v>3.1097376237623759</v>
      </c>
      <c r="W14" s="2">
        <f t="shared" si="15"/>
        <v>5</v>
      </c>
      <c r="X14" s="2">
        <f t="shared" si="2"/>
        <v>9.8663511653635753E-8</v>
      </c>
      <c r="Y14" s="2">
        <f t="shared" si="16"/>
        <v>108218.39018376384</v>
      </c>
      <c r="Z14" s="2">
        <f t="shared" si="17"/>
        <v>4.7355635648958965E-15</v>
      </c>
      <c r="AA14" s="2">
        <f t="shared" si="18"/>
        <v>2851756378.7803092</v>
      </c>
    </row>
    <row r="15" spans="1:27" x14ac:dyDescent="0.25">
      <c r="A15" s="3">
        <v>39</v>
      </c>
      <c r="B15" s="3">
        <f t="shared" si="3"/>
        <v>0.65</v>
      </c>
      <c r="C15" s="3">
        <v>20</v>
      </c>
      <c r="D15" s="3">
        <f t="shared" si="0"/>
        <v>29.146000000000001</v>
      </c>
      <c r="E15" s="3">
        <f t="shared" si="4"/>
        <v>4.8576666666666667E-7</v>
      </c>
      <c r="F15" s="3">
        <v>21.1</v>
      </c>
      <c r="G15" s="3">
        <f t="shared" si="5"/>
        <v>294.10000000000002</v>
      </c>
      <c r="H15" s="3">
        <v>101.3</v>
      </c>
      <c r="I15" s="3">
        <f t="shared" si="6"/>
        <v>101300</v>
      </c>
      <c r="J15" s="3">
        <f t="shared" si="7"/>
        <v>2.0124824921938581E-5</v>
      </c>
      <c r="K15" s="22">
        <v>32.222772277227726</v>
      </c>
      <c r="L15" s="3">
        <f t="shared" si="8"/>
        <v>3.2222772277227727E-5</v>
      </c>
      <c r="M15" s="3">
        <f t="shared" si="9"/>
        <v>4.7762865441819992E-3</v>
      </c>
      <c r="N15" s="29">
        <f t="shared" si="10"/>
        <v>1.3577025678424081E-7</v>
      </c>
      <c r="O15" s="29">
        <f t="shared" si="11"/>
        <v>2.032E-3</v>
      </c>
      <c r="P15" s="29">
        <v>7.43403717661394E-11</v>
      </c>
      <c r="Q15" s="16">
        <v>0.1</v>
      </c>
      <c r="R15" s="2">
        <f t="shared" si="12"/>
        <v>110000.00000000001</v>
      </c>
      <c r="S15" s="2">
        <f t="shared" si="13"/>
        <v>5.1940208761751296E-3</v>
      </c>
      <c r="T15" s="2">
        <v>0.13</v>
      </c>
      <c r="U15" s="2">
        <f t="shared" si="14"/>
        <v>112999.99999999999</v>
      </c>
      <c r="V15" s="2">
        <f t="shared" si="1"/>
        <v>3.6411732673267325</v>
      </c>
      <c r="W15" s="2">
        <f t="shared" si="15"/>
        <v>5</v>
      </c>
      <c r="X15" s="2">
        <f t="shared" si="2"/>
        <v>1.2377474562022832E-7</v>
      </c>
      <c r="Y15" s="2">
        <f t="shared" si="16"/>
        <v>107767.26793390467</v>
      </c>
      <c r="Z15" s="2">
        <f t="shared" si="17"/>
        <v>5.9657291798716541E-15</v>
      </c>
      <c r="AA15" s="2">
        <f t="shared" si="18"/>
        <v>3592562112.11871</v>
      </c>
    </row>
    <row r="16" spans="1:27" x14ac:dyDescent="0.25">
      <c r="A16" s="3">
        <v>42</v>
      </c>
      <c r="B16" s="3">
        <f t="shared" si="3"/>
        <v>0.7</v>
      </c>
      <c r="C16" s="3">
        <v>20</v>
      </c>
      <c r="D16" s="3">
        <f t="shared" si="0"/>
        <v>29.146000000000001</v>
      </c>
      <c r="E16" s="3">
        <f t="shared" si="4"/>
        <v>4.8576666666666667E-7</v>
      </c>
      <c r="F16" s="3">
        <v>21.1</v>
      </c>
      <c r="G16" s="3">
        <f t="shared" si="5"/>
        <v>294.10000000000002</v>
      </c>
      <c r="H16" s="3">
        <v>101.3</v>
      </c>
      <c r="I16" s="3">
        <f t="shared" si="6"/>
        <v>101300</v>
      </c>
      <c r="J16" s="3">
        <f t="shared" si="7"/>
        <v>2.0124824921938581E-5</v>
      </c>
      <c r="K16" s="22">
        <v>29.920792079207924</v>
      </c>
      <c r="L16" s="3">
        <f t="shared" si="8"/>
        <v>2.9920792079207926E-5</v>
      </c>
      <c r="M16" s="3">
        <f t="shared" si="9"/>
        <v>4.7762865441819992E-3</v>
      </c>
      <c r="N16" s="29">
        <f t="shared" si="10"/>
        <v>1.2607089138177161E-7</v>
      </c>
      <c r="O16" s="29">
        <f t="shared" si="11"/>
        <v>2.032E-3</v>
      </c>
      <c r="P16" s="29">
        <v>7.43403717661394E-11</v>
      </c>
      <c r="Q16" s="16">
        <v>0.1</v>
      </c>
      <c r="R16" s="2">
        <f t="shared" si="12"/>
        <v>110000.00000000001</v>
      </c>
      <c r="S16" s="2">
        <f t="shared" si="13"/>
        <v>5.1940208761751296E-3</v>
      </c>
      <c r="T16" s="2">
        <v>0.13</v>
      </c>
      <c r="U16" s="2">
        <f t="shared" si="14"/>
        <v>112999.99999999999</v>
      </c>
      <c r="V16" s="2">
        <f t="shared" si="1"/>
        <v>3.3810495049504952</v>
      </c>
      <c r="W16" s="2">
        <f t="shared" si="15"/>
        <v>5</v>
      </c>
      <c r="X16" s="2">
        <f t="shared" si="2"/>
        <v>1.1153555820889068E-7</v>
      </c>
      <c r="Y16" s="2">
        <f t="shared" si="16"/>
        <v>107987.02670916234</v>
      </c>
      <c r="Z16" s="2">
        <f t="shared" si="17"/>
        <v>5.3648681171472741E-15</v>
      </c>
      <c r="AA16" s="2">
        <f t="shared" si="18"/>
        <v>3230723580.1460886</v>
      </c>
    </row>
    <row r="17" spans="1:75" s="4" customFormat="1" x14ac:dyDescent="0.25">
      <c r="A17" s="3">
        <v>45</v>
      </c>
      <c r="B17" s="3">
        <f t="shared" si="3"/>
        <v>0.75</v>
      </c>
      <c r="C17" s="3">
        <v>20</v>
      </c>
      <c r="D17" s="3">
        <f t="shared" si="0"/>
        <v>29.146000000000001</v>
      </c>
      <c r="E17" s="3">
        <f t="shared" si="4"/>
        <v>4.8576666666666667E-7</v>
      </c>
      <c r="F17" s="3">
        <v>21.1</v>
      </c>
      <c r="G17" s="3">
        <f t="shared" si="5"/>
        <v>294.10000000000002</v>
      </c>
      <c r="H17" s="3">
        <v>101.3</v>
      </c>
      <c r="I17" s="3">
        <f t="shared" si="6"/>
        <v>101300</v>
      </c>
      <c r="J17" s="3">
        <f t="shared" si="7"/>
        <v>2.0124824921938581E-5</v>
      </c>
      <c r="K17" s="22">
        <v>38.138613861386141</v>
      </c>
      <c r="L17" s="3">
        <f t="shared" si="8"/>
        <v>3.8138613861386141E-5</v>
      </c>
      <c r="M17" s="3">
        <f t="shared" si="9"/>
        <v>4.7762865441819992E-3</v>
      </c>
      <c r="N17" s="29">
        <f t="shared" si="10"/>
        <v>1.6069658292607022E-7</v>
      </c>
      <c r="O17" s="29">
        <f t="shared" si="11"/>
        <v>2.032E-3</v>
      </c>
      <c r="P17" s="29">
        <v>7.43403717661394E-11</v>
      </c>
      <c r="Q17" s="16">
        <v>0.1</v>
      </c>
      <c r="R17" s="2">
        <f t="shared" si="12"/>
        <v>110000.00000000001</v>
      </c>
      <c r="S17" s="2">
        <f t="shared" si="13"/>
        <v>5.1940208761751296E-3</v>
      </c>
      <c r="T17" s="2">
        <v>0.13</v>
      </c>
      <c r="U17" s="2">
        <f t="shared" si="14"/>
        <v>112999.99999999999</v>
      </c>
      <c r="V17" s="2">
        <f t="shared" si="1"/>
        <v>4.3096633663366335</v>
      </c>
      <c r="W17" s="2">
        <f t="shared" si="15"/>
        <v>5</v>
      </c>
      <c r="X17" s="2">
        <f t="shared" si="2"/>
        <v>1.5483953093695928E-7</v>
      </c>
      <c r="Y17" s="2">
        <f t="shared" si="16"/>
        <v>107210.49420621929</v>
      </c>
      <c r="Z17" s="2">
        <f t="shared" si="17"/>
        <v>7.5018037398976452E-15</v>
      </c>
      <c r="AA17" s="2">
        <f t="shared" si="18"/>
        <v>4517586212.1663618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spans="1:75" s="4" customFormat="1" x14ac:dyDescent="0.25">
      <c r="A18" s="3">
        <v>48</v>
      </c>
      <c r="B18" s="3">
        <f t="shared" si="3"/>
        <v>0.8</v>
      </c>
      <c r="C18" s="3">
        <v>20</v>
      </c>
      <c r="D18" s="3">
        <f t="shared" si="0"/>
        <v>29.146000000000001</v>
      </c>
      <c r="E18" s="3">
        <f t="shared" si="4"/>
        <v>4.8576666666666667E-7</v>
      </c>
      <c r="F18" s="3">
        <v>21.1</v>
      </c>
      <c r="G18" s="3">
        <f t="shared" si="5"/>
        <v>294.10000000000002</v>
      </c>
      <c r="H18" s="3">
        <v>101.3</v>
      </c>
      <c r="I18" s="3">
        <f t="shared" si="6"/>
        <v>101300</v>
      </c>
      <c r="J18" s="3">
        <f t="shared" si="7"/>
        <v>2.0124824921938581E-5</v>
      </c>
      <c r="K18" s="22">
        <v>39.079207920792079</v>
      </c>
      <c r="L18" s="3">
        <f t="shared" si="8"/>
        <v>3.9079207920792078E-5</v>
      </c>
      <c r="M18" s="3">
        <f t="shared" si="9"/>
        <v>4.7762865441819992E-3</v>
      </c>
      <c r="N18" s="29">
        <f t="shared" si="10"/>
        <v>1.6465976448836946E-7</v>
      </c>
      <c r="O18" s="29">
        <f t="shared" si="11"/>
        <v>2.032E-3</v>
      </c>
      <c r="P18" s="29">
        <v>7.43403717661394E-11</v>
      </c>
      <c r="Q18" s="16">
        <v>0.1</v>
      </c>
      <c r="R18" s="2">
        <f t="shared" si="12"/>
        <v>110000.00000000001</v>
      </c>
      <c r="S18" s="2">
        <f t="shared" si="13"/>
        <v>5.1940208761751296E-3</v>
      </c>
      <c r="T18" s="2">
        <v>0.13</v>
      </c>
      <c r="U18" s="2">
        <f t="shared" si="14"/>
        <v>112999.99999999999</v>
      </c>
      <c r="V18" s="2">
        <f t="shared" si="1"/>
        <v>4.4159504950495041</v>
      </c>
      <c r="W18" s="2">
        <f t="shared" si="15"/>
        <v>5</v>
      </c>
      <c r="X18" s="2">
        <f t="shared" si="2"/>
        <v>1.597335561966528E-7</v>
      </c>
      <c r="Y18" s="2">
        <f t="shared" si="16"/>
        <v>107122.91014054682</v>
      </c>
      <c r="Z18" s="2">
        <f t="shared" si="17"/>
        <v>7.7452491447378784E-15</v>
      </c>
      <c r="AA18" s="2">
        <f t="shared" si="18"/>
        <v>4664189034.9611502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 spans="1:75" s="4" customFormat="1" x14ac:dyDescent="0.25">
      <c r="A19" s="3">
        <v>51</v>
      </c>
      <c r="B19" s="3">
        <f t="shared" si="3"/>
        <v>0.85</v>
      </c>
      <c r="C19" s="3">
        <v>20</v>
      </c>
      <c r="D19" s="3">
        <f t="shared" si="0"/>
        <v>29.146000000000001</v>
      </c>
      <c r="E19" s="3">
        <f t="shared" si="4"/>
        <v>4.8576666666666667E-7</v>
      </c>
      <c r="F19" s="3">
        <v>21.1</v>
      </c>
      <c r="G19" s="3">
        <f t="shared" si="5"/>
        <v>294.10000000000002</v>
      </c>
      <c r="H19" s="3">
        <v>101.3</v>
      </c>
      <c r="I19" s="3">
        <f t="shared" si="6"/>
        <v>101300</v>
      </c>
      <c r="J19" s="3">
        <f t="shared" si="7"/>
        <v>2.0124824921938581E-5</v>
      </c>
      <c r="K19" s="22">
        <v>34.128712871287128</v>
      </c>
      <c r="L19" s="3">
        <f t="shared" si="8"/>
        <v>3.4128712871287129E-5</v>
      </c>
      <c r="M19" s="3">
        <f t="shared" si="9"/>
        <v>4.7762865441819992E-3</v>
      </c>
      <c r="N19" s="29">
        <f t="shared" si="10"/>
        <v>1.4380091416047874E-7</v>
      </c>
      <c r="O19" s="29">
        <f t="shared" si="11"/>
        <v>2.032E-3</v>
      </c>
      <c r="P19" s="29">
        <v>7.43403717661394E-11</v>
      </c>
      <c r="Q19" s="16">
        <v>0.1</v>
      </c>
      <c r="R19" s="2">
        <f t="shared" si="12"/>
        <v>110000.00000000001</v>
      </c>
      <c r="S19" s="2">
        <f t="shared" si="13"/>
        <v>5.1940208761751296E-3</v>
      </c>
      <c r="T19" s="2">
        <v>0.13</v>
      </c>
      <c r="U19" s="2">
        <f t="shared" si="14"/>
        <v>112999.99999999999</v>
      </c>
      <c r="V19" s="2">
        <f t="shared" si="1"/>
        <v>3.8565445544554451</v>
      </c>
      <c r="W19" s="2">
        <f t="shared" si="15"/>
        <v>5</v>
      </c>
      <c r="X19" s="2">
        <f t="shared" si="2"/>
        <v>1.3384035463235671E-7</v>
      </c>
      <c r="Y19" s="2">
        <f t="shared" si="16"/>
        <v>107586.7042383831</v>
      </c>
      <c r="Z19" s="2">
        <f t="shared" si="17"/>
        <v>6.4617140272540027E-15</v>
      </c>
      <c r="AA19" s="2">
        <f t="shared" si="18"/>
        <v>3891244187.2123604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 spans="1:75" s="4" customFormat="1" x14ac:dyDescent="0.25">
      <c r="A20" s="3">
        <v>54</v>
      </c>
      <c r="B20" s="3">
        <f t="shared" si="3"/>
        <v>0.9</v>
      </c>
      <c r="C20" s="3">
        <v>20</v>
      </c>
      <c r="D20" s="3">
        <f t="shared" si="0"/>
        <v>29.146000000000001</v>
      </c>
      <c r="E20" s="3">
        <f t="shared" si="4"/>
        <v>4.8576666666666667E-7</v>
      </c>
      <c r="F20" s="3">
        <v>21.1</v>
      </c>
      <c r="G20" s="3">
        <f t="shared" si="5"/>
        <v>294.10000000000002</v>
      </c>
      <c r="H20" s="3">
        <v>101.3</v>
      </c>
      <c r="I20" s="3">
        <f t="shared" si="6"/>
        <v>101300</v>
      </c>
      <c r="J20" s="3">
        <f t="shared" si="7"/>
        <v>2.0124824921938581E-5</v>
      </c>
      <c r="K20" s="22">
        <v>36.257425742574263</v>
      </c>
      <c r="L20" s="3">
        <f t="shared" si="8"/>
        <v>3.625742574257426E-5</v>
      </c>
      <c r="M20" s="3">
        <f t="shared" si="9"/>
        <v>4.7762865441819992E-3</v>
      </c>
      <c r="N20" s="29">
        <f t="shared" si="10"/>
        <v>1.5277021980147174E-7</v>
      </c>
      <c r="O20" s="29">
        <f t="shared" si="11"/>
        <v>2.032E-3</v>
      </c>
      <c r="P20" s="29">
        <v>7.43403717661394E-11</v>
      </c>
      <c r="Q20" s="16">
        <v>0.1</v>
      </c>
      <c r="R20" s="2">
        <f t="shared" si="12"/>
        <v>110000.00000000001</v>
      </c>
      <c r="S20" s="2">
        <f t="shared" si="13"/>
        <v>5.1940208761751296E-3</v>
      </c>
      <c r="T20" s="2">
        <v>0.13</v>
      </c>
      <c r="U20" s="2">
        <f t="shared" si="14"/>
        <v>112999.99999999999</v>
      </c>
      <c r="V20" s="2">
        <f t="shared" si="1"/>
        <v>4.0970891089108905</v>
      </c>
      <c r="W20" s="2">
        <f t="shared" si="15"/>
        <v>5</v>
      </c>
      <c r="X20" s="2">
        <f t="shared" si="2"/>
        <v>1.4501638639474216E-7</v>
      </c>
      <c r="Y20" s="2">
        <f t="shared" si="16"/>
        <v>107386.39839661826</v>
      </c>
      <c r="Z20" s="2">
        <f t="shared" si="17"/>
        <v>7.0143601799405331E-15</v>
      </c>
      <c r="AA20" s="2">
        <f t="shared" si="18"/>
        <v>4224047700.3601894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 spans="1:75" s="4" customFormat="1" x14ac:dyDescent="0.25">
      <c r="A21" s="3">
        <v>57</v>
      </c>
      <c r="B21" s="3">
        <f t="shared" si="3"/>
        <v>0.95</v>
      </c>
      <c r="C21" s="3">
        <v>20</v>
      </c>
      <c r="D21" s="3">
        <f t="shared" si="0"/>
        <v>29.146000000000001</v>
      </c>
      <c r="E21" s="3">
        <f t="shared" si="4"/>
        <v>4.8576666666666667E-7</v>
      </c>
      <c r="F21" s="3">
        <v>21.1</v>
      </c>
      <c r="G21" s="3">
        <f t="shared" si="5"/>
        <v>294.10000000000002</v>
      </c>
      <c r="H21" s="3">
        <v>101.3</v>
      </c>
      <c r="I21" s="3">
        <f t="shared" si="6"/>
        <v>101300</v>
      </c>
      <c r="J21" s="3">
        <f t="shared" si="7"/>
        <v>2.0124824921938581E-5</v>
      </c>
      <c r="K21" s="22">
        <v>40.811881188118818</v>
      </c>
      <c r="L21" s="3">
        <f t="shared" si="8"/>
        <v>4.0811881188118817E-5</v>
      </c>
      <c r="M21" s="3">
        <f t="shared" si="9"/>
        <v>4.7762865441819992E-3</v>
      </c>
      <c r="N21" s="29">
        <f t="shared" si="10"/>
        <v>1.7196036210313124E-7</v>
      </c>
      <c r="O21" s="29">
        <f t="shared" si="11"/>
        <v>2.032E-3</v>
      </c>
      <c r="P21" s="29">
        <v>7.43403717661394E-11</v>
      </c>
      <c r="Q21" s="16">
        <v>0.1</v>
      </c>
      <c r="R21" s="2">
        <f t="shared" si="12"/>
        <v>110000.00000000001</v>
      </c>
      <c r="S21" s="2">
        <f t="shared" si="13"/>
        <v>5.1940208761751296E-3</v>
      </c>
      <c r="T21" s="2">
        <v>0.13</v>
      </c>
      <c r="U21" s="2">
        <f t="shared" si="14"/>
        <v>112999.99999999999</v>
      </c>
      <c r="V21" s="2">
        <f t="shared" si="1"/>
        <v>4.6117425742574261</v>
      </c>
      <c r="W21" s="2">
        <f t="shared" si="15"/>
        <v>5</v>
      </c>
      <c r="X21" s="2">
        <f t="shared" si="2"/>
        <v>1.687200013345116E-7</v>
      </c>
      <c r="Y21" s="2">
        <f t="shared" si="16"/>
        <v>106962.18083013847</v>
      </c>
      <c r="Z21" s="2">
        <f t="shared" si="17"/>
        <v>8.1932977407359477E-15</v>
      </c>
      <c r="AA21" s="2">
        <f t="shared" si="18"/>
        <v>4934003899.4711876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 spans="1:75" s="4" customFormat="1" x14ac:dyDescent="0.25">
      <c r="A22" s="3">
        <v>60</v>
      </c>
      <c r="B22" s="3">
        <f t="shared" si="3"/>
        <v>1</v>
      </c>
      <c r="C22" s="3">
        <v>20</v>
      </c>
      <c r="D22" s="3">
        <f t="shared" si="0"/>
        <v>29.146000000000001</v>
      </c>
      <c r="E22" s="3">
        <f t="shared" si="4"/>
        <v>4.8576666666666667E-7</v>
      </c>
      <c r="F22" s="3">
        <v>21.1</v>
      </c>
      <c r="G22" s="3">
        <f t="shared" si="5"/>
        <v>294.10000000000002</v>
      </c>
      <c r="H22" s="3">
        <v>101.3</v>
      </c>
      <c r="I22" s="3">
        <f t="shared" si="6"/>
        <v>101300</v>
      </c>
      <c r="J22" s="3">
        <f t="shared" si="7"/>
        <v>2.0124824921938581E-5</v>
      </c>
      <c r="K22" s="22">
        <v>44.32673267326733</v>
      </c>
      <c r="L22" s="3">
        <f t="shared" si="8"/>
        <v>4.4326732673267328E-5</v>
      </c>
      <c r="M22" s="3">
        <f t="shared" si="9"/>
        <v>4.7762865441819992E-3</v>
      </c>
      <c r="N22" s="29">
        <f t="shared" si="10"/>
        <v>1.8677014583593363E-7</v>
      </c>
      <c r="O22" s="29">
        <f t="shared" si="11"/>
        <v>2.032E-3</v>
      </c>
      <c r="P22" s="29">
        <v>7.43403717661394E-11</v>
      </c>
      <c r="Q22" s="16">
        <v>0.1</v>
      </c>
      <c r="R22" s="2">
        <f t="shared" si="12"/>
        <v>110000.00000000001</v>
      </c>
      <c r="S22" s="2">
        <f t="shared" si="13"/>
        <v>5.1940208761751296E-3</v>
      </c>
      <c r="T22" s="2">
        <v>0.13</v>
      </c>
      <c r="U22" s="2">
        <f t="shared" si="14"/>
        <v>112999.99999999999</v>
      </c>
      <c r="V22" s="2">
        <f t="shared" si="1"/>
        <v>5.0089207920792074</v>
      </c>
      <c r="W22" s="2">
        <f t="shared" si="15"/>
        <v>5</v>
      </c>
      <c r="X22" s="2">
        <f t="shared" si="2"/>
        <v>1.8684309089181127E-7</v>
      </c>
      <c r="Y22" s="2">
        <f t="shared" si="16"/>
        <v>106638.40285537165</v>
      </c>
      <c r="Z22" s="2">
        <f t="shared" si="17"/>
        <v>9.100966206295039E-15</v>
      </c>
      <c r="AA22" s="2">
        <f t="shared" si="18"/>
        <v>5480601849.4308729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 spans="1:75" s="4" customFormat="1" x14ac:dyDescent="0.25">
      <c r="A23" s="3">
        <v>63</v>
      </c>
      <c r="B23" s="3">
        <f t="shared" si="3"/>
        <v>1.05</v>
      </c>
      <c r="C23" s="3">
        <v>20</v>
      </c>
      <c r="D23" s="3">
        <f t="shared" si="0"/>
        <v>29.146000000000001</v>
      </c>
      <c r="E23" s="3">
        <f t="shared" si="4"/>
        <v>4.8576666666666667E-7</v>
      </c>
      <c r="F23" s="3">
        <v>21.1</v>
      </c>
      <c r="G23" s="3">
        <f t="shared" si="5"/>
        <v>294.10000000000002</v>
      </c>
      <c r="H23" s="3">
        <v>101.3</v>
      </c>
      <c r="I23" s="3">
        <f t="shared" si="6"/>
        <v>101300</v>
      </c>
      <c r="J23" s="3">
        <f t="shared" si="7"/>
        <v>2.0124824921938581E-5</v>
      </c>
      <c r="K23" s="22">
        <v>42.594059405940591</v>
      </c>
      <c r="L23" s="3">
        <f t="shared" si="8"/>
        <v>4.2594059405940588E-5</v>
      </c>
      <c r="M23" s="3">
        <f t="shared" si="9"/>
        <v>4.7762865441819992E-3</v>
      </c>
      <c r="N23" s="29">
        <f t="shared" si="10"/>
        <v>1.7946954822117185E-7</v>
      </c>
      <c r="O23" s="29">
        <f t="shared" si="11"/>
        <v>2.032E-3</v>
      </c>
      <c r="P23" s="29">
        <v>7.43403717661394E-11</v>
      </c>
      <c r="Q23" s="16">
        <v>0.1</v>
      </c>
      <c r="R23" s="2">
        <f t="shared" si="12"/>
        <v>110000.00000000001</v>
      </c>
      <c r="S23" s="2">
        <f t="shared" si="13"/>
        <v>5.1940208761751296E-3</v>
      </c>
      <c r="T23" s="2">
        <v>0.13</v>
      </c>
      <c r="U23" s="2">
        <f t="shared" si="14"/>
        <v>112999.99999999999</v>
      </c>
      <c r="V23" s="2">
        <f t="shared" si="1"/>
        <v>4.8131287128712854</v>
      </c>
      <c r="W23" s="2">
        <f t="shared" si="15"/>
        <v>5</v>
      </c>
      <c r="X23" s="2">
        <f t="shared" si="2"/>
        <v>1.7792626886989743E-7</v>
      </c>
      <c r="Y23" s="2">
        <f t="shared" si="16"/>
        <v>106797.64496635986</v>
      </c>
      <c r="Z23" s="2">
        <f t="shared" si="17"/>
        <v>8.6536964984236966E-15</v>
      </c>
      <c r="AA23" s="2">
        <f t="shared" si="18"/>
        <v>5211256031.35075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 spans="1:75" s="4" customFormat="1" x14ac:dyDescent="0.25">
      <c r="A24" s="3">
        <v>66</v>
      </c>
      <c r="B24" s="3">
        <f t="shared" si="3"/>
        <v>1.1000000000000001</v>
      </c>
      <c r="C24" s="3">
        <v>20</v>
      </c>
      <c r="D24" s="3">
        <f t="shared" si="0"/>
        <v>29.146000000000001</v>
      </c>
      <c r="E24" s="3">
        <f t="shared" si="4"/>
        <v>4.8576666666666667E-7</v>
      </c>
      <c r="F24" s="3">
        <v>21.1</v>
      </c>
      <c r="G24" s="3">
        <f t="shared" si="5"/>
        <v>294.10000000000002</v>
      </c>
      <c r="H24" s="3">
        <v>101.3</v>
      </c>
      <c r="I24" s="3">
        <f t="shared" si="6"/>
        <v>101300</v>
      </c>
      <c r="J24" s="3">
        <f t="shared" si="7"/>
        <v>2.0124824921938581E-5</v>
      </c>
      <c r="K24" s="22">
        <v>40.811881188118818</v>
      </c>
      <c r="L24" s="3">
        <f t="shared" si="8"/>
        <v>4.0811881188118817E-5</v>
      </c>
      <c r="M24" s="3">
        <f t="shared" si="9"/>
        <v>4.7762865441819992E-3</v>
      </c>
      <c r="N24" s="29">
        <f t="shared" si="10"/>
        <v>1.7196036210313124E-7</v>
      </c>
      <c r="O24" s="29">
        <f t="shared" si="11"/>
        <v>2.032E-3</v>
      </c>
      <c r="P24" s="29">
        <v>7.43403717661394E-11</v>
      </c>
      <c r="Q24" s="16">
        <v>0.1</v>
      </c>
      <c r="R24" s="2">
        <f t="shared" si="12"/>
        <v>110000.00000000001</v>
      </c>
      <c r="S24" s="2">
        <f t="shared" si="13"/>
        <v>5.1940208761751296E-3</v>
      </c>
      <c r="T24" s="2">
        <v>0.13</v>
      </c>
      <c r="U24" s="2">
        <f t="shared" si="14"/>
        <v>112999.99999999999</v>
      </c>
      <c r="V24" s="2">
        <f t="shared" si="1"/>
        <v>4.6117425742574261</v>
      </c>
      <c r="W24" s="2">
        <f t="shared" si="15"/>
        <v>5</v>
      </c>
      <c r="X24" s="2">
        <f t="shared" si="2"/>
        <v>1.687200013345116E-7</v>
      </c>
      <c r="Y24" s="2">
        <f t="shared" si="16"/>
        <v>106962.18083013847</v>
      </c>
      <c r="Z24" s="2">
        <f t="shared" si="17"/>
        <v>8.1932977407359477E-15</v>
      </c>
      <c r="AA24" s="2">
        <f t="shared" si="18"/>
        <v>4934003899.4711876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 spans="1:75" s="4" customFormat="1" x14ac:dyDescent="0.25">
      <c r="A25" s="3">
        <v>69</v>
      </c>
      <c r="B25" s="3">
        <f t="shared" si="3"/>
        <v>1.1499999999999999</v>
      </c>
      <c r="C25" s="3">
        <v>20</v>
      </c>
      <c r="D25" s="3">
        <f t="shared" si="0"/>
        <v>29.146000000000001</v>
      </c>
      <c r="E25" s="3">
        <f t="shared" si="4"/>
        <v>4.8576666666666667E-7</v>
      </c>
      <c r="F25" s="3">
        <v>21.1</v>
      </c>
      <c r="G25" s="3">
        <f t="shared" si="5"/>
        <v>294.10000000000002</v>
      </c>
      <c r="H25" s="3">
        <v>101.3</v>
      </c>
      <c r="I25" s="3">
        <f t="shared" si="6"/>
        <v>101300</v>
      </c>
      <c r="J25" s="3">
        <f t="shared" si="7"/>
        <v>2.0124824921938581E-5</v>
      </c>
      <c r="K25" s="22">
        <v>45.242574257425744</v>
      </c>
      <c r="L25" s="3">
        <f t="shared" si="8"/>
        <v>4.5242574257425742E-5</v>
      </c>
      <c r="M25" s="3">
        <f t="shared" si="9"/>
        <v>4.7762865441819992E-3</v>
      </c>
      <c r="N25" s="29">
        <f t="shared" si="10"/>
        <v>1.9062903314659342E-7</v>
      </c>
      <c r="O25" s="29">
        <f t="shared" si="11"/>
        <v>2.032E-3</v>
      </c>
      <c r="P25" s="29">
        <v>7.43403717661394E-11</v>
      </c>
      <c r="Q25" s="16">
        <v>0.1</v>
      </c>
      <c r="R25" s="2">
        <f t="shared" si="12"/>
        <v>110000.00000000001</v>
      </c>
      <c r="S25" s="2">
        <f t="shared" si="13"/>
        <v>5.1940208761751296E-3</v>
      </c>
      <c r="T25" s="2">
        <v>0.13</v>
      </c>
      <c r="U25" s="2">
        <f t="shared" si="14"/>
        <v>112999.99999999999</v>
      </c>
      <c r="V25" s="2">
        <f t="shared" si="1"/>
        <v>5.112410891089108</v>
      </c>
      <c r="W25" s="2">
        <f t="shared" si="15"/>
        <v>5</v>
      </c>
      <c r="X25" s="2">
        <f t="shared" si="2"/>
        <v>1.9154351222121225E-7</v>
      </c>
      <c r="Y25" s="2">
        <f t="shared" si="16"/>
        <v>106554.50765182762</v>
      </c>
      <c r="Z25" s="2">
        <f t="shared" si="17"/>
        <v>9.3372749692590161E-15</v>
      </c>
      <c r="AA25" s="2">
        <f t="shared" si="18"/>
        <v>5622906986.4877796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 spans="1:75" s="4" customFormat="1" x14ac:dyDescent="0.25">
      <c r="A26" s="3">
        <v>72</v>
      </c>
      <c r="B26" s="3">
        <f t="shared" si="3"/>
        <v>1.2</v>
      </c>
      <c r="C26" s="3">
        <v>20</v>
      </c>
      <c r="D26" s="3">
        <f t="shared" si="0"/>
        <v>29.146000000000001</v>
      </c>
      <c r="E26" s="3">
        <f t="shared" si="4"/>
        <v>4.8576666666666667E-7</v>
      </c>
      <c r="F26" s="3">
        <v>21.1</v>
      </c>
      <c r="G26" s="3">
        <f t="shared" si="5"/>
        <v>294.10000000000002</v>
      </c>
      <c r="H26" s="3">
        <v>101.3</v>
      </c>
      <c r="I26" s="3">
        <f t="shared" si="6"/>
        <v>101300</v>
      </c>
      <c r="J26" s="3">
        <f t="shared" si="7"/>
        <v>2.0124824921938581E-5</v>
      </c>
      <c r="K26" s="22">
        <v>48.806930693069312</v>
      </c>
      <c r="L26" s="3">
        <f t="shared" si="8"/>
        <v>4.8806930693069311E-5</v>
      </c>
      <c r="M26" s="3">
        <f t="shared" si="9"/>
        <v>4.7762865441819992E-3</v>
      </c>
      <c r="N26" s="29">
        <f t="shared" si="10"/>
        <v>2.0564740538267474E-7</v>
      </c>
      <c r="O26" s="29">
        <f t="shared" si="11"/>
        <v>2.032E-3</v>
      </c>
      <c r="P26" s="29">
        <v>7.43403717661394E-11</v>
      </c>
      <c r="Q26" s="16">
        <v>0.1</v>
      </c>
      <c r="R26" s="2">
        <f t="shared" si="12"/>
        <v>110000.00000000001</v>
      </c>
      <c r="S26" s="2">
        <f t="shared" si="13"/>
        <v>5.1940208761751296E-3</v>
      </c>
      <c r="T26" s="2">
        <v>0.13</v>
      </c>
      <c r="U26" s="2">
        <f t="shared" si="14"/>
        <v>112999.99999999999</v>
      </c>
      <c r="V26" s="2">
        <f t="shared" si="1"/>
        <v>5.5151831683168311</v>
      </c>
      <c r="W26" s="2">
        <f t="shared" si="15"/>
        <v>5</v>
      </c>
      <c r="X26" s="2">
        <f t="shared" si="2"/>
        <v>2.0975861576100063E-7</v>
      </c>
      <c r="Y26" s="2">
        <f t="shared" si="16"/>
        <v>106229.70826905384</v>
      </c>
      <c r="Z26" s="2">
        <f t="shared" si="17"/>
        <v>1.0256520643459709E-14</v>
      </c>
      <c r="AA26" s="2">
        <f t="shared" si="18"/>
        <v>6176476731.491437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 spans="1:75" s="4" customFormat="1" x14ac:dyDescent="0.25">
      <c r="A27" s="3">
        <v>75</v>
      </c>
      <c r="B27" s="3">
        <f t="shared" si="3"/>
        <v>1.25</v>
      </c>
      <c r="C27" s="3">
        <v>20</v>
      </c>
      <c r="D27" s="3">
        <f t="shared" si="0"/>
        <v>29.146000000000001</v>
      </c>
      <c r="E27" s="3">
        <f t="shared" si="4"/>
        <v>4.8576666666666667E-7</v>
      </c>
      <c r="F27" s="3">
        <v>21.1</v>
      </c>
      <c r="G27" s="3">
        <f t="shared" si="5"/>
        <v>294.10000000000002</v>
      </c>
      <c r="H27" s="3">
        <v>101.3</v>
      </c>
      <c r="I27" s="3">
        <f t="shared" si="6"/>
        <v>101300</v>
      </c>
      <c r="J27" s="3">
        <f t="shared" si="7"/>
        <v>2.0124824921938581E-5</v>
      </c>
      <c r="K27" s="22">
        <v>51.702970297029708</v>
      </c>
      <c r="L27" s="3">
        <f t="shared" si="8"/>
        <v>5.1702970297029708E-5</v>
      </c>
      <c r="M27" s="3">
        <f t="shared" si="9"/>
        <v>4.7762865441819992E-3</v>
      </c>
      <c r="N27" s="29">
        <f t="shared" si="10"/>
        <v>2.1784983282449087E-7</v>
      </c>
      <c r="O27" s="29">
        <f t="shared" si="11"/>
        <v>2.032E-3</v>
      </c>
      <c r="P27" s="29">
        <v>7.43403717661394E-11</v>
      </c>
      <c r="Q27" s="16">
        <v>0.1</v>
      </c>
      <c r="R27" s="2">
        <f t="shared" si="12"/>
        <v>110000.00000000001</v>
      </c>
      <c r="S27" s="2">
        <f t="shared" si="13"/>
        <v>5.1940208761751296E-3</v>
      </c>
      <c r="T27" s="2">
        <v>0.13</v>
      </c>
      <c r="U27" s="2">
        <f t="shared" si="14"/>
        <v>112999.99999999999</v>
      </c>
      <c r="V27" s="2">
        <f t="shared" si="1"/>
        <v>5.8424356435643565</v>
      </c>
      <c r="W27" s="2">
        <f t="shared" si="15"/>
        <v>5</v>
      </c>
      <c r="X27" s="2">
        <f t="shared" si="2"/>
        <v>2.244733368884382E-7</v>
      </c>
      <c r="Y27" s="2">
        <f t="shared" si="16"/>
        <v>105967.68735910885</v>
      </c>
      <c r="Z27" s="2">
        <f t="shared" si="17"/>
        <v>1.1003198356779908E-14</v>
      </c>
      <c r="AA27" s="2">
        <f t="shared" si="18"/>
        <v>6626126050.4528608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 spans="1:75" s="4" customFormat="1" x14ac:dyDescent="0.25">
      <c r="A28" s="3">
        <v>78</v>
      </c>
      <c r="B28" s="3">
        <f t="shared" si="3"/>
        <v>1.3</v>
      </c>
      <c r="C28" s="3">
        <v>20</v>
      </c>
      <c r="D28" s="3">
        <f t="shared" si="0"/>
        <v>29.146000000000001</v>
      </c>
      <c r="E28" s="3">
        <f t="shared" si="4"/>
        <v>4.8576666666666667E-7</v>
      </c>
      <c r="F28" s="3">
        <v>21.1</v>
      </c>
      <c r="G28" s="3">
        <f t="shared" si="5"/>
        <v>294.10000000000002</v>
      </c>
      <c r="H28" s="3">
        <v>101.3</v>
      </c>
      <c r="I28" s="3">
        <f t="shared" si="6"/>
        <v>101300</v>
      </c>
      <c r="J28" s="3">
        <f t="shared" si="7"/>
        <v>2.0124824921938581E-5</v>
      </c>
      <c r="K28" s="22">
        <v>49.821782178217823</v>
      </c>
      <c r="L28" s="3">
        <f t="shared" si="8"/>
        <v>4.9821782178217821E-5</v>
      </c>
      <c r="M28" s="3">
        <f t="shared" si="9"/>
        <v>4.7762865441819992E-3</v>
      </c>
      <c r="N28" s="29">
        <f t="shared" si="10"/>
        <v>2.0992346969989234E-7</v>
      </c>
      <c r="O28" s="29">
        <f t="shared" si="11"/>
        <v>2.032E-3</v>
      </c>
      <c r="P28" s="29">
        <v>7.43403717661394E-11</v>
      </c>
      <c r="Q28" s="16">
        <v>0.1</v>
      </c>
      <c r="R28" s="2">
        <f t="shared" si="12"/>
        <v>110000.00000000001</v>
      </c>
      <c r="S28" s="2">
        <f t="shared" si="13"/>
        <v>5.1940208761751296E-3</v>
      </c>
      <c r="T28" s="2">
        <v>0.13</v>
      </c>
      <c r="U28" s="2">
        <f t="shared" si="14"/>
        <v>112999.99999999999</v>
      </c>
      <c r="V28" s="2">
        <f t="shared" si="1"/>
        <v>5.6298613861386126</v>
      </c>
      <c r="W28" s="2">
        <f t="shared" si="15"/>
        <v>5</v>
      </c>
      <c r="X28" s="2">
        <f t="shared" si="2"/>
        <v>2.1492333224810186E-7</v>
      </c>
      <c r="Y28" s="2">
        <f t="shared" si="16"/>
        <v>106137.70476097165</v>
      </c>
      <c r="Z28" s="2">
        <f t="shared" si="17"/>
        <v>1.0518180065074032E-14</v>
      </c>
      <c r="AA28" s="2">
        <f t="shared" si="18"/>
        <v>6334048035.187583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 spans="1:75" s="4" customFormat="1" x14ac:dyDescent="0.25">
      <c r="A29" s="3">
        <v>81</v>
      </c>
      <c r="B29" s="3">
        <f t="shared" si="3"/>
        <v>1.35</v>
      </c>
      <c r="C29" s="3">
        <v>20</v>
      </c>
      <c r="D29" s="3">
        <f t="shared" si="0"/>
        <v>29.146000000000001</v>
      </c>
      <c r="E29" s="3">
        <f t="shared" si="4"/>
        <v>4.8576666666666667E-7</v>
      </c>
      <c r="F29" s="3">
        <v>21.1</v>
      </c>
      <c r="G29" s="3">
        <f t="shared" si="5"/>
        <v>294.10000000000002</v>
      </c>
      <c r="H29" s="3">
        <v>101.3</v>
      </c>
      <c r="I29" s="3">
        <f t="shared" si="6"/>
        <v>101300</v>
      </c>
      <c r="J29" s="3">
        <f t="shared" si="7"/>
        <v>2.0124824921938581E-5</v>
      </c>
      <c r="K29" s="22">
        <v>50.242574257425737</v>
      </c>
      <c r="L29" s="3">
        <f t="shared" si="8"/>
        <v>5.0242574257425735E-5</v>
      </c>
      <c r="M29" s="3">
        <f t="shared" si="9"/>
        <v>4.7762865441819992E-3</v>
      </c>
      <c r="N29" s="29">
        <f t="shared" si="10"/>
        <v>2.1169647197776304E-7</v>
      </c>
      <c r="O29" s="29">
        <f t="shared" si="11"/>
        <v>2.032E-3</v>
      </c>
      <c r="P29" s="29">
        <v>7.43403717661394E-11</v>
      </c>
      <c r="Q29" s="16">
        <v>0.1</v>
      </c>
      <c r="R29" s="2">
        <f t="shared" si="12"/>
        <v>110000.00000000001</v>
      </c>
      <c r="S29" s="2">
        <f t="shared" si="13"/>
        <v>5.1940208761751296E-3</v>
      </c>
      <c r="T29" s="2">
        <v>0.13</v>
      </c>
      <c r="U29" s="2">
        <f t="shared" si="14"/>
        <v>112999.99999999999</v>
      </c>
      <c r="V29" s="2">
        <f t="shared" si="1"/>
        <v>5.6774108910891075</v>
      </c>
      <c r="W29" s="2">
        <f t="shared" si="15"/>
        <v>5</v>
      </c>
      <c r="X29" s="2">
        <f t="shared" si="2"/>
        <v>2.1706214325280268E-7</v>
      </c>
      <c r="Y29" s="2">
        <f t="shared" si="16"/>
        <v>106099.61596377591</v>
      </c>
      <c r="Z29" s="2">
        <f t="shared" si="17"/>
        <v>1.062667027787251E-14</v>
      </c>
      <c r="AA29" s="2">
        <f t="shared" si="18"/>
        <v>6399380841.3348255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</row>
    <row r="30" spans="1:75" s="4" customFormat="1" x14ac:dyDescent="0.25">
      <c r="A30" s="3">
        <v>84</v>
      </c>
      <c r="B30" s="3">
        <f t="shared" si="3"/>
        <v>1.4</v>
      </c>
      <c r="C30" s="3">
        <v>20</v>
      </c>
      <c r="D30" s="3">
        <f t="shared" si="0"/>
        <v>29.146000000000001</v>
      </c>
      <c r="E30" s="3">
        <f t="shared" si="4"/>
        <v>4.8576666666666667E-7</v>
      </c>
      <c r="F30" s="3">
        <v>21.1</v>
      </c>
      <c r="G30" s="3">
        <f t="shared" si="5"/>
        <v>294.10000000000002</v>
      </c>
      <c r="H30" s="3">
        <v>101.3</v>
      </c>
      <c r="I30" s="3">
        <f t="shared" si="6"/>
        <v>101300</v>
      </c>
      <c r="J30" s="3">
        <f t="shared" si="7"/>
        <v>2.0124824921938581E-5</v>
      </c>
      <c r="K30" s="22">
        <v>51.653465346534659</v>
      </c>
      <c r="L30" s="3">
        <f t="shared" si="8"/>
        <v>5.1653465346534657E-5</v>
      </c>
      <c r="M30" s="3">
        <f t="shared" si="9"/>
        <v>4.7762865441819992E-3</v>
      </c>
      <c r="N30" s="29">
        <f t="shared" si="10"/>
        <v>2.1764124432121194E-7</v>
      </c>
      <c r="O30" s="29">
        <f t="shared" si="11"/>
        <v>2.032E-3</v>
      </c>
      <c r="P30" s="29">
        <v>7.43403717661394E-11</v>
      </c>
      <c r="Q30" s="16">
        <v>0.1</v>
      </c>
      <c r="R30" s="2">
        <f t="shared" si="12"/>
        <v>110000.00000000001</v>
      </c>
      <c r="S30" s="2">
        <f t="shared" si="13"/>
        <v>5.1940208761751296E-3</v>
      </c>
      <c r="T30" s="2">
        <v>0.13</v>
      </c>
      <c r="U30" s="2">
        <f t="shared" si="14"/>
        <v>112999.99999999999</v>
      </c>
      <c r="V30" s="2">
        <f t="shared" si="1"/>
        <v>5.8368415841584156</v>
      </c>
      <c r="W30" s="2">
        <f t="shared" si="15"/>
        <v>5</v>
      </c>
      <c r="X30" s="2">
        <f t="shared" si="2"/>
        <v>2.2422240309334998E-7</v>
      </c>
      <c r="Y30" s="2">
        <f t="shared" si="16"/>
        <v>105972.15295509784</v>
      </c>
      <c r="Z30" s="2">
        <f t="shared" si="17"/>
        <v>1.0990434369025813E-14</v>
      </c>
      <c r="AA30" s="2">
        <f t="shared" si="18"/>
        <v>6618439577.0273447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</row>
    <row r="31" spans="1:75" s="4" customFormat="1" x14ac:dyDescent="0.25">
      <c r="A31" s="3">
        <v>87</v>
      </c>
      <c r="B31" s="3">
        <f t="shared" si="3"/>
        <v>1.45</v>
      </c>
      <c r="C31" s="3">
        <v>20</v>
      </c>
      <c r="D31" s="3">
        <f t="shared" si="0"/>
        <v>29.146000000000001</v>
      </c>
      <c r="E31" s="3">
        <f t="shared" si="4"/>
        <v>4.8576666666666667E-7</v>
      </c>
      <c r="F31" s="3">
        <v>21.1</v>
      </c>
      <c r="G31" s="3">
        <f t="shared" si="5"/>
        <v>294.10000000000002</v>
      </c>
      <c r="H31" s="3">
        <v>101.3</v>
      </c>
      <c r="I31" s="3">
        <f t="shared" si="6"/>
        <v>101300</v>
      </c>
      <c r="J31" s="3">
        <f t="shared" si="7"/>
        <v>2.0124824921938581E-5</v>
      </c>
      <c r="K31" s="22">
        <v>56.480198019801982</v>
      </c>
      <c r="L31" s="3">
        <f t="shared" si="8"/>
        <v>5.648019801980198E-5</v>
      </c>
      <c r="M31" s="3">
        <f t="shared" si="9"/>
        <v>4.7762865441819992E-3</v>
      </c>
      <c r="N31" s="29">
        <f t="shared" si="10"/>
        <v>2.3797862339090541E-7</v>
      </c>
      <c r="O31" s="29">
        <f t="shared" si="11"/>
        <v>2.032E-3</v>
      </c>
      <c r="P31" s="29">
        <v>7.43403717661394E-11</v>
      </c>
      <c r="Q31" s="16">
        <v>0.1</v>
      </c>
      <c r="R31" s="2">
        <f t="shared" si="12"/>
        <v>110000.00000000001</v>
      </c>
      <c r="S31" s="2">
        <f t="shared" si="13"/>
        <v>5.1940208761751296E-3</v>
      </c>
      <c r="T31" s="2">
        <v>0.13</v>
      </c>
      <c r="U31" s="2">
        <f t="shared" si="14"/>
        <v>112999.99999999999</v>
      </c>
      <c r="V31" s="2">
        <f t="shared" si="1"/>
        <v>6.3822623762376232</v>
      </c>
      <c r="W31" s="2">
        <f t="shared" si="15"/>
        <v>5</v>
      </c>
      <c r="X31" s="2">
        <f t="shared" si="2"/>
        <v>2.4859722401855085E-7</v>
      </c>
      <c r="Y31" s="2">
        <f t="shared" si="16"/>
        <v>105538.8200880066</v>
      </c>
      <c r="Z31" s="2">
        <f t="shared" si="17"/>
        <v>1.2235282325658014E-14</v>
      </c>
      <c r="AA31" s="2">
        <f t="shared" si="18"/>
        <v>7368087016.5112562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</row>
    <row r="32" spans="1:75" s="4" customFormat="1" x14ac:dyDescent="0.25">
      <c r="A32" s="3">
        <v>90</v>
      </c>
      <c r="B32" s="3">
        <f t="shared" si="3"/>
        <v>1.5</v>
      </c>
      <c r="C32" s="3">
        <v>20</v>
      </c>
      <c r="D32" s="3">
        <f t="shared" si="0"/>
        <v>29.146000000000001</v>
      </c>
      <c r="E32" s="3">
        <f t="shared" si="4"/>
        <v>4.8576666666666667E-7</v>
      </c>
      <c r="F32" s="3">
        <v>21.1</v>
      </c>
      <c r="G32" s="3">
        <f t="shared" si="5"/>
        <v>294.10000000000002</v>
      </c>
      <c r="H32" s="3">
        <v>101.3</v>
      </c>
      <c r="I32" s="3">
        <f t="shared" si="6"/>
        <v>101300</v>
      </c>
      <c r="J32" s="3">
        <f t="shared" si="7"/>
        <v>2.0124824921938581E-5</v>
      </c>
      <c r="K32" s="22">
        <v>53.212871287128714</v>
      </c>
      <c r="L32" s="3">
        <f t="shared" si="8"/>
        <v>5.3212871287128713E-5</v>
      </c>
      <c r="M32" s="3">
        <f t="shared" si="9"/>
        <v>4.7762865441819992E-3</v>
      </c>
      <c r="N32" s="29">
        <f t="shared" si="10"/>
        <v>2.2421178217449752E-7</v>
      </c>
      <c r="O32" s="29">
        <f t="shared" si="11"/>
        <v>2.032E-3</v>
      </c>
      <c r="P32" s="29">
        <v>7.43403717661394E-11</v>
      </c>
      <c r="Q32" s="16">
        <v>0.1</v>
      </c>
      <c r="R32" s="2">
        <f t="shared" si="12"/>
        <v>110000.00000000001</v>
      </c>
      <c r="S32" s="2">
        <f t="shared" si="13"/>
        <v>5.1940208761751296E-3</v>
      </c>
      <c r="T32" s="2">
        <v>0.13</v>
      </c>
      <c r="U32" s="2">
        <f t="shared" si="14"/>
        <v>112999.99999999999</v>
      </c>
      <c r="V32" s="2">
        <f t="shared" si="1"/>
        <v>6.0130544554455438</v>
      </c>
      <c r="W32" s="2">
        <f t="shared" si="15"/>
        <v>5</v>
      </c>
      <c r="X32" s="2">
        <f t="shared" si="2"/>
        <v>2.3211721658655274E-7</v>
      </c>
      <c r="Y32" s="2">
        <f t="shared" si="16"/>
        <v>105831.7026281732</v>
      </c>
      <c r="Z32" s="2">
        <f t="shared" si="17"/>
        <v>1.1392523625658852E-14</v>
      </c>
      <c r="AA32" s="2">
        <f t="shared" si="18"/>
        <v>6860577727.3717613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</row>
    <row r="33" spans="1:75" s="4" customFormat="1" x14ac:dyDescent="0.25">
      <c r="A33" s="3">
        <v>93</v>
      </c>
      <c r="B33" s="3">
        <f t="shared" si="3"/>
        <v>1.55</v>
      </c>
      <c r="C33" s="3">
        <v>20</v>
      </c>
      <c r="D33" s="3">
        <f t="shared" si="0"/>
        <v>29.146000000000001</v>
      </c>
      <c r="E33" s="3">
        <f t="shared" si="4"/>
        <v>4.8576666666666667E-7</v>
      </c>
      <c r="F33" s="3">
        <v>21.1</v>
      </c>
      <c r="G33" s="3">
        <f t="shared" si="5"/>
        <v>294.10000000000002</v>
      </c>
      <c r="H33" s="3">
        <v>101.3</v>
      </c>
      <c r="I33" s="3">
        <f t="shared" si="6"/>
        <v>101300</v>
      </c>
      <c r="J33" s="3">
        <f t="shared" si="7"/>
        <v>2.0124824921938581E-5</v>
      </c>
      <c r="K33" s="22">
        <v>45.193069306930695</v>
      </c>
      <c r="L33" s="3">
        <f t="shared" si="8"/>
        <v>4.5193069306930697E-5</v>
      </c>
      <c r="M33" s="3">
        <f t="shared" si="9"/>
        <v>4.7762865441819992E-3</v>
      </c>
      <c r="N33" s="29">
        <f t="shared" si="10"/>
        <v>1.9042044464331454E-7</v>
      </c>
      <c r="O33" s="29">
        <f t="shared" si="11"/>
        <v>2.032E-3</v>
      </c>
      <c r="P33" s="29">
        <v>7.43403717661394E-11</v>
      </c>
      <c r="Q33" s="16">
        <v>0.1</v>
      </c>
      <c r="R33" s="2">
        <f t="shared" si="12"/>
        <v>110000.00000000001</v>
      </c>
      <c r="S33" s="2">
        <f t="shared" si="13"/>
        <v>5.1940208761751296E-3</v>
      </c>
      <c r="T33" s="2">
        <v>0.13</v>
      </c>
      <c r="U33" s="2">
        <f t="shared" si="14"/>
        <v>112999.99999999999</v>
      </c>
      <c r="V33" s="2">
        <f t="shared" si="1"/>
        <v>5.1068168316831679</v>
      </c>
      <c r="W33" s="2">
        <f t="shared" si="15"/>
        <v>5</v>
      </c>
      <c r="X33" s="2">
        <f t="shared" si="2"/>
        <v>1.9128965438666832E-7</v>
      </c>
      <c r="Y33" s="2">
        <f t="shared" si="16"/>
        <v>106559.03777563153</v>
      </c>
      <c r="Z33" s="2">
        <f t="shared" si="17"/>
        <v>9.3245030881577859E-15</v>
      </c>
      <c r="AA33" s="2">
        <f t="shared" si="18"/>
        <v>5615215759.6886187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 spans="1:75" s="4" customFormat="1" x14ac:dyDescent="0.25">
      <c r="A34" s="3">
        <v>96</v>
      </c>
      <c r="B34" s="3">
        <f t="shared" si="3"/>
        <v>1.6</v>
      </c>
      <c r="C34" s="3">
        <v>20</v>
      </c>
      <c r="D34" s="3">
        <f t="shared" si="0"/>
        <v>29.146000000000001</v>
      </c>
      <c r="E34" s="3">
        <f t="shared" si="4"/>
        <v>4.8576666666666667E-7</v>
      </c>
      <c r="F34" s="3">
        <v>21.1</v>
      </c>
      <c r="G34" s="3">
        <f t="shared" si="5"/>
        <v>294.10000000000002</v>
      </c>
      <c r="H34" s="3">
        <v>101.3</v>
      </c>
      <c r="I34" s="3">
        <f t="shared" si="6"/>
        <v>101300</v>
      </c>
      <c r="J34" s="3">
        <f t="shared" si="7"/>
        <v>2.0124824921938581E-5</v>
      </c>
      <c r="K34" s="22">
        <v>51.529702970297031</v>
      </c>
      <c r="L34" s="3">
        <f t="shared" si="8"/>
        <v>5.1529702970297032E-5</v>
      </c>
      <c r="M34" s="3">
        <f t="shared" si="9"/>
        <v>4.7762865441819992E-3</v>
      </c>
      <c r="N34" s="29">
        <f t="shared" si="10"/>
        <v>2.1711977306301464E-7</v>
      </c>
      <c r="O34" s="29">
        <f t="shared" si="11"/>
        <v>2.032E-3</v>
      </c>
      <c r="P34" s="29">
        <v>7.43403717661394E-11</v>
      </c>
      <c r="Q34" s="16">
        <v>0.1</v>
      </c>
      <c r="R34" s="2">
        <f t="shared" si="12"/>
        <v>110000.00000000001</v>
      </c>
      <c r="S34" s="2">
        <f t="shared" si="13"/>
        <v>5.1940208761751296E-3</v>
      </c>
      <c r="T34" s="2">
        <v>0.13</v>
      </c>
      <c r="U34" s="2">
        <f t="shared" si="14"/>
        <v>112999.99999999999</v>
      </c>
      <c r="V34" s="2">
        <f t="shared" ref="V34:V65" si="19">(L34*U34)</f>
        <v>5.8228564356435637</v>
      </c>
      <c r="W34" s="2">
        <f t="shared" si="15"/>
        <v>5</v>
      </c>
      <c r="X34" s="2">
        <f t="shared" ref="X34:X65" si="20">(N34+((P34/O34)*(SQRT(V34)-SQRT(W34))))</f>
        <v>2.2359497974302608E-7</v>
      </c>
      <c r="Y34" s="2">
        <f t="shared" si="16"/>
        <v>105983.31893820791</v>
      </c>
      <c r="Z34" s="2">
        <f t="shared" si="17"/>
        <v>1.095852455031707E-14</v>
      </c>
      <c r="AA34" s="2">
        <f t="shared" si="18"/>
        <v>6599223484.2009401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 spans="1:75" s="4" customFormat="1" x14ac:dyDescent="0.25">
      <c r="A35" s="3">
        <v>99</v>
      </c>
      <c r="B35" s="3">
        <f t="shared" si="3"/>
        <v>1.65</v>
      </c>
      <c r="C35" s="3">
        <v>20</v>
      </c>
      <c r="D35" s="3">
        <f t="shared" si="0"/>
        <v>29.146000000000001</v>
      </c>
      <c r="E35" s="3">
        <f t="shared" si="4"/>
        <v>4.8576666666666667E-7</v>
      </c>
      <c r="F35" s="3">
        <v>21.1</v>
      </c>
      <c r="G35" s="3">
        <f t="shared" si="5"/>
        <v>294.10000000000002</v>
      </c>
      <c r="H35" s="3">
        <v>101.3</v>
      </c>
      <c r="I35" s="3">
        <f t="shared" si="6"/>
        <v>101300</v>
      </c>
      <c r="J35" s="3">
        <f t="shared" si="7"/>
        <v>2.0124824921938581E-5</v>
      </c>
      <c r="K35" s="22">
        <v>62.96534653465347</v>
      </c>
      <c r="L35" s="3">
        <f t="shared" si="8"/>
        <v>6.2965346534653475E-5</v>
      </c>
      <c r="M35" s="3">
        <f t="shared" si="9"/>
        <v>4.7762865441819992E-3</v>
      </c>
      <c r="N35" s="29">
        <f t="shared" si="10"/>
        <v>2.6530371732044232E-7</v>
      </c>
      <c r="O35" s="29">
        <f t="shared" si="11"/>
        <v>2.032E-3</v>
      </c>
      <c r="P35" s="29">
        <v>7.43403717661394E-11</v>
      </c>
      <c r="Q35" s="16">
        <v>0.1</v>
      </c>
      <c r="R35" s="2">
        <f t="shared" si="12"/>
        <v>110000.00000000001</v>
      </c>
      <c r="S35" s="2">
        <f t="shared" si="13"/>
        <v>5.1940208761751296E-3</v>
      </c>
      <c r="T35" s="2">
        <v>0.13</v>
      </c>
      <c r="U35" s="2">
        <f t="shared" si="14"/>
        <v>112999.99999999999</v>
      </c>
      <c r="V35" s="2">
        <f t="shared" si="19"/>
        <v>7.1150841584158417</v>
      </c>
      <c r="W35" s="2">
        <f t="shared" si="15"/>
        <v>5</v>
      </c>
      <c r="X35" s="2">
        <f t="shared" si="20"/>
        <v>2.8108434649939068E-7</v>
      </c>
      <c r="Y35" s="2">
        <f t="shared" si="16"/>
        <v>104962.64778686558</v>
      </c>
      <c r="Z35" s="2">
        <f t="shared" si="17"/>
        <v>1.3910252523983632E-14</v>
      </c>
      <c r="AA35" s="2">
        <f t="shared" si="18"/>
        <v>8376754069.9429436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 spans="1:75" s="4" customFormat="1" x14ac:dyDescent="0.25">
      <c r="A36" s="3">
        <v>102</v>
      </c>
      <c r="B36" s="3">
        <f t="shared" si="3"/>
        <v>1.7</v>
      </c>
      <c r="C36" s="3">
        <v>20</v>
      </c>
      <c r="D36" s="3">
        <f t="shared" si="0"/>
        <v>29.146000000000001</v>
      </c>
      <c r="E36" s="3">
        <f t="shared" si="4"/>
        <v>4.8576666666666667E-7</v>
      </c>
      <c r="F36" s="3">
        <v>21.1</v>
      </c>
      <c r="G36" s="3">
        <f t="shared" si="5"/>
        <v>294.10000000000002</v>
      </c>
      <c r="H36" s="3">
        <v>101.3</v>
      </c>
      <c r="I36" s="3">
        <f t="shared" si="6"/>
        <v>101300</v>
      </c>
      <c r="J36" s="3">
        <f t="shared" si="7"/>
        <v>2.0124824921938581E-5</v>
      </c>
      <c r="K36" s="22">
        <v>59.054455445544562</v>
      </c>
      <c r="L36" s="3">
        <f t="shared" si="8"/>
        <v>5.905445544554456E-5</v>
      </c>
      <c r="M36" s="3">
        <f t="shared" si="9"/>
        <v>4.7762865441819992E-3</v>
      </c>
      <c r="N36" s="29">
        <f t="shared" si="10"/>
        <v>2.488252255614086E-7</v>
      </c>
      <c r="O36" s="29">
        <f t="shared" si="11"/>
        <v>2.032E-3</v>
      </c>
      <c r="P36" s="29">
        <v>7.43403717661394E-11</v>
      </c>
      <c r="Q36" s="16">
        <v>0.1</v>
      </c>
      <c r="R36" s="2">
        <f t="shared" si="12"/>
        <v>110000.00000000001</v>
      </c>
      <c r="S36" s="2">
        <f t="shared" si="13"/>
        <v>5.1940208761751296E-3</v>
      </c>
      <c r="T36" s="2">
        <v>0.13</v>
      </c>
      <c r="U36" s="2">
        <f t="shared" si="14"/>
        <v>112999.99999999999</v>
      </c>
      <c r="V36" s="2">
        <f t="shared" si="19"/>
        <v>6.6731534653465348</v>
      </c>
      <c r="W36" s="2">
        <f t="shared" si="15"/>
        <v>5</v>
      </c>
      <c r="X36" s="2">
        <f t="shared" si="20"/>
        <v>2.6152662847672828E-7</v>
      </c>
      <c r="Y36" s="2">
        <f t="shared" si="16"/>
        <v>105309.32292565111</v>
      </c>
      <c r="Z36" s="2">
        <f t="shared" si="17"/>
        <v>1.2899720671061591E-14</v>
      </c>
      <c r="AA36" s="2">
        <f t="shared" si="18"/>
        <v>7768211788.1132908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 spans="1:75" s="4" customFormat="1" x14ac:dyDescent="0.25">
      <c r="A37" s="3">
        <v>105</v>
      </c>
      <c r="B37" s="3">
        <f t="shared" si="3"/>
        <v>1.75</v>
      </c>
      <c r="C37" s="3">
        <v>20</v>
      </c>
      <c r="D37" s="3">
        <f t="shared" si="0"/>
        <v>29.146000000000001</v>
      </c>
      <c r="E37" s="3">
        <f t="shared" si="4"/>
        <v>4.8576666666666667E-7</v>
      </c>
      <c r="F37" s="3">
        <v>21.1</v>
      </c>
      <c r="G37" s="3">
        <f t="shared" si="5"/>
        <v>294.10000000000002</v>
      </c>
      <c r="H37" s="3">
        <v>101.3</v>
      </c>
      <c r="I37" s="3">
        <f t="shared" si="6"/>
        <v>101300</v>
      </c>
      <c r="J37" s="3">
        <f t="shared" si="7"/>
        <v>2.0124824921938581E-5</v>
      </c>
      <c r="K37" s="22">
        <v>52.148514851485146</v>
      </c>
      <c r="L37" s="3">
        <f t="shared" si="8"/>
        <v>5.2148514851485144E-5</v>
      </c>
      <c r="M37" s="3">
        <f t="shared" si="9"/>
        <v>4.7762865441819992E-3</v>
      </c>
      <c r="N37" s="29">
        <f t="shared" si="10"/>
        <v>2.1972712935400099E-7</v>
      </c>
      <c r="O37" s="29">
        <f t="shared" si="11"/>
        <v>2.032E-3</v>
      </c>
      <c r="P37" s="29">
        <v>7.43403717661394E-11</v>
      </c>
      <c r="Q37" s="16">
        <v>0.1</v>
      </c>
      <c r="R37" s="2">
        <f t="shared" si="12"/>
        <v>110000.00000000001</v>
      </c>
      <c r="S37" s="2">
        <f t="shared" si="13"/>
        <v>5.1940208761751296E-3</v>
      </c>
      <c r="T37" s="2">
        <v>0.13</v>
      </c>
      <c r="U37" s="2">
        <f t="shared" si="14"/>
        <v>112999.99999999999</v>
      </c>
      <c r="V37" s="2">
        <f t="shared" si="19"/>
        <v>5.8927821782178205</v>
      </c>
      <c r="W37" s="2">
        <f t="shared" si="15"/>
        <v>5</v>
      </c>
      <c r="X37" s="2">
        <f t="shared" si="20"/>
        <v>2.2673083247226443E-7</v>
      </c>
      <c r="Y37" s="2">
        <f t="shared" si="16"/>
        <v>105927.51739491672</v>
      </c>
      <c r="Z37" s="2">
        <f t="shared" si="17"/>
        <v>1.1118076043858939E-14</v>
      </c>
      <c r="AA37" s="2">
        <f t="shared" si="18"/>
        <v>6695305393.6118536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</row>
    <row r="38" spans="1:75" s="4" customFormat="1" x14ac:dyDescent="0.25">
      <c r="A38" s="3">
        <v>108</v>
      </c>
      <c r="B38" s="3">
        <f t="shared" si="3"/>
        <v>1.8</v>
      </c>
      <c r="C38" s="3">
        <v>20</v>
      </c>
      <c r="D38" s="3">
        <f t="shared" si="0"/>
        <v>29.146000000000001</v>
      </c>
      <c r="E38" s="3">
        <f t="shared" si="4"/>
        <v>4.8576666666666667E-7</v>
      </c>
      <c r="F38" s="3">
        <v>21.1</v>
      </c>
      <c r="G38" s="3">
        <f t="shared" si="5"/>
        <v>294.10000000000002</v>
      </c>
      <c r="H38" s="3">
        <v>101.3</v>
      </c>
      <c r="I38" s="3">
        <f t="shared" si="6"/>
        <v>101300</v>
      </c>
      <c r="J38" s="3">
        <f t="shared" si="7"/>
        <v>2.0124824921938581E-5</v>
      </c>
      <c r="K38" s="22">
        <v>55.886138613861391</v>
      </c>
      <c r="L38" s="3">
        <f t="shared" si="8"/>
        <v>5.588613861386139E-5</v>
      </c>
      <c r="M38" s="3">
        <f t="shared" si="9"/>
        <v>4.7762865441819992E-3</v>
      </c>
      <c r="N38" s="29">
        <f t="shared" si="10"/>
        <v>2.3547556135155849E-7</v>
      </c>
      <c r="O38" s="29">
        <f t="shared" si="11"/>
        <v>2.032E-3</v>
      </c>
      <c r="P38" s="29">
        <v>7.43403717661394E-11</v>
      </c>
      <c r="Q38" s="16">
        <v>0.1</v>
      </c>
      <c r="R38" s="2">
        <f t="shared" si="12"/>
        <v>110000.00000000001</v>
      </c>
      <c r="S38" s="2">
        <f t="shared" si="13"/>
        <v>5.1940208761751296E-3</v>
      </c>
      <c r="T38" s="2">
        <v>0.13</v>
      </c>
      <c r="U38" s="2">
        <f t="shared" si="14"/>
        <v>112999.99999999999</v>
      </c>
      <c r="V38" s="2">
        <f t="shared" si="19"/>
        <v>6.3151336633663364</v>
      </c>
      <c r="W38" s="2">
        <f t="shared" si="15"/>
        <v>5</v>
      </c>
      <c r="X38" s="2">
        <f t="shared" si="20"/>
        <v>2.45606814715766E-7</v>
      </c>
      <c r="Y38" s="2">
        <f t="shared" si="16"/>
        <v>105591.9354756559</v>
      </c>
      <c r="Z38" s="2">
        <f t="shared" si="17"/>
        <v>1.2082013808628551E-14</v>
      </c>
      <c r="AA38" s="2">
        <f t="shared" si="18"/>
        <v>7275788715.5561132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</row>
    <row r="39" spans="1:75" s="4" customFormat="1" x14ac:dyDescent="0.25">
      <c r="A39" s="3">
        <v>111</v>
      </c>
      <c r="B39" s="3">
        <f t="shared" si="3"/>
        <v>1.85</v>
      </c>
      <c r="C39" s="3">
        <v>20</v>
      </c>
      <c r="D39" s="3">
        <f t="shared" si="0"/>
        <v>29.146000000000001</v>
      </c>
      <c r="E39" s="3">
        <f t="shared" si="4"/>
        <v>4.8576666666666667E-7</v>
      </c>
      <c r="F39" s="3">
        <v>21.1</v>
      </c>
      <c r="G39" s="3">
        <f t="shared" si="5"/>
        <v>294.10000000000002</v>
      </c>
      <c r="H39" s="3">
        <v>101.3</v>
      </c>
      <c r="I39" s="3">
        <f t="shared" si="6"/>
        <v>101300</v>
      </c>
      <c r="J39" s="3">
        <f t="shared" si="7"/>
        <v>2.0124824921938581E-5</v>
      </c>
      <c r="K39" s="22">
        <v>53.336633663366335</v>
      </c>
      <c r="L39" s="3">
        <f t="shared" si="8"/>
        <v>5.3336633663366338E-5</v>
      </c>
      <c r="M39" s="3">
        <f t="shared" si="9"/>
        <v>4.7762865441819992E-3</v>
      </c>
      <c r="N39" s="29">
        <f t="shared" si="10"/>
        <v>2.2473325343269476E-7</v>
      </c>
      <c r="O39" s="29">
        <f t="shared" si="11"/>
        <v>2.032E-3</v>
      </c>
      <c r="P39" s="29">
        <v>7.43403717661394E-11</v>
      </c>
      <c r="Q39" s="16">
        <v>0.1</v>
      </c>
      <c r="R39" s="2">
        <f t="shared" si="12"/>
        <v>110000.00000000001</v>
      </c>
      <c r="S39" s="2">
        <f t="shared" si="13"/>
        <v>5.1940208761751296E-3</v>
      </c>
      <c r="T39" s="2">
        <v>0.13</v>
      </c>
      <c r="U39" s="2">
        <f t="shared" si="14"/>
        <v>112999.99999999999</v>
      </c>
      <c r="V39" s="2">
        <f t="shared" si="19"/>
        <v>6.0270396039603957</v>
      </c>
      <c r="W39" s="2">
        <f t="shared" si="15"/>
        <v>5</v>
      </c>
      <c r="X39" s="2">
        <f t="shared" si="20"/>
        <v>2.3274295277169272E-7</v>
      </c>
      <c r="Y39" s="2">
        <f t="shared" si="16"/>
        <v>105820.57463845743</v>
      </c>
      <c r="Z39" s="2">
        <f t="shared" si="17"/>
        <v>1.1424438160069331E-14</v>
      </c>
      <c r="AA39" s="2">
        <f t="shared" si="18"/>
        <v>6879796659.9937515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</row>
    <row r="40" spans="1:75" s="4" customFormat="1" x14ac:dyDescent="0.25">
      <c r="A40" s="3">
        <v>114</v>
      </c>
      <c r="B40" s="3">
        <f t="shared" si="3"/>
        <v>1.9</v>
      </c>
      <c r="C40" s="3">
        <v>20</v>
      </c>
      <c r="D40" s="3">
        <f t="shared" si="0"/>
        <v>29.146000000000001</v>
      </c>
      <c r="E40" s="3">
        <f t="shared" si="4"/>
        <v>4.8576666666666667E-7</v>
      </c>
      <c r="F40" s="3">
        <v>21.1</v>
      </c>
      <c r="G40" s="3">
        <f t="shared" si="5"/>
        <v>294.10000000000002</v>
      </c>
      <c r="H40" s="3">
        <v>101.3</v>
      </c>
      <c r="I40" s="3">
        <f t="shared" si="6"/>
        <v>101300</v>
      </c>
      <c r="J40" s="3">
        <f t="shared" si="7"/>
        <v>2.0124824921938581E-5</v>
      </c>
      <c r="K40" s="22">
        <v>53.60891089108911</v>
      </c>
      <c r="L40" s="3">
        <f t="shared" si="8"/>
        <v>5.3608910891089111E-5</v>
      </c>
      <c r="M40" s="3">
        <f t="shared" si="9"/>
        <v>4.7762865441819992E-3</v>
      </c>
      <c r="N40" s="29">
        <f t="shared" si="10"/>
        <v>2.2588049020072877E-7</v>
      </c>
      <c r="O40" s="29">
        <f t="shared" si="11"/>
        <v>2.032E-3</v>
      </c>
      <c r="P40" s="29">
        <v>7.43403717661394E-11</v>
      </c>
      <c r="Q40" s="16">
        <v>0.1</v>
      </c>
      <c r="R40" s="2">
        <f t="shared" si="12"/>
        <v>110000.00000000001</v>
      </c>
      <c r="S40" s="2">
        <f t="shared" si="13"/>
        <v>5.1940208761751296E-3</v>
      </c>
      <c r="T40" s="2">
        <v>0.13</v>
      </c>
      <c r="U40" s="2">
        <f t="shared" si="14"/>
        <v>112999.99999999999</v>
      </c>
      <c r="V40" s="2">
        <f t="shared" si="19"/>
        <v>6.0578069306930686</v>
      </c>
      <c r="W40" s="2">
        <f t="shared" si="15"/>
        <v>5</v>
      </c>
      <c r="X40" s="2">
        <f t="shared" si="20"/>
        <v>2.3411914740791131E-7</v>
      </c>
      <c r="Y40" s="2">
        <f t="shared" si="16"/>
        <v>105796.10267708515</v>
      </c>
      <c r="Z40" s="2">
        <f t="shared" si="17"/>
        <v>1.1494651889424408E-14</v>
      </c>
      <c r="AA40" s="2">
        <f t="shared" si="18"/>
        <v>6922079367.8113785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</row>
    <row r="41" spans="1:75" s="4" customFormat="1" x14ac:dyDescent="0.25">
      <c r="A41" s="3">
        <v>117</v>
      </c>
      <c r="B41" s="3">
        <f t="shared" si="3"/>
        <v>1.95</v>
      </c>
      <c r="C41" s="3">
        <v>20</v>
      </c>
      <c r="D41" s="3">
        <f t="shared" si="0"/>
        <v>29.146000000000001</v>
      </c>
      <c r="E41" s="3">
        <f t="shared" si="4"/>
        <v>4.8576666666666667E-7</v>
      </c>
      <c r="F41" s="3">
        <v>21.1</v>
      </c>
      <c r="G41" s="3">
        <f t="shared" si="5"/>
        <v>294.10000000000002</v>
      </c>
      <c r="H41" s="3">
        <v>101.3</v>
      </c>
      <c r="I41" s="3">
        <f t="shared" si="6"/>
        <v>101300</v>
      </c>
      <c r="J41" s="3">
        <f t="shared" si="7"/>
        <v>2.0124824921938581E-5</v>
      </c>
      <c r="K41" s="22">
        <v>55.168316831683171</v>
      </c>
      <c r="L41" s="3">
        <f t="shared" si="8"/>
        <v>5.5168316831683174E-5</v>
      </c>
      <c r="M41" s="3">
        <f t="shared" si="9"/>
        <v>4.7762865441819992E-3</v>
      </c>
      <c r="N41" s="29">
        <f t="shared" si="10"/>
        <v>2.3245102805401436E-7</v>
      </c>
      <c r="O41" s="29">
        <f t="shared" si="11"/>
        <v>2.032E-3</v>
      </c>
      <c r="P41" s="29">
        <v>7.43403717661394E-11</v>
      </c>
      <c r="Q41" s="16">
        <v>0.1</v>
      </c>
      <c r="R41" s="2">
        <f t="shared" si="12"/>
        <v>110000.00000000001</v>
      </c>
      <c r="S41" s="2">
        <f t="shared" si="13"/>
        <v>5.1940208761751296E-3</v>
      </c>
      <c r="T41" s="2">
        <v>0.13</v>
      </c>
      <c r="U41" s="2">
        <f t="shared" si="14"/>
        <v>112999.99999999999</v>
      </c>
      <c r="V41" s="2">
        <f t="shared" si="19"/>
        <v>6.2340198019801978</v>
      </c>
      <c r="W41" s="2">
        <f t="shared" si="15"/>
        <v>5</v>
      </c>
      <c r="X41" s="2">
        <f t="shared" si="20"/>
        <v>2.4198993446857618E-7</v>
      </c>
      <c r="Y41" s="2">
        <f t="shared" si="16"/>
        <v>105656.19604006903</v>
      </c>
      <c r="Z41" s="2">
        <f t="shared" si="17"/>
        <v>1.1896840731593661E-14</v>
      </c>
      <c r="AA41" s="2">
        <f t="shared" si="18"/>
        <v>7164277488.5657024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</row>
    <row r="42" spans="1:75" s="4" customFormat="1" x14ac:dyDescent="0.25">
      <c r="A42" s="3">
        <v>120</v>
      </c>
      <c r="B42" s="3">
        <f t="shared" si="3"/>
        <v>2</v>
      </c>
      <c r="C42" s="3">
        <v>20</v>
      </c>
      <c r="D42" s="3">
        <f t="shared" si="0"/>
        <v>29.146000000000001</v>
      </c>
      <c r="E42" s="3">
        <f t="shared" si="4"/>
        <v>4.8576666666666667E-7</v>
      </c>
      <c r="F42" s="3">
        <v>21.1</v>
      </c>
      <c r="G42" s="3">
        <f t="shared" si="5"/>
        <v>294.10000000000002</v>
      </c>
      <c r="H42" s="3">
        <v>101.3</v>
      </c>
      <c r="I42" s="3">
        <f t="shared" si="6"/>
        <v>101300</v>
      </c>
      <c r="J42" s="3">
        <f t="shared" si="7"/>
        <v>2.0124824921938581E-5</v>
      </c>
      <c r="K42" s="22">
        <v>57.099009900990097</v>
      </c>
      <c r="L42" s="3">
        <f t="shared" si="8"/>
        <v>5.7099009900990099E-5</v>
      </c>
      <c r="M42" s="3">
        <f t="shared" si="9"/>
        <v>4.7762865441819992E-3</v>
      </c>
      <c r="N42" s="29">
        <f t="shared" si="10"/>
        <v>2.4058597968189174E-7</v>
      </c>
      <c r="O42" s="29">
        <f t="shared" si="11"/>
        <v>2.032E-3</v>
      </c>
      <c r="P42" s="29">
        <v>7.43403717661394E-11</v>
      </c>
      <c r="Q42" s="16">
        <v>0.1</v>
      </c>
      <c r="R42" s="2">
        <f t="shared" si="12"/>
        <v>110000.00000000001</v>
      </c>
      <c r="S42" s="2">
        <f t="shared" si="13"/>
        <v>5.1940208761751296E-3</v>
      </c>
      <c r="T42" s="2">
        <v>0.13</v>
      </c>
      <c r="U42" s="2">
        <f t="shared" si="14"/>
        <v>112999.99999999999</v>
      </c>
      <c r="V42" s="2">
        <f t="shared" si="19"/>
        <v>6.4521881188118808</v>
      </c>
      <c r="W42" s="2">
        <f t="shared" si="15"/>
        <v>5</v>
      </c>
      <c r="X42" s="2">
        <f t="shared" si="20"/>
        <v>2.5170951601975976E-7</v>
      </c>
      <c r="Y42" s="2">
        <f t="shared" si="16"/>
        <v>105483.55402115054</v>
      </c>
      <c r="Z42" s="2">
        <f t="shared" si="17"/>
        <v>1.2394960216181664E-14</v>
      </c>
      <c r="AA42" s="2">
        <f t="shared" si="18"/>
        <v>7464245042.184598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</row>
    <row r="43" spans="1:75" s="4" customFormat="1" x14ac:dyDescent="0.25">
      <c r="A43" s="3">
        <v>123</v>
      </c>
      <c r="B43" s="3">
        <f t="shared" si="3"/>
        <v>2.0499999999999998</v>
      </c>
      <c r="C43" s="3">
        <v>20</v>
      </c>
      <c r="D43" s="3">
        <f t="shared" si="0"/>
        <v>29.146000000000001</v>
      </c>
      <c r="E43" s="3">
        <f t="shared" si="4"/>
        <v>4.8576666666666667E-7</v>
      </c>
      <c r="F43" s="3">
        <v>21.1</v>
      </c>
      <c r="G43" s="3">
        <f t="shared" si="5"/>
        <v>294.10000000000002</v>
      </c>
      <c r="H43" s="3">
        <v>101.3</v>
      </c>
      <c r="I43" s="3">
        <f t="shared" si="6"/>
        <v>101300</v>
      </c>
      <c r="J43" s="3">
        <f t="shared" si="7"/>
        <v>2.0124824921938581E-5</v>
      </c>
      <c r="K43" s="22">
        <v>53.559405940594068</v>
      </c>
      <c r="L43" s="3">
        <f t="shared" si="8"/>
        <v>5.3559405940594067E-5</v>
      </c>
      <c r="M43" s="3">
        <f t="shared" si="9"/>
        <v>4.7762865441819992E-3</v>
      </c>
      <c r="N43" s="29">
        <f t="shared" si="10"/>
        <v>2.2567190169744989E-7</v>
      </c>
      <c r="O43" s="29">
        <f t="shared" si="11"/>
        <v>2.032E-3</v>
      </c>
      <c r="P43" s="29">
        <v>7.43403717661394E-11</v>
      </c>
      <c r="Q43" s="16">
        <v>0.1</v>
      </c>
      <c r="R43" s="2">
        <f t="shared" si="12"/>
        <v>110000.00000000001</v>
      </c>
      <c r="S43" s="2">
        <f t="shared" si="13"/>
        <v>5.1940208761751296E-3</v>
      </c>
      <c r="T43" s="2">
        <v>0.13</v>
      </c>
      <c r="U43" s="2">
        <f t="shared" si="14"/>
        <v>112999.99999999999</v>
      </c>
      <c r="V43" s="2">
        <f t="shared" si="19"/>
        <v>6.0522128712871286</v>
      </c>
      <c r="W43" s="2">
        <f t="shared" si="15"/>
        <v>5</v>
      </c>
      <c r="X43" s="2">
        <f t="shared" si="20"/>
        <v>2.3386897352350257E-7</v>
      </c>
      <c r="Y43" s="2">
        <f t="shared" si="16"/>
        <v>105800.55114376957</v>
      </c>
      <c r="Z43" s="2">
        <f t="shared" si="17"/>
        <v>1.1481885571045985E-14</v>
      </c>
      <c r="AA43" s="2">
        <f t="shared" si="18"/>
        <v>6914391490.883893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</row>
    <row r="44" spans="1:75" s="4" customFormat="1" x14ac:dyDescent="0.25">
      <c r="A44" s="3">
        <v>126</v>
      </c>
      <c r="B44" s="3">
        <f t="shared" si="3"/>
        <v>2.1</v>
      </c>
      <c r="C44" s="3">
        <v>20</v>
      </c>
      <c r="D44" s="3">
        <f t="shared" si="0"/>
        <v>29.146000000000001</v>
      </c>
      <c r="E44" s="3">
        <f t="shared" si="4"/>
        <v>4.8576666666666667E-7</v>
      </c>
      <c r="F44" s="3">
        <v>21.1</v>
      </c>
      <c r="G44" s="3">
        <f t="shared" si="5"/>
        <v>294.10000000000002</v>
      </c>
      <c r="H44" s="3">
        <v>101.3</v>
      </c>
      <c r="I44" s="3">
        <f t="shared" si="6"/>
        <v>101300</v>
      </c>
      <c r="J44" s="3">
        <f t="shared" si="7"/>
        <v>2.0124824921938581E-5</v>
      </c>
      <c r="K44" s="22">
        <v>64.747524752475258</v>
      </c>
      <c r="L44" s="3">
        <f t="shared" si="8"/>
        <v>6.474752475247526E-5</v>
      </c>
      <c r="M44" s="3">
        <f t="shared" si="9"/>
        <v>4.7762865441819992E-3</v>
      </c>
      <c r="N44" s="29">
        <f t="shared" si="10"/>
        <v>2.7281290343848298E-7</v>
      </c>
      <c r="O44" s="29">
        <f t="shared" si="11"/>
        <v>2.032E-3</v>
      </c>
      <c r="P44" s="29">
        <v>7.43403717661394E-11</v>
      </c>
      <c r="Q44" s="16">
        <v>0.1</v>
      </c>
      <c r="R44" s="2">
        <f t="shared" si="12"/>
        <v>110000.00000000001</v>
      </c>
      <c r="S44" s="2">
        <f t="shared" si="13"/>
        <v>5.1940208761751296E-3</v>
      </c>
      <c r="T44" s="2">
        <v>0.13</v>
      </c>
      <c r="U44" s="2">
        <f t="shared" si="14"/>
        <v>112999.99999999999</v>
      </c>
      <c r="V44" s="2">
        <f t="shared" si="19"/>
        <v>7.3164702970297038</v>
      </c>
      <c r="W44" s="2">
        <f t="shared" si="15"/>
        <v>5</v>
      </c>
      <c r="X44" s="2">
        <f t="shared" si="20"/>
        <v>2.8996494989891529E-7</v>
      </c>
      <c r="Y44" s="2">
        <f t="shared" si="16"/>
        <v>104805.42115618727</v>
      </c>
      <c r="Z44" s="2">
        <f t="shared" si="17"/>
        <v>1.4371290469882106E-14</v>
      </c>
      <c r="AA44" s="2">
        <f t="shared" si="18"/>
        <v>8654391120.9630051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</row>
    <row r="45" spans="1:75" s="4" customFormat="1" x14ac:dyDescent="0.25">
      <c r="A45" s="3">
        <v>129</v>
      </c>
      <c r="B45" s="3">
        <f t="shared" si="3"/>
        <v>2.15</v>
      </c>
      <c r="C45" s="3">
        <v>20</v>
      </c>
      <c r="D45" s="3">
        <f t="shared" si="0"/>
        <v>29.146000000000001</v>
      </c>
      <c r="E45" s="3">
        <f t="shared" si="4"/>
        <v>4.8576666666666667E-7</v>
      </c>
      <c r="F45" s="3">
        <v>21.1</v>
      </c>
      <c r="G45" s="3">
        <f t="shared" si="5"/>
        <v>294.10000000000002</v>
      </c>
      <c r="H45" s="3">
        <v>101.3</v>
      </c>
      <c r="I45" s="3">
        <f t="shared" si="6"/>
        <v>101300</v>
      </c>
      <c r="J45" s="3">
        <f t="shared" si="7"/>
        <v>2.0124824921938581E-5</v>
      </c>
      <c r="K45" s="22">
        <v>64.227722772277218</v>
      </c>
      <c r="L45" s="3">
        <f t="shared" si="8"/>
        <v>6.4227722772277216E-5</v>
      </c>
      <c r="M45" s="3">
        <f t="shared" si="9"/>
        <v>4.7762865441819992E-3</v>
      </c>
      <c r="N45" s="29">
        <f t="shared" si="10"/>
        <v>2.7062272415405433E-7</v>
      </c>
      <c r="O45" s="29">
        <f t="shared" si="11"/>
        <v>2.032E-3</v>
      </c>
      <c r="P45" s="29">
        <v>7.43403717661394E-11</v>
      </c>
      <c r="Q45" s="16">
        <v>0.1</v>
      </c>
      <c r="R45" s="2">
        <f t="shared" si="12"/>
        <v>110000.00000000001</v>
      </c>
      <c r="S45" s="2">
        <f t="shared" si="13"/>
        <v>5.1940208761751296E-3</v>
      </c>
      <c r="T45" s="2">
        <v>0.13</v>
      </c>
      <c r="U45" s="2">
        <f t="shared" si="14"/>
        <v>112999.99999999999</v>
      </c>
      <c r="V45" s="2">
        <f t="shared" si="19"/>
        <v>7.2577326732673244</v>
      </c>
      <c r="W45" s="2">
        <f t="shared" si="15"/>
        <v>5</v>
      </c>
      <c r="X45" s="2">
        <f t="shared" si="20"/>
        <v>2.8737674513399227E-7</v>
      </c>
      <c r="Y45" s="2">
        <f t="shared" si="16"/>
        <v>104851.23185606877</v>
      </c>
      <c r="Z45" s="2">
        <f t="shared" si="17"/>
        <v>1.4236782094853257E-14</v>
      </c>
      <c r="AA45" s="2">
        <f t="shared" si="18"/>
        <v>8573390177.5206318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</row>
    <row r="46" spans="1:75" s="4" customFormat="1" x14ac:dyDescent="0.25">
      <c r="A46" s="3">
        <v>132</v>
      </c>
      <c r="B46" s="3">
        <f t="shared" si="3"/>
        <v>2.2000000000000002</v>
      </c>
      <c r="C46" s="3">
        <v>20</v>
      </c>
      <c r="D46" s="3">
        <f t="shared" si="0"/>
        <v>29.146000000000001</v>
      </c>
      <c r="E46" s="3">
        <f t="shared" si="4"/>
        <v>4.8576666666666667E-7</v>
      </c>
      <c r="F46" s="3">
        <v>21.1</v>
      </c>
      <c r="G46" s="3">
        <f t="shared" si="5"/>
        <v>294.10000000000002</v>
      </c>
      <c r="H46" s="3">
        <v>101.3</v>
      </c>
      <c r="I46" s="3">
        <f t="shared" si="6"/>
        <v>101300</v>
      </c>
      <c r="J46" s="3">
        <f t="shared" si="7"/>
        <v>2.0124824921938581E-5</v>
      </c>
      <c r="K46" s="22">
        <v>55.019801980198018</v>
      </c>
      <c r="L46" s="3">
        <f t="shared" si="8"/>
        <v>5.501980198019802E-5</v>
      </c>
      <c r="M46" s="3">
        <f t="shared" si="9"/>
        <v>4.7762865441819992E-3</v>
      </c>
      <c r="N46" s="29">
        <f t="shared" si="10"/>
        <v>2.3182526254417764E-7</v>
      </c>
      <c r="O46" s="29">
        <f t="shared" si="11"/>
        <v>2.032E-3</v>
      </c>
      <c r="P46" s="29">
        <v>7.43403717661394E-11</v>
      </c>
      <c r="Q46" s="16">
        <v>0.1</v>
      </c>
      <c r="R46" s="2">
        <f t="shared" si="12"/>
        <v>110000.00000000001</v>
      </c>
      <c r="S46" s="2">
        <f t="shared" si="13"/>
        <v>5.1940208761751296E-3</v>
      </c>
      <c r="T46" s="2">
        <v>0.13</v>
      </c>
      <c r="U46" s="2">
        <f t="shared" si="14"/>
        <v>112999.99999999999</v>
      </c>
      <c r="V46" s="2">
        <f t="shared" si="19"/>
        <v>6.2172376237623759</v>
      </c>
      <c r="W46" s="2">
        <f t="shared" si="15"/>
        <v>5</v>
      </c>
      <c r="X46" s="2">
        <f t="shared" si="20"/>
        <v>2.4124113419248939E-7</v>
      </c>
      <c r="Y46" s="2">
        <f t="shared" si="16"/>
        <v>105669.50230373691</v>
      </c>
      <c r="Z46" s="2">
        <f t="shared" si="17"/>
        <v>1.1858532378620925E-14</v>
      </c>
      <c r="AA46" s="2">
        <f t="shared" si="18"/>
        <v>7141208198.4055214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</row>
    <row r="47" spans="1:75" s="4" customFormat="1" x14ac:dyDescent="0.25">
      <c r="A47" s="3">
        <v>135</v>
      </c>
      <c r="B47" s="3">
        <f t="shared" si="3"/>
        <v>2.25</v>
      </c>
      <c r="C47" s="3">
        <v>20</v>
      </c>
      <c r="D47" s="3">
        <f t="shared" si="0"/>
        <v>29.146000000000001</v>
      </c>
      <c r="E47" s="3">
        <f t="shared" si="4"/>
        <v>4.8576666666666667E-7</v>
      </c>
      <c r="F47" s="3">
        <v>21.1</v>
      </c>
      <c r="G47" s="3">
        <f t="shared" si="5"/>
        <v>294.10000000000002</v>
      </c>
      <c r="H47" s="3">
        <v>101.3</v>
      </c>
      <c r="I47" s="3">
        <f t="shared" si="6"/>
        <v>101300</v>
      </c>
      <c r="J47" s="3">
        <f t="shared" si="7"/>
        <v>2.0124824921938581E-5</v>
      </c>
      <c r="K47" s="22">
        <v>64.178217821782184</v>
      </c>
      <c r="L47" s="3">
        <f t="shared" si="8"/>
        <v>6.4178217821782185E-5</v>
      </c>
      <c r="M47" s="3">
        <f t="shared" si="9"/>
        <v>4.7762865441819992E-3</v>
      </c>
      <c r="N47" s="29">
        <f t="shared" si="10"/>
        <v>2.7041413565077548E-7</v>
      </c>
      <c r="O47" s="29">
        <f t="shared" si="11"/>
        <v>2.032E-3</v>
      </c>
      <c r="P47" s="29">
        <v>7.43403717661394E-11</v>
      </c>
      <c r="Q47" s="16">
        <v>0.1</v>
      </c>
      <c r="R47" s="2">
        <f t="shared" si="12"/>
        <v>110000.00000000001</v>
      </c>
      <c r="S47" s="2">
        <f t="shared" si="13"/>
        <v>5.1940208761751296E-3</v>
      </c>
      <c r="T47" s="2">
        <v>0.13</v>
      </c>
      <c r="U47" s="2">
        <f t="shared" si="14"/>
        <v>112999.99999999999</v>
      </c>
      <c r="V47" s="2">
        <f t="shared" si="19"/>
        <v>7.2521386138613861</v>
      </c>
      <c r="W47" s="2">
        <f t="shared" si="15"/>
        <v>5</v>
      </c>
      <c r="X47" s="2">
        <f t="shared" si="20"/>
        <v>2.8713016557786972E-7</v>
      </c>
      <c r="Y47" s="2">
        <f t="shared" si="16"/>
        <v>104855.59678649266</v>
      </c>
      <c r="Z47" s="2">
        <f t="shared" si="17"/>
        <v>1.422397348474732E-14</v>
      </c>
      <c r="AA47" s="2">
        <f t="shared" si="18"/>
        <v>8565676832.5148363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</row>
    <row r="48" spans="1:75" s="4" customFormat="1" x14ac:dyDescent="0.25">
      <c r="A48" s="3">
        <v>138</v>
      </c>
      <c r="B48" s="3">
        <f t="shared" si="3"/>
        <v>2.2999999999999998</v>
      </c>
      <c r="C48" s="3">
        <v>20</v>
      </c>
      <c r="D48" s="3">
        <f t="shared" si="0"/>
        <v>29.146000000000001</v>
      </c>
      <c r="E48" s="3">
        <f t="shared" si="4"/>
        <v>4.8576666666666667E-7</v>
      </c>
      <c r="F48" s="3">
        <v>21.1</v>
      </c>
      <c r="G48" s="3">
        <f t="shared" si="5"/>
        <v>294.10000000000002</v>
      </c>
      <c r="H48" s="3">
        <v>101.3</v>
      </c>
      <c r="I48" s="3">
        <f t="shared" si="6"/>
        <v>101300</v>
      </c>
      <c r="J48" s="3">
        <f t="shared" si="7"/>
        <v>2.0124824921938581E-5</v>
      </c>
      <c r="K48" s="22">
        <v>58.658415841584166</v>
      </c>
      <c r="L48" s="3">
        <f t="shared" si="8"/>
        <v>5.8658415841584169E-5</v>
      </c>
      <c r="M48" s="3">
        <f t="shared" si="9"/>
        <v>4.7762865441819992E-3</v>
      </c>
      <c r="N48" s="29">
        <f t="shared" si="10"/>
        <v>2.4715651753517735E-7</v>
      </c>
      <c r="O48" s="29">
        <f t="shared" si="11"/>
        <v>2.032E-3</v>
      </c>
      <c r="P48" s="29">
        <v>7.43403717661394E-11</v>
      </c>
      <c r="Q48" s="16">
        <v>0.1</v>
      </c>
      <c r="R48" s="2">
        <f t="shared" si="12"/>
        <v>110000.00000000001</v>
      </c>
      <c r="S48" s="2">
        <f t="shared" si="13"/>
        <v>5.1940208761751296E-3</v>
      </c>
      <c r="T48" s="2">
        <v>0.13</v>
      </c>
      <c r="U48" s="2">
        <f t="shared" si="14"/>
        <v>112999.99999999999</v>
      </c>
      <c r="V48" s="2">
        <f t="shared" si="19"/>
        <v>6.62840099009901</v>
      </c>
      <c r="W48" s="2">
        <f t="shared" si="15"/>
        <v>5</v>
      </c>
      <c r="X48" s="2">
        <f t="shared" si="20"/>
        <v>2.5954048713564473E-7</v>
      </c>
      <c r="Y48" s="2">
        <f t="shared" si="16"/>
        <v>105344.56073144397</v>
      </c>
      <c r="Z48" s="2">
        <f t="shared" si="17"/>
        <v>1.2797466957735879E-14</v>
      </c>
      <c r="AA48" s="2">
        <f t="shared" si="18"/>
        <v>7706634601.9485464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</row>
    <row r="49" spans="1:75" s="4" customFormat="1" x14ac:dyDescent="0.25">
      <c r="A49" s="3">
        <v>141</v>
      </c>
      <c r="B49" s="3">
        <f t="shared" si="3"/>
        <v>2.35</v>
      </c>
      <c r="C49" s="3">
        <v>20</v>
      </c>
      <c r="D49" s="3">
        <f t="shared" si="0"/>
        <v>29.146000000000001</v>
      </c>
      <c r="E49" s="3">
        <f t="shared" si="4"/>
        <v>4.8576666666666667E-7</v>
      </c>
      <c r="F49" s="3">
        <v>21.1</v>
      </c>
      <c r="G49" s="3">
        <f t="shared" si="5"/>
        <v>294.10000000000002</v>
      </c>
      <c r="H49" s="3">
        <v>101.3</v>
      </c>
      <c r="I49" s="3">
        <f t="shared" si="6"/>
        <v>101300</v>
      </c>
      <c r="J49" s="3">
        <f t="shared" si="7"/>
        <v>2.0124824921938581E-5</v>
      </c>
      <c r="K49" s="22">
        <v>53.930693069306926</v>
      </c>
      <c r="L49" s="3">
        <f t="shared" si="8"/>
        <v>5.3930693069306929E-5</v>
      </c>
      <c r="M49" s="3">
        <f t="shared" si="9"/>
        <v>4.7762865441819992E-3</v>
      </c>
      <c r="N49" s="29">
        <f t="shared" si="10"/>
        <v>2.2723631547204166E-7</v>
      </c>
      <c r="O49" s="29">
        <f t="shared" si="11"/>
        <v>2.032E-3</v>
      </c>
      <c r="P49" s="29">
        <v>7.43403717661394E-11</v>
      </c>
      <c r="Q49" s="16">
        <v>0.1</v>
      </c>
      <c r="R49" s="2">
        <f t="shared" si="12"/>
        <v>110000.00000000001</v>
      </c>
      <c r="S49" s="2">
        <f t="shared" si="13"/>
        <v>5.1940208761751296E-3</v>
      </c>
      <c r="T49" s="2">
        <v>0.13</v>
      </c>
      <c r="U49" s="2">
        <f t="shared" si="14"/>
        <v>112999.99999999999</v>
      </c>
      <c r="V49" s="2">
        <f t="shared" si="19"/>
        <v>6.0941683168316825</v>
      </c>
      <c r="W49" s="2">
        <f t="shared" si="15"/>
        <v>5</v>
      </c>
      <c r="X49" s="2">
        <f t="shared" si="20"/>
        <v>2.3574481092559017E-7</v>
      </c>
      <c r="Y49" s="2">
        <f t="shared" si="16"/>
        <v>105767.19822118036</v>
      </c>
      <c r="Z49" s="2">
        <f t="shared" si="17"/>
        <v>1.1577635089601934E-14</v>
      </c>
      <c r="AA49" s="2">
        <f t="shared" si="18"/>
        <v>6972051850.9582853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</row>
    <row r="50" spans="1:75" s="4" customFormat="1" x14ac:dyDescent="0.25">
      <c r="A50" s="3">
        <v>144</v>
      </c>
      <c r="B50" s="3">
        <f t="shared" si="3"/>
        <v>2.4</v>
      </c>
      <c r="C50" s="3">
        <v>20</v>
      </c>
      <c r="D50" s="3">
        <f t="shared" si="0"/>
        <v>29.146000000000001</v>
      </c>
      <c r="E50" s="3">
        <f t="shared" si="4"/>
        <v>4.8576666666666667E-7</v>
      </c>
      <c r="F50" s="3">
        <v>21.1</v>
      </c>
      <c r="G50" s="3">
        <f t="shared" si="5"/>
        <v>294.10000000000002</v>
      </c>
      <c r="H50" s="3">
        <v>101.3</v>
      </c>
      <c r="I50" s="3">
        <f t="shared" si="6"/>
        <v>101300</v>
      </c>
      <c r="J50" s="3">
        <f t="shared" si="7"/>
        <v>2.0124824921938581E-5</v>
      </c>
      <c r="K50" s="22">
        <v>51.851485148514847</v>
      </c>
      <c r="L50" s="3">
        <f t="shared" si="8"/>
        <v>5.1851485148514849E-5</v>
      </c>
      <c r="M50" s="3">
        <f t="shared" si="9"/>
        <v>4.7762865441819992E-3</v>
      </c>
      <c r="N50" s="29">
        <f t="shared" si="10"/>
        <v>2.1847559833432756E-7</v>
      </c>
      <c r="O50" s="29">
        <f t="shared" si="11"/>
        <v>2.032E-3</v>
      </c>
      <c r="P50" s="29">
        <v>7.43403717661394E-11</v>
      </c>
      <c r="Q50" s="16">
        <v>0.1</v>
      </c>
      <c r="R50" s="2">
        <f t="shared" si="12"/>
        <v>110000.00000000001</v>
      </c>
      <c r="S50" s="2">
        <f t="shared" si="13"/>
        <v>5.1940208761751296E-3</v>
      </c>
      <c r="T50" s="2">
        <v>0.13</v>
      </c>
      <c r="U50" s="2">
        <f t="shared" si="14"/>
        <v>112999.99999999999</v>
      </c>
      <c r="V50" s="2">
        <f t="shared" si="19"/>
        <v>5.8592178217821775</v>
      </c>
      <c r="W50" s="2">
        <f t="shared" si="15"/>
        <v>5</v>
      </c>
      <c r="X50" s="2">
        <f t="shared" si="20"/>
        <v>2.252260167837493E-7</v>
      </c>
      <c r="Y50" s="2">
        <f t="shared" si="16"/>
        <v>105954.29329755066</v>
      </c>
      <c r="Z50" s="2">
        <f t="shared" si="17"/>
        <v>1.1041490543902125E-14</v>
      </c>
      <c r="AA50" s="2">
        <f t="shared" si="18"/>
        <v>6649185605.5378599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</row>
    <row r="51" spans="1:75" s="4" customFormat="1" x14ac:dyDescent="0.25">
      <c r="A51" s="3">
        <v>147</v>
      </c>
      <c r="B51" s="3">
        <f t="shared" si="3"/>
        <v>2.4500000000000002</v>
      </c>
      <c r="C51" s="3">
        <v>20</v>
      </c>
      <c r="D51" s="3">
        <f t="shared" si="0"/>
        <v>29.146000000000001</v>
      </c>
      <c r="E51" s="3">
        <f t="shared" si="4"/>
        <v>4.8576666666666667E-7</v>
      </c>
      <c r="F51" s="3">
        <v>21.1</v>
      </c>
      <c r="G51" s="3">
        <f t="shared" si="5"/>
        <v>294.10000000000002</v>
      </c>
      <c r="H51" s="3">
        <v>101.3</v>
      </c>
      <c r="I51" s="3">
        <f t="shared" si="6"/>
        <v>101300</v>
      </c>
      <c r="J51" s="3">
        <f t="shared" si="7"/>
        <v>2.0124824921938581E-5</v>
      </c>
      <c r="K51" s="22">
        <v>55.341584158415841</v>
      </c>
      <c r="L51" s="3">
        <f t="shared" si="8"/>
        <v>5.5341584158415844E-5</v>
      </c>
      <c r="M51" s="3">
        <f t="shared" si="9"/>
        <v>4.7762865441819992E-3</v>
      </c>
      <c r="N51" s="29">
        <f t="shared" si="10"/>
        <v>2.3318108781549053E-7</v>
      </c>
      <c r="O51" s="29">
        <f t="shared" si="11"/>
        <v>2.032E-3</v>
      </c>
      <c r="P51" s="29">
        <v>7.43403717661394E-11</v>
      </c>
      <c r="Q51" s="16">
        <v>0.1</v>
      </c>
      <c r="R51" s="2">
        <f t="shared" si="12"/>
        <v>110000.00000000001</v>
      </c>
      <c r="S51" s="2">
        <f t="shared" si="13"/>
        <v>5.1940208761751296E-3</v>
      </c>
      <c r="T51" s="2">
        <v>0.13</v>
      </c>
      <c r="U51" s="2">
        <f t="shared" si="14"/>
        <v>112999.99999999999</v>
      </c>
      <c r="V51" s="2">
        <f t="shared" si="19"/>
        <v>6.2535990099009897</v>
      </c>
      <c r="W51" s="2">
        <f t="shared" si="15"/>
        <v>5</v>
      </c>
      <c r="X51" s="2">
        <f t="shared" si="20"/>
        <v>2.4286332566948021E-7</v>
      </c>
      <c r="Y51" s="2">
        <f t="shared" si="16"/>
        <v>105640.67684044054</v>
      </c>
      <c r="Z51" s="2">
        <f t="shared" si="17"/>
        <v>1.1941535201092041E-14</v>
      </c>
      <c r="AA51" s="2">
        <f t="shared" si="18"/>
        <v>7191192498.0976276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</row>
    <row r="52" spans="1:75" s="4" customFormat="1" x14ac:dyDescent="0.25">
      <c r="A52" s="3">
        <v>150</v>
      </c>
      <c r="B52" s="3">
        <f t="shared" si="3"/>
        <v>2.5</v>
      </c>
      <c r="C52" s="3">
        <v>20</v>
      </c>
      <c r="D52" s="3">
        <f t="shared" si="0"/>
        <v>29.146000000000001</v>
      </c>
      <c r="E52" s="3">
        <f t="shared" si="4"/>
        <v>4.8576666666666667E-7</v>
      </c>
      <c r="F52" s="3">
        <v>21.1</v>
      </c>
      <c r="G52" s="3">
        <f t="shared" si="5"/>
        <v>294.10000000000002</v>
      </c>
      <c r="H52" s="3">
        <v>101.3</v>
      </c>
      <c r="I52" s="3">
        <f t="shared" si="6"/>
        <v>101300</v>
      </c>
      <c r="J52" s="3">
        <f t="shared" si="7"/>
        <v>2.0124824921938581E-5</v>
      </c>
      <c r="K52" s="22">
        <v>63.85643564356436</v>
      </c>
      <c r="L52" s="3">
        <f t="shared" si="8"/>
        <v>6.3856435643564361E-5</v>
      </c>
      <c r="M52" s="3">
        <f t="shared" si="9"/>
        <v>4.7762865441819992E-3</v>
      </c>
      <c r="N52" s="29">
        <f t="shared" si="10"/>
        <v>2.6905831037946262E-7</v>
      </c>
      <c r="O52" s="29">
        <f t="shared" si="11"/>
        <v>2.032E-3</v>
      </c>
      <c r="P52" s="29">
        <v>7.43403717661394E-11</v>
      </c>
      <c r="Q52" s="16">
        <v>0.1</v>
      </c>
      <c r="R52" s="2">
        <f t="shared" si="12"/>
        <v>110000.00000000001</v>
      </c>
      <c r="S52" s="2">
        <f t="shared" si="13"/>
        <v>5.1940208761751296E-3</v>
      </c>
      <c r="T52" s="2">
        <v>0.13</v>
      </c>
      <c r="U52" s="2">
        <f t="shared" si="14"/>
        <v>112999.99999999999</v>
      </c>
      <c r="V52" s="2">
        <f t="shared" si="19"/>
        <v>7.2157772277227714</v>
      </c>
      <c r="W52" s="2">
        <f t="shared" si="15"/>
        <v>5</v>
      </c>
      <c r="X52" s="2">
        <f t="shared" si="20"/>
        <v>2.8552704047883175E-7</v>
      </c>
      <c r="Y52" s="2">
        <f t="shared" si="16"/>
        <v>104883.97738673455</v>
      </c>
      <c r="Z52" s="2">
        <f t="shared" si="17"/>
        <v>1.4140724658160306E-14</v>
      </c>
      <c r="AA52" s="2">
        <f t="shared" si="18"/>
        <v>8515544389.1441364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</row>
    <row r="53" spans="1:75" s="4" customFormat="1" x14ac:dyDescent="0.25">
      <c r="A53" s="3">
        <v>153</v>
      </c>
      <c r="B53" s="3">
        <f t="shared" si="3"/>
        <v>2.5499999999999998</v>
      </c>
      <c r="C53" s="3">
        <v>20</v>
      </c>
      <c r="D53" s="3">
        <f t="shared" si="0"/>
        <v>29.146000000000001</v>
      </c>
      <c r="E53" s="3">
        <f t="shared" si="4"/>
        <v>4.8576666666666667E-7</v>
      </c>
      <c r="F53" s="3">
        <v>21.1</v>
      </c>
      <c r="G53" s="3">
        <f t="shared" si="5"/>
        <v>294.10000000000002</v>
      </c>
      <c r="H53" s="3">
        <v>101.3</v>
      </c>
      <c r="I53" s="3">
        <f t="shared" si="6"/>
        <v>101300</v>
      </c>
      <c r="J53" s="3">
        <f t="shared" si="7"/>
        <v>2.0124824921938581E-5</v>
      </c>
      <c r="K53" s="22">
        <v>53.485148514851488</v>
      </c>
      <c r="L53" s="3">
        <f t="shared" si="8"/>
        <v>5.3485148514851486E-5</v>
      </c>
      <c r="M53" s="3">
        <f t="shared" si="9"/>
        <v>4.7762865441819992E-3</v>
      </c>
      <c r="N53" s="29">
        <f t="shared" si="10"/>
        <v>2.2535901894253148E-7</v>
      </c>
      <c r="O53" s="29">
        <f t="shared" si="11"/>
        <v>2.032E-3</v>
      </c>
      <c r="P53" s="29">
        <v>7.43403717661394E-11</v>
      </c>
      <c r="Q53" s="16">
        <v>0.1</v>
      </c>
      <c r="R53" s="2">
        <f t="shared" si="12"/>
        <v>110000.00000000001</v>
      </c>
      <c r="S53" s="2">
        <f t="shared" si="13"/>
        <v>5.1940208761751296E-3</v>
      </c>
      <c r="T53" s="2">
        <v>0.13</v>
      </c>
      <c r="U53" s="2">
        <f t="shared" si="14"/>
        <v>112999.99999999999</v>
      </c>
      <c r="V53" s="2">
        <f t="shared" si="19"/>
        <v>6.0438217821782168</v>
      </c>
      <c r="W53" s="2">
        <f t="shared" si="15"/>
        <v>5</v>
      </c>
      <c r="X53" s="2">
        <f t="shared" si="20"/>
        <v>2.3349367664519278E-7</v>
      </c>
      <c r="Y53" s="2">
        <f t="shared" si="16"/>
        <v>105807.22466022936</v>
      </c>
      <c r="Z53" s="2">
        <f t="shared" si="17"/>
        <v>1.1462736250570339E-14</v>
      </c>
      <c r="AA53" s="2">
        <f t="shared" si="18"/>
        <v>6902859770.0934582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</row>
    <row r="54" spans="1:75" s="4" customFormat="1" x14ac:dyDescent="0.25">
      <c r="A54" s="3">
        <v>156</v>
      </c>
      <c r="B54" s="3">
        <f t="shared" si="3"/>
        <v>2.6</v>
      </c>
      <c r="C54" s="3">
        <v>20</v>
      </c>
      <c r="D54" s="3">
        <f t="shared" si="0"/>
        <v>29.146000000000001</v>
      </c>
      <c r="E54" s="3">
        <f t="shared" si="4"/>
        <v>4.8576666666666667E-7</v>
      </c>
      <c r="F54" s="3">
        <v>21.1</v>
      </c>
      <c r="G54" s="3">
        <f t="shared" si="5"/>
        <v>294.10000000000002</v>
      </c>
      <c r="H54" s="3">
        <v>101.3</v>
      </c>
      <c r="I54" s="3">
        <f t="shared" si="6"/>
        <v>101300</v>
      </c>
      <c r="J54" s="3">
        <f t="shared" si="7"/>
        <v>2.0124824921938581E-5</v>
      </c>
      <c r="K54" s="22">
        <v>60.366336633663373</v>
      </c>
      <c r="L54" s="3">
        <f t="shared" si="8"/>
        <v>6.0366336633663373E-5</v>
      </c>
      <c r="M54" s="3">
        <f t="shared" si="9"/>
        <v>4.7762865441819992E-3</v>
      </c>
      <c r="N54" s="29">
        <f t="shared" si="10"/>
        <v>2.5435282089829963E-7</v>
      </c>
      <c r="O54" s="29">
        <f t="shared" si="11"/>
        <v>2.032E-3</v>
      </c>
      <c r="P54" s="29">
        <v>7.43403717661394E-11</v>
      </c>
      <c r="Q54" s="16">
        <v>0.1</v>
      </c>
      <c r="R54" s="2">
        <f t="shared" si="12"/>
        <v>110000.00000000001</v>
      </c>
      <c r="S54" s="2">
        <f t="shared" si="13"/>
        <v>5.1940208761751296E-3</v>
      </c>
      <c r="T54" s="2">
        <v>0.13</v>
      </c>
      <c r="U54" s="2">
        <f t="shared" si="14"/>
        <v>112999.99999999999</v>
      </c>
      <c r="V54" s="2">
        <f t="shared" si="19"/>
        <v>6.8213960396039601</v>
      </c>
      <c r="W54" s="2">
        <f t="shared" si="15"/>
        <v>5</v>
      </c>
      <c r="X54" s="2">
        <f t="shared" si="20"/>
        <v>2.6809818975712E-7</v>
      </c>
      <c r="Y54" s="2">
        <f t="shared" si="16"/>
        <v>105192.77334082439</v>
      </c>
      <c r="Z54" s="2">
        <f t="shared" si="17"/>
        <v>1.323853203509734E-14</v>
      </c>
      <c r="AA54" s="2">
        <f t="shared" si="18"/>
        <v>7972243991.5356188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</row>
    <row r="55" spans="1:75" s="4" customFormat="1" x14ac:dyDescent="0.25">
      <c r="A55" s="3">
        <v>159</v>
      </c>
      <c r="B55" s="3">
        <f t="shared" si="3"/>
        <v>2.65</v>
      </c>
      <c r="C55" s="3">
        <v>20</v>
      </c>
      <c r="D55" s="3">
        <f t="shared" si="0"/>
        <v>29.146000000000001</v>
      </c>
      <c r="E55" s="3">
        <f t="shared" si="4"/>
        <v>4.8576666666666667E-7</v>
      </c>
      <c r="F55" s="3">
        <v>21.1</v>
      </c>
      <c r="G55" s="3">
        <f t="shared" si="5"/>
        <v>294.10000000000002</v>
      </c>
      <c r="H55" s="3">
        <v>101.3</v>
      </c>
      <c r="I55" s="3">
        <f t="shared" si="6"/>
        <v>101300</v>
      </c>
      <c r="J55" s="3">
        <f t="shared" si="7"/>
        <v>2.0124824921938581E-5</v>
      </c>
      <c r="K55" s="22">
        <v>55.539603960396036</v>
      </c>
      <c r="L55" s="3">
        <f t="shared" si="8"/>
        <v>5.5539603960396036E-5</v>
      </c>
      <c r="M55" s="3">
        <f t="shared" si="9"/>
        <v>4.7762865441819992E-3</v>
      </c>
      <c r="N55" s="29">
        <f t="shared" si="10"/>
        <v>2.3401544182860612E-7</v>
      </c>
      <c r="O55" s="29">
        <f t="shared" si="11"/>
        <v>2.032E-3</v>
      </c>
      <c r="P55" s="29">
        <v>7.43403717661394E-11</v>
      </c>
      <c r="Q55" s="16">
        <v>0.1</v>
      </c>
      <c r="R55" s="2">
        <f t="shared" si="12"/>
        <v>110000.00000000001</v>
      </c>
      <c r="S55" s="2">
        <f t="shared" si="13"/>
        <v>5.1940208761751296E-3</v>
      </c>
      <c r="T55" s="2">
        <v>0.13</v>
      </c>
      <c r="U55" s="2">
        <f t="shared" si="14"/>
        <v>112999.99999999999</v>
      </c>
      <c r="V55" s="2">
        <f t="shared" si="19"/>
        <v>6.2759752475247517</v>
      </c>
      <c r="W55" s="2">
        <f t="shared" si="15"/>
        <v>5</v>
      </c>
      <c r="X55" s="2">
        <f t="shared" si="20"/>
        <v>2.4386121257135651E-7</v>
      </c>
      <c r="Y55" s="2">
        <f t="shared" si="16"/>
        <v>105622.94688447315</v>
      </c>
      <c r="Z55" s="2">
        <f t="shared" si="17"/>
        <v>1.19926164882969E-14</v>
      </c>
      <c r="AA55" s="2">
        <f t="shared" si="18"/>
        <v>7221953649.2523937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</row>
    <row r="56" spans="1:75" s="4" customFormat="1" x14ac:dyDescent="0.25">
      <c r="A56" s="3">
        <v>162</v>
      </c>
      <c r="B56" s="3">
        <f t="shared" si="3"/>
        <v>2.7</v>
      </c>
      <c r="C56" s="3">
        <v>20</v>
      </c>
      <c r="D56" s="3">
        <f t="shared" si="0"/>
        <v>29.146000000000001</v>
      </c>
      <c r="E56" s="3">
        <f t="shared" si="4"/>
        <v>4.8576666666666667E-7</v>
      </c>
      <c r="F56" s="3">
        <v>21.1</v>
      </c>
      <c r="G56" s="3">
        <f t="shared" si="5"/>
        <v>294.10000000000002</v>
      </c>
      <c r="H56" s="3">
        <v>101.3</v>
      </c>
      <c r="I56" s="3">
        <f t="shared" si="6"/>
        <v>101300</v>
      </c>
      <c r="J56" s="3">
        <f t="shared" si="7"/>
        <v>2.0124824921938581E-5</v>
      </c>
      <c r="K56" s="22">
        <v>54.400990099009903</v>
      </c>
      <c r="L56" s="3">
        <f t="shared" si="8"/>
        <v>5.44009900990099E-5</v>
      </c>
      <c r="M56" s="3">
        <f t="shared" si="9"/>
        <v>4.7762865441819992E-3</v>
      </c>
      <c r="N56" s="29">
        <f t="shared" si="10"/>
        <v>2.2921790625319129E-7</v>
      </c>
      <c r="O56" s="29">
        <f t="shared" si="11"/>
        <v>2.032E-3</v>
      </c>
      <c r="P56" s="29">
        <v>7.43403717661394E-11</v>
      </c>
      <c r="Q56" s="16">
        <v>0.1</v>
      </c>
      <c r="R56" s="2">
        <f t="shared" si="12"/>
        <v>110000.00000000001</v>
      </c>
      <c r="S56" s="2">
        <f t="shared" si="13"/>
        <v>5.1940208761751296E-3</v>
      </c>
      <c r="T56" s="2">
        <v>0.13</v>
      </c>
      <c r="U56" s="2">
        <f t="shared" si="14"/>
        <v>112999.99999999999</v>
      </c>
      <c r="V56" s="2">
        <f t="shared" si="19"/>
        <v>6.1473118811881182</v>
      </c>
      <c r="W56" s="2">
        <f t="shared" si="15"/>
        <v>5</v>
      </c>
      <c r="X56" s="2">
        <f t="shared" si="20"/>
        <v>2.3811933675005156E-7</v>
      </c>
      <c r="Y56" s="2">
        <f t="shared" si="16"/>
        <v>105724.98601710296</v>
      </c>
      <c r="Z56" s="2">
        <f t="shared" si="17"/>
        <v>1.1698925387833024E-14</v>
      </c>
      <c r="AA56" s="2">
        <f t="shared" si="18"/>
        <v>7045092868.5530472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</row>
    <row r="57" spans="1:75" s="4" customFormat="1" x14ac:dyDescent="0.25">
      <c r="A57" s="3">
        <v>165</v>
      </c>
      <c r="B57" s="3">
        <f t="shared" si="3"/>
        <v>2.75</v>
      </c>
      <c r="C57" s="3">
        <v>20</v>
      </c>
      <c r="D57" s="3">
        <f t="shared" si="0"/>
        <v>29.146000000000001</v>
      </c>
      <c r="E57" s="3">
        <f t="shared" si="4"/>
        <v>4.8576666666666667E-7</v>
      </c>
      <c r="F57" s="3">
        <v>21.1</v>
      </c>
      <c r="G57" s="3">
        <f t="shared" si="5"/>
        <v>294.10000000000002</v>
      </c>
      <c r="H57" s="3">
        <v>101.3</v>
      </c>
      <c r="I57" s="3">
        <f t="shared" si="6"/>
        <v>101300</v>
      </c>
      <c r="J57" s="3">
        <f t="shared" si="7"/>
        <v>2.0124824921938581E-5</v>
      </c>
      <c r="K57" s="22">
        <v>62.544554455445549</v>
      </c>
      <c r="L57" s="3">
        <f t="shared" si="8"/>
        <v>6.2544554455445548E-5</v>
      </c>
      <c r="M57" s="3">
        <f t="shared" si="9"/>
        <v>4.7762865441819992E-3</v>
      </c>
      <c r="N57" s="29">
        <f t="shared" si="10"/>
        <v>2.6353071504257154E-7</v>
      </c>
      <c r="O57" s="29">
        <f t="shared" si="11"/>
        <v>2.032E-3</v>
      </c>
      <c r="P57" s="29">
        <v>7.43403717661394E-11</v>
      </c>
      <c r="Q57" s="16">
        <v>0.1</v>
      </c>
      <c r="R57" s="2">
        <f t="shared" si="12"/>
        <v>110000.00000000001</v>
      </c>
      <c r="S57" s="2">
        <f t="shared" si="13"/>
        <v>5.1940208761751296E-3</v>
      </c>
      <c r="T57" s="2">
        <v>0.13</v>
      </c>
      <c r="U57" s="2">
        <f t="shared" si="14"/>
        <v>112999.99999999999</v>
      </c>
      <c r="V57" s="2">
        <f t="shared" si="19"/>
        <v>7.067534653465346</v>
      </c>
      <c r="W57" s="2">
        <f t="shared" si="15"/>
        <v>5</v>
      </c>
      <c r="X57" s="2">
        <f t="shared" si="20"/>
        <v>2.7898471546172203E-7</v>
      </c>
      <c r="Y57" s="2">
        <f t="shared" si="16"/>
        <v>104999.83792642044</v>
      </c>
      <c r="Z57" s="2">
        <f t="shared" si="17"/>
        <v>1.3801449669677355E-14</v>
      </c>
      <c r="AA57" s="2">
        <f t="shared" si="18"/>
        <v>8311232991.0797043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</row>
    <row r="58" spans="1:75" s="4" customFormat="1" x14ac:dyDescent="0.25">
      <c r="A58" s="3">
        <v>168</v>
      </c>
      <c r="B58" s="3">
        <f t="shared" si="3"/>
        <v>2.8</v>
      </c>
      <c r="C58" s="3">
        <v>20</v>
      </c>
      <c r="D58" s="3">
        <f t="shared" si="0"/>
        <v>29.146000000000001</v>
      </c>
      <c r="E58" s="3">
        <f t="shared" si="4"/>
        <v>4.8576666666666667E-7</v>
      </c>
      <c r="F58" s="3">
        <v>21.1</v>
      </c>
      <c r="G58" s="3">
        <f t="shared" si="5"/>
        <v>294.10000000000002</v>
      </c>
      <c r="H58" s="3">
        <v>101.3</v>
      </c>
      <c r="I58" s="3">
        <f t="shared" si="6"/>
        <v>101300</v>
      </c>
      <c r="J58" s="3">
        <f t="shared" si="7"/>
        <v>2.0124824921938581E-5</v>
      </c>
      <c r="K58" s="22">
        <v>62.07425742574258</v>
      </c>
      <c r="L58" s="3">
        <f t="shared" si="8"/>
        <v>6.2074257425742576E-5</v>
      </c>
      <c r="M58" s="3">
        <f t="shared" si="9"/>
        <v>4.7762865441819992E-3</v>
      </c>
      <c r="N58" s="29">
        <f t="shared" si="10"/>
        <v>2.6154912426142196E-7</v>
      </c>
      <c r="O58" s="29">
        <f t="shared" si="11"/>
        <v>2.032E-3</v>
      </c>
      <c r="P58" s="29">
        <v>7.43403717661394E-11</v>
      </c>
      <c r="Q58" s="16">
        <v>0.1</v>
      </c>
      <c r="R58" s="2">
        <f t="shared" si="12"/>
        <v>110000.00000000001</v>
      </c>
      <c r="S58" s="2">
        <f t="shared" si="13"/>
        <v>5.1940208761751296E-3</v>
      </c>
      <c r="T58" s="2">
        <v>0.13</v>
      </c>
      <c r="U58" s="2">
        <f t="shared" si="14"/>
        <v>112999.99999999999</v>
      </c>
      <c r="V58" s="2">
        <f t="shared" si="19"/>
        <v>7.0143910891089103</v>
      </c>
      <c r="W58" s="2">
        <f t="shared" si="15"/>
        <v>5</v>
      </c>
      <c r="X58" s="2">
        <f t="shared" si="20"/>
        <v>2.7663676602658444E-7</v>
      </c>
      <c r="Y58" s="2">
        <f t="shared" si="16"/>
        <v>105041.43425791246</v>
      </c>
      <c r="Z58" s="2">
        <f t="shared" si="17"/>
        <v>1.3679869319804818E-14</v>
      </c>
      <c r="AA58" s="2">
        <f t="shared" si="18"/>
        <v>8238017304.3864622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</row>
    <row r="59" spans="1:75" s="4" customFormat="1" x14ac:dyDescent="0.25">
      <c r="A59" s="3">
        <v>171</v>
      </c>
      <c r="B59" s="3">
        <f t="shared" si="3"/>
        <v>2.85</v>
      </c>
      <c r="C59" s="3">
        <v>20</v>
      </c>
      <c r="D59" s="3">
        <f t="shared" si="0"/>
        <v>29.146000000000001</v>
      </c>
      <c r="E59" s="3">
        <f t="shared" si="4"/>
        <v>4.8576666666666667E-7</v>
      </c>
      <c r="F59" s="3">
        <v>21.1</v>
      </c>
      <c r="G59" s="3">
        <f t="shared" si="5"/>
        <v>294.10000000000002</v>
      </c>
      <c r="H59" s="3">
        <v>101.3</v>
      </c>
      <c r="I59" s="3">
        <f t="shared" si="6"/>
        <v>101300</v>
      </c>
      <c r="J59" s="3">
        <f t="shared" si="7"/>
        <v>2.0124824921938581E-5</v>
      </c>
      <c r="K59" s="22">
        <v>56.975247524752476</v>
      </c>
      <c r="L59" s="3">
        <f t="shared" si="8"/>
        <v>5.6975247524752474E-5</v>
      </c>
      <c r="M59" s="3">
        <f t="shared" si="9"/>
        <v>4.7762865441819992E-3</v>
      </c>
      <c r="N59" s="29">
        <f t="shared" si="10"/>
        <v>2.4006450842369444E-7</v>
      </c>
      <c r="O59" s="29">
        <f t="shared" si="11"/>
        <v>2.032E-3</v>
      </c>
      <c r="P59" s="29">
        <v>7.43403717661394E-11</v>
      </c>
      <c r="Q59" s="16">
        <v>0.1</v>
      </c>
      <c r="R59" s="2">
        <f t="shared" si="12"/>
        <v>110000.00000000001</v>
      </c>
      <c r="S59" s="2">
        <f t="shared" si="13"/>
        <v>5.1940208761751296E-3</v>
      </c>
      <c r="T59" s="2">
        <v>0.13</v>
      </c>
      <c r="U59" s="2">
        <f t="shared" si="14"/>
        <v>112999.99999999999</v>
      </c>
      <c r="V59" s="2">
        <f t="shared" si="19"/>
        <v>6.4382029702970289</v>
      </c>
      <c r="W59" s="2">
        <f t="shared" si="15"/>
        <v>5</v>
      </c>
      <c r="X59" s="2">
        <f t="shared" si="20"/>
        <v>2.5108727734443851E-7</v>
      </c>
      <c r="Y59" s="2">
        <f t="shared" si="16"/>
        <v>105494.60217517531</v>
      </c>
      <c r="Z59" s="2">
        <f t="shared" si="17"/>
        <v>1.2363022647854771E-14</v>
      </c>
      <c r="AA59" s="2">
        <f t="shared" si="18"/>
        <v>7445012238.5381432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</row>
    <row r="60" spans="1:75" s="4" customFormat="1" x14ac:dyDescent="0.25">
      <c r="A60" s="3">
        <v>174</v>
      </c>
      <c r="B60" s="3">
        <f t="shared" si="3"/>
        <v>2.9</v>
      </c>
      <c r="C60" s="3">
        <v>20</v>
      </c>
      <c r="D60" s="3">
        <f t="shared" si="0"/>
        <v>29.146000000000001</v>
      </c>
      <c r="E60" s="3">
        <f t="shared" si="4"/>
        <v>4.8576666666666667E-7</v>
      </c>
      <c r="F60" s="3">
        <v>21.1</v>
      </c>
      <c r="G60" s="3">
        <f t="shared" si="5"/>
        <v>294.10000000000002</v>
      </c>
      <c r="H60" s="3">
        <v>101.3</v>
      </c>
      <c r="I60" s="3">
        <f t="shared" si="6"/>
        <v>101300</v>
      </c>
      <c r="J60" s="3">
        <f t="shared" si="7"/>
        <v>2.0124824921938581E-5</v>
      </c>
      <c r="K60" s="28">
        <v>61.430693069306926</v>
      </c>
      <c r="L60" s="3">
        <f t="shared" si="8"/>
        <v>6.1430693069306928E-5</v>
      </c>
      <c r="M60" s="3">
        <f t="shared" si="9"/>
        <v>4.7762865441819992E-3</v>
      </c>
      <c r="N60" s="64">
        <f t="shared" si="10"/>
        <v>2.5883747371879613E-7</v>
      </c>
      <c r="O60" s="29">
        <f t="shared" si="11"/>
        <v>2.032E-3</v>
      </c>
      <c r="P60" s="29">
        <v>7.43403717661394E-11</v>
      </c>
      <c r="Q60" s="16">
        <v>0.1</v>
      </c>
      <c r="R60" s="2">
        <f t="shared" si="12"/>
        <v>110000.00000000001</v>
      </c>
      <c r="S60" s="2">
        <f t="shared" si="13"/>
        <v>5.1940208761751296E-3</v>
      </c>
      <c r="T60" s="2">
        <v>0.13</v>
      </c>
      <c r="U60" s="2">
        <f t="shared" si="14"/>
        <v>112999.99999999999</v>
      </c>
      <c r="V60" s="2">
        <f t="shared" si="19"/>
        <v>6.9416683168316817</v>
      </c>
      <c r="W60" s="2">
        <f t="shared" si="15"/>
        <v>5</v>
      </c>
      <c r="X60" s="12">
        <f t="shared" si="20"/>
        <v>2.7342152615034623E-7</v>
      </c>
      <c r="Y60" s="2">
        <f t="shared" si="16"/>
        <v>105098.40889272311</v>
      </c>
      <c r="Z60" s="12">
        <f t="shared" si="17"/>
        <v>1.3513533994040076E-14</v>
      </c>
      <c r="AA60" s="12">
        <f t="shared" si="18"/>
        <v>8137850171.2109337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</row>
    <row r="61" spans="1:75" s="4" customFormat="1" x14ac:dyDescent="0.25">
      <c r="A61" s="3">
        <v>177</v>
      </c>
      <c r="B61" s="3">
        <f t="shared" si="3"/>
        <v>2.95</v>
      </c>
      <c r="C61" s="3">
        <v>20</v>
      </c>
      <c r="D61" s="3">
        <f t="shared" si="0"/>
        <v>29.146000000000001</v>
      </c>
      <c r="E61" s="3">
        <f t="shared" si="4"/>
        <v>4.8576666666666667E-7</v>
      </c>
      <c r="F61" s="3">
        <v>21.1</v>
      </c>
      <c r="G61" s="3">
        <f t="shared" si="5"/>
        <v>294.10000000000002</v>
      </c>
      <c r="H61" s="3">
        <v>101.3</v>
      </c>
      <c r="I61" s="3">
        <f t="shared" si="6"/>
        <v>101300</v>
      </c>
      <c r="J61" s="3">
        <f t="shared" si="7"/>
        <v>2.0124824921938581E-5</v>
      </c>
      <c r="K61" s="28">
        <v>67.990099009900987</v>
      </c>
      <c r="L61" s="3">
        <f t="shared" si="8"/>
        <v>6.7990099009900991E-5</v>
      </c>
      <c r="M61" s="3">
        <f t="shared" si="9"/>
        <v>4.7762865441819992E-3</v>
      </c>
      <c r="N61" s="64">
        <f t="shared" si="10"/>
        <v>2.8647545040325134E-7</v>
      </c>
      <c r="O61" s="29">
        <f t="shared" si="11"/>
        <v>2.032E-3</v>
      </c>
      <c r="P61" s="29">
        <v>7.43403717661394E-11</v>
      </c>
      <c r="Q61" s="16">
        <v>0.1</v>
      </c>
      <c r="R61" s="2">
        <f t="shared" si="12"/>
        <v>110000.00000000001</v>
      </c>
      <c r="S61" s="2">
        <f t="shared" si="13"/>
        <v>5.1940208761751296E-3</v>
      </c>
      <c r="T61" s="2">
        <v>0.13</v>
      </c>
      <c r="U61" s="2">
        <f t="shared" si="14"/>
        <v>112999.99999999999</v>
      </c>
      <c r="V61" s="2">
        <f t="shared" si="19"/>
        <v>7.6828811881188113</v>
      </c>
      <c r="W61" s="2">
        <f t="shared" si="15"/>
        <v>5</v>
      </c>
      <c r="X61" s="12">
        <f t="shared" si="20"/>
        <v>3.0607515388981419E-7</v>
      </c>
      <c r="Y61" s="2">
        <f t="shared" si="16"/>
        <v>104520.49887277861</v>
      </c>
      <c r="Z61" s="12">
        <f t="shared" si="17"/>
        <v>1.5211155913262625E-14</v>
      </c>
      <c r="AA61" s="12">
        <f t="shared" si="18"/>
        <v>9160158090.966753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</row>
    <row r="62" spans="1:75" s="4" customFormat="1" x14ac:dyDescent="0.25">
      <c r="A62" s="3">
        <v>180</v>
      </c>
      <c r="B62" s="3">
        <f t="shared" si="3"/>
        <v>3</v>
      </c>
      <c r="C62" s="3">
        <v>20</v>
      </c>
      <c r="D62" s="3">
        <f t="shared" si="0"/>
        <v>29.146000000000001</v>
      </c>
      <c r="E62" s="3">
        <f t="shared" si="4"/>
        <v>4.8576666666666667E-7</v>
      </c>
      <c r="F62" s="3">
        <v>21.1</v>
      </c>
      <c r="G62" s="3">
        <f t="shared" si="5"/>
        <v>294.10000000000002</v>
      </c>
      <c r="H62" s="3">
        <v>101.3</v>
      </c>
      <c r="I62" s="3">
        <f t="shared" si="6"/>
        <v>101300</v>
      </c>
      <c r="J62" s="3">
        <f t="shared" si="7"/>
        <v>2.0124824921938581E-5</v>
      </c>
      <c r="K62" s="28">
        <v>61.10891089108911</v>
      </c>
      <c r="L62" s="3">
        <f t="shared" si="8"/>
        <v>6.1108910891089104E-5</v>
      </c>
      <c r="M62" s="3">
        <f t="shared" si="9"/>
        <v>4.7762865441819992E-3</v>
      </c>
      <c r="N62" s="64">
        <f t="shared" si="10"/>
        <v>2.5748164844748321E-7</v>
      </c>
      <c r="O62" s="29">
        <f t="shared" si="11"/>
        <v>2.032E-3</v>
      </c>
      <c r="P62" s="29">
        <v>7.43403717661394E-11</v>
      </c>
      <c r="Q62" s="16">
        <v>0.1</v>
      </c>
      <c r="R62" s="2">
        <f t="shared" si="12"/>
        <v>110000.00000000001</v>
      </c>
      <c r="S62" s="2">
        <f t="shared" si="13"/>
        <v>5.1940208761751296E-3</v>
      </c>
      <c r="T62" s="2">
        <v>0.13</v>
      </c>
      <c r="U62" s="2">
        <f t="shared" si="14"/>
        <v>112999.99999999999</v>
      </c>
      <c r="V62" s="2">
        <f t="shared" si="19"/>
        <v>6.9053069306930679</v>
      </c>
      <c r="W62" s="2">
        <f t="shared" si="15"/>
        <v>5</v>
      </c>
      <c r="X62" s="12">
        <f t="shared" si="20"/>
        <v>2.7181291699980697E-7</v>
      </c>
      <c r="Y62" s="2">
        <f t="shared" si="16"/>
        <v>105126.91953667143</v>
      </c>
      <c r="Z62" s="12">
        <f t="shared" si="17"/>
        <v>1.3430382174659427E-14</v>
      </c>
      <c r="AA62" s="12">
        <f t="shared" si="18"/>
        <v>8087776145.5799074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</row>
    <row r="63" spans="1:75" s="4" customFormat="1" x14ac:dyDescent="0.25">
      <c r="A63" s="3">
        <v>183</v>
      </c>
      <c r="B63" s="3">
        <f t="shared" si="3"/>
        <v>3.05</v>
      </c>
      <c r="C63" s="3">
        <v>20</v>
      </c>
      <c r="D63" s="3">
        <f t="shared" si="0"/>
        <v>29.146000000000001</v>
      </c>
      <c r="E63" s="3">
        <f t="shared" si="4"/>
        <v>4.8576666666666667E-7</v>
      </c>
      <c r="F63" s="3">
        <v>21.1</v>
      </c>
      <c r="G63" s="3">
        <f t="shared" si="5"/>
        <v>294.10000000000002</v>
      </c>
      <c r="H63" s="3">
        <v>101.3</v>
      </c>
      <c r="I63" s="3">
        <f t="shared" si="6"/>
        <v>101300</v>
      </c>
      <c r="J63" s="3">
        <f t="shared" si="7"/>
        <v>2.0124824921938581E-5</v>
      </c>
      <c r="K63" s="28">
        <v>60.514851485148512</v>
      </c>
      <c r="L63" s="3">
        <f t="shared" si="8"/>
        <v>6.0514851485148514E-5</v>
      </c>
      <c r="M63" s="3">
        <f t="shared" si="9"/>
        <v>4.7762865441819992E-3</v>
      </c>
      <c r="N63" s="64">
        <f t="shared" si="10"/>
        <v>2.5497858640813629E-7</v>
      </c>
      <c r="O63" s="29">
        <f t="shared" si="11"/>
        <v>2.032E-3</v>
      </c>
      <c r="P63" s="29">
        <v>7.43403717661394E-11</v>
      </c>
      <c r="Q63" s="16">
        <v>0.1</v>
      </c>
      <c r="R63" s="2">
        <f t="shared" si="12"/>
        <v>110000.00000000001</v>
      </c>
      <c r="S63" s="2">
        <f t="shared" si="13"/>
        <v>5.1940208761751296E-3</v>
      </c>
      <c r="T63" s="2">
        <v>0.13</v>
      </c>
      <c r="U63" s="2">
        <f t="shared" si="14"/>
        <v>112999.99999999999</v>
      </c>
      <c r="V63" s="2">
        <f t="shared" si="19"/>
        <v>6.8381782178217811</v>
      </c>
      <c r="W63" s="2">
        <f t="shared" si="15"/>
        <v>5</v>
      </c>
      <c r="X63" s="12">
        <f t="shared" si="20"/>
        <v>2.68841422261207E-7</v>
      </c>
      <c r="Y63" s="2">
        <f t="shared" si="16"/>
        <v>105179.59584108913</v>
      </c>
      <c r="Z63" s="12">
        <f t="shared" si="17"/>
        <v>1.3276897845365484E-14</v>
      </c>
      <c r="AA63" s="12">
        <f t="shared" si="18"/>
        <v>7995347882.4790955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</row>
    <row r="64" spans="1:75" s="4" customFormat="1" x14ac:dyDescent="0.25">
      <c r="A64" s="3">
        <v>186</v>
      </c>
      <c r="B64" s="3">
        <f t="shared" si="3"/>
        <v>3.1</v>
      </c>
      <c r="C64" s="3">
        <v>20</v>
      </c>
      <c r="D64" s="3">
        <f t="shared" si="0"/>
        <v>29.146000000000001</v>
      </c>
      <c r="E64" s="3">
        <f t="shared" si="4"/>
        <v>4.8576666666666667E-7</v>
      </c>
      <c r="F64" s="3">
        <v>21.1</v>
      </c>
      <c r="G64" s="3">
        <f t="shared" si="5"/>
        <v>294.10000000000002</v>
      </c>
      <c r="H64" s="3">
        <v>101.3</v>
      </c>
      <c r="I64" s="3">
        <f t="shared" si="6"/>
        <v>101300</v>
      </c>
      <c r="J64" s="3">
        <f t="shared" si="7"/>
        <v>2.0124824921938581E-5</v>
      </c>
      <c r="K64" s="28">
        <v>67.544554455445549</v>
      </c>
      <c r="L64" s="3">
        <f t="shared" si="8"/>
        <v>6.7544554455445548E-5</v>
      </c>
      <c r="M64" s="3">
        <f t="shared" si="9"/>
        <v>4.7762865441819992E-3</v>
      </c>
      <c r="N64" s="64">
        <f t="shared" si="10"/>
        <v>2.8459815387374118E-7</v>
      </c>
      <c r="O64" s="29">
        <f t="shared" si="11"/>
        <v>2.032E-3</v>
      </c>
      <c r="P64" s="29">
        <v>7.43403717661394E-11</v>
      </c>
      <c r="Q64" s="16">
        <v>0.1</v>
      </c>
      <c r="R64" s="2">
        <f t="shared" si="12"/>
        <v>110000.00000000001</v>
      </c>
      <c r="S64" s="2">
        <f t="shared" si="13"/>
        <v>5.1940208761751296E-3</v>
      </c>
      <c r="T64" s="2">
        <v>0.13</v>
      </c>
      <c r="U64" s="2">
        <f t="shared" si="14"/>
        <v>112999.99999999999</v>
      </c>
      <c r="V64" s="2">
        <f t="shared" si="19"/>
        <v>7.6325346534653455</v>
      </c>
      <c r="W64" s="2">
        <f t="shared" si="15"/>
        <v>5</v>
      </c>
      <c r="X64" s="12">
        <f t="shared" si="20"/>
        <v>3.0386505085965503E-7</v>
      </c>
      <c r="Y64" s="2">
        <f t="shared" si="16"/>
        <v>104559.5634205744</v>
      </c>
      <c r="Z64" s="12">
        <f t="shared" si="17"/>
        <v>1.5095669724427813E-14</v>
      </c>
      <c r="AA64" s="12">
        <f t="shared" si="18"/>
        <v>9090612308.0504303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</row>
    <row r="65" spans="1:75" s="4" customFormat="1" x14ac:dyDescent="0.25">
      <c r="A65" s="3">
        <v>189</v>
      </c>
      <c r="B65" s="3">
        <f t="shared" si="3"/>
        <v>3.15</v>
      </c>
      <c r="C65" s="3">
        <v>20</v>
      </c>
      <c r="D65" s="3">
        <f t="shared" si="0"/>
        <v>29.146000000000001</v>
      </c>
      <c r="E65" s="3">
        <f t="shared" si="4"/>
        <v>4.8576666666666667E-7</v>
      </c>
      <c r="F65" s="3">
        <v>21.1</v>
      </c>
      <c r="G65" s="3">
        <f t="shared" si="5"/>
        <v>294.10000000000002</v>
      </c>
      <c r="H65" s="3">
        <v>101.3</v>
      </c>
      <c r="I65" s="3">
        <f t="shared" si="6"/>
        <v>101300</v>
      </c>
      <c r="J65" s="3">
        <f t="shared" si="7"/>
        <v>2.0124824921938581E-5</v>
      </c>
      <c r="K65" s="28">
        <v>58.311881188118811</v>
      </c>
      <c r="L65" s="3">
        <f t="shared" si="8"/>
        <v>5.8311881188118809E-5</v>
      </c>
      <c r="M65" s="3">
        <f t="shared" si="9"/>
        <v>4.7762865441819992E-3</v>
      </c>
      <c r="N65" s="64">
        <f t="shared" si="10"/>
        <v>2.4569639801222495E-7</v>
      </c>
      <c r="O65" s="29">
        <f t="shared" si="11"/>
        <v>2.032E-3</v>
      </c>
      <c r="P65" s="29">
        <v>7.43403717661394E-11</v>
      </c>
      <c r="Q65" s="16">
        <v>0.1</v>
      </c>
      <c r="R65" s="2">
        <f t="shared" si="12"/>
        <v>110000.00000000001</v>
      </c>
      <c r="S65" s="2">
        <f t="shared" si="13"/>
        <v>5.1940208761751296E-3</v>
      </c>
      <c r="T65" s="2">
        <v>0.13</v>
      </c>
      <c r="U65" s="2">
        <f t="shared" si="14"/>
        <v>112999.99999999999</v>
      </c>
      <c r="V65" s="2">
        <f t="shared" si="19"/>
        <v>6.5892425742574243</v>
      </c>
      <c r="W65" s="2">
        <f t="shared" si="15"/>
        <v>5</v>
      </c>
      <c r="X65" s="12">
        <f t="shared" si="20"/>
        <v>2.5780173329834108E-7</v>
      </c>
      <c r="Y65" s="2">
        <f t="shared" si="16"/>
        <v>105375.41426617929</v>
      </c>
      <c r="Z65" s="12">
        <f t="shared" si="17"/>
        <v>1.2708005279225083E-14</v>
      </c>
      <c r="AA65" s="12">
        <f t="shared" si="18"/>
        <v>7652760779.1493454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</row>
    <row r="66" spans="1:75" s="4" customFormat="1" x14ac:dyDescent="0.25">
      <c r="A66" s="3">
        <v>192</v>
      </c>
      <c r="B66" s="3">
        <f t="shared" si="3"/>
        <v>3.2</v>
      </c>
      <c r="C66" s="3">
        <v>20</v>
      </c>
      <c r="D66" s="3">
        <f t="shared" ref="D66:D81" si="21">(C66*1.4573)</f>
        <v>29.146000000000001</v>
      </c>
      <c r="E66" s="3">
        <f t="shared" si="4"/>
        <v>4.8576666666666667E-7</v>
      </c>
      <c r="F66" s="3">
        <v>21.1</v>
      </c>
      <c r="G66" s="3">
        <f t="shared" si="5"/>
        <v>294.10000000000002</v>
      </c>
      <c r="H66" s="3">
        <v>101.3</v>
      </c>
      <c r="I66" s="3">
        <f t="shared" si="6"/>
        <v>101300</v>
      </c>
      <c r="J66" s="3">
        <f t="shared" si="7"/>
        <v>2.0124824921938581E-5</v>
      </c>
      <c r="K66" s="28">
        <v>61.059405940594061</v>
      </c>
      <c r="L66" s="3">
        <f t="shared" si="8"/>
        <v>6.1059405940594059E-5</v>
      </c>
      <c r="M66" s="3">
        <f t="shared" si="9"/>
        <v>4.7762865441819992E-3</v>
      </c>
      <c r="N66" s="64">
        <f t="shared" si="10"/>
        <v>2.5727305994420436E-7</v>
      </c>
      <c r="O66" s="29">
        <f t="shared" si="11"/>
        <v>2.032E-3</v>
      </c>
      <c r="P66" s="29">
        <v>7.43403717661394E-11</v>
      </c>
      <c r="Q66" s="16">
        <v>0.1</v>
      </c>
      <c r="R66" s="2">
        <f t="shared" si="12"/>
        <v>110000.00000000001</v>
      </c>
      <c r="S66" s="2">
        <f t="shared" si="13"/>
        <v>5.1940208761751296E-3</v>
      </c>
      <c r="T66" s="2">
        <v>0.13</v>
      </c>
      <c r="U66" s="2">
        <f t="shared" si="14"/>
        <v>112999.99999999999</v>
      </c>
      <c r="V66" s="2">
        <f t="shared" ref="V66:V81" si="22">(L66*U66)</f>
        <v>6.8997128712871278</v>
      </c>
      <c r="W66" s="2">
        <f t="shared" si="15"/>
        <v>5</v>
      </c>
      <c r="X66" s="12">
        <f t="shared" ref="X66:X81" si="23">(N66+((P66/O66)*(SQRT(V66)-SQRT(W66))))</f>
        <v>2.7156537965066298E-7</v>
      </c>
      <c r="Y66" s="2">
        <f t="shared" si="16"/>
        <v>105131.30717889602</v>
      </c>
      <c r="Z66" s="12">
        <f t="shared" si="17"/>
        <v>1.3417590502070931E-14</v>
      </c>
      <c r="AA66" s="12">
        <f t="shared" si="18"/>
        <v>8080073000.3471155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</row>
    <row r="67" spans="1:75" s="4" customFormat="1" x14ac:dyDescent="0.25">
      <c r="A67" s="3">
        <v>195</v>
      </c>
      <c r="B67" s="3">
        <f t="shared" ref="B67:B81" si="24">(A67/60)</f>
        <v>3.25</v>
      </c>
      <c r="C67" s="3">
        <v>20</v>
      </c>
      <c r="D67" s="3">
        <f t="shared" si="21"/>
        <v>29.146000000000001</v>
      </c>
      <c r="E67" s="3">
        <f t="shared" ref="E67:E81" si="25">(D67/(1000000*60))</f>
        <v>4.8576666666666667E-7</v>
      </c>
      <c r="F67" s="3">
        <v>21.1</v>
      </c>
      <c r="G67" s="3">
        <f t="shared" ref="G67:G81" si="26">(273+F67)</f>
        <v>294.10000000000002</v>
      </c>
      <c r="H67" s="3">
        <v>101.3</v>
      </c>
      <c r="I67" s="3">
        <f t="shared" ref="I67:I81" si="27">(H67*1000)</f>
        <v>101300</v>
      </c>
      <c r="J67" s="3">
        <f t="shared" ref="J67:J81" si="28">((I67*E67)/(8.314*G67))</f>
        <v>2.0124824921938581E-5</v>
      </c>
      <c r="K67" s="28">
        <v>59.376237623762378</v>
      </c>
      <c r="L67" s="3">
        <f t="shared" ref="L67:L81" si="29">(K67/1000000)</f>
        <v>5.9376237623762378E-5</v>
      </c>
      <c r="M67" s="3">
        <f t="shared" ref="M67:M81" si="30">(3.142*3.07*3.07*25.4*25.4)/(4*1000000)</f>
        <v>4.7762865441819992E-3</v>
      </c>
      <c r="N67" s="64">
        <f t="shared" ref="N67:N81" si="31">(L67*J67)/M67</f>
        <v>2.5018105083272146E-7</v>
      </c>
      <c r="O67" s="29">
        <f t="shared" ref="O67:O81" si="32">(2.032/1000)</f>
        <v>2.032E-3</v>
      </c>
      <c r="P67" s="29">
        <v>7.43403717661394E-11</v>
      </c>
      <c r="Q67" s="16">
        <v>0.1</v>
      </c>
      <c r="R67" s="2">
        <f t="shared" ref="R67:R81" si="33">(1+Q67)*100000*1</f>
        <v>110000.00000000001</v>
      </c>
      <c r="S67" s="2">
        <f t="shared" ref="S67:S81" si="34">(5.19402087617513/1000)</f>
        <v>5.1940208761751296E-3</v>
      </c>
      <c r="T67" s="2">
        <v>0.13</v>
      </c>
      <c r="U67" s="2">
        <f t="shared" ref="U67:U81" si="35">(1+T67)*100000</f>
        <v>112999.99999999999</v>
      </c>
      <c r="V67" s="2">
        <f t="shared" si="22"/>
        <v>6.7095148514851477</v>
      </c>
      <c r="W67" s="2">
        <f t="shared" ref="W67:W81" si="36">(50/1000000)*100000</f>
        <v>5</v>
      </c>
      <c r="X67" s="12">
        <f t="shared" si="23"/>
        <v>2.6313958537719138E-7</v>
      </c>
      <c r="Y67" s="2">
        <f t="shared" ref="Y67:Y81" si="37">(SQRT(R67)-(X67*O67/P67))^2</f>
        <v>105280.71043647699</v>
      </c>
      <c r="Z67" s="12">
        <f t="shared" ref="Z67:Z81" si="38">(X67*S67)/(Y67-V67)</f>
        <v>1.2982811404828445E-14</v>
      </c>
      <c r="AA67" s="12">
        <f t="shared" ref="AA67:AA81" si="39">(Z67*6.022E+23)</f>
        <v>7818249027.98769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</row>
    <row r="68" spans="1:75" s="4" customFormat="1" x14ac:dyDescent="0.25">
      <c r="A68" s="3">
        <v>198</v>
      </c>
      <c r="B68" s="3">
        <f t="shared" si="24"/>
        <v>3.3</v>
      </c>
      <c r="C68" s="3">
        <v>20</v>
      </c>
      <c r="D68" s="3">
        <f t="shared" si="21"/>
        <v>29.146000000000001</v>
      </c>
      <c r="E68" s="3">
        <f t="shared" si="25"/>
        <v>4.8576666666666667E-7</v>
      </c>
      <c r="F68" s="3">
        <v>21.1</v>
      </c>
      <c r="G68" s="3">
        <f t="shared" si="26"/>
        <v>294.10000000000002</v>
      </c>
      <c r="H68" s="3">
        <v>101.3</v>
      </c>
      <c r="I68" s="3">
        <f t="shared" si="27"/>
        <v>101300</v>
      </c>
      <c r="J68" s="3">
        <f t="shared" si="28"/>
        <v>2.0124824921938581E-5</v>
      </c>
      <c r="K68" s="28">
        <v>62.371287128712872</v>
      </c>
      <c r="L68" s="3">
        <f t="shared" si="29"/>
        <v>6.2371287128712872E-5</v>
      </c>
      <c r="M68" s="3">
        <f t="shared" si="30"/>
        <v>4.7762865441819992E-3</v>
      </c>
      <c r="N68" s="64">
        <f t="shared" si="31"/>
        <v>2.6280065528109534E-7</v>
      </c>
      <c r="O68" s="29">
        <f t="shared" si="32"/>
        <v>2.032E-3</v>
      </c>
      <c r="P68" s="29">
        <v>7.43403717661394E-11</v>
      </c>
      <c r="Q68" s="16">
        <v>0.1</v>
      </c>
      <c r="R68" s="2">
        <f t="shared" si="33"/>
        <v>110000.00000000001</v>
      </c>
      <c r="S68" s="2">
        <f t="shared" si="34"/>
        <v>5.1940208761751296E-3</v>
      </c>
      <c r="T68" s="2">
        <v>0.13</v>
      </c>
      <c r="U68" s="2">
        <f t="shared" si="35"/>
        <v>112999.99999999999</v>
      </c>
      <c r="V68" s="2">
        <f t="shared" si="22"/>
        <v>7.0479554455445532</v>
      </c>
      <c r="W68" s="2">
        <f t="shared" si="36"/>
        <v>5</v>
      </c>
      <c r="X68" s="12">
        <f t="shared" si="23"/>
        <v>2.7811984223587222E-7</v>
      </c>
      <c r="Y68" s="2">
        <f t="shared" si="37"/>
        <v>105015.15908400525</v>
      </c>
      <c r="Z68" s="12">
        <f t="shared" si="38"/>
        <v>1.375665413963215E-14</v>
      </c>
      <c r="AA68" s="12">
        <f t="shared" si="39"/>
        <v>8284257122.8864813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</row>
    <row r="69" spans="1:75" s="4" customFormat="1" x14ac:dyDescent="0.25">
      <c r="A69" s="3">
        <v>201</v>
      </c>
      <c r="B69" s="3">
        <f t="shared" si="24"/>
        <v>3.35</v>
      </c>
      <c r="C69" s="3">
        <v>20</v>
      </c>
      <c r="D69" s="3">
        <f t="shared" si="21"/>
        <v>29.146000000000001</v>
      </c>
      <c r="E69" s="3">
        <f t="shared" si="25"/>
        <v>4.8576666666666667E-7</v>
      </c>
      <c r="F69" s="3">
        <v>21.1</v>
      </c>
      <c r="G69" s="3">
        <f t="shared" si="26"/>
        <v>294.10000000000002</v>
      </c>
      <c r="H69" s="3">
        <v>101.3</v>
      </c>
      <c r="I69" s="3">
        <f t="shared" si="27"/>
        <v>101300</v>
      </c>
      <c r="J69" s="3">
        <f t="shared" si="28"/>
        <v>2.0124824921938581E-5</v>
      </c>
      <c r="K69" s="28">
        <v>56.480198019801982</v>
      </c>
      <c r="L69" s="3">
        <f t="shared" si="29"/>
        <v>5.648019801980198E-5</v>
      </c>
      <c r="M69" s="3">
        <f t="shared" si="30"/>
        <v>4.7762865441819992E-3</v>
      </c>
      <c r="N69" s="64">
        <f t="shared" si="31"/>
        <v>2.3797862339090541E-7</v>
      </c>
      <c r="O69" s="29">
        <f t="shared" si="32"/>
        <v>2.032E-3</v>
      </c>
      <c r="P69" s="29">
        <v>7.43403717661394E-11</v>
      </c>
      <c r="Q69" s="16">
        <v>0.1</v>
      </c>
      <c r="R69" s="2">
        <f t="shared" si="33"/>
        <v>110000.00000000001</v>
      </c>
      <c r="S69" s="2">
        <f t="shared" si="34"/>
        <v>5.1940208761751296E-3</v>
      </c>
      <c r="T69" s="2">
        <v>0.13</v>
      </c>
      <c r="U69" s="2">
        <f t="shared" si="35"/>
        <v>112999.99999999999</v>
      </c>
      <c r="V69" s="2">
        <f t="shared" si="22"/>
        <v>6.3822623762376232</v>
      </c>
      <c r="W69" s="2">
        <f t="shared" si="36"/>
        <v>5</v>
      </c>
      <c r="X69" s="12">
        <f t="shared" si="23"/>
        <v>2.4859722401855085E-7</v>
      </c>
      <c r="Y69" s="2">
        <f t="shared" si="37"/>
        <v>105538.8200880066</v>
      </c>
      <c r="Z69" s="12">
        <f t="shared" si="38"/>
        <v>1.2235282325658014E-14</v>
      </c>
      <c r="AA69" s="12">
        <f t="shared" si="39"/>
        <v>7368087016.5112562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</row>
    <row r="70" spans="1:75" s="4" customFormat="1" x14ac:dyDescent="0.25">
      <c r="A70" s="3">
        <v>204</v>
      </c>
      <c r="B70" s="3">
        <f t="shared" si="24"/>
        <v>3.4</v>
      </c>
      <c r="C70" s="3">
        <v>20</v>
      </c>
      <c r="D70" s="3">
        <f t="shared" si="21"/>
        <v>29.146000000000001</v>
      </c>
      <c r="E70" s="3">
        <f t="shared" si="25"/>
        <v>4.8576666666666667E-7</v>
      </c>
      <c r="F70" s="3">
        <v>21.1</v>
      </c>
      <c r="G70" s="3">
        <f t="shared" si="26"/>
        <v>294.10000000000002</v>
      </c>
      <c r="H70" s="3">
        <v>101.3</v>
      </c>
      <c r="I70" s="3">
        <f t="shared" si="27"/>
        <v>101300</v>
      </c>
      <c r="J70" s="3">
        <f t="shared" si="28"/>
        <v>2.0124824921938581E-5</v>
      </c>
      <c r="K70" s="28">
        <v>68.138613861386148</v>
      </c>
      <c r="L70" s="3">
        <f t="shared" si="29"/>
        <v>6.8138613861386152E-5</v>
      </c>
      <c r="M70" s="3">
        <f t="shared" si="30"/>
        <v>4.7762865441819992E-3</v>
      </c>
      <c r="N70" s="64">
        <f t="shared" si="31"/>
        <v>2.8710121591308811E-7</v>
      </c>
      <c r="O70" s="29">
        <f t="shared" si="32"/>
        <v>2.032E-3</v>
      </c>
      <c r="P70" s="29">
        <v>7.43403717661394E-11</v>
      </c>
      <c r="Q70" s="16">
        <v>0.1</v>
      </c>
      <c r="R70" s="2">
        <f t="shared" si="33"/>
        <v>110000.00000000001</v>
      </c>
      <c r="S70" s="2">
        <f t="shared" si="34"/>
        <v>5.1940208761751296E-3</v>
      </c>
      <c r="T70" s="2">
        <v>0.13</v>
      </c>
      <c r="U70" s="2">
        <f t="shared" si="35"/>
        <v>112999.99999999999</v>
      </c>
      <c r="V70" s="2">
        <f t="shared" si="22"/>
        <v>7.6996633663366341</v>
      </c>
      <c r="W70" s="2">
        <f t="shared" si="36"/>
        <v>5</v>
      </c>
      <c r="X70" s="12">
        <f t="shared" si="23"/>
        <v>3.0681161244345473E-7</v>
      </c>
      <c r="Y70" s="2">
        <f t="shared" si="37"/>
        <v>104507.48326366497</v>
      </c>
      <c r="Z70" s="12">
        <f t="shared" si="38"/>
        <v>1.524965760866612E-14</v>
      </c>
      <c r="AA70" s="12">
        <f t="shared" si="39"/>
        <v>9183343811.9387379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</row>
    <row r="71" spans="1:75" s="4" customFormat="1" x14ac:dyDescent="0.25">
      <c r="A71" s="3">
        <v>207</v>
      </c>
      <c r="B71" s="3">
        <f t="shared" si="24"/>
        <v>3.45</v>
      </c>
      <c r="C71" s="3">
        <v>20</v>
      </c>
      <c r="D71" s="3">
        <f t="shared" si="21"/>
        <v>29.146000000000001</v>
      </c>
      <c r="E71" s="3">
        <f t="shared" si="25"/>
        <v>4.8576666666666667E-7</v>
      </c>
      <c r="F71" s="3">
        <v>21.1</v>
      </c>
      <c r="G71" s="3">
        <f t="shared" si="26"/>
        <v>294.10000000000002</v>
      </c>
      <c r="H71" s="3">
        <v>101.3</v>
      </c>
      <c r="I71" s="3">
        <f t="shared" si="27"/>
        <v>101300</v>
      </c>
      <c r="J71" s="3">
        <f t="shared" si="28"/>
        <v>2.0124824921938581E-5</v>
      </c>
      <c r="K71" s="28">
        <v>63.237623762376245</v>
      </c>
      <c r="L71" s="3">
        <f t="shared" si="29"/>
        <v>6.3237623762376241E-5</v>
      </c>
      <c r="M71" s="3">
        <f t="shared" si="30"/>
        <v>4.7762865441819992E-3</v>
      </c>
      <c r="N71" s="64">
        <f t="shared" si="31"/>
        <v>2.6645095408847627E-7</v>
      </c>
      <c r="O71" s="29">
        <f t="shared" si="32"/>
        <v>2.032E-3</v>
      </c>
      <c r="P71" s="29">
        <v>7.43403717661394E-11</v>
      </c>
      <c r="Q71" s="16">
        <v>0.1</v>
      </c>
      <c r="R71" s="2">
        <f t="shared" si="33"/>
        <v>110000.00000000001</v>
      </c>
      <c r="S71" s="2">
        <f t="shared" si="34"/>
        <v>5.1940208761751296E-3</v>
      </c>
      <c r="T71" s="2">
        <v>0.13</v>
      </c>
      <c r="U71" s="2">
        <f t="shared" si="35"/>
        <v>112999.99999999999</v>
      </c>
      <c r="V71" s="2">
        <f t="shared" si="22"/>
        <v>7.1458514851485146</v>
      </c>
      <c r="W71" s="2">
        <f t="shared" si="36"/>
        <v>5</v>
      </c>
      <c r="X71" s="12">
        <f t="shared" si="23"/>
        <v>2.8244234998567252E-7</v>
      </c>
      <c r="Y71" s="2">
        <f t="shared" si="37"/>
        <v>104938.59738350986</v>
      </c>
      <c r="Z71" s="12">
        <f t="shared" si="38"/>
        <v>1.3980664907640382E-14</v>
      </c>
      <c r="AA71" s="12">
        <f t="shared" si="39"/>
        <v>8419156407.3810387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</row>
    <row r="72" spans="1:75" s="4" customFormat="1" x14ac:dyDescent="0.25">
      <c r="A72" s="3">
        <v>210</v>
      </c>
      <c r="B72" s="3">
        <f t="shared" si="24"/>
        <v>3.5</v>
      </c>
      <c r="C72" s="3">
        <v>20</v>
      </c>
      <c r="D72" s="3">
        <f t="shared" si="21"/>
        <v>29.146000000000001</v>
      </c>
      <c r="E72" s="3">
        <f t="shared" si="25"/>
        <v>4.8576666666666667E-7</v>
      </c>
      <c r="F72" s="3">
        <v>21.1</v>
      </c>
      <c r="G72" s="3">
        <f t="shared" si="26"/>
        <v>294.10000000000002</v>
      </c>
      <c r="H72" s="3">
        <v>101.3</v>
      </c>
      <c r="I72" s="3">
        <f t="shared" si="27"/>
        <v>101300</v>
      </c>
      <c r="J72" s="3">
        <f t="shared" si="28"/>
        <v>2.0124824921938581E-5</v>
      </c>
      <c r="K72" s="28">
        <v>58.806930693069305</v>
      </c>
      <c r="L72" s="3">
        <f t="shared" si="29"/>
        <v>5.8806930693069303E-5</v>
      </c>
      <c r="M72" s="3">
        <f t="shared" si="30"/>
        <v>4.7762865441819992E-3</v>
      </c>
      <c r="N72" s="64">
        <f t="shared" si="31"/>
        <v>2.4778228304501401E-7</v>
      </c>
      <c r="O72" s="29">
        <f t="shared" si="32"/>
        <v>2.032E-3</v>
      </c>
      <c r="P72" s="29">
        <v>7.43403717661394E-11</v>
      </c>
      <c r="Q72" s="16">
        <v>0.1</v>
      </c>
      <c r="R72" s="2">
        <f t="shared" si="33"/>
        <v>110000.00000000001</v>
      </c>
      <c r="S72" s="2">
        <f t="shared" si="34"/>
        <v>5.1940208761751296E-3</v>
      </c>
      <c r="T72" s="2">
        <v>0.13</v>
      </c>
      <c r="U72" s="2">
        <f t="shared" si="35"/>
        <v>112999.99999999999</v>
      </c>
      <c r="V72" s="2">
        <f t="shared" si="22"/>
        <v>6.6451831683168301</v>
      </c>
      <c r="W72" s="2">
        <f t="shared" si="36"/>
        <v>5</v>
      </c>
      <c r="X72" s="12">
        <f t="shared" si="23"/>
        <v>2.6028541534655236E-7</v>
      </c>
      <c r="Y72" s="2">
        <f t="shared" si="37"/>
        <v>105331.3436420409</v>
      </c>
      <c r="Z72" s="12">
        <f t="shared" si="38"/>
        <v>1.2835810601459365E-14</v>
      </c>
      <c r="AA72" s="12">
        <f t="shared" si="39"/>
        <v>7729725144.1988297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</row>
    <row r="73" spans="1:75" s="4" customFormat="1" x14ac:dyDescent="0.25">
      <c r="A73" s="3">
        <v>213</v>
      </c>
      <c r="B73" s="3">
        <f t="shared" si="24"/>
        <v>3.55</v>
      </c>
      <c r="C73" s="3">
        <v>20</v>
      </c>
      <c r="D73" s="3">
        <f t="shared" si="21"/>
        <v>29.146000000000001</v>
      </c>
      <c r="E73" s="3">
        <f t="shared" si="25"/>
        <v>4.8576666666666667E-7</v>
      </c>
      <c r="F73" s="3">
        <v>21.1</v>
      </c>
      <c r="G73" s="3">
        <f t="shared" si="26"/>
        <v>294.10000000000002</v>
      </c>
      <c r="H73" s="3">
        <v>101.3</v>
      </c>
      <c r="I73" s="3">
        <f t="shared" si="27"/>
        <v>101300</v>
      </c>
      <c r="J73" s="3">
        <f t="shared" si="28"/>
        <v>2.0124824921938581E-5</v>
      </c>
      <c r="K73" s="28">
        <v>63.683168316831683</v>
      </c>
      <c r="L73" s="3">
        <f t="shared" si="29"/>
        <v>6.3683168316831684E-5</v>
      </c>
      <c r="M73" s="3">
        <f t="shared" si="30"/>
        <v>4.7762865441819992E-3</v>
      </c>
      <c r="N73" s="64">
        <f t="shared" si="31"/>
        <v>2.6832825061798642E-7</v>
      </c>
      <c r="O73" s="29">
        <f t="shared" si="32"/>
        <v>2.032E-3</v>
      </c>
      <c r="P73" s="29">
        <v>7.43403717661394E-11</v>
      </c>
      <c r="Q73" s="16">
        <v>0.1</v>
      </c>
      <c r="R73" s="2">
        <f t="shared" si="33"/>
        <v>110000.00000000001</v>
      </c>
      <c r="S73" s="2">
        <f t="shared" si="34"/>
        <v>5.1940208761751296E-3</v>
      </c>
      <c r="T73" s="2">
        <v>0.13</v>
      </c>
      <c r="U73" s="2">
        <f t="shared" si="35"/>
        <v>112999.99999999999</v>
      </c>
      <c r="V73" s="2">
        <f t="shared" si="22"/>
        <v>7.1961980198019795</v>
      </c>
      <c r="W73" s="2">
        <f t="shared" si="36"/>
        <v>5</v>
      </c>
      <c r="X73" s="12">
        <f t="shared" si="23"/>
        <v>2.8466356116107301E-7</v>
      </c>
      <c r="Y73" s="2">
        <f t="shared" si="37"/>
        <v>104899.26540910185</v>
      </c>
      <c r="Z73" s="12">
        <f t="shared" si="38"/>
        <v>1.4095903441294278E-14</v>
      </c>
      <c r="AA73" s="12">
        <f t="shared" si="39"/>
        <v>8488553052.347415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</row>
    <row r="74" spans="1:75" s="4" customFormat="1" x14ac:dyDescent="0.25">
      <c r="A74" s="3">
        <v>216</v>
      </c>
      <c r="B74" s="3">
        <f t="shared" si="24"/>
        <v>3.6</v>
      </c>
      <c r="C74" s="3">
        <v>20</v>
      </c>
      <c r="D74" s="3">
        <f t="shared" si="21"/>
        <v>29.146000000000001</v>
      </c>
      <c r="E74" s="3">
        <f t="shared" si="25"/>
        <v>4.8576666666666667E-7</v>
      </c>
      <c r="F74" s="3">
        <v>21.1</v>
      </c>
      <c r="G74" s="3">
        <f t="shared" si="26"/>
        <v>294.10000000000002</v>
      </c>
      <c r="H74" s="3">
        <v>101.3</v>
      </c>
      <c r="I74" s="3">
        <f t="shared" si="27"/>
        <v>101300</v>
      </c>
      <c r="J74" s="3">
        <f t="shared" si="28"/>
        <v>2.0124824921938581E-5</v>
      </c>
      <c r="K74" s="28">
        <v>65.811881188118804</v>
      </c>
      <c r="L74" s="3">
        <f t="shared" si="29"/>
        <v>6.5811881188118808E-5</v>
      </c>
      <c r="M74" s="3">
        <f t="shared" si="30"/>
        <v>4.7762865441819992E-3</v>
      </c>
      <c r="N74" s="64">
        <f t="shared" si="31"/>
        <v>2.7729755625897937E-7</v>
      </c>
      <c r="O74" s="29">
        <f t="shared" si="32"/>
        <v>2.032E-3</v>
      </c>
      <c r="P74" s="29">
        <v>7.43403717661394E-11</v>
      </c>
      <c r="Q74" s="16">
        <v>0.1</v>
      </c>
      <c r="R74" s="2">
        <f t="shared" si="33"/>
        <v>110000.00000000001</v>
      </c>
      <c r="S74" s="2">
        <f t="shared" si="34"/>
        <v>5.1940208761751296E-3</v>
      </c>
      <c r="T74" s="2">
        <v>0.13</v>
      </c>
      <c r="U74" s="2">
        <f t="shared" si="35"/>
        <v>112999.99999999999</v>
      </c>
      <c r="V74" s="2">
        <f t="shared" si="22"/>
        <v>7.4367425742574245</v>
      </c>
      <c r="W74" s="2">
        <f t="shared" si="36"/>
        <v>5</v>
      </c>
      <c r="X74" s="12">
        <f t="shared" si="23"/>
        <v>2.9525965279091301E-7</v>
      </c>
      <c r="Y74" s="2">
        <f t="shared" si="37"/>
        <v>104711.73717146523</v>
      </c>
      <c r="Z74" s="12">
        <f t="shared" si="38"/>
        <v>1.4646817697136935E-14</v>
      </c>
      <c r="AA74" s="12">
        <f t="shared" si="39"/>
        <v>8820313617.2158623</v>
      </c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</row>
    <row r="75" spans="1:75" s="4" customFormat="1" x14ac:dyDescent="0.25">
      <c r="A75" s="3">
        <v>219</v>
      </c>
      <c r="B75" s="3">
        <f t="shared" si="24"/>
        <v>3.65</v>
      </c>
      <c r="C75" s="3">
        <v>20</v>
      </c>
      <c r="D75" s="3">
        <f t="shared" si="21"/>
        <v>29.146000000000001</v>
      </c>
      <c r="E75" s="3">
        <f t="shared" si="25"/>
        <v>4.8576666666666667E-7</v>
      </c>
      <c r="F75" s="3">
        <v>21.1</v>
      </c>
      <c r="G75" s="3">
        <f t="shared" si="26"/>
        <v>294.10000000000002</v>
      </c>
      <c r="H75" s="3">
        <v>101.3</v>
      </c>
      <c r="I75" s="3">
        <f t="shared" si="27"/>
        <v>101300</v>
      </c>
      <c r="J75" s="3">
        <f t="shared" si="28"/>
        <v>2.0124824921938581E-5</v>
      </c>
      <c r="K75" s="28">
        <v>59.054455445544562</v>
      </c>
      <c r="L75" s="3">
        <f t="shared" si="29"/>
        <v>5.905445544554456E-5</v>
      </c>
      <c r="M75" s="3">
        <f t="shared" si="30"/>
        <v>4.7762865441819992E-3</v>
      </c>
      <c r="N75" s="64">
        <f t="shared" si="31"/>
        <v>2.488252255614086E-7</v>
      </c>
      <c r="O75" s="29">
        <f t="shared" si="32"/>
        <v>2.032E-3</v>
      </c>
      <c r="P75" s="29">
        <v>7.43403717661394E-11</v>
      </c>
      <c r="Q75" s="16">
        <v>0.1</v>
      </c>
      <c r="R75" s="2">
        <f t="shared" si="33"/>
        <v>110000.00000000001</v>
      </c>
      <c r="S75" s="2">
        <f t="shared" si="34"/>
        <v>5.1940208761751296E-3</v>
      </c>
      <c r="T75" s="2">
        <v>0.13</v>
      </c>
      <c r="U75" s="2">
        <f t="shared" si="35"/>
        <v>112999.99999999999</v>
      </c>
      <c r="V75" s="2">
        <f t="shared" si="22"/>
        <v>6.6731534653465348</v>
      </c>
      <c r="W75" s="2">
        <f t="shared" si="36"/>
        <v>5</v>
      </c>
      <c r="X75" s="12">
        <f t="shared" si="23"/>
        <v>2.6152662847672828E-7</v>
      </c>
      <c r="Y75" s="2">
        <f t="shared" si="37"/>
        <v>105309.32292565111</v>
      </c>
      <c r="Z75" s="12">
        <f t="shared" si="38"/>
        <v>1.2899720671061591E-14</v>
      </c>
      <c r="AA75" s="12">
        <f t="shared" si="39"/>
        <v>7768211788.1132908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</row>
    <row r="76" spans="1:75" s="4" customFormat="1" x14ac:dyDescent="0.25">
      <c r="A76" s="3">
        <v>222</v>
      </c>
      <c r="B76" s="3">
        <f t="shared" si="24"/>
        <v>3.7</v>
      </c>
      <c r="C76" s="3">
        <v>20</v>
      </c>
      <c r="D76" s="3">
        <f t="shared" si="21"/>
        <v>29.146000000000001</v>
      </c>
      <c r="E76" s="3">
        <f t="shared" si="25"/>
        <v>4.8576666666666667E-7</v>
      </c>
      <c r="F76" s="3">
        <v>21.1</v>
      </c>
      <c r="G76" s="3">
        <f t="shared" si="26"/>
        <v>294.10000000000002</v>
      </c>
      <c r="H76" s="3">
        <v>101.3</v>
      </c>
      <c r="I76" s="3">
        <f t="shared" si="27"/>
        <v>101300</v>
      </c>
      <c r="J76" s="3">
        <f t="shared" si="28"/>
        <v>2.0124824921938581E-5</v>
      </c>
      <c r="K76" s="28">
        <v>66.529702970297038</v>
      </c>
      <c r="L76" s="3">
        <f t="shared" si="29"/>
        <v>6.6529702970297044E-5</v>
      </c>
      <c r="M76" s="3">
        <f t="shared" si="30"/>
        <v>4.7762865441819992E-3</v>
      </c>
      <c r="N76" s="64">
        <f t="shared" si="31"/>
        <v>2.8032208955652364E-7</v>
      </c>
      <c r="O76" s="29">
        <f t="shared" si="32"/>
        <v>2.032E-3</v>
      </c>
      <c r="P76" s="29">
        <v>7.43403717661394E-11</v>
      </c>
      <c r="Q76" s="16">
        <v>0.1</v>
      </c>
      <c r="R76" s="2">
        <f t="shared" si="33"/>
        <v>110000.00000000001</v>
      </c>
      <c r="S76" s="2">
        <f t="shared" si="34"/>
        <v>5.1940208761751296E-3</v>
      </c>
      <c r="T76" s="2">
        <v>0.13</v>
      </c>
      <c r="U76" s="2">
        <f t="shared" si="35"/>
        <v>112999.99999999999</v>
      </c>
      <c r="V76" s="2">
        <f t="shared" si="22"/>
        <v>7.5178564356435649</v>
      </c>
      <c r="W76" s="2">
        <f t="shared" si="36"/>
        <v>5</v>
      </c>
      <c r="X76" s="12">
        <f t="shared" si="23"/>
        <v>2.9882680548538401E-7</v>
      </c>
      <c r="Y76" s="2">
        <f t="shared" si="37"/>
        <v>104648.64391869813</v>
      </c>
      <c r="Z76" s="12">
        <f t="shared" si="38"/>
        <v>1.4832721363570641E-14</v>
      </c>
      <c r="AA76" s="12">
        <f t="shared" si="39"/>
        <v>8932264805.1422405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</row>
    <row r="77" spans="1:75" s="4" customFormat="1" x14ac:dyDescent="0.25">
      <c r="A77" s="3">
        <v>225</v>
      </c>
      <c r="B77" s="3">
        <f t="shared" si="24"/>
        <v>3.75</v>
      </c>
      <c r="C77" s="3">
        <v>20</v>
      </c>
      <c r="D77" s="3">
        <f t="shared" si="21"/>
        <v>29.146000000000001</v>
      </c>
      <c r="E77" s="3">
        <f t="shared" si="25"/>
        <v>4.8576666666666667E-7</v>
      </c>
      <c r="F77" s="3">
        <v>21.1</v>
      </c>
      <c r="G77" s="3">
        <f t="shared" si="26"/>
        <v>294.10000000000002</v>
      </c>
      <c r="H77" s="3">
        <v>101.3</v>
      </c>
      <c r="I77" s="3">
        <f t="shared" si="27"/>
        <v>101300</v>
      </c>
      <c r="J77" s="3">
        <f t="shared" si="28"/>
        <v>2.0124824921938581E-5</v>
      </c>
      <c r="K77" s="28">
        <v>65.39108910891089</v>
      </c>
      <c r="L77" s="3">
        <f t="shared" si="29"/>
        <v>6.5391089108910895E-5</v>
      </c>
      <c r="M77" s="3">
        <f t="shared" si="30"/>
        <v>4.7762865441819992E-3</v>
      </c>
      <c r="N77" s="64">
        <f t="shared" si="31"/>
        <v>2.7552455398110875E-7</v>
      </c>
      <c r="O77" s="29">
        <f t="shared" si="32"/>
        <v>2.032E-3</v>
      </c>
      <c r="P77" s="29">
        <v>7.43403717661394E-11</v>
      </c>
      <c r="Q77" s="16">
        <v>0.1</v>
      </c>
      <c r="R77" s="2">
        <f t="shared" si="33"/>
        <v>110000.00000000001</v>
      </c>
      <c r="S77" s="2">
        <f t="shared" si="34"/>
        <v>5.1940208761751296E-3</v>
      </c>
      <c r="T77" s="2">
        <v>0.13</v>
      </c>
      <c r="U77" s="2">
        <f t="shared" si="35"/>
        <v>112999.99999999999</v>
      </c>
      <c r="V77" s="2">
        <f t="shared" si="22"/>
        <v>7.3891930693069305</v>
      </c>
      <c r="W77" s="2">
        <f t="shared" si="36"/>
        <v>5</v>
      </c>
      <c r="X77" s="12">
        <f t="shared" si="23"/>
        <v>2.931671868036983E-7</v>
      </c>
      <c r="Y77" s="2">
        <f t="shared" si="37"/>
        <v>104748.75606546836</v>
      </c>
      <c r="Z77" s="12">
        <f t="shared" si="38"/>
        <v>1.453787108127956E-14</v>
      </c>
      <c r="AA77" s="12">
        <f t="shared" si="39"/>
        <v>8754705965.1465511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</row>
    <row r="78" spans="1:75" s="4" customFormat="1" x14ac:dyDescent="0.25">
      <c r="A78" s="3">
        <v>228</v>
      </c>
      <c r="B78" s="3">
        <f t="shared" si="24"/>
        <v>3.8</v>
      </c>
      <c r="C78" s="3">
        <v>20</v>
      </c>
      <c r="D78" s="3">
        <f t="shared" si="21"/>
        <v>29.146000000000001</v>
      </c>
      <c r="E78" s="3">
        <f t="shared" si="25"/>
        <v>4.8576666666666667E-7</v>
      </c>
      <c r="F78" s="3">
        <v>21.1</v>
      </c>
      <c r="G78" s="3">
        <f t="shared" si="26"/>
        <v>294.10000000000002</v>
      </c>
      <c r="H78" s="3">
        <v>101.3</v>
      </c>
      <c r="I78" s="3">
        <f t="shared" si="27"/>
        <v>101300</v>
      </c>
      <c r="J78" s="3">
        <f t="shared" si="28"/>
        <v>2.0124824921938581E-5</v>
      </c>
      <c r="K78" s="28">
        <v>64.128712871287135</v>
      </c>
      <c r="L78" s="3">
        <f t="shared" si="29"/>
        <v>6.412871287128714E-5</v>
      </c>
      <c r="M78" s="3">
        <f t="shared" si="30"/>
        <v>4.7762865441819992E-3</v>
      </c>
      <c r="N78" s="64">
        <f t="shared" si="31"/>
        <v>2.7020554714749663E-7</v>
      </c>
      <c r="O78" s="29">
        <f t="shared" si="32"/>
        <v>2.032E-3</v>
      </c>
      <c r="P78" s="29">
        <v>7.43403717661394E-11</v>
      </c>
      <c r="Q78" s="16">
        <v>0.1</v>
      </c>
      <c r="R78" s="2">
        <f t="shared" si="33"/>
        <v>110000.00000000001</v>
      </c>
      <c r="S78" s="2">
        <f t="shared" si="34"/>
        <v>5.1940208761751296E-3</v>
      </c>
      <c r="T78" s="2">
        <v>0.13</v>
      </c>
      <c r="U78" s="2">
        <f t="shared" si="35"/>
        <v>112999.99999999999</v>
      </c>
      <c r="V78" s="2">
        <f t="shared" si="22"/>
        <v>7.2465445544554461</v>
      </c>
      <c r="W78" s="2">
        <f t="shared" si="36"/>
        <v>5</v>
      </c>
      <c r="X78" s="12">
        <f t="shared" si="23"/>
        <v>2.8688357136639974E-7</v>
      </c>
      <c r="Y78" s="2">
        <f t="shared" si="37"/>
        <v>104859.96206720604</v>
      </c>
      <c r="Z78" s="12">
        <f t="shared" si="38"/>
        <v>1.4211165168982701E-14</v>
      </c>
      <c r="AA78" s="12">
        <f t="shared" si="39"/>
        <v>8557963664.7613831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</row>
    <row r="79" spans="1:75" s="4" customFormat="1" x14ac:dyDescent="0.25">
      <c r="A79" s="3">
        <v>231</v>
      </c>
      <c r="B79" s="3">
        <f t="shared" si="24"/>
        <v>3.85</v>
      </c>
      <c r="C79" s="3">
        <v>20</v>
      </c>
      <c r="D79" s="3">
        <f t="shared" si="21"/>
        <v>29.146000000000001</v>
      </c>
      <c r="E79" s="3">
        <f t="shared" si="25"/>
        <v>4.8576666666666667E-7</v>
      </c>
      <c r="F79" s="3">
        <v>21.1</v>
      </c>
      <c r="G79" s="3">
        <f t="shared" si="26"/>
        <v>294.10000000000002</v>
      </c>
      <c r="H79" s="3">
        <v>101.3</v>
      </c>
      <c r="I79" s="3">
        <f t="shared" si="27"/>
        <v>101300</v>
      </c>
      <c r="J79" s="3">
        <f t="shared" si="28"/>
        <v>2.0124824921938581E-5</v>
      </c>
      <c r="K79" s="28">
        <v>65.440594059405953</v>
      </c>
      <c r="L79" s="3">
        <f t="shared" si="29"/>
        <v>6.5440594059405953E-5</v>
      </c>
      <c r="M79" s="3">
        <f t="shared" si="30"/>
        <v>4.7762865441819992E-3</v>
      </c>
      <c r="N79" s="64">
        <f t="shared" si="31"/>
        <v>2.7573314248438766E-7</v>
      </c>
      <c r="O79" s="29">
        <f t="shared" si="32"/>
        <v>2.032E-3</v>
      </c>
      <c r="P79" s="29">
        <v>7.43403717661394E-11</v>
      </c>
      <c r="Q79" s="16">
        <v>0.1</v>
      </c>
      <c r="R79" s="2">
        <f t="shared" si="33"/>
        <v>110000.00000000001</v>
      </c>
      <c r="S79" s="2">
        <f t="shared" si="34"/>
        <v>5.1940208761751296E-3</v>
      </c>
      <c r="T79" s="2">
        <v>0.13</v>
      </c>
      <c r="U79" s="2">
        <f t="shared" si="35"/>
        <v>112999.99999999999</v>
      </c>
      <c r="V79" s="2">
        <f t="shared" si="22"/>
        <v>7.3947871287128715</v>
      </c>
      <c r="W79" s="2">
        <f t="shared" si="36"/>
        <v>5</v>
      </c>
      <c r="X79" s="12">
        <f t="shared" si="23"/>
        <v>2.9341341251703428E-7</v>
      </c>
      <c r="Y79" s="2">
        <f t="shared" si="37"/>
        <v>104744.39961985593</v>
      </c>
      <c r="Z79" s="12">
        <f t="shared" si="38"/>
        <v>1.4550687146316574E-14</v>
      </c>
      <c r="AA79" s="12">
        <f t="shared" si="39"/>
        <v>8762423799.5118408</v>
      </c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</row>
    <row r="80" spans="1:75" s="4" customFormat="1" x14ac:dyDescent="0.25">
      <c r="A80" s="3">
        <v>234</v>
      </c>
      <c r="B80" s="3">
        <f t="shared" si="24"/>
        <v>3.9</v>
      </c>
      <c r="C80" s="3">
        <v>20</v>
      </c>
      <c r="D80" s="3">
        <f t="shared" si="21"/>
        <v>29.146000000000001</v>
      </c>
      <c r="E80" s="3">
        <f t="shared" si="25"/>
        <v>4.8576666666666667E-7</v>
      </c>
      <c r="F80" s="3">
        <v>21.1</v>
      </c>
      <c r="G80" s="3">
        <f t="shared" si="26"/>
        <v>294.10000000000002</v>
      </c>
      <c r="H80" s="3">
        <v>101.3</v>
      </c>
      <c r="I80" s="3">
        <f t="shared" si="27"/>
        <v>101300</v>
      </c>
      <c r="J80" s="3">
        <f t="shared" si="28"/>
        <v>2.0124824921938581E-5</v>
      </c>
      <c r="K80" s="28">
        <v>61.35643564356436</v>
      </c>
      <c r="L80" s="3">
        <f t="shared" si="29"/>
        <v>6.1356435643564354E-5</v>
      </c>
      <c r="M80" s="3">
        <f t="shared" si="30"/>
        <v>4.7762865441819992E-3</v>
      </c>
      <c r="N80" s="64">
        <f t="shared" si="31"/>
        <v>2.5852459096387774E-7</v>
      </c>
      <c r="O80" s="29">
        <f t="shared" si="32"/>
        <v>2.032E-3</v>
      </c>
      <c r="P80" s="29">
        <v>7.43403717661394E-11</v>
      </c>
      <c r="Q80" s="16">
        <v>0.1</v>
      </c>
      <c r="R80" s="2">
        <f t="shared" si="33"/>
        <v>110000.00000000001</v>
      </c>
      <c r="S80" s="2">
        <f t="shared" si="34"/>
        <v>5.1940208761751296E-3</v>
      </c>
      <c r="T80" s="2">
        <v>0.13</v>
      </c>
      <c r="U80" s="2">
        <f t="shared" si="35"/>
        <v>112999.99999999999</v>
      </c>
      <c r="V80" s="2">
        <f t="shared" si="22"/>
        <v>6.9332772277227708</v>
      </c>
      <c r="W80" s="2">
        <f t="shared" si="36"/>
        <v>5</v>
      </c>
      <c r="X80" s="12">
        <f t="shared" si="23"/>
        <v>2.730503675293672E-7</v>
      </c>
      <c r="Y80" s="2">
        <f t="shared" si="37"/>
        <v>105104.98688545157</v>
      </c>
      <c r="Z80" s="12">
        <f t="shared" si="38"/>
        <v>1.3494344191012206E-14</v>
      </c>
      <c r="AA80" s="12">
        <f t="shared" si="39"/>
        <v>8126294071.8275509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</row>
    <row r="81" spans="1:75" s="4" customFormat="1" x14ac:dyDescent="0.25">
      <c r="A81" s="3">
        <v>237</v>
      </c>
      <c r="B81" s="3">
        <f t="shared" si="24"/>
        <v>3.95</v>
      </c>
      <c r="C81" s="3">
        <v>20</v>
      </c>
      <c r="D81" s="3">
        <f t="shared" si="21"/>
        <v>29.146000000000001</v>
      </c>
      <c r="E81" s="3">
        <f t="shared" si="25"/>
        <v>4.8576666666666667E-7</v>
      </c>
      <c r="F81" s="3">
        <v>21.1</v>
      </c>
      <c r="G81" s="3">
        <f t="shared" si="26"/>
        <v>294.10000000000002</v>
      </c>
      <c r="H81" s="3">
        <v>101.3</v>
      </c>
      <c r="I81" s="3">
        <f t="shared" si="27"/>
        <v>101300</v>
      </c>
      <c r="J81" s="3">
        <f t="shared" si="28"/>
        <v>2.0124824921938581E-5</v>
      </c>
      <c r="K81" s="28">
        <v>64.67326732673267</v>
      </c>
      <c r="L81" s="3">
        <f t="shared" si="29"/>
        <v>6.4673267326732672E-5</v>
      </c>
      <c r="M81" s="3">
        <f t="shared" si="30"/>
        <v>4.7762865441819992E-3</v>
      </c>
      <c r="N81" s="64">
        <f t="shared" si="31"/>
        <v>2.7250002068356454E-7</v>
      </c>
      <c r="O81" s="29">
        <f t="shared" si="32"/>
        <v>2.032E-3</v>
      </c>
      <c r="P81" s="29">
        <v>7.43403717661394E-11</v>
      </c>
      <c r="Q81" s="16">
        <v>0.1</v>
      </c>
      <c r="R81" s="2">
        <f t="shared" si="33"/>
        <v>110000.00000000001</v>
      </c>
      <c r="S81" s="2">
        <f t="shared" si="34"/>
        <v>5.1940208761751296E-3</v>
      </c>
      <c r="T81" s="2">
        <v>0.13</v>
      </c>
      <c r="U81" s="2">
        <f t="shared" si="35"/>
        <v>112999.99999999999</v>
      </c>
      <c r="V81" s="2">
        <f t="shared" si="22"/>
        <v>7.308079207920791</v>
      </c>
      <c r="W81" s="2">
        <f t="shared" si="36"/>
        <v>5</v>
      </c>
      <c r="X81" s="12">
        <f t="shared" si="23"/>
        <v>2.895953044329473E-7</v>
      </c>
      <c r="Y81" s="2">
        <f t="shared" si="37"/>
        <v>104811.96319332307</v>
      </c>
      <c r="Z81" s="12">
        <f t="shared" si="38"/>
        <v>1.4352072961160278E-14</v>
      </c>
      <c r="AA81" s="12">
        <f t="shared" si="39"/>
        <v>8642818337.2107201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</row>
    <row r="82" spans="1:75" s="4" customForma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22"/>
      <c r="L82" s="3"/>
      <c r="M82" s="3"/>
      <c r="N82" s="29"/>
      <c r="O82" s="29"/>
      <c r="P82" s="29"/>
      <c r="Q82" s="16"/>
      <c r="R82" s="2"/>
      <c r="S82" s="2"/>
      <c r="T82" s="2"/>
      <c r="U82" s="2"/>
      <c r="V82" s="2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</row>
    <row r="83" spans="1:75" s="4" customForma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22"/>
      <c r="L83" s="3"/>
      <c r="M83" s="3"/>
      <c r="N83" s="29"/>
      <c r="O83" s="29"/>
      <c r="P83" s="29"/>
      <c r="Q83" s="16"/>
      <c r="R83" s="2"/>
      <c r="S83" s="2"/>
      <c r="T83" s="2"/>
      <c r="U83" s="2"/>
      <c r="V83" s="2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</row>
    <row r="84" spans="1:75" s="4" customForma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22"/>
      <c r="L84" s="3"/>
      <c r="M84" s="3"/>
      <c r="N84" s="29"/>
      <c r="O84" s="29"/>
      <c r="P84" s="29"/>
      <c r="Q84" s="16"/>
      <c r="R84" s="2"/>
      <c r="S84" s="2"/>
      <c r="T84" s="2"/>
      <c r="U84" s="2"/>
      <c r="V84" s="2"/>
      <c r="W84" s="8"/>
      <c r="X84" s="8"/>
      <c r="Y84" s="8"/>
      <c r="Z84" s="45">
        <f>AVERAGE(Z60:Z81)</f>
        <v>1.3877973642852302E-14</v>
      </c>
      <c r="AA84" s="45">
        <f>AVERAGE(AA60:AA81)</f>
        <v>8357315727.7256584</v>
      </c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</row>
    <row r="85" spans="1:75" s="4" customForma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22"/>
      <c r="L85" s="3"/>
      <c r="M85" s="3"/>
      <c r="N85" s="29"/>
      <c r="O85" s="29"/>
      <c r="P85" s="29"/>
      <c r="Q85" s="16"/>
      <c r="R85" s="2"/>
      <c r="S85" s="2"/>
      <c r="T85" s="2"/>
      <c r="U85" s="2"/>
      <c r="V85" s="2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</row>
    <row r="86" spans="1:75" s="4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22"/>
      <c r="L86" s="3"/>
      <c r="M86" s="3"/>
      <c r="N86" s="29"/>
      <c r="O86" s="29"/>
      <c r="P86" s="29"/>
      <c r="Q86" s="16"/>
      <c r="R86" s="2"/>
      <c r="S86" s="2"/>
      <c r="T86" s="2"/>
      <c r="U86" s="2"/>
      <c r="V86" s="2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</row>
    <row r="87" spans="1:75" s="4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22"/>
      <c r="L87" s="3"/>
      <c r="M87" s="3"/>
      <c r="N87" s="29"/>
      <c r="O87" s="29"/>
      <c r="P87" s="29"/>
      <c r="Q87" s="16"/>
      <c r="R87" s="2"/>
      <c r="S87" s="2"/>
      <c r="T87" s="2"/>
      <c r="U87" s="2"/>
      <c r="V87" s="2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</row>
    <row r="88" spans="1:75" s="4" customForma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22"/>
      <c r="L88" s="3"/>
      <c r="M88" s="3"/>
      <c r="N88" s="29"/>
      <c r="O88" s="29"/>
      <c r="P88" s="29"/>
      <c r="Q88" s="16"/>
      <c r="R88" s="2"/>
      <c r="S88" s="2"/>
      <c r="T88" s="2"/>
      <c r="U88" s="2"/>
      <c r="V88" s="2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</row>
    <row r="89" spans="1:75" s="4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22"/>
      <c r="L89" s="3"/>
      <c r="M89" s="3"/>
      <c r="N89" s="29"/>
      <c r="O89" s="29"/>
      <c r="P89" s="29"/>
      <c r="Q89" s="16"/>
      <c r="R89" s="2"/>
      <c r="S89" s="2"/>
      <c r="T89" s="2"/>
      <c r="U89" s="2"/>
      <c r="V89" s="2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</row>
    <row r="90" spans="1:75" s="4" customForma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22"/>
      <c r="L90" s="3"/>
      <c r="M90" s="3"/>
      <c r="N90" s="29"/>
      <c r="O90" s="29"/>
      <c r="P90" s="29"/>
      <c r="Q90" s="16"/>
      <c r="R90" s="2"/>
      <c r="S90" s="2"/>
      <c r="T90" s="2"/>
      <c r="U90" s="2"/>
      <c r="V90" s="2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</row>
    <row r="91" spans="1:75" s="4" customForma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22"/>
      <c r="L91" s="3"/>
      <c r="M91" s="3"/>
      <c r="N91" s="29"/>
      <c r="O91" s="29"/>
      <c r="P91" s="29"/>
      <c r="Q91" s="16"/>
      <c r="R91" s="2"/>
      <c r="S91" s="2"/>
      <c r="T91" s="2"/>
      <c r="U91" s="2"/>
      <c r="V91" s="2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</row>
    <row r="92" spans="1:75" s="4" customForma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22"/>
      <c r="L92" s="3"/>
      <c r="M92" s="3"/>
      <c r="N92" s="29"/>
      <c r="O92" s="29"/>
      <c r="P92" s="29"/>
      <c r="Q92" s="16"/>
      <c r="R92" s="2"/>
      <c r="S92" s="2"/>
      <c r="T92" s="2"/>
      <c r="U92" s="2"/>
      <c r="V92" s="2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</row>
    <row r="93" spans="1:75" s="4" customForma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22"/>
      <c r="L93" s="3"/>
      <c r="M93" s="3"/>
      <c r="N93" s="29"/>
      <c r="O93" s="29"/>
      <c r="P93" s="29"/>
      <c r="Q93" s="16"/>
      <c r="R93" s="2"/>
      <c r="S93" s="2"/>
      <c r="T93" s="2"/>
      <c r="U93" s="2"/>
      <c r="V93" s="2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</row>
    <row r="94" spans="1:75" s="4" customForma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22"/>
      <c r="L94" s="3"/>
      <c r="M94" s="3"/>
      <c r="N94" s="29"/>
      <c r="O94" s="29"/>
      <c r="P94" s="29"/>
      <c r="Q94" s="16"/>
      <c r="R94" s="2"/>
      <c r="S94" s="2"/>
      <c r="T94" s="2"/>
      <c r="U94" s="2"/>
      <c r="V94" s="2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</row>
    <row r="95" spans="1:75" s="4" customForma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22"/>
      <c r="L95" s="3"/>
      <c r="M95" s="3"/>
      <c r="N95" s="29"/>
      <c r="O95" s="29"/>
      <c r="P95" s="29"/>
      <c r="Q95" s="16"/>
      <c r="R95" s="2"/>
      <c r="S95" s="2"/>
      <c r="T95" s="2"/>
      <c r="U95" s="2"/>
      <c r="V95" s="2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</row>
    <row r="96" spans="1:75" s="4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22"/>
      <c r="L96" s="3"/>
      <c r="M96" s="3"/>
      <c r="N96" s="29"/>
      <c r="O96" s="29"/>
      <c r="P96" s="29"/>
      <c r="Q96" s="16"/>
      <c r="R96" s="2"/>
      <c r="S96" s="2"/>
      <c r="T96" s="2"/>
      <c r="U96" s="2"/>
      <c r="V96" s="2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</row>
    <row r="97" spans="1:75" s="4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22"/>
      <c r="L97" s="3"/>
      <c r="M97" s="3"/>
      <c r="N97" s="29"/>
      <c r="O97" s="29"/>
      <c r="P97" s="29"/>
      <c r="Q97" s="16"/>
      <c r="R97" s="2"/>
      <c r="S97" s="2"/>
      <c r="T97" s="2"/>
      <c r="U97" s="2"/>
      <c r="V97" s="2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</row>
    <row r="98" spans="1:75" s="4" customForma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22"/>
      <c r="L98" s="3"/>
      <c r="M98" s="3"/>
      <c r="N98" s="29"/>
      <c r="O98" s="29"/>
      <c r="P98" s="29"/>
      <c r="Q98" s="16"/>
      <c r="R98" s="2"/>
      <c r="S98" s="2"/>
      <c r="T98" s="2"/>
      <c r="U98" s="2"/>
      <c r="V98" s="2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</row>
    <row r="99" spans="1:75" s="4" customForma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22"/>
      <c r="L99" s="3"/>
      <c r="M99" s="3"/>
      <c r="N99" s="29"/>
      <c r="O99" s="29"/>
      <c r="P99" s="29"/>
      <c r="Q99" s="16"/>
      <c r="R99" s="2"/>
      <c r="S99" s="2"/>
      <c r="T99" s="2"/>
      <c r="U99" s="2"/>
      <c r="V99" s="2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</row>
    <row r="100" spans="1:75" s="4" customForma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22"/>
      <c r="L100" s="3"/>
      <c r="M100" s="3"/>
      <c r="N100" s="29"/>
      <c r="O100" s="29"/>
      <c r="P100" s="29"/>
      <c r="Q100" s="16"/>
      <c r="R100" s="2"/>
      <c r="S100" s="2"/>
      <c r="T100" s="2"/>
      <c r="U100" s="2"/>
      <c r="V100" s="2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</row>
    <row r="101" spans="1:75" s="4" customForma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22"/>
      <c r="L101" s="3"/>
      <c r="M101" s="3"/>
      <c r="N101" s="29"/>
      <c r="O101" s="29"/>
      <c r="P101" s="29"/>
      <c r="Q101" s="16"/>
      <c r="R101" s="2"/>
      <c r="S101" s="2"/>
      <c r="T101" s="2"/>
      <c r="U101" s="2"/>
      <c r="V101" s="2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</row>
    <row r="102" spans="1:75" s="4" customForma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22"/>
      <c r="L102" s="3"/>
      <c r="M102" s="3"/>
      <c r="N102" s="29"/>
      <c r="O102" s="29"/>
      <c r="P102" s="29"/>
      <c r="Q102" s="16"/>
      <c r="R102" s="2"/>
      <c r="S102" s="2"/>
      <c r="T102" s="2"/>
      <c r="U102" s="2"/>
      <c r="V102" s="2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</row>
    <row r="103" spans="1:75" s="4" customForma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22"/>
      <c r="L103" s="3"/>
      <c r="M103" s="3"/>
      <c r="N103" s="29"/>
      <c r="O103" s="29"/>
      <c r="P103" s="29"/>
      <c r="Q103" s="16"/>
      <c r="R103" s="2"/>
      <c r="S103" s="2"/>
      <c r="T103" s="2"/>
      <c r="U103" s="2"/>
      <c r="V103" s="2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</row>
    <row r="104" spans="1:75" s="4" customForma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22"/>
      <c r="L104" s="3"/>
      <c r="M104" s="3"/>
      <c r="N104" s="29"/>
      <c r="O104" s="29"/>
      <c r="P104" s="29"/>
      <c r="Q104" s="16"/>
      <c r="R104" s="2"/>
      <c r="S104" s="2"/>
      <c r="T104" s="2"/>
      <c r="U104" s="2"/>
      <c r="V104" s="2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</row>
    <row r="105" spans="1:75" s="4" customForma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22"/>
      <c r="L105" s="3"/>
      <c r="M105" s="3"/>
      <c r="N105" s="29"/>
      <c r="O105" s="29"/>
      <c r="P105" s="29"/>
      <c r="Q105" s="16"/>
      <c r="R105" s="2"/>
      <c r="S105" s="2"/>
      <c r="T105" s="2"/>
      <c r="U105" s="2"/>
      <c r="V105" s="2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</row>
    <row r="106" spans="1:75" s="4" customForma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22"/>
      <c r="L106" s="3"/>
      <c r="M106" s="3"/>
      <c r="N106" s="29"/>
      <c r="O106" s="29"/>
      <c r="P106" s="29"/>
      <c r="Q106" s="16"/>
      <c r="R106" s="2"/>
      <c r="S106" s="2"/>
      <c r="T106" s="2"/>
      <c r="U106" s="2"/>
      <c r="V106" s="2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</row>
    <row r="107" spans="1:75" s="4" customForma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22"/>
      <c r="L107" s="3"/>
      <c r="M107" s="3"/>
      <c r="N107" s="29"/>
      <c r="O107" s="29"/>
      <c r="P107" s="29"/>
      <c r="Q107" s="16"/>
      <c r="R107" s="2"/>
      <c r="S107" s="2"/>
      <c r="T107" s="2"/>
      <c r="U107" s="2"/>
      <c r="V107" s="2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</row>
    <row r="108" spans="1:75" s="4" customForma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22"/>
      <c r="L108" s="3"/>
      <c r="M108" s="3"/>
      <c r="N108" s="29"/>
      <c r="O108" s="29"/>
      <c r="P108" s="29"/>
      <c r="Q108" s="16"/>
      <c r="R108" s="2"/>
      <c r="S108" s="2"/>
      <c r="T108" s="2"/>
      <c r="U108" s="2"/>
      <c r="V108" s="2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</row>
    <row r="109" spans="1:75" s="4" customForma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22"/>
      <c r="L109" s="3"/>
      <c r="M109" s="3"/>
      <c r="N109" s="29"/>
      <c r="O109" s="29"/>
      <c r="P109" s="29"/>
      <c r="Q109" s="16"/>
      <c r="R109" s="2"/>
      <c r="S109" s="2"/>
      <c r="T109" s="2"/>
      <c r="U109" s="2"/>
      <c r="V109" s="2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</row>
    <row r="110" spans="1:75" s="4" customForma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22"/>
      <c r="L110" s="3"/>
      <c r="M110" s="3"/>
      <c r="N110" s="29"/>
      <c r="O110" s="29"/>
      <c r="P110" s="29"/>
      <c r="Q110" s="16"/>
      <c r="R110" s="2"/>
      <c r="S110" s="2"/>
      <c r="T110" s="2"/>
      <c r="U110" s="2"/>
      <c r="V110" s="2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</row>
    <row r="111" spans="1:75" s="4" customForma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22"/>
      <c r="L111" s="3"/>
      <c r="M111" s="3"/>
      <c r="N111" s="29"/>
      <c r="O111" s="29"/>
      <c r="P111" s="29"/>
      <c r="Q111" s="16"/>
      <c r="R111" s="2"/>
      <c r="S111" s="2"/>
      <c r="T111" s="2"/>
      <c r="U111" s="2"/>
      <c r="V111" s="2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</row>
    <row r="112" spans="1:75" s="4" customForma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22"/>
      <c r="L112" s="3"/>
      <c r="M112" s="3"/>
      <c r="N112" s="29"/>
      <c r="O112" s="29"/>
      <c r="P112" s="29"/>
      <c r="Q112" s="16"/>
      <c r="R112" s="2"/>
      <c r="S112" s="2"/>
      <c r="T112" s="2"/>
      <c r="U112" s="2"/>
      <c r="V112" s="2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</row>
    <row r="113" spans="1:75" s="4" customForma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22"/>
      <c r="L113" s="3"/>
      <c r="M113" s="3"/>
      <c r="N113" s="29"/>
      <c r="O113" s="29"/>
      <c r="P113" s="29"/>
      <c r="Q113" s="16"/>
      <c r="R113" s="2"/>
      <c r="S113" s="2"/>
      <c r="T113" s="2"/>
      <c r="U113" s="2"/>
      <c r="V113" s="2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</row>
    <row r="114" spans="1:75" s="4" customForma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22"/>
      <c r="L114" s="3"/>
      <c r="M114" s="3"/>
      <c r="N114" s="29"/>
      <c r="O114" s="29"/>
      <c r="P114" s="29"/>
      <c r="Q114" s="16"/>
      <c r="R114" s="2"/>
      <c r="S114" s="2"/>
      <c r="T114" s="2"/>
      <c r="U114" s="2"/>
      <c r="V114" s="2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</row>
    <row r="115" spans="1:75" s="4" customForma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22"/>
      <c r="L115" s="3"/>
      <c r="M115" s="3"/>
      <c r="N115" s="29"/>
      <c r="O115" s="29"/>
      <c r="P115" s="29"/>
      <c r="Q115" s="16"/>
      <c r="R115" s="2"/>
      <c r="S115" s="2"/>
      <c r="T115" s="2"/>
      <c r="U115" s="2"/>
      <c r="V115" s="2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</row>
    <row r="116" spans="1:75" s="4" customForma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22"/>
      <c r="L116" s="3"/>
      <c r="M116" s="3"/>
      <c r="N116" s="29"/>
      <c r="O116" s="29"/>
      <c r="P116" s="29"/>
      <c r="Q116" s="16"/>
      <c r="R116" s="2"/>
      <c r="S116" s="2"/>
      <c r="T116" s="2"/>
      <c r="U116" s="2"/>
      <c r="V116" s="2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</row>
    <row r="117" spans="1:75" s="4" customForma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22"/>
      <c r="L117" s="3"/>
      <c r="M117" s="3"/>
      <c r="N117" s="29"/>
      <c r="O117" s="29"/>
      <c r="P117" s="29"/>
      <c r="Q117" s="16"/>
      <c r="R117" s="2"/>
      <c r="S117" s="2"/>
      <c r="T117" s="2"/>
      <c r="U117" s="2"/>
      <c r="V117" s="2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</row>
    <row r="118" spans="1:75" s="4" customForma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22"/>
      <c r="L118" s="3"/>
      <c r="M118" s="3"/>
      <c r="N118" s="29"/>
      <c r="O118" s="29"/>
      <c r="P118" s="29"/>
      <c r="Q118" s="16"/>
      <c r="R118" s="2"/>
      <c r="S118" s="2"/>
      <c r="T118" s="2"/>
      <c r="U118" s="2"/>
      <c r="V118" s="2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</row>
    <row r="119" spans="1:75" s="4" customForma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22"/>
      <c r="L119" s="3"/>
      <c r="M119" s="3"/>
      <c r="N119" s="29"/>
      <c r="O119" s="29"/>
      <c r="P119" s="29"/>
      <c r="Q119" s="16"/>
      <c r="R119" s="2"/>
      <c r="S119" s="2"/>
      <c r="T119" s="2"/>
      <c r="U119" s="2"/>
      <c r="V119" s="2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</row>
    <row r="120" spans="1:75" s="4" customForma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22"/>
      <c r="L120" s="3"/>
      <c r="M120" s="3"/>
      <c r="N120" s="29"/>
      <c r="O120" s="29"/>
      <c r="P120" s="29"/>
      <c r="Q120" s="16"/>
      <c r="R120" s="2"/>
      <c r="S120" s="2"/>
      <c r="T120" s="2"/>
      <c r="U120" s="2"/>
      <c r="V120" s="2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</row>
    <row r="121" spans="1:75" s="4" customForma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22"/>
      <c r="L121" s="3"/>
      <c r="M121" s="3"/>
      <c r="N121" s="29"/>
      <c r="O121" s="29"/>
      <c r="P121" s="29"/>
      <c r="Q121" s="16"/>
      <c r="R121" s="2"/>
      <c r="S121" s="2"/>
      <c r="T121" s="2"/>
      <c r="U121" s="2"/>
      <c r="V121" s="2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</row>
    <row r="122" spans="1:75" s="4" customForma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22"/>
      <c r="L122" s="3"/>
      <c r="M122" s="3"/>
      <c r="N122" s="29"/>
      <c r="O122" s="29"/>
      <c r="P122" s="29"/>
      <c r="Q122" s="16"/>
      <c r="R122" s="2"/>
      <c r="S122" s="2"/>
      <c r="T122" s="2"/>
      <c r="U122" s="2"/>
      <c r="V122" s="2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</row>
    <row r="123" spans="1:75" s="4" customForma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22"/>
      <c r="L123" s="3"/>
      <c r="M123" s="3"/>
      <c r="N123" s="29"/>
      <c r="O123" s="29"/>
      <c r="P123" s="29"/>
      <c r="Q123" s="16"/>
      <c r="R123" s="2"/>
      <c r="S123" s="2"/>
      <c r="T123" s="2"/>
      <c r="U123" s="2"/>
      <c r="V123" s="2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</row>
    <row r="124" spans="1:75" s="4" customForma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22"/>
      <c r="L124" s="3"/>
      <c r="M124" s="3"/>
      <c r="N124" s="29"/>
      <c r="O124" s="29"/>
      <c r="P124" s="29"/>
      <c r="Q124" s="16"/>
      <c r="R124" s="2"/>
      <c r="S124" s="2"/>
      <c r="T124" s="2"/>
      <c r="U124" s="2"/>
      <c r="V124" s="2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</row>
    <row r="125" spans="1:75" s="4" customForma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22"/>
      <c r="L125" s="3"/>
      <c r="M125" s="3"/>
      <c r="N125" s="29"/>
      <c r="O125" s="29"/>
      <c r="P125" s="29"/>
      <c r="Q125" s="16"/>
      <c r="R125" s="2"/>
      <c r="S125" s="2"/>
      <c r="T125" s="2"/>
      <c r="U125" s="2"/>
      <c r="V125" s="2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</row>
    <row r="126" spans="1:75" s="4" customForma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22"/>
      <c r="L126" s="3"/>
      <c r="M126" s="3"/>
      <c r="N126" s="29"/>
      <c r="O126" s="29"/>
      <c r="P126" s="29"/>
      <c r="Q126" s="16"/>
      <c r="R126" s="2"/>
      <c r="S126" s="2"/>
      <c r="T126" s="2"/>
      <c r="U126" s="2"/>
      <c r="V126" s="2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</row>
    <row r="127" spans="1:75" s="4" customForma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22"/>
      <c r="L127" s="3"/>
      <c r="M127" s="3"/>
      <c r="N127" s="29"/>
      <c r="O127" s="29"/>
      <c r="P127" s="29"/>
      <c r="Q127" s="16"/>
      <c r="R127" s="2"/>
      <c r="S127" s="2"/>
      <c r="T127" s="2"/>
      <c r="U127" s="2"/>
      <c r="V127" s="2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</row>
    <row r="128" spans="1:75" s="4" customForma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22"/>
      <c r="L128" s="3"/>
      <c r="M128" s="3"/>
      <c r="N128" s="29"/>
      <c r="O128" s="29"/>
      <c r="P128" s="29"/>
      <c r="Q128" s="16"/>
      <c r="R128" s="2"/>
      <c r="S128" s="2"/>
      <c r="T128" s="2"/>
      <c r="U128" s="2"/>
      <c r="V128" s="2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</row>
    <row r="129" spans="1:75" s="4" customForma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22"/>
      <c r="L129" s="3"/>
      <c r="M129" s="3"/>
      <c r="N129" s="29"/>
      <c r="O129" s="29"/>
      <c r="P129" s="29"/>
      <c r="Q129" s="16"/>
      <c r="R129" s="2"/>
      <c r="S129" s="2"/>
      <c r="T129" s="2"/>
      <c r="U129" s="2"/>
      <c r="V129" s="2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</row>
    <row r="130" spans="1:75" s="4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22"/>
      <c r="L130" s="3"/>
      <c r="M130" s="3"/>
      <c r="N130" s="29"/>
      <c r="O130" s="29"/>
      <c r="P130" s="29"/>
      <c r="Q130" s="16"/>
      <c r="R130" s="2"/>
      <c r="S130" s="2"/>
      <c r="T130" s="2"/>
      <c r="U130" s="2"/>
      <c r="V130" s="2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</row>
    <row r="131" spans="1:75" s="4" customForma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22"/>
      <c r="L131" s="3"/>
      <c r="M131" s="3"/>
      <c r="N131" s="29"/>
      <c r="O131" s="29"/>
      <c r="P131" s="29"/>
      <c r="Q131" s="16"/>
      <c r="R131" s="2"/>
      <c r="S131" s="2"/>
      <c r="T131" s="2"/>
      <c r="U131" s="2"/>
      <c r="V131" s="2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</row>
    <row r="132" spans="1:75" s="4" customForma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22"/>
      <c r="L132" s="3"/>
      <c r="M132" s="3"/>
      <c r="N132" s="29"/>
      <c r="O132" s="29"/>
      <c r="P132" s="29"/>
      <c r="Q132" s="16"/>
      <c r="R132" s="2"/>
      <c r="S132" s="2"/>
      <c r="T132" s="2"/>
      <c r="U132" s="2"/>
      <c r="V132" s="2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</row>
    <row r="133" spans="1:75" s="4" customForma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22"/>
      <c r="L133" s="3"/>
      <c r="M133" s="3"/>
      <c r="N133" s="29"/>
      <c r="O133" s="29"/>
      <c r="P133" s="29"/>
      <c r="Q133" s="16"/>
      <c r="R133" s="2"/>
      <c r="S133" s="2"/>
      <c r="T133" s="2"/>
      <c r="U133" s="2"/>
      <c r="V133" s="2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</row>
    <row r="134" spans="1:75" s="4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22"/>
      <c r="L134" s="3"/>
      <c r="M134" s="3"/>
      <c r="N134" s="29"/>
      <c r="O134" s="29"/>
      <c r="P134" s="29"/>
      <c r="Q134" s="16"/>
      <c r="R134" s="2"/>
      <c r="S134" s="2"/>
      <c r="T134" s="2"/>
      <c r="U134" s="2"/>
      <c r="V134" s="2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</row>
    <row r="135" spans="1:75" s="4" customForma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22"/>
      <c r="L135" s="3"/>
      <c r="M135" s="3"/>
      <c r="N135" s="29"/>
      <c r="O135" s="29"/>
      <c r="P135" s="29"/>
      <c r="Q135" s="16"/>
      <c r="R135" s="2"/>
      <c r="S135" s="2"/>
      <c r="T135" s="2"/>
      <c r="U135" s="2"/>
      <c r="V135" s="2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</row>
    <row r="136" spans="1:75" s="4" customForma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22"/>
      <c r="L136" s="3"/>
      <c r="M136" s="3"/>
      <c r="N136" s="29"/>
      <c r="O136" s="29"/>
      <c r="P136" s="29"/>
      <c r="Q136" s="16"/>
      <c r="R136" s="2"/>
      <c r="S136" s="2"/>
      <c r="T136" s="2"/>
      <c r="U136" s="2"/>
      <c r="V136" s="2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</row>
    <row r="137" spans="1:75" s="4" customForma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22"/>
      <c r="L137" s="3"/>
      <c r="M137" s="3"/>
      <c r="N137" s="29"/>
      <c r="O137" s="29"/>
      <c r="P137" s="29"/>
      <c r="Q137" s="16"/>
      <c r="R137" s="2"/>
      <c r="S137" s="2"/>
      <c r="T137" s="2"/>
      <c r="U137" s="2"/>
      <c r="V137" s="2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</row>
    <row r="138" spans="1:75" s="4" customForma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22"/>
      <c r="L138" s="3"/>
      <c r="M138" s="3"/>
      <c r="N138" s="29"/>
      <c r="O138" s="29"/>
      <c r="P138" s="29"/>
      <c r="Q138" s="16"/>
      <c r="R138" s="2"/>
      <c r="S138" s="2"/>
      <c r="T138" s="2"/>
      <c r="U138" s="2"/>
      <c r="V138" s="2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</row>
    <row r="139" spans="1:75" s="4" customForma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22"/>
      <c r="L139" s="3"/>
      <c r="M139" s="3"/>
      <c r="N139" s="29"/>
      <c r="O139" s="29"/>
      <c r="P139" s="29"/>
      <c r="Q139" s="16"/>
      <c r="R139" s="2"/>
      <c r="S139" s="2"/>
      <c r="T139" s="2"/>
      <c r="U139" s="2"/>
      <c r="V139" s="2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</row>
    <row r="140" spans="1:75" s="4" customForma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22"/>
      <c r="L140" s="3"/>
      <c r="M140" s="3"/>
      <c r="N140" s="29"/>
      <c r="O140" s="29"/>
      <c r="P140" s="29"/>
      <c r="Q140" s="16"/>
      <c r="R140" s="2"/>
      <c r="S140" s="2"/>
      <c r="T140" s="2"/>
      <c r="U140" s="2"/>
      <c r="V140" s="2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</row>
    <row r="141" spans="1:75" s="4" customForma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22"/>
      <c r="L141" s="3"/>
      <c r="M141" s="3"/>
      <c r="N141" s="29"/>
      <c r="O141" s="29"/>
      <c r="P141" s="29"/>
      <c r="Q141" s="16"/>
      <c r="R141" s="2"/>
      <c r="S141" s="2"/>
      <c r="T141" s="2"/>
      <c r="U141" s="2"/>
      <c r="V141" s="2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</row>
    <row r="142" spans="1:75" s="4" customForma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22"/>
      <c r="L142" s="3"/>
      <c r="M142" s="3"/>
      <c r="N142" s="29"/>
      <c r="O142" s="29"/>
      <c r="P142" s="29"/>
      <c r="Q142" s="16"/>
      <c r="R142" s="2"/>
      <c r="S142" s="2"/>
      <c r="T142" s="2"/>
      <c r="U142" s="2"/>
      <c r="V142" s="2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</row>
    <row r="143" spans="1:75" s="4" customForma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22"/>
      <c r="L143" s="3"/>
      <c r="M143" s="3"/>
      <c r="N143" s="29"/>
      <c r="O143" s="29"/>
      <c r="P143" s="29"/>
      <c r="Q143" s="16"/>
      <c r="R143" s="2"/>
      <c r="S143" s="2"/>
      <c r="T143" s="2"/>
      <c r="U143" s="2"/>
      <c r="V143" s="2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</row>
    <row r="144" spans="1:75" s="4" customForma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22"/>
      <c r="L144" s="3"/>
      <c r="M144" s="3"/>
      <c r="N144" s="29"/>
      <c r="O144" s="29"/>
      <c r="P144" s="29"/>
      <c r="Q144" s="16"/>
      <c r="R144" s="2"/>
      <c r="S144" s="2"/>
      <c r="T144" s="2"/>
      <c r="U144" s="2"/>
      <c r="V144" s="2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</row>
    <row r="145" spans="1:75" s="4" customForma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22"/>
      <c r="L145" s="3"/>
      <c r="M145" s="3"/>
      <c r="N145" s="29"/>
      <c r="O145" s="29"/>
      <c r="P145" s="29"/>
      <c r="Q145" s="16"/>
      <c r="R145" s="2"/>
      <c r="S145" s="2"/>
      <c r="T145" s="2"/>
      <c r="U145" s="2"/>
      <c r="V145" s="2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</row>
    <row r="146" spans="1:75" s="4" customForma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22"/>
      <c r="L146" s="3"/>
      <c r="M146" s="3"/>
      <c r="N146" s="29"/>
      <c r="O146" s="29"/>
      <c r="P146" s="29"/>
      <c r="Q146" s="16"/>
      <c r="R146" s="2"/>
      <c r="S146" s="2"/>
      <c r="T146" s="2"/>
      <c r="U146" s="2"/>
      <c r="V146" s="2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</row>
    <row r="147" spans="1:75" s="4" customForma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22"/>
      <c r="L147" s="3"/>
      <c r="M147" s="3"/>
      <c r="N147" s="29"/>
      <c r="O147" s="29"/>
      <c r="P147" s="29"/>
      <c r="Q147" s="16"/>
      <c r="R147" s="2"/>
      <c r="S147" s="2"/>
      <c r="T147" s="2"/>
      <c r="U147" s="2"/>
      <c r="V147" s="2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</row>
    <row r="148" spans="1:75" s="4" customForma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22"/>
      <c r="L148" s="3"/>
      <c r="M148" s="3"/>
      <c r="N148" s="29"/>
      <c r="O148" s="29"/>
      <c r="P148" s="29"/>
      <c r="Q148" s="16"/>
      <c r="R148" s="2"/>
      <c r="S148" s="2"/>
      <c r="T148" s="2"/>
      <c r="U148" s="2"/>
      <c r="V148" s="2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</row>
    <row r="149" spans="1:75" s="4" customForma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22"/>
      <c r="L149" s="3"/>
      <c r="M149" s="3"/>
      <c r="N149" s="29"/>
      <c r="O149" s="29"/>
      <c r="P149" s="29"/>
      <c r="Q149" s="16"/>
      <c r="R149" s="2"/>
      <c r="S149" s="2"/>
      <c r="T149" s="2"/>
      <c r="U149" s="2"/>
      <c r="V149" s="2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</row>
    <row r="150" spans="1:75" s="4" customForma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22"/>
      <c r="L150" s="3"/>
      <c r="M150" s="3"/>
      <c r="N150" s="29"/>
      <c r="O150" s="29"/>
      <c r="P150" s="29"/>
      <c r="Q150" s="16"/>
      <c r="R150" s="2"/>
      <c r="S150" s="2"/>
      <c r="T150" s="2"/>
      <c r="U150" s="2"/>
      <c r="V150" s="2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</row>
    <row r="151" spans="1:75" s="4" customForma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22"/>
      <c r="L151" s="3"/>
      <c r="M151" s="3"/>
      <c r="N151" s="29"/>
      <c r="O151" s="29"/>
      <c r="P151" s="29"/>
      <c r="Q151" s="16"/>
      <c r="R151" s="2"/>
      <c r="S151" s="2"/>
      <c r="T151" s="2"/>
      <c r="U151" s="2"/>
      <c r="V151" s="2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</row>
    <row r="152" spans="1:75" s="4" customForma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22"/>
      <c r="L152" s="3"/>
      <c r="M152" s="3"/>
      <c r="N152" s="29"/>
      <c r="O152" s="29"/>
      <c r="P152" s="29"/>
      <c r="Q152" s="16"/>
      <c r="R152" s="2"/>
      <c r="S152" s="2"/>
      <c r="T152" s="2"/>
      <c r="U152" s="2"/>
      <c r="V152" s="2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</row>
    <row r="153" spans="1:75" s="4" customForma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22"/>
      <c r="L153" s="3"/>
      <c r="M153" s="3"/>
      <c r="N153" s="29"/>
      <c r="O153" s="29"/>
      <c r="P153" s="29"/>
      <c r="Q153" s="16"/>
      <c r="R153" s="2"/>
      <c r="S153" s="2"/>
      <c r="T153" s="2"/>
      <c r="U153" s="2"/>
      <c r="V153" s="2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</row>
    <row r="154" spans="1:75" s="4" customForma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22"/>
      <c r="L154" s="3"/>
      <c r="M154" s="3"/>
      <c r="N154" s="29"/>
      <c r="O154" s="29"/>
      <c r="P154" s="29"/>
      <c r="Q154" s="16"/>
      <c r="R154" s="2"/>
      <c r="S154" s="2"/>
      <c r="T154" s="2"/>
      <c r="U154" s="2"/>
      <c r="V154" s="2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</row>
    <row r="155" spans="1:75" s="4" customForma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22"/>
      <c r="L155" s="3"/>
      <c r="M155" s="3"/>
      <c r="N155" s="29"/>
      <c r="O155" s="29"/>
      <c r="P155" s="29"/>
      <c r="Q155" s="16"/>
      <c r="R155" s="2"/>
      <c r="S155" s="2"/>
      <c r="T155" s="2"/>
      <c r="U155" s="2"/>
      <c r="V155" s="2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</row>
    <row r="156" spans="1:75" s="4" customForma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22"/>
      <c r="L156" s="3"/>
      <c r="M156" s="3"/>
      <c r="N156" s="29"/>
      <c r="O156" s="29"/>
      <c r="P156" s="29"/>
      <c r="Q156" s="16"/>
      <c r="R156" s="2"/>
      <c r="S156" s="2"/>
      <c r="T156" s="2"/>
      <c r="U156" s="2"/>
      <c r="V156" s="2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</row>
    <row r="157" spans="1:75" s="4" customForma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22"/>
      <c r="L157" s="3"/>
      <c r="M157" s="3"/>
      <c r="N157" s="29"/>
      <c r="O157" s="29"/>
      <c r="P157" s="29"/>
      <c r="Q157" s="16"/>
      <c r="R157" s="2"/>
      <c r="S157" s="2"/>
      <c r="T157" s="2"/>
      <c r="U157" s="2"/>
      <c r="V157" s="2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</row>
    <row r="158" spans="1:75" s="4" customForma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22"/>
      <c r="L158" s="3"/>
      <c r="M158" s="3"/>
      <c r="N158" s="29"/>
      <c r="O158" s="29"/>
      <c r="P158" s="29"/>
      <c r="Q158" s="16"/>
      <c r="R158" s="2"/>
      <c r="S158" s="2"/>
      <c r="T158" s="2"/>
      <c r="U158" s="2"/>
      <c r="V158" s="2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</row>
    <row r="159" spans="1:75" s="4" customForma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22"/>
      <c r="L159" s="3"/>
      <c r="M159" s="3"/>
      <c r="N159" s="29"/>
      <c r="O159" s="29"/>
      <c r="P159" s="29"/>
      <c r="Q159" s="16"/>
      <c r="R159" s="2"/>
      <c r="S159" s="2"/>
      <c r="T159" s="2"/>
      <c r="U159" s="2"/>
      <c r="V159" s="2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</row>
    <row r="160" spans="1:75" s="4" customForma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22"/>
      <c r="L160" s="3"/>
      <c r="M160" s="3"/>
      <c r="N160" s="29"/>
      <c r="O160" s="29"/>
      <c r="P160" s="29"/>
      <c r="Q160" s="16"/>
      <c r="R160" s="2"/>
      <c r="S160" s="2"/>
      <c r="T160" s="2"/>
      <c r="U160" s="2"/>
      <c r="V160" s="2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</row>
    <row r="161" spans="1:75" s="4" customForma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22"/>
      <c r="L161" s="3"/>
      <c r="M161" s="3"/>
      <c r="N161" s="29"/>
      <c r="O161" s="29"/>
      <c r="P161" s="29"/>
      <c r="Q161" s="16"/>
      <c r="R161" s="2"/>
      <c r="S161" s="2"/>
      <c r="T161" s="2"/>
      <c r="U161" s="2"/>
      <c r="V161" s="2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</row>
    <row r="162" spans="1:75" s="4" customForma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22"/>
      <c r="L162" s="3"/>
      <c r="M162" s="3"/>
      <c r="N162" s="29"/>
      <c r="O162" s="29"/>
      <c r="P162" s="29"/>
      <c r="Q162" s="16"/>
      <c r="R162" s="2"/>
      <c r="S162" s="2"/>
      <c r="T162" s="2"/>
      <c r="U162" s="2"/>
      <c r="V162" s="2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</row>
    <row r="163" spans="1:75" s="4" customForma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22"/>
      <c r="L163" s="3"/>
      <c r="M163" s="3"/>
      <c r="N163" s="29"/>
      <c r="O163" s="29"/>
      <c r="P163" s="29"/>
      <c r="Q163" s="16"/>
      <c r="R163" s="2"/>
      <c r="S163" s="2"/>
      <c r="T163" s="2"/>
      <c r="U163" s="2"/>
      <c r="V163" s="2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</row>
    <row r="164" spans="1:75" s="4" customForma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22"/>
      <c r="L164" s="3"/>
      <c r="M164" s="3"/>
      <c r="N164" s="29"/>
      <c r="O164" s="29"/>
      <c r="P164" s="29"/>
      <c r="Q164" s="16"/>
      <c r="R164" s="2"/>
      <c r="S164" s="2"/>
      <c r="T164" s="2"/>
      <c r="U164" s="2"/>
      <c r="V164" s="2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</row>
    <row r="165" spans="1:75" s="4" customForma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22"/>
      <c r="L165" s="3"/>
      <c r="M165" s="3"/>
      <c r="N165" s="29"/>
      <c r="O165" s="29"/>
      <c r="P165" s="29"/>
      <c r="Q165" s="16"/>
      <c r="R165" s="2"/>
      <c r="S165" s="2"/>
      <c r="T165" s="2"/>
      <c r="U165" s="2"/>
      <c r="V165" s="2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</row>
    <row r="166" spans="1:75" s="4" customForma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22"/>
      <c r="L166" s="3"/>
      <c r="M166" s="3"/>
      <c r="N166" s="29"/>
      <c r="O166" s="29"/>
      <c r="P166" s="29"/>
      <c r="Q166" s="16"/>
      <c r="R166" s="2"/>
      <c r="S166" s="2"/>
      <c r="T166" s="2"/>
      <c r="U166" s="2"/>
      <c r="V166" s="2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</row>
    <row r="167" spans="1:75" s="4" customForma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22"/>
      <c r="L167" s="3"/>
      <c r="M167" s="3"/>
      <c r="N167" s="29"/>
      <c r="O167" s="29"/>
      <c r="P167" s="29"/>
      <c r="Q167" s="16"/>
      <c r="R167" s="2"/>
      <c r="S167" s="2"/>
      <c r="T167" s="2"/>
      <c r="U167" s="2"/>
      <c r="V167" s="2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</row>
    <row r="168" spans="1:75" s="4" customForma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22"/>
      <c r="L168" s="3"/>
      <c r="M168" s="3"/>
      <c r="N168" s="29"/>
      <c r="O168" s="29"/>
      <c r="P168" s="29"/>
      <c r="Q168" s="16"/>
      <c r="R168" s="2"/>
      <c r="S168" s="2"/>
      <c r="T168" s="2"/>
      <c r="U168" s="2"/>
      <c r="V168" s="2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</row>
    <row r="169" spans="1:75" s="4" customForma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22"/>
      <c r="L169" s="3"/>
      <c r="M169" s="3"/>
      <c r="N169" s="29"/>
      <c r="O169" s="29"/>
      <c r="P169" s="29"/>
      <c r="Q169" s="16"/>
      <c r="R169" s="2"/>
      <c r="S169" s="2"/>
      <c r="T169" s="2"/>
      <c r="U169" s="2"/>
      <c r="V169" s="2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</row>
    <row r="170" spans="1:75" s="4" customForma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22"/>
      <c r="L170" s="3"/>
      <c r="M170" s="3"/>
      <c r="N170" s="29"/>
      <c r="O170" s="29"/>
      <c r="P170" s="29"/>
      <c r="Q170" s="16"/>
      <c r="R170" s="2"/>
      <c r="S170" s="2"/>
      <c r="T170" s="2"/>
      <c r="U170" s="2"/>
      <c r="V170" s="2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</row>
    <row r="171" spans="1:75" s="4" customForma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22"/>
      <c r="L171" s="3"/>
      <c r="M171" s="3"/>
      <c r="N171" s="29"/>
      <c r="O171" s="29"/>
      <c r="P171" s="29"/>
      <c r="Q171" s="16"/>
      <c r="R171" s="2"/>
      <c r="S171" s="2"/>
      <c r="T171" s="2"/>
      <c r="U171" s="2"/>
      <c r="V171" s="2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</row>
    <row r="172" spans="1:75" s="4" customForma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22"/>
      <c r="L172" s="3"/>
      <c r="M172" s="3"/>
      <c r="N172" s="29"/>
      <c r="O172" s="29"/>
      <c r="P172" s="29"/>
      <c r="Q172" s="16"/>
      <c r="R172" s="2"/>
      <c r="S172" s="2"/>
      <c r="T172" s="2"/>
      <c r="U172" s="2"/>
      <c r="V172" s="2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</row>
    <row r="173" spans="1:75" s="4" customForma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22"/>
      <c r="L173" s="3"/>
      <c r="M173" s="3"/>
      <c r="N173" s="29"/>
      <c r="O173" s="29"/>
      <c r="P173" s="29"/>
      <c r="Q173" s="16"/>
      <c r="R173" s="2"/>
      <c r="S173" s="2"/>
      <c r="T173" s="2"/>
      <c r="U173" s="2"/>
      <c r="V173" s="2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</row>
    <row r="174" spans="1:75" s="4" customForma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22"/>
      <c r="L174" s="3"/>
      <c r="M174" s="3"/>
      <c r="N174" s="29"/>
      <c r="O174" s="29"/>
      <c r="P174" s="29"/>
      <c r="Q174" s="16"/>
      <c r="R174" s="2"/>
      <c r="S174" s="2"/>
      <c r="T174" s="2"/>
      <c r="U174" s="2"/>
      <c r="V174" s="2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</row>
    <row r="175" spans="1:75" s="4" customForma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22"/>
      <c r="L175" s="3"/>
      <c r="M175" s="3"/>
      <c r="N175" s="29"/>
      <c r="O175" s="29"/>
      <c r="P175" s="29"/>
      <c r="Q175" s="16"/>
      <c r="R175" s="2"/>
      <c r="S175" s="2"/>
      <c r="T175" s="2"/>
      <c r="U175" s="2"/>
      <c r="V175" s="2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</row>
    <row r="176" spans="1:75" s="4" customForma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22"/>
      <c r="L176" s="3"/>
      <c r="M176" s="3"/>
      <c r="N176" s="29"/>
      <c r="O176" s="29"/>
      <c r="P176" s="29"/>
      <c r="Q176" s="16"/>
      <c r="R176" s="2"/>
      <c r="S176" s="2"/>
      <c r="T176" s="2"/>
      <c r="U176" s="2"/>
      <c r="V176" s="2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</row>
    <row r="177" spans="1:75" s="4" customForma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22"/>
      <c r="L177" s="3"/>
      <c r="M177" s="3"/>
      <c r="N177" s="29"/>
      <c r="O177" s="29"/>
      <c r="P177" s="29"/>
      <c r="Q177" s="16"/>
      <c r="R177" s="2"/>
      <c r="S177" s="2"/>
      <c r="T177" s="2"/>
      <c r="U177" s="2"/>
      <c r="V177" s="2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</row>
    <row r="178" spans="1:75" s="4" customForma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22"/>
      <c r="L178" s="3"/>
      <c r="M178" s="3"/>
      <c r="N178" s="29"/>
      <c r="O178" s="29"/>
      <c r="P178" s="29"/>
      <c r="Q178" s="16"/>
      <c r="R178" s="2"/>
      <c r="S178" s="2"/>
      <c r="T178" s="2"/>
      <c r="U178" s="2"/>
      <c r="V178" s="2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</row>
    <row r="179" spans="1:75" s="4" customForma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22"/>
      <c r="L179" s="3"/>
      <c r="M179" s="3"/>
      <c r="N179" s="29"/>
      <c r="O179" s="29"/>
      <c r="P179" s="29"/>
      <c r="Q179" s="16"/>
      <c r="R179" s="2"/>
      <c r="S179" s="2"/>
      <c r="T179" s="2"/>
      <c r="U179" s="2"/>
      <c r="V179" s="2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</row>
    <row r="180" spans="1:75" s="4" customForma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22"/>
      <c r="L180" s="3"/>
      <c r="M180" s="3"/>
      <c r="N180" s="29"/>
      <c r="O180" s="29"/>
      <c r="P180" s="29"/>
      <c r="Q180" s="16"/>
      <c r="R180" s="2"/>
      <c r="S180" s="2"/>
      <c r="T180" s="2"/>
      <c r="U180" s="2"/>
      <c r="V180" s="2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</row>
    <row r="181" spans="1:75" s="4" customForma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22"/>
      <c r="L181" s="3"/>
      <c r="M181" s="3"/>
      <c r="N181" s="29"/>
      <c r="O181" s="29"/>
      <c r="P181" s="29"/>
      <c r="Q181" s="16"/>
      <c r="R181" s="2"/>
      <c r="S181" s="2"/>
      <c r="T181" s="2"/>
      <c r="U181" s="2"/>
      <c r="V181" s="2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</row>
    <row r="182" spans="1:75" s="4" customForma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22"/>
      <c r="L182" s="3"/>
      <c r="M182" s="3"/>
      <c r="N182" s="64"/>
      <c r="O182" s="29"/>
      <c r="P182" s="29"/>
      <c r="Q182" s="16"/>
      <c r="R182" s="2"/>
      <c r="S182" s="2"/>
      <c r="T182" s="2"/>
      <c r="U182" s="2"/>
      <c r="V182" s="2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</row>
    <row r="183" spans="1:75" s="4" customForma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2"/>
      <c r="L183" s="3"/>
      <c r="M183" s="3"/>
      <c r="N183" s="29"/>
      <c r="O183" s="29"/>
      <c r="P183" s="29"/>
      <c r="Q183" s="16"/>
      <c r="R183" s="2"/>
      <c r="S183" s="2"/>
      <c r="T183" s="2"/>
      <c r="U183" s="2"/>
      <c r="V183" s="2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</row>
    <row r="184" spans="1:75" s="4" customForma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2"/>
      <c r="L184" s="3"/>
      <c r="M184" s="3"/>
      <c r="N184" s="29"/>
      <c r="O184" s="29"/>
      <c r="P184" s="29"/>
      <c r="Q184" s="16"/>
      <c r="R184" s="2"/>
      <c r="S184" s="2"/>
      <c r="T184" s="2"/>
      <c r="U184" s="2"/>
      <c r="V184" s="2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</row>
    <row r="185" spans="1:75" s="4" customForma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2"/>
      <c r="L185" s="3"/>
      <c r="M185" s="3"/>
      <c r="N185" s="29"/>
      <c r="O185" s="29"/>
      <c r="P185" s="29"/>
      <c r="Q185" s="16"/>
      <c r="R185" s="2"/>
      <c r="S185" s="2"/>
      <c r="T185" s="2"/>
      <c r="U185" s="2"/>
      <c r="V185" s="2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</row>
    <row r="186" spans="1:75" s="4" customForma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2"/>
      <c r="L186" s="3"/>
      <c r="M186" s="3"/>
      <c r="N186" s="29"/>
      <c r="O186" s="29"/>
      <c r="P186" s="29"/>
      <c r="Q186" s="16"/>
      <c r="R186" s="2"/>
      <c r="S186" s="2"/>
      <c r="T186" s="2"/>
      <c r="U186" s="2"/>
      <c r="V186" s="2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</row>
    <row r="187" spans="1:75" s="4" customForma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2"/>
      <c r="L187" s="3"/>
      <c r="M187" s="3"/>
      <c r="N187" s="29"/>
      <c r="O187" s="29"/>
      <c r="P187" s="29"/>
      <c r="Q187" s="16"/>
      <c r="R187" s="2"/>
      <c r="S187" s="2"/>
      <c r="T187" s="2"/>
      <c r="U187" s="2"/>
      <c r="V187" s="2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</row>
    <row r="188" spans="1:75" s="4" customForma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2"/>
      <c r="L188" s="3"/>
      <c r="M188" s="3"/>
      <c r="N188" s="29"/>
      <c r="O188" s="29"/>
      <c r="P188" s="29"/>
      <c r="Q188" s="16"/>
      <c r="R188" s="2"/>
      <c r="S188" s="2"/>
      <c r="T188" s="2"/>
      <c r="U188" s="2"/>
      <c r="V188" s="2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</row>
    <row r="189" spans="1:75" s="4" customForma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2"/>
      <c r="L189" s="3"/>
      <c r="M189" s="3"/>
      <c r="N189" s="29"/>
      <c r="O189" s="29"/>
      <c r="P189" s="29"/>
      <c r="Q189" s="16"/>
      <c r="R189" s="2"/>
      <c r="S189" s="2"/>
      <c r="T189" s="2"/>
      <c r="U189" s="2"/>
      <c r="V189" s="2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</row>
    <row r="190" spans="1:75" s="4" customForma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2"/>
      <c r="L190" s="3"/>
      <c r="M190" s="3"/>
      <c r="N190" s="29"/>
      <c r="O190" s="29"/>
      <c r="P190" s="29"/>
      <c r="Q190" s="16"/>
      <c r="R190" s="2"/>
      <c r="S190" s="2"/>
      <c r="T190" s="2"/>
      <c r="U190" s="2"/>
      <c r="V190" s="2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</row>
    <row r="191" spans="1:75" s="4" customForma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2"/>
      <c r="L191" s="3"/>
      <c r="M191" s="3"/>
      <c r="N191" s="29"/>
      <c r="O191" s="29"/>
      <c r="P191" s="29"/>
      <c r="Q191" s="16"/>
      <c r="R191" s="2"/>
      <c r="S191" s="2"/>
      <c r="T191" s="2"/>
      <c r="U191" s="2"/>
      <c r="V191" s="2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</row>
    <row r="192" spans="1:75" s="4" customForma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2"/>
      <c r="L192" s="3"/>
      <c r="M192" s="3"/>
      <c r="N192" s="29"/>
      <c r="O192" s="29"/>
      <c r="P192" s="29"/>
      <c r="Q192" s="16"/>
      <c r="R192" s="2"/>
      <c r="S192" s="2"/>
      <c r="T192" s="2"/>
      <c r="U192" s="2"/>
      <c r="V192" s="2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</row>
    <row r="193" spans="1:75" s="4" customForma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2"/>
      <c r="L193" s="3"/>
      <c r="M193" s="3"/>
      <c r="N193" s="29"/>
      <c r="O193" s="29"/>
      <c r="P193" s="29"/>
      <c r="Q193" s="16"/>
      <c r="R193" s="2"/>
      <c r="S193" s="2"/>
      <c r="T193" s="2"/>
      <c r="U193" s="2"/>
      <c r="V193" s="2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</row>
    <row r="194" spans="1:75" s="4" customForma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2"/>
      <c r="L194" s="3"/>
      <c r="M194" s="3"/>
      <c r="N194" s="29"/>
      <c r="O194" s="29"/>
      <c r="P194" s="29"/>
      <c r="Q194" s="16"/>
      <c r="R194" s="2"/>
      <c r="S194" s="2"/>
      <c r="T194" s="2"/>
      <c r="U194" s="2"/>
      <c r="V194" s="2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</row>
    <row r="195" spans="1:75" s="4" customForma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22"/>
      <c r="L195" s="3"/>
      <c r="M195" s="3"/>
      <c r="N195" s="29"/>
      <c r="O195" s="29"/>
      <c r="P195" s="29"/>
      <c r="Q195" s="16"/>
      <c r="R195" s="2"/>
      <c r="S195" s="2"/>
      <c r="T195" s="2"/>
      <c r="U195" s="2"/>
      <c r="V195" s="2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</row>
    <row r="196" spans="1:75" s="4" customForma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22"/>
      <c r="L196" s="3"/>
      <c r="M196" s="3"/>
      <c r="N196" s="29"/>
      <c r="O196" s="29"/>
      <c r="P196" s="29"/>
      <c r="Q196" s="16"/>
      <c r="R196" s="2"/>
      <c r="S196" s="2"/>
      <c r="T196" s="2"/>
      <c r="U196" s="2"/>
      <c r="V196" s="2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</row>
    <row r="197" spans="1:75" s="4" customForma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22"/>
      <c r="L197" s="3"/>
      <c r="M197" s="3"/>
      <c r="N197" s="29"/>
      <c r="O197" s="29"/>
      <c r="P197" s="29"/>
      <c r="Q197" s="16"/>
      <c r="R197" s="2"/>
      <c r="S197" s="2"/>
      <c r="T197" s="2"/>
      <c r="U197" s="2"/>
      <c r="V197" s="2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</row>
    <row r="198" spans="1:75" s="4" customForma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22"/>
      <c r="L198" s="3"/>
      <c r="M198" s="3"/>
      <c r="N198" s="29"/>
      <c r="O198" s="29"/>
      <c r="P198" s="29"/>
      <c r="Q198" s="16"/>
      <c r="R198" s="2"/>
      <c r="S198" s="2"/>
      <c r="T198" s="2"/>
      <c r="U198" s="2"/>
      <c r="V198" s="2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</row>
    <row r="199" spans="1:75" s="4" customForma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22"/>
      <c r="L199" s="3"/>
      <c r="M199" s="3"/>
      <c r="N199" s="29"/>
      <c r="O199" s="29"/>
      <c r="P199" s="29"/>
      <c r="Q199" s="16"/>
      <c r="R199" s="2"/>
      <c r="S199" s="2"/>
      <c r="T199" s="2"/>
      <c r="U199" s="2"/>
      <c r="V199" s="2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</row>
    <row r="200" spans="1:75" s="4" customForma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22"/>
      <c r="L200" s="3"/>
      <c r="M200" s="3"/>
      <c r="N200" s="29"/>
      <c r="O200" s="29"/>
      <c r="P200" s="29"/>
      <c r="Q200" s="16"/>
      <c r="R200" s="2"/>
      <c r="S200" s="2"/>
      <c r="T200" s="2"/>
      <c r="U200" s="2"/>
      <c r="V200" s="2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</row>
    <row r="201" spans="1:75" s="4" customForma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22"/>
      <c r="L201" s="3"/>
      <c r="M201" s="3"/>
      <c r="N201" s="29"/>
      <c r="O201" s="29"/>
      <c r="P201" s="29"/>
      <c r="Q201" s="16"/>
      <c r="R201" s="2"/>
      <c r="S201" s="2"/>
      <c r="T201" s="2"/>
      <c r="U201" s="2"/>
      <c r="V201" s="2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</row>
    <row r="202" spans="1:75" s="4" customForma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22"/>
      <c r="L202" s="3"/>
      <c r="M202" s="3"/>
      <c r="N202" s="29"/>
      <c r="O202" s="29"/>
      <c r="P202" s="29"/>
      <c r="Q202" s="16"/>
      <c r="R202" s="2"/>
      <c r="S202" s="2"/>
      <c r="T202" s="2"/>
      <c r="U202" s="2"/>
      <c r="V202" s="2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</row>
    <row r="203" spans="1:75" s="4" customForma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22"/>
      <c r="L203" s="3"/>
      <c r="M203" s="3"/>
      <c r="N203" s="29"/>
      <c r="O203" s="29"/>
      <c r="P203" s="29"/>
      <c r="Q203" s="16"/>
      <c r="R203" s="2"/>
      <c r="S203" s="2"/>
      <c r="T203" s="2"/>
      <c r="U203" s="2"/>
      <c r="V203" s="2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</row>
    <row r="204" spans="1:75" s="4" customForma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22"/>
      <c r="L204" s="3"/>
      <c r="M204" s="3"/>
      <c r="N204" s="29"/>
      <c r="O204" s="29"/>
      <c r="P204" s="29"/>
      <c r="Q204" s="16"/>
      <c r="R204" s="2"/>
      <c r="S204" s="2"/>
      <c r="T204" s="2"/>
      <c r="U204" s="2"/>
      <c r="V204" s="2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</row>
    <row r="205" spans="1:75" s="4" customForma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22"/>
      <c r="L205" s="3"/>
      <c r="M205" s="3"/>
      <c r="N205" s="29"/>
      <c r="O205" s="29"/>
      <c r="P205" s="29"/>
      <c r="Q205" s="16"/>
      <c r="R205" s="2"/>
      <c r="S205" s="2"/>
      <c r="T205" s="2"/>
      <c r="U205" s="2"/>
      <c r="V205" s="2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</row>
    <row r="206" spans="1:75" s="4" customForma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22"/>
      <c r="L206" s="3"/>
      <c r="M206" s="3"/>
      <c r="N206" s="29"/>
      <c r="O206" s="29"/>
      <c r="P206" s="29"/>
      <c r="Q206" s="16"/>
      <c r="R206" s="2"/>
      <c r="S206" s="2"/>
      <c r="T206" s="2"/>
      <c r="U206" s="2"/>
      <c r="V206" s="2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</row>
    <row r="207" spans="1:75" s="4" customForma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22"/>
      <c r="L207" s="3"/>
      <c r="M207" s="3"/>
      <c r="N207" s="29"/>
      <c r="O207" s="29"/>
      <c r="P207" s="29"/>
      <c r="Q207" s="16"/>
      <c r="R207" s="2"/>
      <c r="S207" s="2"/>
      <c r="T207" s="2"/>
      <c r="U207" s="2"/>
      <c r="V207" s="2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</row>
    <row r="208" spans="1:75" s="4" customForma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22"/>
      <c r="L208" s="3"/>
      <c r="M208" s="3"/>
      <c r="N208" s="29"/>
      <c r="O208" s="29"/>
      <c r="P208" s="29"/>
      <c r="Q208" s="16"/>
      <c r="R208" s="2"/>
      <c r="S208" s="2"/>
      <c r="T208" s="2"/>
      <c r="U208" s="2"/>
      <c r="V208" s="2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</row>
    <row r="209" spans="1:75" s="4" customForma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22"/>
      <c r="L209" s="3"/>
      <c r="M209" s="3"/>
      <c r="N209" s="29"/>
      <c r="O209" s="29"/>
      <c r="P209" s="29"/>
      <c r="Q209" s="16"/>
      <c r="R209" s="2"/>
      <c r="S209" s="2"/>
      <c r="T209" s="2"/>
      <c r="U209" s="2"/>
      <c r="V209" s="2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</row>
    <row r="210" spans="1:75" s="4" customForma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22"/>
      <c r="L210" s="3"/>
      <c r="M210" s="3"/>
      <c r="N210" s="29"/>
      <c r="O210" s="29"/>
      <c r="P210" s="29"/>
      <c r="Q210" s="16"/>
      <c r="R210" s="2"/>
      <c r="S210" s="2"/>
      <c r="T210" s="2"/>
      <c r="U210" s="2"/>
      <c r="V210" s="2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</row>
    <row r="211" spans="1:75" s="4" customForma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2"/>
      <c r="L211" s="3"/>
      <c r="M211" s="3"/>
      <c r="N211" s="29"/>
      <c r="O211" s="29"/>
      <c r="P211" s="29"/>
      <c r="Q211" s="16"/>
      <c r="R211" s="2"/>
      <c r="S211" s="2"/>
      <c r="T211" s="2"/>
      <c r="U211" s="2"/>
      <c r="V211" s="2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</row>
    <row r="212" spans="1:75" s="4" customForma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2"/>
      <c r="L212" s="3"/>
      <c r="M212" s="3"/>
      <c r="N212" s="29"/>
      <c r="O212" s="29"/>
      <c r="P212" s="29"/>
      <c r="Q212" s="16"/>
      <c r="R212" s="2"/>
      <c r="S212" s="2"/>
      <c r="T212" s="2"/>
      <c r="U212" s="2"/>
      <c r="V212" s="2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</row>
    <row r="213" spans="1:75" s="4" customForma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2"/>
      <c r="L213" s="3"/>
      <c r="M213" s="3"/>
      <c r="N213" s="29"/>
      <c r="O213" s="29"/>
      <c r="P213" s="29"/>
      <c r="Q213" s="16"/>
      <c r="R213" s="2"/>
      <c r="S213" s="2"/>
      <c r="T213" s="2"/>
      <c r="U213" s="2"/>
      <c r="V213" s="2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</row>
    <row r="214" spans="1:75" s="4" customForma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2"/>
      <c r="L214" s="3"/>
      <c r="M214" s="3"/>
      <c r="N214" s="29"/>
      <c r="O214" s="29"/>
      <c r="P214" s="29"/>
      <c r="Q214" s="16"/>
      <c r="R214" s="2"/>
      <c r="S214" s="2"/>
      <c r="T214" s="2"/>
      <c r="U214" s="2"/>
      <c r="V214" s="2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</row>
    <row r="215" spans="1:75" s="4" customForma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2"/>
      <c r="L215" s="3"/>
      <c r="M215" s="3"/>
      <c r="N215" s="29"/>
      <c r="O215" s="29"/>
      <c r="P215" s="29"/>
      <c r="Q215" s="16"/>
      <c r="R215" s="2"/>
      <c r="S215" s="2"/>
      <c r="T215" s="2"/>
      <c r="U215" s="2"/>
      <c r="V215" s="2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</row>
    <row r="216" spans="1:75" s="4" customForma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2"/>
      <c r="L216" s="3"/>
      <c r="M216" s="3"/>
      <c r="N216" s="29"/>
      <c r="O216" s="29"/>
      <c r="P216" s="29"/>
      <c r="Q216" s="16"/>
      <c r="R216" s="2"/>
      <c r="S216" s="2"/>
      <c r="T216" s="2"/>
      <c r="U216" s="2"/>
      <c r="V216" s="2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</row>
    <row r="217" spans="1:75" s="4" customForma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2"/>
      <c r="L217" s="3"/>
      <c r="M217" s="3"/>
      <c r="N217" s="29"/>
      <c r="O217" s="29"/>
      <c r="P217" s="29"/>
      <c r="Q217" s="16"/>
      <c r="R217" s="2"/>
      <c r="S217" s="2"/>
      <c r="T217" s="2"/>
      <c r="U217" s="2"/>
      <c r="V217" s="2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</row>
    <row r="218" spans="1:75" s="4" customForma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2"/>
      <c r="L218" s="3"/>
      <c r="M218" s="3"/>
      <c r="N218" s="29"/>
      <c r="O218" s="29"/>
      <c r="P218" s="29"/>
      <c r="Q218" s="16"/>
      <c r="R218" s="2"/>
      <c r="S218" s="2"/>
      <c r="T218" s="2"/>
      <c r="U218" s="2"/>
      <c r="V218" s="2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</row>
    <row r="219" spans="1:75" s="4" customForma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2"/>
      <c r="L219" s="3"/>
      <c r="M219" s="3"/>
      <c r="N219" s="29"/>
      <c r="O219" s="29"/>
      <c r="P219" s="29"/>
      <c r="Q219" s="16"/>
      <c r="R219" s="2"/>
      <c r="S219" s="2"/>
      <c r="T219" s="2"/>
      <c r="U219" s="2"/>
      <c r="V219" s="2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</row>
    <row r="220" spans="1:75" s="4" customForma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2"/>
      <c r="L220" s="3"/>
      <c r="M220" s="3"/>
      <c r="N220" s="29"/>
      <c r="O220" s="29"/>
      <c r="P220" s="29"/>
      <c r="Q220" s="16"/>
      <c r="R220" s="2"/>
      <c r="S220" s="2"/>
      <c r="T220" s="2"/>
      <c r="U220" s="2"/>
      <c r="V220" s="2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</row>
    <row r="221" spans="1:75" s="4" customForma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2"/>
      <c r="L221" s="3"/>
      <c r="M221" s="3"/>
      <c r="N221" s="29"/>
      <c r="O221" s="29"/>
      <c r="P221" s="29"/>
      <c r="Q221" s="16"/>
      <c r="R221" s="2"/>
      <c r="S221" s="2"/>
      <c r="T221" s="2"/>
      <c r="U221" s="2"/>
      <c r="V221" s="2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</row>
    <row r="222" spans="1:75" s="4" customForma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2"/>
      <c r="L222" s="3"/>
      <c r="M222" s="3"/>
      <c r="N222" s="29"/>
      <c r="O222" s="29"/>
      <c r="P222" s="29"/>
      <c r="Q222" s="16"/>
      <c r="R222" s="2"/>
      <c r="S222" s="2"/>
      <c r="T222" s="2"/>
      <c r="U222" s="2"/>
      <c r="V222" s="2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</row>
    <row r="223" spans="1:75" s="4" customForma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2"/>
      <c r="L223" s="3"/>
      <c r="M223" s="3"/>
      <c r="N223" s="33"/>
      <c r="O223" s="33"/>
      <c r="P223" s="33"/>
      <c r="Q223" s="19"/>
      <c r="R223" s="9"/>
      <c r="S223" s="9"/>
      <c r="T223" s="9"/>
      <c r="U223" s="9"/>
      <c r="V223" s="9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</row>
    <row r="224" spans="1:75" s="4" customForma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2"/>
      <c r="L224" s="3"/>
      <c r="M224" s="3"/>
      <c r="N224" s="33"/>
      <c r="O224" s="33"/>
      <c r="P224" s="33"/>
      <c r="Q224" s="19"/>
      <c r="R224" s="9"/>
      <c r="S224" s="9"/>
      <c r="T224" s="9"/>
      <c r="U224" s="9"/>
      <c r="V224" s="9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</row>
    <row r="225" spans="1:75" s="4" customForma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2"/>
      <c r="L225" s="3"/>
      <c r="M225" s="3"/>
      <c r="N225" s="33"/>
      <c r="O225" s="33"/>
      <c r="P225" s="33"/>
      <c r="Q225" s="19"/>
      <c r="R225" s="9"/>
      <c r="S225" s="9"/>
      <c r="T225" s="9"/>
      <c r="U225" s="9"/>
      <c r="V225" s="9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</row>
    <row r="226" spans="1:75" s="4" customForma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22"/>
      <c r="L226" s="3"/>
      <c r="M226" s="3"/>
      <c r="N226" s="33"/>
      <c r="O226" s="33"/>
      <c r="P226" s="33"/>
      <c r="Q226" s="19"/>
      <c r="R226" s="9"/>
      <c r="S226" s="9"/>
      <c r="T226" s="9"/>
      <c r="U226" s="9"/>
      <c r="V226" s="9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</row>
    <row r="227" spans="1:75" s="4" customForma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22"/>
      <c r="L227" s="3"/>
      <c r="M227" s="3"/>
      <c r="N227" s="33"/>
      <c r="O227" s="33"/>
      <c r="P227" s="33"/>
      <c r="Q227" s="19"/>
      <c r="R227" s="9"/>
      <c r="S227" s="9"/>
      <c r="T227" s="9"/>
      <c r="U227" s="9"/>
      <c r="V227" s="9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</row>
    <row r="228" spans="1:75" s="4" customForma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22"/>
      <c r="L228" s="3"/>
      <c r="M228" s="3"/>
      <c r="N228" s="33"/>
      <c r="O228" s="33"/>
      <c r="P228" s="33"/>
      <c r="Q228" s="19"/>
      <c r="R228" s="9"/>
      <c r="S228" s="9"/>
      <c r="T228" s="9"/>
      <c r="U228" s="9"/>
      <c r="V228" s="9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</row>
    <row r="229" spans="1:75" s="4" customForma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22"/>
      <c r="L229" s="3"/>
      <c r="M229" s="3"/>
      <c r="N229" s="33"/>
      <c r="O229" s="33"/>
      <c r="P229" s="33"/>
      <c r="Q229" s="19"/>
      <c r="R229" s="9"/>
      <c r="S229" s="9"/>
      <c r="T229" s="9"/>
      <c r="U229" s="9"/>
      <c r="V229" s="9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</row>
    <row r="230" spans="1:75" s="4" customForma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22"/>
      <c r="L230" s="3"/>
      <c r="M230" s="3"/>
      <c r="N230" s="33"/>
      <c r="O230" s="33"/>
      <c r="P230" s="33"/>
      <c r="Q230" s="19"/>
      <c r="R230" s="9"/>
      <c r="S230" s="9"/>
      <c r="T230" s="9"/>
      <c r="U230" s="9"/>
      <c r="V230" s="9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</row>
    <row r="231" spans="1:75" s="4" customForma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22"/>
      <c r="L231" s="3"/>
      <c r="M231" s="3"/>
      <c r="N231" s="33"/>
      <c r="O231" s="33"/>
      <c r="P231" s="33"/>
      <c r="Q231" s="19"/>
      <c r="R231" s="9"/>
      <c r="S231" s="9"/>
      <c r="T231" s="9"/>
      <c r="U231" s="9"/>
      <c r="V231" s="9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</row>
    <row r="232" spans="1:75" s="4" customForma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22"/>
      <c r="L232" s="3"/>
      <c r="M232" s="3"/>
      <c r="N232" s="33"/>
      <c r="O232" s="33"/>
      <c r="P232" s="33"/>
      <c r="Q232" s="19"/>
      <c r="R232" s="9"/>
      <c r="S232" s="9"/>
      <c r="T232" s="9"/>
      <c r="U232" s="9"/>
      <c r="V232" s="9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</row>
    <row r="233" spans="1:75" s="4" customForma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22"/>
      <c r="L233" s="3"/>
      <c r="M233" s="3"/>
      <c r="N233" s="33"/>
      <c r="O233" s="33"/>
      <c r="P233" s="33"/>
      <c r="Q233" s="19"/>
      <c r="R233" s="9"/>
      <c r="S233" s="9"/>
      <c r="T233" s="9"/>
      <c r="U233" s="9"/>
      <c r="V233" s="9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</row>
    <row r="234" spans="1:75" s="4" customForma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22"/>
      <c r="L234" s="3"/>
      <c r="M234" s="3"/>
      <c r="N234" s="33"/>
      <c r="O234" s="33"/>
      <c r="P234" s="33"/>
      <c r="Q234" s="19"/>
      <c r="R234" s="9"/>
      <c r="S234" s="9"/>
      <c r="T234" s="9"/>
      <c r="U234" s="9"/>
      <c r="V234" s="9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</row>
    <row r="235" spans="1:75" s="4" customForma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22"/>
      <c r="L235" s="3"/>
      <c r="M235" s="3"/>
      <c r="N235" s="33"/>
      <c r="O235" s="33"/>
      <c r="P235" s="33"/>
      <c r="Q235" s="19"/>
      <c r="R235" s="9"/>
      <c r="S235" s="9"/>
      <c r="T235" s="9"/>
      <c r="U235" s="9"/>
      <c r="V235" s="9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</row>
    <row r="236" spans="1:75" s="4" customForma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22"/>
      <c r="L236" s="3"/>
      <c r="M236" s="3"/>
      <c r="N236" s="33"/>
      <c r="O236" s="33"/>
      <c r="P236" s="33"/>
      <c r="Q236" s="19"/>
      <c r="R236" s="9"/>
      <c r="S236" s="9"/>
      <c r="T236" s="9"/>
      <c r="U236" s="9"/>
      <c r="V236" s="9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</row>
    <row r="237" spans="1:75" s="4" customForma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22"/>
      <c r="L237" s="3"/>
      <c r="M237" s="3"/>
      <c r="N237" s="33"/>
      <c r="O237" s="33"/>
      <c r="P237" s="33"/>
      <c r="Q237" s="19"/>
      <c r="R237" s="9"/>
      <c r="S237" s="9"/>
      <c r="T237" s="9"/>
      <c r="U237" s="9"/>
      <c r="V237" s="9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</row>
    <row r="238" spans="1:75" s="4" customForma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22"/>
      <c r="L238" s="3"/>
      <c r="M238" s="3"/>
      <c r="N238" s="33"/>
      <c r="O238" s="33"/>
      <c r="P238" s="33"/>
      <c r="Q238" s="19"/>
      <c r="R238" s="9"/>
      <c r="S238" s="9"/>
      <c r="T238" s="9"/>
      <c r="U238" s="9"/>
      <c r="V238" s="9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</row>
    <row r="239" spans="1:75" s="4" customForma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2"/>
      <c r="L239" s="3"/>
      <c r="M239" s="3"/>
      <c r="N239" s="33"/>
      <c r="O239" s="33"/>
      <c r="P239" s="33"/>
      <c r="Q239" s="19"/>
      <c r="R239" s="9"/>
      <c r="S239" s="9"/>
      <c r="T239" s="9"/>
      <c r="U239" s="9"/>
      <c r="V239" s="9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</row>
    <row r="240" spans="1:75" s="4" customForma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22"/>
      <c r="L240" s="3"/>
      <c r="M240" s="3"/>
      <c r="N240" s="33"/>
      <c r="O240" s="33"/>
      <c r="P240" s="33"/>
      <c r="Q240" s="19"/>
      <c r="R240" s="9"/>
      <c r="S240" s="9"/>
      <c r="T240" s="9"/>
      <c r="U240" s="9"/>
      <c r="V240" s="9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</row>
    <row r="241" spans="1:75" s="4" customForma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22"/>
      <c r="L241" s="3"/>
      <c r="M241" s="3"/>
      <c r="N241" s="33"/>
      <c r="O241" s="33"/>
      <c r="P241" s="33"/>
      <c r="Q241" s="19"/>
      <c r="R241" s="9"/>
      <c r="S241" s="9"/>
      <c r="T241" s="9"/>
      <c r="U241" s="9"/>
      <c r="V241" s="9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</row>
    <row r="242" spans="1:75" s="4" customForma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22"/>
      <c r="L242" s="3"/>
      <c r="M242" s="3"/>
      <c r="N242" s="33"/>
      <c r="O242" s="33"/>
      <c r="P242" s="33"/>
      <c r="Q242" s="19"/>
      <c r="R242" s="9"/>
      <c r="S242" s="9"/>
      <c r="T242" s="9"/>
      <c r="U242" s="9"/>
      <c r="V242" s="9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</row>
    <row r="243" spans="1:75" s="4" customForma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22"/>
      <c r="L243" s="3"/>
      <c r="M243" s="3"/>
      <c r="N243" s="33"/>
      <c r="O243" s="33"/>
      <c r="P243" s="33"/>
      <c r="Q243" s="19"/>
      <c r="R243" s="9"/>
      <c r="S243" s="9"/>
      <c r="T243" s="9"/>
      <c r="U243" s="9"/>
      <c r="V243" s="9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</row>
    <row r="244" spans="1:75" s="4" customForma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22"/>
      <c r="L244" s="3"/>
      <c r="M244" s="3"/>
      <c r="N244" s="33"/>
      <c r="O244" s="33"/>
      <c r="P244" s="33"/>
      <c r="Q244" s="19"/>
      <c r="R244" s="9"/>
      <c r="S244" s="9"/>
      <c r="T244" s="9"/>
      <c r="U244" s="9"/>
      <c r="V244" s="9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</row>
    <row r="245" spans="1:75" s="4" customForma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22"/>
      <c r="L245" s="3"/>
      <c r="M245" s="3"/>
      <c r="N245" s="33"/>
      <c r="O245" s="33"/>
      <c r="P245" s="33"/>
      <c r="Q245" s="19"/>
      <c r="R245" s="9"/>
      <c r="S245" s="9"/>
      <c r="T245" s="9"/>
      <c r="U245" s="9"/>
      <c r="V245" s="9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</row>
    <row r="246" spans="1:75" s="4" customForma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22"/>
      <c r="L246" s="3"/>
      <c r="M246" s="3"/>
      <c r="N246" s="33"/>
      <c r="O246" s="33"/>
      <c r="P246" s="33"/>
      <c r="Q246" s="19"/>
      <c r="R246" s="9"/>
      <c r="S246" s="9"/>
      <c r="T246" s="9"/>
      <c r="U246" s="9"/>
      <c r="V246" s="9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</row>
    <row r="247" spans="1:75" s="4" customForma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22"/>
      <c r="L247" s="3"/>
      <c r="M247" s="3"/>
      <c r="N247" s="33"/>
      <c r="O247" s="33"/>
      <c r="P247" s="33"/>
      <c r="Q247" s="19"/>
      <c r="R247" s="9"/>
      <c r="S247" s="9"/>
      <c r="T247" s="9"/>
      <c r="U247" s="9"/>
      <c r="V247" s="9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</row>
    <row r="248" spans="1:75" s="4" customForma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22"/>
      <c r="L248" s="3"/>
      <c r="M248" s="3"/>
      <c r="N248" s="33"/>
      <c r="O248" s="33"/>
      <c r="P248" s="33"/>
      <c r="Q248" s="19"/>
      <c r="R248" s="9"/>
      <c r="S248" s="9"/>
      <c r="T248" s="9"/>
      <c r="U248" s="9"/>
      <c r="V248" s="9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</row>
    <row r="249" spans="1:75" s="4" customForma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22"/>
      <c r="L249" s="3"/>
      <c r="M249" s="3"/>
      <c r="N249" s="33"/>
      <c r="O249" s="33"/>
      <c r="P249" s="33"/>
      <c r="Q249" s="19"/>
      <c r="R249" s="9"/>
      <c r="S249" s="9"/>
      <c r="T249" s="9"/>
      <c r="U249" s="9"/>
      <c r="V249" s="9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</row>
    <row r="250" spans="1:75" s="4" customForma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22"/>
      <c r="L250" s="3"/>
      <c r="M250" s="3"/>
      <c r="N250" s="33"/>
      <c r="O250" s="33"/>
      <c r="P250" s="33"/>
      <c r="Q250" s="19"/>
      <c r="R250" s="9"/>
      <c r="S250" s="9"/>
      <c r="T250" s="9"/>
      <c r="U250" s="9"/>
      <c r="V250" s="9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</row>
    <row r="251" spans="1:75" s="4" customForma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22"/>
      <c r="L251" s="3"/>
      <c r="M251" s="3"/>
      <c r="N251" s="33"/>
      <c r="O251" s="33"/>
      <c r="P251" s="33"/>
      <c r="Q251" s="19"/>
      <c r="R251" s="9"/>
      <c r="S251" s="9"/>
      <c r="T251" s="9"/>
      <c r="U251" s="9"/>
      <c r="V251" s="9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</row>
    <row r="252" spans="1:75" s="4" customForma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22"/>
      <c r="L252" s="3"/>
      <c r="M252" s="3"/>
      <c r="N252" s="33"/>
      <c r="O252" s="33"/>
      <c r="P252" s="33"/>
      <c r="Q252" s="19"/>
      <c r="R252" s="9"/>
      <c r="S252" s="9"/>
      <c r="T252" s="9"/>
      <c r="U252" s="9"/>
      <c r="V252" s="9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</row>
    <row r="253" spans="1:75" s="4" customForma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22"/>
      <c r="L253" s="3"/>
      <c r="M253" s="3"/>
      <c r="N253" s="33"/>
      <c r="O253" s="33"/>
      <c r="P253" s="33"/>
      <c r="Q253" s="19"/>
      <c r="R253" s="9"/>
      <c r="S253" s="9"/>
      <c r="T253" s="9"/>
      <c r="U253" s="9"/>
      <c r="V253" s="9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</row>
    <row r="254" spans="1:75" s="4" customForma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2"/>
      <c r="L254" s="3"/>
      <c r="M254" s="3"/>
      <c r="N254" s="33"/>
      <c r="O254" s="33"/>
      <c r="P254" s="33"/>
      <c r="Q254" s="19"/>
      <c r="R254" s="9"/>
      <c r="S254" s="9"/>
      <c r="T254" s="9"/>
      <c r="U254" s="9"/>
      <c r="V254" s="9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</row>
    <row r="255" spans="1:75" s="4" customForma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2"/>
      <c r="L255" s="3"/>
      <c r="M255" s="3"/>
      <c r="N255" s="33"/>
      <c r="O255" s="33"/>
      <c r="P255" s="33"/>
      <c r="Q255" s="19"/>
      <c r="R255" s="9"/>
      <c r="S255" s="9"/>
      <c r="T255" s="9"/>
      <c r="U255" s="9"/>
      <c r="V255" s="9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</row>
    <row r="256" spans="1:75" s="4" customForma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2"/>
      <c r="L256" s="3"/>
      <c r="M256" s="3"/>
      <c r="N256" s="33"/>
      <c r="O256" s="33"/>
      <c r="P256" s="33"/>
      <c r="Q256" s="19"/>
      <c r="R256" s="9"/>
      <c r="S256" s="9"/>
      <c r="T256" s="9"/>
      <c r="U256" s="9"/>
      <c r="V256" s="9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</row>
    <row r="257" spans="1:75" s="4" customForma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2"/>
      <c r="L257" s="3"/>
      <c r="M257" s="3"/>
      <c r="N257" s="33"/>
      <c r="O257" s="33"/>
      <c r="P257" s="33"/>
      <c r="Q257" s="19"/>
      <c r="R257" s="9"/>
      <c r="S257" s="9"/>
      <c r="T257" s="9"/>
      <c r="U257" s="9"/>
      <c r="V257" s="9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</row>
    <row r="258" spans="1:75" s="4" customForma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2"/>
      <c r="L258" s="3"/>
      <c r="M258" s="3"/>
      <c r="N258" s="33"/>
      <c r="O258" s="33"/>
      <c r="P258" s="33"/>
      <c r="Q258" s="19"/>
      <c r="R258" s="9"/>
      <c r="S258" s="9"/>
      <c r="T258" s="9"/>
      <c r="U258" s="9"/>
      <c r="V258" s="9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</row>
    <row r="259" spans="1:75" s="4" customForma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2"/>
      <c r="L259" s="3"/>
      <c r="M259" s="3"/>
      <c r="N259" s="33"/>
      <c r="O259" s="33"/>
      <c r="P259" s="33"/>
      <c r="Q259" s="19"/>
      <c r="R259" s="9"/>
      <c r="S259" s="9"/>
      <c r="T259" s="9"/>
      <c r="U259" s="9"/>
      <c r="V259" s="9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</row>
    <row r="260" spans="1:75" s="4" customForma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2"/>
      <c r="L260" s="3"/>
      <c r="M260" s="3"/>
      <c r="N260" s="33"/>
      <c r="O260" s="33"/>
      <c r="P260" s="33"/>
      <c r="Q260" s="19"/>
      <c r="R260" s="9"/>
      <c r="S260" s="9"/>
      <c r="T260" s="9"/>
      <c r="U260" s="9"/>
      <c r="V260" s="9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</row>
    <row r="261" spans="1:75" s="4" customForma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2"/>
      <c r="L261" s="3"/>
      <c r="M261" s="3"/>
      <c r="N261" s="33"/>
      <c r="O261" s="33"/>
      <c r="P261" s="33"/>
      <c r="Q261" s="19"/>
      <c r="R261" s="9"/>
      <c r="S261" s="9"/>
      <c r="T261" s="9"/>
      <c r="U261" s="9"/>
      <c r="V261" s="9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</row>
    <row r="262" spans="1:75" s="4" customForma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2"/>
      <c r="L262" s="3"/>
      <c r="M262" s="3"/>
      <c r="N262" s="33"/>
      <c r="O262" s="33"/>
      <c r="P262" s="33"/>
      <c r="Q262" s="19"/>
      <c r="R262" s="9"/>
      <c r="S262" s="9"/>
      <c r="T262" s="9"/>
      <c r="U262" s="9"/>
      <c r="V262" s="9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</row>
    <row r="263" spans="1:75" s="4" customForma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2"/>
      <c r="L263" s="3"/>
      <c r="M263" s="3"/>
      <c r="N263" s="33"/>
      <c r="O263" s="33"/>
      <c r="P263" s="33"/>
      <c r="Q263" s="19"/>
      <c r="R263" s="9"/>
      <c r="S263" s="9"/>
      <c r="T263" s="9"/>
      <c r="U263" s="9"/>
      <c r="V263" s="9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</row>
    <row r="264" spans="1:75" s="4" customForma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2"/>
      <c r="L264" s="3"/>
      <c r="M264" s="3"/>
      <c r="N264" s="33"/>
      <c r="O264" s="33"/>
      <c r="P264" s="33"/>
      <c r="Q264" s="19"/>
      <c r="R264" s="9"/>
      <c r="S264" s="9"/>
      <c r="T264" s="9"/>
      <c r="U264" s="9"/>
      <c r="V264" s="9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</row>
    <row r="265" spans="1:75" s="4" customForma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2"/>
      <c r="L265" s="3"/>
      <c r="M265" s="3"/>
      <c r="N265" s="33"/>
      <c r="O265" s="33"/>
      <c r="P265" s="33"/>
      <c r="Q265" s="19"/>
      <c r="R265" s="9"/>
      <c r="S265" s="9"/>
      <c r="T265" s="9"/>
      <c r="U265" s="9"/>
      <c r="V265" s="9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</row>
    <row r="266" spans="1:75" s="4" customForma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2"/>
      <c r="L266" s="3"/>
      <c r="M266" s="3"/>
      <c r="N266" s="33"/>
      <c r="O266" s="33"/>
      <c r="P266" s="33"/>
      <c r="Q266" s="19"/>
      <c r="R266" s="9"/>
      <c r="S266" s="9"/>
      <c r="T266" s="9"/>
      <c r="U266" s="9"/>
      <c r="V266" s="9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</row>
    <row r="267" spans="1:75" s="4" customForma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2"/>
      <c r="L267" s="3"/>
      <c r="M267" s="3"/>
      <c r="N267" s="33"/>
      <c r="O267" s="33"/>
      <c r="P267" s="33"/>
      <c r="Q267" s="19"/>
      <c r="R267" s="9"/>
      <c r="S267" s="9"/>
      <c r="T267" s="9"/>
      <c r="U267" s="9"/>
      <c r="V267" s="9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B560-F6CF-4741-AC7E-D0B33AC58820}">
  <dimension ref="A1:BW259"/>
  <sheetViews>
    <sheetView topLeftCell="X69" zoomScale="130" zoomScaleNormal="130" workbookViewId="0">
      <selection activeCell="Z75" sqref="Z75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2" customWidth="1"/>
    <col min="12" max="12" width="20.88671875" style="1" customWidth="1"/>
    <col min="13" max="13" width="28.109375" style="1" customWidth="1"/>
    <col min="14" max="15" width="20.6640625" style="33" customWidth="1"/>
    <col min="16" max="16" width="36.33203125" style="33" customWidth="1"/>
    <col min="17" max="17" width="23.21875" style="9" customWidth="1"/>
    <col min="18" max="18" width="30.88671875" style="9" customWidth="1"/>
    <col min="19" max="22" width="20.6640625" style="9" customWidth="1"/>
    <col min="23" max="25" width="34.109375" style="7" customWidth="1"/>
    <col min="26" max="26" width="44.6640625" style="7" customWidth="1"/>
    <col min="27" max="27" width="45.77734375" style="7" customWidth="1"/>
    <col min="28" max="16384" width="8.88671875" style="7"/>
  </cols>
  <sheetData>
    <row r="1" spans="1:27" s="31" customFormat="1" ht="53.4" customHeight="1" x14ac:dyDescent="0.3">
      <c r="A1" s="14" t="s">
        <v>7</v>
      </c>
      <c r="B1" s="15" t="s">
        <v>6</v>
      </c>
      <c r="C1" s="14" t="s">
        <v>2</v>
      </c>
      <c r="D1" s="14" t="s">
        <v>1</v>
      </c>
      <c r="E1" s="15" t="s">
        <v>0</v>
      </c>
      <c r="F1" s="14" t="s">
        <v>3</v>
      </c>
      <c r="G1" s="15" t="s">
        <v>11</v>
      </c>
      <c r="H1" s="14" t="s">
        <v>4</v>
      </c>
      <c r="I1" s="15" t="s">
        <v>12</v>
      </c>
      <c r="J1" s="15" t="s">
        <v>8</v>
      </c>
      <c r="K1" s="21" t="s">
        <v>5</v>
      </c>
      <c r="L1" s="15" t="s">
        <v>10</v>
      </c>
      <c r="M1" s="15" t="s">
        <v>40</v>
      </c>
      <c r="N1" s="32" t="s">
        <v>9</v>
      </c>
      <c r="O1" s="32" t="s">
        <v>31</v>
      </c>
      <c r="P1" s="32" t="s">
        <v>35</v>
      </c>
      <c r="Q1" s="26" t="s">
        <v>13</v>
      </c>
      <c r="R1" s="25" t="s">
        <v>24</v>
      </c>
      <c r="S1" s="25" t="s">
        <v>25</v>
      </c>
      <c r="T1" s="25" t="s">
        <v>14</v>
      </c>
      <c r="U1" s="25" t="s">
        <v>15</v>
      </c>
      <c r="V1" s="25" t="s">
        <v>26</v>
      </c>
      <c r="W1" s="17" t="s">
        <v>33</v>
      </c>
      <c r="X1" s="25" t="s">
        <v>41</v>
      </c>
      <c r="Y1" s="25" t="s">
        <v>52</v>
      </c>
      <c r="Z1" s="44" t="s">
        <v>44</v>
      </c>
      <c r="AA1" s="44" t="s">
        <v>45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16.28217821782178</v>
      </c>
      <c r="L2" s="1">
        <f>(K2/1000000)</f>
        <v>1.6282178217821781E-5</v>
      </c>
      <c r="M2" s="1">
        <f>(3.142*3.07*3.07*25.4*25.4)/(4*1000000)</f>
        <v>4.7762865441819992E-3</v>
      </c>
      <c r="N2" s="29">
        <f>(L2*J2)/M2</f>
        <v>6.8604758728432632E-8</v>
      </c>
      <c r="O2" s="29">
        <f>(2.032/1000)</f>
        <v>2.032E-3</v>
      </c>
      <c r="P2" s="29">
        <v>7.43403717661394E-11</v>
      </c>
      <c r="Q2" s="2">
        <v>0.05</v>
      </c>
      <c r="R2" s="2">
        <f>(1+Q2)*100000*1</f>
        <v>105000</v>
      </c>
      <c r="S2" s="2">
        <f>(5.19402087617513/1000)</f>
        <v>5.1940208761751296E-3</v>
      </c>
      <c r="T2" s="2">
        <v>0.12</v>
      </c>
      <c r="U2" s="2">
        <f>(1+T2)*100000</f>
        <v>112000.00000000001</v>
      </c>
      <c r="V2" s="2">
        <f t="shared" ref="V2:V33" si="1">(L2*U2)</f>
        <v>1.8236039603960397</v>
      </c>
      <c r="W2" s="2">
        <f>(50/1000000)*100000</f>
        <v>5</v>
      </c>
      <c r="X2" s="2">
        <f t="shared" ref="X2:X33" si="2">(N2+((P2/O2)*(SQRT(V2)-SQRT(W2))))</f>
        <v>3.620306995017001E-8</v>
      </c>
      <c r="Y2" s="2">
        <f>(SQRT(R2)-(X2*O2/P2))^2</f>
        <v>104359.66775111802</v>
      </c>
      <c r="Z2" s="2">
        <f>(X2*S2)/(Y2-V2)</f>
        <v>1.8018722276176221E-15</v>
      </c>
      <c r="AA2" s="2">
        <f>(Z2*6.022E+23)</f>
        <v>1085087455.4713321</v>
      </c>
    </row>
    <row r="3" spans="1:27" x14ac:dyDescent="0.25">
      <c r="A3" s="1">
        <v>3</v>
      </c>
      <c r="B3" s="1">
        <f t="shared" ref="B3:B66" si="3">(A3/60)</f>
        <v>0.05</v>
      </c>
      <c r="C3" s="1">
        <v>20</v>
      </c>
      <c r="D3" s="1">
        <f t="shared" si="0"/>
        <v>29.146000000000001</v>
      </c>
      <c r="E3" s="1">
        <f t="shared" ref="E3:E66" si="4">(D3/(1000000*60))</f>
        <v>4.8576666666666667E-7</v>
      </c>
      <c r="F3" s="1">
        <v>21.1</v>
      </c>
      <c r="G3" s="1">
        <f t="shared" ref="G3:G66" si="5">(273+F3)</f>
        <v>294.10000000000002</v>
      </c>
      <c r="H3" s="1">
        <v>101.3</v>
      </c>
      <c r="I3" s="1">
        <f t="shared" ref="I3:I66" si="6">(H3*1000)</f>
        <v>101300</v>
      </c>
      <c r="J3" s="1">
        <f t="shared" ref="J3:J66" si="7">((I3*E3)/(8.314*G3))</f>
        <v>2.0124824921938581E-5</v>
      </c>
      <c r="K3" s="22">
        <v>19.82178217821782</v>
      </c>
      <c r="L3" s="1">
        <f t="shared" ref="L3:L66" si="8">(K3/1000000)</f>
        <v>1.982178217821782E-5</v>
      </c>
      <c r="M3" s="1">
        <f t="shared" ref="M3:M66" si="9">(3.142*3.07*3.07*25.4*25.4)/(4*1000000)</f>
        <v>4.7762865441819992E-3</v>
      </c>
      <c r="N3" s="29">
        <f t="shared" ref="N3:N66" si="10">(L3*J3)/M3</f>
        <v>8.3518836712874505E-8</v>
      </c>
      <c r="O3" s="29">
        <f t="shared" ref="O3:O66" si="11">(2.032/1000)</f>
        <v>2.032E-3</v>
      </c>
      <c r="P3" s="29">
        <v>7.43403717661394E-11</v>
      </c>
      <c r="Q3" s="2">
        <v>0.05</v>
      </c>
      <c r="R3" s="2">
        <f t="shared" ref="R3:R66" si="12">(1+Q3)*100000*1</f>
        <v>105000</v>
      </c>
      <c r="S3" s="2">
        <f t="shared" ref="S3:S66" si="13">(5.19402087617513/1000)</f>
        <v>5.1940208761751296E-3</v>
      </c>
      <c r="T3" s="2">
        <v>0.12</v>
      </c>
      <c r="U3" s="2">
        <f t="shared" ref="U3:U66" si="14">(1+T3)*100000</f>
        <v>112000.00000000001</v>
      </c>
      <c r="V3" s="2">
        <f t="shared" si="1"/>
        <v>2.2200396039603962</v>
      </c>
      <c r="W3" s="2">
        <f t="shared" ref="W3:W66" si="15">(50/1000000)*100000</f>
        <v>5</v>
      </c>
      <c r="X3" s="2">
        <f t="shared" si="2"/>
        <v>5.6223326138968253E-8</v>
      </c>
      <c r="Y3" s="2">
        <f t="shared" ref="Y3:Y66" si="16">(SQRT(R3)-(X3*O3/P3))^2</f>
        <v>104006.40572838813</v>
      </c>
      <c r="Z3" s="2">
        <f t="shared" ref="Z3:Z66" si="17">(X3*S3)/(Y3-V3)</f>
        <v>2.8078209329732386E-15</v>
      </c>
      <c r="AA3" s="2">
        <f t="shared" ref="AA3:AA66" si="18">(Z3*6.022E+23)</f>
        <v>1690869765.8364844</v>
      </c>
    </row>
    <row r="4" spans="1:27" x14ac:dyDescent="0.25">
      <c r="A4" s="1">
        <v>6</v>
      </c>
      <c r="B4" s="1">
        <f t="shared" si="3"/>
        <v>0.1</v>
      </c>
      <c r="C4" s="1">
        <v>20</v>
      </c>
      <c r="D4" s="1">
        <f t="shared" si="0"/>
        <v>29.146000000000001</v>
      </c>
      <c r="E4" s="1">
        <f t="shared" si="4"/>
        <v>4.8576666666666667E-7</v>
      </c>
      <c r="F4" s="1">
        <v>21.1</v>
      </c>
      <c r="G4" s="1">
        <f t="shared" si="5"/>
        <v>294.10000000000002</v>
      </c>
      <c r="H4" s="1">
        <v>101.3</v>
      </c>
      <c r="I4" s="1">
        <f t="shared" si="6"/>
        <v>101300</v>
      </c>
      <c r="J4" s="1">
        <f t="shared" si="7"/>
        <v>2.0124824921938581E-5</v>
      </c>
      <c r="K4" s="22">
        <v>17.445544554455445</v>
      </c>
      <c r="L4" s="1">
        <f t="shared" si="8"/>
        <v>1.7445544554455446E-5</v>
      </c>
      <c r="M4" s="1">
        <f t="shared" si="9"/>
        <v>4.7762865441819992E-3</v>
      </c>
      <c r="N4" s="29">
        <f t="shared" si="10"/>
        <v>7.3506588555486945E-8</v>
      </c>
      <c r="O4" s="29">
        <f t="shared" si="11"/>
        <v>2.032E-3</v>
      </c>
      <c r="P4" s="29">
        <v>7.43403717661394E-11</v>
      </c>
      <c r="Q4" s="2">
        <v>0.05</v>
      </c>
      <c r="R4" s="2">
        <f t="shared" si="12"/>
        <v>105000</v>
      </c>
      <c r="S4" s="2">
        <f t="shared" si="13"/>
        <v>5.1940208761751296E-3</v>
      </c>
      <c r="T4" s="2">
        <v>0.12</v>
      </c>
      <c r="U4" s="2">
        <f t="shared" si="14"/>
        <v>112000.00000000001</v>
      </c>
      <c r="V4" s="2">
        <f t="shared" si="1"/>
        <v>1.9539009900990103</v>
      </c>
      <c r="W4" s="2">
        <f t="shared" si="15"/>
        <v>5</v>
      </c>
      <c r="X4" s="2">
        <f t="shared" si="2"/>
        <v>4.283943306396806E-8</v>
      </c>
      <c r="Y4" s="2">
        <f t="shared" si="16"/>
        <v>104242.50123776315</v>
      </c>
      <c r="Z4" s="2">
        <f t="shared" si="17"/>
        <v>2.1345715783599164E-15</v>
      </c>
      <c r="AA4" s="2">
        <f t="shared" si="18"/>
        <v>1285439004.4883418</v>
      </c>
    </row>
    <row r="5" spans="1:27" x14ac:dyDescent="0.25">
      <c r="A5" s="1">
        <v>9</v>
      </c>
      <c r="B5" s="1">
        <f t="shared" si="3"/>
        <v>0.15</v>
      </c>
      <c r="C5" s="1">
        <v>20</v>
      </c>
      <c r="D5" s="1">
        <f t="shared" si="0"/>
        <v>29.146000000000001</v>
      </c>
      <c r="E5" s="1">
        <f t="shared" si="4"/>
        <v>4.8576666666666667E-7</v>
      </c>
      <c r="F5" s="1">
        <v>21.1</v>
      </c>
      <c r="G5" s="1">
        <f t="shared" si="5"/>
        <v>294.10000000000002</v>
      </c>
      <c r="H5" s="1">
        <v>101.3</v>
      </c>
      <c r="I5" s="1">
        <f t="shared" si="6"/>
        <v>101300</v>
      </c>
      <c r="J5" s="1">
        <f t="shared" si="7"/>
        <v>2.0124824921938581E-5</v>
      </c>
      <c r="K5" s="22">
        <v>12.519801980198022</v>
      </c>
      <c r="L5" s="1">
        <f t="shared" si="8"/>
        <v>1.2519801980198022E-5</v>
      </c>
      <c r="M5" s="1">
        <f t="shared" si="9"/>
        <v>4.7762865441819992E-3</v>
      </c>
      <c r="N5" s="29">
        <f t="shared" si="10"/>
        <v>5.2752032479235676E-8</v>
      </c>
      <c r="O5" s="29">
        <f t="shared" si="11"/>
        <v>2.032E-3</v>
      </c>
      <c r="P5" s="29">
        <v>7.43403717661394E-11</v>
      </c>
      <c r="Q5" s="2">
        <v>0.05</v>
      </c>
      <c r="R5" s="2">
        <f t="shared" si="12"/>
        <v>105000</v>
      </c>
      <c r="S5" s="2">
        <f t="shared" si="13"/>
        <v>5.1940208761751296E-3</v>
      </c>
      <c r="T5" s="2">
        <v>0.12</v>
      </c>
      <c r="U5" s="2">
        <f t="shared" si="14"/>
        <v>112000.00000000001</v>
      </c>
      <c r="V5" s="2">
        <f t="shared" si="1"/>
        <v>1.4022178217821786</v>
      </c>
      <c r="W5" s="2">
        <f t="shared" si="15"/>
        <v>5</v>
      </c>
      <c r="X5" s="2">
        <f t="shared" si="2"/>
        <v>1.4267895488501915E-8</v>
      </c>
      <c r="Y5" s="2">
        <f t="shared" si="16"/>
        <v>104747.40653329408</v>
      </c>
      <c r="Z5" s="2">
        <f t="shared" si="17"/>
        <v>7.0749951285174948E-16</v>
      </c>
      <c r="AA5" s="2">
        <f t="shared" si="18"/>
        <v>426056206.63932353</v>
      </c>
    </row>
    <row r="6" spans="1:27" x14ac:dyDescent="0.25">
      <c r="A6" s="1">
        <v>12</v>
      </c>
      <c r="B6" s="1">
        <f t="shared" si="3"/>
        <v>0.2</v>
      </c>
      <c r="C6" s="1">
        <v>20</v>
      </c>
      <c r="D6" s="1">
        <f t="shared" si="0"/>
        <v>29.146000000000001</v>
      </c>
      <c r="E6" s="1">
        <f t="shared" si="4"/>
        <v>4.8576666666666667E-7</v>
      </c>
      <c r="F6" s="1">
        <v>21.1</v>
      </c>
      <c r="G6" s="1">
        <f t="shared" si="5"/>
        <v>294.10000000000002</v>
      </c>
      <c r="H6" s="1">
        <v>101.3</v>
      </c>
      <c r="I6" s="1">
        <f t="shared" si="6"/>
        <v>101300</v>
      </c>
      <c r="J6" s="1">
        <f t="shared" si="7"/>
        <v>2.0124824921938581E-5</v>
      </c>
      <c r="K6" s="22">
        <v>19.202970297029704</v>
      </c>
      <c r="L6" s="1">
        <f t="shared" si="8"/>
        <v>1.9202970297029705E-5</v>
      </c>
      <c r="M6" s="1">
        <f t="shared" si="9"/>
        <v>4.7762865441819992E-3</v>
      </c>
      <c r="N6" s="29">
        <f t="shared" si="10"/>
        <v>8.0911480421888168E-8</v>
      </c>
      <c r="O6" s="29">
        <f t="shared" si="11"/>
        <v>2.032E-3</v>
      </c>
      <c r="P6" s="29">
        <v>7.43403717661394E-11</v>
      </c>
      <c r="Q6" s="2">
        <v>0.05</v>
      </c>
      <c r="R6" s="2">
        <f t="shared" si="12"/>
        <v>105000</v>
      </c>
      <c r="S6" s="2">
        <f t="shared" si="13"/>
        <v>5.1940208761751296E-3</v>
      </c>
      <c r="T6" s="2">
        <v>0.12</v>
      </c>
      <c r="U6" s="2">
        <f t="shared" si="14"/>
        <v>112000.00000000001</v>
      </c>
      <c r="V6" s="2">
        <f t="shared" si="1"/>
        <v>2.1507326732673273</v>
      </c>
      <c r="W6" s="2">
        <f t="shared" si="15"/>
        <v>5</v>
      </c>
      <c r="X6" s="2">
        <f t="shared" si="2"/>
        <v>5.2758345198663103E-8</v>
      </c>
      <c r="Y6" s="2">
        <f t="shared" si="16"/>
        <v>104067.50325528729</v>
      </c>
      <c r="Z6" s="2">
        <f t="shared" si="17"/>
        <v>2.6332294054811583E-15</v>
      </c>
      <c r="AA6" s="2">
        <f t="shared" si="18"/>
        <v>1585730747.9807537</v>
      </c>
    </row>
    <row r="7" spans="1:27" x14ac:dyDescent="0.25">
      <c r="A7" s="1">
        <v>15</v>
      </c>
      <c r="B7" s="1">
        <f t="shared" si="3"/>
        <v>0.25</v>
      </c>
      <c r="C7" s="1">
        <v>20</v>
      </c>
      <c r="D7" s="1">
        <f t="shared" si="0"/>
        <v>29.146000000000001</v>
      </c>
      <c r="E7" s="1">
        <f t="shared" si="4"/>
        <v>4.8576666666666667E-7</v>
      </c>
      <c r="F7" s="1">
        <v>21.1</v>
      </c>
      <c r="G7" s="1">
        <f t="shared" si="5"/>
        <v>294.10000000000002</v>
      </c>
      <c r="H7" s="1">
        <v>101.3</v>
      </c>
      <c r="I7" s="1">
        <f t="shared" si="6"/>
        <v>101300</v>
      </c>
      <c r="J7" s="1">
        <f t="shared" si="7"/>
        <v>2.0124824921938581E-5</v>
      </c>
      <c r="K7" s="22">
        <v>18.410891089108912</v>
      </c>
      <c r="L7" s="1">
        <f t="shared" si="8"/>
        <v>1.8410891089108912E-5</v>
      </c>
      <c r="M7" s="1">
        <f>(3.142*3.07*3.07*25.4*25.4)/(4*1000000)</f>
        <v>4.7762865441819992E-3</v>
      </c>
      <c r="N7" s="29">
        <f t="shared" si="10"/>
        <v>7.7574064369425649E-8</v>
      </c>
      <c r="O7" s="29">
        <f t="shared" si="11"/>
        <v>2.032E-3</v>
      </c>
      <c r="P7" s="29">
        <v>7.43403717661394E-11</v>
      </c>
      <c r="Q7" s="2">
        <v>0.05</v>
      </c>
      <c r="R7" s="2">
        <f t="shared" si="12"/>
        <v>105000</v>
      </c>
      <c r="S7" s="2">
        <f t="shared" si="13"/>
        <v>5.1940208761751296E-3</v>
      </c>
      <c r="T7" s="2">
        <v>0.12</v>
      </c>
      <c r="U7" s="2">
        <f t="shared" si="14"/>
        <v>112000.00000000001</v>
      </c>
      <c r="V7" s="2">
        <f t="shared" si="1"/>
        <v>2.0620198019801985</v>
      </c>
      <c r="W7" s="2">
        <f t="shared" si="15"/>
        <v>5</v>
      </c>
      <c r="X7" s="2">
        <f t="shared" si="2"/>
        <v>4.8302743870552365E-8</v>
      </c>
      <c r="Y7" s="2">
        <f t="shared" si="16"/>
        <v>104146.09462071751</v>
      </c>
      <c r="Z7" s="2">
        <f t="shared" si="17"/>
        <v>2.4090238660297829E-15</v>
      </c>
      <c r="AA7" s="2">
        <f t="shared" si="18"/>
        <v>1450714172.1231353</v>
      </c>
    </row>
    <row r="8" spans="1:27" x14ac:dyDescent="0.25">
      <c r="A8" s="1">
        <v>18</v>
      </c>
      <c r="B8" s="1">
        <f t="shared" si="3"/>
        <v>0.3</v>
      </c>
      <c r="C8" s="1">
        <v>20</v>
      </c>
      <c r="D8" s="1">
        <f t="shared" si="0"/>
        <v>29.146000000000001</v>
      </c>
      <c r="E8" s="1">
        <f t="shared" si="4"/>
        <v>4.8576666666666667E-7</v>
      </c>
      <c r="F8" s="1">
        <v>21.1</v>
      </c>
      <c r="G8" s="1">
        <f t="shared" si="5"/>
        <v>294.10000000000002</v>
      </c>
      <c r="H8" s="1">
        <v>101.3</v>
      </c>
      <c r="I8" s="1">
        <f t="shared" si="6"/>
        <v>101300</v>
      </c>
      <c r="J8" s="1">
        <f t="shared" si="7"/>
        <v>2.0124824921938581E-5</v>
      </c>
      <c r="K8" s="22">
        <v>14.450495049504951</v>
      </c>
      <c r="L8" s="1">
        <f t="shared" si="8"/>
        <v>1.4450495049504952E-5</v>
      </c>
      <c r="M8" s="1">
        <f t="shared" si="9"/>
        <v>4.7762865441819992E-3</v>
      </c>
      <c r="N8" s="29">
        <f t="shared" si="10"/>
        <v>6.0886984107113063E-8</v>
      </c>
      <c r="O8" s="29">
        <f t="shared" si="11"/>
        <v>2.032E-3</v>
      </c>
      <c r="P8" s="29">
        <v>7.43403717661394E-11</v>
      </c>
      <c r="Q8" s="2">
        <v>0.05</v>
      </c>
      <c r="R8" s="2">
        <f t="shared" si="12"/>
        <v>105000</v>
      </c>
      <c r="S8" s="2">
        <f t="shared" si="13"/>
        <v>5.1940208761751296E-3</v>
      </c>
      <c r="T8" s="2">
        <v>0.12</v>
      </c>
      <c r="U8" s="2">
        <f t="shared" si="14"/>
        <v>112000.00000000001</v>
      </c>
      <c r="V8" s="2">
        <f t="shared" si="1"/>
        <v>1.6184554455445548</v>
      </c>
      <c r="W8" s="2">
        <f t="shared" si="15"/>
        <v>5</v>
      </c>
      <c r="X8" s="2">
        <f t="shared" si="2"/>
        <v>2.5623501651262571E-8</v>
      </c>
      <c r="Y8" s="2">
        <f t="shared" si="16"/>
        <v>104546.58853736974</v>
      </c>
      <c r="Z8" s="2">
        <f t="shared" si="17"/>
        <v>1.2730311405041643E-15</v>
      </c>
      <c r="AA8" s="2">
        <f t="shared" si="18"/>
        <v>766619352.81160772</v>
      </c>
    </row>
    <row r="9" spans="1:27" x14ac:dyDescent="0.25">
      <c r="A9" s="1">
        <v>21</v>
      </c>
      <c r="B9" s="1">
        <f t="shared" si="3"/>
        <v>0.35</v>
      </c>
      <c r="C9" s="1">
        <v>20</v>
      </c>
      <c r="D9" s="1">
        <f t="shared" si="0"/>
        <v>29.146000000000001</v>
      </c>
      <c r="E9" s="1">
        <f t="shared" si="4"/>
        <v>4.8576666666666667E-7</v>
      </c>
      <c r="F9" s="1">
        <v>21.1</v>
      </c>
      <c r="G9" s="1">
        <f t="shared" si="5"/>
        <v>294.10000000000002</v>
      </c>
      <c r="H9" s="1">
        <v>101.3</v>
      </c>
      <c r="I9" s="1">
        <f t="shared" si="6"/>
        <v>101300</v>
      </c>
      <c r="J9" s="1">
        <f t="shared" si="7"/>
        <v>2.0124824921938581E-5</v>
      </c>
      <c r="K9" s="22">
        <v>14.128712871287128</v>
      </c>
      <c r="L9" s="1">
        <f t="shared" si="8"/>
        <v>1.4128712871287128E-5</v>
      </c>
      <c r="M9" s="1">
        <f t="shared" si="9"/>
        <v>4.7762865441819992E-3</v>
      </c>
      <c r="N9" s="29">
        <f t="shared" si="10"/>
        <v>5.9531158835800155E-8</v>
      </c>
      <c r="O9" s="29">
        <f t="shared" si="11"/>
        <v>2.032E-3</v>
      </c>
      <c r="P9" s="29">
        <v>7.43403717661394E-11</v>
      </c>
      <c r="Q9" s="2">
        <v>0.05</v>
      </c>
      <c r="R9" s="2">
        <f t="shared" si="12"/>
        <v>105000</v>
      </c>
      <c r="S9" s="2">
        <f t="shared" si="13"/>
        <v>5.1940208761751296E-3</v>
      </c>
      <c r="T9" s="2">
        <v>0.12</v>
      </c>
      <c r="U9" s="2">
        <f t="shared" si="14"/>
        <v>112000.00000000001</v>
      </c>
      <c r="V9" s="2">
        <f t="shared" si="1"/>
        <v>1.5824158415841585</v>
      </c>
      <c r="W9" s="2">
        <f t="shared" si="15"/>
        <v>5</v>
      </c>
      <c r="X9" s="2">
        <f t="shared" si="2"/>
        <v>2.3746555092631544E-8</v>
      </c>
      <c r="Y9" s="2">
        <f t="shared" si="16"/>
        <v>104579.76807001657</v>
      </c>
      <c r="Z9" s="2">
        <f t="shared" si="17"/>
        <v>1.1794056486716937E-15</v>
      </c>
      <c r="AA9" s="2">
        <f t="shared" si="18"/>
        <v>710238081.63009393</v>
      </c>
    </row>
    <row r="10" spans="1:27" x14ac:dyDescent="0.25">
      <c r="A10" s="1">
        <v>24</v>
      </c>
      <c r="B10" s="1">
        <f t="shared" si="3"/>
        <v>0.4</v>
      </c>
      <c r="C10" s="1">
        <v>20</v>
      </c>
      <c r="D10" s="1">
        <f t="shared" si="0"/>
        <v>29.146000000000001</v>
      </c>
      <c r="E10" s="1">
        <f t="shared" si="4"/>
        <v>4.8576666666666667E-7</v>
      </c>
      <c r="F10" s="1">
        <v>21.1</v>
      </c>
      <c r="G10" s="1">
        <f t="shared" si="5"/>
        <v>294.10000000000002</v>
      </c>
      <c r="H10" s="1">
        <v>101.3</v>
      </c>
      <c r="I10" s="1">
        <f t="shared" si="6"/>
        <v>101300</v>
      </c>
      <c r="J10" s="1">
        <f t="shared" si="7"/>
        <v>2.0124824921938581E-5</v>
      </c>
      <c r="K10" s="22">
        <v>16.306930693069305</v>
      </c>
      <c r="L10" s="1">
        <f t="shared" si="8"/>
        <v>1.6306930693069303E-5</v>
      </c>
      <c r="M10" s="1">
        <f t="shared" si="9"/>
        <v>4.7762865441819992E-3</v>
      </c>
      <c r="N10" s="29">
        <f t="shared" si="10"/>
        <v>6.8709052980072071E-8</v>
      </c>
      <c r="O10" s="29">
        <f t="shared" si="11"/>
        <v>2.032E-3</v>
      </c>
      <c r="P10" s="29">
        <v>7.43403717661394E-11</v>
      </c>
      <c r="Q10" s="2">
        <v>0.05</v>
      </c>
      <c r="R10" s="2">
        <f t="shared" si="12"/>
        <v>105000</v>
      </c>
      <c r="S10" s="2">
        <f t="shared" si="13"/>
        <v>5.1940208761751296E-3</v>
      </c>
      <c r="T10" s="2">
        <v>0.12</v>
      </c>
      <c r="U10" s="2">
        <f t="shared" si="14"/>
        <v>112000.00000000001</v>
      </c>
      <c r="V10" s="2">
        <f t="shared" si="1"/>
        <v>1.8263762376237622</v>
      </c>
      <c r="W10" s="2">
        <f t="shared" si="15"/>
        <v>5</v>
      </c>
      <c r="X10" s="2">
        <f t="shared" si="2"/>
        <v>3.6344902749108673E-8</v>
      </c>
      <c r="Y10" s="2">
        <f t="shared" si="16"/>
        <v>104357.16297229983</v>
      </c>
      <c r="Z10" s="2">
        <f t="shared" si="17"/>
        <v>1.8089748907824295E-15</v>
      </c>
      <c r="AA10" s="2">
        <f t="shared" si="18"/>
        <v>1089364679.2291791</v>
      </c>
    </row>
    <row r="11" spans="1:27" x14ac:dyDescent="0.25">
      <c r="A11" s="1">
        <v>27</v>
      </c>
      <c r="B11" s="1">
        <f t="shared" si="3"/>
        <v>0.45</v>
      </c>
      <c r="C11" s="1">
        <v>20</v>
      </c>
      <c r="D11" s="1">
        <f t="shared" si="0"/>
        <v>29.146000000000001</v>
      </c>
      <c r="E11" s="1">
        <f t="shared" si="4"/>
        <v>4.8576666666666667E-7</v>
      </c>
      <c r="F11" s="1">
        <v>21.1</v>
      </c>
      <c r="G11" s="1">
        <f t="shared" si="5"/>
        <v>294.10000000000002</v>
      </c>
      <c r="H11" s="1">
        <v>101.3</v>
      </c>
      <c r="I11" s="1">
        <f t="shared" si="6"/>
        <v>101300</v>
      </c>
      <c r="J11" s="1">
        <f t="shared" si="7"/>
        <v>2.0124824921938581E-5</v>
      </c>
      <c r="K11" s="22">
        <v>19.747524752475247</v>
      </c>
      <c r="L11" s="1">
        <f t="shared" si="8"/>
        <v>1.9747524752475247E-5</v>
      </c>
      <c r="M11" s="1">
        <f t="shared" si="9"/>
        <v>4.7762865441819992E-3</v>
      </c>
      <c r="N11" s="29">
        <f t="shared" si="10"/>
        <v>8.3205953957956133E-8</v>
      </c>
      <c r="O11" s="29">
        <f t="shared" si="11"/>
        <v>2.032E-3</v>
      </c>
      <c r="P11" s="29">
        <v>7.43403717661394E-11</v>
      </c>
      <c r="Q11" s="2">
        <v>0.05</v>
      </c>
      <c r="R11" s="2">
        <f t="shared" si="12"/>
        <v>105000</v>
      </c>
      <c r="S11" s="2">
        <f t="shared" si="13"/>
        <v>5.1940208761751296E-3</v>
      </c>
      <c r="T11" s="2">
        <v>0.12</v>
      </c>
      <c r="U11" s="2">
        <f t="shared" si="14"/>
        <v>112000.00000000001</v>
      </c>
      <c r="V11" s="2">
        <f t="shared" si="1"/>
        <v>2.2117227722772279</v>
      </c>
      <c r="W11" s="2">
        <f t="shared" si="15"/>
        <v>5</v>
      </c>
      <c r="X11" s="2">
        <f t="shared" si="2"/>
        <v>5.5808242207012718E-8</v>
      </c>
      <c r="Y11" s="2">
        <f t="shared" si="16"/>
        <v>104013.72389977409</v>
      </c>
      <c r="Z11" s="2">
        <f t="shared" si="17"/>
        <v>2.7868951140002329E-15</v>
      </c>
      <c r="AA11" s="2">
        <f t="shared" si="18"/>
        <v>1678268237.6509404</v>
      </c>
    </row>
    <row r="12" spans="1:27" x14ac:dyDescent="0.25">
      <c r="A12" s="1">
        <v>30</v>
      </c>
      <c r="B12" s="1">
        <f t="shared" si="3"/>
        <v>0.5</v>
      </c>
      <c r="C12" s="1">
        <v>20</v>
      </c>
      <c r="D12" s="1">
        <f t="shared" si="0"/>
        <v>29.146000000000001</v>
      </c>
      <c r="E12" s="1">
        <f t="shared" si="4"/>
        <v>4.8576666666666667E-7</v>
      </c>
      <c r="F12" s="1">
        <v>21.1</v>
      </c>
      <c r="G12" s="1">
        <f t="shared" si="5"/>
        <v>294.10000000000002</v>
      </c>
      <c r="H12" s="1">
        <v>101.3</v>
      </c>
      <c r="I12" s="1">
        <f t="shared" si="6"/>
        <v>101300</v>
      </c>
      <c r="J12" s="1">
        <f t="shared" si="7"/>
        <v>2.0124824921938581E-5</v>
      </c>
      <c r="K12" s="22">
        <v>24.227722772277225</v>
      </c>
      <c r="L12" s="1">
        <f t="shared" si="8"/>
        <v>2.4227722772277226E-5</v>
      </c>
      <c r="M12" s="1">
        <f t="shared" si="9"/>
        <v>4.7762865441819992E-3</v>
      </c>
      <c r="N12" s="29">
        <f t="shared" si="10"/>
        <v>1.0208321350469726E-7</v>
      </c>
      <c r="O12" s="29">
        <f t="shared" si="11"/>
        <v>2.032E-3</v>
      </c>
      <c r="P12" s="29">
        <v>7.43403717661394E-11</v>
      </c>
      <c r="Q12" s="2">
        <v>0.05</v>
      </c>
      <c r="R12" s="2">
        <f t="shared" si="12"/>
        <v>105000</v>
      </c>
      <c r="S12" s="2">
        <f t="shared" si="13"/>
        <v>5.1940208761751296E-3</v>
      </c>
      <c r="T12" s="2">
        <v>0.12</v>
      </c>
      <c r="U12" s="2">
        <f t="shared" si="14"/>
        <v>112000.00000000001</v>
      </c>
      <c r="V12" s="2">
        <f t="shared" si="1"/>
        <v>2.7135049504950497</v>
      </c>
      <c r="W12" s="2">
        <f t="shared" si="15"/>
        <v>5</v>
      </c>
      <c r="X12" s="2">
        <f t="shared" si="2"/>
        <v>8.0542212556782955E-8</v>
      </c>
      <c r="Y12" s="2">
        <f t="shared" si="16"/>
        <v>103578.09900465571</v>
      </c>
      <c r="Z12" s="2">
        <f t="shared" si="17"/>
        <v>4.0389705663654608E-15</v>
      </c>
      <c r="AA12" s="2">
        <f t="shared" si="18"/>
        <v>2432268075.0652804</v>
      </c>
    </row>
    <row r="13" spans="1:27" x14ac:dyDescent="0.25">
      <c r="A13" s="1">
        <v>33</v>
      </c>
      <c r="B13" s="1">
        <f t="shared" si="3"/>
        <v>0.55000000000000004</v>
      </c>
      <c r="C13" s="1">
        <v>20</v>
      </c>
      <c r="D13" s="1">
        <f t="shared" si="0"/>
        <v>29.146000000000001</v>
      </c>
      <c r="E13" s="1">
        <f t="shared" si="4"/>
        <v>4.8576666666666667E-7</v>
      </c>
      <c r="F13" s="1">
        <v>21.1</v>
      </c>
      <c r="G13" s="1">
        <f t="shared" si="5"/>
        <v>294.10000000000002</v>
      </c>
      <c r="H13" s="1">
        <v>101.3</v>
      </c>
      <c r="I13" s="1">
        <f t="shared" si="6"/>
        <v>101300</v>
      </c>
      <c r="J13" s="1">
        <f t="shared" si="7"/>
        <v>2.0124824921938581E-5</v>
      </c>
      <c r="K13" s="22">
        <v>24.945544554455449</v>
      </c>
      <c r="L13" s="1">
        <f t="shared" si="8"/>
        <v>2.4945544554455449E-5</v>
      </c>
      <c r="M13" s="1">
        <f t="shared" si="9"/>
        <v>4.7762865441819992E-3</v>
      </c>
      <c r="N13" s="29">
        <f t="shared" si="10"/>
        <v>1.0510774680224143E-7</v>
      </c>
      <c r="O13" s="29">
        <f t="shared" si="11"/>
        <v>2.032E-3</v>
      </c>
      <c r="P13" s="29">
        <v>7.43403717661394E-11</v>
      </c>
      <c r="Q13" s="2">
        <v>0.05</v>
      </c>
      <c r="R13" s="2">
        <f t="shared" si="12"/>
        <v>105000</v>
      </c>
      <c r="S13" s="2">
        <f t="shared" si="13"/>
        <v>5.1940208761751296E-3</v>
      </c>
      <c r="T13" s="2">
        <v>0.12</v>
      </c>
      <c r="U13" s="2">
        <f t="shared" si="14"/>
        <v>112000.00000000001</v>
      </c>
      <c r="V13" s="2">
        <f t="shared" si="1"/>
        <v>2.7939009900990106</v>
      </c>
      <c r="W13" s="2">
        <f t="shared" si="15"/>
        <v>5</v>
      </c>
      <c r="X13" s="2">
        <f t="shared" si="2"/>
        <v>8.4453000872974293E-8</v>
      </c>
      <c r="Y13" s="2">
        <f t="shared" si="16"/>
        <v>103509.30428311924</v>
      </c>
      <c r="Z13" s="2">
        <f t="shared" si="17"/>
        <v>4.237903953774872E-15</v>
      </c>
      <c r="AA13" s="2">
        <f t="shared" si="18"/>
        <v>2552065760.9632282</v>
      </c>
    </row>
    <row r="14" spans="1:27" x14ac:dyDescent="0.25">
      <c r="A14" s="1">
        <v>36</v>
      </c>
      <c r="B14" s="1">
        <f t="shared" si="3"/>
        <v>0.6</v>
      </c>
      <c r="C14" s="1">
        <v>20</v>
      </c>
      <c r="D14" s="1">
        <f t="shared" si="0"/>
        <v>29.146000000000001</v>
      </c>
      <c r="E14" s="1">
        <f t="shared" si="4"/>
        <v>4.8576666666666667E-7</v>
      </c>
      <c r="F14" s="1">
        <v>21.1</v>
      </c>
      <c r="G14" s="1">
        <f t="shared" si="5"/>
        <v>294.10000000000002</v>
      </c>
      <c r="H14" s="1">
        <v>101.3</v>
      </c>
      <c r="I14" s="1">
        <f t="shared" si="6"/>
        <v>101300</v>
      </c>
      <c r="J14" s="1">
        <f t="shared" si="7"/>
        <v>2.0124824921938581E-5</v>
      </c>
      <c r="K14" s="22">
        <v>30.366336633663366</v>
      </c>
      <c r="L14" s="1">
        <f t="shared" si="8"/>
        <v>3.0366336633663365E-5</v>
      </c>
      <c r="M14" s="1">
        <f t="shared" si="9"/>
        <v>4.7762865441819992E-3</v>
      </c>
      <c r="N14" s="29">
        <f t="shared" si="10"/>
        <v>1.2794818791128176E-7</v>
      </c>
      <c r="O14" s="29">
        <f t="shared" si="11"/>
        <v>2.032E-3</v>
      </c>
      <c r="P14" s="29">
        <v>7.43403717661394E-11</v>
      </c>
      <c r="Q14" s="2">
        <v>0.05</v>
      </c>
      <c r="R14" s="2">
        <f t="shared" si="12"/>
        <v>105000</v>
      </c>
      <c r="S14" s="2">
        <f t="shared" si="13"/>
        <v>5.1940208761751296E-3</v>
      </c>
      <c r="T14" s="2">
        <v>0.12</v>
      </c>
      <c r="U14" s="2">
        <f t="shared" si="14"/>
        <v>112000.00000000001</v>
      </c>
      <c r="V14" s="2">
        <f t="shared" si="1"/>
        <v>3.4010297029702974</v>
      </c>
      <c r="W14" s="2">
        <f t="shared" si="15"/>
        <v>5</v>
      </c>
      <c r="X14" s="2">
        <f t="shared" si="2"/>
        <v>1.1361132930289021E-7</v>
      </c>
      <c r="Y14" s="2">
        <f t="shared" si="16"/>
        <v>102997.1002133642</v>
      </c>
      <c r="Z14" s="2">
        <f t="shared" si="17"/>
        <v>5.7294729759821222E-15</v>
      </c>
      <c r="AA14" s="2">
        <f t="shared" si="18"/>
        <v>3450288626.1364341</v>
      </c>
    </row>
    <row r="15" spans="1:27" x14ac:dyDescent="0.25">
      <c r="A15" s="1">
        <v>39</v>
      </c>
      <c r="B15" s="1">
        <f t="shared" si="3"/>
        <v>0.65</v>
      </c>
      <c r="C15" s="1">
        <v>20</v>
      </c>
      <c r="D15" s="1">
        <f t="shared" si="0"/>
        <v>29.146000000000001</v>
      </c>
      <c r="E15" s="1">
        <f t="shared" si="4"/>
        <v>4.8576666666666667E-7</v>
      </c>
      <c r="F15" s="1">
        <v>21.1</v>
      </c>
      <c r="G15" s="1">
        <f t="shared" si="5"/>
        <v>294.10000000000002</v>
      </c>
      <c r="H15" s="1">
        <v>101.3</v>
      </c>
      <c r="I15" s="1">
        <f t="shared" si="6"/>
        <v>101300</v>
      </c>
      <c r="J15" s="1">
        <f t="shared" si="7"/>
        <v>2.0124824921938581E-5</v>
      </c>
      <c r="K15" s="22">
        <v>33.806930693069305</v>
      </c>
      <c r="L15" s="1">
        <f t="shared" si="8"/>
        <v>3.3806930693069305E-5</v>
      </c>
      <c r="M15" s="1">
        <f t="shared" si="9"/>
        <v>4.7762865441819992E-3</v>
      </c>
      <c r="N15" s="29">
        <f t="shared" si="10"/>
        <v>1.4244508888916583E-7</v>
      </c>
      <c r="O15" s="29">
        <f t="shared" si="11"/>
        <v>2.032E-3</v>
      </c>
      <c r="P15" s="29">
        <v>7.43403717661394E-11</v>
      </c>
      <c r="Q15" s="2">
        <v>0.05</v>
      </c>
      <c r="R15" s="2">
        <f t="shared" si="12"/>
        <v>105000</v>
      </c>
      <c r="S15" s="2">
        <f t="shared" si="13"/>
        <v>5.1940208761751296E-3</v>
      </c>
      <c r="T15" s="2">
        <v>0.12</v>
      </c>
      <c r="U15" s="2">
        <f t="shared" si="14"/>
        <v>112000.00000000001</v>
      </c>
      <c r="V15" s="2">
        <f t="shared" si="1"/>
        <v>3.7863762376237626</v>
      </c>
      <c r="W15" s="2">
        <f t="shared" si="15"/>
        <v>5</v>
      </c>
      <c r="X15" s="2">
        <f t="shared" si="2"/>
        <v>1.3182792769160082E-7</v>
      </c>
      <c r="Y15" s="2">
        <f t="shared" si="16"/>
        <v>102677.74668626759</v>
      </c>
      <c r="Z15" s="2">
        <f t="shared" si="17"/>
        <v>6.668847743142832E-15</v>
      </c>
      <c r="AA15" s="2">
        <f t="shared" si="18"/>
        <v>4015980110.9206138</v>
      </c>
    </row>
    <row r="16" spans="1:27" x14ac:dyDescent="0.25">
      <c r="A16" s="1">
        <v>42</v>
      </c>
      <c r="B16" s="1">
        <f t="shared" si="3"/>
        <v>0.7</v>
      </c>
      <c r="C16" s="1">
        <v>20</v>
      </c>
      <c r="D16" s="1">
        <f t="shared" si="0"/>
        <v>29.146000000000001</v>
      </c>
      <c r="E16" s="1">
        <f t="shared" si="4"/>
        <v>4.8576666666666667E-7</v>
      </c>
      <c r="F16" s="1">
        <v>21.1</v>
      </c>
      <c r="G16" s="1">
        <f t="shared" si="5"/>
        <v>294.10000000000002</v>
      </c>
      <c r="H16" s="1">
        <v>101.3</v>
      </c>
      <c r="I16" s="1">
        <f t="shared" si="6"/>
        <v>101300</v>
      </c>
      <c r="J16" s="1">
        <f t="shared" si="7"/>
        <v>2.0124824921938581E-5</v>
      </c>
      <c r="K16" s="22">
        <v>38.212871287128714</v>
      </c>
      <c r="L16" s="1">
        <f t="shared" si="8"/>
        <v>3.8212871287128715E-5</v>
      </c>
      <c r="M16" s="1">
        <f t="shared" si="9"/>
        <v>4.7762865441819992E-3</v>
      </c>
      <c r="N16" s="29">
        <f t="shared" si="10"/>
        <v>1.6100946568098858E-7</v>
      </c>
      <c r="O16" s="29">
        <f t="shared" si="11"/>
        <v>2.032E-3</v>
      </c>
      <c r="P16" s="29">
        <v>7.43403717661394E-11</v>
      </c>
      <c r="Q16" s="2">
        <v>0.05</v>
      </c>
      <c r="R16" s="2">
        <f t="shared" si="12"/>
        <v>105000</v>
      </c>
      <c r="S16" s="2">
        <f t="shared" si="13"/>
        <v>5.1940208761751296E-3</v>
      </c>
      <c r="T16" s="2">
        <v>0.12</v>
      </c>
      <c r="U16" s="2">
        <f t="shared" si="14"/>
        <v>112000.00000000001</v>
      </c>
      <c r="V16" s="2">
        <f t="shared" si="1"/>
        <v>4.279841584158417</v>
      </c>
      <c r="W16" s="2">
        <f t="shared" si="15"/>
        <v>5</v>
      </c>
      <c r="X16" s="2">
        <f t="shared" si="2"/>
        <v>1.5488918319222651E-7</v>
      </c>
      <c r="Y16" s="2">
        <f t="shared" si="16"/>
        <v>102274.17312686646</v>
      </c>
      <c r="Z16" s="2">
        <f t="shared" si="17"/>
        <v>7.8664172333688544E-15</v>
      </c>
      <c r="AA16" s="2">
        <f t="shared" si="18"/>
        <v>4737156457.9347248</v>
      </c>
    </row>
    <row r="17" spans="1:75" s="4" customFormat="1" x14ac:dyDescent="0.25">
      <c r="A17" s="1">
        <v>45</v>
      </c>
      <c r="B17" s="1">
        <f t="shared" si="3"/>
        <v>0.75</v>
      </c>
      <c r="C17" s="1">
        <v>20</v>
      </c>
      <c r="D17" s="1">
        <f t="shared" si="0"/>
        <v>29.146000000000001</v>
      </c>
      <c r="E17" s="1">
        <f t="shared" si="4"/>
        <v>4.8576666666666667E-7</v>
      </c>
      <c r="F17" s="1">
        <v>21.1</v>
      </c>
      <c r="G17" s="1">
        <f t="shared" si="5"/>
        <v>294.10000000000002</v>
      </c>
      <c r="H17" s="1">
        <v>101.3</v>
      </c>
      <c r="I17" s="1">
        <f t="shared" si="6"/>
        <v>101300</v>
      </c>
      <c r="J17" s="1">
        <f t="shared" si="7"/>
        <v>2.0124824921938581E-5</v>
      </c>
      <c r="K17" s="22">
        <v>37.643564356435647</v>
      </c>
      <c r="L17" s="1">
        <f t="shared" si="8"/>
        <v>3.7643564356435647E-5</v>
      </c>
      <c r="M17" s="1">
        <f t="shared" si="9"/>
        <v>4.7762865441819992E-3</v>
      </c>
      <c r="N17" s="29">
        <f t="shared" si="10"/>
        <v>1.5861069789328116E-7</v>
      </c>
      <c r="O17" s="29">
        <f t="shared" si="11"/>
        <v>2.032E-3</v>
      </c>
      <c r="P17" s="29">
        <v>7.43403717661394E-11</v>
      </c>
      <c r="Q17" s="2">
        <v>0.05</v>
      </c>
      <c r="R17" s="2">
        <f t="shared" si="12"/>
        <v>105000</v>
      </c>
      <c r="S17" s="2">
        <f t="shared" si="13"/>
        <v>5.1940208761751296E-3</v>
      </c>
      <c r="T17" s="2">
        <v>0.12</v>
      </c>
      <c r="U17" s="2">
        <f t="shared" si="14"/>
        <v>112000.00000000001</v>
      </c>
      <c r="V17" s="2">
        <f t="shared" si="1"/>
        <v>4.2160792079207932</v>
      </c>
      <c r="W17" s="2">
        <f t="shared" si="15"/>
        <v>5</v>
      </c>
      <c r="X17" s="2">
        <f t="shared" si="2"/>
        <v>1.5192450412375663E-7</v>
      </c>
      <c r="Y17" s="2">
        <f t="shared" si="16"/>
        <v>102326.01070061854</v>
      </c>
      <c r="Z17" s="2">
        <f t="shared" si="17"/>
        <v>7.711935164360665E-15</v>
      </c>
      <c r="AA17" s="2">
        <f t="shared" si="18"/>
        <v>4644127355.977993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spans="1:75" s="4" customFormat="1" x14ac:dyDescent="0.25">
      <c r="A18" s="1">
        <v>48</v>
      </c>
      <c r="B18" s="1">
        <f t="shared" si="3"/>
        <v>0.8</v>
      </c>
      <c r="C18" s="1">
        <v>20</v>
      </c>
      <c r="D18" s="1">
        <f t="shared" si="0"/>
        <v>29.146000000000001</v>
      </c>
      <c r="E18" s="1">
        <f t="shared" si="4"/>
        <v>4.8576666666666667E-7</v>
      </c>
      <c r="F18" s="1">
        <v>21.1</v>
      </c>
      <c r="G18" s="1">
        <f t="shared" si="5"/>
        <v>294.10000000000002</v>
      </c>
      <c r="H18" s="1">
        <v>101.3</v>
      </c>
      <c r="I18" s="1">
        <f t="shared" si="6"/>
        <v>101300</v>
      </c>
      <c r="J18" s="1">
        <f t="shared" si="7"/>
        <v>2.0124824921938581E-5</v>
      </c>
      <c r="K18" s="22">
        <v>46.480198019801982</v>
      </c>
      <c r="L18" s="1">
        <f t="shared" si="8"/>
        <v>4.6480198019801981E-5</v>
      </c>
      <c r="M18" s="1">
        <f t="shared" si="9"/>
        <v>4.7762865441819992E-3</v>
      </c>
      <c r="N18" s="29">
        <f t="shared" si="10"/>
        <v>1.9584374572856612E-7</v>
      </c>
      <c r="O18" s="29">
        <f t="shared" si="11"/>
        <v>2.032E-3</v>
      </c>
      <c r="P18" s="29">
        <v>7.43403717661394E-11</v>
      </c>
      <c r="Q18" s="2">
        <v>0.05</v>
      </c>
      <c r="R18" s="2">
        <f t="shared" si="12"/>
        <v>105000</v>
      </c>
      <c r="S18" s="2">
        <f t="shared" si="13"/>
        <v>5.1940208761751296E-3</v>
      </c>
      <c r="T18" s="2">
        <v>0.12</v>
      </c>
      <c r="U18" s="2">
        <f t="shared" si="14"/>
        <v>112000.00000000001</v>
      </c>
      <c r="V18" s="2">
        <f t="shared" si="1"/>
        <v>5.2057821782178229</v>
      </c>
      <c r="W18" s="2">
        <f t="shared" si="15"/>
        <v>5</v>
      </c>
      <c r="X18" s="2">
        <f t="shared" si="2"/>
        <v>1.9751019736356205E-7</v>
      </c>
      <c r="Y18" s="2">
        <f t="shared" si="16"/>
        <v>101530.39400157232</v>
      </c>
      <c r="Z18" s="2">
        <f t="shared" si="17"/>
        <v>1.0104606613946092E-14</v>
      </c>
      <c r="AA18" s="2">
        <f t="shared" si="18"/>
        <v>6084994102.9183369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 spans="1:75" s="4" customFormat="1" x14ac:dyDescent="0.25">
      <c r="A19" s="1">
        <v>51</v>
      </c>
      <c r="B19" s="1">
        <f t="shared" si="3"/>
        <v>0.85</v>
      </c>
      <c r="C19" s="1">
        <v>20</v>
      </c>
      <c r="D19" s="1">
        <f t="shared" si="0"/>
        <v>29.146000000000001</v>
      </c>
      <c r="E19" s="1">
        <f t="shared" si="4"/>
        <v>4.8576666666666667E-7</v>
      </c>
      <c r="F19" s="1">
        <v>21.1</v>
      </c>
      <c r="G19" s="1">
        <f t="shared" si="5"/>
        <v>294.10000000000002</v>
      </c>
      <c r="H19" s="1">
        <v>101.3</v>
      </c>
      <c r="I19" s="1">
        <f t="shared" si="6"/>
        <v>101300</v>
      </c>
      <c r="J19" s="1">
        <f t="shared" si="7"/>
        <v>2.0124824921938581E-5</v>
      </c>
      <c r="K19" s="22">
        <v>47.990099009900995</v>
      </c>
      <c r="L19" s="1">
        <f t="shared" si="8"/>
        <v>4.7990099009900992E-5</v>
      </c>
      <c r="M19" s="1">
        <f t="shared" si="9"/>
        <v>4.7762865441819992E-3</v>
      </c>
      <c r="N19" s="29">
        <f t="shared" si="10"/>
        <v>2.022056950785728E-7</v>
      </c>
      <c r="O19" s="29">
        <f t="shared" si="11"/>
        <v>2.032E-3</v>
      </c>
      <c r="P19" s="29">
        <v>7.43403717661394E-11</v>
      </c>
      <c r="Q19" s="2">
        <v>0.05</v>
      </c>
      <c r="R19" s="2">
        <f t="shared" si="12"/>
        <v>105000</v>
      </c>
      <c r="S19" s="2">
        <f t="shared" si="13"/>
        <v>5.1940208761751296E-3</v>
      </c>
      <c r="T19" s="2">
        <v>0.12</v>
      </c>
      <c r="U19" s="2">
        <f t="shared" si="14"/>
        <v>112000.00000000001</v>
      </c>
      <c r="V19" s="2">
        <f t="shared" si="1"/>
        <v>5.3748910891089121</v>
      </c>
      <c r="W19" s="2">
        <f t="shared" si="15"/>
        <v>5</v>
      </c>
      <c r="X19" s="2">
        <f t="shared" si="2"/>
        <v>2.0521710785496845E-7</v>
      </c>
      <c r="Y19" s="2">
        <f t="shared" si="16"/>
        <v>101396.19053408486</v>
      </c>
      <c r="Z19" s="2">
        <f t="shared" si="17"/>
        <v>1.0512805677588251E-14</v>
      </c>
      <c r="AA19" s="2">
        <f t="shared" si="18"/>
        <v>6330811579.0436449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 spans="1:75" s="4" customFormat="1" x14ac:dyDescent="0.25">
      <c r="A20" s="1">
        <v>54</v>
      </c>
      <c r="B20" s="1">
        <f t="shared" si="3"/>
        <v>0.9</v>
      </c>
      <c r="C20" s="1">
        <v>20</v>
      </c>
      <c r="D20" s="1">
        <f t="shared" si="0"/>
        <v>29.146000000000001</v>
      </c>
      <c r="E20" s="1">
        <f t="shared" si="4"/>
        <v>4.8576666666666667E-7</v>
      </c>
      <c r="F20" s="1">
        <v>21.1</v>
      </c>
      <c r="G20" s="1">
        <f t="shared" si="5"/>
        <v>294.10000000000002</v>
      </c>
      <c r="H20" s="1">
        <v>101.3</v>
      </c>
      <c r="I20" s="1">
        <f t="shared" si="6"/>
        <v>101300</v>
      </c>
      <c r="J20" s="1">
        <f t="shared" si="7"/>
        <v>2.0124824921938581E-5</v>
      </c>
      <c r="K20" s="22">
        <v>58.188118811881189</v>
      </c>
      <c r="L20" s="1">
        <f t="shared" si="8"/>
        <v>5.818811881188119E-5</v>
      </c>
      <c r="M20" s="1">
        <f t="shared" si="9"/>
        <v>4.7762865441819992E-3</v>
      </c>
      <c r="N20" s="29">
        <f t="shared" si="10"/>
        <v>2.4517492675402772E-7</v>
      </c>
      <c r="O20" s="29">
        <f t="shared" si="11"/>
        <v>2.032E-3</v>
      </c>
      <c r="P20" s="29">
        <v>7.43403717661394E-11</v>
      </c>
      <c r="Q20" s="2">
        <v>0.05</v>
      </c>
      <c r="R20" s="2">
        <f t="shared" si="12"/>
        <v>105000</v>
      </c>
      <c r="S20" s="2">
        <f t="shared" si="13"/>
        <v>5.1940208761751296E-3</v>
      </c>
      <c r="T20" s="2">
        <v>0.12</v>
      </c>
      <c r="U20" s="2">
        <f t="shared" si="14"/>
        <v>112000.00000000001</v>
      </c>
      <c r="V20" s="2">
        <f t="shared" si="1"/>
        <v>6.5170693069306944</v>
      </c>
      <c r="W20" s="2">
        <f t="shared" si="15"/>
        <v>5</v>
      </c>
      <c r="X20" s="2">
        <f t="shared" si="2"/>
        <v>2.5676453038271828E-7</v>
      </c>
      <c r="Y20" s="2">
        <f t="shared" si="16"/>
        <v>100500.85701471612</v>
      </c>
      <c r="Z20" s="2">
        <f t="shared" si="17"/>
        <v>1.3270800443026004E-14</v>
      </c>
      <c r="AA20" s="2">
        <f t="shared" si="18"/>
        <v>7991676026.7902594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 spans="1:75" s="4" customFormat="1" x14ac:dyDescent="0.25">
      <c r="A21" s="1">
        <v>57</v>
      </c>
      <c r="B21" s="1">
        <f t="shared" si="3"/>
        <v>0.95</v>
      </c>
      <c r="C21" s="1">
        <v>20</v>
      </c>
      <c r="D21" s="1">
        <f t="shared" si="0"/>
        <v>29.146000000000001</v>
      </c>
      <c r="E21" s="1">
        <f t="shared" si="4"/>
        <v>4.8576666666666667E-7</v>
      </c>
      <c r="F21" s="1">
        <v>21.1</v>
      </c>
      <c r="G21" s="1">
        <f t="shared" si="5"/>
        <v>294.10000000000002</v>
      </c>
      <c r="H21" s="1">
        <v>101.3</v>
      </c>
      <c r="I21" s="1">
        <f t="shared" si="6"/>
        <v>101300</v>
      </c>
      <c r="J21" s="1">
        <f t="shared" si="7"/>
        <v>2.0124824921938581E-5</v>
      </c>
      <c r="K21" s="22">
        <v>52.940594059405939</v>
      </c>
      <c r="L21" s="1">
        <f t="shared" si="8"/>
        <v>5.294059405940594E-5</v>
      </c>
      <c r="M21" s="1">
        <f t="shared" si="9"/>
        <v>4.7762865441819992E-3</v>
      </c>
      <c r="N21" s="29">
        <f t="shared" si="10"/>
        <v>2.2306454540646351E-7</v>
      </c>
      <c r="O21" s="29">
        <f t="shared" si="11"/>
        <v>2.032E-3</v>
      </c>
      <c r="P21" s="29">
        <v>7.43403717661394E-11</v>
      </c>
      <c r="Q21" s="2">
        <v>0.05</v>
      </c>
      <c r="R21" s="2">
        <f t="shared" si="12"/>
        <v>105000</v>
      </c>
      <c r="S21" s="2">
        <f t="shared" si="13"/>
        <v>5.1940208761751296E-3</v>
      </c>
      <c r="T21" s="2">
        <v>0.12</v>
      </c>
      <c r="U21" s="2">
        <f t="shared" si="14"/>
        <v>112000.00000000001</v>
      </c>
      <c r="V21" s="2">
        <f t="shared" si="1"/>
        <v>5.9293465346534662</v>
      </c>
      <c r="W21" s="2">
        <f t="shared" si="15"/>
        <v>5</v>
      </c>
      <c r="X21" s="2">
        <f t="shared" si="2"/>
        <v>2.3034335235596453E-7</v>
      </c>
      <c r="Y21" s="2">
        <f t="shared" si="16"/>
        <v>100959.27370873885</v>
      </c>
      <c r="Z21" s="2">
        <f t="shared" si="17"/>
        <v>1.1851100014403935E-14</v>
      </c>
      <c r="AA21" s="2">
        <f t="shared" si="18"/>
        <v>7136732428.6740494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 spans="1:75" s="4" customFormat="1" x14ac:dyDescent="0.25">
      <c r="A22" s="1">
        <v>60</v>
      </c>
      <c r="B22" s="1">
        <f t="shared" si="3"/>
        <v>1</v>
      </c>
      <c r="C22" s="1">
        <v>20</v>
      </c>
      <c r="D22" s="1">
        <f t="shared" si="0"/>
        <v>29.146000000000001</v>
      </c>
      <c r="E22" s="1">
        <f t="shared" si="4"/>
        <v>4.8576666666666667E-7</v>
      </c>
      <c r="F22" s="1">
        <v>21.1</v>
      </c>
      <c r="G22" s="1">
        <f t="shared" si="5"/>
        <v>294.10000000000002</v>
      </c>
      <c r="H22" s="1">
        <v>101.3</v>
      </c>
      <c r="I22" s="1">
        <f t="shared" si="6"/>
        <v>101300</v>
      </c>
      <c r="J22" s="1">
        <f t="shared" si="7"/>
        <v>2.0124824921938581E-5</v>
      </c>
      <c r="K22" s="22">
        <v>57.024752475247524</v>
      </c>
      <c r="L22" s="1">
        <f t="shared" si="8"/>
        <v>5.7024752475247525E-5</v>
      </c>
      <c r="M22" s="1">
        <f t="shared" si="9"/>
        <v>4.7762865441819992E-3</v>
      </c>
      <c r="N22" s="29">
        <f t="shared" si="10"/>
        <v>2.402730969269734E-7</v>
      </c>
      <c r="O22" s="29">
        <f t="shared" si="11"/>
        <v>2.032E-3</v>
      </c>
      <c r="P22" s="29">
        <v>7.43403717661394E-11</v>
      </c>
      <c r="Q22" s="2">
        <v>0.05</v>
      </c>
      <c r="R22" s="2">
        <f t="shared" si="12"/>
        <v>105000</v>
      </c>
      <c r="S22" s="2">
        <f t="shared" si="13"/>
        <v>5.1940208761751296E-3</v>
      </c>
      <c r="T22" s="2">
        <v>0.12</v>
      </c>
      <c r="U22" s="2">
        <f t="shared" si="14"/>
        <v>112000.00000000001</v>
      </c>
      <c r="V22" s="2">
        <f t="shared" si="1"/>
        <v>6.386772277227724</v>
      </c>
      <c r="W22" s="2">
        <f t="shared" si="15"/>
        <v>5</v>
      </c>
      <c r="X22" s="2">
        <f t="shared" si="2"/>
        <v>2.5092434686470953E-7</v>
      </c>
      <c r="Y22" s="2">
        <f t="shared" si="16"/>
        <v>100602.09644156125</v>
      </c>
      <c r="Z22" s="2">
        <f t="shared" si="17"/>
        <v>1.2955883508756271E-14</v>
      </c>
      <c r="AA22" s="2">
        <f t="shared" si="18"/>
        <v>7802033048.9730272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 spans="1:75" s="4" customFormat="1" x14ac:dyDescent="0.25">
      <c r="A23" s="1">
        <v>63</v>
      </c>
      <c r="B23" s="1">
        <f t="shared" si="3"/>
        <v>1.05</v>
      </c>
      <c r="C23" s="1">
        <v>20</v>
      </c>
      <c r="D23" s="1">
        <f t="shared" si="0"/>
        <v>29.146000000000001</v>
      </c>
      <c r="E23" s="1">
        <f t="shared" si="4"/>
        <v>4.8576666666666667E-7</v>
      </c>
      <c r="F23" s="1">
        <v>21.1</v>
      </c>
      <c r="G23" s="1">
        <f t="shared" si="5"/>
        <v>294.10000000000002</v>
      </c>
      <c r="H23" s="1">
        <v>101.3</v>
      </c>
      <c r="I23" s="1">
        <f t="shared" si="6"/>
        <v>101300</v>
      </c>
      <c r="J23" s="1">
        <f t="shared" si="7"/>
        <v>2.0124824921938581E-5</v>
      </c>
      <c r="K23" s="22">
        <v>63.43564356435644</v>
      </c>
      <c r="L23" s="1">
        <f t="shared" si="8"/>
        <v>6.3435643564356434E-5</v>
      </c>
      <c r="M23" s="1">
        <f t="shared" si="9"/>
        <v>4.7762865441819992E-3</v>
      </c>
      <c r="N23" s="29">
        <f t="shared" si="10"/>
        <v>2.6728530810159189E-7</v>
      </c>
      <c r="O23" s="29">
        <f t="shared" si="11"/>
        <v>2.032E-3</v>
      </c>
      <c r="P23" s="29">
        <v>7.43403717661394E-11</v>
      </c>
      <c r="Q23" s="2">
        <v>0.05</v>
      </c>
      <c r="R23" s="2">
        <f t="shared" si="12"/>
        <v>105000</v>
      </c>
      <c r="S23" s="2">
        <f t="shared" si="13"/>
        <v>5.1940208761751296E-3</v>
      </c>
      <c r="T23" s="2">
        <v>0.12</v>
      </c>
      <c r="U23" s="2">
        <f t="shared" si="14"/>
        <v>112000.00000000001</v>
      </c>
      <c r="V23" s="2">
        <f t="shared" si="1"/>
        <v>7.1047920792079218</v>
      </c>
      <c r="W23" s="2">
        <f t="shared" si="15"/>
        <v>5</v>
      </c>
      <c r="X23" s="2">
        <f t="shared" si="2"/>
        <v>2.8299533133600144E-7</v>
      </c>
      <c r="Y23" s="2">
        <f t="shared" si="16"/>
        <v>100046.7752977413</v>
      </c>
      <c r="Z23" s="2">
        <f t="shared" si="17"/>
        <v>1.4693007797702572E-14</v>
      </c>
      <c r="AA23" s="2">
        <f t="shared" si="18"/>
        <v>8848129295.7764893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 spans="1:75" s="4" customFormat="1" x14ac:dyDescent="0.25">
      <c r="A24" s="1">
        <v>66</v>
      </c>
      <c r="B24" s="1">
        <f t="shared" si="3"/>
        <v>1.1000000000000001</v>
      </c>
      <c r="C24" s="1">
        <v>20</v>
      </c>
      <c r="D24" s="1">
        <f t="shared" si="0"/>
        <v>29.146000000000001</v>
      </c>
      <c r="E24" s="1">
        <f t="shared" si="4"/>
        <v>4.8576666666666667E-7</v>
      </c>
      <c r="F24" s="1">
        <v>21.1</v>
      </c>
      <c r="G24" s="1">
        <f t="shared" si="5"/>
        <v>294.10000000000002</v>
      </c>
      <c r="H24" s="1">
        <v>101.3</v>
      </c>
      <c r="I24" s="1">
        <f t="shared" si="6"/>
        <v>101300</v>
      </c>
      <c r="J24" s="1">
        <f t="shared" si="7"/>
        <v>2.0124824921938581E-5</v>
      </c>
      <c r="K24" s="22">
        <v>61.331683168316829</v>
      </c>
      <c r="L24" s="1">
        <f t="shared" si="8"/>
        <v>6.1331683168316825E-5</v>
      </c>
      <c r="M24" s="1">
        <f t="shared" si="9"/>
        <v>4.7762865441819992E-3</v>
      </c>
      <c r="N24" s="29">
        <f t="shared" si="10"/>
        <v>2.5842029671223826E-7</v>
      </c>
      <c r="O24" s="29">
        <f t="shared" si="11"/>
        <v>2.032E-3</v>
      </c>
      <c r="P24" s="29">
        <v>7.43403717661394E-11</v>
      </c>
      <c r="Q24" s="2">
        <v>0.05</v>
      </c>
      <c r="R24" s="2">
        <f t="shared" si="12"/>
        <v>105000</v>
      </c>
      <c r="S24" s="2">
        <f t="shared" si="13"/>
        <v>5.1940208761751296E-3</v>
      </c>
      <c r="T24" s="2">
        <v>0.12</v>
      </c>
      <c r="U24" s="2">
        <f t="shared" si="14"/>
        <v>112000.00000000001</v>
      </c>
      <c r="V24" s="2">
        <f t="shared" si="1"/>
        <v>6.869148514851485</v>
      </c>
      <c r="W24" s="2">
        <f t="shared" si="15"/>
        <v>5</v>
      </c>
      <c r="X24" s="2">
        <f t="shared" si="2"/>
        <v>2.7249953158670053E-7</v>
      </c>
      <c r="Y24" s="2">
        <f t="shared" si="16"/>
        <v>100228.34482582723</v>
      </c>
      <c r="Z24" s="2">
        <f t="shared" si="17"/>
        <v>1.4122404866262315E-14</v>
      </c>
      <c r="AA24" s="2">
        <f t="shared" si="18"/>
        <v>8504512210.4631672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 spans="1:75" s="4" customFormat="1" x14ac:dyDescent="0.25">
      <c r="A25" s="1">
        <v>69</v>
      </c>
      <c r="B25" s="1">
        <f t="shared" si="3"/>
        <v>1.1499999999999999</v>
      </c>
      <c r="C25" s="1">
        <v>20</v>
      </c>
      <c r="D25" s="1">
        <f t="shared" si="0"/>
        <v>29.146000000000001</v>
      </c>
      <c r="E25" s="1">
        <f t="shared" si="4"/>
        <v>4.8576666666666667E-7</v>
      </c>
      <c r="F25" s="1">
        <v>21.1</v>
      </c>
      <c r="G25" s="1">
        <f t="shared" si="5"/>
        <v>294.10000000000002</v>
      </c>
      <c r="H25" s="1">
        <v>101.3</v>
      </c>
      <c r="I25" s="1">
        <f t="shared" si="6"/>
        <v>101300</v>
      </c>
      <c r="J25" s="1">
        <f t="shared" si="7"/>
        <v>2.0124824921938581E-5</v>
      </c>
      <c r="K25" s="22">
        <v>58.287128712871286</v>
      </c>
      <c r="L25" s="1">
        <f t="shared" si="8"/>
        <v>5.8287128712871287E-5</v>
      </c>
      <c r="M25" s="1">
        <f t="shared" si="9"/>
        <v>4.7762865441819992E-3</v>
      </c>
      <c r="N25" s="29">
        <f t="shared" si="10"/>
        <v>2.4559210376058553E-7</v>
      </c>
      <c r="O25" s="29">
        <f t="shared" si="11"/>
        <v>2.032E-3</v>
      </c>
      <c r="P25" s="29">
        <v>7.43403717661394E-11</v>
      </c>
      <c r="Q25" s="2">
        <v>0.05</v>
      </c>
      <c r="R25" s="2">
        <f t="shared" si="12"/>
        <v>105000</v>
      </c>
      <c r="S25" s="2">
        <f t="shared" si="13"/>
        <v>5.1940208761751296E-3</v>
      </c>
      <c r="T25" s="2">
        <v>0.12</v>
      </c>
      <c r="U25" s="2">
        <f t="shared" si="14"/>
        <v>112000.00000000001</v>
      </c>
      <c r="V25" s="2">
        <f t="shared" si="1"/>
        <v>6.5281584158415846</v>
      </c>
      <c r="W25" s="2">
        <f t="shared" si="15"/>
        <v>5</v>
      </c>
      <c r="X25" s="2">
        <f t="shared" si="2"/>
        <v>2.5726113232699044E-7</v>
      </c>
      <c r="Y25" s="2">
        <f t="shared" si="16"/>
        <v>100492.25078426754</v>
      </c>
      <c r="Z25" s="2">
        <f t="shared" si="17"/>
        <v>1.3297607431357369E-14</v>
      </c>
      <c r="AA25" s="2">
        <f t="shared" si="18"/>
        <v>8007819195.1634073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 spans="1:75" s="4" customFormat="1" x14ac:dyDescent="0.25">
      <c r="A26" s="1">
        <v>72</v>
      </c>
      <c r="B26" s="1">
        <f t="shared" si="3"/>
        <v>1.2</v>
      </c>
      <c r="C26" s="1">
        <v>20</v>
      </c>
      <c r="D26" s="1">
        <f t="shared" si="0"/>
        <v>29.146000000000001</v>
      </c>
      <c r="E26" s="1">
        <f t="shared" si="4"/>
        <v>4.8576666666666667E-7</v>
      </c>
      <c r="F26" s="1">
        <v>21.1</v>
      </c>
      <c r="G26" s="1">
        <f t="shared" si="5"/>
        <v>294.10000000000002</v>
      </c>
      <c r="H26" s="1">
        <v>101.3</v>
      </c>
      <c r="I26" s="1">
        <f t="shared" si="6"/>
        <v>101300</v>
      </c>
      <c r="J26" s="1">
        <f t="shared" si="7"/>
        <v>2.0124824921938581E-5</v>
      </c>
      <c r="K26" s="22">
        <v>56.183168316831683</v>
      </c>
      <c r="L26" s="1">
        <f t="shared" si="8"/>
        <v>5.6183168316831685E-5</v>
      </c>
      <c r="M26" s="1">
        <f t="shared" si="9"/>
        <v>4.7762865441819992E-3</v>
      </c>
      <c r="N26" s="29">
        <f t="shared" si="10"/>
        <v>2.3672709237123195E-7</v>
      </c>
      <c r="O26" s="29">
        <f t="shared" si="11"/>
        <v>2.032E-3</v>
      </c>
      <c r="P26" s="29">
        <v>7.43403717661394E-11</v>
      </c>
      <c r="Q26" s="2">
        <v>0.05</v>
      </c>
      <c r="R26" s="2">
        <f t="shared" si="12"/>
        <v>105000</v>
      </c>
      <c r="S26" s="2">
        <f t="shared" si="13"/>
        <v>5.1940208761751296E-3</v>
      </c>
      <c r="T26" s="2">
        <v>0.12</v>
      </c>
      <c r="U26" s="2">
        <f t="shared" si="14"/>
        <v>112000.00000000001</v>
      </c>
      <c r="V26" s="2">
        <f t="shared" si="1"/>
        <v>6.2925148514851497</v>
      </c>
      <c r="W26" s="2">
        <f t="shared" si="15"/>
        <v>5</v>
      </c>
      <c r="X26" s="2">
        <f t="shared" si="2"/>
        <v>2.4669355266556616E-7</v>
      </c>
      <c r="Y26" s="2">
        <f t="shared" si="16"/>
        <v>100675.46898114309</v>
      </c>
      <c r="Z26" s="2">
        <f t="shared" si="17"/>
        <v>1.2728140902114212E-14</v>
      </c>
      <c r="AA26" s="2">
        <f t="shared" si="18"/>
        <v>7664886451.2531786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 spans="1:75" s="4" customFormat="1" x14ac:dyDescent="0.25">
      <c r="A27" s="1">
        <v>75</v>
      </c>
      <c r="B27" s="1">
        <f t="shared" si="3"/>
        <v>1.25</v>
      </c>
      <c r="C27" s="1">
        <v>20</v>
      </c>
      <c r="D27" s="1">
        <f t="shared" si="0"/>
        <v>29.146000000000001</v>
      </c>
      <c r="E27" s="1">
        <f t="shared" si="4"/>
        <v>4.8576666666666667E-7</v>
      </c>
      <c r="F27" s="1">
        <v>21.1</v>
      </c>
      <c r="G27" s="1">
        <f t="shared" si="5"/>
        <v>294.10000000000002</v>
      </c>
      <c r="H27" s="1">
        <v>101.3</v>
      </c>
      <c r="I27" s="1">
        <f t="shared" si="6"/>
        <v>101300</v>
      </c>
      <c r="J27" s="1">
        <f t="shared" si="7"/>
        <v>2.0124824921938581E-5</v>
      </c>
      <c r="K27" s="22">
        <v>59.673267326732677</v>
      </c>
      <c r="L27" s="1">
        <f t="shared" si="8"/>
        <v>5.967326732673268E-5</v>
      </c>
      <c r="M27" s="1">
        <f t="shared" si="9"/>
        <v>4.7762865441819992E-3</v>
      </c>
      <c r="N27" s="29">
        <f t="shared" si="10"/>
        <v>2.5143258185239494E-7</v>
      </c>
      <c r="O27" s="29">
        <f t="shared" si="11"/>
        <v>2.032E-3</v>
      </c>
      <c r="P27" s="29">
        <v>7.43403717661394E-11</v>
      </c>
      <c r="Q27" s="2">
        <v>0.05</v>
      </c>
      <c r="R27" s="2">
        <f t="shared" si="12"/>
        <v>105000</v>
      </c>
      <c r="S27" s="2">
        <f t="shared" si="13"/>
        <v>5.1940208761751296E-3</v>
      </c>
      <c r="T27" s="2">
        <v>0.12</v>
      </c>
      <c r="U27" s="2">
        <f t="shared" si="14"/>
        <v>112000.00000000001</v>
      </c>
      <c r="V27" s="2">
        <f t="shared" si="1"/>
        <v>6.6834059405940609</v>
      </c>
      <c r="W27" s="2">
        <f t="shared" si="15"/>
        <v>5</v>
      </c>
      <c r="X27" s="2">
        <f t="shared" si="2"/>
        <v>2.6420655649979122E-7</v>
      </c>
      <c r="Y27" s="2">
        <f t="shared" si="16"/>
        <v>100371.92354030124</v>
      </c>
      <c r="Z27" s="2">
        <f t="shared" si="17"/>
        <v>1.3673004401176601E-14</v>
      </c>
      <c r="AA27" s="2">
        <f t="shared" si="18"/>
        <v>8233883250.3885489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 spans="1:75" s="4" customFormat="1" x14ac:dyDescent="0.25">
      <c r="A28" s="1">
        <v>78</v>
      </c>
      <c r="B28" s="1">
        <f t="shared" si="3"/>
        <v>1.3</v>
      </c>
      <c r="C28" s="1">
        <v>20</v>
      </c>
      <c r="D28" s="1">
        <f t="shared" si="0"/>
        <v>29.146000000000001</v>
      </c>
      <c r="E28" s="1">
        <f t="shared" si="4"/>
        <v>4.8576666666666667E-7</v>
      </c>
      <c r="F28" s="1">
        <v>21.1</v>
      </c>
      <c r="G28" s="1">
        <f t="shared" si="5"/>
        <v>294.10000000000002</v>
      </c>
      <c r="H28" s="1">
        <v>101.3</v>
      </c>
      <c r="I28" s="1">
        <f t="shared" si="6"/>
        <v>101300</v>
      </c>
      <c r="J28" s="1">
        <f t="shared" si="7"/>
        <v>2.0124824921938581E-5</v>
      </c>
      <c r="K28" s="22">
        <v>63.955445544554458</v>
      </c>
      <c r="L28" s="1">
        <f t="shared" si="8"/>
        <v>6.3955445544554464E-5</v>
      </c>
      <c r="M28" s="1">
        <f t="shared" si="9"/>
        <v>4.7762865441819992E-3</v>
      </c>
      <c r="N28" s="29">
        <f t="shared" si="10"/>
        <v>2.6947548738602043E-7</v>
      </c>
      <c r="O28" s="29">
        <f t="shared" si="11"/>
        <v>2.032E-3</v>
      </c>
      <c r="P28" s="29">
        <v>7.43403717661394E-11</v>
      </c>
      <c r="Q28" s="2">
        <v>0.05</v>
      </c>
      <c r="R28" s="2">
        <f t="shared" si="12"/>
        <v>105000</v>
      </c>
      <c r="S28" s="2">
        <f t="shared" si="13"/>
        <v>5.1940208761751296E-3</v>
      </c>
      <c r="T28" s="2">
        <v>0.12</v>
      </c>
      <c r="U28" s="2">
        <f t="shared" si="14"/>
        <v>112000.00000000001</v>
      </c>
      <c r="V28" s="2">
        <f t="shared" si="1"/>
        <v>7.1630099009901009</v>
      </c>
      <c r="W28" s="2">
        <f t="shared" si="15"/>
        <v>5</v>
      </c>
      <c r="X28" s="2">
        <f t="shared" si="2"/>
        <v>2.8558422724744212E-7</v>
      </c>
      <c r="Y28" s="2">
        <f t="shared" si="16"/>
        <v>100002.01463336054</v>
      </c>
      <c r="Z28" s="2">
        <f t="shared" si="17"/>
        <v>1.4834068095977413E-14</v>
      </c>
      <c r="AA28" s="2">
        <f t="shared" si="18"/>
        <v>8933075807.3975983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 spans="1:75" s="4" customFormat="1" x14ac:dyDescent="0.25">
      <c r="A29" s="1">
        <v>81</v>
      </c>
      <c r="B29" s="1">
        <f t="shared" si="3"/>
        <v>1.35</v>
      </c>
      <c r="C29" s="1">
        <v>20</v>
      </c>
      <c r="D29" s="1">
        <f t="shared" si="0"/>
        <v>29.146000000000001</v>
      </c>
      <c r="E29" s="1">
        <f t="shared" si="4"/>
        <v>4.8576666666666667E-7</v>
      </c>
      <c r="F29" s="1">
        <v>21.1</v>
      </c>
      <c r="G29" s="1">
        <f t="shared" si="5"/>
        <v>294.10000000000002</v>
      </c>
      <c r="H29" s="1">
        <v>101.3</v>
      </c>
      <c r="I29" s="1">
        <f t="shared" si="6"/>
        <v>101300</v>
      </c>
      <c r="J29" s="1">
        <f t="shared" si="7"/>
        <v>2.0124824921938581E-5</v>
      </c>
      <c r="K29" s="22">
        <v>67.099009900990097</v>
      </c>
      <c r="L29" s="1">
        <f t="shared" si="8"/>
        <v>6.7099009900990092E-5</v>
      </c>
      <c r="M29" s="1">
        <f t="shared" si="9"/>
        <v>4.7762865441819992E-3</v>
      </c>
      <c r="N29" s="29">
        <f t="shared" si="10"/>
        <v>2.8272085734423103E-7</v>
      </c>
      <c r="O29" s="29">
        <f t="shared" si="11"/>
        <v>2.032E-3</v>
      </c>
      <c r="P29" s="29">
        <v>7.43403717661394E-11</v>
      </c>
      <c r="Q29" s="2">
        <v>0.05</v>
      </c>
      <c r="R29" s="2">
        <f t="shared" si="12"/>
        <v>105000</v>
      </c>
      <c r="S29" s="2">
        <f t="shared" si="13"/>
        <v>5.1940208761751296E-3</v>
      </c>
      <c r="T29" s="2">
        <v>0.12</v>
      </c>
      <c r="U29" s="2">
        <f t="shared" si="14"/>
        <v>112000.00000000001</v>
      </c>
      <c r="V29" s="2">
        <f t="shared" si="1"/>
        <v>7.5150891089108915</v>
      </c>
      <c r="W29" s="2">
        <f t="shared" si="15"/>
        <v>5</v>
      </c>
      <c r="X29" s="2">
        <f t="shared" si="2"/>
        <v>3.0120710933117366E-7</v>
      </c>
      <c r="Y29" s="2">
        <f t="shared" si="16"/>
        <v>99732.115698874128</v>
      </c>
      <c r="Z29" s="2">
        <f t="shared" si="17"/>
        <v>1.5687964698304184E-14</v>
      </c>
      <c r="AA29" s="2">
        <f t="shared" si="18"/>
        <v>9447292341.318779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</row>
    <row r="30" spans="1:75" s="4" customFormat="1" x14ac:dyDescent="0.25">
      <c r="A30" s="1">
        <v>84</v>
      </c>
      <c r="B30" s="1">
        <f t="shared" si="3"/>
        <v>1.4</v>
      </c>
      <c r="C30" s="1">
        <v>20</v>
      </c>
      <c r="D30" s="1">
        <f t="shared" si="0"/>
        <v>29.146000000000001</v>
      </c>
      <c r="E30" s="1">
        <f t="shared" si="4"/>
        <v>4.8576666666666667E-7</v>
      </c>
      <c r="F30" s="1">
        <v>21.1</v>
      </c>
      <c r="G30" s="1">
        <f t="shared" si="5"/>
        <v>294.10000000000002</v>
      </c>
      <c r="H30" s="1">
        <v>101.3</v>
      </c>
      <c r="I30" s="1">
        <f t="shared" si="6"/>
        <v>101300</v>
      </c>
      <c r="J30" s="1">
        <f t="shared" si="7"/>
        <v>2.0124824921938581E-5</v>
      </c>
      <c r="K30" s="22">
        <v>60.292079207920793</v>
      </c>
      <c r="L30" s="1">
        <f t="shared" si="8"/>
        <v>6.0292079207920792E-5</v>
      </c>
      <c r="M30" s="1">
        <f t="shared" si="9"/>
        <v>4.7762865441819992E-3</v>
      </c>
      <c r="N30" s="29">
        <f t="shared" si="10"/>
        <v>2.5403993814338129E-7</v>
      </c>
      <c r="O30" s="29">
        <f t="shared" si="11"/>
        <v>2.032E-3</v>
      </c>
      <c r="P30" s="29">
        <v>7.43403717661394E-11</v>
      </c>
      <c r="Q30" s="2">
        <v>0.05</v>
      </c>
      <c r="R30" s="2">
        <f t="shared" si="12"/>
        <v>105000</v>
      </c>
      <c r="S30" s="2">
        <f t="shared" si="13"/>
        <v>5.1940208761751296E-3</v>
      </c>
      <c r="T30" s="2">
        <v>0.12</v>
      </c>
      <c r="U30" s="2">
        <f t="shared" si="14"/>
        <v>112000.00000000001</v>
      </c>
      <c r="V30" s="2">
        <f t="shared" si="1"/>
        <v>6.7527128712871294</v>
      </c>
      <c r="W30" s="2">
        <f t="shared" si="15"/>
        <v>5</v>
      </c>
      <c r="X30" s="2">
        <f t="shared" si="2"/>
        <v>2.6730304607914051E-7</v>
      </c>
      <c r="Y30" s="2">
        <f t="shared" si="16"/>
        <v>100318.30108433073</v>
      </c>
      <c r="Z30" s="2">
        <f t="shared" si="17"/>
        <v>1.3840655678636483E-14</v>
      </c>
      <c r="AA30" s="2">
        <f t="shared" si="18"/>
        <v>8334842849.6748905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</row>
    <row r="31" spans="1:75" s="4" customFormat="1" x14ac:dyDescent="0.25">
      <c r="A31" s="1">
        <v>87</v>
      </c>
      <c r="B31" s="1">
        <f t="shared" si="3"/>
        <v>1.45</v>
      </c>
      <c r="C31" s="1">
        <v>20</v>
      </c>
      <c r="D31" s="1">
        <f t="shared" si="0"/>
        <v>29.146000000000001</v>
      </c>
      <c r="E31" s="1">
        <f t="shared" si="4"/>
        <v>4.8576666666666667E-7</v>
      </c>
      <c r="F31" s="1">
        <v>21.1</v>
      </c>
      <c r="G31" s="1">
        <f t="shared" si="5"/>
        <v>294.10000000000002</v>
      </c>
      <c r="H31" s="1">
        <v>101.3</v>
      </c>
      <c r="I31" s="1">
        <f t="shared" si="6"/>
        <v>101300</v>
      </c>
      <c r="J31" s="1">
        <f t="shared" si="7"/>
        <v>2.0124824921938581E-5</v>
      </c>
      <c r="K31" s="22">
        <v>68.658415841584159</v>
      </c>
      <c r="L31" s="1">
        <f t="shared" si="8"/>
        <v>6.8658415841584155E-5</v>
      </c>
      <c r="M31" s="1">
        <f t="shared" si="9"/>
        <v>4.7762865441819992E-3</v>
      </c>
      <c r="N31" s="29">
        <f t="shared" si="10"/>
        <v>2.8929139519751659E-7</v>
      </c>
      <c r="O31" s="29">
        <f t="shared" si="11"/>
        <v>2.032E-3</v>
      </c>
      <c r="P31" s="29">
        <v>7.43403717661394E-11</v>
      </c>
      <c r="Q31" s="2">
        <v>0.05</v>
      </c>
      <c r="R31" s="2">
        <f t="shared" si="12"/>
        <v>105000</v>
      </c>
      <c r="S31" s="2">
        <f t="shared" si="13"/>
        <v>5.1940208761751296E-3</v>
      </c>
      <c r="T31" s="2">
        <v>0.12</v>
      </c>
      <c r="U31" s="2">
        <f t="shared" si="14"/>
        <v>112000.00000000001</v>
      </c>
      <c r="V31" s="2">
        <f t="shared" si="1"/>
        <v>7.6897425742574264</v>
      </c>
      <c r="W31" s="2">
        <f t="shared" si="15"/>
        <v>5</v>
      </c>
      <c r="X31" s="2">
        <f t="shared" si="2"/>
        <v>3.0893637008143653E-7</v>
      </c>
      <c r="Y31" s="2">
        <f t="shared" si="16"/>
        <v>99598.720821584109</v>
      </c>
      <c r="Z31" s="2">
        <f t="shared" si="17"/>
        <v>1.6112113091185204E-14</v>
      </c>
      <c r="AA31" s="2">
        <f t="shared" si="18"/>
        <v>9702714503.5117302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</row>
    <row r="32" spans="1:75" s="4" customFormat="1" x14ac:dyDescent="0.25">
      <c r="A32" s="1">
        <v>90</v>
      </c>
      <c r="B32" s="1">
        <f t="shared" si="3"/>
        <v>1.5</v>
      </c>
      <c r="C32" s="1">
        <v>20</v>
      </c>
      <c r="D32" s="1">
        <f t="shared" si="0"/>
        <v>29.146000000000001</v>
      </c>
      <c r="E32" s="1">
        <f t="shared" si="4"/>
        <v>4.8576666666666667E-7</v>
      </c>
      <c r="F32" s="1">
        <v>21.1</v>
      </c>
      <c r="G32" s="1">
        <f t="shared" si="5"/>
        <v>294.10000000000002</v>
      </c>
      <c r="H32" s="1">
        <v>101.3</v>
      </c>
      <c r="I32" s="1">
        <f t="shared" si="6"/>
        <v>101300</v>
      </c>
      <c r="J32" s="1">
        <f t="shared" si="7"/>
        <v>2.0124824921938581E-5</v>
      </c>
      <c r="K32" s="22">
        <v>63.361386138613867</v>
      </c>
      <c r="L32" s="1">
        <f t="shared" si="8"/>
        <v>6.336138613861386E-5</v>
      </c>
      <c r="M32" s="1">
        <f t="shared" si="9"/>
        <v>4.7762865441819992E-3</v>
      </c>
      <c r="N32" s="29">
        <f t="shared" si="10"/>
        <v>2.6697242534667351E-7</v>
      </c>
      <c r="O32" s="29">
        <f t="shared" si="11"/>
        <v>2.032E-3</v>
      </c>
      <c r="P32" s="29">
        <v>7.43403717661394E-11</v>
      </c>
      <c r="Q32" s="2">
        <v>0.05</v>
      </c>
      <c r="R32" s="2">
        <f t="shared" si="12"/>
        <v>105000</v>
      </c>
      <c r="S32" s="2">
        <f t="shared" si="13"/>
        <v>5.1940208761751296E-3</v>
      </c>
      <c r="T32" s="2">
        <v>0.12</v>
      </c>
      <c r="U32" s="2">
        <f t="shared" si="14"/>
        <v>112000.00000000001</v>
      </c>
      <c r="V32" s="2">
        <f t="shared" si="1"/>
        <v>7.0964752475247534</v>
      </c>
      <c r="W32" s="2">
        <f t="shared" si="15"/>
        <v>5</v>
      </c>
      <c r="X32" s="2">
        <f t="shared" si="2"/>
        <v>2.8262535590411875E-7</v>
      </c>
      <c r="Y32" s="2">
        <f t="shared" si="16"/>
        <v>100053.17279850772</v>
      </c>
      <c r="Z32" s="2">
        <f t="shared" si="17"/>
        <v>1.467285927295407E-14</v>
      </c>
      <c r="AA32" s="2">
        <f t="shared" si="18"/>
        <v>8835995854.1729412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</row>
    <row r="33" spans="1:75" s="4" customFormat="1" x14ac:dyDescent="0.25">
      <c r="A33" s="1">
        <v>93</v>
      </c>
      <c r="B33" s="1">
        <f t="shared" si="3"/>
        <v>1.55</v>
      </c>
      <c r="C33" s="1">
        <v>20</v>
      </c>
      <c r="D33" s="1">
        <f t="shared" si="0"/>
        <v>29.146000000000001</v>
      </c>
      <c r="E33" s="1">
        <f t="shared" si="4"/>
        <v>4.8576666666666667E-7</v>
      </c>
      <c r="F33" s="1">
        <v>21.1</v>
      </c>
      <c r="G33" s="1">
        <f t="shared" si="5"/>
        <v>294.10000000000002</v>
      </c>
      <c r="H33" s="1">
        <v>101.3</v>
      </c>
      <c r="I33" s="1">
        <f t="shared" si="6"/>
        <v>101300</v>
      </c>
      <c r="J33" s="1">
        <f t="shared" si="7"/>
        <v>2.0124824921938581E-5</v>
      </c>
      <c r="K33" s="22">
        <v>58.782178217821787</v>
      </c>
      <c r="L33" s="1">
        <f t="shared" si="8"/>
        <v>5.8782178217821787E-5</v>
      </c>
      <c r="M33" s="1">
        <f t="shared" si="9"/>
        <v>4.7762865441819992E-3</v>
      </c>
      <c r="N33" s="29">
        <f t="shared" si="10"/>
        <v>2.4767798879337464E-7</v>
      </c>
      <c r="O33" s="29">
        <f t="shared" si="11"/>
        <v>2.032E-3</v>
      </c>
      <c r="P33" s="29">
        <v>7.43403717661394E-11</v>
      </c>
      <c r="Q33" s="2">
        <v>0.05</v>
      </c>
      <c r="R33" s="2">
        <f t="shared" si="12"/>
        <v>105000</v>
      </c>
      <c r="S33" s="2">
        <f t="shared" si="13"/>
        <v>5.1940208761751296E-3</v>
      </c>
      <c r="T33" s="2">
        <v>0.12</v>
      </c>
      <c r="U33" s="2">
        <f t="shared" si="14"/>
        <v>112000.00000000001</v>
      </c>
      <c r="V33" s="2">
        <f t="shared" si="1"/>
        <v>6.583603960396041</v>
      </c>
      <c r="W33" s="2">
        <f t="shared" si="15"/>
        <v>5</v>
      </c>
      <c r="X33" s="2">
        <f t="shared" si="2"/>
        <v>2.5974313402679584E-7</v>
      </c>
      <c r="Y33" s="2">
        <f t="shared" si="16"/>
        <v>100449.24262475876</v>
      </c>
      <c r="Z33" s="2">
        <f t="shared" si="17"/>
        <v>1.343165616811255E-14</v>
      </c>
      <c r="AA33" s="2">
        <f t="shared" si="18"/>
        <v>8088543344.4373779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 spans="1:75" s="4" customFormat="1" x14ac:dyDescent="0.25">
      <c r="A34" s="1">
        <v>96</v>
      </c>
      <c r="B34" s="1">
        <f t="shared" si="3"/>
        <v>1.6</v>
      </c>
      <c r="C34" s="1">
        <v>20</v>
      </c>
      <c r="D34" s="1">
        <f t="shared" si="0"/>
        <v>29.146000000000001</v>
      </c>
      <c r="E34" s="1">
        <f t="shared" si="4"/>
        <v>4.8576666666666667E-7</v>
      </c>
      <c r="F34" s="1">
        <v>21.1</v>
      </c>
      <c r="G34" s="1">
        <f t="shared" si="5"/>
        <v>294.10000000000002</v>
      </c>
      <c r="H34" s="1">
        <v>101.3</v>
      </c>
      <c r="I34" s="1">
        <f t="shared" si="6"/>
        <v>101300</v>
      </c>
      <c r="J34" s="1">
        <f t="shared" si="7"/>
        <v>2.0124824921938581E-5</v>
      </c>
      <c r="K34" s="22">
        <v>67.816831683168317</v>
      </c>
      <c r="L34" s="1">
        <f t="shared" si="8"/>
        <v>6.7816831683168314E-5</v>
      </c>
      <c r="M34" s="1">
        <f t="shared" si="9"/>
        <v>4.7762865441819992E-3</v>
      </c>
      <c r="N34" s="29">
        <f t="shared" si="10"/>
        <v>2.8574539064177514E-7</v>
      </c>
      <c r="O34" s="29">
        <f t="shared" si="11"/>
        <v>2.032E-3</v>
      </c>
      <c r="P34" s="29">
        <v>7.43403717661394E-11</v>
      </c>
      <c r="Q34" s="2">
        <v>0.05</v>
      </c>
      <c r="R34" s="2">
        <f t="shared" si="12"/>
        <v>105000</v>
      </c>
      <c r="S34" s="2">
        <f t="shared" si="13"/>
        <v>5.1940208761751296E-3</v>
      </c>
      <c r="T34" s="2">
        <v>0.12</v>
      </c>
      <c r="U34" s="2">
        <f t="shared" si="14"/>
        <v>112000.00000000001</v>
      </c>
      <c r="V34" s="2">
        <f t="shared" ref="V34:V65" si="19">(L34*U34)</f>
        <v>7.595485148514852</v>
      </c>
      <c r="W34" s="2">
        <f t="shared" si="15"/>
        <v>5</v>
      </c>
      <c r="X34" s="2">
        <f t="shared" ref="X34:X65" si="20">(N34+((P34/O34)*(SQRT(V34)-SQRT(W34))))</f>
        <v>3.0476667706421713E-7</v>
      </c>
      <c r="Y34" s="2">
        <f t="shared" si="16"/>
        <v>99670.672072189031</v>
      </c>
      <c r="Z34" s="2">
        <f t="shared" si="17"/>
        <v>1.588315891143085E-14</v>
      </c>
      <c r="AA34" s="2">
        <f t="shared" si="18"/>
        <v>9564838296.4636593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 spans="1:75" s="4" customFormat="1" x14ac:dyDescent="0.25">
      <c r="A35" s="1">
        <v>99</v>
      </c>
      <c r="B35" s="1">
        <f t="shared" si="3"/>
        <v>1.65</v>
      </c>
      <c r="C35" s="1">
        <v>20</v>
      </c>
      <c r="D35" s="1">
        <f t="shared" si="0"/>
        <v>29.146000000000001</v>
      </c>
      <c r="E35" s="1">
        <f t="shared" si="4"/>
        <v>4.8576666666666667E-7</v>
      </c>
      <c r="F35" s="1">
        <v>21.1</v>
      </c>
      <c r="G35" s="1">
        <f t="shared" si="5"/>
        <v>294.10000000000002</v>
      </c>
      <c r="H35" s="1">
        <v>101.3</v>
      </c>
      <c r="I35" s="1">
        <f t="shared" si="6"/>
        <v>101300</v>
      </c>
      <c r="J35" s="1">
        <f t="shared" si="7"/>
        <v>2.0124824921938581E-5</v>
      </c>
      <c r="K35" s="22">
        <v>58.782178217821787</v>
      </c>
      <c r="L35" s="1">
        <f t="shared" si="8"/>
        <v>5.8782178217821787E-5</v>
      </c>
      <c r="M35" s="1">
        <f t="shared" si="9"/>
        <v>4.7762865441819992E-3</v>
      </c>
      <c r="N35" s="29">
        <f t="shared" si="10"/>
        <v>2.4767798879337464E-7</v>
      </c>
      <c r="O35" s="29">
        <f t="shared" si="11"/>
        <v>2.032E-3</v>
      </c>
      <c r="P35" s="29">
        <v>7.43403717661394E-11</v>
      </c>
      <c r="Q35" s="2">
        <v>0.05</v>
      </c>
      <c r="R35" s="2">
        <f t="shared" si="12"/>
        <v>105000</v>
      </c>
      <c r="S35" s="2">
        <f t="shared" si="13"/>
        <v>5.1940208761751296E-3</v>
      </c>
      <c r="T35" s="2">
        <v>0.12</v>
      </c>
      <c r="U35" s="2">
        <f t="shared" si="14"/>
        <v>112000.00000000001</v>
      </c>
      <c r="V35" s="2">
        <f t="shared" si="19"/>
        <v>6.583603960396041</v>
      </c>
      <c r="W35" s="2">
        <f t="shared" si="15"/>
        <v>5</v>
      </c>
      <c r="X35" s="2">
        <f t="shared" si="20"/>
        <v>2.5974313402679584E-7</v>
      </c>
      <c r="Y35" s="2">
        <f t="shared" si="16"/>
        <v>100449.24262475876</v>
      </c>
      <c r="Z35" s="2">
        <f t="shared" si="17"/>
        <v>1.343165616811255E-14</v>
      </c>
      <c r="AA35" s="2">
        <f t="shared" si="18"/>
        <v>8088543344.4373779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 spans="1:75" s="4" customFormat="1" x14ac:dyDescent="0.25">
      <c r="A36" s="1">
        <v>102</v>
      </c>
      <c r="B36" s="1">
        <f t="shared" si="3"/>
        <v>1.7</v>
      </c>
      <c r="C36" s="1">
        <v>20</v>
      </c>
      <c r="D36" s="1">
        <f t="shared" si="0"/>
        <v>29.146000000000001</v>
      </c>
      <c r="E36" s="1">
        <f t="shared" si="4"/>
        <v>4.8576666666666667E-7</v>
      </c>
      <c r="F36" s="1">
        <v>21.1</v>
      </c>
      <c r="G36" s="1">
        <f t="shared" si="5"/>
        <v>294.10000000000002</v>
      </c>
      <c r="H36" s="1">
        <v>101.3</v>
      </c>
      <c r="I36" s="1">
        <f t="shared" si="6"/>
        <v>101300</v>
      </c>
      <c r="J36" s="1">
        <f t="shared" si="7"/>
        <v>2.0124824921938581E-5</v>
      </c>
      <c r="K36" s="22">
        <v>67.594059405940598</v>
      </c>
      <c r="L36" s="1">
        <f t="shared" si="8"/>
        <v>6.7594059405940593E-5</v>
      </c>
      <c r="M36" s="1">
        <f t="shared" si="9"/>
        <v>4.7762865441819992E-3</v>
      </c>
      <c r="N36" s="29">
        <f t="shared" si="10"/>
        <v>2.8480674237702009E-7</v>
      </c>
      <c r="O36" s="29">
        <f t="shared" si="11"/>
        <v>2.032E-3</v>
      </c>
      <c r="P36" s="29">
        <v>7.43403717661394E-11</v>
      </c>
      <c r="Q36" s="2">
        <v>0.05</v>
      </c>
      <c r="R36" s="2">
        <f t="shared" si="12"/>
        <v>105000</v>
      </c>
      <c r="S36" s="2">
        <f t="shared" si="13"/>
        <v>5.1940208761751296E-3</v>
      </c>
      <c r="T36" s="2">
        <v>0.12</v>
      </c>
      <c r="U36" s="2">
        <f t="shared" si="14"/>
        <v>112000.00000000001</v>
      </c>
      <c r="V36" s="2">
        <f t="shared" si="19"/>
        <v>7.570534653465347</v>
      </c>
      <c r="W36" s="2">
        <f t="shared" si="15"/>
        <v>5</v>
      </c>
      <c r="X36" s="2">
        <f t="shared" si="20"/>
        <v>3.0366228796092637E-7</v>
      </c>
      <c r="Y36" s="2">
        <f t="shared" si="16"/>
        <v>99689.733504864125</v>
      </c>
      <c r="Z36" s="2">
        <f t="shared" si="17"/>
        <v>1.5822572624627931E-14</v>
      </c>
      <c r="AA36" s="2">
        <f t="shared" si="18"/>
        <v>9528353234.5509415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 spans="1:75" s="4" customFormat="1" x14ac:dyDescent="0.25">
      <c r="A37" s="1">
        <v>105</v>
      </c>
      <c r="B37" s="1">
        <f t="shared" si="3"/>
        <v>1.75</v>
      </c>
      <c r="C37" s="1">
        <v>20</v>
      </c>
      <c r="D37" s="1">
        <f t="shared" si="0"/>
        <v>29.146000000000001</v>
      </c>
      <c r="E37" s="1">
        <f t="shared" si="4"/>
        <v>4.8576666666666667E-7</v>
      </c>
      <c r="F37" s="1">
        <v>21.1</v>
      </c>
      <c r="G37" s="1">
        <f t="shared" si="5"/>
        <v>294.10000000000002</v>
      </c>
      <c r="H37" s="1">
        <v>101.3</v>
      </c>
      <c r="I37" s="1">
        <f t="shared" si="6"/>
        <v>101300</v>
      </c>
      <c r="J37" s="1">
        <f t="shared" si="7"/>
        <v>2.0124824921938581E-5</v>
      </c>
      <c r="K37" s="22">
        <v>66.554455445544562</v>
      </c>
      <c r="L37" s="1">
        <f t="shared" si="8"/>
        <v>6.655445544554456E-5</v>
      </c>
      <c r="M37" s="1">
        <f t="shared" si="9"/>
        <v>4.7762865441819992E-3</v>
      </c>
      <c r="N37" s="29">
        <f t="shared" si="10"/>
        <v>2.8042638380816307E-7</v>
      </c>
      <c r="O37" s="29">
        <f t="shared" si="11"/>
        <v>2.032E-3</v>
      </c>
      <c r="P37" s="29">
        <v>7.43403717661394E-11</v>
      </c>
      <c r="Q37" s="2">
        <v>0.05</v>
      </c>
      <c r="R37" s="2">
        <f t="shared" si="12"/>
        <v>105000</v>
      </c>
      <c r="S37" s="2">
        <f t="shared" si="13"/>
        <v>5.1940208761751296E-3</v>
      </c>
      <c r="T37" s="2">
        <v>0.12</v>
      </c>
      <c r="U37" s="2">
        <f t="shared" si="14"/>
        <v>112000.00000000001</v>
      </c>
      <c r="V37" s="2">
        <f t="shared" si="19"/>
        <v>7.4540990099009914</v>
      </c>
      <c r="W37" s="2">
        <f t="shared" si="15"/>
        <v>5</v>
      </c>
      <c r="X37" s="2">
        <f t="shared" si="20"/>
        <v>2.9850483586816874E-7</v>
      </c>
      <c r="Y37" s="2">
        <f t="shared" si="16"/>
        <v>99778.773747202678</v>
      </c>
      <c r="Z37" s="2">
        <f t="shared" si="17"/>
        <v>1.5539940281491339E-14</v>
      </c>
      <c r="AA37" s="2">
        <f t="shared" si="18"/>
        <v>9358152037.5140839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</row>
    <row r="38" spans="1:75" s="4" customFormat="1" x14ac:dyDescent="0.25">
      <c r="A38" s="1">
        <v>108</v>
      </c>
      <c r="B38" s="1">
        <f t="shared" si="3"/>
        <v>1.8</v>
      </c>
      <c r="C38" s="1">
        <v>20</v>
      </c>
      <c r="D38" s="1">
        <f t="shared" si="0"/>
        <v>29.146000000000001</v>
      </c>
      <c r="E38" s="1">
        <f t="shared" si="4"/>
        <v>4.8576666666666667E-7</v>
      </c>
      <c r="F38" s="1">
        <v>21.1</v>
      </c>
      <c r="G38" s="1">
        <f t="shared" si="5"/>
        <v>294.10000000000002</v>
      </c>
      <c r="H38" s="1">
        <v>101.3</v>
      </c>
      <c r="I38" s="1">
        <f t="shared" si="6"/>
        <v>101300</v>
      </c>
      <c r="J38" s="1">
        <f t="shared" si="7"/>
        <v>2.0124824921938581E-5</v>
      </c>
      <c r="K38" s="22">
        <v>69.178217821782184</v>
      </c>
      <c r="L38" s="1">
        <f t="shared" si="8"/>
        <v>6.9178217821782185E-5</v>
      </c>
      <c r="M38" s="1">
        <f t="shared" si="9"/>
        <v>4.7762865441819992E-3</v>
      </c>
      <c r="N38" s="29">
        <f t="shared" si="10"/>
        <v>2.9148157448194518E-7</v>
      </c>
      <c r="O38" s="29">
        <f t="shared" si="11"/>
        <v>2.032E-3</v>
      </c>
      <c r="P38" s="29">
        <v>7.43403717661394E-11</v>
      </c>
      <c r="Q38" s="2">
        <v>0.05</v>
      </c>
      <c r="R38" s="2">
        <f t="shared" si="12"/>
        <v>105000</v>
      </c>
      <c r="S38" s="2">
        <f t="shared" si="13"/>
        <v>5.1940208761751296E-3</v>
      </c>
      <c r="T38" s="2">
        <v>0.12</v>
      </c>
      <c r="U38" s="2">
        <f t="shared" si="14"/>
        <v>112000.00000000001</v>
      </c>
      <c r="V38" s="2">
        <f t="shared" si="19"/>
        <v>7.7479603960396055</v>
      </c>
      <c r="W38" s="2">
        <f t="shared" si="15"/>
        <v>5</v>
      </c>
      <c r="X38" s="2">
        <f t="shared" si="20"/>
        <v>3.1150986047943752E-7</v>
      </c>
      <c r="Y38" s="2">
        <f t="shared" si="16"/>
        <v>99554.326236632915</v>
      </c>
      <c r="Z38" s="2">
        <f t="shared" si="17"/>
        <v>1.6253584467511892E-14</v>
      </c>
      <c r="AA38" s="2">
        <f t="shared" si="18"/>
        <v>9787908566.3356609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</row>
    <row r="39" spans="1:75" s="4" customFormat="1" x14ac:dyDescent="0.25">
      <c r="A39" s="1">
        <v>111</v>
      </c>
      <c r="B39" s="1">
        <f t="shared" si="3"/>
        <v>1.85</v>
      </c>
      <c r="C39" s="1">
        <v>20</v>
      </c>
      <c r="D39" s="1">
        <f t="shared" si="0"/>
        <v>29.146000000000001</v>
      </c>
      <c r="E39" s="1">
        <f t="shared" si="4"/>
        <v>4.8576666666666667E-7</v>
      </c>
      <c r="F39" s="1">
        <v>21.1</v>
      </c>
      <c r="G39" s="1">
        <f t="shared" si="5"/>
        <v>294.10000000000002</v>
      </c>
      <c r="H39" s="1">
        <v>101.3</v>
      </c>
      <c r="I39" s="1">
        <f t="shared" si="6"/>
        <v>101300</v>
      </c>
      <c r="J39" s="1">
        <f t="shared" si="7"/>
        <v>2.0124824921938581E-5</v>
      </c>
      <c r="K39" s="22">
        <v>76.009900990099013</v>
      </c>
      <c r="L39" s="1">
        <f t="shared" si="8"/>
        <v>7.6009900990099013E-5</v>
      </c>
      <c r="M39" s="1">
        <f t="shared" si="9"/>
        <v>4.7762865441819992E-3</v>
      </c>
      <c r="N39" s="29">
        <f t="shared" si="10"/>
        <v>3.2026678793443435E-7</v>
      </c>
      <c r="O39" s="29">
        <f t="shared" si="11"/>
        <v>2.032E-3</v>
      </c>
      <c r="P39" s="29">
        <v>7.43403717661394E-11</v>
      </c>
      <c r="Q39" s="2">
        <v>0.05</v>
      </c>
      <c r="R39" s="2">
        <f t="shared" si="12"/>
        <v>105000</v>
      </c>
      <c r="S39" s="2">
        <f t="shared" si="13"/>
        <v>5.1940208761751296E-3</v>
      </c>
      <c r="T39" s="2">
        <v>0.12</v>
      </c>
      <c r="U39" s="2">
        <f t="shared" si="14"/>
        <v>112000.00000000001</v>
      </c>
      <c r="V39" s="2">
        <f t="shared" si="19"/>
        <v>8.5131089108910913</v>
      </c>
      <c r="W39" s="2">
        <f t="shared" si="15"/>
        <v>5</v>
      </c>
      <c r="X39" s="2">
        <f t="shared" si="20"/>
        <v>3.452050289298342E-7</v>
      </c>
      <c r="Y39" s="2">
        <f t="shared" si="16"/>
        <v>98973.973078778465</v>
      </c>
      <c r="Z39" s="2">
        <f t="shared" si="17"/>
        <v>1.811745357792629E-14</v>
      </c>
      <c r="AA39" s="2">
        <f t="shared" si="18"/>
        <v>10910330544.627213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</row>
    <row r="40" spans="1:75" s="4" customFormat="1" x14ac:dyDescent="0.25">
      <c r="A40" s="1">
        <v>114</v>
      </c>
      <c r="B40" s="1">
        <f t="shared" si="3"/>
        <v>1.9</v>
      </c>
      <c r="C40" s="1">
        <v>20</v>
      </c>
      <c r="D40" s="1">
        <f t="shared" si="0"/>
        <v>29.146000000000001</v>
      </c>
      <c r="E40" s="1">
        <f t="shared" si="4"/>
        <v>4.8576666666666667E-7</v>
      </c>
      <c r="F40" s="1">
        <v>21.1</v>
      </c>
      <c r="G40" s="1">
        <f t="shared" si="5"/>
        <v>294.10000000000002</v>
      </c>
      <c r="H40" s="1">
        <v>101.3</v>
      </c>
      <c r="I40" s="1">
        <f t="shared" si="6"/>
        <v>101300</v>
      </c>
      <c r="J40" s="1">
        <f t="shared" si="7"/>
        <v>2.0124824921938581E-5</v>
      </c>
      <c r="K40" s="22">
        <v>64.623762376237622</v>
      </c>
      <c r="L40" s="1">
        <f t="shared" si="8"/>
        <v>6.4623762376237628E-5</v>
      </c>
      <c r="M40" s="1">
        <f t="shared" si="9"/>
        <v>4.7762865441819992E-3</v>
      </c>
      <c r="N40" s="29">
        <f t="shared" si="10"/>
        <v>2.7229143218028569E-7</v>
      </c>
      <c r="O40" s="29">
        <f t="shared" si="11"/>
        <v>2.032E-3</v>
      </c>
      <c r="P40" s="29">
        <v>7.43403717661394E-11</v>
      </c>
      <c r="Q40" s="2">
        <v>0.05</v>
      </c>
      <c r="R40" s="2">
        <f t="shared" si="12"/>
        <v>105000</v>
      </c>
      <c r="S40" s="2">
        <f t="shared" si="13"/>
        <v>5.1940208761751296E-3</v>
      </c>
      <c r="T40" s="2">
        <v>0.12</v>
      </c>
      <c r="U40" s="2">
        <f t="shared" si="14"/>
        <v>112000.00000000001</v>
      </c>
      <c r="V40" s="2">
        <f t="shared" si="19"/>
        <v>7.237861386138615</v>
      </c>
      <c r="W40" s="2">
        <f t="shared" si="15"/>
        <v>5</v>
      </c>
      <c r="X40" s="2">
        <f t="shared" si="20"/>
        <v>2.889104343991135E-7</v>
      </c>
      <c r="Y40" s="2">
        <f t="shared" si="16"/>
        <v>99944.520940689981</v>
      </c>
      <c r="Z40" s="2">
        <f t="shared" si="17"/>
        <v>1.5015485526287875E-14</v>
      </c>
      <c r="AA40" s="2">
        <f t="shared" si="18"/>
        <v>9042325383.9305592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</row>
    <row r="41" spans="1:75" s="4" customFormat="1" x14ac:dyDescent="0.25">
      <c r="A41" s="1">
        <v>117</v>
      </c>
      <c r="B41" s="1">
        <f t="shared" si="3"/>
        <v>1.95</v>
      </c>
      <c r="C41" s="1">
        <v>20</v>
      </c>
      <c r="D41" s="1">
        <f t="shared" si="0"/>
        <v>29.146000000000001</v>
      </c>
      <c r="E41" s="1">
        <f t="shared" si="4"/>
        <v>4.8576666666666667E-7</v>
      </c>
      <c r="F41" s="1">
        <v>21.1</v>
      </c>
      <c r="G41" s="1">
        <f t="shared" si="5"/>
        <v>294.10000000000002</v>
      </c>
      <c r="H41" s="1">
        <v>101.3</v>
      </c>
      <c r="I41" s="1">
        <f t="shared" si="6"/>
        <v>101300</v>
      </c>
      <c r="J41" s="1">
        <f t="shared" si="7"/>
        <v>2.0124824921938581E-5</v>
      </c>
      <c r="K41" s="22">
        <v>62.569306930693074</v>
      </c>
      <c r="L41" s="1">
        <f t="shared" si="8"/>
        <v>6.2569306930693077E-5</v>
      </c>
      <c r="M41" s="1">
        <f t="shared" si="9"/>
        <v>4.7762865441819992E-3</v>
      </c>
      <c r="N41" s="29">
        <f t="shared" si="10"/>
        <v>2.6363500929421102E-7</v>
      </c>
      <c r="O41" s="29">
        <f t="shared" si="11"/>
        <v>2.032E-3</v>
      </c>
      <c r="P41" s="29">
        <v>7.43403717661394E-11</v>
      </c>
      <c r="Q41" s="2">
        <v>0.05</v>
      </c>
      <c r="R41" s="2">
        <f t="shared" si="12"/>
        <v>105000</v>
      </c>
      <c r="S41" s="2">
        <f t="shared" si="13"/>
        <v>5.1940208761751296E-3</v>
      </c>
      <c r="T41" s="2">
        <v>0.12</v>
      </c>
      <c r="U41" s="2">
        <f t="shared" si="14"/>
        <v>112000.00000000001</v>
      </c>
      <c r="V41" s="2">
        <f t="shared" si="19"/>
        <v>7.0077623762376255</v>
      </c>
      <c r="W41" s="2">
        <f t="shared" si="15"/>
        <v>5</v>
      </c>
      <c r="X41" s="2">
        <f t="shared" si="20"/>
        <v>2.7867685713222553E-7</v>
      </c>
      <c r="Y41" s="2">
        <f t="shared" si="16"/>
        <v>100121.46175807057</v>
      </c>
      <c r="Z41" s="2">
        <f t="shared" si="17"/>
        <v>1.4457986393392355E-14</v>
      </c>
      <c r="AA41" s="2">
        <f t="shared" si="18"/>
        <v>8706599406.1008759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</row>
    <row r="42" spans="1:75" s="4" customFormat="1" x14ac:dyDescent="0.25">
      <c r="A42" s="1">
        <v>120</v>
      </c>
      <c r="B42" s="1">
        <f t="shared" si="3"/>
        <v>2</v>
      </c>
      <c r="C42" s="1">
        <v>20</v>
      </c>
      <c r="D42" s="1">
        <f t="shared" si="0"/>
        <v>29.146000000000001</v>
      </c>
      <c r="E42" s="1">
        <f t="shared" si="4"/>
        <v>4.8576666666666667E-7</v>
      </c>
      <c r="F42" s="1">
        <v>21.1</v>
      </c>
      <c r="G42" s="1">
        <f t="shared" si="5"/>
        <v>294.10000000000002</v>
      </c>
      <c r="H42" s="1">
        <v>101.3</v>
      </c>
      <c r="I42" s="1">
        <f t="shared" si="6"/>
        <v>101300</v>
      </c>
      <c r="J42" s="1">
        <f t="shared" si="7"/>
        <v>2.0124824921938581E-5</v>
      </c>
      <c r="K42" s="22">
        <v>61.876237623762378</v>
      </c>
      <c r="L42" s="1">
        <f t="shared" si="8"/>
        <v>6.1876237623762384E-5</v>
      </c>
      <c r="M42" s="1">
        <f t="shared" si="9"/>
        <v>4.7762865441819992E-3</v>
      </c>
      <c r="N42" s="29">
        <f t="shared" si="10"/>
        <v>2.6071477024830633E-7</v>
      </c>
      <c r="O42" s="29">
        <f t="shared" si="11"/>
        <v>2.032E-3</v>
      </c>
      <c r="P42" s="29">
        <v>7.43403717661394E-11</v>
      </c>
      <c r="Q42" s="2">
        <v>0.05</v>
      </c>
      <c r="R42" s="2">
        <f t="shared" si="12"/>
        <v>105000</v>
      </c>
      <c r="S42" s="2">
        <f t="shared" si="13"/>
        <v>5.1940208761751296E-3</v>
      </c>
      <c r="T42" s="2">
        <v>0.12</v>
      </c>
      <c r="U42" s="2">
        <f t="shared" si="14"/>
        <v>112000.00000000001</v>
      </c>
      <c r="V42" s="2">
        <f t="shared" si="19"/>
        <v>6.9301386138613879</v>
      </c>
      <c r="W42" s="2">
        <f t="shared" si="15"/>
        <v>5</v>
      </c>
      <c r="X42" s="2">
        <f t="shared" si="20"/>
        <v>2.7521874017182638E-7</v>
      </c>
      <c r="Y42" s="2">
        <f t="shared" si="16"/>
        <v>100181.2887410543</v>
      </c>
      <c r="Z42" s="2">
        <f t="shared" si="17"/>
        <v>1.4270037781227778E-14</v>
      </c>
      <c r="AA42" s="2">
        <f t="shared" si="18"/>
        <v>8593416751.8553677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</row>
    <row r="43" spans="1:75" s="4" customFormat="1" x14ac:dyDescent="0.25">
      <c r="A43" s="1">
        <v>123</v>
      </c>
      <c r="B43" s="1">
        <f t="shared" si="3"/>
        <v>2.0499999999999998</v>
      </c>
      <c r="C43" s="1">
        <v>20</v>
      </c>
      <c r="D43" s="1">
        <f t="shared" si="0"/>
        <v>29.146000000000001</v>
      </c>
      <c r="E43" s="1">
        <f t="shared" si="4"/>
        <v>4.8576666666666667E-7</v>
      </c>
      <c r="F43" s="1">
        <v>21.1</v>
      </c>
      <c r="G43" s="1">
        <f t="shared" si="5"/>
        <v>294.10000000000002</v>
      </c>
      <c r="H43" s="1">
        <v>101.3</v>
      </c>
      <c r="I43" s="1">
        <f t="shared" si="6"/>
        <v>101300</v>
      </c>
      <c r="J43" s="1">
        <f t="shared" si="7"/>
        <v>2.0124824921938581E-5</v>
      </c>
      <c r="K43" s="22">
        <v>69.871287128712879</v>
      </c>
      <c r="L43" s="1">
        <f t="shared" si="8"/>
        <v>6.9871287128712878E-5</v>
      </c>
      <c r="M43" s="1">
        <f t="shared" si="9"/>
        <v>4.7762865441819992E-3</v>
      </c>
      <c r="N43" s="29">
        <f t="shared" si="10"/>
        <v>2.9440181352784986E-7</v>
      </c>
      <c r="O43" s="29">
        <f t="shared" si="11"/>
        <v>2.032E-3</v>
      </c>
      <c r="P43" s="29">
        <v>7.43403717661394E-11</v>
      </c>
      <c r="Q43" s="2">
        <v>0.05</v>
      </c>
      <c r="R43" s="2">
        <f t="shared" si="12"/>
        <v>105000</v>
      </c>
      <c r="S43" s="2">
        <f t="shared" si="13"/>
        <v>5.1940208761751296E-3</v>
      </c>
      <c r="T43" s="2">
        <v>0.12</v>
      </c>
      <c r="U43" s="2">
        <f t="shared" si="14"/>
        <v>112000.00000000001</v>
      </c>
      <c r="V43" s="2">
        <f t="shared" si="19"/>
        <v>7.8255841584158432</v>
      </c>
      <c r="W43" s="2">
        <f t="shared" si="15"/>
        <v>5</v>
      </c>
      <c r="X43" s="2">
        <f t="shared" si="20"/>
        <v>3.1493894782767573E-7</v>
      </c>
      <c r="Y43" s="2">
        <f t="shared" si="16"/>
        <v>99495.187359233576</v>
      </c>
      <c r="Z43" s="2">
        <f t="shared" si="17"/>
        <v>1.6442284130881427E-14</v>
      </c>
      <c r="AA43" s="2">
        <f t="shared" si="18"/>
        <v>9901543503.6167965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</row>
    <row r="44" spans="1:75" s="4" customFormat="1" x14ac:dyDescent="0.25">
      <c r="A44" s="1">
        <v>126</v>
      </c>
      <c r="B44" s="1">
        <f t="shared" si="3"/>
        <v>2.1</v>
      </c>
      <c r="C44" s="1">
        <v>20</v>
      </c>
      <c r="D44" s="1">
        <f t="shared" si="0"/>
        <v>29.146000000000001</v>
      </c>
      <c r="E44" s="1">
        <f t="shared" si="4"/>
        <v>4.8576666666666667E-7</v>
      </c>
      <c r="F44" s="1">
        <v>21.1</v>
      </c>
      <c r="G44" s="1">
        <f t="shared" si="5"/>
        <v>294.10000000000002</v>
      </c>
      <c r="H44" s="1">
        <v>101.3</v>
      </c>
      <c r="I44" s="1">
        <f t="shared" si="6"/>
        <v>101300</v>
      </c>
      <c r="J44" s="1">
        <f t="shared" si="7"/>
        <v>2.0124824921938581E-5</v>
      </c>
      <c r="K44" s="22">
        <v>72.346534653465355</v>
      </c>
      <c r="L44" s="1">
        <f t="shared" si="8"/>
        <v>7.2346534653465355E-5</v>
      </c>
      <c r="M44" s="1">
        <f t="shared" si="9"/>
        <v>4.7762865441819992E-3</v>
      </c>
      <c r="N44" s="29">
        <f t="shared" si="10"/>
        <v>3.0483123869179526E-7</v>
      </c>
      <c r="O44" s="29">
        <f t="shared" si="11"/>
        <v>2.032E-3</v>
      </c>
      <c r="P44" s="29">
        <v>7.43403717661394E-11</v>
      </c>
      <c r="Q44" s="2">
        <v>0.05</v>
      </c>
      <c r="R44" s="2">
        <f t="shared" si="12"/>
        <v>105000</v>
      </c>
      <c r="S44" s="2">
        <f t="shared" si="13"/>
        <v>5.1940208761751296E-3</v>
      </c>
      <c r="T44" s="2">
        <v>0.12</v>
      </c>
      <c r="U44" s="2">
        <f t="shared" si="14"/>
        <v>112000.00000000001</v>
      </c>
      <c r="V44" s="2">
        <f t="shared" si="19"/>
        <v>8.1028118811881207</v>
      </c>
      <c r="W44" s="2">
        <f t="shared" si="15"/>
        <v>5</v>
      </c>
      <c r="X44" s="2">
        <f t="shared" si="20"/>
        <v>3.2716539381050259E-7</v>
      </c>
      <c r="Y44" s="2">
        <f t="shared" si="16"/>
        <v>99284.470097394369</v>
      </c>
      <c r="Z44" s="2">
        <f t="shared" si="17"/>
        <v>1.7116902359316862E-14</v>
      </c>
      <c r="AA44" s="2">
        <f t="shared" si="18"/>
        <v>10307798600.780615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</row>
    <row r="45" spans="1:75" s="4" customFormat="1" x14ac:dyDescent="0.25">
      <c r="A45" s="1">
        <v>129</v>
      </c>
      <c r="B45" s="1">
        <f t="shared" si="3"/>
        <v>2.15</v>
      </c>
      <c r="C45" s="1">
        <v>20</v>
      </c>
      <c r="D45" s="1">
        <f t="shared" si="0"/>
        <v>29.146000000000001</v>
      </c>
      <c r="E45" s="1">
        <f t="shared" si="4"/>
        <v>4.8576666666666667E-7</v>
      </c>
      <c r="F45" s="1">
        <v>21.1</v>
      </c>
      <c r="G45" s="1">
        <f t="shared" si="5"/>
        <v>294.10000000000002</v>
      </c>
      <c r="H45" s="1">
        <v>101.3</v>
      </c>
      <c r="I45" s="1">
        <f t="shared" si="6"/>
        <v>101300</v>
      </c>
      <c r="J45" s="1">
        <f t="shared" si="7"/>
        <v>2.0124824921938581E-5</v>
      </c>
      <c r="K45" s="22">
        <v>68.089108910891085</v>
      </c>
      <c r="L45" s="1">
        <f t="shared" si="8"/>
        <v>6.808910891089108E-5</v>
      </c>
      <c r="M45" s="1">
        <f t="shared" si="9"/>
        <v>4.7762865441819992E-3</v>
      </c>
      <c r="N45" s="29">
        <f t="shared" si="10"/>
        <v>2.8689262740980915E-7</v>
      </c>
      <c r="O45" s="29">
        <f t="shared" si="11"/>
        <v>2.032E-3</v>
      </c>
      <c r="P45" s="29">
        <v>7.43403717661394E-11</v>
      </c>
      <c r="Q45" s="2">
        <v>0.05</v>
      </c>
      <c r="R45" s="2">
        <f t="shared" si="12"/>
        <v>105000</v>
      </c>
      <c r="S45" s="2">
        <f t="shared" si="13"/>
        <v>5.1940208761751296E-3</v>
      </c>
      <c r="T45" s="2">
        <v>0.12</v>
      </c>
      <c r="U45" s="2">
        <f t="shared" si="14"/>
        <v>112000.00000000001</v>
      </c>
      <c r="V45" s="2">
        <f t="shared" si="19"/>
        <v>7.6259801980198016</v>
      </c>
      <c r="W45" s="2">
        <f t="shared" si="15"/>
        <v>5</v>
      </c>
      <c r="X45" s="2">
        <f t="shared" si="20"/>
        <v>3.0611611672115505E-7</v>
      </c>
      <c r="Y45" s="2">
        <f t="shared" si="16"/>
        <v>99647.383612659745</v>
      </c>
      <c r="Z45" s="2">
        <f t="shared" si="17"/>
        <v>1.5957219673779527E-14</v>
      </c>
      <c r="AA45" s="2">
        <f t="shared" si="18"/>
        <v>9609437687.5500317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</row>
    <row r="46" spans="1:75" s="4" customFormat="1" x14ac:dyDescent="0.25">
      <c r="A46" s="1">
        <v>132</v>
      </c>
      <c r="B46" s="1">
        <f t="shared" si="3"/>
        <v>2.2000000000000002</v>
      </c>
      <c r="C46" s="1">
        <v>20</v>
      </c>
      <c r="D46" s="1">
        <f t="shared" si="0"/>
        <v>29.146000000000001</v>
      </c>
      <c r="E46" s="1">
        <f t="shared" si="4"/>
        <v>4.8576666666666667E-7</v>
      </c>
      <c r="F46" s="1">
        <v>21.1</v>
      </c>
      <c r="G46" s="1">
        <f t="shared" si="5"/>
        <v>294.10000000000002</v>
      </c>
      <c r="H46" s="1">
        <v>101.3</v>
      </c>
      <c r="I46" s="1">
        <f t="shared" si="6"/>
        <v>101300</v>
      </c>
      <c r="J46" s="1">
        <f t="shared" si="7"/>
        <v>2.0124824921938581E-5</v>
      </c>
      <c r="K46" s="22">
        <v>62.742574257425751</v>
      </c>
      <c r="L46" s="1">
        <f t="shared" si="8"/>
        <v>6.2742574257425754E-5</v>
      </c>
      <c r="M46" s="1">
        <f t="shared" si="9"/>
        <v>4.7762865441819992E-3</v>
      </c>
      <c r="N46" s="29">
        <f t="shared" si="10"/>
        <v>2.6436506905568721E-7</v>
      </c>
      <c r="O46" s="29">
        <f t="shared" si="11"/>
        <v>2.032E-3</v>
      </c>
      <c r="P46" s="29">
        <v>7.43403717661394E-11</v>
      </c>
      <c r="Q46" s="2">
        <v>0.05</v>
      </c>
      <c r="R46" s="2">
        <f t="shared" si="12"/>
        <v>105000</v>
      </c>
      <c r="S46" s="2">
        <f t="shared" si="13"/>
        <v>5.1940208761751296E-3</v>
      </c>
      <c r="T46" s="2">
        <v>0.12</v>
      </c>
      <c r="U46" s="2">
        <f t="shared" si="14"/>
        <v>112000.00000000001</v>
      </c>
      <c r="V46" s="2">
        <f t="shared" si="19"/>
        <v>7.027168316831685</v>
      </c>
      <c r="W46" s="2">
        <f t="shared" si="15"/>
        <v>5</v>
      </c>
      <c r="X46" s="2">
        <f t="shared" si="20"/>
        <v>2.7954092025504483E-7</v>
      </c>
      <c r="Y46" s="2">
        <f t="shared" si="16"/>
        <v>100106.51586663413</v>
      </c>
      <c r="Z46" s="2">
        <f t="shared" si="17"/>
        <v>1.4504982936784146E-14</v>
      </c>
      <c r="AA46" s="2">
        <f t="shared" si="18"/>
        <v>8734900724.5314121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</row>
    <row r="47" spans="1:75" s="4" customFormat="1" x14ac:dyDescent="0.25">
      <c r="A47" s="1">
        <v>135</v>
      </c>
      <c r="B47" s="1">
        <f t="shared" si="3"/>
        <v>2.25</v>
      </c>
      <c r="C47" s="1">
        <v>20</v>
      </c>
      <c r="D47" s="1">
        <f t="shared" si="0"/>
        <v>29.146000000000001</v>
      </c>
      <c r="E47" s="1">
        <f t="shared" si="4"/>
        <v>4.8576666666666667E-7</v>
      </c>
      <c r="F47" s="1">
        <v>21.1</v>
      </c>
      <c r="G47" s="1">
        <f t="shared" si="5"/>
        <v>294.10000000000002</v>
      </c>
      <c r="H47" s="1">
        <v>101.3</v>
      </c>
      <c r="I47" s="1">
        <f t="shared" si="6"/>
        <v>101300</v>
      </c>
      <c r="J47" s="1">
        <f t="shared" si="7"/>
        <v>2.0124824921938581E-5</v>
      </c>
      <c r="K47" s="22">
        <v>61.059405940594061</v>
      </c>
      <c r="L47" s="1">
        <f t="shared" si="8"/>
        <v>6.1059405940594059E-5</v>
      </c>
      <c r="M47" s="1">
        <f t="shared" si="9"/>
        <v>4.7762865441819992E-3</v>
      </c>
      <c r="N47" s="29">
        <f t="shared" si="10"/>
        <v>2.5727305994420436E-7</v>
      </c>
      <c r="O47" s="29">
        <f t="shared" si="11"/>
        <v>2.032E-3</v>
      </c>
      <c r="P47" s="29">
        <v>7.43403717661394E-11</v>
      </c>
      <c r="Q47" s="2">
        <v>0.05</v>
      </c>
      <c r="R47" s="2">
        <f t="shared" si="12"/>
        <v>105000</v>
      </c>
      <c r="S47" s="2">
        <f t="shared" si="13"/>
        <v>5.1940208761751296E-3</v>
      </c>
      <c r="T47" s="2">
        <v>0.12</v>
      </c>
      <c r="U47" s="2">
        <f t="shared" si="14"/>
        <v>112000.00000000001</v>
      </c>
      <c r="V47" s="2">
        <f t="shared" si="19"/>
        <v>6.8386534653465354</v>
      </c>
      <c r="W47" s="2">
        <f t="shared" si="15"/>
        <v>5</v>
      </c>
      <c r="X47" s="2">
        <f t="shared" si="20"/>
        <v>2.7113922019624997E-7</v>
      </c>
      <c r="Y47" s="2">
        <f t="shared" si="16"/>
        <v>100251.88925074271</v>
      </c>
      <c r="Z47" s="2">
        <f t="shared" si="17"/>
        <v>1.4048601518561326E-14</v>
      </c>
      <c r="AA47" s="2">
        <f t="shared" si="18"/>
        <v>8460067834.4776306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</row>
    <row r="48" spans="1:75" s="4" customFormat="1" x14ac:dyDescent="0.25">
      <c r="A48" s="1">
        <v>138</v>
      </c>
      <c r="B48" s="1">
        <f t="shared" si="3"/>
        <v>2.2999999999999998</v>
      </c>
      <c r="C48" s="1">
        <v>20</v>
      </c>
      <c r="D48" s="1">
        <f t="shared" si="0"/>
        <v>29.146000000000001</v>
      </c>
      <c r="E48" s="1">
        <f t="shared" si="4"/>
        <v>4.8576666666666667E-7</v>
      </c>
      <c r="F48" s="1">
        <v>21.1</v>
      </c>
      <c r="G48" s="1">
        <f t="shared" si="5"/>
        <v>294.10000000000002</v>
      </c>
      <c r="H48" s="1">
        <v>101.3</v>
      </c>
      <c r="I48" s="1">
        <f t="shared" si="6"/>
        <v>101300</v>
      </c>
      <c r="J48" s="1">
        <f t="shared" si="7"/>
        <v>2.0124824921938581E-5</v>
      </c>
      <c r="K48" s="22">
        <v>68.683168316831683</v>
      </c>
      <c r="L48" s="1">
        <f t="shared" si="8"/>
        <v>6.8683168316831684E-5</v>
      </c>
      <c r="M48" s="1">
        <f t="shared" si="9"/>
        <v>4.7762865441819992E-3</v>
      </c>
      <c r="N48" s="29">
        <f t="shared" si="10"/>
        <v>2.8939568944915607E-7</v>
      </c>
      <c r="O48" s="29">
        <f t="shared" si="11"/>
        <v>2.032E-3</v>
      </c>
      <c r="P48" s="29">
        <v>7.43403717661394E-11</v>
      </c>
      <c r="Q48" s="2">
        <v>0.05</v>
      </c>
      <c r="R48" s="2">
        <f t="shared" si="12"/>
        <v>105000</v>
      </c>
      <c r="S48" s="2">
        <f t="shared" si="13"/>
        <v>5.1940208761751296E-3</v>
      </c>
      <c r="T48" s="2">
        <v>0.12</v>
      </c>
      <c r="U48" s="2">
        <f t="shared" si="14"/>
        <v>112000.00000000001</v>
      </c>
      <c r="V48" s="2">
        <f t="shared" si="19"/>
        <v>7.6925148514851491</v>
      </c>
      <c r="W48" s="2">
        <f t="shared" si="15"/>
        <v>5</v>
      </c>
      <c r="X48" s="2">
        <f t="shared" si="20"/>
        <v>3.0905895007764777E-7</v>
      </c>
      <c r="Y48" s="2">
        <f t="shared" si="16"/>
        <v>99596.606002848828</v>
      </c>
      <c r="Z48" s="2">
        <f t="shared" si="17"/>
        <v>1.6118848800027715E-14</v>
      </c>
      <c r="AA48" s="2">
        <f t="shared" si="18"/>
        <v>9706770747.3766899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</row>
    <row r="49" spans="1:75" s="4" customFormat="1" x14ac:dyDescent="0.25">
      <c r="A49" s="1">
        <v>141</v>
      </c>
      <c r="B49" s="1">
        <f t="shared" si="3"/>
        <v>2.35</v>
      </c>
      <c r="C49" s="1">
        <v>20</v>
      </c>
      <c r="D49" s="1">
        <f t="shared" si="0"/>
        <v>29.146000000000001</v>
      </c>
      <c r="E49" s="1">
        <f t="shared" si="4"/>
        <v>4.8576666666666667E-7</v>
      </c>
      <c r="F49" s="1">
        <v>21.1</v>
      </c>
      <c r="G49" s="1">
        <f t="shared" si="5"/>
        <v>294.10000000000002</v>
      </c>
      <c r="H49" s="1">
        <v>101.3</v>
      </c>
      <c r="I49" s="1">
        <f t="shared" si="6"/>
        <v>101300</v>
      </c>
      <c r="J49" s="1">
        <f t="shared" si="7"/>
        <v>2.0124824921938581E-5</v>
      </c>
      <c r="K49" s="22">
        <v>64.64851485148516</v>
      </c>
      <c r="L49" s="1">
        <f t="shared" si="8"/>
        <v>6.4648514851485157E-5</v>
      </c>
      <c r="M49" s="1">
        <f t="shared" si="9"/>
        <v>4.7762865441819992E-3</v>
      </c>
      <c r="N49" s="29">
        <f t="shared" si="10"/>
        <v>2.7239572643192517E-7</v>
      </c>
      <c r="O49" s="29">
        <f t="shared" si="11"/>
        <v>2.032E-3</v>
      </c>
      <c r="P49" s="29">
        <v>7.43403717661394E-11</v>
      </c>
      <c r="Q49" s="2">
        <v>0.05</v>
      </c>
      <c r="R49" s="2">
        <f t="shared" si="12"/>
        <v>105000</v>
      </c>
      <c r="S49" s="2">
        <f t="shared" si="13"/>
        <v>5.1940208761751296E-3</v>
      </c>
      <c r="T49" s="2">
        <v>0.12</v>
      </c>
      <c r="U49" s="2">
        <f t="shared" si="14"/>
        <v>112000.00000000001</v>
      </c>
      <c r="V49" s="2">
        <f t="shared" si="19"/>
        <v>7.2406336633663386</v>
      </c>
      <c r="W49" s="2">
        <f t="shared" si="15"/>
        <v>5</v>
      </c>
      <c r="X49" s="2">
        <f t="shared" si="20"/>
        <v>2.8903357646425176E-7</v>
      </c>
      <c r="Y49" s="2">
        <f t="shared" si="16"/>
        <v>99942.392739965901</v>
      </c>
      <c r="Z49" s="2">
        <f t="shared" si="17"/>
        <v>1.5022205884812041E-14</v>
      </c>
      <c r="AA49" s="2">
        <f t="shared" si="18"/>
        <v>9046372383.8338108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</row>
    <row r="50" spans="1:75" s="4" customFormat="1" x14ac:dyDescent="0.25">
      <c r="A50" s="1">
        <v>144</v>
      </c>
      <c r="B50" s="1">
        <f t="shared" si="3"/>
        <v>2.4</v>
      </c>
      <c r="C50" s="1">
        <v>20</v>
      </c>
      <c r="D50" s="1">
        <f t="shared" si="0"/>
        <v>29.146000000000001</v>
      </c>
      <c r="E50" s="1">
        <f t="shared" si="4"/>
        <v>4.8576666666666667E-7</v>
      </c>
      <c r="F50" s="1">
        <v>21.1</v>
      </c>
      <c r="G50" s="1">
        <f t="shared" si="5"/>
        <v>294.10000000000002</v>
      </c>
      <c r="H50" s="1">
        <v>101.3</v>
      </c>
      <c r="I50" s="1">
        <f t="shared" si="6"/>
        <v>101300</v>
      </c>
      <c r="J50" s="1">
        <f t="shared" si="7"/>
        <v>2.0124824921938581E-5</v>
      </c>
      <c r="K50" s="22">
        <v>65.836633663366342</v>
      </c>
      <c r="L50" s="1">
        <f t="shared" si="8"/>
        <v>6.5836633663366337E-5</v>
      </c>
      <c r="M50" s="1">
        <f t="shared" si="9"/>
        <v>4.7762865441819992E-3</v>
      </c>
      <c r="N50" s="29">
        <f t="shared" si="10"/>
        <v>2.7740185051061891E-7</v>
      </c>
      <c r="O50" s="29">
        <f t="shared" si="11"/>
        <v>2.032E-3</v>
      </c>
      <c r="P50" s="29">
        <v>7.43403717661394E-11</v>
      </c>
      <c r="Q50" s="2">
        <v>0.05</v>
      </c>
      <c r="R50" s="2">
        <f t="shared" si="12"/>
        <v>105000</v>
      </c>
      <c r="S50" s="2">
        <f t="shared" si="13"/>
        <v>5.1940208761751296E-3</v>
      </c>
      <c r="T50" s="2">
        <v>0.12</v>
      </c>
      <c r="U50" s="2">
        <f t="shared" si="14"/>
        <v>112000.00000000001</v>
      </c>
      <c r="V50" s="2">
        <f t="shared" si="19"/>
        <v>7.3737029702970309</v>
      </c>
      <c r="W50" s="2">
        <f t="shared" si="15"/>
        <v>5</v>
      </c>
      <c r="X50" s="2">
        <f t="shared" si="20"/>
        <v>2.9494019049176607E-7</v>
      </c>
      <c r="Y50" s="2">
        <f t="shared" si="16"/>
        <v>99840.338389240511</v>
      </c>
      <c r="Z50" s="2">
        <f t="shared" si="17"/>
        <v>1.5344886445588892E-14</v>
      </c>
      <c r="AA50" s="2">
        <f t="shared" si="18"/>
        <v>9240690617.5336304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</row>
    <row r="51" spans="1:75" s="4" customFormat="1" x14ac:dyDescent="0.25">
      <c r="A51" s="1">
        <v>147</v>
      </c>
      <c r="B51" s="1">
        <f t="shared" si="3"/>
        <v>2.4500000000000002</v>
      </c>
      <c r="C51" s="1">
        <v>20</v>
      </c>
      <c r="D51" s="1">
        <f t="shared" si="0"/>
        <v>29.146000000000001</v>
      </c>
      <c r="E51" s="1">
        <f t="shared" si="4"/>
        <v>4.8576666666666667E-7</v>
      </c>
      <c r="F51" s="1">
        <v>21.1</v>
      </c>
      <c r="G51" s="1">
        <f t="shared" si="5"/>
        <v>294.10000000000002</v>
      </c>
      <c r="H51" s="1">
        <v>101.3</v>
      </c>
      <c r="I51" s="1">
        <f t="shared" si="6"/>
        <v>101300</v>
      </c>
      <c r="J51" s="1">
        <f t="shared" si="7"/>
        <v>2.0124824921938581E-5</v>
      </c>
      <c r="K51" s="22">
        <v>72.272277227722768</v>
      </c>
      <c r="L51" s="1">
        <f t="shared" si="8"/>
        <v>7.2272277227722768E-5</v>
      </c>
      <c r="M51" s="1">
        <f t="shared" si="9"/>
        <v>4.7762865441819992E-3</v>
      </c>
      <c r="N51" s="29">
        <f t="shared" si="10"/>
        <v>3.0451835593687682E-7</v>
      </c>
      <c r="O51" s="29">
        <f t="shared" si="11"/>
        <v>2.032E-3</v>
      </c>
      <c r="P51" s="29">
        <v>7.43403717661394E-11</v>
      </c>
      <c r="Q51" s="2">
        <v>0.05</v>
      </c>
      <c r="R51" s="2">
        <f t="shared" si="12"/>
        <v>105000</v>
      </c>
      <c r="S51" s="2">
        <f t="shared" si="13"/>
        <v>5.1940208761751296E-3</v>
      </c>
      <c r="T51" s="2">
        <v>0.12</v>
      </c>
      <c r="U51" s="2">
        <f t="shared" si="14"/>
        <v>112000.00000000001</v>
      </c>
      <c r="V51" s="2">
        <f t="shared" si="19"/>
        <v>8.0944950495049515</v>
      </c>
      <c r="W51" s="2">
        <f t="shared" si="15"/>
        <v>5</v>
      </c>
      <c r="X51" s="2">
        <f t="shared" si="20"/>
        <v>3.2679905184420924E-7</v>
      </c>
      <c r="Y51" s="2">
        <f t="shared" si="16"/>
        <v>99290.780589163609</v>
      </c>
      <c r="Z51" s="2">
        <f t="shared" si="17"/>
        <v>1.7096647606653447E-14</v>
      </c>
      <c r="AA51" s="2">
        <f t="shared" si="18"/>
        <v>10295601188.726706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</row>
    <row r="52" spans="1:75" s="4" customFormat="1" x14ac:dyDescent="0.25">
      <c r="A52" s="1">
        <v>150</v>
      </c>
      <c r="B52" s="1">
        <f t="shared" si="3"/>
        <v>2.5</v>
      </c>
      <c r="C52" s="1">
        <v>20</v>
      </c>
      <c r="D52" s="1">
        <f t="shared" si="0"/>
        <v>29.146000000000001</v>
      </c>
      <c r="E52" s="1">
        <f t="shared" si="4"/>
        <v>4.8576666666666667E-7</v>
      </c>
      <c r="F52" s="1">
        <v>21.1</v>
      </c>
      <c r="G52" s="1">
        <f t="shared" si="5"/>
        <v>294.10000000000002</v>
      </c>
      <c r="H52" s="1">
        <v>101.3</v>
      </c>
      <c r="I52" s="1">
        <f t="shared" si="6"/>
        <v>101300</v>
      </c>
      <c r="J52" s="1">
        <f t="shared" si="7"/>
        <v>2.0124824921938581E-5</v>
      </c>
      <c r="K52" s="22">
        <v>67.222772277227733</v>
      </c>
      <c r="L52" s="1">
        <f t="shared" si="8"/>
        <v>6.7222772277227737E-5</v>
      </c>
      <c r="M52" s="1">
        <f t="shared" si="9"/>
        <v>4.7762865441819992E-3</v>
      </c>
      <c r="N52" s="29">
        <f t="shared" si="10"/>
        <v>2.8324232860242832E-7</v>
      </c>
      <c r="O52" s="29">
        <f t="shared" si="11"/>
        <v>2.032E-3</v>
      </c>
      <c r="P52" s="29">
        <v>7.43403717661394E-11</v>
      </c>
      <c r="Q52" s="2">
        <v>0.05</v>
      </c>
      <c r="R52" s="2">
        <f t="shared" si="12"/>
        <v>105000</v>
      </c>
      <c r="S52" s="2">
        <f t="shared" si="13"/>
        <v>5.1940208761751296E-3</v>
      </c>
      <c r="T52" s="2">
        <v>0.12</v>
      </c>
      <c r="U52" s="2">
        <f t="shared" si="14"/>
        <v>112000.00000000001</v>
      </c>
      <c r="V52" s="2">
        <f t="shared" si="19"/>
        <v>7.5289504950495072</v>
      </c>
      <c r="W52" s="2">
        <f t="shared" si="15"/>
        <v>5</v>
      </c>
      <c r="X52" s="2">
        <f t="shared" si="20"/>
        <v>3.0182103135266213E-7</v>
      </c>
      <c r="Y52" s="2">
        <f t="shared" si="16"/>
        <v>99721.517107216452</v>
      </c>
      <c r="Z52" s="2">
        <f t="shared" si="17"/>
        <v>1.5721613052428735E-14</v>
      </c>
      <c r="AA52" s="2">
        <f t="shared" si="18"/>
        <v>9467555380.1725845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</row>
    <row r="53" spans="1:75" s="4" customFormat="1" x14ac:dyDescent="0.25">
      <c r="A53" s="1">
        <v>153</v>
      </c>
      <c r="B53" s="1">
        <f t="shared" si="3"/>
        <v>2.5499999999999998</v>
      </c>
      <c r="C53" s="1">
        <v>20</v>
      </c>
      <c r="D53" s="1">
        <f t="shared" si="0"/>
        <v>29.146000000000001</v>
      </c>
      <c r="E53" s="1">
        <f t="shared" si="4"/>
        <v>4.8576666666666667E-7</v>
      </c>
      <c r="F53" s="1">
        <v>21.1</v>
      </c>
      <c r="G53" s="1">
        <f t="shared" si="5"/>
        <v>294.10000000000002</v>
      </c>
      <c r="H53" s="1">
        <v>101.3</v>
      </c>
      <c r="I53" s="1">
        <f t="shared" si="6"/>
        <v>101300</v>
      </c>
      <c r="J53" s="1">
        <f t="shared" si="7"/>
        <v>2.0124824921938581E-5</v>
      </c>
      <c r="K53" s="22">
        <v>65.019801980198011</v>
      </c>
      <c r="L53" s="1">
        <f t="shared" si="8"/>
        <v>6.5019801980198012E-5</v>
      </c>
      <c r="M53" s="1">
        <f t="shared" si="9"/>
        <v>4.7762865441819992E-3</v>
      </c>
      <c r="N53" s="29">
        <f t="shared" si="10"/>
        <v>2.7396014020651688E-7</v>
      </c>
      <c r="O53" s="29">
        <f t="shared" si="11"/>
        <v>2.032E-3</v>
      </c>
      <c r="P53" s="29">
        <v>7.43403717661394E-11</v>
      </c>
      <c r="Q53" s="2">
        <v>0.05</v>
      </c>
      <c r="R53" s="2">
        <f t="shared" si="12"/>
        <v>105000</v>
      </c>
      <c r="S53" s="2">
        <f t="shared" si="13"/>
        <v>5.1940208761751296E-3</v>
      </c>
      <c r="T53" s="2">
        <v>0.12</v>
      </c>
      <c r="U53" s="2">
        <f t="shared" si="14"/>
        <v>112000.00000000001</v>
      </c>
      <c r="V53" s="2">
        <f t="shared" si="19"/>
        <v>7.2822178217821785</v>
      </c>
      <c r="W53" s="2">
        <f t="shared" si="15"/>
        <v>5</v>
      </c>
      <c r="X53" s="2">
        <f t="shared" si="20"/>
        <v>2.9088027565449639E-7</v>
      </c>
      <c r="Y53" s="2">
        <f t="shared" si="16"/>
        <v>99910.47990930255</v>
      </c>
      <c r="Z53" s="2">
        <f t="shared" si="17"/>
        <v>1.5123021676270797E-14</v>
      </c>
      <c r="AA53" s="2">
        <f t="shared" si="18"/>
        <v>9107083653.4502754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</row>
    <row r="54" spans="1:75" s="4" customFormat="1" x14ac:dyDescent="0.25">
      <c r="A54" s="1">
        <v>156</v>
      </c>
      <c r="B54" s="1">
        <f t="shared" si="3"/>
        <v>2.6</v>
      </c>
      <c r="C54" s="1">
        <v>20</v>
      </c>
      <c r="D54" s="1">
        <f t="shared" si="0"/>
        <v>29.146000000000001</v>
      </c>
      <c r="E54" s="1">
        <f t="shared" si="4"/>
        <v>4.8576666666666667E-7</v>
      </c>
      <c r="F54" s="1">
        <v>21.1</v>
      </c>
      <c r="G54" s="1">
        <f t="shared" si="5"/>
        <v>294.10000000000002</v>
      </c>
      <c r="H54" s="1">
        <v>101.3</v>
      </c>
      <c r="I54" s="1">
        <f t="shared" si="6"/>
        <v>101300</v>
      </c>
      <c r="J54" s="1">
        <f t="shared" si="7"/>
        <v>2.0124824921938581E-5</v>
      </c>
      <c r="K54" s="28">
        <v>65.564356435643575</v>
      </c>
      <c r="L54" s="1">
        <f t="shared" si="8"/>
        <v>6.5564356435643571E-5</v>
      </c>
      <c r="M54" s="1">
        <f t="shared" si="9"/>
        <v>4.7762865441819992E-3</v>
      </c>
      <c r="N54" s="64">
        <f t="shared" si="10"/>
        <v>2.762546137425849E-7</v>
      </c>
      <c r="O54" s="29">
        <f t="shared" si="11"/>
        <v>2.032E-3</v>
      </c>
      <c r="P54" s="29">
        <v>7.43403717661394E-11</v>
      </c>
      <c r="Q54" s="2">
        <v>0.05</v>
      </c>
      <c r="R54" s="2">
        <f t="shared" si="12"/>
        <v>105000</v>
      </c>
      <c r="S54" s="2">
        <f t="shared" si="13"/>
        <v>5.1940208761751296E-3</v>
      </c>
      <c r="T54" s="2">
        <v>0.12</v>
      </c>
      <c r="U54" s="2">
        <f t="shared" si="14"/>
        <v>112000.00000000001</v>
      </c>
      <c r="V54" s="2">
        <f t="shared" si="19"/>
        <v>7.3432079207920813</v>
      </c>
      <c r="W54" s="2">
        <f t="shared" si="15"/>
        <v>5</v>
      </c>
      <c r="X54" s="12">
        <f t="shared" si="20"/>
        <v>2.9358731387637302E-7</v>
      </c>
      <c r="Y54" s="2">
        <f t="shared" si="16"/>
        <v>99863.708759619025</v>
      </c>
      <c r="Z54" s="12">
        <f t="shared" si="17"/>
        <v>1.5270920675203046E-14</v>
      </c>
      <c r="AA54" s="12">
        <f t="shared" si="18"/>
        <v>9196148430.607275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</row>
    <row r="55" spans="1:75" s="4" customFormat="1" x14ac:dyDescent="0.25">
      <c r="A55" s="1">
        <v>159</v>
      </c>
      <c r="B55" s="1">
        <f t="shared" si="3"/>
        <v>2.65</v>
      </c>
      <c r="C55" s="1">
        <v>20</v>
      </c>
      <c r="D55" s="1">
        <f t="shared" si="0"/>
        <v>29.146000000000001</v>
      </c>
      <c r="E55" s="1">
        <f t="shared" si="4"/>
        <v>4.8576666666666667E-7</v>
      </c>
      <c r="F55" s="1">
        <v>21.1</v>
      </c>
      <c r="G55" s="1">
        <f t="shared" si="5"/>
        <v>294.10000000000002</v>
      </c>
      <c r="H55" s="1">
        <v>101.3</v>
      </c>
      <c r="I55" s="1">
        <f t="shared" si="6"/>
        <v>101300</v>
      </c>
      <c r="J55" s="1">
        <f t="shared" si="7"/>
        <v>2.0124824921938581E-5</v>
      </c>
      <c r="K55" s="28">
        <v>71.876237623762378</v>
      </c>
      <c r="L55" s="1">
        <f t="shared" si="8"/>
        <v>7.1876237623762383E-5</v>
      </c>
      <c r="M55" s="1">
        <f t="shared" si="9"/>
        <v>4.7762865441819992E-3</v>
      </c>
      <c r="N55" s="64">
        <f t="shared" si="10"/>
        <v>3.0284964791064558E-7</v>
      </c>
      <c r="O55" s="29">
        <f t="shared" si="11"/>
        <v>2.032E-3</v>
      </c>
      <c r="P55" s="29">
        <v>7.43403717661394E-11</v>
      </c>
      <c r="Q55" s="2">
        <v>0.05</v>
      </c>
      <c r="R55" s="2">
        <f t="shared" si="12"/>
        <v>105000</v>
      </c>
      <c r="S55" s="2">
        <f t="shared" si="13"/>
        <v>5.1940208761751296E-3</v>
      </c>
      <c r="T55" s="2">
        <v>0.12</v>
      </c>
      <c r="U55" s="2">
        <f t="shared" si="14"/>
        <v>112000.00000000001</v>
      </c>
      <c r="V55" s="2">
        <f t="shared" si="19"/>
        <v>8.0501386138613888</v>
      </c>
      <c r="W55" s="2">
        <f t="shared" si="15"/>
        <v>5</v>
      </c>
      <c r="X55" s="12">
        <f t="shared" si="20"/>
        <v>3.2484476303517358E-7</v>
      </c>
      <c r="Y55" s="2">
        <f t="shared" si="16"/>
        <v>99324.447943402556</v>
      </c>
      <c r="Z55" s="12">
        <f t="shared" si="17"/>
        <v>1.6988639519903141E-14</v>
      </c>
      <c r="AA55" s="12">
        <f t="shared" si="18"/>
        <v>10230558718.885672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</row>
    <row r="56" spans="1:75" s="4" customFormat="1" x14ac:dyDescent="0.25">
      <c r="A56" s="1">
        <v>162</v>
      </c>
      <c r="B56" s="1">
        <f t="shared" si="3"/>
        <v>2.7</v>
      </c>
      <c r="C56" s="1">
        <v>20</v>
      </c>
      <c r="D56" s="1">
        <f t="shared" si="0"/>
        <v>29.146000000000001</v>
      </c>
      <c r="E56" s="1">
        <f t="shared" si="4"/>
        <v>4.8576666666666667E-7</v>
      </c>
      <c r="F56" s="1">
        <v>21.1</v>
      </c>
      <c r="G56" s="1">
        <f t="shared" si="5"/>
        <v>294.10000000000002</v>
      </c>
      <c r="H56" s="1">
        <v>101.3</v>
      </c>
      <c r="I56" s="1">
        <f t="shared" si="6"/>
        <v>101300</v>
      </c>
      <c r="J56" s="1">
        <f t="shared" si="7"/>
        <v>2.0124824921938581E-5</v>
      </c>
      <c r="K56" s="28">
        <v>73.163366336633672</v>
      </c>
      <c r="L56" s="1">
        <f t="shared" si="8"/>
        <v>7.3163366336633667E-5</v>
      </c>
      <c r="M56" s="1">
        <f t="shared" si="9"/>
        <v>4.7762865441819992E-3</v>
      </c>
      <c r="N56" s="64">
        <f t="shared" si="10"/>
        <v>3.0827294899589718E-7</v>
      </c>
      <c r="O56" s="29">
        <f t="shared" si="11"/>
        <v>2.032E-3</v>
      </c>
      <c r="P56" s="29">
        <v>7.43403717661394E-11</v>
      </c>
      <c r="Q56" s="2">
        <v>0.05</v>
      </c>
      <c r="R56" s="2">
        <f t="shared" si="12"/>
        <v>105000</v>
      </c>
      <c r="S56" s="2">
        <f t="shared" si="13"/>
        <v>5.1940208761751296E-3</v>
      </c>
      <c r="T56" s="2">
        <v>0.12</v>
      </c>
      <c r="U56" s="2">
        <f t="shared" si="14"/>
        <v>112000.00000000001</v>
      </c>
      <c r="V56" s="2">
        <f t="shared" si="19"/>
        <v>8.1942970297029714</v>
      </c>
      <c r="W56" s="2">
        <f t="shared" si="15"/>
        <v>5</v>
      </c>
      <c r="X56" s="12">
        <f t="shared" si="20"/>
        <v>3.3119335437873483E-7</v>
      </c>
      <c r="Y56" s="2">
        <f t="shared" si="16"/>
        <v>99215.098936756869</v>
      </c>
      <c r="Z56" s="12">
        <f t="shared" si="17"/>
        <v>1.7339772901298208E-14</v>
      </c>
      <c r="AA56" s="12">
        <f t="shared" si="18"/>
        <v>10442011241.161781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</row>
    <row r="57" spans="1:75" s="4" customFormat="1" x14ac:dyDescent="0.25">
      <c r="A57" s="1">
        <v>165</v>
      </c>
      <c r="B57" s="1">
        <f t="shared" si="3"/>
        <v>2.75</v>
      </c>
      <c r="C57" s="1">
        <v>20</v>
      </c>
      <c r="D57" s="1">
        <f t="shared" si="0"/>
        <v>29.146000000000001</v>
      </c>
      <c r="E57" s="1">
        <f t="shared" si="4"/>
        <v>4.8576666666666667E-7</v>
      </c>
      <c r="F57" s="1">
        <v>21.1</v>
      </c>
      <c r="G57" s="1">
        <f t="shared" si="5"/>
        <v>294.10000000000002</v>
      </c>
      <c r="H57" s="1">
        <v>101.3</v>
      </c>
      <c r="I57" s="1">
        <f t="shared" si="6"/>
        <v>101300</v>
      </c>
      <c r="J57" s="1">
        <f t="shared" si="7"/>
        <v>2.0124824921938581E-5</v>
      </c>
      <c r="K57" s="28">
        <v>69.970297029702976</v>
      </c>
      <c r="L57" s="1">
        <f t="shared" si="8"/>
        <v>6.9970297029702981E-5</v>
      </c>
      <c r="M57" s="1">
        <f t="shared" si="9"/>
        <v>4.7762865441819992E-3</v>
      </c>
      <c r="N57" s="64">
        <f t="shared" si="10"/>
        <v>2.9481899053440768E-7</v>
      </c>
      <c r="O57" s="29">
        <f t="shared" si="11"/>
        <v>2.032E-3</v>
      </c>
      <c r="P57" s="29">
        <v>7.43403717661394E-11</v>
      </c>
      <c r="Q57" s="2">
        <v>0.05</v>
      </c>
      <c r="R57" s="2">
        <f t="shared" si="12"/>
        <v>105000</v>
      </c>
      <c r="S57" s="2">
        <f t="shared" si="13"/>
        <v>5.1940208761751296E-3</v>
      </c>
      <c r="T57" s="2">
        <v>0.12</v>
      </c>
      <c r="U57" s="2">
        <f t="shared" si="14"/>
        <v>112000.00000000001</v>
      </c>
      <c r="V57" s="2">
        <f t="shared" si="19"/>
        <v>7.8366732673267352</v>
      </c>
      <c r="W57" s="2">
        <f t="shared" si="15"/>
        <v>5</v>
      </c>
      <c r="X57" s="12">
        <f t="shared" si="20"/>
        <v>3.1542861106617699E-7</v>
      </c>
      <c r="Y57" s="2">
        <f t="shared" si="16"/>
        <v>99486.743941152323</v>
      </c>
      <c r="Z57" s="12">
        <f t="shared" si="17"/>
        <v>1.6469247962372409E-14</v>
      </c>
      <c r="AA57" s="12">
        <f t="shared" si="18"/>
        <v>9917781122.9406643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</row>
    <row r="58" spans="1:75" s="4" customFormat="1" x14ac:dyDescent="0.25">
      <c r="A58" s="1">
        <v>168</v>
      </c>
      <c r="B58" s="1">
        <f t="shared" si="3"/>
        <v>2.8</v>
      </c>
      <c r="C58" s="1">
        <v>20</v>
      </c>
      <c r="D58" s="1">
        <f t="shared" si="0"/>
        <v>29.146000000000001</v>
      </c>
      <c r="E58" s="1">
        <f t="shared" si="4"/>
        <v>4.8576666666666667E-7</v>
      </c>
      <c r="F58" s="1">
        <v>21.1</v>
      </c>
      <c r="G58" s="1">
        <f t="shared" si="5"/>
        <v>294.10000000000002</v>
      </c>
      <c r="H58" s="1">
        <v>101.3</v>
      </c>
      <c r="I58" s="1">
        <f t="shared" si="6"/>
        <v>101300</v>
      </c>
      <c r="J58" s="1">
        <f t="shared" si="7"/>
        <v>2.0124824921938581E-5</v>
      </c>
      <c r="K58" s="28">
        <v>71.752475247524757</v>
      </c>
      <c r="L58" s="1">
        <f t="shared" si="8"/>
        <v>7.1752475247524751E-5</v>
      </c>
      <c r="M58" s="1">
        <f t="shared" si="9"/>
        <v>4.7762865441819992E-3</v>
      </c>
      <c r="N58" s="64">
        <f t="shared" si="10"/>
        <v>3.0232817665244829E-7</v>
      </c>
      <c r="O58" s="29">
        <f t="shared" si="11"/>
        <v>2.032E-3</v>
      </c>
      <c r="P58" s="29">
        <v>7.43403717661394E-11</v>
      </c>
      <c r="Q58" s="2">
        <v>0.05</v>
      </c>
      <c r="R58" s="2">
        <f t="shared" si="12"/>
        <v>105000</v>
      </c>
      <c r="S58" s="2">
        <f t="shared" si="13"/>
        <v>5.1940208761751296E-3</v>
      </c>
      <c r="T58" s="2">
        <v>0.12</v>
      </c>
      <c r="U58" s="2">
        <f t="shared" si="14"/>
        <v>112000.00000000001</v>
      </c>
      <c r="V58" s="2">
        <f t="shared" si="19"/>
        <v>8.0362772277227741</v>
      </c>
      <c r="W58" s="2">
        <f t="shared" si="15"/>
        <v>5</v>
      </c>
      <c r="X58" s="12">
        <f t="shared" si="20"/>
        <v>3.2423388651424598E-7</v>
      </c>
      <c r="Y58" s="2">
        <f t="shared" si="16"/>
        <v>99334.972940592561</v>
      </c>
      <c r="Z58" s="12">
        <f t="shared" si="17"/>
        <v>1.6954892921202277E-14</v>
      </c>
      <c r="AA58" s="12">
        <f t="shared" si="18"/>
        <v>10210236517.148012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</row>
    <row r="59" spans="1:75" s="4" customFormat="1" x14ac:dyDescent="0.25">
      <c r="A59" s="1">
        <v>171</v>
      </c>
      <c r="B59" s="1">
        <f t="shared" si="3"/>
        <v>2.85</v>
      </c>
      <c r="C59" s="1">
        <v>20</v>
      </c>
      <c r="D59" s="1">
        <f t="shared" si="0"/>
        <v>29.146000000000001</v>
      </c>
      <c r="E59" s="1">
        <f t="shared" si="4"/>
        <v>4.8576666666666667E-7</v>
      </c>
      <c r="F59" s="1">
        <v>21.1</v>
      </c>
      <c r="G59" s="1">
        <f t="shared" si="5"/>
        <v>294.10000000000002</v>
      </c>
      <c r="H59" s="1">
        <v>101.3</v>
      </c>
      <c r="I59" s="1">
        <f t="shared" si="6"/>
        <v>101300</v>
      </c>
      <c r="J59" s="1">
        <f t="shared" si="7"/>
        <v>2.0124824921938581E-5</v>
      </c>
      <c r="K59" s="28">
        <v>72.17326732673267</v>
      </c>
      <c r="L59" s="1">
        <f t="shared" si="8"/>
        <v>7.2173267326732665E-5</v>
      </c>
      <c r="M59" s="1">
        <f t="shared" si="9"/>
        <v>4.7762865441819992E-3</v>
      </c>
      <c r="N59" s="64">
        <f t="shared" si="10"/>
        <v>3.0410117893031901E-7</v>
      </c>
      <c r="O59" s="29">
        <f t="shared" si="11"/>
        <v>2.032E-3</v>
      </c>
      <c r="P59" s="29">
        <v>7.43403717661394E-11</v>
      </c>
      <c r="Q59" s="2">
        <v>0.05</v>
      </c>
      <c r="R59" s="2">
        <f t="shared" si="12"/>
        <v>105000</v>
      </c>
      <c r="S59" s="2">
        <f t="shared" si="13"/>
        <v>5.1940208761751296E-3</v>
      </c>
      <c r="T59" s="2">
        <v>0.12</v>
      </c>
      <c r="U59" s="2">
        <f t="shared" si="14"/>
        <v>112000.00000000001</v>
      </c>
      <c r="V59" s="2">
        <f t="shared" si="19"/>
        <v>8.0834059405940604</v>
      </c>
      <c r="W59" s="2">
        <f t="shared" si="15"/>
        <v>5</v>
      </c>
      <c r="X59" s="12">
        <f t="shared" si="20"/>
        <v>3.263105531493686E-7</v>
      </c>
      <c r="Y59" s="2">
        <f t="shared" si="16"/>
        <v>99299.195626405606</v>
      </c>
      <c r="Z59" s="12">
        <f t="shared" si="17"/>
        <v>1.7069642864014006E-14</v>
      </c>
      <c r="AA59" s="12">
        <f t="shared" si="18"/>
        <v>10279338932.709234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</row>
    <row r="60" spans="1:75" s="4" customFormat="1" x14ac:dyDescent="0.25">
      <c r="A60" s="1">
        <v>174</v>
      </c>
      <c r="B60" s="1">
        <f t="shared" si="3"/>
        <v>2.9</v>
      </c>
      <c r="C60" s="1">
        <v>20</v>
      </c>
      <c r="D60" s="1">
        <f t="shared" si="0"/>
        <v>29.146000000000001</v>
      </c>
      <c r="E60" s="1">
        <f t="shared" si="4"/>
        <v>4.8576666666666667E-7</v>
      </c>
      <c r="F60" s="1">
        <v>21.1</v>
      </c>
      <c r="G60" s="1">
        <f t="shared" si="5"/>
        <v>294.10000000000002</v>
      </c>
      <c r="H60" s="1">
        <v>101.3</v>
      </c>
      <c r="I60" s="1">
        <f t="shared" si="6"/>
        <v>101300</v>
      </c>
      <c r="J60" s="1">
        <f t="shared" si="7"/>
        <v>2.0124824921938581E-5</v>
      </c>
      <c r="K60" s="28">
        <v>67.198019801980195</v>
      </c>
      <c r="L60" s="1">
        <f t="shared" si="8"/>
        <v>6.7198019801980194E-5</v>
      </c>
      <c r="M60" s="1">
        <f t="shared" si="9"/>
        <v>4.7762865441819992E-3</v>
      </c>
      <c r="N60" s="64">
        <f t="shared" si="10"/>
        <v>2.8313803435078879E-7</v>
      </c>
      <c r="O60" s="29">
        <f t="shared" si="11"/>
        <v>2.032E-3</v>
      </c>
      <c r="P60" s="29">
        <v>7.43403717661394E-11</v>
      </c>
      <c r="Q60" s="2">
        <v>0.05</v>
      </c>
      <c r="R60" s="2">
        <f t="shared" si="12"/>
        <v>105000</v>
      </c>
      <c r="S60" s="2">
        <f t="shared" si="13"/>
        <v>5.1940208761751296E-3</v>
      </c>
      <c r="T60" s="2">
        <v>0.12</v>
      </c>
      <c r="U60" s="2">
        <f t="shared" si="14"/>
        <v>112000.00000000001</v>
      </c>
      <c r="V60" s="2">
        <f t="shared" si="19"/>
        <v>7.5261782178217826</v>
      </c>
      <c r="W60" s="2">
        <f t="shared" si="15"/>
        <v>5</v>
      </c>
      <c r="X60" s="12">
        <f t="shared" si="20"/>
        <v>3.0169825376111868E-7</v>
      </c>
      <c r="Y60" s="2">
        <f t="shared" si="16"/>
        <v>99723.636662881094</v>
      </c>
      <c r="Z60" s="12">
        <f t="shared" si="17"/>
        <v>1.5714883189129675E-14</v>
      </c>
      <c r="AA60" s="12">
        <f t="shared" si="18"/>
        <v>9463502656.4938908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</row>
    <row r="61" spans="1:75" s="4" customFormat="1" x14ac:dyDescent="0.25">
      <c r="A61" s="1">
        <v>177</v>
      </c>
      <c r="B61" s="1">
        <f t="shared" si="3"/>
        <v>2.95</v>
      </c>
      <c r="C61" s="1">
        <v>20</v>
      </c>
      <c r="D61" s="1">
        <f t="shared" si="0"/>
        <v>29.146000000000001</v>
      </c>
      <c r="E61" s="1">
        <f t="shared" si="4"/>
        <v>4.8576666666666667E-7</v>
      </c>
      <c r="F61" s="1">
        <v>21.1</v>
      </c>
      <c r="G61" s="1">
        <f t="shared" si="5"/>
        <v>294.10000000000002</v>
      </c>
      <c r="H61" s="1">
        <v>101.3</v>
      </c>
      <c r="I61" s="1">
        <f t="shared" si="6"/>
        <v>101300</v>
      </c>
      <c r="J61" s="1">
        <f t="shared" si="7"/>
        <v>2.0124824921938581E-5</v>
      </c>
      <c r="K61" s="28">
        <v>65.465346534653463</v>
      </c>
      <c r="L61" s="1">
        <f t="shared" si="8"/>
        <v>6.5465346534653468E-5</v>
      </c>
      <c r="M61" s="1">
        <f t="shared" si="9"/>
        <v>4.7762865441819992E-3</v>
      </c>
      <c r="N61" s="64">
        <f t="shared" si="10"/>
        <v>2.7583743673602709E-7</v>
      </c>
      <c r="O61" s="29">
        <f t="shared" si="11"/>
        <v>2.032E-3</v>
      </c>
      <c r="P61" s="29">
        <v>7.43403717661394E-11</v>
      </c>
      <c r="Q61" s="2">
        <v>0.05</v>
      </c>
      <c r="R61" s="2">
        <f t="shared" si="12"/>
        <v>105000</v>
      </c>
      <c r="S61" s="2">
        <f t="shared" si="13"/>
        <v>5.1940208761751296E-3</v>
      </c>
      <c r="T61" s="2">
        <v>0.12</v>
      </c>
      <c r="U61" s="2">
        <f t="shared" si="14"/>
        <v>112000.00000000001</v>
      </c>
      <c r="V61" s="2">
        <f t="shared" si="19"/>
        <v>7.3321188118811893</v>
      </c>
      <c r="W61" s="2">
        <f t="shared" si="15"/>
        <v>5</v>
      </c>
      <c r="X61" s="12">
        <f t="shared" si="20"/>
        <v>2.9309525290725702E-7</v>
      </c>
      <c r="Y61" s="2">
        <f t="shared" si="16"/>
        <v>99872.209582660274</v>
      </c>
      <c r="Z61" s="12">
        <f t="shared" si="17"/>
        <v>1.5244026738622078E-14</v>
      </c>
      <c r="AA61" s="12">
        <f t="shared" si="18"/>
        <v>9179952901.9982166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</row>
    <row r="62" spans="1:75" s="4" customFormat="1" x14ac:dyDescent="0.25">
      <c r="A62" s="1">
        <v>180</v>
      </c>
      <c r="B62" s="1">
        <f t="shared" si="3"/>
        <v>3</v>
      </c>
      <c r="C62" s="1">
        <v>20</v>
      </c>
      <c r="D62" s="1">
        <f t="shared" si="0"/>
        <v>29.146000000000001</v>
      </c>
      <c r="E62" s="1">
        <f t="shared" si="4"/>
        <v>4.8576666666666667E-7</v>
      </c>
      <c r="F62" s="1">
        <v>21.1</v>
      </c>
      <c r="G62" s="1">
        <f t="shared" si="5"/>
        <v>294.10000000000002</v>
      </c>
      <c r="H62" s="1">
        <v>101.3</v>
      </c>
      <c r="I62" s="1">
        <f t="shared" si="6"/>
        <v>101300</v>
      </c>
      <c r="J62" s="1">
        <f t="shared" si="7"/>
        <v>2.0124824921938581E-5</v>
      </c>
      <c r="K62" s="28">
        <v>70.193069306930695</v>
      </c>
      <c r="L62" s="1">
        <f t="shared" si="8"/>
        <v>7.0193069306930702E-5</v>
      </c>
      <c r="M62" s="1">
        <f t="shared" si="9"/>
        <v>4.7762865441819992E-3</v>
      </c>
      <c r="N62" s="64">
        <f t="shared" si="10"/>
        <v>2.9575763879916278E-7</v>
      </c>
      <c r="O62" s="29">
        <f t="shared" si="11"/>
        <v>2.032E-3</v>
      </c>
      <c r="P62" s="29">
        <v>7.43403717661394E-11</v>
      </c>
      <c r="Q62" s="2">
        <v>0.05</v>
      </c>
      <c r="R62" s="2">
        <f t="shared" si="12"/>
        <v>105000</v>
      </c>
      <c r="S62" s="2">
        <f t="shared" si="13"/>
        <v>5.1940208761751296E-3</v>
      </c>
      <c r="T62" s="2">
        <v>0.12</v>
      </c>
      <c r="U62" s="2">
        <f t="shared" si="14"/>
        <v>112000.00000000001</v>
      </c>
      <c r="V62" s="2">
        <f t="shared" si="19"/>
        <v>7.8616237623762393</v>
      </c>
      <c r="W62" s="2">
        <f t="shared" si="15"/>
        <v>5</v>
      </c>
      <c r="X62" s="12">
        <f t="shared" si="20"/>
        <v>3.1653016607367504E-7</v>
      </c>
      <c r="Y62" s="2">
        <f t="shared" si="16"/>
        <v>99467.750789368307</v>
      </c>
      <c r="Z62" s="12">
        <f t="shared" si="17"/>
        <v>1.6529922809268325E-14</v>
      </c>
      <c r="AA62" s="12">
        <f t="shared" si="18"/>
        <v>9954319515.7413864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</row>
    <row r="63" spans="1:75" s="4" customFormat="1" x14ac:dyDescent="0.25">
      <c r="A63" s="1">
        <v>183</v>
      </c>
      <c r="B63" s="1">
        <f t="shared" si="3"/>
        <v>3.05</v>
      </c>
      <c r="C63" s="1">
        <v>20</v>
      </c>
      <c r="D63" s="1">
        <f t="shared" si="0"/>
        <v>29.146000000000001</v>
      </c>
      <c r="E63" s="1">
        <f t="shared" si="4"/>
        <v>4.8576666666666667E-7</v>
      </c>
      <c r="F63" s="1">
        <v>21.1</v>
      </c>
      <c r="G63" s="1">
        <f t="shared" si="5"/>
        <v>294.10000000000002</v>
      </c>
      <c r="H63" s="1">
        <v>101.3</v>
      </c>
      <c r="I63" s="1">
        <f t="shared" si="6"/>
        <v>101300</v>
      </c>
      <c r="J63" s="1">
        <f t="shared" si="7"/>
        <v>2.0124824921938581E-5</v>
      </c>
      <c r="K63" s="28">
        <v>74.871287128712879</v>
      </c>
      <c r="L63" s="1">
        <f t="shared" si="8"/>
        <v>7.4871287128712877E-5</v>
      </c>
      <c r="M63" s="1">
        <f t="shared" si="9"/>
        <v>4.7762865441819992E-3</v>
      </c>
      <c r="N63" s="64">
        <f t="shared" si="10"/>
        <v>3.1546925235901951E-7</v>
      </c>
      <c r="O63" s="29">
        <f t="shared" si="11"/>
        <v>2.032E-3</v>
      </c>
      <c r="P63" s="29">
        <v>7.43403717661394E-11</v>
      </c>
      <c r="Q63" s="2">
        <v>0.05</v>
      </c>
      <c r="R63" s="2">
        <f t="shared" si="12"/>
        <v>105000</v>
      </c>
      <c r="S63" s="2">
        <f t="shared" si="13"/>
        <v>5.1940208761751296E-3</v>
      </c>
      <c r="T63" s="2">
        <v>0.12</v>
      </c>
      <c r="U63" s="2">
        <f t="shared" si="14"/>
        <v>112000.00000000001</v>
      </c>
      <c r="V63" s="2">
        <f t="shared" si="19"/>
        <v>8.3855841584158437</v>
      </c>
      <c r="W63" s="2">
        <f t="shared" si="15"/>
        <v>5</v>
      </c>
      <c r="X63" s="12">
        <f t="shared" si="20"/>
        <v>3.3960497116546575E-7</v>
      </c>
      <c r="Y63" s="2">
        <f t="shared" si="16"/>
        <v>99070.308859336452</v>
      </c>
      <c r="Z63" s="12">
        <f t="shared" si="17"/>
        <v>1.7806188811683071E-14</v>
      </c>
      <c r="AA63" s="12">
        <f t="shared" si="18"/>
        <v>10722886902.395546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</row>
    <row r="64" spans="1:75" s="4" customFormat="1" x14ac:dyDescent="0.25">
      <c r="A64" s="1">
        <v>186</v>
      </c>
      <c r="B64" s="1">
        <f t="shared" si="3"/>
        <v>3.1</v>
      </c>
      <c r="C64" s="1">
        <v>20</v>
      </c>
      <c r="D64" s="1">
        <f t="shared" si="0"/>
        <v>29.146000000000001</v>
      </c>
      <c r="E64" s="1">
        <f t="shared" si="4"/>
        <v>4.8576666666666667E-7</v>
      </c>
      <c r="F64" s="1">
        <v>21.1</v>
      </c>
      <c r="G64" s="1">
        <f t="shared" si="5"/>
        <v>294.10000000000002</v>
      </c>
      <c r="H64" s="1">
        <v>101.3</v>
      </c>
      <c r="I64" s="1">
        <f t="shared" si="6"/>
        <v>101300</v>
      </c>
      <c r="J64" s="1">
        <f t="shared" si="7"/>
        <v>2.0124824921938581E-5</v>
      </c>
      <c r="K64" s="28">
        <v>67.099009900990097</v>
      </c>
      <c r="L64" s="1">
        <f t="shared" si="8"/>
        <v>6.7099009900990092E-5</v>
      </c>
      <c r="M64" s="1">
        <f t="shared" si="9"/>
        <v>4.7762865441819992E-3</v>
      </c>
      <c r="N64" s="64">
        <f t="shared" si="10"/>
        <v>2.8272085734423103E-7</v>
      </c>
      <c r="O64" s="29">
        <f t="shared" si="11"/>
        <v>2.032E-3</v>
      </c>
      <c r="P64" s="29">
        <v>7.43403717661394E-11</v>
      </c>
      <c r="Q64" s="2">
        <v>0.05</v>
      </c>
      <c r="R64" s="2">
        <f t="shared" si="12"/>
        <v>105000</v>
      </c>
      <c r="S64" s="2">
        <f t="shared" si="13"/>
        <v>5.1940208761751296E-3</v>
      </c>
      <c r="T64" s="2">
        <v>0.12</v>
      </c>
      <c r="U64" s="2">
        <f t="shared" si="14"/>
        <v>112000.00000000001</v>
      </c>
      <c r="V64" s="2">
        <f t="shared" si="19"/>
        <v>7.5150891089108915</v>
      </c>
      <c r="W64" s="2">
        <f t="shared" si="15"/>
        <v>5</v>
      </c>
      <c r="X64" s="12">
        <f t="shared" si="20"/>
        <v>3.0120710933117366E-7</v>
      </c>
      <c r="Y64" s="2">
        <f t="shared" si="16"/>
        <v>99732.115698874128</v>
      </c>
      <c r="Z64" s="12">
        <f t="shared" si="17"/>
        <v>1.5687964698304184E-14</v>
      </c>
      <c r="AA64" s="12">
        <f t="shared" si="18"/>
        <v>9447292341.318779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</row>
    <row r="65" spans="1:75" s="4" customFormat="1" x14ac:dyDescent="0.25">
      <c r="A65" s="1">
        <v>189</v>
      </c>
      <c r="B65" s="1">
        <f t="shared" si="3"/>
        <v>3.15</v>
      </c>
      <c r="C65" s="1">
        <v>20</v>
      </c>
      <c r="D65" s="1">
        <f t="shared" si="0"/>
        <v>29.146000000000001</v>
      </c>
      <c r="E65" s="1">
        <f t="shared" si="4"/>
        <v>4.8576666666666667E-7</v>
      </c>
      <c r="F65" s="1">
        <v>21.1</v>
      </c>
      <c r="G65" s="1">
        <f t="shared" si="5"/>
        <v>294.10000000000002</v>
      </c>
      <c r="H65" s="1">
        <v>101.3</v>
      </c>
      <c r="I65" s="1">
        <f t="shared" si="6"/>
        <v>101300</v>
      </c>
      <c r="J65" s="1">
        <f t="shared" si="7"/>
        <v>2.0124824921938581E-5</v>
      </c>
      <c r="K65" s="28">
        <v>74.797029702970292</v>
      </c>
      <c r="L65" s="1">
        <f t="shared" si="8"/>
        <v>7.479702970297029E-5</v>
      </c>
      <c r="M65" s="1">
        <f t="shared" si="9"/>
        <v>4.7762865441819992E-3</v>
      </c>
      <c r="N65" s="64">
        <f t="shared" si="10"/>
        <v>3.1515636960410107E-7</v>
      </c>
      <c r="O65" s="29">
        <f t="shared" si="11"/>
        <v>2.032E-3</v>
      </c>
      <c r="P65" s="29">
        <v>7.43403717661394E-11</v>
      </c>
      <c r="Q65" s="2">
        <v>0.05</v>
      </c>
      <c r="R65" s="2">
        <f t="shared" si="12"/>
        <v>105000</v>
      </c>
      <c r="S65" s="2">
        <f t="shared" si="13"/>
        <v>5.1940208761751296E-3</v>
      </c>
      <c r="T65" s="2">
        <v>0.12</v>
      </c>
      <c r="U65" s="2">
        <f t="shared" si="14"/>
        <v>112000.00000000001</v>
      </c>
      <c r="V65" s="2">
        <f t="shared" si="19"/>
        <v>8.3772673267326727</v>
      </c>
      <c r="W65" s="2">
        <f t="shared" si="15"/>
        <v>5</v>
      </c>
      <c r="X65" s="12">
        <f t="shared" si="20"/>
        <v>3.3923953873920817E-7</v>
      </c>
      <c r="Y65" s="2">
        <f t="shared" si="16"/>
        <v>99076.596890733985</v>
      </c>
      <c r="Z65" s="12">
        <f t="shared" si="17"/>
        <v>1.7785897969434691E-14</v>
      </c>
      <c r="AA65" s="12">
        <f t="shared" si="18"/>
        <v>10710667757.193571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</row>
    <row r="66" spans="1:75" s="4" customFormat="1" x14ac:dyDescent="0.25">
      <c r="A66" s="1">
        <v>192</v>
      </c>
      <c r="B66" s="1">
        <f t="shared" si="3"/>
        <v>3.2</v>
      </c>
      <c r="C66" s="1">
        <v>20</v>
      </c>
      <c r="D66" s="1">
        <f t="shared" ref="D66:D72" si="21">(C66*1.4573)</f>
        <v>29.146000000000001</v>
      </c>
      <c r="E66" s="1">
        <f t="shared" si="4"/>
        <v>4.8576666666666667E-7</v>
      </c>
      <c r="F66" s="1">
        <v>21.1</v>
      </c>
      <c r="G66" s="1">
        <f t="shared" si="5"/>
        <v>294.10000000000002</v>
      </c>
      <c r="H66" s="1">
        <v>101.3</v>
      </c>
      <c r="I66" s="1">
        <f t="shared" si="6"/>
        <v>101300</v>
      </c>
      <c r="J66" s="1">
        <f t="shared" si="7"/>
        <v>2.0124824921938581E-5</v>
      </c>
      <c r="K66" s="28">
        <v>72.841584158415841</v>
      </c>
      <c r="L66" s="1">
        <f t="shared" si="8"/>
        <v>7.2841584158415843E-5</v>
      </c>
      <c r="M66" s="1">
        <f t="shared" si="9"/>
        <v>4.7762865441819992E-3</v>
      </c>
      <c r="N66" s="64">
        <f t="shared" si="10"/>
        <v>3.0691712372458427E-7</v>
      </c>
      <c r="O66" s="29">
        <f t="shared" si="11"/>
        <v>2.032E-3</v>
      </c>
      <c r="P66" s="29">
        <v>7.43403717661394E-11</v>
      </c>
      <c r="Q66" s="2">
        <v>0.05</v>
      </c>
      <c r="R66" s="2">
        <f t="shared" si="12"/>
        <v>105000</v>
      </c>
      <c r="S66" s="2">
        <f t="shared" si="13"/>
        <v>5.1940208761751296E-3</v>
      </c>
      <c r="T66" s="2">
        <v>0.12</v>
      </c>
      <c r="U66" s="2">
        <f t="shared" si="14"/>
        <v>112000.00000000001</v>
      </c>
      <c r="V66" s="2">
        <f t="shared" ref="V66:V72" si="22">(L66*U66)</f>
        <v>8.1582574257425762</v>
      </c>
      <c r="W66" s="2">
        <f t="shared" si="15"/>
        <v>5</v>
      </c>
      <c r="X66" s="12">
        <f t="shared" ref="X66:X72" si="23">(N66+((P66/O66)*(SQRT(V66)-SQRT(W66))))</f>
        <v>3.2960697466293566E-7</v>
      </c>
      <c r="Y66" s="2">
        <f t="shared" si="16"/>
        <v>99242.417313864571</v>
      </c>
      <c r="Z66" s="12">
        <f t="shared" si="17"/>
        <v>1.7251960397653943E-14</v>
      </c>
      <c r="AA66" s="12">
        <f t="shared" si="18"/>
        <v>10389130551.467205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</row>
    <row r="67" spans="1:75" s="4" customFormat="1" x14ac:dyDescent="0.25">
      <c r="A67" s="1">
        <v>195</v>
      </c>
      <c r="B67" s="1">
        <f t="shared" ref="B67:B72" si="24">(A67/60)</f>
        <v>3.25</v>
      </c>
      <c r="C67" s="1">
        <v>20</v>
      </c>
      <c r="D67" s="1">
        <f t="shared" si="21"/>
        <v>29.146000000000001</v>
      </c>
      <c r="E67" s="1">
        <f t="shared" ref="E67:E72" si="25">(D67/(1000000*60))</f>
        <v>4.8576666666666667E-7</v>
      </c>
      <c r="F67" s="1">
        <v>21.1</v>
      </c>
      <c r="G67" s="1">
        <f t="shared" ref="G67:G72" si="26">(273+F67)</f>
        <v>294.10000000000002</v>
      </c>
      <c r="H67" s="1">
        <v>101.3</v>
      </c>
      <c r="I67" s="1">
        <f t="shared" ref="I67:I72" si="27">(H67*1000)</f>
        <v>101300</v>
      </c>
      <c r="J67" s="1">
        <f t="shared" ref="J67:J72" si="28">((I67*E67)/(8.314*G67))</f>
        <v>2.0124824921938581E-5</v>
      </c>
      <c r="K67" s="28">
        <v>62.173267326732677</v>
      </c>
      <c r="L67" s="1">
        <f t="shared" ref="L67:L72" si="29">(K67/1000000)</f>
        <v>6.2173267326732679E-5</v>
      </c>
      <c r="M67" s="1">
        <f t="shared" ref="M67:M72" si="30">(3.142*3.07*3.07*25.4*25.4)/(4*1000000)</f>
        <v>4.7762865441819992E-3</v>
      </c>
      <c r="N67" s="64">
        <f t="shared" ref="N67:N72" si="31">(L67*J67)/M67</f>
        <v>2.6196630126797977E-7</v>
      </c>
      <c r="O67" s="29">
        <f t="shared" ref="O67:O72" si="32">(2.032/1000)</f>
        <v>2.032E-3</v>
      </c>
      <c r="P67" s="29">
        <v>7.43403717661394E-11</v>
      </c>
      <c r="Q67" s="2">
        <v>0.05</v>
      </c>
      <c r="R67" s="2">
        <f t="shared" ref="R67:R72" si="33">(1+Q67)*100000*1</f>
        <v>105000</v>
      </c>
      <c r="S67" s="2">
        <f t="shared" ref="S67:S72" si="34">(5.19402087617513/1000)</f>
        <v>5.1940208761751296E-3</v>
      </c>
      <c r="T67" s="2">
        <v>0.12</v>
      </c>
      <c r="U67" s="2">
        <f t="shared" ref="U67:U72" si="35">(1+T67)*100000</f>
        <v>112000.00000000001</v>
      </c>
      <c r="V67" s="2">
        <f t="shared" si="22"/>
        <v>6.9634059405940611</v>
      </c>
      <c r="W67" s="2">
        <f t="shared" ref="W67:W72" si="36">(50/1000000)*100000</f>
        <v>5</v>
      </c>
      <c r="X67" s="12">
        <f t="shared" si="23"/>
        <v>2.7670115725163776E-7</v>
      </c>
      <c r="Y67" s="2">
        <f t="shared" ref="Y67:Y72" si="37">(SQRT(R67)-(X67*O67/P67))^2</f>
        <v>100155.64006880976</v>
      </c>
      <c r="Z67" s="12">
        <f t="shared" ref="Z67:Z72" si="38">(X67*S67)/(Y67-V67)</f>
        <v>1.4350579908957228E-14</v>
      </c>
      <c r="AA67" s="12">
        <f t="shared" ref="AA67:AA72" si="39">(Z67*6.022E+23)</f>
        <v>8641919221.1740437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</row>
    <row r="68" spans="1:75" s="4" customFormat="1" x14ac:dyDescent="0.25">
      <c r="A68" s="1">
        <v>198</v>
      </c>
      <c r="B68" s="1">
        <f t="shared" si="24"/>
        <v>3.3</v>
      </c>
      <c r="C68" s="1">
        <v>20</v>
      </c>
      <c r="D68" s="1">
        <f t="shared" si="21"/>
        <v>29.146000000000001</v>
      </c>
      <c r="E68" s="1">
        <f t="shared" si="25"/>
        <v>4.8576666666666667E-7</v>
      </c>
      <c r="F68" s="1">
        <v>21.1</v>
      </c>
      <c r="G68" s="1">
        <f t="shared" si="26"/>
        <v>294.10000000000002</v>
      </c>
      <c r="H68" s="1">
        <v>101.3</v>
      </c>
      <c r="I68" s="1">
        <f t="shared" si="27"/>
        <v>101300</v>
      </c>
      <c r="J68" s="1">
        <f t="shared" si="28"/>
        <v>2.0124824921938581E-5</v>
      </c>
      <c r="K68" s="28">
        <v>75.663366336633672</v>
      </c>
      <c r="L68" s="1">
        <f t="shared" si="29"/>
        <v>7.5663366336633673E-5</v>
      </c>
      <c r="M68" s="1">
        <f t="shared" si="30"/>
        <v>4.7762865441819992E-3</v>
      </c>
      <c r="N68" s="64">
        <f t="shared" si="31"/>
        <v>3.1880666841148201E-7</v>
      </c>
      <c r="O68" s="29">
        <f t="shared" si="32"/>
        <v>2.032E-3</v>
      </c>
      <c r="P68" s="29">
        <v>7.43403717661394E-11</v>
      </c>
      <c r="Q68" s="2">
        <v>0.05</v>
      </c>
      <c r="R68" s="2">
        <f t="shared" si="33"/>
        <v>105000</v>
      </c>
      <c r="S68" s="2">
        <f t="shared" si="34"/>
        <v>5.1940208761751296E-3</v>
      </c>
      <c r="T68" s="2">
        <v>0.12</v>
      </c>
      <c r="U68" s="2">
        <f t="shared" si="35"/>
        <v>112000.00000000001</v>
      </c>
      <c r="V68" s="2">
        <f t="shared" si="22"/>
        <v>8.4742970297029725</v>
      </c>
      <c r="W68" s="2">
        <f t="shared" si="36"/>
        <v>5</v>
      </c>
      <c r="X68" s="12">
        <f t="shared" si="23"/>
        <v>3.4350130369265949E-7</v>
      </c>
      <c r="Y68" s="2">
        <f t="shared" si="37"/>
        <v>99003.276691883657</v>
      </c>
      <c r="Z68" s="12">
        <f t="shared" si="38"/>
        <v>1.8022693103186518E-14</v>
      </c>
      <c r="AA68" s="12">
        <f t="shared" si="39"/>
        <v>10853265786.738922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</row>
    <row r="69" spans="1:75" s="4" customFormat="1" x14ac:dyDescent="0.25">
      <c r="A69" s="1">
        <v>201</v>
      </c>
      <c r="B69" s="1">
        <f t="shared" si="24"/>
        <v>3.35</v>
      </c>
      <c r="C69" s="1">
        <v>20</v>
      </c>
      <c r="D69" s="1">
        <f t="shared" si="21"/>
        <v>29.146000000000001</v>
      </c>
      <c r="E69" s="1">
        <f t="shared" si="25"/>
        <v>4.8576666666666667E-7</v>
      </c>
      <c r="F69" s="1">
        <v>21.1</v>
      </c>
      <c r="G69" s="1">
        <f t="shared" si="26"/>
        <v>294.10000000000002</v>
      </c>
      <c r="H69" s="1">
        <v>101.3</v>
      </c>
      <c r="I69" s="1">
        <f t="shared" si="27"/>
        <v>101300</v>
      </c>
      <c r="J69" s="1">
        <f t="shared" si="28"/>
        <v>2.0124824921938581E-5</v>
      </c>
      <c r="K69" s="28">
        <v>64.376237623762378</v>
      </c>
      <c r="L69" s="1">
        <f t="shared" si="29"/>
        <v>6.4376237623762377E-5</v>
      </c>
      <c r="M69" s="1">
        <f t="shared" si="30"/>
        <v>4.7762865441819992E-3</v>
      </c>
      <c r="N69" s="64">
        <f t="shared" si="31"/>
        <v>2.712484896638911E-7</v>
      </c>
      <c r="O69" s="29">
        <f t="shared" si="32"/>
        <v>2.032E-3</v>
      </c>
      <c r="P69" s="29">
        <v>7.43403717661394E-11</v>
      </c>
      <c r="Q69" s="2">
        <v>0.05</v>
      </c>
      <c r="R69" s="2">
        <f t="shared" si="33"/>
        <v>105000</v>
      </c>
      <c r="S69" s="2">
        <f t="shared" si="34"/>
        <v>5.1940208761751296E-3</v>
      </c>
      <c r="T69" s="2">
        <v>0.12</v>
      </c>
      <c r="U69" s="2">
        <f t="shared" si="35"/>
        <v>112000.00000000001</v>
      </c>
      <c r="V69" s="2">
        <f t="shared" si="22"/>
        <v>7.2101386138613872</v>
      </c>
      <c r="W69" s="2">
        <f t="shared" si="36"/>
        <v>5</v>
      </c>
      <c r="X69" s="12">
        <f t="shared" si="23"/>
        <v>2.8767881485845421E-7</v>
      </c>
      <c r="Y69" s="2">
        <f t="shared" si="37"/>
        <v>99965.807631860967</v>
      </c>
      <c r="Z69" s="12">
        <f t="shared" si="38"/>
        <v>1.4948286665477428E-14</v>
      </c>
      <c r="AA69" s="12">
        <f t="shared" si="39"/>
        <v>9001858229.9505081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</row>
    <row r="70" spans="1:75" s="4" customFormat="1" x14ac:dyDescent="0.25">
      <c r="A70" s="1">
        <v>204</v>
      </c>
      <c r="B70" s="1">
        <f t="shared" si="24"/>
        <v>3.4</v>
      </c>
      <c r="C70" s="1">
        <v>20</v>
      </c>
      <c r="D70" s="1">
        <f t="shared" si="21"/>
        <v>29.146000000000001</v>
      </c>
      <c r="E70" s="1">
        <f t="shared" si="25"/>
        <v>4.8576666666666667E-7</v>
      </c>
      <c r="F70" s="1">
        <v>21.1</v>
      </c>
      <c r="G70" s="1">
        <f t="shared" si="26"/>
        <v>294.10000000000002</v>
      </c>
      <c r="H70" s="1">
        <v>101.3</v>
      </c>
      <c r="I70" s="1">
        <f t="shared" si="27"/>
        <v>101300</v>
      </c>
      <c r="J70" s="1">
        <f t="shared" si="28"/>
        <v>2.0124824921938581E-5</v>
      </c>
      <c r="K70" s="28">
        <v>70.56435643564356</v>
      </c>
      <c r="L70" s="1">
        <f t="shared" si="29"/>
        <v>7.0564356435643557E-5</v>
      </c>
      <c r="M70" s="1">
        <f t="shared" si="30"/>
        <v>4.7762865441819992E-3</v>
      </c>
      <c r="N70" s="64">
        <f t="shared" si="31"/>
        <v>2.9732205257375449E-7</v>
      </c>
      <c r="O70" s="29">
        <f t="shared" si="32"/>
        <v>2.032E-3</v>
      </c>
      <c r="P70" s="29">
        <v>7.43403717661394E-11</v>
      </c>
      <c r="Q70" s="2">
        <v>0.05</v>
      </c>
      <c r="R70" s="2">
        <f t="shared" si="33"/>
        <v>105000</v>
      </c>
      <c r="S70" s="2">
        <f t="shared" si="34"/>
        <v>5.1940208761751296E-3</v>
      </c>
      <c r="T70" s="2">
        <v>0.12</v>
      </c>
      <c r="U70" s="2">
        <f t="shared" si="35"/>
        <v>112000.00000000001</v>
      </c>
      <c r="V70" s="2">
        <f t="shared" si="22"/>
        <v>7.9032079207920791</v>
      </c>
      <c r="W70" s="2">
        <f t="shared" si="36"/>
        <v>5</v>
      </c>
      <c r="X70" s="12">
        <f t="shared" si="23"/>
        <v>3.1836551768091878E-7</v>
      </c>
      <c r="Y70" s="2">
        <f t="shared" si="37"/>
        <v>99436.109450360076</v>
      </c>
      <c r="Z70" s="12">
        <f t="shared" si="38"/>
        <v>1.6631066852970982E-14</v>
      </c>
      <c r="AA70" s="12">
        <f t="shared" si="39"/>
        <v>10015228458.859125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</row>
    <row r="71" spans="1:75" s="4" customFormat="1" x14ac:dyDescent="0.25">
      <c r="A71" s="1">
        <v>207</v>
      </c>
      <c r="B71" s="1">
        <f t="shared" si="24"/>
        <v>3.45</v>
      </c>
      <c r="C71" s="1">
        <v>20</v>
      </c>
      <c r="D71" s="1">
        <f t="shared" si="21"/>
        <v>29.146000000000001</v>
      </c>
      <c r="E71" s="1">
        <f t="shared" si="25"/>
        <v>4.8576666666666667E-7</v>
      </c>
      <c r="F71" s="1">
        <v>21.1</v>
      </c>
      <c r="G71" s="1">
        <f t="shared" si="26"/>
        <v>294.10000000000002</v>
      </c>
      <c r="H71" s="1">
        <v>101.3</v>
      </c>
      <c r="I71" s="1">
        <f t="shared" si="27"/>
        <v>101300</v>
      </c>
      <c r="J71" s="1">
        <f t="shared" si="28"/>
        <v>2.0124824921938581E-5</v>
      </c>
      <c r="K71" s="28">
        <v>67.841584158415841</v>
      </c>
      <c r="L71" s="1">
        <f t="shared" si="29"/>
        <v>6.7841584158415843E-5</v>
      </c>
      <c r="M71" s="1">
        <f t="shared" si="30"/>
        <v>4.7762865441819992E-3</v>
      </c>
      <c r="N71" s="64">
        <f t="shared" si="31"/>
        <v>2.8584968489341462E-7</v>
      </c>
      <c r="O71" s="29">
        <f t="shared" si="32"/>
        <v>2.032E-3</v>
      </c>
      <c r="P71" s="29">
        <v>7.43403717661394E-11</v>
      </c>
      <c r="Q71" s="2">
        <v>0.05</v>
      </c>
      <c r="R71" s="2">
        <f t="shared" si="33"/>
        <v>105000</v>
      </c>
      <c r="S71" s="2">
        <f t="shared" si="34"/>
        <v>5.1940208761751296E-3</v>
      </c>
      <c r="T71" s="2">
        <v>0.12</v>
      </c>
      <c r="U71" s="2">
        <f t="shared" si="35"/>
        <v>112000.00000000001</v>
      </c>
      <c r="V71" s="2">
        <f t="shared" si="22"/>
        <v>7.5982574257425757</v>
      </c>
      <c r="W71" s="2">
        <f t="shared" si="36"/>
        <v>5</v>
      </c>
      <c r="X71" s="12">
        <f t="shared" si="23"/>
        <v>3.0488937015000426E-7</v>
      </c>
      <c r="Y71" s="2">
        <f t="shared" si="37"/>
        <v>99668.554537924065</v>
      </c>
      <c r="Z71" s="12">
        <f t="shared" si="38"/>
        <v>1.5889891213023491E-14</v>
      </c>
      <c r="AA71" s="12">
        <f t="shared" si="39"/>
        <v>9568892488.4827461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</row>
    <row r="72" spans="1:75" s="4" customFormat="1" x14ac:dyDescent="0.25">
      <c r="A72" s="1">
        <v>210</v>
      </c>
      <c r="B72" s="1">
        <f t="shared" si="24"/>
        <v>3.5</v>
      </c>
      <c r="C72" s="1">
        <v>20</v>
      </c>
      <c r="D72" s="1">
        <f t="shared" si="21"/>
        <v>29.146000000000001</v>
      </c>
      <c r="E72" s="1">
        <f t="shared" si="25"/>
        <v>4.8576666666666667E-7</v>
      </c>
      <c r="F72" s="1">
        <v>21.1</v>
      </c>
      <c r="G72" s="1">
        <f t="shared" si="26"/>
        <v>294.10000000000002</v>
      </c>
      <c r="H72" s="1">
        <v>101.3</v>
      </c>
      <c r="I72" s="1">
        <f t="shared" si="27"/>
        <v>101300</v>
      </c>
      <c r="J72" s="1">
        <f t="shared" si="28"/>
        <v>2.0124824921938581E-5</v>
      </c>
      <c r="K72" s="28">
        <v>66.28217821782178</v>
      </c>
      <c r="L72" s="1">
        <f t="shared" si="29"/>
        <v>6.628217821782178E-5</v>
      </c>
      <c r="M72" s="1">
        <f t="shared" si="30"/>
        <v>4.7762865441819992E-3</v>
      </c>
      <c r="N72" s="64">
        <f t="shared" si="31"/>
        <v>2.7927914704012906E-7</v>
      </c>
      <c r="O72" s="29">
        <f t="shared" si="32"/>
        <v>2.032E-3</v>
      </c>
      <c r="P72" s="29">
        <v>7.43403717661394E-11</v>
      </c>
      <c r="Q72" s="2">
        <v>0.05</v>
      </c>
      <c r="R72" s="2">
        <f t="shared" si="33"/>
        <v>105000</v>
      </c>
      <c r="S72" s="2">
        <f t="shared" si="34"/>
        <v>5.1940208761751296E-3</v>
      </c>
      <c r="T72" s="2">
        <v>0.12</v>
      </c>
      <c r="U72" s="2">
        <f t="shared" si="35"/>
        <v>112000.00000000001</v>
      </c>
      <c r="V72" s="2">
        <f t="shared" si="22"/>
        <v>7.42360396039604</v>
      </c>
      <c r="W72" s="2">
        <f t="shared" si="36"/>
        <v>5</v>
      </c>
      <c r="X72" s="12">
        <f t="shared" si="23"/>
        <v>2.9715307350925348E-7</v>
      </c>
      <c r="Y72" s="2">
        <f t="shared" si="37"/>
        <v>99802.117667946193</v>
      </c>
      <c r="Z72" s="12">
        <f t="shared" si="38"/>
        <v>1.5465945175773221E-14</v>
      </c>
      <c r="AA72" s="12">
        <f t="shared" si="39"/>
        <v>9313592184.8506336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</row>
    <row r="73" spans="1:75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2"/>
      <c r="L73" s="1"/>
      <c r="M73" s="1"/>
      <c r="N73" s="29"/>
      <c r="O73" s="29"/>
      <c r="P73" s="29"/>
      <c r="Q73" s="2"/>
      <c r="R73" s="2"/>
      <c r="S73" s="2"/>
      <c r="T73" s="2"/>
      <c r="U73" s="2"/>
      <c r="V73" s="2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</row>
    <row r="74" spans="1:75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2"/>
      <c r="L74" s="1"/>
      <c r="M74" s="1"/>
      <c r="N74" s="29"/>
      <c r="O74" s="29"/>
      <c r="P74" s="29"/>
      <c r="Q74" s="2"/>
      <c r="R74" s="2"/>
      <c r="S74" s="2"/>
      <c r="T74" s="2"/>
      <c r="U74" s="2"/>
      <c r="V74" s="2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</row>
    <row r="75" spans="1:75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2"/>
      <c r="L75" s="1"/>
      <c r="M75" s="1"/>
      <c r="N75" s="29"/>
      <c r="O75" s="29"/>
      <c r="P75" s="29"/>
      <c r="Q75" s="2"/>
      <c r="R75" s="2"/>
      <c r="S75" s="2"/>
      <c r="T75" s="2"/>
      <c r="U75" s="2"/>
      <c r="V75" s="2"/>
      <c r="W75" s="8"/>
      <c r="X75" s="8"/>
      <c r="Y75" s="8"/>
      <c r="Z75" s="45">
        <f>AVERAGE(Z54:Z72)</f>
        <v>1.6390653914604102E-14</v>
      </c>
      <c r="AA75" s="45">
        <f>AVERAGE(AA54:AA72)</f>
        <v>9870451787.3745918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</row>
    <row r="76" spans="1:75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2"/>
      <c r="L76" s="1"/>
      <c r="M76" s="1"/>
      <c r="N76" s="29"/>
      <c r="O76" s="29"/>
      <c r="P76" s="29"/>
      <c r="Q76" s="2"/>
      <c r="R76" s="2"/>
      <c r="S76" s="2"/>
      <c r="T76" s="2"/>
      <c r="U76" s="2"/>
      <c r="V76" s="2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</row>
    <row r="77" spans="1:75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2"/>
      <c r="L77" s="1"/>
      <c r="M77" s="1"/>
      <c r="N77" s="29"/>
      <c r="O77" s="29"/>
      <c r="P77" s="29"/>
      <c r="Q77" s="2"/>
      <c r="R77" s="2"/>
      <c r="S77" s="2"/>
      <c r="T77" s="2"/>
      <c r="U77" s="2"/>
      <c r="V77" s="2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</row>
    <row r="78" spans="1:75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2"/>
      <c r="L78" s="1"/>
      <c r="M78" s="1"/>
      <c r="N78" s="29"/>
      <c r="O78" s="29"/>
      <c r="P78" s="29"/>
      <c r="Q78" s="2"/>
      <c r="R78" s="2"/>
      <c r="S78" s="2"/>
      <c r="T78" s="2"/>
      <c r="U78" s="2"/>
      <c r="V78" s="2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</row>
    <row r="79" spans="1:75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2"/>
      <c r="L79" s="1"/>
      <c r="M79" s="1"/>
      <c r="N79" s="29"/>
      <c r="O79" s="29"/>
      <c r="P79" s="29"/>
      <c r="Q79" s="2"/>
      <c r="R79" s="2"/>
      <c r="S79" s="2"/>
      <c r="T79" s="2"/>
      <c r="U79" s="2"/>
      <c r="V79" s="2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</row>
    <row r="80" spans="1:75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2"/>
      <c r="L80" s="1"/>
      <c r="M80" s="1"/>
      <c r="N80" s="29"/>
      <c r="O80" s="29"/>
      <c r="P80" s="29"/>
      <c r="Q80" s="2"/>
      <c r="R80" s="2"/>
      <c r="S80" s="2"/>
      <c r="T80" s="2"/>
      <c r="U80" s="2"/>
      <c r="V80" s="2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</row>
    <row r="81" spans="1:75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2"/>
      <c r="L81" s="1"/>
      <c r="M81" s="1"/>
      <c r="N81" s="29"/>
      <c r="O81" s="29"/>
      <c r="P81" s="29"/>
      <c r="Q81" s="2"/>
      <c r="R81" s="2"/>
      <c r="S81" s="2"/>
      <c r="T81" s="2"/>
      <c r="U81" s="2"/>
      <c r="V81" s="2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</row>
    <row r="82" spans="1:75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2"/>
      <c r="L82" s="1"/>
      <c r="M82" s="1"/>
      <c r="N82" s="29"/>
      <c r="O82" s="29"/>
      <c r="P82" s="29"/>
      <c r="Q82" s="2"/>
      <c r="R82" s="2"/>
      <c r="S82" s="2"/>
      <c r="T82" s="2"/>
      <c r="U82" s="2"/>
      <c r="V82" s="2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</row>
    <row r="83" spans="1:75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2"/>
      <c r="L83" s="1"/>
      <c r="M83" s="1"/>
      <c r="N83" s="29"/>
      <c r="O83" s="29"/>
      <c r="P83" s="29"/>
      <c r="Q83" s="2"/>
      <c r="R83" s="2"/>
      <c r="S83" s="2"/>
      <c r="T83" s="2"/>
      <c r="U83" s="2"/>
      <c r="V83" s="2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</row>
    <row r="84" spans="1:75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2"/>
      <c r="L84" s="1"/>
      <c r="M84" s="1"/>
      <c r="N84" s="29"/>
      <c r="O84" s="29"/>
      <c r="P84" s="29"/>
      <c r="Q84" s="2"/>
      <c r="R84" s="2"/>
      <c r="S84" s="2"/>
      <c r="T84" s="2"/>
      <c r="U84" s="2"/>
      <c r="V84" s="2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</row>
    <row r="85" spans="1:75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2"/>
      <c r="L85" s="1"/>
      <c r="M85" s="1"/>
      <c r="N85" s="29"/>
      <c r="O85" s="29"/>
      <c r="P85" s="29"/>
      <c r="Q85" s="2"/>
      <c r="R85" s="2"/>
      <c r="S85" s="2"/>
      <c r="T85" s="2"/>
      <c r="U85" s="2"/>
      <c r="V85" s="2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</row>
    <row r="86" spans="1:75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2"/>
      <c r="L86" s="1"/>
      <c r="M86" s="1"/>
      <c r="N86" s="29"/>
      <c r="O86" s="29"/>
      <c r="P86" s="29"/>
      <c r="Q86" s="2"/>
      <c r="R86" s="2"/>
      <c r="S86" s="2"/>
      <c r="T86" s="2"/>
      <c r="U86" s="2"/>
      <c r="V86" s="2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</row>
    <row r="87" spans="1:75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2"/>
      <c r="L87" s="1"/>
      <c r="M87" s="1"/>
      <c r="N87" s="29"/>
      <c r="O87" s="29"/>
      <c r="P87" s="29"/>
      <c r="Q87" s="2"/>
      <c r="R87" s="2"/>
      <c r="S87" s="2"/>
      <c r="T87" s="2"/>
      <c r="U87" s="2"/>
      <c r="V87" s="2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</row>
    <row r="88" spans="1:75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2"/>
      <c r="L88" s="1"/>
      <c r="M88" s="1"/>
      <c r="N88" s="29"/>
      <c r="O88" s="29"/>
      <c r="P88" s="29"/>
      <c r="Q88" s="2"/>
      <c r="R88" s="2"/>
      <c r="S88" s="2"/>
      <c r="T88" s="2"/>
      <c r="U88" s="2"/>
      <c r="V88" s="2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</row>
    <row r="89" spans="1:75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2"/>
      <c r="L89" s="1"/>
      <c r="M89" s="1"/>
      <c r="N89" s="29"/>
      <c r="O89" s="29"/>
      <c r="P89" s="29"/>
      <c r="Q89" s="2"/>
      <c r="R89" s="2"/>
      <c r="S89" s="2"/>
      <c r="T89" s="2"/>
      <c r="U89" s="2"/>
      <c r="V89" s="2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</row>
    <row r="90" spans="1:75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2"/>
      <c r="L90" s="1"/>
      <c r="M90" s="1"/>
      <c r="N90" s="29"/>
      <c r="O90" s="29"/>
      <c r="P90" s="29"/>
      <c r="Q90" s="2"/>
      <c r="R90" s="2"/>
      <c r="S90" s="2"/>
      <c r="T90" s="2"/>
      <c r="U90" s="2"/>
      <c r="V90" s="2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</row>
    <row r="91" spans="1:75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2"/>
      <c r="L91" s="1"/>
      <c r="M91" s="1"/>
      <c r="N91" s="29"/>
      <c r="O91" s="29"/>
      <c r="P91" s="29"/>
      <c r="Q91" s="2"/>
      <c r="R91" s="2"/>
      <c r="S91" s="2"/>
      <c r="T91" s="2"/>
      <c r="U91" s="2"/>
      <c r="V91" s="2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</row>
    <row r="92" spans="1:75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2"/>
      <c r="L92" s="1"/>
      <c r="M92" s="1"/>
      <c r="N92" s="29"/>
      <c r="O92" s="29"/>
      <c r="P92" s="29"/>
      <c r="Q92" s="2"/>
      <c r="R92" s="2"/>
      <c r="S92" s="2"/>
      <c r="T92" s="2"/>
      <c r="U92" s="2"/>
      <c r="V92" s="2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</row>
    <row r="93" spans="1:75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2"/>
      <c r="L93" s="1"/>
      <c r="M93" s="1"/>
      <c r="N93" s="29"/>
      <c r="O93" s="29"/>
      <c r="P93" s="29"/>
      <c r="Q93" s="2"/>
      <c r="R93" s="2"/>
      <c r="S93" s="2"/>
      <c r="T93" s="2"/>
      <c r="U93" s="2"/>
      <c r="V93" s="2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</row>
    <row r="94" spans="1:75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2"/>
      <c r="L94" s="1"/>
      <c r="M94" s="1"/>
      <c r="N94" s="29"/>
      <c r="O94" s="29"/>
      <c r="P94" s="29"/>
      <c r="Q94" s="2"/>
      <c r="R94" s="2"/>
      <c r="S94" s="2"/>
      <c r="T94" s="2"/>
      <c r="U94" s="2"/>
      <c r="V94" s="2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</row>
    <row r="95" spans="1:75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2"/>
      <c r="L95" s="1"/>
      <c r="M95" s="1"/>
      <c r="N95" s="29"/>
      <c r="O95" s="29"/>
      <c r="P95" s="29"/>
      <c r="Q95" s="2"/>
      <c r="R95" s="2"/>
      <c r="S95" s="2"/>
      <c r="T95" s="2"/>
      <c r="U95" s="2"/>
      <c r="V95" s="2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</row>
    <row r="96" spans="1:75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2"/>
      <c r="L96" s="1"/>
      <c r="M96" s="1"/>
      <c r="N96" s="29"/>
      <c r="O96" s="29"/>
      <c r="P96" s="29"/>
      <c r="Q96" s="2"/>
      <c r="R96" s="2"/>
      <c r="S96" s="2"/>
      <c r="T96" s="2"/>
      <c r="U96" s="2"/>
      <c r="V96" s="2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</row>
    <row r="97" spans="1:75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2"/>
      <c r="L97" s="1"/>
      <c r="M97" s="1"/>
      <c r="N97" s="29"/>
      <c r="O97" s="29"/>
      <c r="P97" s="29"/>
      <c r="Q97" s="2"/>
      <c r="R97" s="2"/>
      <c r="S97" s="2"/>
      <c r="T97" s="2"/>
      <c r="U97" s="2"/>
      <c r="V97" s="2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</row>
    <row r="98" spans="1:75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2"/>
      <c r="L98" s="1"/>
      <c r="M98" s="1"/>
      <c r="N98" s="29"/>
      <c r="O98" s="29"/>
      <c r="P98" s="29"/>
      <c r="Q98" s="2"/>
      <c r="R98" s="2"/>
      <c r="S98" s="2"/>
      <c r="T98" s="2"/>
      <c r="U98" s="2"/>
      <c r="V98" s="2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</row>
    <row r="99" spans="1:75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2"/>
      <c r="L99" s="1"/>
      <c r="M99" s="1"/>
      <c r="N99" s="29"/>
      <c r="O99" s="29"/>
      <c r="P99" s="29"/>
      <c r="Q99" s="2"/>
      <c r="R99" s="2"/>
      <c r="S99" s="2"/>
      <c r="T99" s="2"/>
      <c r="U99" s="2"/>
      <c r="V99" s="2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</row>
    <row r="100" spans="1:75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2"/>
      <c r="L100" s="1"/>
      <c r="M100" s="1"/>
      <c r="N100" s="29"/>
      <c r="O100" s="29"/>
      <c r="P100" s="29"/>
      <c r="Q100" s="2"/>
      <c r="R100" s="2"/>
      <c r="S100" s="2"/>
      <c r="T100" s="2"/>
      <c r="U100" s="2"/>
      <c r="V100" s="2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</row>
    <row r="101" spans="1:75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2"/>
      <c r="L101" s="1"/>
      <c r="M101" s="1"/>
      <c r="N101" s="29"/>
      <c r="O101" s="29"/>
      <c r="P101" s="29"/>
      <c r="Q101" s="2"/>
      <c r="R101" s="2"/>
      <c r="S101" s="2"/>
      <c r="T101" s="2"/>
      <c r="U101" s="2"/>
      <c r="V101" s="2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</row>
    <row r="102" spans="1:75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2"/>
      <c r="L102" s="1"/>
      <c r="M102" s="1"/>
      <c r="N102" s="29"/>
      <c r="O102" s="29"/>
      <c r="P102" s="29"/>
      <c r="Q102" s="2"/>
      <c r="R102" s="2"/>
      <c r="S102" s="2"/>
      <c r="T102" s="2"/>
      <c r="U102" s="2"/>
      <c r="V102" s="2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</row>
    <row r="103" spans="1:75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2"/>
      <c r="L103" s="1"/>
      <c r="M103" s="1"/>
      <c r="N103" s="29"/>
      <c r="O103" s="29"/>
      <c r="P103" s="29"/>
      <c r="Q103" s="2"/>
      <c r="R103" s="2"/>
      <c r="S103" s="2"/>
      <c r="T103" s="2"/>
      <c r="U103" s="2"/>
      <c r="V103" s="2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</row>
    <row r="104" spans="1:75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2"/>
      <c r="L104" s="1"/>
      <c r="M104" s="1"/>
      <c r="N104" s="29"/>
      <c r="O104" s="29"/>
      <c r="P104" s="29"/>
      <c r="Q104" s="2"/>
      <c r="R104" s="2"/>
      <c r="S104" s="2"/>
      <c r="T104" s="2"/>
      <c r="U104" s="2"/>
      <c r="V104" s="2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</row>
    <row r="105" spans="1:75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2"/>
      <c r="L105" s="1"/>
      <c r="M105" s="1"/>
      <c r="N105" s="64"/>
      <c r="O105" s="29"/>
      <c r="P105" s="29"/>
      <c r="Q105" s="2"/>
      <c r="R105" s="2"/>
      <c r="S105" s="2"/>
      <c r="T105" s="2"/>
      <c r="U105" s="2"/>
      <c r="V105" s="2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</row>
    <row r="106" spans="1:75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2"/>
      <c r="L106" s="1"/>
      <c r="M106" s="1"/>
      <c r="N106" s="29"/>
      <c r="O106" s="29"/>
      <c r="P106" s="29"/>
      <c r="Q106" s="2"/>
      <c r="R106" s="2"/>
      <c r="S106" s="2"/>
      <c r="T106" s="2"/>
      <c r="U106" s="2"/>
      <c r="V106" s="2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</row>
    <row r="107" spans="1:75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2"/>
      <c r="L107" s="1"/>
      <c r="M107" s="1"/>
      <c r="N107" s="29"/>
      <c r="O107" s="29"/>
      <c r="P107" s="29"/>
      <c r="Q107" s="2"/>
      <c r="R107" s="2"/>
      <c r="S107" s="2"/>
      <c r="T107" s="2"/>
      <c r="U107" s="2"/>
      <c r="V107" s="2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</row>
    <row r="108" spans="1:75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2"/>
      <c r="L108" s="1"/>
      <c r="M108" s="1"/>
      <c r="N108" s="29"/>
      <c r="O108" s="29"/>
      <c r="P108" s="29"/>
      <c r="Q108" s="2"/>
      <c r="R108" s="2"/>
      <c r="S108" s="2"/>
      <c r="T108" s="2"/>
      <c r="U108" s="2"/>
      <c r="V108" s="2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</row>
    <row r="109" spans="1:75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2"/>
      <c r="L109" s="1"/>
      <c r="M109" s="1"/>
      <c r="N109" s="29"/>
      <c r="O109" s="29"/>
      <c r="P109" s="29"/>
      <c r="Q109" s="2"/>
      <c r="R109" s="2"/>
      <c r="S109" s="2"/>
      <c r="T109" s="2"/>
      <c r="U109" s="2"/>
      <c r="V109" s="2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</row>
    <row r="110" spans="1:75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2"/>
      <c r="L110" s="1"/>
      <c r="M110" s="1"/>
      <c r="N110" s="29"/>
      <c r="O110" s="29"/>
      <c r="P110" s="29"/>
      <c r="Q110" s="2"/>
      <c r="R110" s="2"/>
      <c r="S110" s="2"/>
      <c r="T110" s="2"/>
      <c r="U110" s="2"/>
      <c r="V110" s="2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</row>
    <row r="111" spans="1:75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2"/>
      <c r="L111" s="1"/>
      <c r="M111" s="1"/>
      <c r="N111" s="29"/>
      <c r="O111" s="29"/>
      <c r="P111" s="29"/>
      <c r="Q111" s="2"/>
      <c r="R111" s="2"/>
      <c r="S111" s="2"/>
      <c r="T111" s="2"/>
      <c r="U111" s="2"/>
      <c r="V111" s="2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</row>
    <row r="112" spans="1:75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2"/>
      <c r="L112" s="1"/>
      <c r="M112" s="1"/>
      <c r="N112" s="29"/>
      <c r="O112" s="29"/>
      <c r="P112" s="29"/>
      <c r="Q112" s="2"/>
      <c r="R112" s="2"/>
      <c r="S112" s="2"/>
      <c r="T112" s="2"/>
      <c r="U112" s="2"/>
      <c r="V112" s="2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</row>
    <row r="113" spans="1:75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2"/>
      <c r="L113" s="1"/>
      <c r="M113" s="1"/>
      <c r="N113" s="29"/>
      <c r="O113" s="29"/>
      <c r="P113" s="29"/>
      <c r="Q113" s="2"/>
      <c r="R113" s="2"/>
      <c r="S113" s="2"/>
      <c r="T113" s="2"/>
      <c r="U113" s="2"/>
      <c r="V113" s="2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</row>
    <row r="114" spans="1:75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2"/>
      <c r="L114" s="1"/>
      <c r="M114" s="1"/>
      <c r="N114" s="29"/>
      <c r="O114" s="29"/>
      <c r="P114" s="29"/>
      <c r="Q114" s="2"/>
      <c r="R114" s="2"/>
      <c r="S114" s="2"/>
      <c r="T114" s="2"/>
      <c r="U114" s="2"/>
      <c r="V114" s="2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</row>
    <row r="115" spans="1:75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2"/>
      <c r="L115" s="1"/>
      <c r="M115" s="1"/>
      <c r="N115" s="29"/>
      <c r="O115" s="29"/>
      <c r="P115" s="29"/>
      <c r="Q115" s="2"/>
      <c r="R115" s="2"/>
      <c r="S115" s="2"/>
      <c r="T115" s="2"/>
      <c r="U115" s="2"/>
      <c r="V115" s="2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</row>
    <row r="116" spans="1:75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2"/>
      <c r="L116" s="1"/>
      <c r="M116" s="1"/>
      <c r="N116" s="29"/>
      <c r="O116" s="29"/>
      <c r="P116" s="29"/>
      <c r="Q116" s="2"/>
      <c r="R116" s="2"/>
      <c r="S116" s="2"/>
      <c r="T116" s="2"/>
      <c r="U116" s="2"/>
      <c r="V116" s="2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</row>
    <row r="117" spans="1:75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2"/>
      <c r="L117" s="1"/>
      <c r="M117" s="1"/>
      <c r="N117" s="29"/>
      <c r="O117" s="29"/>
      <c r="P117" s="29"/>
      <c r="Q117" s="2"/>
      <c r="R117" s="2"/>
      <c r="S117" s="2"/>
      <c r="T117" s="2"/>
      <c r="U117" s="2"/>
      <c r="V117" s="2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</row>
    <row r="118" spans="1:75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2"/>
      <c r="L118" s="1"/>
      <c r="M118" s="1"/>
      <c r="N118" s="29"/>
      <c r="O118" s="29"/>
      <c r="P118" s="29"/>
      <c r="Q118" s="2"/>
      <c r="R118" s="2"/>
      <c r="S118" s="2"/>
      <c r="T118" s="2"/>
      <c r="U118" s="2"/>
      <c r="V118" s="2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</row>
    <row r="119" spans="1:75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2"/>
      <c r="L119" s="1"/>
      <c r="M119" s="1"/>
      <c r="N119" s="29"/>
      <c r="O119" s="29"/>
      <c r="P119" s="29"/>
      <c r="Q119" s="2"/>
      <c r="R119" s="2"/>
      <c r="S119" s="2"/>
      <c r="T119" s="2"/>
      <c r="U119" s="2"/>
      <c r="V119" s="2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</row>
    <row r="120" spans="1:75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2"/>
      <c r="L120" s="1"/>
      <c r="M120" s="1"/>
      <c r="N120" s="29"/>
      <c r="O120" s="29"/>
      <c r="P120" s="29"/>
      <c r="Q120" s="2"/>
      <c r="R120" s="2"/>
      <c r="S120" s="2"/>
      <c r="T120" s="2"/>
      <c r="U120" s="2"/>
      <c r="V120" s="2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</row>
    <row r="121" spans="1:75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2"/>
      <c r="L121" s="1"/>
      <c r="M121" s="1"/>
      <c r="N121" s="29"/>
      <c r="O121" s="29"/>
      <c r="P121" s="29"/>
      <c r="Q121" s="2"/>
      <c r="R121" s="2"/>
      <c r="S121" s="2"/>
      <c r="T121" s="2"/>
      <c r="U121" s="2"/>
      <c r="V121" s="2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</row>
    <row r="122" spans="1:75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2"/>
      <c r="L122" s="1"/>
      <c r="M122" s="1"/>
      <c r="N122" s="29"/>
      <c r="O122" s="29"/>
      <c r="P122" s="29"/>
      <c r="Q122" s="2"/>
      <c r="R122" s="2"/>
      <c r="S122" s="2"/>
      <c r="T122" s="2"/>
      <c r="U122" s="2"/>
      <c r="V122" s="2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</row>
    <row r="123" spans="1:75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2"/>
      <c r="L123" s="1"/>
      <c r="M123" s="1"/>
      <c r="N123" s="29"/>
      <c r="O123" s="29"/>
      <c r="P123" s="29"/>
      <c r="Q123" s="2"/>
      <c r="R123" s="2"/>
      <c r="S123" s="2"/>
      <c r="T123" s="2"/>
      <c r="U123" s="2"/>
      <c r="V123" s="2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</row>
    <row r="124" spans="1:75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2"/>
      <c r="L124" s="1"/>
      <c r="M124" s="1"/>
      <c r="N124" s="29"/>
      <c r="O124" s="29"/>
      <c r="P124" s="29"/>
      <c r="Q124" s="2"/>
      <c r="R124" s="2"/>
      <c r="S124" s="2"/>
      <c r="T124" s="2"/>
      <c r="U124" s="2"/>
      <c r="V124" s="2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</row>
    <row r="125" spans="1:75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2"/>
      <c r="L125" s="1"/>
      <c r="M125" s="1"/>
      <c r="N125" s="29"/>
      <c r="O125" s="29"/>
      <c r="P125" s="29"/>
      <c r="Q125" s="2"/>
      <c r="R125" s="2"/>
      <c r="S125" s="2"/>
      <c r="T125" s="2"/>
      <c r="U125" s="2"/>
      <c r="V125" s="2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</row>
    <row r="126" spans="1:75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2"/>
      <c r="L126" s="1"/>
      <c r="M126" s="1"/>
      <c r="N126" s="29"/>
      <c r="O126" s="29"/>
      <c r="P126" s="29"/>
      <c r="Q126" s="2"/>
      <c r="R126" s="2"/>
      <c r="S126" s="2"/>
      <c r="T126" s="2"/>
      <c r="U126" s="2"/>
      <c r="V126" s="2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</row>
    <row r="127" spans="1:75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2"/>
      <c r="L127" s="1"/>
      <c r="M127" s="1"/>
      <c r="N127" s="29"/>
      <c r="O127" s="29"/>
      <c r="P127" s="29"/>
      <c r="Q127" s="2"/>
      <c r="R127" s="2"/>
      <c r="S127" s="2"/>
      <c r="T127" s="2"/>
      <c r="U127" s="2"/>
      <c r="V127" s="2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</row>
    <row r="128" spans="1:75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2"/>
      <c r="L128" s="1"/>
      <c r="M128" s="1"/>
      <c r="N128" s="29"/>
      <c r="O128" s="29"/>
      <c r="P128" s="29"/>
      <c r="Q128" s="2"/>
      <c r="R128" s="2"/>
      <c r="S128" s="2"/>
      <c r="T128" s="2"/>
      <c r="U128" s="2"/>
      <c r="V128" s="2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</row>
    <row r="129" spans="1:75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2"/>
      <c r="L129" s="1"/>
      <c r="M129" s="1"/>
      <c r="N129" s="29"/>
      <c r="O129" s="29"/>
      <c r="P129" s="29"/>
      <c r="Q129" s="2"/>
      <c r="R129" s="2"/>
      <c r="S129" s="2"/>
      <c r="T129" s="2"/>
      <c r="U129" s="2"/>
      <c r="V129" s="2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</row>
    <row r="130" spans="1:75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2"/>
      <c r="L130" s="1"/>
      <c r="M130" s="1"/>
      <c r="N130" s="29"/>
      <c r="O130" s="29"/>
      <c r="P130" s="29"/>
      <c r="Q130" s="2"/>
      <c r="R130" s="2"/>
      <c r="S130" s="2"/>
      <c r="T130" s="2"/>
      <c r="U130" s="2"/>
      <c r="V130" s="2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</row>
    <row r="131" spans="1:75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2"/>
      <c r="L131" s="1"/>
      <c r="M131" s="1"/>
      <c r="N131" s="29"/>
      <c r="O131" s="29"/>
      <c r="P131" s="29"/>
      <c r="Q131" s="2"/>
      <c r="R131" s="2"/>
      <c r="S131" s="2"/>
      <c r="T131" s="2"/>
      <c r="U131" s="2"/>
      <c r="V131" s="2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</row>
    <row r="132" spans="1:75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2"/>
      <c r="L132" s="1"/>
      <c r="M132" s="1"/>
      <c r="N132" s="29"/>
      <c r="O132" s="29"/>
      <c r="P132" s="29"/>
      <c r="Q132" s="2"/>
      <c r="R132" s="2"/>
      <c r="S132" s="2"/>
      <c r="T132" s="2"/>
      <c r="U132" s="2"/>
      <c r="V132" s="2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</row>
    <row r="133" spans="1:75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2"/>
      <c r="L133" s="1"/>
      <c r="M133" s="1"/>
      <c r="N133" s="29"/>
      <c r="O133" s="29"/>
      <c r="P133" s="29"/>
      <c r="Q133" s="2"/>
      <c r="R133" s="2"/>
      <c r="S133" s="2"/>
      <c r="T133" s="2"/>
      <c r="U133" s="2"/>
      <c r="V133" s="2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</row>
    <row r="134" spans="1:75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2"/>
      <c r="L134" s="1"/>
      <c r="M134" s="1"/>
      <c r="N134" s="29"/>
      <c r="O134" s="29"/>
      <c r="P134" s="29"/>
      <c r="Q134" s="2"/>
      <c r="R134" s="2"/>
      <c r="S134" s="2"/>
      <c r="T134" s="2"/>
      <c r="U134" s="2"/>
      <c r="V134" s="2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</row>
    <row r="135" spans="1:75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2"/>
      <c r="L135" s="1"/>
      <c r="M135" s="1"/>
      <c r="N135" s="29"/>
      <c r="O135" s="29"/>
      <c r="P135" s="29"/>
      <c r="Q135" s="2"/>
      <c r="R135" s="2"/>
      <c r="S135" s="2"/>
      <c r="T135" s="2"/>
      <c r="U135" s="2"/>
      <c r="V135" s="2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</row>
    <row r="136" spans="1:75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2"/>
      <c r="L136" s="1"/>
      <c r="M136" s="1"/>
      <c r="N136" s="29"/>
      <c r="O136" s="29"/>
      <c r="P136" s="29"/>
      <c r="Q136" s="2"/>
      <c r="R136" s="2"/>
      <c r="S136" s="2"/>
      <c r="T136" s="2"/>
      <c r="U136" s="2"/>
      <c r="V136" s="2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</row>
    <row r="137" spans="1:75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2"/>
      <c r="L137" s="1"/>
      <c r="M137" s="1"/>
      <c r="N137" s="29"/>
      <c r="O137" s="29"/>
      <c r="P137" s="29"/>
      <c r="Q137" s="2"/>
      <c r="R137" s="2"/>
      <c r="S137" s="2"/>
      <c r="T137" s="2"/>
      <c r="U137" s="2"/>
      <c r="V137" s="2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</row>
    <row r="138" spans="1:75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2"/>
      <c r="L138" s="1"/>
      <c r="M138" s="1"/>
      <c r="N138" s="29"/>
      <c r="O138" s="29"/>
      <c r="P138" s="29"/>
      <c r="Q138" s="2"/>
      <c r="R138" s="2"/>
      <c r="S138" s="2"/>
      <c r="T138" s="2"/>
      <c r="U138" s="2"/>
      <c r="V138" s="2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</row>
    <row r="139" spans="1:75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2"/>
      <c r="L139" s="1"/>
      <c r="M139" s="1"/>
      <c r="N139" s="29"/>
      <c r="O139" s="29"/>
      <c r="P139" s="29"/>
      <c r="Q139" s="2"/>
      <c r="R139" s="2"/>
      <c r="S139" s="2"/>
      <c r="T139" s="2"/>
      <c r="U139" s="2"/>
      <c r="V139" s="2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</row>
    <row r="140" spans="1:75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2"/>
      <c r="L140" s="1"/>
      <c r="M140" s="1"/>
      <c r="N140" s="29"/>
      <c r="O140" s="29"/>
      <c r="P140" s="29"/>
      <c r="Q140" s="2"/>
      <c r="R140" s="2"/>
      <c r="S140" s="2"/>
      <c r="T140" s="2"/>
      <c r="U140" s="2"/>
      <c r="V140" s="2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</row>
    <row r="141" spans="1:75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2"/>
      <c r="L141" s="1"/>
      <c r="M141" s="1"/>
      <c r="N141" s="29"/>
      <c r="O141" s="29"/>
      <c r="P141" s="29"/>
      <c r="Q141" s="2"/>
      <c r="R141" s="2"/>
      <c r="S141" s="2"/>
      <c r="T141" s="2"/>
      <c r="U141" s="2"/>
      <c r="V141" s="2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</row>
    <row r="142" spans="1:75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2"/>
      <c r="L142" s="1"/>
      <c r="M142" s="1"/>
      <c r="N142" s="29"/>
      <c r="O142" s="29"/>
      <c r="P142" s="29"/>
      <c r="Q142" s="2"/>
      <c r="R142" s="2"/>
      <c r="S142" s="2"/>
      <c r="T142" s="2"/>
      <c r="U142" s="2"/>
      <c r="V142" s="2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</row>
    <row r="143" spans="1:75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2"/>
      <c r="L143" s="1"/>
      <c r="M143" s="1"/>
      <c r="N143" s="29"/>
      <c r="O143" s="29"/>
      <c r="P143" s="29"/>
      <c r="Q143" s="2"/>
      <c r="R143" s="2"/>
      <c r="S143" s="2"/>
      <c r="T143" s="2"/>
      <c r="U143" s="2"/>
      <c r="V143" s="2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</row>
    <row r="144" spans="1:75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2"/>
      <c r="L144" s="1"/>
      <c r="M144" s="1"/>
      <c r="N144" s="29"/>
      <c r="O144" s="29"/>
      <c r="P144" s="29"/>
      <c r="Q144" s="2"/>
      <c r="R144" s="2"/>
      <c r="S144" s="2"/>
      <c r="T144" s="2"/>
      <c r="U144" s="2"/>
      <c r="V144" s="2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</row>
    <row r="145" spans="1:75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2"/>
      <c r="L145" s="1"/>
      <c r="M145" s="1"/>
      <c r="N145" s="29"/>
      <c r="O145" s="29"/>
      <c r="P145" s="29"/>
      <c r="Q145" s="2"/>
      <c r="R145" s="2"/>
      <c r="S145" s="2"/>
      <c r="T145" s="2"/>
      <c r="U145" s="2"/>
      <c r="V145" s="2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</row>
    <row r="146" spans="1:75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2"/>
      <c r="L146" s="1"/>
      <c r="M146" s="1"/>
      <c r="N146" s="29"/>
      <c r="O146" s="29"/>
      <c r="P146" s="29"/>
      <c r="Q146" s="2"/>
      <c r="R146" s="2"/>
      <c r="S146" s="2"/>
      <c r="T146" s="2"/>
      <c r="U146" s="2"/>
      <c r="V146" s="2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</row>
    <row r="147" spans="1:75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2"/>
      <c r="L147" s="1"/>
      <c r="M147" s="1"/>
      <c r="N147" s="29"/>
      <c r="O147" s="29"/>
      <c r="P147" s="29"/>
      <c r="Q147" s="2"/>
      <c r="R147" s="2"/>
      <c r="S147" s="2"/>
      <c r="T147" s="2"/>
      <c r="U147" s="2"/>
      <c r="V147" s="2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</row>
    <row r="148" spans="1:75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2"/>
      <c r="L148" s="1"/>
      <c r="M148" s="1"/>
      <c r="N148" s="29"/>
      <c r="O148" s="29"/>
      <c r="P148" s="29"/>
      <c r="Q148" s="2"/>
      <c r="R148" s="2"/>
      <c r="S148" s="2"/>
      <c r="T148" s="2"/>
      <c r="U148" s="2"/>
      <c r="V148" s="2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</row>
    <row r="149" spans="1:75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2"/>
      <c r="L149" s="1"/>
      <c r="M149" s="1"/>
      <c r="N149" s="29"/>
      <c r="O149" s="29"/>
      <c r="P149" s="29"/>
      <c r="Q149" s="2"/>
      <c r="R149" s="2"/>
      <c r="S149" s="2"/>
      <c r="T149" s="2"/>
      <c r="U149" s="2"/>
      <c r="V149" s="2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</row>
    <row r="150" spans="1:75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2"/>
      <c r="L150" s="1"/>
      <c r="M150" s="1"/>
      <c r="N150" s="29"/>
      <c r="O150" s="29"/>
      <c r="P150" s="29"/>
      <c r="Q150" s="2"/>
      <c r="R150" s="2"/>
      <c r="S150" s="2"/>
      <c r="T150" s="2"/>
      <c r="U150" s="2"/>
      <c r="V150" s="2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</row>
    <row r="151" spans="1:75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2"/>
      <c r="L151" s="1"/>
      <c r="M151" s="1"/>
      <c r="N151" s="29"/>
      <c r="O151" s="29"/>
      <c r="P151" s="29"/>
      <c r="Q151" s="2"/>
      <c r="R151" s="2"/>
      <c r="S151" s="2"/>
      <c r="T151" s="2"/>
      <c r="U151" s="2"/>
      <c r="V151" s="2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</row>
    <row r="152" spans="1:75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2"/>
      <c r="L152" s="1"/>
      <c r="M152" s="1"/>
      <c r="N152" s="29"/>
      <c r="O152" s="29"/>
      <c r="P152" s="29"/>
      <c r="Q152" s="2"/>
      <c r="R152" s="2"/>
      <c r="S152" s="2"/>
      <c r="T152" s="2"/>
      <c r="U152" s="2"/>
      <c r="V152" s="2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</row>
    <row r="153" spans="1:75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2"/>
      <c r="L153" s="1"/>
      <c r="M153" s="1"/>
      <c r="N153" s="29"/>
      <c r="O153" s="29"/>
      <c r="P153" s="29"/>
      <c r="Q153" s="2"/>
      <c r="R153" s="2"/>
      <c r="S153" s="2"/>
      <c r="T153" s="2"/>
      <c r="U153" s="2"/>
      <c r="V153" s="2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</row>
    <row r="154" spans="1:75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2"/>
      <c r="L154" s="1"/>
      <c r="M154" s="1"/>
      <c r="N154" s="29"/>
      <c r="O154" s="29"/>
      <c r="P154" s="29"/>
      <c r="Q154" s="2"/>
      <c r="R154" s="2"/>
      <c r="S154" s="2"/>
      <c r="T154" s="2"/>
      <c r="U154" s="2"/>
      <c r="V154" s="2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</row>
    <row r="155" spans="1:75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2"/>
      <c r="L155" s="1"/>
      <c r="M155" s="1"/>
      <c r="N155" s="29"/>
      <c r="O155" s="29"/>
      <c r="P155" s="29"/>
      <c r="Q155" s="2"/>
      <c r="R155" s="2"/>
      <c r="S155" s="2"/>
      <c r="T155" s="2"/>
      <c r="U155" s="2"/>
      <c r="V155" s="2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</row>
    <row r="156" spans="1:75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2"/>
      <c r="L156" s="1"/>
      <c r="M156" s="1"/>
      <c r="N156" s="29"/>
      <c r="O156" s="29"/>
      <c r="P156" s="29"/>
      <c r="Q156" s="2"/>
      <c r="R156" s="2"/>
      <c r="S156" s="2"/>
      <c r="T156" s="2"/>
      <c r="U156" s="2"/>
      <c r="V156" s="2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</row>
    <row r="157" spans="1:75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2"/>
      <c r="L157" s="1"/>
      <c r="M157" s="1"/>
      <c r="N157" s="29"/>
      <c r="O157" s="29"/>
      <c r="P157" s="29"/>
      <c r="Q157" s="2"/>
      <c r="R157" s="2"/>
      <c r="S157" s="2"/>
      <c r="T157" s="2"/>
      <c r="U157" s="2"/>
      <c r="V157" s="2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</row>
    <row r="158" spans="1:75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2"/>
      <c r="L158" s="1"/>
      <c r="M158" s="1"/>
      <c r="N158" s="29"/>
      <c r="O158" s="29"/>
      <c r="P158" s="29"/>
      <c r="Q158" s="2"/>
      <c r="R158" s="2"/>
      <c r="S158" s="2"/>
      <c r="T158" s="2"/>
      <c r="U158" s="2"/>
      <c r="V158" s="2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</row>
    <row r="159" spans="1:75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2"/>
      <c r="L159" s="1"/>
      <c r="M159" s="1"/>
      <c r="N159" s="29"/>
      <c r="O159" s="29"/>
      <c r="P159" s="29"/>
      <c r="Q159" s="2"/>
      <c r="R159" s="2"/>
      <c r="S159" s="2"/>
      <c r="T159" s="2"/>
      <c r="U159" s="2"/>
      <c r="V159" s="2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</row>
    <row r="160" spans="1:75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2"/>
      <c r="L160" s="1"/>
      <c r="M160" s="1"/>
      <c r="N160" s="29"/>
      <c r="O160" s="29"/>
      <c r="P160" s="29"/>
      <c r="Q160" s="2"/>
      <c r="R160" s="2"/>
      <c r="S160" s="2"/>
      <c r="T160" s="2"/>
      <c r="U160" s="2"/>
      <c r="V160" s="2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</row>
    <row r="161" spans="1:75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2"/>
      <c r="L161" s="1"/>
      <c r="M161" s="1"/>
      <c r="N161" s="29"/>
      <c r="O161" s="29"/>
      <c r="P161" s="29"/>
      <c r="Q161" s="2"/>
      <c r="R161" s="2"/>
      <c r="S161" s="2"/>
      <c r="T161" s="2"/>
      <c r="U161" s="2"/>
      <c r="V161" s="2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</row>
    <row r="162" spans="1:75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2"/>
      <c r="L162" s="1"/>
      <c r="M162" s="1"/>
      <c r="N162" s="29"/>
      <c r="O162" s="29"/>
      <c r="P162" s="29"/>
      <c r="Q162" s="2"/>
      <c r="R162" s="2"/>
      <c r="S162" s="2"/>
      <c r="T162" s="2"/>
      <c r="U162" s="2"/>
      <c r="V162" s="2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</row>
    <row r="163" spans="1:75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2"/>
      <c r="L163" s="1"/>
      <c r="M163" s="1"/>
      <c r="N163" s="29"/>
      <c r="O163" s="29"/>
      <c r="P163" s="29"/>
      <c r="Q163" s="2"/>
      <c r="R163" s="2"/>
      <c r="S163" s="2"/>
      <c r="T163" s="2"/>
      <c r="U163" s="2"/>
      <c r="V163" s="2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</row>
    <row r="164" spans="1:75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2"/>
      <c r="L164" s="1"/>
      <c r="M164" s="1"/>
      <c r="N164" s="29"/>
      <c r="O164" s="29"/>
      <c r="P164" s="29"/>
      <c r="Q164" s="2"/>
      <c r="R164" s="2"/>
      <c r="S164" s="2"/>
      <c r="T164" s="2"/>
      <c r="U164" s="2"/>
      <c r="V164" s="2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</row>
    <row r="165" spans="1:75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2"/>
      <c r="L165" s="1"/>
      <c r="M165" s="1"/>
      <c r="N165" s="29"/>
      <c r="O165" s="29"/>
      <c r="P165" s="29"/>
      <c r="Q165" s="2"/>
      <c r="R165" s="2"/>
      <c r="S165" s="2"/>
      <c r="T165" s="2"/>
      <c r="U165" s="2"/>
      <c r="V165" s="2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</row>
    <row r="166" spans="1:75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2"/>
      <c r="L166" s="1"/>
      <c r="M166" s="1"/>
      <c r="N166" s="29"/>
      <c r="O166" s="29"/>
      <c r="P166" s="29"/>
      <c r="Q166" s="2"/>
      <c r="R166" s="2"/>
      <c r="S166" s="2"/>
      <c r="T166" s="2"/>
      <c r="U166" s="2"/>
      <c r="V166" s="2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</row>
    <row r="167" spans="1:75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2"/>
      <c r="L167" s="1"/>
      <c r="M167" s="1"/>
      <c r="N167" s="29"/>
      <c r="O167" s="29"/>
      <c r="P167" s="29"/>
      <c r="Q167" s="2"/>
      <c r="R167" s="2"/>
      <c r="S167" s="2"/>
      <c r="T167" s="2"/>
      <c r="U167" s="2"/>
      <c r="V167" s="2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</row>
    <row r="168" spans="1:75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2"/>
      <c r="L168" s="1"/>
      <c r="M168" s="1"/>
      <c r="N168" s="29"/>
      <c r="O168" s="29"/>
      <c r="P168" s="29"/>
      <c r="Q168" s="2"/>
      <c r="R168" s="2"/>
      <c r="S168" s="2"/>
      <c r="T168" s="2"/>
      <c r="U168" s="2"/>
      <c r="V168" s="2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</row>
    <row r="169" spans="1:75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2"/>
      <c r="L169" s="1"/>
      <c r="M169" s="1"/>
      <c r="N169" s="29"/>
      <c r="O169" s="29"/>
      <c r="P169" s="29"/>
      <c r="Q169" s="2"/>
      <c r="R169" s="2"/>
      <c r="S169" s="2"/>
      <c r="T169" s="2"/>
      <c r="U169" s="2"/>
      <c r="V169" s="2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</row>
    <row r="170" spans="1:75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2"/>
      <c r="L170" s="1"/>
      <c r="M170" s="1"/>
      <c r="N170" s="29"/>
      <c r="O170" s="29"/>
      <c r="P170" s="29"/>
      <c r="Q170" s="2"/>
      <c r="R170" s="2"/>
      <c r="S170" s="2"/>
      <c r="T170" s="2"/>
      <c r="U170" s="2"/>
      <c r="V170" s="2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</row>
    <row r="171" spans="1:75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2"/>
      <c r="L171" s="1"/>
      <c r="M171" s="1"/>
      <c r="N171" s="29"/>
      <c r="O171" s="29"/>
      <c r="P171" s="29"/>
      <c r="Q171" s="2"/>
      <c r="R171" s="2"/>
      <c r="S171" s="2"/>
      <c r="T171" s="2"/>
      <c r="U171" s="2"/>
      <c r="V171" s="2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</row>
    <row r="172" spans="1:75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2"/>
      <c r="L172" s="1"/>
      <c r="M172" s="1"/>
      <c r="N172" s="29"/>
      <c r="O172" s="29"/>
      <c r="P172" s="29"/>
      <c r="Q172" s="2"/>
      <c r="R172" s="2"/>
      <c r="S172" s="2"/>
      <c r="T172" s="2"/>
      <c r="U172" s="2"/>
      <c r="V172" s="2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</row>
    <row r="173" spans="1:75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2"/>
      <c r="L173" s="1"/>
      <c r="M173" s="1"/>
      <c r="N173" s="29"/>
      <c r="O173" s="29"/>
      <c r="P173" s="29"/>
      <c r="Q173" s="2"/>
      <c r="R173" s="2"/>
      <c r="S173" s="2"/>
      <c r="T173" s="2"/>
      <c r="U173" s="2"/>
      <c r="V173" s="2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</row>
    <row r="174" spans="1:75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2"/>
      <c r="L174" s="1"/>
      <c r="M174" s="1"/>
      <c r="N174" s="64"/>
      <c r="O174" s="29"/>
      <c r="P174" s="29"/>
      <c r="Q174" s="2"/>
      <c r="R174" s="2"/>
      <c r="S174" s="2"/>
      <c r="T174" s="2"/>
      <c r="U174" s="2"/>
      <c r="V174" s="2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</row>
    <row r="175" spans="1:75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2"/>
      <c r="L175" s="1"/>
      <c r="M175" s="1"/>
      <c r="N175" s="29"/>
      <c r="O175" s="29"/>
      <c r="P175" s="29"/>
      <c r="Q175" s="2"/>
      <c r="R175" s="2"/>
      <c r="S175" s="2"/>
      <c r="T175" s="2"/>
      <c r="U175" s="2"/>
      <c r="V175" s="2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</row>
    <row r="176" spans="1:75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2"/>
      <c r="L176" s="1"/>
      <c r="M176" s="1"/>
      <c r="N176" s="29"/>
      <c r="O176" s="29"/>
      <c r="P176" s="29"/>
      <c r="Q176" s="2"/>
      <c r="R176" s="2"/>
      <c r="S176" s="2"/>
      <c r="T176" s="2"/>
      <c r="U176" s="2"/>
      <c r="V176" s="2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</row>
    <row r="177" spans="1:75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2"/>
      <c r="L177" s="1"/>
      <c r="M177" s="1"/>
      <c r="N177" s="29"/>
      <c r="O177" s="29"/>
      <c r="P177" s="29"/>
      <c r="Q177" s="2"/>
      <c r="R177" s="2"/>
      <c r="S177" s="2"/>
      <c r="T177" s="2"/>
      <c r="U177" s="2"/>
      <c r="V177" s="2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</row>
    <row r="178" spans="1:75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2"/>
      <c r="L178" s="1"/>
      <c r="M178" s="1"/>
      <c r="N178" s="29"/>
      <c r="O178" s="29"/>
      <c r="P178" s="29"/>
      <c r="Q178" s="2"/>
      <c r="R178" s="2"/>
      <c r="S178" s="2"/>
      <c r="T178" s="2"/>
      <c r="U178" s="2"/>
      <c r="V178" s="2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</row>
    <row r="179" spans="1:75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2"/>
      <c r="L179" s="1"/>
      <c r="M179" s="1"/>
      <c r="N179" s="29"/>
      <c r="O179" s="29"/>
      <c r="P179" s="29"/>
      <c r="Q179" s="2"/>
      <c r="R179" s="2"/>
      <c r="S179" s="2"/>
      <c r="T179" s="2"/>
      <c r="U179" s="2"/>
      <c r="V179" s="2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</row>
    <row r="180" spans="1:75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2"/>
      <c r="L180" s="1"/>
      <c r="M180" s="1"/>
      <c r="N180" s="29"/>
      <c r="O180" s="29"/>
      <c r="P180" s="29"/>
      <c r="Q180" s="2"/>
      <c r="R180" s="2"/>
      <c r="S180" s="2"/>
      <c r="T180" s="2"/>
      <c r="U180" s="2"/>
      <c r="V180" s="2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</row>
    <row r="181" spans="1:75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2"/>
      <c r="L181" s="1"/>
      <c r="M181" s="1"/>
      <c r="N181" s="29"/>
      <c r="O181" s="29"/>
      <c r="P181" s="29"/>
      <c r="Q181" s="2"/>
      <c r="R181" s="2"/>
      <c r="S181" s="2"/>
      <c r="T181" s="2"/>
      <c r="U181" s="2"/>
      <c r="V181" s="2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</row>
    <row r="182" spans="1:75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2"/>
      <c r="L182" s="1"/>
      <c r="M182" s="1"/>
      <c r="N182" s="29"/>
      <c r="O182" s="29"/>
      <c r="P182" s="29"/>
      <c r="Q182" s="2"/>
      <c r="R182" s="2"/>
      <c r="S182" s="2"/>
      <c r="T182" s="2"/>
      <c r="U182" s="2"/>
      <c r="V182" s="2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</row>
    <row r="183" spans="1:75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2"/>
      <c r="L183" s="1"/>
      <c r="M183" s="1"/>
      <c r="N183" s="29"/>
      <c r="O183" s="29"/>
      <c r="P183" s="29"/>
      <c r="Q183" s="2"/>
      <c r="R183" s="2"/>
      <c r="S183" s="2"/>
      <c r="T183" s="2"/>
      <c r="U183" s="2"/>
      <c r="V183" s="2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</row>
    <row r="184" spans="1:75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2"/>
      <c r="L184" s="1"/>
      <c r="M184" s="1"/>
      <c r="N184" s="29"/>
      <c r="O184" s="29"/>
      <c r="P184" s="29"/>
      <c r="Q184" s="2"/>
      <c r="R184" s="2"/>
      <c r="S184" s="2"/>
      <c r="T184" s="2"/>
      <c r="U184" s="2"/>
      <c r="V184" s="2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</row>
    <row r="185" spans="1:75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2"/>
      <c r="L185" s="1"/>
      <c r="M185" s="1"/>
      <c r="N185" s="29"/>
      <c r="O185" s="29"/>
      <c r="P185" s="29"/>
      <c r="Q185" s="2"/>
      <c r="R185" s="2"/>
      <c r="S185" s="2"/>
      <c r="T185" s="2"/>
      <c r="U185" s="2"/>
      <c r="V185" s="2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</row>
    <row r="186" spans="1:75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2"/>
      <c r="L186" s="1"/>
      <c r="M186" s="1"/>
      <c r="N186" s="29"/>
      <c r="O186" s="29"/>
      <c r="P186" s="29"/>
      <c r="Q186" s="2"/>
      <c r="R186" s="2"/>
      <c r="S186" s="2"/>
      <c r="T186" s="2"/>
      <c r="U186" s="2"/>
      <c r="V186" s="2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</row>
    <row r="187" spans="1:75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2"/>
      <c r="L187" s="1"/>
      <c r="M187" s="1"/>
      <c r="N187" s="29"/>
      <c r="O187" s="29"/>
      <c r="P187" s="29"/>
      <c r="Q187" s="2"/>
      <c r="R187" s="2"/>
      <c r="S187" s="2"/>
      <c r="T187" s="2"/>
      <c r="U187" s="2"/>
      <c r="V187" s="2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</row>
    <row r="188" spans="1:75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2"/>
      <c r="L188" s="1"/>
      <c r="M188" s="1"/>
      <c r="N188" s="29"/>
      <c r="O188" s="29"/>
      <c r="P188" s="29"/>
      <c r="Q188" s="2"/>
      <c r="R188" s="2"/>
      <c r="S188" s="2"/>
      <c r="T188" s="2"/>
      <c r="U188" s="2"/>
      <c r="V188" s="2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</row>
    <row r="189" spans="1:75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2"/>
      <c r="L189" s="1"/>
      <c r="M189" s="1"/>
      <c r="N189" s="29"/>
      <c r="O189" s="29"/>
      <c r="P189" s="29"/>
      <c r="Q189" s="2"/>
      <c r="R189" s="2"/>
      <c r="S189" s="2"/>
      <c r="T189" s="2"/>
      <c r="U189" s="2"/>
      <c r="V189" s="2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</row>
    <row r="190" spans="1:75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2"/>
      <c r="L190" s="1"/>
      <c r="M190" s="1"/>
      <c r="N190" s="29"/>
      <c r="O190" s="29"/>
      <c r="P190" s="29"/>
      <c r="Q190" s="2"/>
      <c r="R190" s="2"/>
      <c r="S190" s="2"/>
      <c r="T190" s="2"/>
      <c r="U190" s="2"/>
      <c r="V190" s="2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</row>
    <row r="191" spans="1:75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2"/>
      <c r="L191" s="1"/>
      <c r="M191" s="1"/>
      <c r="N191" s="29"/>
      <c r="O191" s="29"/>
      <c r="P191" s="29"/>
      <c r="Q191" s="2"/>
      <c r="R191" s="2"/>
      <c r="S191" s="2"/>
      <c r="T191" s="2"/>
      <c r="U191" s="2"/>
      <c r="V191" s="2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</row>
    <row r="192" spans="1:75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2"/>
      <c r="L192" s="1"/>
      <c r="M192" s="1"/>
      <c r="N192" s="29"/>
      <c r="O192" s="29"/>
      <c r="P192" s="29"/>
      <c r="Q192" s="2"/>
      <c r="R192" s="2"/>
      <c r="S192" s="2"/>
      <c r="T192" s="2"/>
      <c r="U192" s="2"/>
      <c r="V192" s="2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</row>
    <row r="193" spans="1:75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2"/>
      <c r="L193" s="1"/>
      <c r="M193" s="1"/>
      <c r="N193" s="29"/>
      <c r="O193" s="29"/>
      <c r="P193" s="29"/>
      <c r="Q193" s="2"/>
      <c r="R193" s="2"/>
      <c r="S193" s="2"/>
      <c r="T193" s="2"/>
      <c r="U193" s="2"/>
      <c r="V193" s="2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</row>
    <row r="194" spans="1:75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2"/>
      <c r="L194" s="1"/>
      <c r="M194" s="1"/>
      <c r="N194" s="29"/>
      <c r="O194" s="29"/>
      <c r="P194" s="29"/>
      <c r="Q194" s="2"/>
      <c r="R194" s="2"/>
      <c r="S194" s="2"/>
      <c r="T194" s="2"/>
      <c r="U194" s="2"/>
      <c r="V194" s="2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</row>
    <row r="195" spans="1:75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2"/>
      <c r="L195" s="1"/>
      <c r="M195" s="1"/>
      <c r="N195" s="29"/>
      <c r="O195" s="29"/>
      <c r="P195" s="29"/>
      <c r="Q195" s="2"/>
      <c r="R195" s="2"/>
      <c r="S195" s="2"/>
      <c r="T195" s="2"/>
      <c r="U195" s="2"/>
      <c r="V195" s="2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</row>
    <row r="196" spans="1:75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2"/>
      <c r="L196" s="1"/>
      <c r="M196" s="1"/>
      <c r="N196" s="29"/>
      <c r="O196" s="29"/>
      <c r="P196" s="29"/>
      <c r="Q196" s="2"/>
      <c r="R196" s="2"/>
      <c r="S196" s="2"/>
      <c r="T196" s="2"/>
      <c r="U196" s="2"/>
      <c r="V196" s="2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</row>
    <row r="197" spans="1:75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2"/>
      <c r="L197" s="1"/>
      <c r="M197" s="1"/>
      <c r="N197" s="29"/>
      <c r="O197" s="29"/>
      <c r="P197" s="29"/>
      <c r="Q197" s="2"/>
      <c r="R197" s="2"/>
      <c r="S197" s="2"/>
      <c r="T197" s="2"/>
      <c r="U197" s="2"/>
      <c r="V197" s="2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</row>
    <row r="198" spans="1:75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2"/>
      <c r="L198" s="1"/>
      <c r="M198" s="1"/>
      <c r="N198" s="29"/>
      <c r="O198" s="29"/>
      <c r="P198" s="29"/>
      <c r="Q198" s="2"/>
      <c r="R198" s="2"/>
      <c r="S198" s="2"/>
      <c r="T198" s="2"/>
      <c r="U198" s="2"/>
      <c r="V198" s="2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</row>
    <row r="199" spans="1:75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2"/>
      <c r="L199" s="1"/>
      <c r="M199" s="1"/>
      <c r="N199" s="29"/>
      <c r="O199" s="29"/>
      <c r="P199" s="29"/>
      <c r="Q199" s="2"/>
      <c r="R199" s="2"/>
      <c r="S199" s="2"/>
      <c r="T199" s="2"/>
      <c r="U199" s="2"/>
      <c r="V199" s="2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</row>
    <row r="200" spans="1:75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2"/>
      <c r="L200" s="1"/>
      <c r="M200" s="1"/>
      <c r="N200" s="29"/>
      <c r="O200" s="29"/>
      <c r="P200" s="29"/>
      <c r="Q200" s="2"/>
      <c r="R200" s="2"/>
      <c r="S200" s="2"/>
      <c r="T200" s="2"/>
      <c r="U200" s="2"/>
      <c r="V200" s="2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</row>
    <row r="201" spans="1:75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2"/>
      <c r="L201" s="1"/>
      <c r="M201" s="1"/>
      <c r="N201" s="29"/>
      <c r="O201" s="29"/>
      <c r="P201" s="29"/>
      <c r="Q201" s="2"/>
      <c r="R201" s="2"/>
      <c r="S201" s="2"/>
      <c r="T201" s="2"/>
      <c r="U201" s="2"/>
      <c r="V201" s="2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</row>
    <row r="202" spans="1:75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2"/>
      <c r="L202" s="1"/>
      <c r="M202" s="1"/>
      <c r="N202" s="29"/>
      <c r="O202" s="29"/>
      <c r="P202" s="29"/>
      <c r="Q202" s="2"/>
      <c r="R202" s="2"/>
      <c r="S202" s="2"/>
      <c r="T202" s="2"/>
      <c r="U202" s="2"/>
      <c r="V202" s="2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</row>
    <row r="203" spans="1:75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2"/>
      <c r="L203" s="1"/>
      <c r="M203" s="1"/>
      <c r="N203" s="29"/>
      <c r="O203" s="29"/>
      <c r="P203" s="29"/>
      <c r="Q203" s="2"/>
      <c r="R203" s="2"/>
      <c r="S203" s="2"/>
      <c r="T203" s="2"/>
      <c r="U203" s="2"/>
      <c r="V203" s="2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</row>
    <row r="204" spans="1:75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2"/>
      <c r="L204" s="1"/>
      <c r="M204" s="1"/>
      <c r="N204" s="29"/>
      <c r="O204" s="29"/>
      <c r="P204" s="29"/>
      <c r="Q204" s="2"/>
      <c r="R204" s="2"/>
      <c r="S204" s="2"/>
      <c r="T204" s="2"/>
      <c r="U204" s="2"/>
      <c r="V204" s="2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</row>
    <row r="205" spans="1:75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2"/>
      <c r="L205" s="1"/>
      <c r="M205" s="1"/>
      <c r="N205" s="29"/>
      <c r="O205" s="29"/>
      <c r="P205" s="29"/>
      <c r="Q205" s="2"/>
      <c r="R205" s="2"/>
      <c r="S205" s="2"/>
      <c r="T205" s="2"/>
      <c r="U205" s="2"/>
      <c r="V205" s="2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</row>
    <row r="206" spans="1:75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2"/>
      <c r="L206" s="1"/>
      <c r="M206" s="1"/>
      <c r="N206" s="29"/>
      <c r="O206" s="29"/>
      <c r="P206" s="29"/>
      <c r="Q206" s="2"/>
      <c r="R206" s="2"/>
      <c r="S206" s="2"/>
      <c r="T206" s="2"/>
      <c r="U206" s="2"/>
      <c r="V206" s="2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</row>
    <row r="207" spans="1:75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2"/>
      <c r="L207" s="1"/>
      <c r="M207" s="1"/>
      <c r="N207" s="29"/>
      <c r="O207" s="29"/>
      <c r="P207" s="29"/>
      <c r="Q207" s="2"/>
      <c r="R207" s="2"/>
      <c r="S207" s="2"/>
      <c r="T207" s="2"/>
      <c r="U207" s="2"/>
      <c r="V207" s="2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</row>
    <row r="208" spans="1:75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2"/>
      <c r="L208" s="1"/>
      <c r="M208" s="1"/>
      <c r="N208" s="29"/>
      <c r="O208" s="29"/>
      <c r="P208" s="29"/>
      <c r="Q208" s="2"/>
      <c r="R208" s="2"/>
      <c r="S208" s="2"/>
      <c r="T208" s="2"/>
      <c r="U208" s="2"/>
      <c r="V208" s="2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</row>
    <row r="209" spans="1:75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2"/>
      <c r="L209" s="1"/>
      <c r="M209" s="1"/>
      <c r="N209" s="29"/>
      <c r="O209" s="29"/>
      <c r="P209" s="29"/>
      <c r="Q209" s="2"/>
      <c r="R209" s="2"/>
      <c r="S209" s="2"/>
      <c r="T209" s="2"/>
      <c r="U209" s="2"/>
      <c r="V209" s="2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</row>
    <row r="210" spans="1:75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2"/>
      <c r="L210" s="1"/>
      <c r="M210" s="1"/>
      <c r="N210" s="29"/>
      <c r="O210" s="29"/>
      <c r="P210" s="29"/>
      <c r="Q210" s="2"/>
      <c r="R210" s="2"/>
      <c r="S210" s="2"/>
      <c r="T210" s="2"/>
      <c r="U210" s="2"/>
      <c r="V210" s="2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</row>
    <row r="211" spans="1:75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2"/>
      <c r="L211" s="1"/>
      <c r="M211" s="1"/>
      <c r="N211" s="29"/>
      <c r="O211" s="29"/>
      <c r="P211" s="29"/>
      <c r="Q211" s="2"/>
      <c r="R211" s="2"/>
      <c r="S211" s="2"/>
      <c r="T211" s="2"/>
      <c r="U211" s="2"/>
      <c r="V211" s="2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</row>
    <row r="212" spans="1:75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2"/>
      <c r="L212" s="1"/>
      <c r="M212" s="1"/>
      <c r="N212" s="29"/>
      <c r="O212" s="29"/>
      <c r="P212" s="29"/>
      <c r="Q212" s="2"/>
      <c r="R212" s="2"/>
      <c r="S212" s="2"/>
      <c r="T212" s="2"/>
      <c r="U212" s="2"/>
      <c r="V212" s="2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</row>
    <row r="213" spans="1:75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2"/>
      <c r="L213" s="1"/>
      <c r="M213" s="1"/>
      <c r="N213" s="29"/>
      <c r="O213" s="29"/>
      <c r="P213" s="29"/>
      <c r="Q213" s="2"/>
      <c r="R213" s="2"/>
      <c r="S213" s="2"/>
      <c r="T213" s="2"/>
      <c r="U213" s="2"/>
      <c r="V213" s="2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</row>
    <row r="214" spans="1:75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2"/>
      <c r="L214" s="1"/>
      <c r="M214" s="1"/>
      <c r="N214" s="29"/>
      <c r="O214" s="29"/>
      <c r="P214" s="29"/>
      <c r="Q214" s="2"/>
      <c r="R214" s="2"/>
      <c r="S214" s="2"/>
      <c r="T214" s="2"/>
      <c r="U214" s="2"/>
      <c r="V214" s="2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</row>
    <row r="215" spans="1:75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2"/>
      <c r="L215" s="1"/>
      <c r="M215" s="1"/>
      <c r="N215" s="33"/>
      <c r="O215" s="33"/>
      <c r="P215" s="33"/>
      <c r="Q215" s="9"/>
      <c r="R215" s="9"/>
      <c r="S215" s="9"/>
      <c r="T215" s="9"/>
      <c r="U215" s="9"/>
      <c r="V215" s="9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</row>
    <row r="216" spans="1:75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2"/>
      <c r="L216" s="1"/>
      <c r="M216" s="1"/>
      <c r="N216" s="33"/>
      <c r="O216" s="33"/>
      <c r="P216" s="33"/>
      <c r="Q216" s="9"/>
      <c r="R216" s="9"/>
      <c r="S216" s="9"/>
      <c r="T216" s="9"/>
      <c r="U216" s="9"/>
      <c r="V216" s="9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</row>
    <row r="217" spans="1:75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2"/>
      <c r="L217" s="1"/>
      <c r="M217" s="1"/>
      <c r="N217" s="33"/>
      <c r="O217" s="33"/>
      <c r="P217" s="33"/>
      <c r="Q217" s="9"/>
      <c r="R217" s="9"/>
      <c r="S217" s="9"/>
      <c r="T217" s="9"/>
      <c r="U217" s="9"/>
      <c r="V217" s="9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</row>
    <row r="218" spans="1:75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2"/>
      <c r="L218" s="1"/>
      <c r="M218" s="1"/>
      <c r="N218" s="33"/>
      <c r="O218" s="33"/>
      <c r="P218" s="33"/>
      <c r="Q218" s="9"/>
      <c r="R218" s="9"/>
      <c r="S218" s="9"/>
      <c r="T218" s="9"/>
      <c r="U218" s="9"/>
      <c r="V218" s="9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</row>
    <row r="219" spans="1:75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2"/>
      <c r="L219" s="1"/>
      <c r="M219" s="1"/>
      <c r="N219" s="33"/>
      <c r="O219" s="33"/>
      <c r="P219" s="33"/>
      <c r="Q219" s="9"/>
      <c r="R219" s="9"/>
      <c r="S219" s="9"/>
      <c r="T219" s="9"/>
      <c r="U219" s="9"/>
      <c r="V219" s="9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</row>
    <row r="220" spans="1:75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2"/>
      <c r="L220" s="1"/>
      <c r="M220" s="1"/>
      <c r="N220" s="33"/>
      <c r="O220" s="33"/>
      <c r="P220" s="33"/>
      <c r="Q220" s="9"/>
      <c r="R220" s="9"/>
      <c r="S220" s="9"/>
      <c r="T220" s="9"/>
      <c r="U220" s="9"/>
      <c r="V220" s="9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</row>
    <row r="221" spans="1:75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2"/>
      <c r="L221" s="1"/>
      <c r="M221" s="1"/>
      <c r="N221" s="33"/>
      <c r="O221" s="33"/>
      <c r="P221" s="33"/>
      <c r="Q221" s="9"/>
      <c r="R221" s="9"/>
      <c r="S221" s="9"/>
      <c r="T221" s="9"/>
      <c r="U221" s="9"/>
      <c r="V221" s="9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</row>
    <row r="222" spans="1:75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2"/>
      <c r="L222" s="1"/>
      <c r="M222" s="1"/>
      <c r="N222" s="33"/>
      <c r="O222" s="33"/>
      <c r="P222" s="33"/>
      <c r="Q222" s="9"/>
      <c r="R222" s="9"/>
      <c r="S222" s="9"/>
      <c r="T222" s="9"/>
      <c r="U222" s="9"/>
      <c r="V222" s="9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</row>
    <row r="223" spans="1:75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2"/>
      <c r="L223" s="1"/>
      <c r="M223" s="1"/>
      <c r="N223" s="33"/>
      <c r="O223" s="33"/>
      <c r="P223" s="33"/>
      <c r="Q223" s="9"/>
      <c r="R223" s="9"/>
      <c r="S223" s="9"/>
      <c r="T223" s="9"/>
      <c r="U223" s="9"/>
      <c r="V223" s="9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</row>
    <row r="224" spans="1:75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2"/>
      <c r="L224" s="1"/>
      <c r="M224" s="1"/>
      <c r="N224" s="33"/>
      <c r="O224" s="33"/>
      <c r="P224" s="33"/>
      <c r="Q224" s="9"/>
      <c r="R224" s="9"/>
      <c r="S224" s="9"/>
      <c r="T224" s="9"/>
      <c r="U224" s="9"/>
      <c r="V224" s="9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</row>
    <row r="225" spans="1:75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2"/>
      <c r="L225" s="1"/>
      <c r="M225" s="1"/>
      <c r="N225" s="33"/>
      <c r="O225" s="33"/>
      <c r="P225" s="33"/>
      <c r="Q225" s="9"/>
      <c r="R225" s="9"/>
      <c r="S225" s="9"/>
      <c r="T225" s="9"/>
      <c r="U225" s="9"/>
      <c r="V225" s="9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</row>
    <row r="226" spans="1:75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2"/>
      <c r="L226" s="1"/>
      <c r="M226" s="1"/>
      <c r="N226" s="33"/>
      <c r="O226" s="33"/>
      <c r="P226" s="33"/>
      <c r="Q226" s="9"/>
      <c r="R226" s="9"/>
      <c r="S226" s="9"/>
      <c r="T226" s="9"/>
      <c r="U226" s="9"/>
      <c r="V226" s="9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</row>
    <row r="227" spans="1:75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2"/>
      <c r="L227" s="1"/>
      <c r="M227" s="1"/>
      <c r="N227" s="33"/>
      <c r="O227" s="33"/>
      <c r="P227" s="33"/>
      <c r="Q227" s="9"/>
      <c r="R227" s="9"/>
      <c r="S227" s="9"/>
      <c r="T227" s="9"/>
      <c r="U227" s="9"/>
      <c r="V227" s="9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</row>
    <row r="228" spans="1:75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2"/>
      <c r="L228" s="1"/>
      <c r="M228" s="1"/>
      <c r="N228" s="33"/>
      <c r="O228" s="33"/>
      <c r="P228" s="33"/>
      <c r="Q228" s="9"/>
      <c r="R228" s="9"/>
      <c r="S228" s="9"/>
      <c r="T228" s="9"/>
      <c r="U228" s="9"/>
      <c r="V228" s="9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</row>
    <row r="229" spans="1:75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2"/>
      <c r="L229" s="1"/>
      <c r="M229" s="1"/>
      <c r="N229" s="33"/>
      <c r="O229" s="33"/>
      <c r="P229" s="33"/>
      <c r="Q229" s="9"/>
      <c r="R229" s="9"/>
      <c r="S229" s="9"/>
      <c r="T229" s="9"/>
      <c r="U229" s="9"/>
      <c r="V229" s="9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</row>
    <row r="230" spans="1:75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2"/>
      <c r="L230" s="1"/>
      <c r="M230" s="1"/>
      <c r="N230" s="33"/>
      <c r="O230" s="33"/>
      <c r="P230" s="33"/>
      <c r="Q230" s="9"/>
      <c r="R230" s="9"/>
      <c r="S230" s="9"/>
      <c r="T230" s="9"/>
      <c r="U230" s="9"/>
      <c r="V230" s="9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</row>
    <row r="231" spans="1:75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2"/>
      <c r="L231" s="1"/>
      <c r="M231" s="1"/>
      <c r="N231" s="33"/>
      <c r="O231" s="33"/>
      <c r="P231" s="33"/>
      <c r="Q231" s="9"/>
      <c r="R231" s="9"/>
      <c r="S231" s="9"/>
      <c r="T231" s="9"/>
      <c r="U231" s="9"/>
      <c r="V231" s="9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</row>
    <row r="232" spans="1:75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2"/>
      <c r="L232" s="1"/>
      <c r="M232" s="1"/>
      <c r="N232" s="33"/>
      <c r="O232" s="33"/>
      <c r="P232" s="33"/>
      <c r="Q232" s="9"/>
      <c r="R232" s="9"/>
      <c r="S232" s="9"/>
      <c r="T232" s="9"/>
      <c r="U232" s="9"/>
      <c r="V232" s="9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</row>
    <row r="233" spans="1:75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2"/>
      <c r="L233" s="1"/>
      <c r="M233" s="1"/>
      <c r="N233" s="33"/>
      <c r="O233" s="33"/>
      <c r="P233" s="33"/>
      <c r="Q233" s="9"/>
      <c r="R233" s="9"/>
      <c r="S233" s="9"/>
      <c r="T233" s="9"/>
      <c r="U233" s="9"/>
      <c r="V233" s="9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</row>
    <row r="234" spans="1:75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2"/>
      <c r="L234" s="1"/>
      <c r="M234" s="1"/>
      <c r="N234" s="33"/>
      <c r="O234" s="33"/>
      <c r="P234" s="33"/>
      <c r="Q234" s="9"/>
      <c r="R234" s="9"/>
      <c r="S234" s="9"/>
      <c r="T234" s="9"/>
      <c r="U234" s="9"/>
      <c r="V234" s="9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</row>
    <row r="235" spans="1:75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2"/>
      <c r="L235" s="1"/>
      <c r="M235" s="1"/>
      <c r="N235" s="33"/>
      <c r="O235" s="33"/>
      <c r="P235" s="33"/>
      <c r="Q235" s="9"/>
      <c r="R235" s="9"/>
      <c r="S235" s="9"/>
      <c r="T235" s="9"/>
      <c r="U235" s="9"/>
      <c r="V235" s="9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</row>
    <row r="236" spans="1:75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2"/>
      <c r="L236" s="1"/>
      <c r="M236" s="1"/>
      <c r="N236" s="33"/>
      <c r="O236" s="33"/>
      <c r="P236" s="33"/>
      <c r="Q236" s="9"/>
      <c r="R236" s="9"/>
      <c r="S236" s="9"/>
      <c r="T236" s="9"/>
      <c r="U236" s="9"/>
      <c r="V236" s="9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</row>
    <row r="237" spans="1:75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2"/>
      <c r="L237" s="1"/>
      <c r="M237" s="1"/>
      <c r="N237" s="33"/>
      <c r="O237" s="33"/>
      <c r="P237" s="33"/>
      <c r="Q237" s="9"/>
      <c r="R237" s="9"/>
      <c r="S237" s="9"/>
      <c r="T237" s="9"/>
      <c r="U237" s="9"/>
      <c r="V237" s="9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</row>
    <row r="238" spans="1:75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2"/>
      <c r="L238" s="1"/>
      <c r="M238" s="1"/>
      <c r="N238" s="33"/>
      <c r="O238" s="33"/>
      <c r="P238" s="33"/>
      <c r="Q238" s="9"/>
      <c r="R238" s="9"/>
      <c r="S238" s="9"/>
      <c r="T238" s="9"/>
      <c r="U238" s="9"/>
      <c r="V238" s="9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</row>
    <row r="239" spans="1:75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2"/>
      <c r="L239" s="1"/>
      <c r="M239" s="1"/>
      <c r="N239" s="33"/>
      <c r="O239" s="33"/>
      <c r="P239" s="33"/>
      <c r="Q239" s="9"/>
      <c r="R239" s="9"/>
      <c r="S239" s="9"/>
      <c r="T239" s="9"/>
      <c r="U239" s="9"/>
      <c r="V239" s="9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</row>
    <row r="240" spans="1:75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2"/>
      <c r="L240" s="1"/>
      <c r="M240" s="1"/>
      <c r="N240" s="33"/>
      <c r="O240" s="33"/>
      <c r="P240" s="33"/>
      <c r="Q240" s="9"/>
      <c r="R240" s="9"/>
      <c r="S240" s="9"/>
      <c r="T240" s="9"/>
      <c r="U240" s="9"/>
      <c r="V240" s="9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</row>
    <row r="241" spans="1:75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2"/>
      <c r="L241" s="1"/>
      <c r="M241" s="1"/>
      <c r="N241" s="33"/>
      <c r="O241" s="33"/>
      <c r="P241" s="33"/>
      <c r="Q241" s="9"/>
      <c r="R241" s="9"/>
      <c r="S241" s="9"/>
      <c r="T241" s="9"/>
      <c r="U241" s="9"/>
      <c r="V241" s="9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</row>
    <row r="242" spans="1:75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2"/>
      <c r="L242" s="1"/>
      <c r="M242" s="1"/>
      <c r="N242" s="33"/>
      <c r="O242" s="33"/>
      <c r="P242" s="33"/>
      <c r="Q242" s="9"/>
      <c r="R242" s="9"/>
      <c r="S242" s="9"/>
      <c r="T242" s="9"/>
      <c r="U242" s="9"/>
      <c r="V242" s="9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</row>
    <row r="243" spans="1:75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2"/>
      <c r="L243" s="1"/>
      <c r="M243" s="1"/>
      <c r="N243" s="33"/>
      <c r="O243" s="33"/>
      <c r="P243" s="33"/>
      <c r="Q243" s="9"/>
      <c r="R243" s="9"/>
      <c r="S243" s="9"/>
      <c r="T243" s="9"/>
      <c r="U243" s="9"/>
      <c r="V243" s="9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</row>
    <row r="244" spans="1:75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2"/>
      <c r="L244" s="1"/>
      <c r="M244" s="1"/>
      <c r="N244" s="33"/>
      <c r="O244" s="33"/>
      <c r="P244" s="33"/>
      <c r="Q244" s="9"/>
      <c r="R244" s="9"/>
      <c r="S244" s="9"/>
      <c r="T244" s="9"/>
      <c r="U244" s="9"/>
      <c r="V244" s="9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</row>
    <row r="245" spans="1:75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2"/>
      <c r="L245" s="1"/>
      <c r="M245" s="1"/>
      <c r="N245" s="33"/>
      <c r="O245" s="33"/>
      <c r="P245" s="33"/>
      <c r="Q245" s="9"/>
      <c r="R245" s="9"/>
      <c r="S245" s="9"/>
      <c r="T245" s="9"/>
      <c r="U245" s="9"/>
      <c r="V245" s="9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</row>
    <row r="246" spans="1:75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2"/>
      <c r="L246" s="1"/>
      <c r="M246" s="1"/>
      <c r="N246" s="33"/>
      <c r="O246" s="33"/>
      <c r="P246" s="33"/>
      <c r="Q246" s="9"/>
      <c r="R246" s="9"/>
      <c r="S246" s="9"/>
      <c r="T246" s="9"/>
      <c r="U246" s="9"/>
      <c r="V246" s="9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</row>
    <row r="247" spans="1:75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2"/>
      <c r="L247" s="1"/>
      <c r="M247" s="1"/>
      <c r="N247" s="33"/>
      <c r="O247" s="33"/>
      <c r="P247" s="33"/>
      <c r="Q247" s="9"/>
      <c r="R247" s="9"/>
      <c r="S247" s="9"/>
      <c r="T247" s="9"/>
      <c r="U247" s="9"/>
      <c r="V247" s="9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</row>
    <row r="248" spans="1:75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2"/>
      <c r="L248" s="1"/>
      <c r="M248" s="1"/>
      <c r="N248" s="33"/>
      <c r="O248" s="33"/>
      <c r="P248" s="33"/>
      <c r="Q248" s="9"/>
      <c r="R248" s="9"/>
      <c r="S248" s="9"/>
      <c r="T248" s="9"/>
      <c r="U248" s="9"/>
      <c r="V248" s="9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</row>
    <row r="249" spans="1:75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2"/>
      <c r="L249" s="1"/>
      <c r="M249" s="1"/>
      <c r="N249" s="33"/>
      <c r="O249" s="33"/>
      <c r="P249" s="33"/>
      <c r="Q249" s="9"/>
      <c r="R249" s="9"/>
      <c r="S249" s="9"/>
      <c r="T249" s="9"/>
      <c r="U249" s="9"/>
      <c r="V249" s="9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</row>
    <row r="250" spans="1:75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2"/>
      <c r="L250" s="1"/>
      <c r="M250" s="1"/>
      <c r="N250" s="33"/>
      <c r="O250" s="33"/>
      <c r="P250" s="33"/>
      <c r="Q250" s="9"/>
      <c r="R250" s="9"/>
      <c r="S250" s="9"/>
      <c r="T250" s="9"/>
      <c r="U250" s="9"/>
      <c r="V250" s="9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</row>
    <row r="251" spans="1:75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2"/>
      <c r="L251" s="1"/>
      <c r="M251" s="1"/>
      <c r="N251" s="33"/>
      <c r="O251" s="33"/>
      <c r="P251" s="33"/>
      <c r="Q251" s="9"/>
      <c r="R251" s="9"/>
      <c r="S251" s="9"/>
      <c r="T251" s="9"/>
      <c r="U251" s="9"/>
      <c r="V251" s="9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</row>
    <row r="252" spans="1:75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2"/>
      <c r="L252" s="1"/>
      <c r="M252" s="1"/>
      <c r="N252" s="33"/>
      <c r="O252" s="33"/>
      <c r="P252" s="33"/>
      <c r="Q252" s="9"/>
      <c r="R252" s="9"/>
      <c r="S252" s="9"/>
      <c r="T252" s="9"/>
      <c r="U252" s="9"/>
      <c r="V252" s="9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</row>
    <row r="253" spans="1:75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2"/>
      <c r="L253" s="1"/>
      <c r="M253" s="1"/>
      <c r="N253" s="33"/>
      <c r="O253" s="33"/>
      <c r="P253" s="33"/>
      <c r="Q253" s="9"/>
      <c r="R253" s="9"/>
      <c r="S253" s="9"/>
      <c r="T253" s="9"/>
      <c r="U253" s="9"/>
      <c r="V253" s="9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</row>
    <row r="254" spans="1:75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2"/>
      <c r="L254" s="1"/>
      <c r="M254" s="1"/>
      <c r="N254" s="33"/>
      <c r="O254" s="33"/>
      <c r="P254" s="33"/>
      <c r="Q254" s="9"/>
      <c r="R254" s="9"/>
      <c r="S254" s="9"/>
      <c r="T254" s="9"/>
      <c r="U254" s="9"/>
      <c r="V254" s="9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</row>
    <row r="255" spans="1:75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2"/>
      <c r="L255" s="1"/>
      <c r="M255" s="1"/>
      <c r="N255" s="33"/>
      <c r="O255" s="33"/>
      <c r="P255" s="33"/>
      <c r="Q255" s="9"/>
      <c r="R255" s="9"/>
      <c r="S255" s="9"/>
      <c r="T255" s="9"/>
      <c r="U255" s="9"/>
      <c r="V255" s="9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</row>
    <row r="256" spans="1:75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2"/>
      <c r="L256" s="1"/>
      <c r="M256" s="1"/>
      <c r="N256" s="33"/>
      <c r="O256" s="33"/>
      <c r="P256" s="33"/>
      <c r="Q256" s="9"/>
      <c r="R256" s="9"/>
      <c r="S256" s="9"/>
      <c r="T256" s="9"/>
      <c r="U256" s="9"/>
      <c r="V256" s="9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</row>
    <row r="257" spans="1:75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2"/>
      <c r="L257" s="1"/>
      <c r="M257" s="1"/>
      <c r="N257" s="33"/>
      <c r="O257" s="33"/>
      <c r="P257" s="33"/>
      <c r="Q257" s="9"/>
      <c r="R257" s="9"/>
      <c r="S257" s="9"/>
      <c r="T257" s="9"/>
      <c r="U257" s="9"/>
      <c r="V257" s="9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</row>
    <row r="258" spans="1:75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2"/>
      <c r="L258" s="1"/>
      <c r="M258" s="1"/>
      <c r="N258" s="33"/>
      <c r="O258" s="33"/>
      <c r="P258" s="33"/>
      <c r="Q258" s="9"/>
      <c r="R258" s="9"/>
      <c r="S258" s="9"/>
      <c r="T258" s="9"/>
      <c r="U258" s="9"/>
      <c r="V258" s="9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</row>
    <row r="259" spans="1:75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2"/>
      <c r="L259" s="1"/>
      <c r="M259" s="1"/>
      <c r="N259" s="33"/>
      <c r="O259" s="33"/>
      <c r="P259" s="33"/>
      <c r="Q259" s="9"/>
      <c r="R259" s="9"/>
      <c r="S259" s="9"/>
      <c r="T259" s="9"/>
      <c r="U259" s="9"/>
      <c r="V259" s="9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97EA-E7DD-48A6-854C-476F2EF95D52}">
  <dimension ref="A1:BW268"/>
  <sheetViews>
    <sheetView topLeftCell="Y76" zoomScale="130" zoomScaleNormal="130" workbookViewId="0">
      <selection activeCell="Z87" sqref="Z87"/>
    </sheetView>
  </sheetViews>
  <sheetFormatPr defaultRowHeight="13.8" x14ac:dyDescent="0.25"/>
  <cols>
    <col min="1" max="4" width="22.109375" style="3" customWidth="1"/>
    <col min="5" max="5" width="18.77734375" style="3" customWidth="1"/>
    <col min="6" max="6" width="17.33203125" style="3" customWidth="1"/>
    <col min="7" max="7" width="16.6640625" style="3" customWidth="1"/>
    <col min="8" max="8" width="20.88671875" style="3" customWidth="1"/>
    <col min="9" max="9" width="19.21875" style="3" customWidth="1"/>
    <col min="10" max="10" width="23.109375" style="3" customWidth="1"/>
    <col min="11" max="11" width="13.6640625" style="22" customWidth="1"/>
    <col min="12" max="12" width="20.88671875" style="1" customWidth="1"/>
    <col min="13" max="13" width="27.33203125" style="1" customWidth="1"/>
    <col min="14" max="15" width="20.6640625" style="33" customWidth="1"/>
    <col min="16" max="16" width="36.33203125" style="33" customWidth="1"/>
    <col min="17" max="17" width="23.21875" style="9" customWidth="1"/>
    <col min="18" max="18" width="30.88671875" style="9" customWidth="1"/>
    <col min="19" max="22" width="20.6640625" style="9" customWidth="1"/>
    <col min="23" max="25" width="27.6640625" style="7" customWidth="1"/>
    <col min="26" max="26" width="48.5546875" style="7" customWidth="1"/>
    <col min="27" max="27" width="46.77734375" style="7" customWidth="1"/>
    <col min="28" max="16384" width="8.88671875" style="7"/>
  </cols>
  <sheetData>
    <row r="1" spans="1:27" s="31" customFormat="1" ht="53.4" customHeight="1" x14ac:dyDescent="0.3">
      <c r="A1" s="14" t="s">
        <v>7</v>
      </c>
      <c r="B1" s="15" t="s">
        <v>6</v>
      </c>
      <c r="C1" s="14" t="s">
        <v>2</v>
      </c>
      <c r="D1" s="14" t="s">
        <v>1</v>
      </c>
      <c r="E1" s="15" t="s">
        <v>0</v>
      </c>
      <c r="F1" s="14" t="s">
        <v>3</v>
      </c>
      <c r="G1" s="15" t="s">
        <v>11</v>
      </c>
      <c r="H1" s="14" t="s">
        <v>4</v>
      </c>
      <c r="I1" s="15" t="s">
        <v>12</v>
      </c>
      <c r="J1" s="15" t="s">
        <v>8</v>
      </c>
      <c r="K1" s="21" t="s">
        <v>5</v>
      </c>
      <c r="L1" s="15" t="s">
        <v>10</v>
      </c>
      <c r="M1" s="15" t="s">
        <v>40</v>
      </c>
      <c r="N1" s="32" t="s">
        <v>9</v>
      </c>
      <c r="O1" s="32" t="s">
        <v>31</v>
      </c>
      <c r="P1" s="32" t="s">
        <v>37</v>
      </c>
      <c r="Q1" s="20" t="s">
        <v>13</v>
      </c>
      <c r="R1" s="25" t="s">
        <v>24</v>
      </c>
      <c r="S1" s="17" t="s">
        <v>36</v>
      </c>
      <c r="T1" s="25" t="s">
        <v>14</v>
      </c>
      <c r="U1" s="25" t="s">
        <v>15</v>
      </c>
      <c r="V1" s="25" t="s">
        <v>26</v>
      </c>
      <c r="W1" s="25" t="s">
        <v>34</v>
      </c>
      <c r="X1" s="25" t="s">
        <v>41</v>
      </c>
      <c r="Y1" s="25" t="s">
        <v>52</v>
      </c>
      <c r="Z1" s="44" t="s">
        <v>44</v>
      </c>
      <c r="AA1" s="44" t="s">
        <v>45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16.10891089108911</v>
      </c>
      <c r="L2" s="16">
        <f>(K2/1000000)</f>
        <v>1.6108910891089111E-5</v>
      </c>
      <c r="M2" s="1">
        <f>(3.142*3.07*3.07*25.4*25.4)/(4*1000000)</f>
        <v>4.7762865441819992E-3</v>
      </c>
      <c r="N2" s="29">
        <f>(L2*J2)/M2</f>
        <v>6.7874698966956461E-8</v>
      </c>
      <c r="O2" s="29">
        <f>(2.032/1000)</f>
        <v>2.032E-3</v>
      </c>
      <c r="P2" s="29">
        <v>1.1208581181901367E-10</v>
      </c>
      <c r="Q2" s="2">
        <v>0.05</v>
      </c>
      <c r="R2" s="2">
        <f>(1+Q2)*100000*1</f>
        <v>105000</v>
      </c>
      <c r="S2" s="2">
        <f>(5.24933748552653/1000)</f>
        <v>5.2493374855265302E-3</v>
      </c>
      <c r="T2" s="2">
        <v>0.13</v>
      </c>
      <c r="U2" s="2">
        <f>(1+T2)*100000</f>
        <v>112999.99999999999</v>
      </c>
      <c r="V2" s="2">
        <f t="shared" ref="V2:V33" si="1">(L2*U2)</f>
        <v>1.8203069306930693</v>
      </c>
      <c r="W2" s="2">
        <f>(50/1000000)*100000</f>
        <v>5</v>
      </c>
      <c r="X2" s="2">
        <f t="shared" ref="X2:X33" si="2">(N2+((P2/O2)*(SQRT(V2)-SQRT(W2))))</f>
        <v>1.8954070298681553E-8</v>
      </c>
      <c r="Y2" s="2">
        <f>(SQRT(R2)-(X2*O2/P2))^2</f>
        <v>104777.42834033865</v>
      </c>
      <c r="Z2" s="2">
        <f>(X2*S2)/(Y2-V2)</f>
        <v>9.496133078077627E-16</v>
      </c>
      <c r="AA2" s="2">
        <f>(Z2*6.022E+23)</f>
        <v>571857133.96183467</v>
      </c>
    </row>
    <row r="3" spans="1:27" x14ac:dyDescent="0.25">
      <c r="A3" s="1">
        <v>3</v>
      </c>
      <c r="B3" s="1">
        <f t="shared" ref="B3:B66" si="3">(A3/60)</f>
        <v>0.05</v>
      </c>
      <c r="C3" s="1">
        <v>20</v>
      </c>
      <c r="D3" s="1">
        <f t="shared" si="0"/>
        <v>29.146000000000001</v>
      </c>
      <c r="E3" s="1">
        <f t="shared" ref="E3:E66" si="4">(D3/(1000000*60))</f>
        <v>4.8576666666666667E-7</v>
      </c>
      <c r="F3" s="1">
        <v>21.1</v>
      </c>
      <c r="G3" s="1">
        <f t="shared" ref="G3:G66" si="5">(273+F3)</f>
        <v>294.10000000000002</v>
      </c>
      <c r="H3" s="1">
        <v>101.3</v>
      </c>
      <c r="I3" s="1">
        <f t="shared" ref="I3:I66" si="6">(H3*1000)</f>
        <v>101300</v>
      </c>
      <c r="J3" s="1">
        <f t="shared" ref="J3:J66" si="7">((I3*E3)/(8.314*G3))</f>
        <v>2.0124824921938581E-5</v>
      </c>
      <c r="K3" s="22">
        <v>16.034653465346537</v>
      </c>
      <c r="L3" s="16">
        <f t="shared" ref="L3:L54" si="8">(K3/1000000)</f>
        <v>1.6034653465346537E-5</v>
      </c>
      <c r="M3" s="1">
        <f t="shared" ref="M3:M66" si="9">(3.142*3.07*3.07*25.4*25.4)/(4*1000000)</f>
        <v>4.7762865441819992E-3</v>
      </c>
      <c r="N3" s="29">
        <f t="shared" ref="N3:N54" si="10">(L3*J3)/M3</f>
        <v>6.7561816212038102E-8</v>
      </c>
      <c r="O3" s="29">
        <f t="shared" ref="O3:O66" si="11">(2.032/1000)</f>
        <v>2.032E-3</v>
      </c>
      <c r="P3" s="29">
        <v>1.1208581181901367E-10</v>
      </c>
      <c r="Q3" s="2">
        <v>0.05</v>
      </c>
      <c r="R3" s="2">
        <f t="shared" ref="R3:R54" si="12">(1+Q3)*100000*1</f>
        <v>105000</v>
      </c>
      <c r="S3" s="2">
        <f t="shared" ref="S3:S66" si="13">(5.24933748552653/1000)</f>
        <v>5.2493374855265302E-3</v>
      </c>
      <c r="T3" s="2">
        <v>0.13</v>
      </c>
      <c r="U3" s="2">
        <f t="shared" ref="U3:U66" si="14">(1+T3)*100000</f>
        <v>112999.99999999999</v>
      </c>
      <c r="V3" s="2">
        <f t="shared" si="1"/>
        <v>1.8119158415841585</v>
      </c>
      <c r="W3" s="2">
        <f t="shared" ref="W3:W66" si="15">(50/1000000)*100000</f>
        <v>5</v>
      </c>
      <c r="X3" s="2">
        <f t="shared" si="2"/>
        <v>1.8469458273441147E-8</v>
      </c>
      <c r="Y3" s="2">
        <f t="shared" ref="Y3:Y66" si="16">(SQRT(R3)-(X3*O3/P3))^2</f>
        <v>104783.11604458182</v>
      </c>
      <c r="Z3" s="2">
        <f t="shared" ref="Z3:Z66" si="17">(X3*S3)/(Y3-V3)</f>
        <v>9.2528357475892338E-16</v>
      </c>
      <c r="AA3" s="2">
        <f t="shared" ref="AA3:AA66" si="18">(Z3*6.022E+23)</f>
        <v>557205768.71982372</v>
      </c>
    </row>
    <row r="4" spans="1:27" x14ac:dyDescent="0.25">
      <c r="A4" s="1">
        <v>6</v>
      </c>
      <c r="B4" s="1">
        <f t="shared" si="3"/>
        <v>0.1</v>
      </c>
      <c r="C4" s="1">
        <v>20</v>
      </c>
      <c r="D4" s="1">
        <f t="shared" si="0"/>
        <v>29.146000000000001</v>
      </c>
      <c r="E4" s="1">
        <f t="shared" si="4"/>
        <v>4.8576666666666667E-7</v>
      </c>
      <c r="F4" s="1">
        <v>21.1</v>
      </c>
      <c r="G4" s="1">
        <f t="shared" si="5"/>
        <v>294.10000000000002</v>
      </c>
      <c r="H4" s="1">
        <v>101.3</v>
      </c>
      <c r="I4" s="1">
        <f t="shared" si="6"/>
        <v>101300</v>
      </c>
      <c r="J4" s="1">
        <f t="shared" si="7"/>
        <v>2.0124824921938581E-5</v>
      </c>
      <c r="K4" s="22">
        <v>12.247524752475249</v>
      </c>
      <c r="L4" s="16">
        <f t="shared" si="8"/>
        <v>1.2247524752475249E-5</v>
      </c>
      <c r="M4" s="1">
        <f t="shared" si="9"/>
        <v>4.7762865441819992E-3</v>
      </c>
      <c r="N4" s="29">
        <f t="shared" si="10"/>
        <v>5.160479571120168E-8</v>
      </c>
      <c r="O4" s="29">
        <f t="shared" si="11"/>
        <v>2.032E-3</v>
      </c>
      <c r="P4" s="29">
        <v>1.1208581181901367E-10</v>
      </c>
      <c r="Q4" s="2">
        <v>0.05</v>
      </c>
      <c r="R4" s="2">
        <f t="shared" si="12"/>
        <v>105000</v>
      </c>
      <c r="S4" s="2">
        <f t="shared" si="13"/>
        <v>5.2493374855265302E-3</v>
      </c>
      <c r="T4" s="2">
        <v>0.13</v>
      </c>
      <c r="U4" s="2">
        <f t="shared" si="14"/>
        <v>112999.99999999999</v>
      </c>
      <c r="V4" s="2">
        <f t="shared" si="1"/>
        <v>1.383970297029703</v>
      </c>
      <c r="W4" s="2">
        <f t="shared" si="15"/>
        <v>5</v>
      </c>
      <c r="X4" s="2">
        <f t="shared" si="2"/>
        <v>-6.8456002538008615E-9</v>
      </c>
      <c r="Y4" s="2">
        <f t="shared" si="16"/>
        <v>105080.44376709552</v>
      </c>
      <c r="Z4" s="2">
        <f t="shared" si="17"/>
        <v>-3.4197932578286774E-16</v>
      </c>
      <c r="AA4" s="2">
        <f t="shared" si="18"/>
        <v>-205939949.98644295</v>
      </c>
    </row>
    <row r="5" spans="1:27" x14ac:dyDescent="0.25">
      <c r="A5" s="1">
        <v>9</v>
      </c>
      <c r="B5" s="1">
        <f t="shared" si="3"/>
        <v>0.15</v>
      </c>
      <c r="C5" s="1">
        <v>20</v>
      </c>
      <c r="D5" s="1">
        <f t="shared" si="0"/>
        <v>29.146000000000001</v>
      </c>
      <c r="E5" s="1">
        <f t="shared" si="4"/>
        <v>4.8576666666666667E-7</v>
      </c>
      <c r="F5" s="1">
        <v>21.1</v>
      </c>
      <c r="G5" s="1">
        <f t="shared" si="5"/>
        <v>294.10000000000002</v>
      </c>
      <c r="H5" s="1">
        <v>101.3</v>
      </c>
      <c r="I5" s="1">
        <f t="shared" si="6"/>
        <v>101300</v>
      </c>
      <c r="J5" s="1">
        <f t="shared" si="7"/>
        <v>2.0124824921938581E-5</v>
      </c>
      <c r="K5" s="22">
        <v>15.465346534653467</v>
      </c>
      <c r="L5" s="16">
        <f t="shared" si="8"/>
        <v>1.5465346534653466E-5</v>
      </c>
      <c r="M5" s="1">
        <f t="shared" si="9"/>
        <v>4.7762865441819992E-3</v>
      </c>
      <c r="N5" s="29">
        <f t="shared" si="10"/>
        <v>6.5163048424330659E-8</v>
      </c>
      <c r="O5" s="29">
        <f t="shared" si="11"/>
        <v>2.032E-3</v>
      </c>
      <c r="P5" s="29">
        <v>1.1208581181901367E-10</v>
      </c>
      <c r="Q5" s="2">
        <v>0.05</v>
      </c>
      <c r="R5" s="2">
        <f t="shared" si="12"/>
        <v>105000</v>
      </c>
      <c r="S5" s="2">
        <f t="shared" si="13"/>
        <v>5.2493374855265302E-3</v>
      </c>
      <c r="T5" s="2">
        <v>0.13</v>
      </c>
      <c r="U5" s="2">
        <f t="shared" si="14"/>
        <v>112999.99999999999</v>
      </c>
      <c r="V5" s="2">
        <f t="shared" si="1"/>
        <v>1.7475841584158414</v>
      </c>
      <c r="W5" s="2">
        <f t="shared" si="15"/>
        <v>5</v>
      </c>
      <c r="X5" s="2">
        <f t="shared" si="2"/>
        <v>1.4740664609264616E-8</v>
      </c>
      <c r="Y5" s="2">
        <f t="shared" si="16"/>
        <v>104826.88461976305</v>
      </c>
      <c r="Z5" s="2">
        <f t="shared" si="17"/>
        <v>7.3816954103961504E-16</v>
      </c>
      <c r="AA5" s="2">
        <f t="shared" si="18"/>
        <v>444525697.61405617</v>
      </c>
    </row>
    <row r="6" spans="1:27" x14ac:dyDescent="0.25">
      <c r="A6" s="1">
        <v>12</v>
      </c>
      <c r="B6" s="1">
        <f t="shared" si="3"/>
        <v>0.2</v>
      </c>
      <c r="C6" s="1">
        <v>20</v>
      </c>
      <c r="D6" s="1">
        <f t="shared" si="0"/>
        <v>29.146000000000001</v>
      </c>
      <c r="E6" s="1">
        <f t="shared" si="4"/>
        <v>4.8576666666666667E-7</v>
      </c>
      <c r="F6" s="1">
        <v>21.1</v>
      </c>
      <c r="G6" s="1">
        <f t="shared" si="5"/>
        <v>294.10000000000002</v>
      </c>
      <c r="H6" s="1">
        <v>101.3</v>
      </c>
      <c r="I6" s="1">
        <f t="shared" si="6"/>
        <v>101300</v>
      </c>
      <c r="J6" s="1">
        <f t="shared" si="7"/>
        <v>2.0124824921938581E-5</v>
      </c>
      <c r="K6" s="22">
        <v>17.71782178217822</v>
      </c>
      <c r="L6" s="16">
        <f t="shared" si="8"/>
        <v>1.7717821782178219E-5</v>
      </c>
      <c r="M6" s="1">
        <f t="shared" si="9"/>
        <v>4.7762865441819992E-3</v>
      </c>
      <c r="N6" s="29">
        <f t="shared" si="10"/>
        <v>7.465382532352094E-8</v>
      </c>
      <c r="O6" s="29">
        <f t="shared" si="11"/>
        <v>2.032E-3</v>
      </c>
      <c r="P6" s="29">
        <v>1.1208581181901367E-10</v>
      </c>
      <c r="Q6" s="2">
        <v>0.05</v>
      </c>
      <c r="R6" s="2">
        <f t="shared" si="12"/>
        <v>105000</v>
      </c>
      <c r="S6" s="2">
        <f t="shared" si="13"/>
        <v>5.2493374855265302E-3</v>
      </c>
      <c r="T6" s="2">
        <v>0.13</v>
      </c>
      <c r="U6" s="2">
        <f t="shared" si="14"/>
        <v>112999.99999999999</v>
      </c>
      <c r="V6" s="2">
        <f t="shared" si="1"/>
        <v>2.0021138613861384</v>
      </c>
      <c r="W6" s="2">
        <f t="shared" si="15"/>
        <v>5</v>
      </c>
      <c r="X6" s="2">
        <f t="shared" si="2"/>
        <v>2.9361269877481628E-8</v>
      </c>
      <c r="Y6" s="2">
        <f t="shared" si="16"/>
        <v>104655.32031147127</v>
      </c>
      <c r="Z6" s="2">
        <f t="shared" si="17"/>
        <v>1.4727408289099552E-15</v>
      </c>
      <c r="AA6" s="2">
        <f t="shared" si="18"/>
        <v>886884527.16957498</v>
      </c>
    </row>
    <row r="7" spans="1:27" x14ac:dyDescent="0.25">
      <c r="A7" s="1">
        <v>15</v>
      </c>
      <c r="B7" s="1">
        <f t="shared" si="3"/>
        <v>0.25</v>
      </c>
      <c r="C7" s="1">
        <v>20</v>
      </c>
      <c r="D7" s="1">
        <f t="shared" si="0"/>
        <v>29.146000000000001</v>
      </c>
      <c r="E7" s="1">
        <f t="shared" si="4"/>
        <v>4.8576666666666667E-7</v>
      </c>
      <c r="F7" s="1">
        <v>21.1</v>
      </c>
      <c r="G7" s="1">
        <f t="shared" si="5"/>
        <v>294.10000000000002</v>
      </c>
      <c r="H7" s="1">
        <v>101.3</v>
      </c>
      <c r="I7" s="1">
        <f t="shared" si="6"/>
        <v>101300</v>
      </c>
      <c r="J7" s="1">
        <f t="shared" si="7"/>
        <v>2.0124824921938581E-5</v>
      </c>
      <c r="K7" s="22">
        <v>19.103960396039607</v>
      </c>
      <c r="L7" s="16">
        <f t="shared" si="8"/>
        <v>1.9103960396039608E-5</v>
      </c>
      <c r="M7" s="1">
        <f t="shared" si="9"/>
        <v>4.7762865441819992E-3</v>
      </c>
      <c r="N7" s="29">
        <f t="shared" si="10"/>
        <v>8.049430341533037E-8</v>
      </c>
      <c r="O7" s="29">
        <f t="shared" si="11"/>
        <v>2.032E-3</v>
      </c>
      <c r="P7" s="29">
        <v>1.1208581181901367E-10</v>
      </c>
      <c r="Q7" s="2">
        <v>0.05</v>
      </c>
      <c r="R7" s="2">
        <f t="shared" si="12"/>
        <v>105000</v>
      </c>
      <c r="S7" s="2">
        <f t="shared" si="13"/>
        <v>5.2493374855265302E-3</v>
      </c>
      <c r="T7" s="2">
        <v>0.13</v>
      </c>
      <c r="U7" s="2">
        <f t="shared" si="14"/>
        <v>112999.99999999999</v>
      </c>
      <c r="V7" s="2">
        <f t="shared" si="1"/>
        <v>2.1587475247524757</v>
      </c>
      <c r="W7" s="2">
        <f t="shared" si="15"/>
        <v>5</v>
      </c>
      <c r="X7" s="2">
        <f t="shared" si="2"/>
        <v>3.8197338112613311E-8</v>
      </c>
      <c r="Y7" s="2">
        <f t="shared" si="16"/>
        <v>104551.70230398742</v>
      </c>
      <c r="Z7" s="2">
        <f t="shared" si="17"/>
        <v>1.9178536030010031E-15</v>
      </c>
      <c r="AA7" s="2">
        <f t="shared" si="18"/>
        <v>1154931439.7272041</v>
      </c>
    </row>
    <row r="8" spans="1:27" x14ac:dyDescent="0.25">
      <c r="A8" s="1">
        <v>18</v>
      </c>
      <c r="B8" s="1">
        <f t="shared" si="3"/>
        <v>0.3</v>
      </c>
      <c r="C8" s="1">
        <v>20</v>
      </c>
      <c r="D8" s="1">
        <f t="shared" si="0"/>
        <v>29.146000000000001</v>
      </c>
      <c r="E8" s="1">
        <f t="shared" si="4"/>
        <v>4.8576666666666667E-7</v>
      </c>
      <c r="F8" s="1">
        <v>21.1</v>
      </c>
      <c r="G8" s="1">
        <f t="shared" si="5"/>
        <v>294.10000000000002</v>
      </c>
      <c r="H8" s="1">
        <v>101.3</v>
      </c>
      <c r="I8" s="1">
        <f t="shared" si="6"/>
        <v>101300</v>
      </c>
      <c r="J8" s="1">
        <f t="shared" si="7"/>
        <v>2.0124824921938581E-5</v>
      </c>
      <c r="K8" s="22">
        <v>19.004950495049506</v>
      </c>
      <c r="L8" s="16">
        <f t="shared" si="8"/>
        <v>1.9004950495049506E-5</v>
      </c>
      <c r="M8" s="1">
        <f t="shared" si="9"/>
        <v>4.7762865441819992E-3</v>
      </c>
      <c r="N8" s="29">
        <f t="shared" si="10"/>
        <v>8.0077126408772532E-8</v>
      </c>
      <c r="O8" s="29">
        <f t="shared" si="11"/>
        <v>2.032E-3</v>
      </c>
      <c r="P8" s="29">
        <v>1.1208581181901367E-10</v>
      </c>
      <c r="Q8" s="2">
        <v>0.05</v>
      </c>
      <c r="R8" s="2">
        <f t="shared" si="12"/>
        <v>105000</v>
      </c>
      <c r="S8" s="2">
        <f t="shared" si="13"/>
        <v>5.2493374855265302E-3</v>
      </c>
      <c r="T8" s="2">
        <v>0.13</v>
      </c>
      <c r="U8" s="2">
        <f t="shared" si="14"/>
        <v>112999.99999999999</v>
      </c>
      <c r="V8" s="2">
        <f t="shared" si="1"/>
        <v>2.1475594059405938</v>
      </c>
      <c r="W8" s="2">
        <f t="shared" si="15"/>
        <v>5</v>
      </c>
      <c r="X8" s="2">
        <f t="shared" si="2"/>
        <v>3.7569871946170372E-8</v>
      </c>
      <c r="Y8" s="2">
        <f t="shared" si="16"/>
        <v>104559.05872479638</v>
      </c>
      <c r="Z8" s="2">
        <f t="shared" si="17"/>
        <v>1.8862161758155E-15</v>
      </c>
      <c r="AA8" s="2">
        <f t="shared" si="18"/>
        <v>1135879381.0760942</v>
      </c>
    </row>
    <row r="9" spans="1:27" x14ac:dyDescent="0.25">
      <c r="A9" s="1">
        <v>21</v>
      </c>
      <c r="B9" s="1">
        <f t="shared" si="3"/>
        <v>0.35</v>
      </c>
      <c r="C9" s="1">
        <v>20</v>
      </c>
      <c r="D9" s="1">
        <f t="shared" si="0"/>
        <v>29.146000000000001</v>
      </c>
      <c r="E9" s="1">
        <f t="shared" si="4"/>
        <v>4.8576666666666667E-7</v>
      </c>
      <c r="F9" s="1">
        <v>21.1</v>
      </c>
      <c r="G9" s="1">
        <f t="shared" si="5"/>
        <v>294.10000000000002</v>
      </c>
      <c r="H9" s="1">
        <v>101.3</v>
      </c>
      <c r="I9" s="1">
        <f t="shared" si="6"/>
        <v>101300</v>
      </c>
      <c r="J9" s="1">
        <f t="shared" si="7"/>
        <v>2.0124824921938581E-5</v>
      </c>
      <c r="K9" s="22">
        <v>16.306930693069305</v>
      </c>
      <c r="L9" s="16">
        <f t="shared" si="8"/>
        <v>1.6306930693069303E-5</v>
      </c>
      <c r="M9" s="1">
        <f t="shared" si="9"/>
        <v>4.7762865441819992E-3</v>
      </c>
      <c r="N9" s="29">
        <f t="shared" si="10"/>
        <v>6.8709052980072071E-8</v>
      </c>
      <c r="O9" s="29">
        <f t="shared" si="11"/>
        <v>2.032E-3</v>
      </c>
      <c r="P9" s="29">
        <v>1.1208581181901367E-10</v>
      </c>
      <c r="Q9" s="2">
        <v>0.05</v>
      </c>
      <c r="R9" s="2">
        <f t="shared" si="12"/>
        <v>105000</v>
      </c>
      <c r="S9" s="2">
        <f t="shared" si="13"/>
        <v>5.2493374855265302E-3</v>
      </c>
      <c r="T9" s="2">
        <v>0.13</v>
      </c>
      <c r="U9" s="2">
        <f t="shared" si="14"/>
        <v>112999.99999999999</v>
      </c>
      <c r="V9" s="2">
        <f t="shared" si="1"/>
        <v>1.842683168316831</v>
      </c>
      <c r="W9" s="2">
        <f t="shared" si="15"/>
        <v>5</v>
      </c>
      <c r="X9" s="2">
        <f t="shared" si="2"/>
        <v>2.0244443544019918E-8</v>
      </c>
      <c r="Y9" s="2">
        <f t="shared" si="16"/>
        <v>104762.2844804997</v>
      </c>
      <c r="Z9" s="2">
        <f t="shared" si="17"/>
        <v>1.0144088221280906E-15</v>
      </c>
      <c r="AA9" s="2">
        <f t="shared" si="18"/>
        <v>610876992.68553615</v>
      </c>
    </row>
    <row r="10" spans="1:27" x14ac:dyDescent="0.25">
      <c r="A10" s="1">
        <v>24</v>
      </c>
      <c r="B10" s="1">
        <f t="shared" si="3"/>
        <v>0.4</v>
      </c>
      <c r="C10" s="1">
        <v>20</v>
      </c>
      <c r="D10" s="1">
        <f t="shared" si="0"/>
        <v>29.146000000000001</v>
      </c>
      <c r="E10" s="1">
        <f t="shared" si="4"/>
        <v>4.8576666666666667E-7</v>
      </c>
      <c r="F10" s="1">
        <v>21.1</v>
      </c>
      <c r="G10" s="1">
        <f t="shared" si="5"/>
        <v>294.10000000000002</v>
      </c>
      <c r="H10" s="1">
        <v>101.3</v>
      </c>
      <c r="I10" s="1">
        <f t="shared" si="6"/>
        <v>101300</v>
      </c>
      <c r="J10" s="1">
        <f t="shared" si="7"/>
        <v>2.0124824921938581E-5</v>
      </c>
      <c r="K10" s="22">
        <v>22.841584158415841</v>
      </c>
      <c r="L10" s="16">
        <f t="shared" si="8"/>
        <v>2.284158415841584E-5</v>
      </c>
      <c r="M10" s="1">
        <f t="shared" si="9"/>
        <v>4.7762865441819992E-3</v>
      </c>
      <c r="N10" s="29">
        <f t="shared" si="10"/>
        <v>9.624273541288784E-8</v>
      </c>
      <c r="O10" s="29">
        <f t="shared" si="11"/>
        <v>2.032E-3</v>
      </c>
      <c r="P10" s="29">
        <v>1.1208581181901367E-10</v>
      </c>
      <c r="Q10" s="2">
        <v>0.05</v>
      </c>
      <c r="R10" s="2">
        <f t="shared" si="12"/>
        <v>105000</v>
      </c>
      <c r="S10" s="2">
        <f t="shared" si="13"/>
        <v>5.2493374855265302E-3</v>
      </c>
      <c r="T10" s="2">
        <v>0.13</v>
      </c>
      <c r="U10" s="2">
        <f t="shared" si="14"/>
        <v>112999.99999999999</v>
      </c>
      <c r="V10" s="2">
        <f t="shared" si="1"/>
        <v>2.5810990099009894</v>
      </c>
      <c r="W10" s="2">
        <f t="shared" si="15"/>
        <v>5</v>
      </c>
      <c r="X10" s="2">
        <f t="shared" si="2"/>
        <v>6.1519959338861825E-8</v>
      </c>
      <c r="Y10" s="2">
        <f t="shared" si="16"/>
        <v>104278.45119714749</v>
      </c>
      <c r="Z10" s="2">
        <f t="shared" si="17"/>
        <v>3.0969679597171077E-15</v>
      </c>
      <c r="AA10" s="2">
        <f t="shared" si="18"/>
        <v>1864994105.3416424</v>
      </c>
    </row>
    <row r="11" spans="1:27" x14ac:dyDescent="0.25">
      <c r="A11" s="1">
        <v>27</v>
      </c>
      <c r="B11" s="1">
        <f t="shared" si="3"/>
        <v>0.45</v>
      </c>
      <c r="C11" s="1">
        <v>20</v>
      </c>
      <c r="D11" s="1">
        <f t="shared" si="0"/>
        <v>29.146000000000001</v>
      </c>
      <c r="E11" s="1">
        <f t="shared" si="4"/>
        <v>4.8576666666666667E-7</v>
      </c>
      <c r="F11" s="1">
        <v>21.1</v>
      </c>
      <c r="G11" s="1">
        <f t="shared" si="5"/>
        <v>294.10000000000002</v>
      </c>
      <c r="H11" s="1">
        <v>101.3</v>
      </c>
      <c r="I11" s="1">
        <f t="shared" si="6"/>
        <v>101300</v>
      </c>
      <c r="J11" s="1">
        <f t="shared" si="7"/>
        <v>2.0124824921938581E-5</v>
      </c>
      <c r="K11" s="22">
        <v>22.89108910891089</v>
      </c>
      <c r="L11" s="16">
        <f t="shared" si="8"/>
        <v>2.2891089108910892E-5</v>
      </c>
      <c r="M11" s="1">
        <f t="shared" si="9"/>
        <v>4.7762865441819992E-3</v>
      </c>
      <c r="N11" s="29">
        <f t="shared" si="10"/>
        <v>9.6451323916166759E-8</v>
      </c>
      <c r="O11" s="29">
        <f t="shared" si="11"/>
        <v>2.032E-3</v>
      </c>
      <c r="P11" s="29">
        <v>1.1208581181901367E-10</v>
      </c>
      <c r="Q11" s="2">
        <v>0.05</v>
      </c>
      <c r="R11" s="2">
        <f t="shared" si="12"/>
        <v>105000</v>
      </c>
      <c r="S11" s="2">
        <f t="shared" si="13"/>
        <v>5.2493374855265302E-3</v>
      </c>
      <c r="T11" s="2">
        <v>0.13</v>
      </c>
      <c r="U11" s="2">
        <f t="shared" si="14"/>
        <v>112999.99999999999</v>
      </c>
      <c r="V11" s="2">
        <f t="shared" si="1"/>
        <v>2.5866930693069303</v>
      </c>
      <c r="W11" s="2">
        <f t="shared" si="15"/>
        <v>5</v>
      </c>
      <c r="X11" s="2">
        <f t="shared" si="2"/>
        <v>6.182452912756897E-8</v>
      </c>
      <c r="Y11" s="2">
        <f t="shared" si="16"/>
        <v>104274.88517979017</v>
      </c>
      <c r="Z11" s="2">
        <f t="shared" si="17"/>
        <v>3.1124068710895895E-15</v>
      </c>
      <c r="AA11" s="2">
        <f t="shared" si="18"/>
        <v>1874291417.7701509</v>
      </c>
    </row>
    <row r="12" spans="1:27" x14ac:dyDescent="0.25">
      <c r="A12" s="1">
        <v>30</v>
      </c>
      <c r="B12" s="1">
        <f t="shared" si="3"/>
        <v>0.5</v>
      </c>
      <c r="C12" s="1">
        <v>20</v>
      </c>
      <c r="D12" s="1">
        <f t="shared" si="0"/>
        <v>29.146000000000001</v>
      </c>
      <c r="E12" s="1">
        <f t="shared" si="4"/>
        <v>4.8576666666666667E-7</v>
      </c>
      <c r="F12" s="1">
        <v>21.1</v>
      </c>
      <c r="G12" s="1">
        <f t="shared" si="5"/>
        <v>294.10000000000002</v>
      </c>
      <c r="H12" s="1">
        <v>101.3</v>
      </c>
      <c r="I12" s="1">
        <f t="shared" si="6"/>
        <v>101300</v>
      </c>
      <c r="J12" s="1">
        <f t="shared" si="7"/>
        <v>2.0124824921938581E-5</v>
      </c>
      <c r="K12" s="22">
        <v>25.019801980198018</v>
      </c>
      <c r="L12" s="16">
        <f t="shared" si="8"/>
        <v>2.5019801980198019E-5</v>
      </c>
      <c r="M12" s="1">
        <f t="shared" si="9"/>
        <v>4.7762865441819992E-3</v>
      </c>
      <c r="N12" s="29">
        <f t="shared" si="10"/>
        <v>1.0542062955715976E-7</v>
      </c>
      <c r="O12" s="29">
        <f t="shared" si="11"/>
        <v>2.032E-3</v>
      </c>
      <c r="P12" s="29">
        <v>1.1208581181901367E-10</v>
      </c>
      <c r="Q12" s="2">
        <v>0.05</v>
      </c>
      <c r="R12" s="2">
        <f t="shared" si="12"/>
        <v>105000</v>
      </c>
      <c r="S12" s="2">
        <f t="shared" si="13"/>
        <v>5.2493374855265302E-3</v>
      </c>
      <c r="T12" s="2">
        <v>0.13</v>
      </c>
      <c r="U12" s="2">
        <f t="shared" si="14"/>
        <v>112999.99999999999</v>
      </c>
      <c r="V12" s="2">
        <f t="shared" si="1"/>
        <v>2.8272376237623758</v>
      </c>
      <c r="W12" s="2">
        <f t="shared" si="15"/>
        <v>5</v>
      </c>
      <c r="X12" s="2">
        <f t="shared" si="2"/>
        <v>7.4827114743390501E-8</v>
      </c>
      <c r="Y12" s="2">
        <f t="shared" si="16"/>
        <v>104122.70289607727</v>
      </c>
      <c r="Z12" s="2">
        <f t="shared" si="17"/>
        <v>3.7725052577354252E-15</v>
      </c>
      <c r="AA12" s="2">
        <f t="shared" si="18"/>
        <v>2271802666.2082729</v>
      </c>
    </row>
    <row r="13" spans="1:27" x14ac:dyDescent="0.25">
      <c r="A13" s="1">
        <v>33</v>
      </c>
      <c r="B13" s="1">
        <f t="shared" si="3"/>
        <v>0.55000000000000004</v>
      </c>
      <c r="C13" s="1">
        <v>20</v>
      </c>
      <c r="D13" s="1">
        <f t="shared" si="0"/>
        <v>29.146000000000001</v>
      </c>
      <c r="E13" s="1">
        <f t="shared" si="4"/>
        <v>4.8576666666666667E-7</v>
      </c>
      <c r="F13" s="1">
        <v>21.1</v>
      </c>
      <c r="G13" s="1">
        <f t="shared" si="5"/>
        <v>294.10000000000002</v>
      </c>
      <c r="H13" s="1">
        <v>101.3</v>
      </c>
      <c r="I13" s="1">
        <f t="shared" si="6"/>
        <v>101300</v>
      </c>
      <c r="J13" s="1">
        <f t="shared" si="7"/>
        <v>2.0124824921938581E-5</v>
      </c>
      <c r="K13" s="22">
        <v>32.990099009900995</v>
      </c>
      <c r="L13" s="16">
        <f t="shared" si="8"/>
        <v>3.2990099009900994E-5</v>
      </c>
      <c r="M13" s="1">
        <f t="shared" si="9"/>
        <v>4.7762865441819992E-3</v>
      </c>
      <c r="N13" s="29">
        <f t="shared" si="10"/>
        <v>1.3900337858506388E-7</v>
      </c>
      <c r="O13" s="29">
        <f t="shared" si="11"/>
        <v>2.032E-3</v>
      </c>
      <c r="P13" s="29">
        <v>1.1208581181901367E-10</v>
      </c>
      <c r="Q13" s="2">
        <v>0.05</v>
      </c>
      <c r="R13" s="2">
        <f t="shared" si="12"/>
        <v>105000</v>
      </c>
      <c r="S13" s="2">
        <f t="shared" si="13"/>
        <v>5.2493374855265302E-3</v>
      </c>
      <c r="T13" s="2">
        <v>0.13</v>
      </c>
      <c r="U13" s="2">
        <f t="shared" si="14"/>
        <v>112999.99999999999</v>
      </c>
      <c r="V13" s="2">
        <f t="shared" si="1"/>
        <v>3.7278811881188116</v>
      </c>
      <c r="W13" s="2">
        <f t="shared" si="15"/>
        <v>5</v>
      </c>
      <c r="X13" s="2">
        <f t="shared" si="2"/>
        <v>1.2216315812559121E-7</v>
      </c>
      <c r="Y13" s="2">
        <f t="shared" si="16"/>
        <v>103569.62047993706</v>
      </c>
      <c r="Z13" s="2">
        <f t="shared" si="17"/>
        <v>6.1919578850490925E-15</v>
      </c>
      <c r="AA13" s="2">
        <f t="shared" si="18"/>
        <v>3728797038.3765635</v>
      </c>
    </row>
    <row r="14" spans="1:27" x14ac:dyDescent="0.25">
      <c r="A14" s="1">
        <v>36</v>
      </c>
      <c r="B14" s="1">
        <f t="shared" si="3"/>
        <v>0.6</v>
      </c>
      <c r="C14" s="1">
        <v>20</v>
      </c>
      <c r="D14" s="1">
        <f t="shared" si="0"/>
        <v>29.146000000000001</v>
      </c>
      <c r="E14" s="1">
        <f t="shared" si="4"/>
        <v>4.8576666666666667E-7</v>
      </c>
      <c r="F14" s="1">
        <v>21.1</v>
      </c>
      <c r="G14" s="1">
        <f t="shared" si="5"/>
        <v>294.10000000000002</v>
      </c>
      <c r="H14" s="1">
        <v>101.3</v>
      </c>
      <c r="I14" s="1">
        <f t="shared" si="6"/>
        <v>101300</v>
      </c>
      <c r="J14" s="1">
        <f t="shared" si="7"/>
        <v>2.0124824921938581E-5</v>
      </c>
      <c r="K14" s="22">
        <v>43.78217821782178</v>
      </c>
      <c r="L14" s="16">
        <f t="shared" si="8"/>
        <v>4.3782178217821782E-5</v>
      </c>
      <c r="M14" s="1">
        <f t="shared" si="9"/>
        <v>4.7762865441819992E-3</v>
      </c>
      <c r="N14" s="29">
        <f t="shared" si="10"/>
        <v>1.8447567229986567E-7</v>
      </c>
      <c r="O14" s="29">
        <f t="shared" si="11"/>
        <v>2.032E-3</v>
      </c>
      <c r="P14" s="29">
        <v>1.1208581181901367E-10</v>
      </c>
      <c r="Q14" s="2">
        <v>0.05</v>
      </c>
      <c r="R14" s="2">
        <f t="shared" si="12"/>
        <v>105000</v>
      </c>
      <c r="S14" s="2">
        <f t="shared" si="13"/>
        <v>5.2493374855265302E-3</v>
      </c>
      <c r="T14" s="2">
        <v>0.13</v>
      </c>
      <c r="U14" s="2">
        <f t="shared" si="14"/>
        <v>112999.99999999999</v>
      </c>
      <c r="V14" s="2">
        <f t="shared" si="1"/>
        <v>4.9473861386138607</v>
      </c>
      <c r="W14" s="2">
        <f t="shared" si="15"/>
        <v>5</v>
      </c>
      <c r="X14" s="2">
        <f t="shared" si="2"/>
        <v>1.8382500475182881E-7</v>
      </c>
      <c r="Y14" s="2">
        <f t="shared" si="16"/>
        <v>102851.36185560089</v>
      </c>
      <c r="Z14" s="2">
        <f t="shared" si="17"/>
        <v>9.3825292130858732E-15</v>
      </c>
      <c r="AA14" s="2">
        <f t="shared" si="18"/>
        <v>5650159092.1203127</v>
      </c>
    </row>
    <row r="15" spans="1:27" x14ac:dyDescent="0.25">
      <c r="A15" s="1">
        <v>39</v>
      </c>
      <c r="B15" s="1">
        <f t="shared" si="3"/>
        <v>0.65</v>
      </c>
      <c r="C15" s="1">
        <v>20</v>
      </c>
      <c r="D15" s="1">
        <f t="shared" si="0"/>
        <v>29.146000000000001</v>
      </c>
      <c r="E15" s="1">
        <f t="shared" si="4"/>
        <v>4.8576666666666667E-7</v>
      </c>
      <c r="F15" s="1">
        <v>21.1</v>
      </c>
      <c r="G15" s="1">
        <f t="shared" si="5"/>
        <v>294.10000000000002</v>
      </c>
      <c r="H15" s="1">
        <v>101.3</v>
      </c>
      <c r="I15" s="1">
        <f t="shared" si="6"/>
        <v>101300</v>
      </c>
      <c r="J15" s="1">
        <f t="shared" si="7"/>
        <v>2.0124824921938581E-5</v>
      </c>
      <c r="K15" s="22">
        <v>46.158415841584159</v>
      </c>
      <c r="L15" s="16">
        <f t="shared" si="8"/>
        <v>4.6158415841584157E-5</v>
      </c>
      <c r="M15" s="1">
        <f t="shared" si="9"/>
        <v>4.7762865441819992E-3</v>
      </c>
      <c r="N15" s="29">
        <f t="shared" si="10"/>
        <v>1.944879204572532E-7</v>
      </c>
      <c r="O15" s="29">
        <f t="shared" si="11"/>
        <v>2.032E-3</v>
      </c>
      <c r="P15" s="29">
        <v>1.1208581181901367E-10</v>
      </c>
      <c r="Q15" s="2">
        <v>0.05</v>
      </c>
      <c r="R15" s="2">
        <f t="shared" si="12"/>
        <v>105000</v>
      </c>
      <c r="S15" s="2">
        <f t="shared" si="13"/>
        <v>5.2493374855265302E-3</v>
      </c>
      <c r="T15" s="2">
        <v>0.13</v>
      </c>
      <c r="U15" s="2">
        <f t="shared" si="14"/>
        <v>112999.99999999999</v>
      </c>
      <c r="V15" s="2">
        <f t="shared" si="1"/>
        <v>5.2159009900990094</v>
      </c>
      <c r="W15" s="2">
        <f t="shared" si="15"/>
        <v>5</v>
      </c>
      <c r="X15" s="2">
        <f t="shared" si="2"/>
        <v>1.9712274977527795E-7</v>
      </c>
      <c r="Y15" s="2">
        <f t="shared" si="16"/>
        <v>102696.79270463335</v>
      </c>
      <c r="Z15" s="2">
        <f t="shared" si="17"/>
        <v>1.007642371315426E-14</v>
      </c>
      <c r="AA15" s="2">
        <f t="shared" si="18"/>
        <v>6068022360.0614958</v>
      </c>
    </row>
    <row r="16" spans="1:27" x14ac:dyDescent="0.25">
      <c r="A16" s="1">
        <v>42</v>
      </c>
      <c r="B16" s="1">
        <f t="shared" si="3"/>
        <v>0.7</v>
      </c>
      <c r="C16" s="1">
        <v>20</v>
      </c>
      <c r="D16" s="1">
        <f t="shared" si="0"/>
        <v>29.146000000000001</v>
      </c>
      <c r="E16" s="1">
        <f t="shared" si="4"/>
        <v>4.8576666666666667E-7</v>
      </c>
      <c r="F16" s="1">
        <v>21.1</v>
      </c>
      <c r="G16" s="1">
        <f t="shared" si="5"/>
        <v>294.10000000000002</v>
      </c>
      <c r="H16" s="1">
        <v>101.3</v>
      </c>
      <c r="I16" s="1">
        <f t="shared" si="6"/>
        <v>101300</v>
      </c>
      <c r="J16" s="1">
        <f t="shared" si="7"/>
        <v>2.0124824921938581E-5</v>
      </c>
      <c r="K16" s="22">
        <v>50.193069306930695</v>
      </c>
      <c r="L16" s="16">
        <f t="shared" si="8"/>
        <v>5.0193069306930697E-5</v>
      </c>
      <c r="M16" s="1">
        <f t="shared" si="9"/>
        <v>4.7762865441819992E-3</v>
      </c>
      <c r="N16" s="29">
        <f t="shared" si="10"/>
        <v>2.1148788347448416E-7</v>
      </c>
      <c r="O16" s="29">
        <f t="shared" si="11"/>
        <v>2.032E-3</v>
      </c>
      <c r="P16" s="29">
        <v>1.1208581181901367E-10</v>
      </c>
      <c r="Q16" s="2">
        <v>0.05</v>
      </c>
      <c r="R16" s="2">
        <f t="shared" si="12"/>
        <v>105000</v>
      </c>
      <c r="S16" s="2">
        <f t="shared" si="13"/>
        <v>5.2493374855265302E-3</v>
      </c>
      <c r="T16" s="2">
        <v>0.13</v>
      </c>
      <c r="U16" s="2">
        <f t="shared" si="14"/>
        <v>112999.99999999999</v>
      </c>
      <c r="V16" s="2">
        <f t="shared" si="1"/>
        <v>5.6718168316831683</v>
      </c>
      <c r="W16" s="2">
        <f t="shared" si="15"/>
        <v>5</v>
      </c>
      <c r="X16" s="2">
        <f t="shared" si="2"/>
        <v>2.1951314324383453E-7</v>
      </c>
      <c r="Y16" s="2">
        <f t="shared" si="16"/>
        <v>102436.79585429351</v>
      </c>
      <c r="Z16" s="2">
        <f t="shared" si="17"/>
        <v>1.1249496500440519E-14</v>
      </c>
      <c r="AA16" s="2">
        <f t="shared" si="18"/>
        <v>6774446792.5652809</v>
      </c>
    </row>
    <row r="17" spans="1:75" s="4" customFormat="1" x14ac:dyDescent="0.25">
      <c r="A17" s="1">
        <v>45</v>
      </c>
      <c r="B17" s="1">
        <f t="shared" si="3"/>
        <v>0.75</v>
      </c>
      <c r="C17" s="1">
        <v>20</v>
      </c>
      <c r="D17" s="1">
        <f t="shared" si="0"/>
        <v>29.146000000000001</v>
      </c>
      <c r="E17" s="1">
        <f t="shared" si="4"/>
        <v>4.8576666666666667E-7</v>
      </c>
      <c r="F17" s="1">
        <v>21.1</v>
      </c>
      <c r="G17" s="1">
        <f t="shared" si="5"/>
        <v>294.10000000000002</v>
      </c>
      <c r="H17" s="1">
        <v>101.3</v>
      </c>
      <c r="I17" s="1">
        <f t="shared" si="6"/>
        <v>101300</v>
      </c>
      <c r="J17" s="1">
        <f t="shared" si="7"/>
        <v>2.0124824921938581E-5</v>
      </c>
      <c r="K17" s="22">
        <v>45.589108910891092</v>
      </c>
      <c r="L17" s="16">
        <f t="shared" si="8"/>
        <v>4.5589108910891089E-5</v>
      </c>
      <c r="M17" s="1">
        <f t="shared" si="9"/>
        <v>4.7762865441819992E-3</v>
      </c>
      <c r="N17" s="29">
        <f t="shared" si="10"/>
        <v>1.9208915266954576E-7</v>
      </c>
      <c r="O17" s="29">
        <f t="shared" si="11"/>
        <v>2.032E-3</v>
      </c>
      <c r="P17" s="29">
        <v>1.1208581181901367E-10</v>
      </c>
      <c r="Q17" s="2">
        <v>0.05</v>
      </c>
      <c r="R17" s="2">
        <f t="shared" si="12"/>
        <v>105000</v>
      </c>
      <c r="S17" s="2">
        <f t="shared" si="13"/>
        <v>5.2493374855265302E-3</v>
      </c>
      <c r="T17" s="2">
        <v>0.13</v>
      </c>
      <c r="U17" s="2">
        <f t="shared" si="14"/>
        <v>112999.99999999999</v>
      </c>
      <c r="V17" s="2">
        <f t="shared" si="1"/>
        <v>5.1515693069306927</v>
      </c>
      <c r="W17" s="2">
        <f t="shared" si="15"/>
        <v>5</v>
      </c>
      <c r="X17" s="2">
        <f t="shared" si="2"/>
        <v>1.9394468581181697E-7</v>
      </c>
      <c r="Y17" s="2">
        <f t="shared" si="16"/>
        <v>102733.72303307093</v>
      </c>
      <c r="Z17" s="2">
        <f t="shared" si="17"/>
        <v>9.9103987804381125E-15</v>
      </c>
      <c r="AA17" s="2">
        <f t="shared" si="18"/>
        <v>5968042145.5798321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spans="1:75" s="4" customFormat="1" x14ac:dyDescent="0.25">
      <c r="A18" s="1">
        <v>48</v>
      </c>
      <c r="B18" s="1">
        <f t="shared" si="3"/>
        <v>0.8</v>
      </c>
      <c r="C18" s="1">
        <v>20</v>
      </c>
      <c r="D18" s="1">
        <f t="shared" si="0"/>
        <v>29.146000000000001</v>
      </c>
      <c r="E18" s="1">
        <f t="shared" si="4"/>
        <v>4.8576666666666667E-7</v>
      </c>
      <c r="F18" s="1">
        <v>21.1</v>
      </c>
      <c r="G18" s="1">
        <f t="shared" si="5"/>
        <v>294.10000000000002</v>
      </c>
      <c r="H18" s="1">
        <v>101.3</v>
      </c>
      <c r="I18" s="1">
        <f t="shared" si="6"/>
        <v>101300</v>
      </c>
      <c r="J18" s="1">
        <f t="shared" si="7"/>
        <v>2.0124824921938581E-5</v>
      </c>
      <c r="K18" s="22">
        <v>53.980198019801982</v>
      </c>
      <c r="L18" s="16">
        <f t="shared" si="8"/>
        <v>5.398019801980198E-5</v>
      </c>
      <c r="M18" s="1">
        <f t="shared" si="9"/>
        <v>4.7762865441819992E-3</v>
      </c>
      <c r="N18" s="29">
        <f t="shared" si="10"/>
        <v>2.2744490397532059E-7</v>
      </c>
      <c r="O18" s="29">
        <f t="shared" si="11"/>
        <v>2.032E-3</v>
      </c>
      <c r="P18" s="29">
        <v>1.1208581181901367E-10</v>
      </c>
      <c r="Q18" s="2">
        <v>0.05</v>
      </c>
      <c r="R18" s="2">
        <f t="shared" si="12"/>
        <v>105000</v>
      </c>
      <c r="S18" s="2">
        <f t="shared" si="13"/>
        <v>5.2493374855265302E-3</v>
      </c>
      <c r="T18" s="2">
        <v>0.13</v>
      </c>
      <c r="U18" s="2">
        <f t="shared" si="14"/>
        <v>112999.99999999999</v>
      </c>
      <c r="V18" s="2">
        <f t="shared" si="1"/>
        <v>6.0997623762376234</v>
      </c>
      <c r="W18" s="2">
        <f t="shared" si="15"/>
        <v>5</v>
      </c>
      <c r="X18" s="2">
        <f t="shared" si="2"/>
        <v>2.4033597061307815E-7</v>
      </c>
      <c r="Y18" s="2">
        <f t="shared" si="16"/>
        <v>102195.29728841003</v>
      </c>
      <c r="Z18" s="2">
        <f t="shared" si="17"/>
        <v>1.2345772842948752E-14</v>
      </c>
      <c r="AA18" s="2">
        <f t="shared" si="18"/>
        <v>7434624406.0237389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 spans="1:75" s="4" customFormat="1" x14ac:dyDescent="0.25">
      <c r="A19" s="1">
        <v>51</v>
      </c>
      <c r="B19" s="1">
        <f t="shared" si="3"/>
        <v>0.85</v>
      </c>
      <c r="C19" s="1">
        <v>20</v>
      </c>
      <c r="D19" s="1">
        <f t="shared" si="0"/>
        <v>29.146000000000001</v>
      </c>
      <c r="E19" s="1">
        <f t="shared" si="4"/>
        <v>4.8576666666666667E-7</v>
      </c>
      <c r="F19" s="1">
        <v>21.1</v>
      </c>
      <c r="G19" s="1">
        <f t="shared" si="5"/>
        <v>294.10000000000002</v>
      </c>
      <c r="H19" s="1">
        <v>101.3</v>
      </c>
      <c r="I19" s="1">
        <f t="shared" si="6"/>
        <v>101300</v>
      </c>
      <c r="J19" s="1">
        <f t="shared" si="7"/>
        <v>2.0124824921938581E-5</v>
      </c>
      <c r="K19" s="22">
        <v>66.504950495049499</v>
      </c>
      <c r="L19" s="16">
        <f t="shared" si="8"/>
        <v>6.6504950495049501E-5</v>
      </c>
      <c r="M19" s="1">
        <f t="shared" si="9"/>
        <v>4.7762865441819992E-3</v>
      </c>
      <c r="N19" s="29">
        <f t="shared" si="10"/>
        <v>2.8021779530488411E-7</v>
      </c>
      <c r="O19" s="29">
        <f t="shared" si="11"/>
        <v>2.032E-3</v>
      </c>
      <c r="P19" s="29">
        <v>1.1208581181901367E-10</v>
      </c>
      <c r="Q19" s="2">
        <v>0.05</v>
      </c>
      <c r="R19" s="2">
        <f t="shared" si="12"/>
        <v>105000</v>
      </c>
      <c r="S19" s="2">
        <f t="shared" si="13"/>
        <v>5.2493374855265302E-3</v>
      </c>
      <c r="T19" s="2">
        <v>0.13</v>
      </c>
      <c r="U19" s="2">
        <f t="shared" si="14"/>
        <v>112999.99999999999</v>
      </c>
      <c r="V19" s="2">
        <f t="shared" si="1"/>
        <v>7.5150594059405931</v>
      </c>
      <c r="W19" s="2">
        <f t="shared" si="15"/>
        <v>5</v>
      </c>
      <c r="X19" s="2">
        <f t="shared" si="2"/>
        <v>3.0808992315118801E-7</v>
      </c>
      <c r="Y19" s="2">
        <f t="shared" si="16"/>
        <v>101411.47429443772</v>
      </c>
      <c r="Z19" s="2">
        <f t="shared" si="17"/>
        <v>1.5948765656793068E-14</v>
      </c>
      <c r="AA19" s="2">
        <f t="shared" si="18"/>
        <v>9604346678.5207863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 spans="1:75" s="4" customFormat="1" x14ac:dyDescent="0.25">
      <c r="A20" s="1">
        <v>54</v>
      </c>
      <c r="B20" s="1">
        <f t="shared" si="3"/>
        <v>0.9</v>
      </c>
      <c r="C20" s="1">
        <v>20</v>
      </c>
      <c r="D20" s="1">
        <f t="shared" si="0"/>
        <v>29.146000000000001</v>
      </c>
      <c r="E20" s="1">
        <f t="shared" si="4"/>
        <v>4.8576666666666667E-7</v>
      </c>
      <c r="F20" s="1">
        <v>21.1</v>
      </c>
      <c r="G20" s="1">
        <f t="shared" si="5"/>
        <v>294.10000000000002</v>
      </c>
      <c r="H20" s="1">
        <v>101.3</v>
      </c>
      <c r="I20" s="1">
        <f t="shared" si="6"/>
        <v>101300</v>
      </c>
      <c r="J20" s="1">
        <f t="shared" si="7"/>
        <v>2.0124824921938581E-5</v>
      </c>
      <c r="K20" s="22">
        <v>63.410891089108908</v>
      </c>
      <c r="L20" s="16">
        <f t="shared" si="8"/>
        <v>6.3410891089108905E-5</v>
      </c>
      <c r="M20" s="1">
        <f t="shared" si="9"/>
        <v>4.7762865441819992E-3</v>
      </c>
      <c r="N20" s="29">
        <f t="shared" si="10"/>
        <v>2.6718101384995236E-7</v>
      </c>
      <c r="O20" s="29">
        <f t="shared" si="11"/>
        <v>2.032E-3</v>
      </c>
      <c r="P20" s="29">
        <v>1.1208581181901367E-10</v>
      </c>
      <c r="Q20" s="2">
        <v>0.05</v>
      </c>
      <c r="R20" s="2">
        <f t="shared" si="12"/>
        <v>105000</v>
      </c>
      <c r="S20" s="2">
        <f t="shared" si="13"/>
        <v>5.2493374855265302E-3</v>
      </c>
      <c r="T20" s="2">
        <v>0.13</v>
      </c>
      <c r="U20" s="2">
        <f t="shared" si="14"/>
        <v>112999.99999999999</v>
      </c>
      <c r="V20" s="2">
        <f t="shared" si="1"/>
        <v>7.1654306930693057</v>
      </c>
      <c r="W20" s="2">
        <f t="shared" si="15"/>
        <v>5</v>
      </c>
      <c r="X20" s="2">
        <f t="shared" si="2"/>
        <v>2.9149371910775817E-7</v>
      </c>
      <c r="Y20" s="2">
        <f t="shared" si="16"/>
        <v>101603.19123195896</v>
      </c>
      <c r="Z20" s="2">
        <f t="shared" si="17"/>
        <v>1.506110986566593E-14</v>
      </c>
      <c r="AA20" s="2">
        <f t="shared" si="18"/>
        <v>9069800361.104023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 spans="1:75" s="4" customFormat="1" x14ac:dyDescent="0.25">
      <c r="A21" s="1">
        <v>57</v>
      </c>
      <c r="B21" s="1">
        <f t="shared" si="3"/>
        <v>0.95</v>
      </c>
      <c r="C21" s="1">
        <v>20</v>
      </c>
      <c r="D21" s="1">
        <f t="shared" si="0"/>
        <v>29.146000000000001</v>
      </c>
      <c r="E21" s="1">
        <f t="shared" si="4"/>
        <v>4.8576666666666667E-7</v>
      </c>
      <c r="F21" s="1">
        <v>21.1</v>
      </c>
      <c r="G21" s="1">
        <f t="shared" si="5"/>
        <v>294.10000000000002</v>
      </c>
      <c r="H21" s="1">
        <v>101.3</v>
      </c>
      <c r="I21" s="1">
        <f t="shared" si="6"/>
        <v>101300</v>
      </c>
      <c r="J21" s="1">
        <f t="shared" si="7"/>
        <v>2.0124824921938581E-5</v>
      </c>
      <c r="K21" s="22">
        <v>66.529702970297038</v>
      </c>
      <c r="L21" s="16">
        <f t="shared" si="8"/>
        <v>6.6529702970297044E-5</v>
      </c>
      <c r="M21" s="1">
        <f t="shared" si="9"/>
        <v>4.7762865441819992E-3</v>
      </c>
      <c r="N21" s="29">
        <f t="shared" si="10"/>
        <v>2.8032208955652364E-7</v>
      </c>
      <c r="O21" s="29">
        <f t="shared" si="11"/>
        <v>2.032E-3</v>
      </c>
      <c r="P21" s="29">
        <v>1.1208581181901367E-10</v>
      </c>
      <c r="Q21" s="2">
        <v>0.05</v>
      </c>
      <c r="R21" s="2">
        <f t="shared" si="12"/>
        <v>105000</v>
      </c>
      <c r="S21" s="2">
        <f t="shared" si="13"/>
        <v>5.2493374855265302E-3</v>
      </c>
      <c r="T21" s="2">
        <v>0.13</v>
      </c>
      <c r="U21" s="2">
        <f t="shared" si="14"/>
        <v>112999.99999999999</v>
      </c>
      <c r="V21" s="2">
        <f t="shared" si="1"/>
        <v>7.5178564356435649</v>
      </c>
      <c r="W21" s="2">
        <f t="shared" si="15"/>
        <v>5</v>
      </c>
      <c r="X21" s="2">
        <f t="shared" si="2"/>
        <v>3.0822235502588825E-7</v>
      </c>
      <c r="Y21" s="2">
        <f t="shared" si="16"/>
        <v>101409.94518877847</v>
      </c>
      <c r="Z21" s="2">
        <f t="shared" si="17"/>
        <v>1.5955862247871496E-14</v>
      </c>
      <c r="AA21" s="2">
        <f t="shared" si="18"/>
        <v>9608620245.6682148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 spans="1:75" s="4" customFormat="1" x14ac:dyDescent="0.25">
      <c r="A22" s="1">
        <v>60</v>
      </c>
      <c r="B22" s="1">
        <f t="shared" si="3"/>
        <v>1</v>
      </c>
      <c r="C22" s="1">
        <v>20</v>
      </c>
      <c r="D22" s="1">
        <f t="shared" si="0"/>
        <v>29.146000000000001</v>
      </c>
      <c r="E22" s="1">
        <f t="shared" si="4"/>
        <v>4.8576666666666667E-7</v>
      </c>
      <c r="F22" s="1">
        <v>21.1</v>
      </c>
      <c r="G22" s="1">
        <f t="shared" si="5"/>
        <v>294.10000000000002</v>
      </c>
      <c r="H22" s="1">
        <v>101.3</v>
      </c>
      <c r="I22" s="1">
        <f t="shared" si="6"/>
        <v>101300</v>
      </c>
      <c r="J22" s="1">
        <f t="shared" si="7"/>
        <v>2.0124824921938581E-5</v>
      </c>
      <c r="K22" s="22">
        <v>72</v>
      </c>
      <c r="L22" s="16">
        <f t="shared" si="8"/>
        <v>7.2000000000000002E-5</v>
      </c>
      <c r="M22" s="1">
        <f t="shared" si="9"/>
        <v>4.7762865441819992E-3</v>
      </c>
      <c r="N22" s="29">
        <f t="shared" si="10"/>
        <v>3.0337111916884281E-7</v>
      </c>
      <c r="O22" s="29">
        <f t="shared" si="11"/>
        <v>2.032E-3</v>
      </c>
      <c r="P22" s="29">
        <v>1.1208581181901367E-10</v>
      </c>
      <c r="Q22" s="2">
        <v>0.05</v>
      </c>
      <c r="R22" s="2">
        <f t="shared" si="12"/>
        <v>105000</v>
      </c>
      <c r="S22" s="2">
        <f t="shared" si="13"/>
        <v>5.2493374855265302E-3</v>
      </c>
      <c r="T22" s="2">
        <v>0.13</v>
      </c>
      <c r="U22" s="2">
        <f t="shared" si="14"/>
        <v>112999.99999999999</v>
      </c>
      <c r="V22" s="2">
        <f t="shared" si="1"/>
        <v>8.1359999999999992</v>
      </c>
      <c r="W22" s="2">
        <f t="shared" si="15"/>
        <v>5</v>
      </c>
      <c r="X22" s="2">
        <f t="shared" si="2"/>
        <v>3.3736640722347487E-7</v>
      </c>
      <c r="Y22" s="2">
        <f t="shared" si="16"/>
        <v>101073.71799128078</v>
      </c>
      <c r="Z22" s="2">
        <f t="shared" si="17"/>
        <v>1.7522781672086745E-14</v>
      </c>
      <c r="AA22" s="2">
        <f t="shared" si="18"/>
        <v>10552219122.930639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 spans="1:75" s="4" customFormat="1" x14ac:dyDescent="0.25">
      <c r="A23" s="1">
        <v>63</v>
      </c>
      <c r="B23" s="1">
        <f t="shared" si="3"/>
        <v>1.05</v>
      </c>
      <c r="C23" s="1">
        <v>20</v>
      </c>
      <c r="D23" s="1">
        <f t="shared" si="0"/>
        <v>29.146000000000001</v>
      </c>
      <c r="E23" s="1">
        <f t="shared" si="4"/>
        <v>4.8576666666666667E-7</v>
      </c>
      <c r="F23" s="1">
        <v>21.1</v>
      </c>
      <c r="G23" s="1">
        <f t="shared" si="5"/>
        <v>294.10000000000002</v>
      </c>
      <c r="H23" s="1">
        <v>101.3</v>
      </c>
      <c r="I23" s="1">
        <f t="shared" si="6"/>
        <v>101300</v>
      </c>
      <c r="J23" s="1">
        <f t="shared" si="7"/>
        <v>2.0124824921938581E-5</v>
      </c>
      <c r="K23" s="22">
        <v>70.589108910891085</v>
      </c>
      <c r="L23" s="16">
        <f t="shared" si="8"/>
        <v>7.0589108910891086E-5</v>
      </c>
      <c r="M23" s="1">
        <f t="shared" si="9"/>
        <v>4.7762865441819992E-3</v>
      </c>
      <c r="N23" s="29">
        <f t="shared" si="10"/>
        <v>2.9742634682539397E-7</v>
      </c>
      <c r="O23" s="29">
        <f t="shared" si="11"/>
        <v>2.032E-3</v>
      </c>
      <c r="P23" s="29">
        <v>1.1208581181901367E-10</v>
      </c>
      <c r="Q23" s="2">
        <v>0.05</v>
      </c>
      <c r="R23" s="2">
        <f t="shared" si="12"/>
        <v>105000</v>
      </c>
      <c r="S23" s="2">
        <f t="shared" si="13"/>
        <v>5.2493374855265302E-3</v>
      </c>
      <c r="T23" s="2">
        <v>0.13</v>
      </c>
      <c r="U23" s="2">
        <f t="shared" si="14"/>
        <v>112999.99999999999</v>
      </c>
      <c r="V23" s="2">
        <f t="shared" si="1"/>
        <v>7.976569306930692</v>
      </c>
      <c r="W23" s="2">
        <f t="shared" si="15"/>
        <v>5</v>
      </c>
      <c r="X23" s="2">
        <f t="shared" si="2"/>
        <v>3.2987243736986469E-7</v>
      </c>
      <c r="Y23" s="2">
        <f t="shared" si="16"/>
        <v>101160.12060975523</v>
      </c>
      <c r="Z23" s="2">
        <f t="shared" si="17"/>
        <v>1.7118883315367035E-14</v>
      </c>
      <c r="AA23" s="2">
        <f t="shared" si="18"/>
        <v>10308991532.514029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 spans="1:75" s="4" customFormat="1" x14ac:dyDescent="0.25">
      <c r="A24" s="1">
        <v>66</v>
      </c>
      <c r="B24" s="1">
        <f t="shared" si="3"/>
        <v>1.1000000000000001</v>
      </c>
      <c r="C24" s="1">
        <v>20</v>
      </c>
      <c r="D24" s="1">
        <f t="shared" si="0"/>
        <v>29.146000000000001</v>
      </c>
      <c r="E24" s="1">
        <f t="shared" si="4"/>
        <v>4.8576666666666667E-7</v>
      </c>
      <c r="F24" s="1">
        <v>21.1</v>
      </c>
      <c r="G24" s="1">
        <f t="shared" si="5"/>
        <v>294.10000000000002</v>
      </c>
      <c r="H24" s="1">
        <v>101.3</v>
      </c>
      <c r="I24" s="1">
        <f t="shared" si="6"/>
        <v>101300</v>
      </c>
      <c r="J24" s="1">
        <f t="shared" si="7"/>
        <v>2.0124824921938581E-5</v>
      </c>
      <c r="K24" s="22">
        <v>74.698019801980195</v>
      </c>
      <c r="L24" s="16">
        <f t="shared" si="8"/>
        <v>7.4698019801980201E-5</v>
      </c>
      <c r="M24" s="1">
        <f t="shared" si="9"/>
        <v>4.7762865441819992E-3</v>
      </c>
      <c r="N24" s="29">
        <f t="shared" si="10"/>
        <v>3.1473919259754332E-7</v>
      </c>
      <c r="O24" s="29">
        <f t="shared" si="11"/>
        <v>2.032E-3</v>
      </c>
      <c r="P24" s="29">
        <v>1.1208581181901367E-10</v>
      </c>
      <c r="Q24" s="2">
        <v>0.05</v>
      </c>
      <c r="R24" s="2">
        <f t="shared" si="12"/>
        <v>105000</v>
      </c>
      <c r="S24" s="2">
        <f t="shared" si="13"/>
        <v>5.2493374855265302E-3</v>
      </c>
      <c r="T24" s="2">
        <v>0.13</v>
      </c>
      <c r="U24" s="2">
        <f t="shared" si="14"/>
        <v>112999.99999999999</v>
      </c>
      <c r="V24" s="2">
        <f t="shared" si="1"/>
        <v>8.4408762376237618</v>
      </c>
      <c r="W24" s="2">
        <f t="shared" si="15"/>
        <v>5</v>
      </c>
      <c r="X24" s="2">
        <f t="shared" si="2"/>
        <v>3.5165528545476379E-7</v>
      </c>
      <c r="Y24" s="2">
        <f t="shared" si="16"/>
        <v>100909.07496298838</v>
      </c>
      <c r="Z24" s="2">
        <f t="shared" si="17"/>
        <v>1.829480348294081E-14</v>
      </c>
      <c r="AA24" s="2">
        <f t="shared" si="18"/>
        <v>11017130657.426956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 spans="1:75" s="4" customFormat="1" x14ac:dyDescent="0.25">
      <c r="A25" s="1">
        <v>69</v>
      </c>
      <c r="B25" s="1">
        <f t="shared" si="3"/>
        <v>1.1499999999999999</v>
      </c>
      <c r="C25" s="1">
        <v>20</v>
      </c>
      <c r="D25" s="1">
        <f t="shared" si="0"/>
        <v>29.146000000000001</v>
      </c>
      <c r="E25" s="1">
        <f t="shared" si="4"/>
        <v>4.8576666666666667E-7</v>
      </c>
      <c r="F25" s="1">
        <v>21.1</v>
      </c>
      <c r="G25" s="1">
        <f t="shared" si="5"/>
        <v>294.10000000000002</v>
      </c>
      <c r="H25" s="1">
        <v>101.3</v>
      </c>
      <c r="I25" s="1">
        <f t="shared" si="6"/>
        <v>101300</v>
      </c>
      <c r="J25" s="1">
        <f t="shared" si="7"/>
        <v>2.0124824921938581E-5</v>
      </c>
      <c r="K25" s="22">
        <v>83.262376237623769</v>
      </c>
      <c r="L25" s="16">
        <f t="shared" si="8"/>
        <v>8.3262376237623769E-5</v>
      </c>
      <c r="M25" s="1">
        <f t="shared" si="9"/>
        <v>4.7762865441819992E-3</v>
      </c>
      <c r="N25" s="29">
        <f t="shared" si="10"/>
        <v>3.5082500366479429E-7</v>
      </c>
      <c r="O25" s="29">
        <f t="shared" si="11"/>
        <v>2.032E-3</v>
      </c>
      <c r="P25" s="29">
        <v>1.1208581181901367E-10</v>
      </c>
      <c r="Q25" s="2">
        <v>0.05</v>
      </c>
      <c r="R25" s="2">
        <f t="shared" si="12"/>
        <v>105000</v>
      </c>
      <c r="S25" s="2">
        <f t="shared" si="13"/>
        <v>5.2493374855265302E-3</v>
      </c>
      <c r="T25" s="2">
        <v>0.13</v>
      </c>
      <c r="U25" s="2">
        <f t="shared" si="14"/>
        <v>112999.99999999999</v>
      </c>
      <c r="V25" s="2">
        <f t="shared" si="1"/>
        <v>9.4086485148514853</v>
      </c>
      <c r="W25" s="2">
        <f t="shared" si="15"/>
        <v>5</v>
      </c>
      <c r="X25" s="2">
        <f t="shared" si="2"/>
        <v>3.9667891537125847E-7</v>
      </c>
      <c r="Y25" s="2">
        <f t="shared" si="16"/>
        <v>100391.16966023948</v>
      </c>
      <c r="Z25" s="2">
        <f t="shared" si="17"/>
        <v>2.0743823172549639E-14</v>
      </c>
      <c r="AA25" s="2">
        <f t="shared" si="18"/>
        <v>12491930314.509394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 spans="1:75" s="4" customFormat="1" x14ac:dyDescent="0.25">
      <c r="A26" s="1">
        <v>72</v>
      </c>
      <c r="B26" s="1">
        <f t="shared" si="3"/>
        <v>1.2</v>
      </c>
      <c r="C26" s="1">
        <v>20</v>
      </c>
      <c r="D26" s="1">
        <f t="shared" si="0"/>
        <v>29.146000000000001</v>
      </c>
      <c r="E26" s="1">
        <f t="shared" si="4"/>
        <v>4.8576666666666667E-7</v>
      </c>
      <c r="F26" s="1">
        <v>21.1</v>
      </c>
      <c r="G26" s="1">
        <f t="shared" si="5"/>
        <v>294.10000000000002</v>
      </c>
      <c r="H26" s="1">
        <v>101.3</v>
      </c>
      <c r="I26" s="1">
        <f t="shared" si="6"/>
        <v>101300</v>
      </c>
      <c r="J26" s="1">
        <f t="shared" si="7"/>
        <v>2.0124824921938581E-5</v>
      </c>
      <c r="K26" s="22">
        <v>72.767326732673268</v>
      </c>
      <c r="L26" s="16">
        <f t="shared" si="8"/>
        <v>7.2767326732673269E-5</v>
      </c>
      <c r="M26" s="1">
        <f t="shared" si="9"/>
        <v>4.7762865441819992E-3</v>
      </c>
      <c r="N26" s="29">
        <f t="shared" si="10"/>
        <v>3.0660424096966588E-7</v>
      </c>
      <c r="O26" s="29">
        <f t="shared" si="11"/>
        <v>2.032E-3</v>
      </c>
      <c r="P26" s="29">
        <v>1.1208581181901367E-10</v>
      </c>
      <c r="Q26" s="2">
        <v>0.05</v>
      </c>
      <c r="R26" s="2">
        <f t="shared" si="12"/>
        <v>105000</v>
      </c>
      <c r="S26" s="2">
        <f t="shared" si="13"/>
        <v>5.2493374855265302E-3</v>
      </c>
      <c r="T26" s="2">
        <v>0.13</v>
      </c>
      <c r="U26" s="2">
        <f t="shared" si="14"/>
        <v>112999.99999999999</v>
      </c>
      <c r="V26" s="2">
        <f t="shared" si="1"/>
        <v>8.2227079207920788</v>
      </c>
      <c r="W26" s="2">
        <f t="shared" si="15"/>
        <v>5</v>
      </c>
      <c r="X26" s="2">
        <f t="shared" si="2"/>
        <v>3.414357051017771E-7</v>
      </c>
      <c r="Y26" s="2">
        <f t="shared" si="16"/>
        <v>101026.81600132653</v>
      </c>
      <c r="Z26" s="2">
        <f t="shared" si="17"/>
        <v>1.774238966565513E-14</v>
      </c>
      <c r="AA26" s="2">
        <f t="shared" si="18"/>
        <v>10684467056.65752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 spans="1:75" s="4" customFormat="1" x14ac:dyDescent="0.25">
      <c r="A27" s="1">
        <v>75</v>
      </c>
      <c r="B27" s="1">
        <f t="shared" si="3"/>
        <v>1.25</v>
      </c>
      <c r="C27" s="1">
        <v>20</v>
      </c>
      <c r="D27" s="1">
        <f t="shared" si="0"/>
        <v>29.146000000000001</v>
      </c>
      <c r="E27" s="1">
        <f t="shared" si="4"/>
        <v>4.8576666666666667E-7</v>
      </c>
      <c r="F27" s="1">
        <v>21.1</v>
      </c>
      <c r="G27" s="1">
        <f t="shared" si="5"/>
        <v>294.10000000000002</v>
      </c>
      <c r="H27" s="1">
        <v>101.3</v>
      </c>
      <c r="I27" s="1">
        <f t="shared" si="6"/>
        <v>101300</v>
      </c>
      <c r="J27" s="1">
        <f t="shared" si="7"/>
        <v>2.0124824921938581E-5</v>
      </c>
      <c r="K27" s="22">
        <v>76.851485148514854</v>
      </c>
      <c r="L27" s="16">
        <f t="shared" si="8"/>
        <v>7.6851485148514854E-5</v>
      </c>
      <c r="M27" s="1">
        <f t="shared" si="9"/>
        <v>4.7762865441819992E-3</v>
      </c>
      <c r="N27" s="29">
        <f t="shared" si="10"/>
        <v>3.238127924901758E-7</v>
      </c>
      <c r="O27" s="29">
        <f t="shared" si="11"/>
        <v>2.032E-3</v>
      </c>
      <c r="P27" s="29">
        <v>1.1208581181901367E-10</v>
      </c>
      <c r="Q27" s="2">
        <v>0.05</v>
      </c>
      <c r="R27" s="2">
        <f t="shared" si="12"/>
        <v>105000</v>
      </c>
      <c r="S27" s="2">
        <f t="shared" si="13"/>
        <v>5.2493374855265302E-3</v>
      </c>
      <c r="T27" s="2">
        <v>0.13</v>
      </c>
      <c r="U27" s="2">
        <f t="shared" si="14"/>
        <v>112999.99999999999</v>
      </c>
      <c r="V27" s="2">
        <f t="shared" si="1"/>
        <v>8.6842178217821768</v>
      </c>
      <c r="W27" s="2">
        <f t="shared" si="15"/>
        <v>5</v>
      </c>
      <c r="X27" s="2">
        <f t="shared" si="2"/>
        <v>3.630225121266475E-7</v>
      </c>
      <c r="Y27" s="2">
        <f t="shared" si="16"/>
        <v>100778.19239784496</v>
      </c>
      <c r="Z27" s="2">
        <f t="shared" si="17"/>
        <v>1.8910756988036954E-14</v>
      </c>
      <c r="AA27" s="2">
        <f t="shared" si="18"/>
        <v>11388057858.195854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 spans="1:75" s="4" customFormat="1" x14ac:dyDescent="0.25">
      <c r="A28" s="1">
        <v>78</v>
      </c>
      <c r="B28" s="1">
        <f t="shared" si="3"/>
        <v>1.3</v>
      </c>
      <c r="C28" s="1">
        <v>20</v>
      </c>
      <c r="D28" s="1">
        <f t="shared" si="0"/>
        <v>29.146000000000001</v>
      </c>
      <c r="E28" s="1">
        <f t="shared" si="4"/>
        <v>4.8576666666666667E-7</v>
      </c>
      <c r="F28" s="1">
        <v>21.1</v>
      </c>
      <c r="G28" s="1">
        <f t="shared" si="5"/>
        <v>294.10000000000002</v>
      </c>
      <c r="H28" s="1">
        <v>101.3</v>
      </c>
      <c r="I28" s="1">
        <f t="shared" si="6"/>
        <v>101300</v>
      </c>
      <c r="J28" s="1">
        <f t="shared" si="7"/>
        <v>2.0124824921938581E-5</v>
      </c>
      <c r="K28" s="22">
        <v>82.148514851485146</v>
      </c>
      <c r="L28" s="16">
        <f t="shared" si="8"/>
        <v>8.2148514851485149E-5</v>
      </c>
      <c r="M28" s="1">
        <f t="shared" si="9"/>
        <v>4.7762865441819992E-3</v>
      </c>
      <c r="N28" s="29">
        <f t="shared" si="10"/>
        <v>3.4613176234101888E-7</v>
      </c>
      <c r="O28" s="29">
        <f t="shared" si="11"/>
        <v>2.032E-3</v>
      </c>
      <c r="P28" s="29">
        <v>1.1208581181901367E-10</v>
      </c>
      <c r="Q28" s="2">
        <v>0.05</v>
      </c>
      <c r="R28" s="2">
        <f t="shared" si="12"/>
        <v>105000</v>
      </c>
      <c r="S28" s="2">
        <f t="shared" si="13"/>
        <v>5.2493374855265302E-3</v>
      </c>
      <c r="T28" s="2">
        <v>0.13</v>
      </c>
      <c r="U28" s="2">
        <f t="shared" si="14"/>
        <v>112999.99999999999</v>
      </c>
      <c r="V28" s="2">
        <f t="shared" si="1"/>
        <v>9.2827821782178201</v>
      </c>
      <c r="W28" s="2">
        <f t="shared" si="15"/>
        <v>5</v>
      </c>
      <c r="X28" s="2">
        <f t="shared" si="2"/>
        <v>3.908501333032164E-7</v>
      </c>
      <c r="Y28" s="2">
        <f t="shared" si="16"/>
        <v>100458.14285964557</v>
      </c>
      <c r="Z28" s="2">
        <f t="shared" si="17"/>
        <v>2.0425361267308721E-14</v>
      </c>
      <c r="AA28" s="2">
        <f t="shared" si="18"/>
        <v>12300152555.173311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 spans="1:75" s="4" customFormat="1" x14ac:dyDescent="0.25">
      <c r="A29" s="1">
        <v>81</v>
      </c>
      <c r="B29" s="1">
        <f t="shared" si="3"/>
        <v>1.35</v>
      </c>
      <c r="C29" s="1">
        <v>20</v>
      </c>
      <c r="D29" s="1">
        <f t="shared" si="0"/>
        <v>29.146000000000001</v>
      </c>
      <c r="E29" s="1">
        <f t="shared" si="4"/>
        <v>4.8576666666666667E-7</v>
      </c>
      <c r="F29" s="1">
        <v>21.1</v>
      </c>
      <c r="G29" s="1">
        <f t="shared" si="5"/>
        <v>294.10000000000002</v>
      </c>
      <c r="H29" s="1">
        <v>101.3</v>
      </c>
      <c r="I29" s="1">
        <f t="shared" si="6"/>
        <v>101300</v>
      </c>
      <c r="J29" s="1">
        <f t="shared" si="7"/>
        <v>2.0124824921938581E-5</v>
      </c>
      <c r="K29" s="22">
        <v>73.633663366336634</v>
      </c>
      <c r="L29" s="16">
        <f t="shared" si="8"/>
        <v>7.3633663366336639E-5</v>
      </c>
      <c r="M29" s="1">
        <f t="shared" si="9"/>
        <v>4.7762865441819992E-3</v>
      </c>
      <c r="N29" s="29">
        <f t="shared" si="10"/>
        <v>3.1025453977704681E-7</v>
      </c>
      <c r="O29" s="29">
        <f t="shared" si="11"/>
        <v>2.032E-3</v>
      </c>
      <c r="P29" s="29">
        <v>1.1208581181901367E-10</v>
      </c>
      <c r="Q29" s="2">
        <v>0.05</v>
      </c>
      <c r="R29" s="2">
        <f t="shared" si="12"/>
        <v>105000</v>
      </c>
      <c r="S29" s="2">
        <f t="shared" si="13"/>
        <v>5.2493374855265302E-3</v>
      </c>
      <c r="T29" s="2">
        <v>0.13</v>
      </c>
      <c r="U29" s="2">
        <f t="shared" si="14"/>
        <v>112999.99999999999</v>
      </c>
      <c r="V29" s="2">
        <f t="shared" si="1"/>
        <v>8.3206039603960384</v>
      </c>
      <c r="W29" s="2">
        <f t="shared" si="15"/>
        <v>5</v>
      </c>
      <c r="X29" s="2">
        <f t="shared" si="2"/>
        <v>3.4602479235381439E-7</v>
      </c>
      <c r="Y29" s="2">
        <f t="shared" si="16"/>
        <v>100973.93607222327</v>
      </c>
      <c r="Z29" s="2">
        <f t="shared" si="17"/>
        <v>1.7990292091027485E-14</v>
      </c>
      <c r="AA29" s="2">
        <f t="shared" si="18"/>
        <v>10833753897.216753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</row>
    <row r="30" spans="1:75" s="4" customFormat="1" x14ac:dyDescent="0.25">
      <c r="A30" s="1">
        <v>84</v>
      </c>
      <c r="B30" s="1">
        <f t="shared" si="3"/>
        <v>1.4</v>
      </c>
      <c r="C30" s="1">
        <v>20</v>
      </c>
      <c r="D30" s="1">
        <f t="shared" si="0"/>
        <v>29.146000000000001</v>
      </c>
      <c r="E30" s="1">
        <f t="shared" si="4"/>
        <v>4.8576666666666667E-7</v>
      </c>
      <c r="F30" s="1">
        <v>21.1</v>
      </c>
      <c r="G30" s="1">
        <f t="shared" si="5"/>
        <v>294.10000000000002</v>
      </c>
      <c r="H30" s="1">
        <v>101.3</v>
      </c>
      <c r="I30" s="1">
        <f t="shared" si="6"/>
        <v>101300</v>
      </c>
      <c r="J30" s="1">
        <f t="shared" si="7"/>
        <v>2.0124824921938581E-5</v>
      </c>
      <c r="K30" s="22">
        <v>75.440594059405939</v>
      </c>
      <c r="L30" s="16">
        <f t="shared" si="8"/>
        <v>7.5440594059405938E-5</v>
      </c>
      <c r="M30" s="1">
        <f t="shared" si="9"/>
        <v>4.7762865441819992E-3</v>
      </c>
      <c r="N30" s="29">
        <f t="shared" si="10"/>
        <v>3.178680201467269E-7</v>
      </c>
      <c r="O30" s="29">
        <f t="shared" si="11"/>
        <v>2.032E-3</v>
      </c>
      <c r="P30" s="29">
        <v>1.1208581181901367E-10</v>
      </c>
      <c r="Q30" s="2">
        <v>0.05</v>
      </c>
      <c r="R30" s="2">
        <f t="shared" si="12"/>
        <v>105000</v>
      </c>
      <c r="S30" s="2">
        <f t="shared" si="13"/>
        <v>5.2493374855265302E-3</v>
      </c>
      <c r="T30" s="2">
        <v>0.13</v>
      </c>
      <c r="U30" s="2">
        <f t="shared" si="14"/>
        <v>112999.99999999999</v>
      </c>
      <c r="V30" s="2">
        <f t="shared" si="1"/>
        <v>8.5247871287128696</v>
      </c>
      <c r="W30" s="2">
        <f t="shared" si="15"/>
        <v>5</v>
      </c>
      <c r="X30" s="2">
        <f t="shared" si="2"/>
        <v>3.55578708645542E-7</v>
      </c>
      <c r="Y30" s="2">
        <f t="shared" si="16"/>
        <v>100863.89096031045</v>
      </c>
      <c r="Z30" s="2">
        <f t="shared" si="17"/>
        <v>1.8507221927517939E-14</v>
      </c>
      <c r="AA30" s="2">
        <f t="shared" si="18"/>
        <v>11145049044.751303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</row>
    <row r="31" spans="1:75" s="4" customFormat="1" x14ac:dyDescent="0.25">
      <c r="A31" s="1">
        <v>87</v>
      </c>
      <c r="B31" s="1">
        <f t="shared" si="3"/>
        <v>1.45</v>
      </c>
      <c r="C31" s="1">
        <v>20</v>
      </c>
      <c r="D31" s="1">
        <f t="shared" si="0"/>
        <v>29.146000000000001</v>
      </c>
      <c r="E31" s="1">
        <f t="shared" si="4"/>
        <v>4.8576666666666667E-7</v>
      </c>
      <c r="F31" s="1">
        <v>21.1</v>
      </c>
      <c r="G31" s="1">
        <f t="shared" si="5"/>
        <v>294.10000000000002</v>
      </c>
      <c r="H31" s="1">
        <v>101.3</v>
      </c>
      <c r="I31" s="1">
        <f t="shared" si="6"/>
        <v>101300</v>
      </c>
      <c r="J31" s="1">
        <f t="shared" si="7"/>
        <v>2.0124824921938581E-5</v>
      </c>
      <c r="K31" s="22">
        <v>75.044554455445549</v>
      </c>
      <c r="L31" s="16">
        <f t="shared" si="8"/>
        <v>7.5044554455445554E-5</v>
      </c>
      <c r="M31" s="1">
        <f t="shared" si="9"/>
        <v>4.7762865441819992E-3</v>
      </c>
      <c r="N31" s="29">
        <f t="shared" si="10"/>
        <v>3.1619931212049566E-7</v>
      </c>
      <c r="O31" s="29">
        <f t="shared" si="11"/>
        <v>2.032E-3</v>
      </c>
      <c r="P31" s="29">
        <v>1.1208581181901367E-10</v>
      </c>
      <c r="Q31" s="2">
        <v>0.05</v>
      </c>
      <c r="R31" s="2">
        <f t="shared" si="12"/>
        <v>105000</v>
      </c>
      <c r="S31" s="2">
        <f t="shared" si="13"/>
        <v>5.2493374855265302E-3</v>
      </c>
      <c r="T31" s="2">
        <v>0.13</v>
      </c>
      <c r="U31" s="2">
        <f t="shared" si="14"/>
        <v>112999.99999999999</v>
      </c>
      <c r="V31" s="2">
        <f t="shared" si="1"/>
        <v>8.4800346534653457</v>
      </c>
      <c r="W31" s="2">
        <f t="shared" si="15"/>
        <v>5</v>
      </c>
      <c r="X31" s="2">
        <f t="shared" si="2"/>
        <v>3.534867054279404E-7</v>
      </c>
      <c r="Y31" s="2">
        <f t="shared" si="16"/>
        <v>100887.98220257426</v>
      </c>
      <c r="Z31" s="2">
        <f t="shared" si="17"/>
        <v>1.8393935076616831E-14</v>
      </c>
      <c r="AA31" s="2">
        <f t="shared" si="18"/>
        <v>11076827703.138657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</row>
    <row r="32" spans="1:75" s="4" customFormat="1" x14ac:dyDescent="0.25">
      <c r="A32" s="1">
        <v>90</v>
      </c>
      <c r="B32" s="1">
        <f t="shared" si="3"/>
        <v>1.5</v>
      </c>
      <c r="C32" s="1">
        <v>20</v>
      </c>
      <c r="D32" s="1">
        <f t="shared" si="0"/>
        <v>29.146000000000001</v>
      </c>
      <c r="E32" s="1">
        <f t="shared" si="4"/>
        <v>4.8576666666666667E-7</v>
      </c>
      <c r="F32" s="1">
        <v>21.1</v>
      </c>
      <c r="G32" s="1">
        <f t="shared" si="5"/>
        <v>294.10000000000002</v>
      </c>
      <c r="H32" s="1">
        <v>101.3</v>
      </c>
      <c r="I32" s="1">
        <f t="shared" si="6"/>
        <v>101300</v>
      </c>
      <c r="J32" s="1">
        <f t="shared" si="7"/>
        <v>2.0124824921938581E-5</v>
      </c>
      <c r="K32" s="22">
        <v>77.099009900990097</v>
      </c>
      <c r="L32" s="16">
        <f t="shared" si="8"/>
        <v>7.7099009900990091E-5</v>
      </c>
      <c r="M32" s="1">
        <f t="shared" si="9"/>
        <v>4.7762865441819992E-3</v>
      </c>
      <c r="N32" s="29">
        <f t="shared" si="10"/>
        <v>3.2485573500657027E-7</v>
      </c>
      <c r="O32" s="29">
        <f t="shared" si="11"/>
        <v>2.032E-3</v>
      </c>
      <c r="P32" s="29">
        <v>1.1208581181901367E-10</v>
      </c>
      <c r="Q32" s="2">
        <v>0.05</v>
      </c>
      <c r="R32" s="2">
        <f t="shared" si="12"/>
        <v>105000</v>
      </c>
      <c r="S32" s="2">
        <f t="shared" si="13"/>
        <v>5.2493374855265302E-3</v>
      </c>
      <c r="T32" s="2">
        <v>0.13</v>
      </c>
      <c r="U32" s="2">
        <f t="shared" si="14"/>
        <v>112999.99999999999</v>
      </c>
      <c r="V32" s="2">
        <f t="shared" si="1"/>
        <v>8.7121881188118788</v>
      </c>
      <c r="W32" s="2">
        <f t="shared" si="15"/>
        <v>5</v>
      </c>
      <c r="X32" s="2">
        <f t="shared" si="2"/>
        <v>3.6432701949952383E-7</v>
      </c>
      <c r="Y32" s="2">
        <f t="shared" si="16"/>
        <v>100763.17769640916</v>
      </c>
      <c r="Z32" s="2">
        <f t="shared" si="17"/>
        <v>1.8981545590072552E-14</v>
      </c>
      <c r="AA32" s="2">
        <f t="shared" si="18"/>
        <v>11430686754.341692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</row>
    <row r="33" spans="1:75" s="4" customFormat="1" x14ac:dyDescent="0.25">
      <c r="A33" s="1">
        <v>93</v>
      </c>
      <c r="B33" s="1">
        <f t="shared" si="3"/>
        <v>1.55</v>
      </c>
      <c r="C33" s="1">
        <v>20</v>
      </c>
      <c r="D33" s="1">
        <f t="shared" si="0"/>
        <v>29.146000000000001</v>
      </c>
      <c r="E33" s="1">
        <f t="shared" si="4"/>
        <v>4.8576666666666667E-7</v>
      </c>
      <c r="F33" s="1">
        <v>21.1</v>
      </c>
      <c r="G33" s="1">
        <f t="shared" si="5"/>
        <v>294.10000000000002</v>
      </c>
      <c r="H33" s="1">
        <v>101.3</v>
      </c>
      <c r="I33" s="1">
        <f t="shared" si="6"/>
        <v>101300</v>
      </c>
      <c r="J33" s="1">
        <f t="shared" si="7"/>
        <v>2.0124824921938581E-5</v>
      </c>
      <c r="K33" s="22">
        <v>73.138613861386148</v>
      </c>
      <c r="L33" s="16">
        <f t="shared" si="8"/>
        <v>7.3138613861386151E-5</v>
      </c>
      <c r="M33" s="1">
        <f t="shared" si="9"/>
        <v>4.7762865441819992E-3</v>
      </c>
      <c r="N33" s="29">
        <f t="shared" si="10"/>
        <v>3.0816865474425776E-7</v>
      </c>
      <c r="O33" s="29">
        <f t="shared" si="11"/>
        <v>2.032E-3</v>
      </c>
      <c r="P33" s="29">
        <v>1.1208581181901367E-10</v>
      </c>
      <c r="Q33" s="2">
        <v>0.05</v>
      </c>
      <c r="R33" s="2">
        <f t="shared" si="12"/>
        <v>105000</v>
      </c>
      <c r="S33" s="2">
        <f t="shared" si="13"/>
        <v>5.2493374855265302E-3</v>
      </c>
      <c r="T33" s="2">
        <v>0.13</v>
      </c>
      <c r="U33" s="2">
        <f t="shared" si="14"/>
        <v>112999.99999999999</v>
      </c>
      <c r="V33" s="2">
        <f t="shared" si="1"/>
        <v>8.2646633663366345</v>
      </c>
      <c r="W33" s="2">
        <f t="shared" si="15"/>
        <v>5</v>
      </c>
      <c r="X33" s="2">
        <f t="shared" si="2"/>
        <v>3.4340313731870463E-7</v>
      </c>
      <c r="Y33" s="2">
        <f t="shared" si="16"/>
        <v>101004.14363755088</v>
      </c>
      <c r="Z33" s="2">
        <f t="shared" si="17"/>
        <v>1.7848638773026189E-14</v>
      </c>
      <c r="AA33" s="2">
        <f t="shared" si="18"/>
        <v>10748450269.116371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 spans="1:75" s="4" customFormat="1" x14ac:dyDescent="0.25">
      <c r="A34" s="1">
        <v>96</v>
      </c>
      <c r="B34" s="1">
        <f t="shared" si="3"/>
        <v>1.6</v>
      </c>
      <c r="C34" s="1">
        <v>20</v>
      </c>
      <c r="D34" s="1">
        <f t="shared" si="0"/>
        <v>29.146000000000001</v>
      </c>
      <c r="E34" s="1">
        <f t="shared" si="4"/>
        <v>4.8576666666666667E-7</v>
      </c>
      <c r="F34" s="1">
        <v>21.1</v>
      </c>
      <c r="G34" s="1">
        <f t="shared" si="5"/>
        <v>294.10000000000002</v>
      </c>
      <c r="H34" s="1">
        <v>101.3</v>
      </c>
      <c r="I34" s="1">
        <f t="shared" si="6"/>
        <v>101300</v>
      </c>
      <c r="J34" s="1">
        <f t="shared" si="7"/>
        <v>2.0124824921938581E-5</v>
      </c>
      <c r="K34" s="22">
        <v>78.806930693069319</v>
      </c>
      <c r="L34" s="16">
        <f t="shared" si="8"/>
        <v>7.8806930693069315E-5</v>
      </c>
      <c r="M34" s="1">
        <f t="shared" si="9"/>
        <v>4.7762865441819992E-3</v>
      </c>
      <c r="N34" s="29">
        <f t="shared" si="10"/>
        <v>3.3205203836969266E-7</v>
      </c>
      <c r="O34" s="29">
        <f t="shared" si="11"/>
        <v>2.032E-3</v>
      </c>
      <c r="P34" s="29">
        <v>1.1208581181901367E-10</v>
      </c>
      <c r="Q34" s="2">
        <v>0.05</v>
      </c>
      <c r="R34" s="2">
        <f t="shared" si="12"/>
        <v>105000</v>
      </c>
      <c r="S34" s="2">
        <f t="shared" si="13"/>
        <v>5.2493374855265302E-3</v>
      </c>
      <c r="T34" s="2">
        <v>0.13</v>
      </c>
      <c r="U34" s="2">
        <f t="shared" si="14"/>
        <v>112999.99999999999</v>
      </c>
      <c r="V34" s="2">
        <f t="shared" ref="V34:V65" si="19">(L34*U34)</f>
        <v>8.9051831683168317</v>
      </c>
      <c r="W34" s="2">
        <f t="shared" si="15"/>
        <v>5</v>
      </c>
      <c r="X34" s="2">
        <f t="shared" ref="X34:X65" si="20">(N34+((P34/O34)*(SQRT(V34)-SQRT(W34))))</f>
        <v>3.7331679267438658E-7</v>
      </c>
      <c r="Y34" s="2">
        <f t="shared" si="16"/>
        <v>100659.73705196929</v>
      </c>
      <c r="Z34" s="2">
        <f t="shared" si="17"/>
        <v>1.946994175186382E-14</v>
      </c>
      <c r="AA34" s="2">
        <f t="shared" si="18"/>
        <v>11724798922.972393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 spans="1:75" s="4" customFormat="1" x14ac:dyDescent="0.25">
      <c r="A35" s="1">
        <v>99</v>
      </c>
      <c r="B35" s="1">
        <f t="shared" si="3"/>
        <v>1.65</v>
      </c>
      <c r="C35" s="1">
        <v>20</v>
      </c>
      <c r="D35" s="1">
        <f t="shared" si="0"/>
        <v>29.146000000000001</v>
      </c>
      <c r="E35" s="1">
        <f t="shared" si="4"/>
        <v>4.8576666666666667E-7</v>
      </c>
      <c r="F35" s="1">
        <v>21.1</v>
      </c>
      <c r="G35" s="1">
        <f t="shared" si="5"/>
        <v>294.10000000000002</v>
      </c>
      <c r="H35" s="1">
        <v>101.3</v>
      </c>
      <c r="I35" s="1">
        <f t="shared" si="6"/>
        <v>101300</v>
      </c>
      <c r="J35" s="1">
        <f t="shared" si="7"/>
        <v>2.0124824921938581E-5</v>
      </c>
      <c r="K35" s="22">
        <v>79.128712871287135</v>
      </c>
      <c r="L35" s="16">
        <f t="shared" si="8"/>
        <v>7.9128712871287139E-5</v>
      </c>
      <c r="M35" s="1">
        <f t="shared" si="9"/>
        <v>4.7762865441819992E-3</v>
      </c>
      <c r="N35" s="29">
        <f t="shared" si="10"/>
        <v>3.3340786364100557E-7</v>
      </c>
      <c r="O35" s="29">
        <f t="shared" si="11"/>
        <v>2.032E-3</v>
      </c>
      <c r="P35" s="29">
        <v>1.1208581181901367E-10</v>
      </c>
      <c r="Q35" s="2">
        <v>0.05</v>
      </c>
      <c r="R35" s="2">
        <f t="shared" si="12"/>
        <v>105000</v>
      </c>
      <c r="S35" s="2">
        <f t="shared" si="13"/>
        <v>5.2493374855265302E-3</v>
      </c>
      <c r="T35" s="2">
        <v>0.13</v>
      </c>
      <c r="U35" s="2">
        <f t="shared" si="14"/>
        <v>112999.99999999999</v>
      </c>
      <c r="V35" s="2">
        <f t="shared" si="19"/>
        <v>8.9415445544554455</v>
      </c>
      <c r="W35" s="2">
        <f t="shared" si="15"/>
        <v>5</v>
      </c>
      <c r="X35" s="2">
        <f t="shared" si="20"/>
        <v>3.7500833491768255E-7</v>
      </c>
      <c r="Y35" s="2">
        <f t="shared" si="16"/>
        <v>100640.27929331322</v>
      </c>
      <c r="Z35" s="2">
        <f t="shared" si="17"/>
        <v>1.9561951116888136E-14</v>
      </c>
      <c r="AA35" s="2">
        <f t="shared" si="18"/>
        <v>11780206962.590036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 spans="1:75" s="4" customFormat="1" x14ac:dyDescent="0.25">
      <c r="A36" s="1">
        <v>102</v>
      </c>
      <c r="B36" s="1">
        <f t="shared" si="3"/>
        <v>1.7</v>
      </c>
      <c r="C36" s="1">
        <v>20</v>
      </c>
      <c r="D36" s="1">
        <f t="shared" si="0"/>
        <v>29.146000000000001</v>
      </c>
      <c r="E36" s="1">
        <f t="shared" si="4"/>
        <v>4.8576666666666667E-7</v>
      </c>
      <c r="F36" s="1">
        <v>21.1</v>
      </c>
      <c r="G36" s="1">
        <f t="shared" si="5"/>
        <v>294.10000000000002</v>
      </c>
      <c r="H36" s="1">
        <v>101.3</v>
      </c>
      <c r="I36" s="1">
        <f t="shared" si="6"/>
        <v>101300</v>
      </c>
      <c r="J36" s="1">
        <f t="shared" si="7"/>
        <v>2.0124824921938581E-5</v>
      </c>
      <c r="K36" s="22">
        <v>80.811881188118818</v>
      </c>
      <c r="L36" s="16">
        <f t="shared" si="8"/>
        <v>8.081188118811882E-5</v>
      </c>
      <c r="M36" s="1">
        <f t="shared" si="9"/>
        <v>4.7762865441819992E-3</v>
      </c>
      <c r="N36" s="29">
        <f t="shared" si="10"/>
        <v>3.4049987275248837E-7</v>
      </c>
      <c r="O36" s="29">
        <f t="shared" si="11"/>
        <v>2.032E-3</v>
      </c>
      <c r="P36" s="29">
        <v>1.1208581181901367E-10</v>
      </c>
      <c r="Q36" s="2">
        <v>0.05</v>
      </c>
      <c r="R36" s="2">
        <f t="shared" si="12"/>
        <v>105000</v>
      </c>
      <c r="S36" s="2">
        <f t="shared" si="13"/>
        <v>5.2493374855265302E-3</v>
      </c>
      <c r="T36" s="2">
        <v>0.13</v>
      </c>
      <c r="U36" s="2">
        <f t="shared" si="14"/>
        <v>112999.99999999999</v>
      </c>
      <c r="V36" s="2">
        <f t="shared" si="19"/>
        <v>9.1317425742574247</v>
      </c>
      <c r="W36" s="2">
        <f t="shared" si="15"/>
        <v>5</v>
      </c>
      <c r="X36" s="2">
        <f t="shared" si="20"/>
        <v>3.8384538396196147E-7</v>
      </c>
      <c r="Y36" s="2">
        <f t="shared" si="16"/>
        <v>100538.65756763579</v>
      </c>
      <c r="Z36" s="2">
        <f t="shared" si="17"/>
        <v>2.0043205676550948E-14</v>
      </c>
      <c r="AA36" s="2">
        <f t="shared" si="18"/>
        <v>12070018458.418982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 spans="1:75" s="4" customFormat="1" x14ac:dyDescent="0.25">
      <c r="A37" s="1">
        <v>105</v>
      </c>
      <c r="B37" s="1">
        <f t="shared" si="3"/>
        <v>1.75</v>
      </c>
      <c r="C37" s="1">
        <v>20</v>
      </c>
      <c r="D37" s="1">
        <f t="shared" si="0"/>
        <v>29.146000000000001</v>
      </c>
      <c r="E37" s="1">
        <f t="shared" si="4"/>
        <v>4.8576666666666667E-7</v>
      </c>
      <c r="F37" s="1">
        <v>21.1</v>
      </c>
      <c r="G37" s="1">
        <f t="shared" si="5"/>
        <v>294.10000000000002</v>
      </c>
      <c r="H37" s="1">
        <v>101.3</v>
      </c>
      <c r="I37" s="1">
        <f t="shared" si="6"/>
        <v>101300</v>
      </c>
      <c r="J37" s="1">
        <f t="shared" si="7"/>
        <v>2.0124824921938581E-5</v>
      </c>
      <c r="K37" s="22">
        <v>76.876237623762378</v>
      </c>
      <c r="L37" s="16">
        <f t="shared" si="8"/>
        <v>7.6876237623762383E-5</v>
      </c>
      <c r="M37" s="1">
        <f t="shared" si="9"/>
        <v>4.7762865441819992E-3</v>
      </c>
      <c r="N37" s="29">
        <f t="shared" si="10"/>
        <v>3.2391708674181528E-7</v>
      </c>
      <c r="O37" s="29">
        <f t="shared" si="11"/>
        <v>2.032E-3</v>
      </c>
      <c r="P37" s="29">
        <v>1.1208581181901367E-10</v>
      </c>
      <c r="Q37" s="2">
        <v>0.05</v>
      </c>
      <c r="R37" s="2">
        <f t="shared" si="12"/>
        <v>105000</v>
      </c>
      <c r="S37" s="2">
        <f t="shared" si="13"/>
        <v>5.2493374855265302E-3</v>
      </c>
      <c r="T37" s="2">
        <v>0.13</v>
      </c>
      <c r="U37" s="2">
        <f t="shared" si="14"/>
        <v>112999.99999999999</v>
      </c>
      <c r="V37" s="2">
        <f t="shared" si="19"/>
        <v>8.6870148514851486</v>
      </c>
      <c r="W37" s="2">
        <f t="shared" si="15"/>
        <v>5</v>
      </c>
      <c r="X37" s="2">
        <f t="shared" si="20"/>
        <v>3.631529818008447E-7</v>
      </c>
      <c r="Y37" s="2">
        <f t="shared" si="16"/>
        <v>100776.69065939731</v>
      </c>
      <c r="Z37" s="2">
        <f t="shared" si="17"/>
        <v>1.8917835934036481E-14</v>
      </c>
      <c r="AA37" s="2">
        <f t="shared" si="18"/>
        <v>11392320799.476768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</row>
    <row r="38" spans="1:75" s="4" customFormat="1" x14ac:dyDescent="0.25">
      <c r="A38" s="1">
        <v>108</v>
      </c>
      <c r="B38" s="1">
        <f t="shared" si="3"/>
        <v>1.8</v>
      </c>
      <c r="C38" s="1">
        <v>20</v>
      </c>
      <c r="D38" s="1">
        <f t="shared" si="0"/>
        <v>29.146000000000001</v>
      </c>
      <c r="E38" s="1">
        <f t="shared" si="4"/>
        <v>4.8576666666666667E-7</v>
      </c>
      <c r="F38" s="1">
        <v>21.1</v>
      </c>
      <c r="G38" s="1">
        <f t="shared" si="5"/>
        <v>294.10000000000002</v>
      </c>
      <c r="H38" s="1">
        <v>101.3</v>
      </c>
      <c r="I38" s="1">
        <f t="shared" si="6"/>
        <v>101300</v>
      </c>
      <c r="J38" s="1">
        <f t="shared" si="7"/>
        <v>2.0124824921938581E-5</v>
      </c>
      <c r="K38" s="22">
        <v>80.193069306930695</v>
      </c>
      <c r="L38" s="16">
        <f t="shared" si="8"/>
        <v>8.0193069306930701E-5</v>
      </c>
      <c r="M38" s="1">
        <f t="shared" si="9"/>
        <v>4.7762865441819992E-3</v>
      </c>
      <c r="N38" s="29">
        <f t="shared" si="10"/>
        <v>3.3789251646150202E-7</v>
      </c>
      <c r="O38" s="29">
        <f t="shared" si="11"/>
        <v>2.032E-3</v>
      </c>
      <c r="P38" s="29">
        <v>1.1208581181901367E-10</v>
      </c>
      <c r="Q38" s="2">
        <v>0.05</v>
      </c>
      <c r="R38" s="2">
        <f t="shared" si="12"/>
        <v>105000</v>
      </c>
      <c r="S38" s="2">
        <f t="shared" si="13"/>
        <v>5.2493374855265302E-3</v>
      </c>
      <c r="T38" s="2">
        <v>0.13</v>
      </c>
      <c r="U38" s="2">
        <f t="shared" si="14"/>
        <v>112999.99999999999</v>
      </c>
      <c r="V38" s="2">
        <f t="shared" si="19"/>
        <v>9.0618168316831689</v>
      </c>
      <c r="W38" s="2">
        <f t="shared" si="15"/>
        <v>5</v>
      </c>
      <c r="X38" s="2">
        <f t="shared" si="20"/>
        <v>3.8059860063845326E-7</v>
      </c>
      <c r="Y38" s="2">
        <f t="shared" si="16"/>
        <v>100575.98801663335</v>
      </c>
      <c r="Z38" s="2">
        <f t="shared" si="17"/>
        <v>1.986627787848521E-14</v>
      </c>
      <c r="AA38" s="2">
        <f t="shared" si="18"/>
        <v>11963472538.423794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</row>
    <row r="39" spans="1:75" s="4" customFormat="1" x14ac:dyDescent="0.25">
      <c r="A39" s="1">
        <v>111</v>
      </c>
      <c r="B39" s="1">
        <f t="shared" si="3"/>
        <v>1.85</v>
      </c>
      <c r="C39" s="1">
        <v>20</v>
      </c>
      <c r="D39" s="1">
        <f t="shared" si="0"/>
        <v>29.146000000000001</v>
      </c>
      <c r="E39" s="1">
        <f t="shared" si="4"/>
        <v>4.8576666666666667E-7</v>
      </c>
      <c r="F39" s="1">
        <v>21.1</v>
      </c>
      <c r="G39" s="1">
        <f t="shared" si="5"/>
        <v>294.10000000000002</v>
      </c>
      <c r="H39" s="1">
        <v>101.3</v>
      </c>
      <c r="I39" s="1">
        <f t="shared" si="6"/>
        <v>101300</v>
      </c>
      <c r="J39" s="1">
        <f t="shared" si="7"/>
        <v>2.0124824921938581E-5</v>
      </c>
      <c r="K39" s="22">
        <v>85.811881188118818</v>
      </c>
      <c r="L39" s="16">
        <f t="shared" si="8"/>
        <v>8.581188118811882E-5</v>
      </c>
      <c r="M39" s="1">
        <f t="shared" si="9"/>
        <v>4.7762865441819992E-3</v>
      </c>
      <c r="N39" s="29">
        <f t="shared" si="10"/>
        <v>3.6156731158365802E-7</v>
      </c>
      <c r="O39" s="29">
        <f t="shared" si="11"/>
        <v>2.032E-3</v>
      </c>
      <c r="P39" s="29">
        <v>1.1208581181901367E-10</v>
      </c>
      <c r="Q39" s="2">
        <v>0.05</v>
      </c>
      <c r="R39" s="2">
        <f t="shared" si="12"/>
        <v>105000</v>
      </c>
      <c r="S39" s="2">
        <f t="shared" si="13"/>
        <v>5.2493374855265302E-3</v>
      </c>
      <c r="T39" s="2">
        <v>0.13</v>
      </c>
      <c r="U39" s="2">
        <f t="shared" si="14"/>
        <v>112999.99999999999</v>
      </c>
      <c r="V39" s="2">
        <f t="shared" si="19"/>
        <v>9.696742574257426</v>
      </c>
      <c r="W39" s="2">
        <f t="shared" si="15"/>
        <v>5</v>
      </c>
      <c r="X39" s="2">
        <f t="shared" si="20"/>
        <v>4.0999209628384515E-7</v>
      </c>
      <c r="Y39" s="2">
        <f t="shared" si="16"/>
        <v>100238.28384021757</v>
      </c>
      <c r="Z39" s="2">
        <f t="shared" si="17"/>
        <v>2.1472784782406612E-14</v>
      </c>
      <c r="AA39" s="2">
        <f t="shared" si="18"/>
        <v>12930910995.965261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</row>
    <row r="40" spans="1:75" s="4" customFormat="1" x14ac:dyDescent="0.25">
      <c r="A40" s="1">
        <v>114</v>
      </c>
      <c r="B40" s="1">
        <f t="shared" si="3"/>
        <v>1.9</v>
      </c>
      <c r="C40" s="1">
        <v>20</v>
      </c>
      <c r="D40" s="1">
        <f t="shared" si="0"/>
        <v>29.146000000000001</v>
      </c>
      <c r="E40" s="1">
        <f t="shared" si="4"/>
        <v>4.8576666666666667E-7</v>
      </c>
      <c r="F40" s="1">
        <v>21.1</v>
      </c>
      <c r="G40" s="1">
        <f t="shared" si="5"/>
        <v>294.10000000000002</v>
      </c>
      <c r="H40" s="1">
        <v>101.3</v>
      </c>
      <c r="I40" s="1">
        <f t="shared" si="6"/>
        <v>101300</v>
      </c>
      <c r="J40" s="1">
        <f t="shared" si="7"/>
        <v>2.0124824921938581E-5</v>
      </c>
      <c r="K40" s="22">
        <v>80.415841584158429</v>
      </c>
      <c r="L40" s="16">
        <f t="shared" si="8"/>
        <v>8.0415841584158422E-5</v>
      </c>
      <c r="M40" s="1">
        <f t="shared" si="9"/>
        <v>4.7762865441819992E-3</v>
      </c>
      <c r="N40" s="29">
        <f t="shared" si="10"/>
        <v>3.3883116472625712E-7</v>
      </c>
      <c r="O40" s="29">
        <f t="shared" si="11"/>
        <v>2.032E-3</v>
      </c>
      <c r="P40" s="29">
        <v>1.1208581181901367E-10</v>
      </c>
      <c r="Q40" s="2">
        <v>0.05</v>
      </c>
      <c r="R40" s="2">
        <f t="shared" si="12"/>
        <v>105000</v>
      </c>
      <c r="S40" s="2">
        <f t="shared" si="13"/>
        <v>5.2493374855265302E-3</v>
      </c>
      <c r="T40" s="2">
        <v>0.13</v>
      </c>
      <c r="U40" s="2">
        <f t="shared" si="14"/>
        <v>112999.99999999999</v>
      </c>
      <c r="V40" s="2">
        <f t="shared" si="19"/>
        <v>9.0869900990099008</v>
      </c>
      <c r="W40" s="2">
        <f t="shared" si="15"/>
        <v>5</v>
      </c>
      <c r="X40" s="2">
        <f t="shared" si="20"/>
        <v>3.8176772590314614E-7</v>
      </c>
      <c r="Y40" s="2">
        <f t="shared" si="16"/>
        <v>100562.54499974132</v>
      </c>
      <c r="Z40" s="2">
        <f t="shared" si="17"/>
        <v>1.9929972315377078E-14</v>
      </c>
      <c r="AA40" s="2">
        <f t="shared" si="18"/>
        <v>12001829328.320078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</row>
    <row r="41" spans="1:75" s="4" customFormat="1" x14ac:dyDescent="0.25">
      <c r="A41" s="1">
        <v>117</v>
      </c>
      <c r="B41" s="1">
        <f t="shared" si="3"/>
        <v>1.95</v>
      </c>
      <c r="C41" s="1">
        <v>20</v>
      </c>
      <c r="D41" s="1">
        <f t="shared" si="0"/>
        <v>29.146000000000001</v>
      </c>
      <c r="E41" s="1">
        <f t="shared" si="4"/>
        <v>4.8576666666666667E-7</v>
      </c>
      <c r="F41" s="1">
        <v>21.1</v>
      </c>
      <c r="G41" s="1">
        <f t="shared" si="5"/>
        <v>294.10000000000002</v>
      </c>
      <c r="H41" s="1">
        <v>101.3</v>
      </c>
      <c r="I41" s="1">
        <f t="shared" si="6"/>
        <v>101300</v>
      </c>
      <c r="J41" s="1">
        <f t="shared" si="7"/>
        <v>2.0124824921938581E-5</v>
      </c>
      <c r="K41" s="22">
        <v>84.400990099009903</v>
      </c>
      <c r="L41" s="16">
        <f t="shared" si="8"/>
        <v>8.4400990099009905E-5</v>
      </c>
      <c r="M41" s="1">
        <f t="shared" si="9"/>
        <v>4.7762865441819992E-3</v>
      </c>
      <c r="N41" s="29">
        <f t="shared" si="10"/>
        <v>3.5562253924020912E-7</v>
      </c>
      <c r="O41" s="29">
        <f t="shared" si="11"/>
        <v>2.032E-3</v>
      </c>
      <c r="P41" s="29">
        <v>1.1208581181901367E-10</v>
      </c>
      <c r="Q41" s="2">
        <v>0.05</v>
      </c>
      <c r="R41" s="2">
        <f t="shared" si="12"/>
        <v>105000</v>
      </c>
      <c r="S41" s="2">
        <f t="shared" si="13"/>
        <v>5.2493374855265302E-3</v>
      </c>
      <c r="T41" s="2">
        <v>0.13</v>
      </c>
      <c r="U41" s="2">
        <f t="shared" si="14"/>
        <v>112999.99999999999</v>
      </c>
      <c r="V41" s="2">
        <f t="shared" si="19"/>
        <v>9.5373118811881188</v>
      </c>
      <c r="W41" s="2">
        <f t="shared" si="15"/>
        <v>5</v>
      </c>
      <c r="X41" s="2">
        <f t="shared" si="20"/>
        <v>4.0262940245394402E-7</v>
      </c>
      <c r="Y41" s="2">
        <f t="shared" si="16"/>
        <v>100322.82109643803</v>
      </c>
      <c r="Z41" s="2">
        <f t="shared" si="17"/>
        <v>2.106936923344955E-14</v>
      </c>
      <c r="AA41" s="2">
        <f t="shared" si="18"/>
        <v>12687974152.38332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</row>
    <row r="42" spans="1:75" s="4" customFormat="1" x14ac:dyDescent="0.25">
      <c r="A42" s="1">
        <v>120</v>
      </c>
      <c r="B42" s="1">
        <f t="shared" si="3"/>
        <v>2</v>
      </c>
      <c r="C42" s="1">
        <v>20</v>
      </c>
      <c r="D42" s="1">
        <f t="shared" si="0"/>
        <v>29.146000000000001</v>
      </c>
      <c r="E42" s="1">
        <f t="shared" si="4"/>
        <v>4.8576666666666667E-7</v>
      </c>
      <c r="F42" s="1">
        <v>21.1</v>
      </c>
      <c r="G42" s="1">
        <f t="shared" si="5"/>
        <v>294.10000000000002</v>
      </c>
      <c r="H42" s="1">
        <v>101.3</v>
      </c>
      <c r="I42" s="1">
        <f t="shared" si="6"/>
        <v>101300</v>
      </c>
      <c r="J42" s="1">
        <f t="shared" si="7"/>
        <v>2.0124824921938581E-5</v>
      </c>
      <c r="K42" s="22">
        <v>82.915841584158429</v>
      </c>
      <c r="L42" s="16">
        <f t="shared" si="8"/>
        <v>8.2915841584158429E-5</v>
      </c>
      <c r="M42" s="1">
        <f t="shared" si="9"/>
        <v>4.7762865441819992E-3</v>
      </c>
      <c r="N42" s="29">
        <f t="shared" si="10"/>
        <v>3.4936488414184195E-7</v>
      </c>
      <c r="O42" s="29">
        <f t="shared" si="11"/>
        <v>2.032E-3</v>
      </c>
      <c r="P42" s="29">
        <v>1.1208581181901367E-10</v>
      </c>
      <c r="Q42" s="2">
        <v>0.05</v>
      </c>
      <c r="R42" s="2">
        <f t="shared" si="12"/>
        <v>105000</v>
      </c>
      <c r="S42" s="2">
        <f t="shared" si="13"/>
        <v>5.2493374855265302E-3</v>
      </c>
      <c r="T42" s="2">
        <v>0.13</v>
      </c>
      <c r="U42" s="2">
        <f t="shared" si="14"/>
        <v>112999.99999999999</v>
      </c>
      <c r="V42" s="2">
        <f t="shared" si="19"/>
        <v>9.3694900990099015</v>
      </c>
      <c r="W42" s="2">
        <f t="shared" si="15"/>
        <v>5</v>
      </c>
      <c r="X42" s="2">
        <f t="shared" si="20"/>
        <v>3.9486633488805468E-7</v>
      </c>
      <c r="Y42" s="2">
        <f t="shared" si="16"/>
        <v>100411.99397089976</v>
      </c>
      <c r="Z42" s="2">
        <f t="shared" si="17"/>
        <v>2.06447457346765E-14</v>
      </c>
      <c r="AA42" s="2">
        <f t="shared" si="18"/>
        <v>12432265881.42219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</row>
    <row r="43" spans="1:75" s="4" customFormat="1" x14ac:dyDescent="0.25">
      <c r="A43" s="1">
        <v>123</v>
      </c>
      <c r="B43" s="1">
        <f t="shared" si="3"/>
        <v>2.0499999999999998</v>
      </c>
      <c r="C43" s="1">
        <v>20</v>
      </c>
      <c r="D43" s="1">
        <f t="shared" si="0"/>
        <v>29.146000000000001</v>
      </c>
      <c r="E43" s="1">
        <f t="shared" si="4"/>
        <v>4.8576666666666667E-7</v>
      </c>
      <c r="F43" s="1">
        <v>21.1</v>
      </c>
      <c r="G43" s="1">
        <f t="shared" si="5"/>
        <v>294.10000000000002</v>
      </c>
      <c r="H43" s="1">
        <v>101.3</v>
      </c>
      <c r="I43" s="1">
        <f t="shared" si="6"/>
        <v>101300</v>
      </c>
      <c r="J43" s="1">
        <f t="shared" si="7"/>
        <v>2.0124824921938581E-5</v>
      </c>
      <c r="K43" s="22">
        <v>92.321782178217831</v>
      </c>
      <c r="L43" s="16">
        <f t="shared" si="8"/>
        <v>9.2321782178217824E-5</v>
      </c>
      <c r="M43" s="1">
        <f t="shared" si="9"/>
        <v>4.7762865441819992E-3</v>
      </c>
      <c r="N43" s="29">
        <f t="shared" si="10"/>
        <v>3.8899669976483432E-7</v>
      </c>
      <c r="O43" s="29">
        <f t="shared" si="11"/>
        <v>2.032E-3</v>
      </c>
      <c r="P43" s="29">
        <v>1.1208581181901367E-10</v>
      </c>
      <c r="Q43" s="2">
        <v>0.05</v>
      </c>
      <c r="R43" s="2">
        <f t="shared" si="12"/>
        <v>105000</v>
      </c>
      <c r="S43" s="2">
        <f t="shared" si="13"/>
        <v>5.2493374855265302E-3</v>
      </c>
      <c r="T43" s="2">
        <v>0.13</v>
      </c>
      <c r="U43" s="2">
        <f t="shared" si="14"/>
        <v>112999.99999999999</v>
      </c>
      <c r="V43" s="2">
        <f t="shared" si="19"/>
        <v>10.432361386138613</v>
      </c>
      <c r="W43" s="2">
        <f t="shared" si="15"/>
        <v>5</v>
      </c>
      <c r="X43" s="2">
        <f t="shared" si="20"/>
        <v>4.438177293723842E-7</v>
      </c>
      <c r="Y43" s="2">
        <f t="shared" si="16"/>
        <v>99850.361303421712</v>
      </c>
      <c r="Z43" s="2">
        <f t="shared" si="17"/>
        <v>2.3334842765045594E-14</v>
      </c>
      <c r="AA43" s="2">
        <f t="shared" si="18"/>
        <v>14052242313.110458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</row>
    <row r="44" spans="1:75" s="4" customFormat="1" x14ac:dyDescent="0.25">
      <c r="A44" s="1">
        <v>126</v>
      </c>
      <c r="B44" s="1">
        <f t="shared" si="3"/>
        <v>2.1</v>
      </c>
      <c r="C44" s="1">
        <v>20</v>
      </c>
      <c r="D44" s="1">
        <f t="shared" si="0"/>
        <v>29.146000000000001</v>
      </c>
      <c r="E44" s="1">
        <f t="shared" si="4"/>
        <v>4.8576666666666667E-7</v>
      </c>
      <c r="F44" s="1">
        <v>21.1</v>
      </c>
      <c r="G44" s="1">
        <f t="shared" si="5"/>
        <v>294.10000000000002</v>
      </c>
      <c r="H44" s="1">
        <v>101.3</v>
      </c>
      <c r="I44" s="1">
        <f t="shared" si="6"/>
        <v>101300</v>
      </c>
      <c r="J44" s="1">
        <f t="shared" si="7"/>
        <v>2.0124824921938581E-5</v>
      </c>
      <c r="K44" s="22">
        <v>86.28217821782178</v>
      </c>
      <c r="L44" s="16">
        <f t="shared" si="8"/>
        <v>8.6282178217821778E-5</v>
      </c>
      <c r="M44" s="1">
        <f t="shared" si="9"/>
        <v>4.7762865441819992E-3</v>
      </c>
      <c r="N44" s="29">
        <f t="shared" si="10"/>
        <v>3.635489023648076E-7</v>
      </c>
      <c r="O44" s="29">
        <f t="shared" si="11"/>
        <v>2.032E-3</v>
      </c>
      <c r="P44" s="29">
        <v>1.1208581181901367E-10</v>
      </c>
      <c r="Q44" s="2">
        <v>0.05</v>
      </c>
      <c r="R44" s="2">
        <f t="shared" si="12"/>
        <v>105000</v>
      </c>
      <c r="S44" s="2">
        <f t="shared" si="13"/>
        <v>5.2493374855265302E-3</v>
      </c>
      <c r="T44" s="2">
        <v>0.13</v>
      </c>
      <c r="U44" s="2">
        <f t="shared" si="14"/>
        <v>112999.99999999999</v>
      </c>
      <c r="V44" s="2">
        <f t="shared" si="19"/>
        <v>9.74988613861386</v>
      </c>
      <c r="W44" s="2">
        <f t="shared" si="15"/>
        <v>5</v>
      </c>
      <c r="X44" s="2">
        <f t="shared" si="20"/>
        <v>4.1244373360885051E-7</v>
      </c>
      <c r="Y44" s="2">
        <f t="shared" si="16"/>
        <v>100210.14244607693</v>
      </c>
      <c r="Z44" s="2">
        <f t="shared" si="17"/>
        <v>2.1607264165241213E-14</v>
      </c>
      <c r="AA44" s="2">
        <f t="shared" si="18"/>
        <v>13011894480.30826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</row>
    <row r="45" spans="1:75" s="4" customFormat="1" x14ac:dyDescent="0.25">
      <c r="A45" s="1">
        <v>129</v>
      </c>
      <c r="B45" s="1">
        <f t="shared" si="3"/>
        <v>2.15</v>
      </c>
      <c r="C45" s="1">
        <v>20</v>
      </c>
      <c r="D45" s="1">
        <f t="shared" si="0"/>
        <v>29.146000000000001</v>
      </c>
      <c r="E45" s="1">
        <f t="shared" si="4"/>
        <v>4.8576666666666667E-7</v>
      </c>
      <c r="F45" s="1">
        <v>21.1</v>
      </c>
      <c r="G45" s="1">
        <f t="shared" si="5"/>
        <v>294.10000000000002</v>
      </c>
      <c r="H45" s="1">
        <v>101.3</v>
      </c>
      <c r="I45" s="1">
        <f t="shared" si="6"/>
        <v>101300</v>
      </c>
      <c r="J45" s="1">
        <f t="shared" si="7"/>
        <v>2.0124824921938581E-5</v>
      </c>
      <c r="K45" s="22">
        <v>73.856435643564353</v>
      </c>
      <c r="L45" s="16">
        <f t="shared" si="8"/>
        <v>7.385643564356436E-5</v>
      </c>
      <c r="M45" s="1">
        <f t="shared" si="9"/>
        <v>4.7762865441819992E-3</v>
      </c>
      <c r="N45" s="29">
        <f t="shared" si="10"/>
        <v>3.1119318804180186E-7</v>
      </c>
      <c r="O45" s="29">
        <f t="shared" si="11"/>
        <v>2.032E-3</v>
      </c>
      <c r="P45" s="29">
        <v>1.1208581181901367E-10</v>
      </c>
      <c r="Q45" s="2">
        <v>0.05</v>
      </c>
      <c r="R45" s="2">
        <f t="shared" si="12"/>
        <v>105000</v>
      </c>
      <c r="S45" s="2">
        <f t="shared" si="13"/>
        <v>5.2493374855265302E-3</v>
      </c>
      <c r="T45" s="2">
        <v>0.13</v>
      </c>
      <c r="U45" s="2">
        <f t="shared" si="14"/>
        <v>112999.99999999999</v>
      </c>
      <c r="V45" s="2">
        <f t="shared" si="19"/>
        <v>8.3457772277227722</v>
      </c>
      <c r="W45" s="2">
        <f t="shared" si="15"/>
        <v>5</v>
      </c>
      <c r="X45" s="2">
        <f t="shared" si="20"/>
        <v>3.4720394943249033E-7</v>
      </c>
      <c r="Y45" s="2">
        <f t="shared" si="16"/>
        <v>100960.35091231974</v>
      </c>
      <c r="Z45" s="2">
        <f t="shared" si="17"/>
        <v>1.8054031759348154E-14</v>
      </c>
      <c r="AA45" s="2">
        <f t="shared" si="18"/>
        <v>10872137925.47946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</row>
    <row r="46" spans="1:75" s="4" customFormat="1" x14ac:dyDescent="0.25">
      <c r="A46" s="1">
        <v>132</v>
      </c>
      <c r="B46" s="1">
        <f t="shared" si="3"/>
        <v>2.2000000000000002</v>
      </c>
      <c r="C46" s="1">
        <v>20</v>
      </c>
      <c r="D46" s="1">
        <f t="shared" si="0"/>
        <v>29.146000000000001</v>
      </c>
      <c r="E46" s="1">
        <f t="shared" si="4"/>
        <v>4.8576666666666667E-7</v>
      </c>
      <c r="F46" s="1">
        <v>21.1</v>
      </c>
      <c r="G46" s="1">
        <f t="shared" si="5"/>
        <v>294.10000000000002</v>
      </c>
      <c r="H46" s="1">
        <v>101.3</v>
      </c>
      <c r="I46" s="1">
        <f t="shared" si="6"/>
        <v>101300</v>
      </c>
      <c r="J46" s="1">
        <f t="shared" si="7"/>
        <v>2.0124824921938581E-5</v>
      </c>
      <c r="K46" s="22">
        <v>87.71782178217822</v>
      </c>
      <c r="L46" s="16">
        <f t="shared" si="8"/>
        <v>8.7717821782178223E-5</v>
      </c>
      <c r="M46" s="1">
        <f t="shared" si="9"/>
        <v>4.7762865441819992E-3</v>
      </c>
      <c r="N46" s="29">
        <f t="shared" si="10"/>
        <v>3.6959796895989597E-7</v>
      </c>
      <c r="O46" s="29">
        <f t="shared" si="11"/>
        <v>2.032E-3</v>
      </c>
      <c r="P46" s="29">
        <v>1.1208581181901367E-10</v>
      </c>
      <c r="Q46" s="2">
        <v>0.05</v>
      </c>
      <c r="R46" s="2">
        <f t="shared" si="12"/>
        <v>105000</v>
      </c>
      <c r="S46" s="2">
        <f t="shared" si="13"/>
        <v>5.2493374855265302E-3</v>
      </c>
      <c r="T46" s="2">
        <v>0.13</v>
      </c>
      <c r="U46" s="2">
        <f t="shared" si="14"/>
        <v>112999.99999999999</v>
      </c>
      <c r="V46" s="2">
        <f t="shared" si="19"/>
        <v>9.9121138613861373</v>
      </c>
      <c r="W46" s="2">
        <f t="shared" si="15"/>
        <v>5</v>
      </c>
      <c r="X46" s="2">
        <f t="shared" si="20"/>
        <v>4.1991980969632404E-7</v>
      </c>
      <c r="Y46" s="2">
        <f t="shared" si="16"/>
        <v>100124.35186101044</v>
      </c>
      <c r="Z46" s="2">
        <f t="shared" si="17"/>
        <v>2.2017810852473478E-14</v>
      </c>
      <c r="AA46" s="2">
        <f t="shared" si="18"/>
        <v>13259125695.359529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</row>
    <row r="47" spans="1:75" s="4" customFormat="1" x14ac:dyDescent="0.25">
      <c r="A47" s="1">
        <v>135</v>
      </c>
      <c r="B47" s="1">
        <f t="shared" si="3"/>
        <v>2.25</v>
      </c>
      <c r="C47" s="1">
        <v>20</v>
      </c>
      <c r="D47" s="1">
        <f t="shared" si="0"/>
        <v>29.146000000000001</v>
      </c>
      <c r="E47" s="1">
        <f t="shared" si="4"/>
        <v>4.8576666666666667E-7</v>
      </c>
      <c r="F47" s="1">
        <v>21.1</v>
      </c>
      <c r="G47" s="1">
        <f t="shared" si="5"/>
        <v>294.10000000000002</v>
      </c>
      <c r="H47" s="1">
        <v>101.3</v>
      </c>
      <c r="I47" s="1">
        <f t="shared" si="6"/>
        <v>101300</v>
      </c>
      <c r="J47" s="1">
        <f t="shared" si="7"/>
        <v>2.0124824921938581E-5</v>
      </c>
      <c r="K47" s="22">
        <v>74.846534653465355</v>
      </c>
      <c r="L47" s="16">
        <f t="shared" si="8"/>
        <v>7.4846534653465348E-5</v>
      </c>
      <c r="M47" s="1">
        <f t="shared" si="9"/>
        <v>4.7762865441819992E-3</v>
      </c>
      <c r="N47" s="29">
        <f t="shared" si="10"/>
        <v>3.1536495810738003E-7</v>
      </c>
      <c r="O47" s="29">
        <f t="shared" si="11"/>
        <v>2.032E-3</v>
      </c>
      <c r="P47" s="29">
        <v>1.1208581181901367E-10</v>
      </c>
      <c r="Q47" s="2">
        <v>0.05</v>
      </c>
      <c r="R47" s="2">
        <f t="shared" si="12"/>
        <v>105000</v>
      </c>
      <c r="S47" s="2">
        <f t="shared" si="13"/>
        <v>5.2493374855265302E-3</v>
      </c>
      <c r="T47" s="2">
        <v>0.13</v>
      </c>
      <c r="U47" s="2">
        <f t="shared" si="14"/>
        <v>112999.99999999999</v>
      </c>
      <c r="V47" s="2">
        <f t="shared" si="19"/>
        <v>8.4576584158415837</v>
      </c>
      <c r="W47" s="2">
        <f t="shared" si="15"/>
        <v>5</v>
      </c>
      <c r="X47" s="2">
        <f t="shared" si="20"/>
        <v>3.5244028496254074E-7</v>
      </c>
      <c r="Y47" s="2">
        <f t="shared" si="16"/>
        <v>100900.03372655938</v>
      </c>
      <c r="Z47" s="2">
        <f t="shared" si="17"/>
        <v>1.8337289111371887E-14</v>
      </c>
      <c r="AA47" s="2">
        <f t="shared" si="18"/>
        <v>11042715502.868151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</row>
    <row r="48" spans="1:75" s="4" customFormat="1" x14ac:dyDescent="0.25">
      <c r="A48" s="1">
        <v>138</v>
      </c>
      <c r="B48" s="1">
        <f t="shared" si="3"/>
        <v>2.2999999999999998</v>
      </c>
      <c r="C48" s="1">
        <v>20</v>
      </c>
      <c r="D48" s="1">
        <f t="shared" si="0"/>
        <v>29.146000000000001</v>
      </c>
      <c r="E48" s="1">
        <f t="shared" si="4"/>
        <v>4.8576666666666667E-7</v>
      </c>
      <c r="F48" s="1">
        <v>21.1</v>
      </c>
      <c r="G48" s="1">
        <f t="shared" si="5"/>
        <v>294.10000000000002</v>
      </c>
      <c r="H48" s="1">
        <v>101.3</v>
      </c>
      <c r="I48" s="1">
        <f t="shared" si="6"/>
        <v>101300</v>
      </c>
      <c r="J48" s="1">
        <f t="shared" si="7"/>
        <v>2.0124824921938581E-5</v>
      </c>
      <c r="K48" s="28">
        <v>86.084158415841586</v>
      </c>
      <c r="L48" s="16">
        <f t="shared" si="8"/>
        <v>8.6084158415841586E-5</v>
      </c>
      <c r="M48" s="1">
        <f t="shared" si="9"/>
        <v>4.7762865441819992E-3</v>
      </c>
      <c r="N48" s="64">
        <f t="shared" si="10"/>
        <v>3.6271454835169203E-7</v>
      </c>
      <c r="O48" s="29">
        <f t="shared" si="11"/>
        <v>2.032E-3</v>
      </c>
      <c r="P48" s="29">
        <v>1.1208581181901367E-10</v>
      </c>
      <c r="Q48" s="2">
        <v>0.05</v>
      </c>
      <c r="R48" s="2">
        <f t="shared" si="12"/>
        <v>105000</v>
      </c>
      <c r="S48" s="2">
        <f t="shared" si="13"/>
        <v>5.2493374855265302E-3</v>
      </c>
      <c r="T48" s="2">
        <v>0.13</v>
      </c>
      <c r="U48" s="2">
        <f t="shared" si="14"/>
        <v>112999.99999999999</v>
      </c>
      <c r="V48" s="2">
        <f t="shared" si="19"/>
        <v>9.727509900990098</v>
      </c>
      <c r="W48" s="2">
        <f t="shared" si="15"/>
        <v>5</v>
      </c>
      <c r="X48" s="12">
        <f t="shared" si="20"/>
        <v>4.1141162179221356E-7</v>
      </c>
      <c r="Y48" s="2">
        <f t="shared" si="16"/>
        <v>100221.98917585863</v>
      </c>
      <c r="Z48" s="12">
        <f t="shared" si="17"/>
        <v>2.1550640733505815E-14</v>
      </c>
      <c r="AA48" s="12">
        <f t="shared" si="18"/>
        <v>12977795849.717203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</row>
    <row r="49" spans="1:75" s="4" customFormat="1" x14ac:dyDescent="0.25">
      <c r="A49" s="1">
        <v>141</v>
      </c>
      <c r="B49" s="1">
        <f t="shared" si="3"/>
        <v>2.35</v>
      </c>
      <c r="C49" s="1">
        <v>20</v>
      </c>
      <c r="D49" s="1">
        <f t="shared" si="0"/>
        <v>29.146000000000001</v>
      </c>
      <c r="E49" s="1">
        <f t="shared" si="4"/>
        <v>4.8576666666666667E-7</v>
      </c>
      <c r="F49" s="1">
        <v>21.1</v>
      </c>
      <c r="G49" s="1">
        <f t="shared" si="5"/>
        <v>294.10000000000002</v>
      </c>
      <c r="H49" s="1">
        <v>101.3</v>
      </c>
      <c r="I49" s="1">
        <f t="shared" si="6"/>
        <v>101300</v>
      </c>
      <c r="J49" s="1">
        <f t="shared" si="7"/>
        <v>2.0124824921938581E-5</v>
      </c>
      <c r="K49" s="28">
        <v>80.044554455445549</v>
      </c>
      <c r="L49" s="16">
        <f t="shared" si="8"/>
        <v>8.0044554455445554E-5</v>
      </c>
      <c r="M49" s="1">
        <f t="shared" si="9"/>
        <v>4.7762865441819992E-3</v>
      </c>
      <c r="N49" s="64">
        <f t="shared" si="10"/>
        <v>3.3726675095166536E-7</v>
      </c>
      <c r="O49" s="29">
        <f t="shared" si="11"/>
        <v>2.032E-3</v>
      </c>
      <c r="P49" s="29">
        <v>1.1208581181901367E-10</v>
      </c>
      <c r="Q49" s="2">
        <v>0.05</v>
      </c>
      <c r="R49" s="2">
        <f t="shared" si="12"/>
        <v>105000</v>
      </c>
      <c r="S49" s="2">
        <f t="shared" si="13"/>
        <v>5.2493374855265302E-3</v>
      </c>
      <c r="T49" s="2">
        <v>0.13</v>
      </c>
      <c r="U49" s="2">
        <f t="shared" si="14"/>
        <v>112999.99999999999</v>
      </c>
      <c r="V49" s="2">
        <f t="shared" si="19"/>
        <v>9.045034653465347</v>
      </c>
      <c r="W49" s="2">
        <f t="shared" si="15"/>
        <v>5</v>
      </c>
      <c r="X49" s="12">
        <f t="shared" si="20"/>
        <v>3.7981900590579338E-7</v>
      </c>
      <c r="Y49" s="2">
        <f t="shared" si="16"/>
        <v>100584.95257263495</v>
      </c>
      <c r="Z49" s="12">
        <f t="shared" si="17"/>
        <v>1.982381461150391E-14</v>
      </c>
      <c r="AA49" s="12">
        <f t="shared" si="18"/>
        <v>11937901159.047655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</row>
    <row r="50" spans="1:75" s="4" customFormat="1" x14ac:dyDescent="0.25">
      <c r="A50" s="1">
        <v>144</v>
      </c>
      <c r="B50" s="1">
        <f t="shared" si="3"/>
        <v>2.4</v>
      </c>
      <c r="C50" s="1">
        <v>20</v>
      </c>
      <c r="D50" s="1">
        <f t="shared" si="0"/>
        <v>29.146000000000001</v>
      </c>
      <c r="E50" s="1">
        <f t="shared" si="4"/>
        <v>4.8576666666666667E-7</v>
      </c>
      <c r="F50" s="1">
        <v>21.1</v>
      </c>
      <c r="G50" s="1">
        <f t="shared" si="5"/>
        <v>294.10000000000002</v>
      </c>
      <c r="H50" s="1">
        <v>101.3</v>
      </c>
      <c r="I50" s="1">
        <f t="shared" si="6"/>
        <v>101300</v>
      </c>
      <c r="J50" s="1">
        <f t="shared" si="7"/>
        <v>2.0124824921938581E-5</v>
      </c>
      <c r="K50" s="28">
        <v>78.311881188118818</v>
      </c>
      <c r="L50" s="16">
        <f t="shared" si="8"/>
        <v>7.8311881188118814E-5</v>
      </c>
      <c r="M50" s="1">
        <f t="shared" si="9"/>
        <v>4.7762865441819992E-3</v>
      </c>
      <c r="N50" s="64">
        <f t="shared" si="10"/>
        <v>3.2996615333690355E-7</v>
      </c>
      <c r="O50" s="29">
        <f t="shared" si="11"/>
        <v>2.032E-3</v>
      </c>
      <c r="P50" s="29">
        <v>1.1208581181901367E-10</v>
      </c>
      <c r="Q50" s="2">
        <v>0.05</v>
      </c>
      <c r="R50" s="2">
        <f t="shared" si="12"/>
        <v>105000</v>
      </c>
      <c r="S50" s="2">
        <f t="shared" si="13"/>
        <v>5.2493374855265302E-3</v>
      </c>
      <c r="T50" s="2">
        <v>0.13</v>
      </c>
      <c r="U50" s="2">
        <f t="shared" si="14"/>
        <v>112999.99999999999</v>
      </c>
      <c r="V50" s="2">
        <f t="shared" si="19"/>
        <v>8.8492425742574241</v>
      </c>
      <c r="W50" s="2">
        <f t="shared" si="15"/>
        <v>5</v>
      </c>
      <c r="X50" s="12">
        <f t="shared" si="20"/>
        <v>3.7071307879695658E-7</v>
      </c>
      <c r="Y50" s="2">
        <f t="shared" si="16"/>
        <v>100689.69116861805</v>
      </c>
      <c r="Z50" s="12">
        <f t="shared" si="17"/>
        <v>1.9328384861275479E-14</v>
      </c>
      <c r="AA50" s="12">
        <f t="shared" si="18"/>
        <v>11639553363.460094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</row>
    <row r="51" spans="1:75" s="4" customFormat="1" x14ac:dyDescent="0.25">
      <c r="A51" s="1">
        <v>147</v>
      </c>
      <c r="B51" s="1">
        <f t="shared" si="3"/>
        <v>2.4500000000000002</v>
      </c>
      <c r="C51" s="1">
        <v>20</v>
      </c>
      <c r="D51" s="1">
        <f t="shared" si="0"/>
        <v>29.146000000000001</v>
      </c>
      <c r="E51" s="1">
        <f t="shared" si="4"/>
        <v>4.8576666666666667E-7</v>
      </c>
      <c r="F51" s="1">
        <v>21.1</v>
      </c>
      <c r="G51" s="1">
        <f t="shared" si="5"/>
        <v>294.10000000000002</v>
      </c>
      <c r="H51" s="1">
        <v>101.3</v>
      </c>
      <c r="I51" s="1">
        <f t="shared" si="6"/>
        <v>101300</v>
      </c>
      <c r="J51" s="1">
        <f t="shared" si="7"/>
        <v>2.0124824921938581E-5</v>
      </c>
      <c r="K51" s="28">
        <v>80.292079207920793</v>
      </c>
      <c r="L51" s="16">
        <f t="shared" si="8"/>
        <v>8.029207920792079E-5</v>
      </c>
      <c r="M51" s="1">
        <f t="shared" si="9"/>
        <v>4.7762865441819992E-3</v>
      </c>
      <c r="N51" s="64">
        <f t="shared" si="10"/>
        <v>3.3830969346805983E-7</v>
      </c>
      <c r="O51" s="29">
        <f t="shared" si="11"/>
        <v>2.032E-3</v>
      </c>
      <c r="P51" s="29">
        <v>1.1208581181901367E-10</v>
      </c>
      <c r="Q51" s="2">
        <v>0.05</v>
      </c>
      <c r="R51" s="2">
        <f t="shared" si="12"/>
        <v>105000</v>
      </c>
      <c r="S51" s="2">
        <f t="shared" si="13"/>
        <v>5.2493374855265302E-3</v>
      </c>
      <c r="T51" s="2">
        <v>0.13</v>
      </c>
      <c r="U51" s="2">
        <f t="shared" si="14"/>
        <v>112999.99999999999</v>
      </c>
      <c r="V51" s="2">
        <f t="shared" si="19"/>
        <v>9.073004950495049</v>
      </c>
      <c r="W51" s="2">
        <f t="shared" si="15"/>
        <v>5</v>
      </c>
      <c r="X51" s="12">
        <f t="shared" si="20"/>
        <v>3.8111825133725821E-7</v>
      </c>
      <c r="Y51" s="2">
        <f t="shared" si="16"/>
        <v>100570.01277769591</v>
      </c>
      <c r="Z51" s="12">
        <f t="shared" si="17"/>
        <v>1.9894586582863356E-14</v>
      </c>
      <c r="AA51" s="12">
        <f t="shared" si="18"/>
        <v>11980520040.200314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</row>
    <row r="52" spans="1:75" s="4" customFormat="1" x14ac:dyDescent="0.25">
      <c r="A52" s="1">
        <v>150</v>
      </c>
      <c r="B52" s="1">
        <f t="shared" si="3"/>
        <v>2.5</v>
      </c>
      <c r="C52" s="1">
        <v>20</v>
      </c>
      <c r="D52" s="1">
        <f t="shared" si="0"/>
        <v>29.146000000000001</v>
      </c>
      <c r="E52" s="1">
        <f t="shared" si="4"/>
        <v>4.8576666666666667E-7</v>
      </c>
      <c r="F52" s="1">
        <v>21.1</v>
      </c>
      <c r="G52" s="1">
        <f t="shared" si="5"/>
        <v>294.10000000000002</v>
      </c>
      <c r="H52" s="1">
        <v>101.3</v>
      </c>
      <c r="I52" s="1">
        <f t="shared" si="6"/>
        <v>101300</v>
      </c>
      <c r="J52" s="1">
        <f t="shared" si="7"/>
        <v>2.0124824921938581E-5</v>
      </c>
      <c r="K52" s="28">
        <v>80.56435643564356</v>
      </c>
      <c r="L52" s="16">
        <f t="shared" si="8"/>
        <v>8.0564356435643556E-5</v>
      </c>
      <c r="M52" s="1">
        <f t="shared" si="9"/>
        <v>4.7762865441819992E-3</v>
      </c>
      <c r="N52" s="64">
        <f t="shared" si="10"/>
        <v>3.3945693023609379E-7</v>
      </c>
      <c r="O52" s="29">
        <f t="shared" si="11"/>
        <v>2.032E-3</v>
      </c>
      <c r="P52" s="29">
        <v>1.1208581181901367E-10</v>
      </c>
      <c r="Q52" s="2">
        <v>0.05</v>
      </c>
      <c r="R52" s="2">
        <f t="shared" si="12"/>
        <v>105000</v>
      </c>
      <c r="S52" s="2">
        <f t="shared" si="13"/>
        <v>5.2493374855265302E-3</v>
      </c>
      <c r="T52" s="2">
        <v>0.13</v>
      </c>
      <c r="U52" s="2">
        <f t="shared" si="14"/>
        <v>112999.99999999999</v>
      </c>
      <c r="V52" s="2">
        <f t="shared" si="19"/>
        <v>9.103772277227721</v>
      </c>
      <c r="W52" s="2">
        <f t="shared" si="15"/>
        <v>5</v>
      </c>
      <c r="X52" s="12">
        <f t="shared" si="20"/>
        <v>3.8254696543154385E-7</v>
      </c>
      <c r="Y52" s="2">
        <f t="shared" si="16"/>
        <v>100553.58552629249</v>
      </c>
      <c r="Z52" s="12">
        <f t="shared" si="17"/>
        <v>1.997243499177945E-14</v>
      </c>
      <c r="AA52" s="12">
        <f t="shared" si="18"/>
        <v>12027400352.049585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</row>
    <row r="53" spans="1:75" s="4" customFormat="1" x14ac:dyDescent="0.25">
      <c r="A53" s="1">
        <v>153</v>
      </c>
      <c r="B53" s="1">
        <f t="shared" si="3"/>
        <v>2.5499999999999998</v>
      </c>
      <c r="C53" s="1">
        <v>20</v>
      </c>
      <c r="D53" s="1">
        <f t="shared" si="0"/>
        <v>29.146000000000001</v>
      </c>
      <c r="E53" s="1">
        <f t="shared" si="4"/>
        <v>4.8576666666666667E-7</v>
      </c>
      <c r="F53" s="1">
        <v>21.1</v>
      </c>
      <c r="G53" s="1">
        <f t="shared" si="5"/>
        <v>294.10000000000002</v>
      </c>
      <c r="H53" s="1">
        <v>101.3</v>
      </c>
      <c r="I53" s="1">
        <f t="shared" si="6"/>
        <v>101300</v>
      </c>
      <c r="J53" s="1">
        <f t="shared" si="7"/>
        <v>2.0124824921938581E-5</v>
      </c>
      <c r="K53" s="28">
        <v>75.069306930693074</v>
      </c>
      <c r="L53" s="16">
        <f t="shared" si="8"/>
        <v>7.506930693069307E-5</v>
      </c>
      <c r="M53" s="1">
        <f t="shared" si="9"/>
        <v>4.7762865441819992E-3</v>
      </c>
      <c r="N53" s="64">
        <f t="shared" si="10"/>
        <v>3.1630360637213514E-7</v>
      </c>
      <c r="O53" s="29">
        <f t="shared" si="11"/>
        <v>2.032E-3</v>
      </c>
      <c r="P53" s="29">
        <v>1.1208581181901367E-10</v>
      </c>
      <c r="Q53" s="2">
        <v>0.05</v>
      </c>
      <c r="R53" s="2">
        <f t="shared" si="12"/>
        <v>105000</v>
      </c>
      <c r="S53" s="2">
        <f t="shared" si="13"/>
        <v>5.2493374855265302E-3</v>
      </c>
      <c r="T53" s="2">
        <v>0.13</v>
      </c>
      <c r="U53" s="2">
        <f t="shared" si="14"/>
        <v>112999.99999999999</v>
      </c>
      <c r="V53" s="2">
        <f t="shared" si="19"/>
        <v>8.4828316831683157</v>
      </c>
      <c r="W53" s="2">
        <f t="shared" si="15"/>
        <v>5</v>
      </c>
      <c r="X53" s="12">
        <f t="shared" si="20"/>
        <v>3.5361748830366836E-7</v>
      </c>
      <c r="Y53" s="2">
        <f t="shared" si="16"/>
        <v>100886.47603935674</v>
      </c>
      <c r="Z53" s="12">
        <f t="shared" si="17"/>
        <v>1.8401015700904965E-14</v>
      </c>
      <c r="AA53" s="12">
        <f t="shared" si="18"/>
        <v>11081091655.08497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</row>
    <row r="54" spans="1:75" s="4" customFormat="1" x14ac:dyDescent="0.25">
      <c r="A54" s="1">
        <v>156</v>
      </c>
      <c r="B54" s="1">
        <f t="shared" si="3"/>
        <v>2.6</v>
      </c>
      <c r="C54" s="1">
        <v>20</v>
      </c>
      <c r="D54" s="1">
        <f t="shared" si="0"/>
        <v>29.146000000000001</v>
      </c>
      <c r="E54" s="1">
        <f t="shared" si="4"/>
        <v>4.8576666666666667E-7</v>
      </c>
      <c r="F54" s="1">
        <v>21.1</v>
      </c>
      <c r="G54" s="1">
        <f t="shared" si="5"/>
        <v>294.10000000000002</v>
      </c>
      <c r="H54" s="1">
        <v>101.3</v>
      </c>
      <c r="I54" s="1">
        <f t="shared" si="6"/>
        <v>101300</v>
      </c>
      <c r="J54" s="1">
        <f t="shared" si="7"/>
        <v>2.0124824921938581E-5</v>
      </c>
      <c r="K54" s="28">
        <v>79.178217821782184</v>
      </c>
      <c r="L54" s="16">
        <f t="shared" si="8"/>
        <v>7.9178217821782184E-5</v>
      </c>
      <c r="M54" s="1">
        <f t="shared" si="9"/>
        <v>4.7762865441819992E-3</v>
      </c>
      <c r="N54" s="64">
        <f t="shared" si="10"/>
        <v>3.3361645214428443E-7</v>
      </c>
      <c r="O54" s="29">
        <f t="shared" si="11"/>
        <v>2.032E-3</v>
      </c>
      <c r="P54" s="29">
        <v>1.1208581181901367E-10</v>
      </c>
      <c r="Q54" s="2">
        <v>0.05</v>
      </c>
      <c r="R54" s="2">
        <f t="shared" si="12"/>
        <v>105000</v>
      </c>
      <c r="S54" s="2">
        <f t="shared" si="13"/>
        <v>5.2493374855265302E-3</v>
      </c>
      <c r="T54" s="2">
        <v>0.13</v>
      </c>
      <c r="U54" s="2">
        <f t="shared" si="14"/>
        <v>112999.99999999999</v>
      </c>
      <c r="V54" s="2">
        <f t="shared" si="19"/>
        <v>8.9471386138613855</v>
      </c>
      <c r="W54" s="2">
        <f t="shared" si="15"/>
        <v>5</v>
      </c>
      <c r="X54" s="12">
        <f t="shared" si="20"/>
        <v>3.7526851155665253E-7</v>
      </c>
      <c r="Y54" s="2">
        <f t="shared" si="16"/>
        <v>100637.28665628824</v>
      </c>
      <c r="Z54" s="12">
        <f t="shared" si="17"/>
        <v>1.9576106237011755E-14</v>
      </c>
      <c r="AA54" s="12">
        <f t="shared" si="18"/>
        <v>11788731175.928478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</row>
    <row r="55" spans="1:75" s="4" customFormat="1" x14ac:dyDescent="0.25">
      <c r="A55" s="1">
        <v>159</v>
      </c>
      <c r="B55" s="1">
        <f t="shared" si="3"/>
        <v>2.65</v>
      </c>
      <c r="C55" s="1">
        <v>20</v>
      </c>
      <c r="D55" s="1">
        <f t="shared" si="0"/>
        <v>29.146000000000001</v>
      </c>
      <c r="E55" s="1">
        <f t="shared" si="4"/>
        <v>4.8576666666666667E-7</v>
      </c>
      <c r="F55" s="1">
        <v>21.1</v>
      </c>
      <c r="G55" s="1">
        <f t="shared" si="5"/>
        <v>294.10000000000002</v>
      </c>
      <c r="H55" s="1">
        <v>101.3</v>
      </c>
      <c r="I55" s="1">
        <f t="shared" si="6"/>
        <v>101300</v>
      </c>
      <c r="J55" s="1">
        <f t="shared" si="7"/>
        <v>2.0124824921938581E-5</v>
      </c>
      <c r="K55" s="28">
        <v>82.297029702970306</v>
      </c>
      <c r="L55" s="16">
        <f t="shared" ref="L55:L80" si="21">(K55/1000000)</f>
        <v>8.229702970297031E-5</v>
      </c>
      <c r="M55" s="1">
        <f t="shared" si="9"/>
        <v>4.7762865441819992E-3</v>
      </c>
      <c r="N55" s="64">
        <f t="shared" ref="N55:N80" si="22">(L55*J55)/M55</f>
        <v>3.4675752785085565E-7</v>
      </c>
      <c r="O55" s="29">
        <f t="shared" si="11"/>
        <v>2.032E-3</v>
      </c>
      <c r="P55" s="29">
        <v>1.1208581181901367E-10</v>
      </c>
      <c r="Q55" s="2">
        <v>0.05</v>
      </c>
      <c r="R55" s="2">
        <f t="shared" ref="R55:R80" si="23">(1+Q55)*100000*1</f>
        <v>105000</v>
      </c>
      <c r="S55" s="2">
        <f t="shared" si="13"/>
        <v>5.2493374855265302E-3</v>
      </c>
      <c r="T55" s="2">
        <v>0.13</v>
      </c>
      <c r="U55" s="2">
        <f t="shared" si="14"/>
        <v>112999.99999999999</v>
      </c>
      <c r="V55" s="2">
        <f t="shared" si="19"/>
        <v>9.2995643564356438</v>
      </c>
      <c r="W55" s="2">
        <f t="shared" si="15"/>
        <v>5</v>
      </c>
      <c r="X55" s="12">
        <f t="shared" si="20"/>
        <v>3.9162774714860902E-7</v>
      </c>
      <c r="Y55" s="2">
        <f t="shared" si="16"/>
        <v>100449.20671980418</v>
      </c>
      <c r="Z55" s="12">
        <f t="shared" si="17"/>
        <v>2.0467822718093737E-14</v>
      </c>
      <c r="AA55" s="12">
        <f t="shared" si="18"/>
        <v>12325722840.83605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</row>
    <row r="56" spans="1:75" s="4" customFormat="1" x14ac:dyDescent="0.25">
      <c r="A56" s="1">
        <v>162</v>
      </c>
      <c r="B56" s="1">
        <f t="shared" si="3"/>
        <v>2.7</v>
      </c>
      <c r="C56" s="1">
        <v>20</v>
      </c>
      <c r="D56" s="1">
        <f t="shared" si="0"/>
        <v>29.146000000000001</v>
      </c>
      <c r="E56" s="1">
        <f t="shared" si="4"/>
        <v>4.8576666666666667E-7</v>
      </c>
      <c r="F56" s="1">
        <v>21.1</v>
      </c>
      <c r="G56" s="1">
        <f t="shared" si="5"/>
        <v>294.10000000000002</v>
      </c>
      <c r="H56" s="1">
        <v>101.3</v>
      </c>
      <c r="I56" s="1">
        <f t="shared" si="6"/>
        <v>101300</v>
      </c>
      <c r="J56" s="1">
        <f t="shared" si="7"/>
        <v>2.0124824921938581E-5</v>
      </c>
      <c r="K56" s="28">
        <v>79.252475247524757</v>
      </c>
      <c r="L56" s="16">
        <f t="shared" si="21"/>
        <v>7.9252475247524757E-5</v>
      </c>
      <c r="M56" s="1">
        <f t="shared" si="9"/>
        <v>4.7762865441819992E-3</v>
      </c>
      <c r="N56" s="64">
        <f t="shared" si="22"/>
        <v>3.3392933489920281E-7</v>
      </c>
      <c r="O56" s="29">
        <f t="shared" si="11"/>
        <v>2.032E-3</v>
      </c>
      <c r="P56" s="29">
        <v>1.1208581181901367E-10</v>
      </c>
      <c r="Q56" s="2">
        <v>0.05</v>
      </c>
      <c r="R56" s="2">
        <f t="shared" si="23"/>
        <v>105000</v>
      </c>
      <c r="S56" s="2">
        <f t="shared" si="13"/>
        <v>5.2493374855265302E-3</v>
      </c>
      <c r="T56" s="2">
        <v>0.13</v>
      </c>
      <c r="U56" s="2">
        <f t="shared" si="14"/>
        <v>112999.99999999999</v>
      </c>
      <c r="V56" s="2">
        <f t="shared" si="19"/>
        <v>8.9555297029702956</v>
      </c>
      <c r="W56" s="2">
        <f t="shared" si="15"/>
        <v>5</v>
      </c>
      <c r="X56" s="12">
        <f t="shared" si="20"/>
        <v>3.7565874628579143E-7</v>
      </c>
      <c r="Y56" s="2">
        <f t="shared" si="16"/>
        <v>100632.79813187629</v>
      </c>
      <c r="Z56" s="12">
        <f t="shared" si="17"/>
        <v>1.9597338837876124E-14</v>
      </c>
      <c r="AA56" s="12">
        <f t="shared" si="18"/>
        <v>11801517448.169003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</row>
    <row r="57" spans="1:75" s="4" customFormat="1" x14ac:dyDescent="0.25">
      <c r="A57" s="1">
        <v>165</v>
      </c>
      <c r="B57" s="1">
        <f t="shared" si="3"/>
        <v>2.75</v>
      </c>
      <c r="C57" s="1">
        <v>20</v>
      </c>
      <c r="D57" s="1">
        <f t="shared" si="0"/>
        <v>29.146000000000001</v>
      </c>
      <c r="E57" s="1">
        <f t="shared" si="4"/>
        <v>4.8576666666666667E-7</v>
      </c>
      <c r="F57" s="1">
        <v>21.1</v>
      </c>
      <c r="G57" s="1">
        <f t="shared" si="5"/>
        <v>294.10000000000002</v>
      </c>
      <c r="H57" s="1">
        <v>101.3</v>
      </c>
      <c r="I57" s="1">
        <f t="shared" si="6"/>
        <v>101300</v>
      </c>
      <c r="J57" s="1">
        <f t="shared" si="7"/>
        <v>2.0124824921938581E-5</v>
      </c>
      <c r="K57" s="28">
        <v>80.960396039603964</v>
      </c>
      <c r="L57" s="16">
        <f t="shared" si="21"/>
        <v>8.0960396039603968E-5</v>
      </c>
      <c r="M57" s="1">
        <f t="shared" si="9"/>
        <v>4.7762865441819992E-3</v>
      </c>
      <c r="N57" s="64">
        <f t="shared" si="22"/>
        <v>3.4112563826232509E-7</v>
      </c>
      <c r="O57" s="29">
        <f t="shared" si="11"/>
        <v>2.032E-3</v>
      </c>
      <c r="P57" s="29">
        <v>1.1208581181901367E-10</v>
      </c>
      <c r="Q57" s="2">
        <v>0.05</v>
      </c>
      <c r="R57" s="2">
        <f t="shared" si="23"/>
        <v>105000</v>
      </c>
      <c r="S57" s="2">
        <f t="shared" si="13"/>
        <v>5.2493374855265302E-3</v>
      </c>
      <c r="T57" s="2">
        <v>0.13</v>
      </c>
      <c r="U57" s="2">
        <f t="shared" si="14"/>
        <v>112999.99999999999</v>
      </c>
      <c r="V57" s="2">
        <f t="shared" si="19"/>
        <v>9.1485247524752467</v>
      </c>
      <c r="W57" s="2">
        <f t="shared" si="15"/>
        <v>5</v>
      </c>
      <c r="X57" s="12">
        <f t="shared" si="20"/>
        <v>3.8462424730477369E-7</v>
      </c>
      <c r="Y57" s="2">
        <f t="shared" si="16"/>
        <v>100529.70348304613</v>
      </c>
      <c r="Z57" s="12">
        <f t="shared" si="17"/>
        <v>2.0085667852282296E-14</v>
      </c>
      <c r="AA57" s="12">
        <f t="shared" si="18"/>
        <v>12095589180.6444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</row>
    <row r="58" spans="1:75" s="4" customFormat="1" x14ac:dyDescent="0.25">
      <c r="A58" s="1">
        <v>168</v>
      </c>
      <c r="B58" s="1">
        <f t="shared" si="3"/>
        <v>2.8</v>
      </c>
      <c r="C58" s="1">
        <v>20</v>
      </c>
      <c r="D58" s="1">
        <f t="shared" si="0"/>
        <v>29.146000000000001</v>
      </c>
      <c r="E58" s="1">
        <f t="shared" si="4"/>
        <v>4.8576666666666667E-7</v>
      </c>
      <c r="F58" s="1">
        <v>21.1</v>
      </c>
      <c r="G58" s="1">
        <f t="shared" si="5"/>
        <v>294.10000000000002</v>
      </c>
      <c r="H58" s="1">
        <v>101.3</v>
      </c>
      <c r="I58" s="1">
        <f t="shared" si="6"/>
        <v>101300</v>
      </c>
      <c r="J58" s="1">
        <f t="shared" si="7"/>
        <v>2.0124824921938581E-5</v>
      </c>
      <c r="K58" s="28">
        <v>79.896039603960389</v>
      </c>
      <c r="L58" s="16">
        <f t="shared" si="21"/>
        <v>7.9896039603960392E-5</v>
      </c>
      <c r="M58" s="1">
        <f t="shared" si="9"/>
        <v>4.7762865441819992E-3</v>
      </c>
      <c r="N58" s="64">
        <f t="shared" si="22"/>
        <v>3.3664098544182853E-7</v>
      </c>
      <c r="O58" s="29">
        <f t="shared" si="11"/>
        <v>2.032E-3</v>
      </c>
      <c r="P58" s="29">
        <v>1.1208581181901367E-10</v>
      </c>
      <c r="Q58" s="2">
        <v>0.05</v>
      </c>
      <c r="R58" s="2">
        <f t="shared" si="23"/>
        <v>105000</v>
      </c>
      <c r="S58" s="2">
        <f t="shared" si="13"/>
        <v>5.2493374855265302E-3</v>
      </c>
      <c r="T58" s="2">
        <v>0.13</v>
      </c>
      <c r="U58" s="2">
        <f t="shared" si="14"/>
        <v>112999.99999999999</v>
      </c>
      <c r="V58" s="2">
        <f t="shared" si="19"/>
        <v>9.0282524752475233</v>
      </c>
      <c r="W58" s="2">
        <f t="shared" si="15"/>
        <v>5</v>
      </c>
      <c r="X58" s="12">
        <f t="shared" si="20"/>
        <v>3.7903926839926754E-7</v>
      </c>
      <c r="Y58" s="2">
        <f t="shared" si="16"/>
        <v>100593.91916999964</v>
      </c>
      <c r="Z58" s="12">
        <f t="shared" si="17"/>
        <v>1.9781351075146125E-14</v>
      </c>
      <c r="AA58" s="12">
        <f t="shared" si="18"/>
        <v>11912329617.452997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</row>
    <row r="59" spans="1:75" s="4" customFormat="1" x14ac:dyDescent="0.25">
      <c r="A59" s="1">
        <v>171</v>
      </c>
      <c r="B59" s="1">
        <f t="shared" si="3"/>
        <v>2.85</v>
      </c>
      <c r="C59" s="1">
        <v>20</v>
      </c>
      <c r="D59" s="1">
        <f t="shared" si="0"/>
        <v>29.146000000000001</v>
      </c>
      <c r="E59" s="1">
        <f t="shared" si="4"/>
        <v>4.8576666666666667E-7</v>
      </c>
      <c r="F59" s="1">
        <v>21.1</v>
      </c>
      <c r="G59" s="1">
        <f t="shared" si="5"/>
        <v>294.10000000000002</v>
      </c>
      <c r="H59" s="1">
        <v>101.3</v>
      </c>
      <c r="I59" s="1">
        <f t="shared" si="6"/>
        <v>101300</v>
      </c>
      <c r="J59" s="1">
        <f t="shared" si="7"/>
        <v>2.0124824921938581E-5</v>
      </c>
      <c r="K59" s="28">
        <v>83.262376237623769</v>
      </c>
      <c r="L59" s="16">
        <f t="shared" si="21"/>
        <v>8.3262376237623769E-5</v>
      </c>
      <c r="M59" s="1">
        <f t="shared" si="9"/>
        <v>4.7762865441819992E-3</v>
      </c>
      <c r="N59" s="64">
        <f t="shared" si="22"/>
        <v>3.5082500366479429E-7</v>
      </c>
      <c r="O59" s="29">
        <f t="shared" si="11"/>
        <v>2.032E-3</v>
      </c>
      <c r="P59" s="29">
        <v>1.1208581181901367E-10</v>
      </c>
      <c r="Q59" s="2">
        <v>0.05</v>
      </c>
      <c r="R59" s="2">
        <f t="shared" si="23"/>
        <v>105000</v>
      </c>
      <c r="S59" s="2">
        <f t="shared" si="13"/>
        <v>5.2493374855265302E-3</v>
      </c>
      <c r="T59" s="2">
        <v>0.13</v>
      </c>
      <c r="U59" s="2">
        <f t="shared" si="14"/>
        <v>112999.99999999999</v>
      </c>
      <c r="V59" s="2">
        <f t="shared" si="19"/>
        <v>9.4086485148514853</v>
      </c>
      <c r="W59" s="2">
        <f t="shared" si="15"/>
        <v>5</v>
      </c>
      <c r="X59" s="12">
        <f t="shared" si="20"/>
        <v>3.9667891537125847E-7</v>
      </c>
      <c r="Y59" s="2">
        <f t="shared" si="16"/>
        <v>100391.16966023948</v>
      </c>
      <c r="Z59" s="12">
        <f t="shared" si="17"/>
        <v>2.0743823172549639E-14</v>
      </c>
      <c r="AA59" s="12">
        <f t="shared" si="18"/>
        <v>12491930314.509394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</row>
    <row r="60" spans="1:75" s="4" customFormat="1" x14ac:dyDescent="0.25">
      <c r="A60" s="1">
        <v>174</v>
      </c>
      <c r="B60" s="1">
        <f t="shared" si="3"/>
        <v>2.9</v>
      </c>
      <c r="C60" s="1">
        <v>20</v>
      </c>
      <c r="D60" s="1">
        <f t="shared" si="0"/>
        <v>29.146000000000001</v>
      </c>
      <c r="E60" s="1">
        <f t="shared" si="4"/>
        <v>4.8576666666666667E-7</v>
      </c>
      <c r="F60" s="1">
        <v>21.1</v>
      </c>
      <c r="G60" s="1">
        <f t="shared" si="5"/>
        <v>294.10000000000002</v>
      </c>
      <c r="H60" s="1">
        <v>101.3</v>
      </c>
      <c r="I60" s="1">
        <f t="shared" si="6"/>
        <v>101300</v>
      </c>
      <c r="J60" s="1">
        <f t="shared" si="7"/>
        <v>2.0124824921938581E-5</v>
      </c>
      <c r="K60" s="28">
        <v>81.084158415841586</v>
      </c>
      <c r="L60" s="16">
        <f t="shared" si="21"/>
        <v>8.1084158415841586E-5</v>
      </c>
      <c r="M60" s="1">
        <f t="shared" si="9"/>
        <v>4.7762865441819992E-3</v>
      </c>
      <c r="N60" s="64">
        <f t="shared" si="22"/>
        <v>3.4164710952052233E-7</v>
      </c>
      <c r="O60" s="29">
        <f t="shared" si="11"/>
        <v>2.032E-3</v>
      </c>
      <c r="P60" s="29">
        <v>1.1208581181901367E-10</v>
      </c>
      <c r="Q60" s="2">
        <v>0.05</v>
      </c>
      <c r="R60" s="2">
        <f t="shared" si="23"/>
        <v>105000</v>
      </c>
      <c r="S60" s="2">
        <f t="shared" si="13"/>
        <v>5.2493374855265302E-3</v>
      </c>
      <c r="T60" s="2">
        <v>0.13</v>
      </c>
      <c r="U60" s="2">
        <f t="shared" si="14"/>
        <v>112999.99999999999</v>
      </c>
      <c r="V60" s="2">
        <f t="shared" si="19"/>
        <v>9.1625099009900985</v>
      </c>
      <c r="W60" s="2">
        <f t="shared" si="15"/>
        <v>5</v>
      </c>
      <c r="X60" s="12">
        <f t="shared" si="20"/>
        <v>3.8527319285608804E-7</v>
      </c>
      <c r="Y60" s="2">
        <f t="shared" si="16"/>
        <v>100522.24328321782</v>
      </c>
      <c r="Z60" s="12">
        <f t="shared" si="17"/>
        <v>2.0121052880560483E-14</v>
      </c>
      <c r="AA60" s="12">
        <f t="shared" si="18"/>
        <v>12116898044.673523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</row>
    <row r="61" spans="1:75" s="4" customFormat="1" x14ac:dyDescent="0.25">
      <c r="A61" s="1">
        <v>177</v>
      </c>
      <c r="B61" s="1">
        <f t="shared" si="3"/>
        <v>2.95</v>
      </c>
      <c r="C61" s="1">
        <v>20</v>
      </c>
      <c r="D61" s="1">
        <f t="shared" si="0"/>
        <v>29.146000000000001</v>
      </c>
      <c r="E61" s="1">
        <f t="shared" si="4"/>
        <v>4.8576666666666667E-7</v>
      </c>
      <c r="F61" s="1">
        <v>21.1</v>
      </c>
      <c r="G61" s="1">
        <f t="shared" si="5"/>
        <v>294.10000000000002</v>
      </c>
      <c r="H61" s="1">
        <v>101.3</v>
      </c>
      <c r="I61" s="1">
        <f t="shared" si="6"/>
        <v>101300</v>
      </c>
      <c r="J61" s="1">
        <f t="shared" si="7"/>
        <v>2.0124824921938581E-5</v>
      </c>
      <c r="K61" s="28">
        <v>78.287128712871279</v>
      </c>
      <c r="L61" s="16">
        <f t="shared" si="21"/>
        <v>7.8287128712871285E-5</v>
      </c>
      <c r="M61" s="1">
        <f t="shared" si="9"/>
        <v>4.7762865441819992E-3</v>
      </c>
      <c r="N61" s="64">
        <f t="shared" si="22"/>
        <v>3.2986185908526407E-7</v>
      </c>
      <c r="O61" s="29">
        <f t="shared" si="11"/>
        <v>2.032E-3</v>
      </c>
      <c r="P61" s="29">
        <v>1.1208581181901367E-10</v>
      </c>
      <c r="Q61" s="2">
        <v>0.05</v>
      </c>
      <c r="R61" s="2">
        <f t="shared" si="23"/>
        <v>105000</v>
      </c>
      <c r="S61" s="2">
        <f t="shared" si="13"/>
        <v>5.2493374855265302E-3</v>
      </c>
      <c r="T61" s="2">
        <v>0.13</v>
      </c>
      <c r="U61" s="2">
        <f t="shared" si="14"/>
        <v>112999.99999999999</v>
      </c>
      <c r="V61" s="2">
        <f t="shared" si="19"/>
        <v>8.8464455445544541</v>
      </c>
      <c r="W61" s="2">
        <f t="shared" si="15"/>
        <v>5</v>
      </c>
      <c r="X61" s="12">
        <f t="shared" si="20"/>
        <v>3.7058285019981596E-7</v>
      </c>
      <c r="Y61" s="2">
        <f t="shared" si="16"/>
        <v>100691.18948504113</v>
      </c>
      <c r="Z61" s="12">
        <f t="shared" si="17"/>
        <v>1.9321306877850778E-14</v>
      </c>
      <c r="AA61" s="12">
        <f t="shared" si="18"/>
        <v>11635291001.84174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</row>
    <row r="62" spans="1:75" s="4" customFormat="1" x14ac:dyDescent="0.25">
      <c r="A62" s="1">
        <v>180</v>
      </c>
      <c r="B62" s="1">
        <f t="shared" si="3"/>
        <v>3</v>
      </c>
      <c r="C62" s="1">
        <v>20</v>
      </c>
      <c r="D62" s="1">
        <f t="shared" si="0"/>
        <v>29.146000000000001</v>
      </c>
      <c r="E62" s="1">
        <f t="shared" si="4"/>
        <v>4.8576666666666667E-7</v>
      </c>
      <c r="F62" s="1">
        <v>21.1</v>
      </c>
      <c r="G62" s="1">
        <f t="shared" si="5"/>
        <v>294.10000000000002</v>
      </c>
      <c r="H62" s="1">
        <v>101.3</v>
      </c>
      <c r="I62" s="1">
        <f t="shared" si="6"/>
        <v>101300</v>
      </c>
      <c r="J62" s="1">
        <f t="shared" si="7"/>
        <v>2.0124824921938581E-5</v>
      </c>
      <c r="K62" s="28">
        <v>86.207920792079207</v>
      </c>
      <c r="L62" s="16">
        <f t="shared" si="21"/>
        <v>8.6207920792079204E-5</v>
      </c>
      <c r="M62" s="1">
        <f t="shared" si="9"/>
        <v>4.7762865441819992E-3</v>
      </c>
      <c r="N62" s="64">
        <f t="shared" si="22"/>
        <v>3.6323601960988927E-7</v>
      </c>
      <c r="O62" s="29">
        <f t="shared" si="11"/>
        <v>2.032E-3</v>
      </c>
      <c r="P62" s="29">
        <v>1.1208581181901367E-10</v>
      </c>
      <c r="Q62" s="2">
        <v>0.05</v>
      </c>
      <c r="R62" s="2">
        <f t="shared" si="23"/>
        <v>105000</v>
      </c>
      <c r="S62" s="2">
        <f t="shared" si="13"/>
        <v>5.2493374855265302E-3</v>
      </c>
      <c r="T62" s="2">
        <v>0.13</v>
      </c>
      <c r="U62" s="2">
        <f t="shared" si="14"/>
        <v>112999.99999999999</v>
      </c>
      <c r="V62" s="2">
        <f t="shared" si="19"/>
        <v>9.7414950495049482</v>
      </c>
      <c r="W62" s="2">
        <f t="shared" si="15"/>
        <v>5</v>
      </c>
      <c r="X62" s="12">
        <f t="shared" si="20"/>
        <v>4.1205671829765988E-7</v>
      </c>
      <c r="Y62" s="2">
        <f t="shared" si="16"/>
        <v>100214.58458214244</v>
      </c>
      <c r="Z62" s="12">
        <f t="shared" si="17"/>
        <v>2.1586030284414107E-14</v>
      </c>
      <c r="AA62" s="12">
        <f t="shared" si="18"/>
        <v>12999107437.274176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</row>
    <row r="63" spans="1:75" s="4" customFormat="1" x14ac:dyDescent="0.25">
      <c r="A63" s="1">
        <v>183</v>
      </c>
      <c r="B63" s="1">
        <f t="shared" si="3"/>
        <v>3.05</v>
      </c>
      <c r="C63" s="1">
        <v>20</v>
      </c>
      <c r="D63" s="1">
        <f t="shared" si="0"/>
        <v>29.146000000000001</v>
      </c>
      <c r="E63" s="1">
        <f t="shared" si="4"/>
        <v>4.8576666666666667E-7</v>
      </c>
      <c r="F63" s="1">
        <v>21.1</v>
      </c>
      <c r="G63" s="1">
        <f t="shared" si="5"/>
        <v>294.10000000000002</v>
      </c>
      <c r="H63" s="1">
        <v>101.3</v>
      </c>
      <c r="I63" s="1">
        <f t="shared" si="6"/>
        <v>101300</v>
      </c>
      <c r="J63" s="1">
        <f t="shared" si="7"/>
        <v>2.0124824921938581E-5</v>
      </c>
      <c r="K63" s="28">
        <v>86.207920792079207</v>
      </c>
      <c r="L63" s="16">
        <f t="shared" si="21"/>
        <v>8.6207920792079204E-5</v>
      </c>
      <c r="M63" s="1">
        <f t="shared" si="9"/>
        <v>4.7762865441819992E-3</v>
      </c>
      <c r="N63" s="64">
        <f t="shared" si="22"/>
        <v>3.6323601960988927E-7</v>
      </c>
      <c r="O63" s="29">
        <f t="shared" si="11"/>
        <v>2.032E-3</v>
      </c>
      <c r="P63" s="29">
        <v>1.1208581181901367E-10</v>
      </c>
      <c r="Q63" s="2">
        <v>0.05</v>
      </c>
      <c r="R63" s="2">
        <f t="shared" si="23"/>
        <v>105000</v>
      </c>
      <c r="S63" s="2">
        <f t="shared" si="13"/>
        <v>5.2493374855265302E-3</v>
      </c>
      <c r="T63" s="2">
        <v>0.13</v>
      </c>
      <c r="U63" s="2">
        <f t="shared" si="14"/>
        <v>112999.99999999999</v>
      </c>
      <c r="V63" s="2">
        <f t="shared" si="19"/>
        <v>9.7414950495049482</v>
      </c>
      <c r="W63" s="2">
        <f t="shared" si="15"/>
        <v>5</v>
      </c>
      <c r="X63" s="12">
        <f t="shared" si="20"/>
        <v>4.1205671829765988E-7</v>
      </c>
      <c r="Y63" s="2">
        <f t="shared" si="16"/>
        <v>100214.58458214244</v>
      </c>
      <c r="Z63" s="12">
        <f t="shared" si="17"/>
        <v>2.1586030284414107E-14</v>
      </c>
      <c r="AA63" s="12">
        <f t="shared" si="18"/>
        <v>12999107437.274176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</row>
    <row r="64" spans="1:75" s="4" customFormat="1" x14ac:dyDescent="0.25">
      <c r="A64" s="1">
        <v>186</v>
      </c>
      <c r="B64" s="1">
        <f t="shared" si="3"/>
        <v>3.1</v>
      </c>
      <c r="C64" s="1">
        <v>20</v>
      </c>
      <c r="D64" s="1">
        <f t="shared" si="0"/>
        <v>29.146000000000001</v>
      </c>
      <c r="E64" s="1">
        <f t="shared" si="4"/>
        <v>4.8576666666666667E-7</v>
      </c>
      <c r="F64" s="1">
        <v>21.1</v>
      </c>
      <c r="G64" s="1">
        <f t="shared" si="5"/>
        <v>294.10000000000002</v>
      </c>
      <c r="H64" s="1">
        <v>101.3</v>
      </c>
      <c r="I64" s="1">
        <f t="shared" si="6"/>
        <v>101300</v>
      </c>
      <c r="J64" s="1">
        <f t="shared" si="7"/>
        <v>2.0124824921938581E-5</v>
      </c>
      <c r="K64" s="28">
        <v>84.252475247524757</v>
      </c>
      <c r="L64" s="16">
        <f t="shared" si="21"/>
        <v>8.4252475247524757E-5</v>
      </c>
      <c r="M64" s="1">
        <f t="shared" si="9"/>
        <v>4.7762865441819992E-3</v>
      </c>
      <c r="N64" s="64">
        <f t="shared" si="22"/>
        <v>3.5499677373037241E-7</v>
      </c>
      <c r="O64" s="29">
        <f t="shared" si="11"/>
        <v>2.032E-3</v>
      </c>
      <c r="P64" s="29">
        <v>1.1208581181901367E-10</v>
      </c>
      <c r="Q64" s="2">
        <v>0.05</v>
      </c>
      <c r="R64" s="2">
        <f t="shared" si="23"/>
        <v>105000</v>
      </c>
      <c r="S64" s="2">
        <f t="shared" si="13"/>
        <v>5.2493374855265302E-3</v>
      </c>
      <c r="T64" s="2">
        <v>0.13</v>
      </c>
      <c r="U64" s="2">
        <f t="shared" si="14"/>
        <v>112999.99999999999</v>
      </c>
      <c r="V64" s="2">
        <f t="shared" si="19"/>
        <v>9.5205297029702969</v>
      </c>
      <c r="W64" s="2">
        <f t="shared" si="15"/>
        <v>5</v>
      </c>
      <c r="X64" s="12">
        <f t="shared" si="20"/>
        <v>4.0185369489045135E-7</v>
      </c>
      <c r="Y64" s="2">
        <f t="shared" si="16"/>
        <v>100331.72971968466</v>
      </c>
      <c r="Z64" s="12">
        <f t="shared" si="17"/>
        <v>2.1026906019294892E-14</v>
      </c>
      <c r="AA64" s="12">
        <f t="shared" si="18"/>
        <v>12662402804.819386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</row>
    <row r="65" spans="1:75" s="4" customFormat="1" x14ac:dyDescent="0.25">
      <c r="A65" s="1">
        <v>189</v>
      </c>
      <c r="B65" s="1">
        <f t="shared" si="3"/>
        <v>3.15</v>
      </c>
      <c r="C65" s="1">
        <v>20</v>
      </c>
      <c r="D65" s="1">
        <f t="shared" si="0"/>
        <v>29.146000000000001</v>
      </c>
      <c r="E65" s="1">
        <f t="shared" si="4"/>
        <v>4.8576666666666667E-7</v>
      </c>
      <c r="F65" s="1">
        <v>21.1</v>
      </c>
      <c r="G65" s="1">
        <f t="shared" si="5"/>
        <v>294.10000000000002</v>
      </c>
      <c r="H65" s="1">
        <v>101.3</v>
      </c>
      <c r="I65" s="1">
        <f t="shared" si="6"/>
        <v>101300</v>
      </c>
      <c r="J65" s="1">
        <f t="shared" si="7"/>
        <v>2.0124824921938581E-5</v>
      </c>
      <c r="K65" s="28">
        <v>83.905940594059416</v>
      </c>
      <c r="L65" s="16">
        <f t="shared" si="21"/>
        <v>8.3905940594059417E-5</v>
      </c>
      <c r="M65" s="1">
        <f t="shared" si="9"/>
        <v>4.7762865441819992E-3</v>
      </c>
      <c r="N65" s="64">
        <f t="shared" si="22"/>
        <v>3.5353665420742007E-7</v>
      </c>
      <c r="O65" s="29">
        <f t="shared" si="11"/>
        <v>2.032E-3</v>
      </c>
      <c r="P65" s="29">
        <v>1.1208581181901367E-10</v>
      </c>
      <c r="Q65" s="2">
        <v>0.05</v>
      </c>
      <c r="R65" s="2">
        <f t="shared" si="23"/>
        <v>105000</v>
      </c>
      <c r="S65" s="2">
        <f t="shared" si="13"/>
        <v>5.2493374855265302E-3</v>
      </c>
      <c r="T65" s="2">
        <v>0.13</v>
      </c>
      <c r="U65" s="2">
        <f t="shared" si="14"/>
        <v>112999.99999999999</v>
      </c>
      <c r="V65" s="2">
        <f t="shared" si="19"/>
        <v>9.481371287128713</v>
      </c>
      <c r="W65" s="2">
        <f t="shared" si="15"/>
        <v>5</v>
      </c>
      <c r="X65" s="12">
        <f t="shared" si="20"/>
        <v>4.00043195810326E-7</v>
      </c>
      <c r="Y65" s="2">
        <f t="shared" si="16"/>
        <v>100352.52395797912</v>
      </c>
      <c r="Z65" s="12">
        <f t="shared" si="17"/>
        <v>2.0927826080046346E-14</v>
      </c>
      <c r="AA65" s="12">
        <f t="shared" si="18"/>
        <v>12602736865.40391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</row>
    <row r="66" spans="1:75" s="4" customFormat="1" x14ac:dyDescent="0.25">
      <c r="A66" s="1">
        <v>192</v>
      </c>
      <c r="B66" s="1">
        <f t="shared" si="3"/>
        <v>3.2</v>
      </c>
      <c r="C66" s="1">
        <v>20</v>
      </c>
      <c r="D66" s="1">
        <f t="shared" ref="D66:D83" si="24">(C66*1.4573)</f>
        <v>29.146000000000001</v>
      </c>
      <c r="E66" s="1">
        <f t="shared" si="4"/>
        <v>4.8576666666666667E-7</v>
      </c>
      <c r="F66" s="1">
        <v>21.1</v>
      </c>
      <c r="G66" s="1">
        <f t="shared" si="5"/>
        <v>294.10000000000002</v>
      </c>
      <c r="H66" s="1">
        <v>101.3</v>
      </c>
      <c r="I66" s="1">
        <f t="shared" si="6"/>
        <v>101300</v>
      </c>
      <c r="J66" s="1">
        <f t="shared" si="7"/>
        <v>2.0124824921938581E-5</v>
      </c>
      <c r="K66" s="28">
        <v>79.128712871287135</v>
      </c>
      <c r="L66" s="16">
        <f t="shared" si="21"/>
        <v>7.9128712871287139E-5</v>
      </c>
      <c r="M66" s="1">
        <f t="shared" si="9"/>
        <v>4.7762865441819992E-3</v>
      </c>
      <c r="N66" s="64">
        <f t="shared" si="22"/>
        <v>3.3340786364100557E-7</v>
      </c>
      <c r="O66" s="29">
        <f t="shared" si="11"/>
        <v>2.032E-3</v>
      </c>
      <c r="P66" s="29">
        <v>1.1208581181901367E-10</v>
      </c>
      <c r="Q66" s="2">
        <v>0.05</v>
      </c>
      <c r="R66" s="2">
        <f t="shared" si="23"/>
        <v>105000</v>
      </c>
      <c r="S66" s="2">
        <f t="shared" si="13"/>
        <v>5.2493374855265302E-3</v>
      </c>
      <c r="T66" s="2">
        <v>0.13</v>
      </c>
      <c r="U66" s="2">
        <f t="shared" si="14"/>
        <v>112999.99999999999</v>
      </c>
      <c r="V66" s="2">
        <f t="shared" ref="V66:V83" si="25">(L66*U66)</f>
        <v>8.9415445544554455</v>
      </c>
      <c r="W66" s="2">
        <f t="shared" si="15"/>
        <v>5</v>
      </c>
      <c r="X66" s="12">
        <f t="shared" ref="X66:X83" si="26">(N66+((P66/O66)*(SQRT(V66)-SQRT(W66))))</f>
        <v>3.7500833491768255E-7</v>
      </c>
      <c r="Y66" s="2">
        <f t="shared" si="16"/>
        <v>100640.27929331322</v>
      </c>
      <c r="Z66" s="12">
        <f t="shared" si="17"/>
        <v>1.9561951116888136E-14</v>
      </c>
      <c r="AA66" s="12">
        <f t="shared" si="18"/>
        <v>11780206962.590036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</row>
    <row r="67" spans="1:75" s="4" customFormat="1" x14ac:dyDescent="0.25">
      <c r="A67" s="1">
        <v>195</v>
      </c>
      <c r="B67" s="1">
        <f t="shared" ref="B67:B83" si="27">(A67/60)</f>
        <v>3.25</v>
      </c>
      <c r="C67" s="1">
        <v>20</v>
      </c>
      <c r="D67" s="1">
        <f t="shared" si="24"/>
        <v>29.146000000000001</v>
      </c>
      <c r="E67" s="1">
        <f t="shared" ref="E67:E83" si="28">(D67/(1000000*60))</f>
        <v>4.8576666666666667E-7</v>
      </c>
      <c r="F67" s="1">
        <v>21.1</v>
      </c>
      <c r="G67" s="1">
        <f t="shared" ref="G67:G83" si="29">(273+F67)</f>
        <v>294.10000000000002</v>
      </c>
      <c r="H67" s="1">
        <v>101.3</v>
      </c>
      <c r="I67" s="1">
        <f t="shared" ref="I67:I83" si="30">(H67*1000)</f>
        <v>101300</v>
      </c>
      <c r="J67" s="1">
        <f t="shared" ref="J67:J83" si="31">((I67*E67)/(8.314*G67))</f>
        <v>2.0124824921938581E-5</v>
      </c>
      <c r="K67" s="28">
        <v>81.504950495049513</v>
      </c>
      <c r="L67" s="16">
        <f t="shared" si="21"/>
        <v>8.1504950495049514E-5</v>
      </c>
      <c r="M67" s="1">
        <f t="shared" ref="M67:M83" si="32">(3.142*3.07*3.07*25.4*25.4)/(4*1000000)</f>
        <v>4.7762865441819992E-3</v>
      </c>
      <c r="N67" s="64">
        <f t="shared" si="22"/>
        <v>3.4342011179839305E-7</v>
      </c>
      <c r="O67" s="29">
        <f t="shared" ref="O67:O83" si="33">(2.032/1000)</f>
        <v>2.032E-3</v>
      </c>
      <c r="P67" s="29">
        <v>1.1208581181901367E-10</v>
      </c>
      <c r="Q67" s="2">
        <v>0.05</v>
      </c>
      <c r="R67" s="2">
        <f t="shared" si="23"/>
        <v>105000</v>
      </c>
      <c r="S67" s="2">
        <f t="shared" ref="S67:S83" si="34">(5.24933748552653/1000)</f>
        <v>5.2493374855265302E-3</v>
      </c>
      <c r="T67" s="2">
        <v>0.13</v>
      </c>
      <c r="U67" s="2">
        <f t="shared" ref="U67:U83" si="35">(1+T67)*100000</f>
        <v>112999.99999999999</v>
      </c>
      <c r="V67" s="2">
        <f t="shared" si="25"/>
        <v>9.2100594059405942</v>
      </c>
      <c r="W67" s="2">
        <f t="shared" ref="W67:W83" si="36">(50/1000000)*100000</f>
        <v>5</v>
      </c>
      <c r="X67" s="12">
        <f t="shared" si="26"/>
        <v>3.8747888164511892E-7</v>
      </c>
      <c r="Y67" s="2">
        <f t="shared" ref="Y67:Y83" si="37">(SQRT(R67)-(X67*O67/P67))^2</f>
        <v>100496.88902017499</v>
      </c>
      <c r="Z67" s="12">
        <f t="shared" ref="Z67:Z83" si="38">(X67*S67)/(Y67-V67)</f>
        <v>2.0241361322154813E-14</v>
      </c>
      <c r="AA67" s="12">
        <f t="shared" ref="AA67:AA83" si="39">(Z67*6.022E+23)</f>
        <v>12189347788.20163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</row>
    <row r="68" spans="1:75" s="4" customFormat="1" x14ac:dyDescent="0.25">
      <c r="A68" s="1">
        <v>198</v>
      </c>
      <c r="B68" s="1">
        <f t="shared" si="27"/>
        <v>3.3</v>
      </c>
      <c r="C68" s="1">
        <v>20</v>
      </c>
      <c r="D68" s="1">
        <f t="shared" si="24"/>
        <v>29.146000000000001</v>
      </c>
      <c r="E68" s="1">
        <f t="shared" si="28"/>
        <v>4.8576666666666667E-7</v>
      </c>
      <c r="F68" s="1">
        <v>21.1</v>
      </c>
      <c r="G68" s="1">
        <f t="shared" si="29"/>
        <v>294.10000000000002</v>
      </c>
      <c r="H68" s="1">
        <v>101.3</v>
      </c>
      <c r="I68" s="1">
        <f t="shared" si="30"/>
        <v>101300</v>
      </c>
      <c r="J68" s="1">
        <f t="shared" si="31"/>
        <v>2.0124824921938581E-5</v>
      </c>
      <c r="K68" s="28">
        <v>83.311881188118818</v>
      </c>
      <c r="L68" s="16">
        <f t="shared" si="21"/>
        <v>8.3311881188118813E-5</v>
      </c>
      <c r="M68" s="1">
        <f t="shared" si="32"/>
        <v>4.7762865441819992E-3</v>
      </c>
      <c r="N68" s="64">
        <f t="shared" si="22"/>
        <v>3.510335921680732E-7</v>
      </c>
      <c r="O68" s="29">
        <f t="shared" si="33"/>
        <v>2.032E-3</v>
      </c>
      <c r="P68" s="29">
        <v>1.1208581181901367E-10</v>
      </c>
      <c r="Q68" s="2">
        <v>0.05</v>
      </c>
      <c r="R68" s="2">
        <f t="shared" si="23"/>
        <v>105000</v>
      </c>
      <c r="S68" s="2">
        <f t="shared" si="34"/>
        <v>5.2493374855265302E-3</v>
      </c>
      <c r="T68" s="2">
        <v>0.13</v>
      </c>
      <c r="U68" s="2">
        <f t="shared" si="35"/>
        <v>112999.99999999999</v>
      </c>
      <c r="V68" s="2">
        <f t="shared" si="25"/>
        <v>9.4142425742574254</v>
      </c>
      <c r="W68" s="2">
        <f t="shared" si="36"/>
        <v>5</v>
      </c>
      <c r="X68" s="12">
        <f t="shared" si="26"/>
        <v>3.969377955210547E-7</v>
      </c>
      <c r="Y68" s="2">
        <f t="shared" si="37"/>
        <v>100388.19562336151</v>
      </c>
      <c r="Z68" s="12">
        <f t="shared" si="38"/>
        <v>2.0757977142067149E-14</v>
      </c>
      <c r="AA68" s="12">
        <f t="shared" si="39"/>
        <v>12500453834.952839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</row>
    <row r="69" spans="1:75" s="4" customFormat="1" x14ac:dyDescent="0.25">
      <c r="A69" s="1">
        <v>201</v>
      </c>
      <c r="B69" s="1">
        <f t="shared" si="27"/>
        <v>3.35</v>
      </c>
      <c r="C69" s="1">
        <v>20</v>
      </c>
      <c r="D69" s="1">
        <f t="shared" si="24"/>
        <v>29.146000000000001</v>
      </c>
      <c r="E69" s="1">
        <f t="shared" si="28"/>
        <v>4.8576666666666667E-7</v>
      </c>
      <c r="F69" s="1">
        <v>21.1</v>
      </c>
      <c r="G69" s="1">
        <f t="shared" si="29"/>
        <v>294.10000000000002</v>
      </c>
      <c r="H69" s="1">
        <v>101.3</v>
      </c>
      <c r="I69" s="1">
        <f t="shared" si="30"/>
        <v>101300</v>
      </c>
      <c r="J69" s="1">
        <f t="shared" si="31"/>
        <v>2.0124824921938581E-5</v>
      </c>
      <c r="K69" s="28">
        <v>86.851485148514854</v>
      </c>
      <c r="L69" s="16">
        <f t="shared" si="21"/>
        <v>8.6851485148514853E-5</v>
      </c>
      <c r="M69" s="1">
        <f t="shared" si="32"/>
        <v>4.7762865441819992E-3</v>
      </c>
      <c r="N69" s="64">
        <f t="shared" si="22"/>
        <v>3.6594767015251504E-7</v>
      </c>
      <c r="O69" s="29">
        <f t="shared" si="33"/>
        <v>2.032E-3</v>
      </c>
      <c r="P69" s="29">
        <v>1.1208581181901367E-10</v>
      </c>
      <c r="Q69" s="2">
        <v>0.05</v>
      </c>
      <c r="R69" s="2">
        <f t="shared" si="23"/>
        <v>105000</v>
      </c>
      <c r="S69" s="2">
        <f t="shared" si="34"/>
        <v>5.2493374855265302E-3</v>
      </c>
      <c r="T69" s="2">
        <v>0.13</v>
      </c>
      <c r="U69" s="2">
        <f t="shared" si="35"/>
        <v>112999.99999999999</v>
      </c>
      <c r="V69" s="2">
        <f t="shared" si="25"/>
        <v>9.8142178217821776</v>
      </c>
      <c r="W69" s="2">
        <f t="shared" si="36"/>
        <v>5</v>
      </c>
      <c r="X69" s="12">
        <f t="shared" si="26"/>
        <v>4.1540979444351633E-7</v>
      </c>
      <c r="Y69" s="2">
        <f t="shared" si="37"/>
        <v>100176.10146525748</v>
      </c>
      <c r="Z69" s="12">
        <f t="shared" si="38"/>
        <v>2.1770061222699914E-14</v>
      </c>
      <c r="AA69" s="12">
        <f t="shared" si="39"/>
        <v>13109930868.309889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</row>
    <row r="70" spans="1:75" s="4" customFormat="1" x14ac:dyDescent="0.25">
      <c r="A70" s="1">
        <v>204</v>
      </c>
      <c r="B70" s="1">
        <f t="shared" si="27"/>
        <v>3.4</v>
      </c>
      <c r="C70" s="1">
        <v>20</v>
      </c>
      <c r="D70" s="1">
        <f t="shared" si="24"/>
        <v>29.146000000000001</v>
      </c>
      <c r="E70" s="1">
        <f t="shared" si="28"/>
        <v>4.8576666666666667E-7</v>
      </c>
      <c r="F70" s="1">
        <v>21.1</v>
      </c>
      <c r="G70" s="1">
        <f t="shared" si="29"/>
        <v>294.10000000000002</v>
      </c>
      <c r="H70" s="1">
        <v>101.3</v>
      </c>
      <c r="I70" s="1">
        <f t="shared" si="30"/>
        <v>101300</v>
      </c>
      <c r="J70" s="1">
        <f t="shared" si="31"/>
        <v>2.0124824921938581E-5</v>
      </c>
      <c r="K70" s="28">
        <v>86.579207920792072</v>
      </c>
      <c r="L70" s="16">
        <f t="shared" si="21"/>
        <v>8.6579207920792073E-5</v>
      </c>
      <c r="M70" s="1">
        <f t="shared" si="32"/>
        <v>4.7762865441819992E-3</v>
      </c>
      <c r="N70" s="64">
        <f t="shared" si="22"/>
        <v>3.6480043338448103E-7</v>
      </c>
      <c r="O70" s="29">
        <f t="shared" si="33"/>
        <v>2.032E-3</v>
      </c>
      <c r="P70" s="29">
        <v>1.1208581181901367E-10</v>
      </c>
      <c r="Q70" s="2">
        <v>0.05</v>
      </c>
      <c r="R70" s="2">
        <f t="shared" si="23"/>
        <v>105000</v>
      </c>
      <c r="S70" s="2">
        <f t="shared" si="34"/>
        <v>5.2493374855265302E-3</v>
      </c>
      <c r="T70" s="2">
        <v>0.13</v>
      </c>
      <c r="U70" s="2">
        <f t="shared" si="35"/>
        <v>112999.99999999999</v>
      </c>
      <c r="V70" s="2">
        <f t="shared" si="25"/>
        <v>9.7834504950495038</v>
      </c>
      <c r="W70" s="2">
        <f t="shared" si="36"/>
        <v>5</v>
      </c>
      <c r="X70" s="12">
        <f t="shared" si="26"/>
        <v>4.1399147632783396E-7</v>
      </c>
      <c r="Y70" s="2">
        <f t="shared" si="37"/>
        <v>100192.37854200597</v>
      </c>
      <c r="Z70" s="12">
        <f t="shared" si="38"/>
        <v>2.1692200859751081E-14</v>
      </c>
      <c r="AA70" s="12">
        <f t="shared" si="39"/>
        <v>13063043357.742102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</row>
    <row r="71" spans="1:75" s="4" customFormat="1" x14ac:dyDescent="0.25">
      <c r="A71" s="1">
        <v>207</v>
      </c>
      <c r="B71" s="1">
        <f t="shared" si="27"/>
        <v>3.45</v>
      </c>
      <c r="C71" s="1">
        <v>20</v>
      </c>
      <c r="D71" s="1">
        <f t="shared" si="24"/>
        <v>29.146000000000001</v>
      </c>
      <c r="E71" s="1">
        <f t="shared" si="28"/>
        <v>4.8576666666666667E-7</v>
      </c>
      <c r="F71" s="1">
        <v>21.1</v>
      </c>
      <c r="G71" s="1">
        <f t="shared" si="29"/>
        <v>294.10000000000002</v>
      </c>
      <c r="H71" s="1">
        <v>101.3</v>
      </c>
      <c r="I71" s="1">
        <f t="shared" si="30"/>
        <v>101300</v>
      </c>
      <c r="J71" s="1">
        <f t="shared" si="31"/>
        <v>2.0124824921938581E-5</v>
      </c>
      <c r="K71" s="28">
        <v>77.247524752475258</v>
      </c>
      <c r="L71" s="16">
        <f t="shared" si="21"/>
        <v>7.7247524752475252E-5</v>
      </c>
      <c r="M71" s="1">
        <f t="shared" si="32"/>
        <v>4.7762865441819992E-3</v>
      </c>
      <c r="N71" s="64">
        <f t="shared" si="22"/>
        <v>3.2548150051640705E-7</v>
      </c>
      <c r="O71" s="29">
        <f t="shared" si="33"/>
        <v>2.032E-3</v>
      </c>
      <c r="P71" s="29">
        <v>1.1208581181901367E-10</v>
      </c>
      <c r="Q71" s="2">
        <v>0.05</v>
      </c>
      <c r="R71" s="2">
        <f t="shared" si="23"/>
        <v>105000</v>
      </c>
      <c r="S71" s="2">
        <f t="shared" si="34"/>
        <v>5.2493374855265302E-3</v>
      </c>
      <c r="T71" s="2">
        <v>0.13</v>
      </c>
      <c r="U71" s="2">
        <f t="shared" si="35"/>
        <v>112999.99999999999</v>
      </c>
      <c r="V71" s="2">
        <f t="shared" si="25"/>
        <v>8.7289702970297025</v>
      </c>
      <c r="W71" s="2">
        <f t="shared" si="36"/>
        <v>5</v>
      </c>
      <c r="X71" s="12">
        <f t="shared" si="26"/>
        <v>3.651095224157067E-7</v>
      </c>
      <c r="Y71" s="2">
        <f t="shared" si="37"/>
        <v>100754.17173160297</v>
      </c>
      <c r="Z71" s="12">
        <f t="shared" si="38"/>
        <v>1.9024017859352487E-14</v>
      </c>
      <c r="AA71" s="12">
        <f t="shared" si="39"/>
        <v>11456263554.902069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</row>
    <row r="72" spans="1:75" s="4" customFormat="1" x14ac:dyDescent="0.25">
      <c r="A72" s="1">
        <v>210</v>
      </c>
      <c r="B72" s="1">
        <f t="shared" si="27"/>
        <v>3.5</v>
      </c>
      <c r="C72" s="1">
        <v>20</v>
      </c>
      <c r="D72" s="1">
        <f t="shared" si="24"/>
        <v>29.146000000000001</v>
      </c>
      <c r="E72" s="1">
        <f t="shared" si="28"/>
        <v>4.8576666666666667E-7</v>
      </c>
      <c r="F72" s="1">
        <v>21.1</v>
      </c>
      <c r="G72" s="1">
        <f t="shared" si="29"/>
        <v>294.10000000000002</v>
      </c>
      <c r="H72" s="1">
        <v>101.3</v>
      </c>
      <c r="I72" s="1">
        <f t="shared" si="30"/>
        <v>101300</v>
      </c>
      <c r="J72" s="1">
        <f t="shared" si="31"/>
        <v>2.0124824921938581E-5</v>
      </c>
      <c r="K72" s="28">
        <v>84.772277227722768</v>
      </c>
      <c r="L72" s="16">
        <f t="shared" si="21"/>
        <v>8.4772277227722774E-5</v>
      </c>
      <c r="M72" s="1">
        <f t="shared" si="32"/>
        <v>4.7762865441819992E-3</v>
      </c>
      <c r="N72" s="64">
        <f t="shared" si="22"/>
        <v>3.5718695301480094E-7</v>
      </c>
      <c r="O72" s="29">
        <f t="shared" si="33"/>
        <v>2.032E-3</v>
      </c>
      <c r="P72" s="29">
        <v>1.1208581181901367E-10</v>
      </c>
      <c r="Q72" s="2">
        <v>0.05</v>
      </c>
      <c r="R72" s="2">
        <f t="shared" si="23"/>
        <v>105000</v>
      </c>
      <c r="S72" s="2">
        <f t="shared" si="34"/>
        <v>5.2493374855265302E-3</v>
      </c>
      <c r="T72" s="2">
        <v>0.13</v>
      </c>
      <c r="U72" s="2">
        <f t="shared" si="35"/>
        <v>112999.99999999999</v>
      </c>
      <c r="V72" s="2">
        <f t="shared" si="25"/>
        <v>9.5792673267326727</v>
      </c>
      <c r="W72" s="2">
        <f t="shared" si="36"/>
        <v>5</v>
      </c>
      <c r="X72" s="12">
        <f t="shared" si="26"/>
        <v>4.0456809521853503E-7</v>
      </c>
      <c r="Y72" s="2">
        <f t="shared" si="37"/>
        <v>100300.55788458964</v>
      </c>
      <c r="Z72" s="12">
        <f t="shared" si="38"/>
        <v>2.117552841700132E-14</v>
      </c>
      <c r="AA72" s="12">
        <f t="shared" si="39"/>
        <v>12751903212.718195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</row>
    <row r="73" spans="1:75" s="4" customFormat="1" x14ac:dyDescent="0.25">
      <c r="A73" s="1">
        <v>213</v>
      </c>
      <c r="B73" s="1">
        <f t="shared" si="27"/>
        <v>3.55</v>
      </c>
      <c r="C73" s="1">
        <v>20</v>
      </c>
      <c r="D73" s="1">
        <f t="shared" si="24"/>
        <v>29.146000000000001</v>
      </c>
      <c r="E73" s="1">
        <f t="shared" si="28"/>
        <v>4.8576666666666667E-7</v>
      </c>
      <c r="F73" s="1">
        <v>21.1</v>
      </c>
      <c r="G73" s="1">
        <f t="shared" si="29"/>
        <v>294.10000000000002</v>
      </c>
      <c r="H73" s="1">
        <v>101.3</v>
      </c>
      <c r="I73" s="1">
        <f t="shared" si="30"/>
        <v>101300</v>
      </c>
      <c r="J73" s="1">
        <f t="shared" si="31"/>
        <v>2.0124824921938581E-5</v>
      </c>
      <c r="K73" s="28">
        <v>86.034653465346537</v>
      </c>
      <c r="L73" s="16">
        <f t="shared" si="21"/>
        <v>8.6034653465346541E-5</v>
      </c>
      <c r="M73" s="1">
        <f t="shared" si="32"/>
        <v>4.7762865441819992E-3</v>
      </c>
      <c r="N73" s="64">
        <f t="shared" si="22"/>
        <v>3.6250595984841307E-7</v>
      </c>
      <c r="O73" s="29">
        <f t="shared" si="33"/>
        <v>2.032E-3</v>
      </c>
      <c r="P73" s="29">
        <v>1.1208581181901367E-10</v>
      </c>
      <c r="Q73" s="2">
        <v>0.05</v>
      </c>
      <c r="R73" s="2">
        <f t="shared" si="23"/>
        <v>105000</v>
      </c>
      <c r="S73" s="2">
        <f t="shared" si="34"/>
        <v>5.2493374855265302E-3</v>
      </c>
      <c r="T73" s="2">
        <v>0.13</v>
      </c>
      <c r="U73" s="2">
        <f t="shared" si="35"/>
        <v>112999.99999999999</v>
      </c>
      <c r="V73" s="2">
        <f t="shared" si="25"/>
        <v>9.721915841584158</v>
      </c>
      <c r="W73" s="2">
        <f t="shared" si="36"/>
        <v>5</v>
      </c>
      <c r="X73" s="12">
        <f t="shared" si="26"/>
        <v>4.1115355830894057E-7</v>
      </c>
      <c r="Y73" s="2">
        <f t="shared" si="37"/>
        <v>100224.95137553863</v>
      </c>
      <c r="Z73" s="12">
        <f t="shared" si="38"/>
        <v>2.1536484999086127E-14</v>
      </c>
      <c r="AA73" s="12">
        <f t="shared" si="39"/>
        <v>12969271266.449667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</row>
    <row r="74" spans="1:75" s="4" customFormat="1" x14ac:dyDescent="0.25">
      <c r="A74" s="1">
        <v>216</v>
      </c>
      <c r="B74" s="1">
        <f t="shared" si="27"/>
        <v>3.6</v>
      </c>
      <c r="C74" s="1">
        <v>20</v>
      </c>
      <c r="D74" s="1">
        <f t="shared" si="24"/>
        <v>29.146000000000001</v>
      </c>
      <c r="E74" s="1">
        <f t="shared" si="28"/>
        <v>4.8576666666666667E-7</v>
      </c>
      <c r="F74" s="1">
        <v>21.1</v>
      </c>
      <c r="G74" s="1">
        <f t="shared" si="29"/>
        <v>294.10000000000002</v>
      </c>
      <c r="H74" s="1">
        <v>101.3</v>
      </c>
      <c r="I74" s="1">
        <f t="shared" si="30"/>
        <v>101300</v>
      </c>
      <c r="J74" s="1">
        <f t="shared" si="31"/>
        <v>2.0124824921938581E-5</v>
      </c>
      <c r="K74" s="28">
        <v>84.227722772277232</v>
      </c>
      <c r="L74" s="16">
        <f t="shared" si="21"/>
        <v>8.4227722772277228E-5</v>
      </c>
      <c r="M74" s="1">
        <f t="shared" si="32"/>
        <v>4.7762865441819992E-3</v>
      </c>
      <c r="N74" s="64">
        <f t="shared" si="22"/>
        <v>3.5489247947873298E-7</v>
      </c>
      <c r="O74" s="29">
        <f t="shared" si="33"/>
        <v>2.032E-3</v>
      </c>
      <c r="P74" s="29">
        <v>1.1208581181901367E-10</v>
      </c>
      <c r="Q74" s="2">
        <v>0.05</v>
      </c>
      <c r="R74" s="2">
        <f t="shared" si="23"/>
        <v>105000</v>
      </c>
      <c r="S74" s="2">
        <f t="shared" si="34"/>
        <v>5.2493374855265302E-3</v>
      </c>
      <c r="T74" s="2">
        <v>0.13</v>
      </c>
      <c r="U74" s="2">
        <f t="shared" si="35"/>
        <v>112999.99999999999</v>
      </c>
      <c r="V74" s="2">
        <f t="shared" si="25"/>
        <v>9.5177326732673251</v>
      </c>
      <c r="W74" s="2">
        <f t="shared" si="36"/>
        <v>5</v>
      </c>
      <c r="X74" s="12">
        <f t="shared" si="26"/>
        <v>4.0172439745199027E-7</v>
      </c>
      <c r="Y74" s="2">
        <f t="shared" si="37"/>
        <v>100333.21467619717</v>
      </c>
      <c r="Z74" s="12">
        <f t="shared" si="38"/>
        <v>2.1019828840462377E-14</v>
      </c>
      <c r="AA74" s="12">
        <f t="shared" si="39"/>
        <v>12658140927.726444</v>
      </c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</row>
    <row r="75" spans="1:75" s="4" customFormat="1" x14ac:dyDescent="0.25">
      <c r="A75" s="1">
        <v>219</v>
      </c>
      <c r="B75" s="1">
        <f t="shared" si="27"/>
        <v>3.65</v>
      </c>
      <c r="C75" s="1">
        <v>20</v>
      </c>
      <c r="D75" s="1">
        <f t="shared" si="24"/>
        <v>29.146000000000001</v>
      </c>
      <c r="E75" s="1">
        <f t="shared" si="28"/>
        <v>4.8576666666666667E-7</v>
      </c>
      <c r="F75" s="1">
        <v>21.1</v>
      </c>
      <c r="G75" s="1">
        <f t="shared" si="29"/>
        <v>294.10000000000002</v>
      </c>
      <c r="H75" s="1">
        <v>101.3</v>
      </c>
      <c r="I75" s="1">
        <f t="shared" si="30"/>
        <v>101300</v>
      </c>
      <c r="J75" s="1">
        <f t="shared" si="31"/>
        <v>2.0124824921938581E-5</v>
      </c>
      <c r="K75" s="28">
        <v>79.450495049504951</v>
      </c>
      <c r="L75" s="16">
        <f t="shared" si="21"/>
        <v>7.945049504950495E-5</v>
      </c>
      <c r="M75" s="1">
        <f t="shared" si="32"/>
        <v>4.7762865441819992E-3</v>
      </c>
      <c r="N75" s="64">
        <f t="shared" si="22"/>
        <v>3.3476368891231838E-7</v>
      </c>
      <c r="O75" s="29">
        <f t="shared" si="33"/>
        <v>2.032E-3</v>
      </c>
      <c r="P75" s="29">
        <v>1.1208581181901367E-10</v>
      </c>
      <c r="Q75" s="2">
        <v>0.05</v>
      </c>
      <c r="R75" s="2">
        <f t="shared" si="23"/>
        <v>105000</v>
      </c>
      <c r="S75" s="2">
        <f t="shared" si="34"/>
        <v>5.2493374855265302E-3</v>
      </c>
      <c r="T75" s="2">
        <v>0.13</v>
      </c>
      <c r="U75" s="2">
        <f t="shared" si="35"/>
        <v>112999.99999999999</v>
      </c>
      <c r="V75" s="2">
        <f t="shared" si="25"/>
        <v>8.9779059405940576</v>
      </c>
      <c r="W75" s="2">
        <f t="shared" si="36"/>
        <v>5</v>
      </c>
      <c r="X75" s="12">
        <f t="shared" si="26"/>
        <v>3.7669919524442176E-7</v>
      </c>
      <c r="Y75" s="2">
        <f t="shared" si="37"/>
        <v>100620.83125838185</v>
      </c>
      <c r="Z75" s="12">
        <f t="shared" si="38"/>
        <v>1.9653958658701523E-14</v>
      </c>
      <c r="AA75" s="12">
        <f t="shared" si="39"/>
        <v>11835613904.270058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</row>
    <row r="76" spans="1:75" s="4" customFormat="1" x14ac:dyDescent="0.25">
      <c r="A76" s="1">
        <v>222</v>
      </c>
      <c r="B76" s="1">
        <f t="shared" si="27"/>
        <v>3.7</v>
      </c>
      <c r="C76" s="1">
        <v>20</v>
      </c>
      <c r="D76" s="1">
        <f t="shared" si="24"/>
        <v>29.146000000000001</v>
      </c>
      <c r="E76" s="1">
        <f t="shared" si="28"/>
        <v>4.8576666666666667E-7</v>
      </c>
      <c r="F76" s="1">
        <v>21.1</v>
      </c>
      <c r="G76" s="1">
        <f t="shared" si="29"/>
        <v>294.10000000000002</v>
      </c>
      <c r="H76" s="1">
        <v>101.3</v>
      </c>
      <c r="I76" s="1">
        <f t="shared" si="30"/>
        <v>101300</v>
      </c>
      <c r="J76" s="1">
        <f t="shared" si="31"/>
        <v>2.0124824921938581E-5</v>
      </c>
      <c r="K76" s="28">
        <v>86.405940594059416</v>
      </c>
      <c r="L76" s="16">
        <f t="shared" si="21"/>
        <v>8.640594059405941E-5</v>
      </c>
      <c r="M76" s="1">
        <f t="shared" si="32"/>
        <v>4.7762865441819992E-3</v>
      </c>
      <c r="N76" s="64">
        <f t="shared" si="22"/>
        <v>3.6407037362300489E-7</v>
      </c>
      <c r="O76" s="29">
        <f t="shared" si="33"/>
        <v>2.032E-3</v>
      </c>
      <c r="P76" s="29">
        <v>1.1208581181901367E-10</v>
      </c>
      <c r="Q76" s="2">
        <v>0.05</v>
      </c>
      <c r="R76" s="2">
        <f t="shared" si="23"/>
        <v>105000</v>
      </c>
      <c r="S76" s="2">
        <f t="shared" si="34"/>
        <v>5.2493374855265302E-3</v>
      </c>
      <c r="T76" s="2">
        <v>0.13</v>
      </c>
      <c r="U76" s="2">
        <f t="shared" si="35"/>
        <v>112999.99999999999</v>
      </c>
      <c r="V76" s="2">
        <f t="shared" si="25"/>
        <v>9.7638712871287119</v>
      </c>
      <c r="W76" s="2">
        <f t="shared" si="36"/>
        <v>5</v>
      </c>
      <c r="X76" s="12">
        <f t="shared" si="26"/>
        <v>4.1308868827300984E-7</v>
      </c>
      <c r="Y76" s="2">
        <f t="shared" si="37"/>
        <v>100202.73991797808</v>
      </c>
      <c r="Z76" s="12">
        <f t="shared" si="38"/>
        <v>2.1642654223465505E-14</v>
      </c>
      <c r="AA76" s="12">
        <f t="shared" si="39"/>
        <v>13033206373.370928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</row>
    <row r="77" spans="1:75" s="4" customFormat="1" x14ac:dyDescent="0.25">
      <c r="A77" s="1">
        <v>225</v>
      </c>
      <c r="B77" s="1">
        <f t="shared" si="27"/>
        <v>3.75</v>
      </c>
      <c r="C77" s="1">
        <v>20</v>
      </c>
      <c r="D77" s="1">
        <f t="shared" si="24"/>
        <v>29.146000000000001</v>
      </c>
      <c r="E77" s="1">
        <f t="shared" si="28"/>
        <v>4.8576666666666667E-7</v>
      </c>
      <c r="F77" s="1">
        <v>21.1</v>
      </c>
      <c r="G77" s="1">
        <f t="shared" si="29"/>
        <v>294.10000000000002</v>
      </c>
      <c r="H77" s="1">
        <v>101.3</v>
      </c>
      <c r="I77" s="1">
        <f t="shared" si="30"/>
        <v>101300</v>
      </c>
      <c r="J77" s="1">
        <f t="shared" si="31"/>
        <v>2.0124824921938581E-5</v>
      </c>
      <c r="K77" s="28">
        <v>90.638613861386148</v>
      </c>
      <c r="L77" s="16">
        <f t="shared" si="21"/>
        <v>9.0638613861386143E-5</v>
      </c>
      <c r="M77" s="1">
        <f t="shared" si="32"/>
        <v>4.7762865441819992E-3</v>
      </c>
      <c r="N77" s="64">
        <f t="shared" si="22"/>
        <v>3.8190469065335147E-7</v>
      </c>
      <c r="O77" s="29">
        <f t="shared" si="33"/>
        <v>2.032E-3</v>
      </c>
      <c r="P77" s="29">
        <v>1.1208581181901367E-10</v>
      </c>
      <c r="Q77" s="2">
        <v>0.05</v>
      </c>
      <c r="R77" s="2">
        <f t="shared" si="23"/>
        <v>105000</v>
      </c>
      <c r="S77" s="2">
        <f t="shared" si="34"/>
        <v>5.2493374855265302E-3</v>
      </c>
      <c r="T77" s="2">
        <v>0.13</v>
      </c>
      <c r="U77" s="2">
        <f t="shared" si="35"/>
        <v>112999.99999999999</v>
      </c>
      <c r="V77" s="2">
        <f t="shared" si="25"/>
        <v>10.242163366336634</v>
      </c>
      <c r="W77" s="2">
        <f t="shared" si="36"/>
        <v>5</v>
      </c>
      <c r="X77" s="12">
        <f t="shared" si="26"/>
        <v>4.3509415384080116E-7</v>
      </c>
      <c r="Y77" s="2">
        <f t="shared" si="37"/>
        <v>99950.333922383943</v>
      </c>
      <c r="Z77" s="12">
        <f t="shared" si="38"/>
        <v>2.2853251495878107E-14</v>
      </c>
      <c r="AA77" s="12">
        <f t="shared" si="39"/>
        <v>13762228050.817797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</row>
    <row r="78" spans="1:75" s="4" customFormat="1" x14ac:dyDescent="0.25">
      <c r="A78" s="1">
        <v>228</v>
      </c>
      <c r="B78" s="1">
        <f t="shared" si="27"/>
        <v>3.8</v>
      </c>
      <c r="C78" s="1">
        <v>20</v>
      </c>
      <c r="D78" s="1">
        <f t="shared" si="24"/>
        <v>29.146000000000001</v>
      </c>
      <c r="E78" s="1">
        <f t="shared" si="28"/>
        <v>4.8576666666666667E-7</v>
      </c>
      <c r="F78" s="1">
        <v>21.1</v>
      </c>
      <c r="G78" s="1">
        <f t="shared" si="29"/>
        <v>294.10000000000002</v>
      </c>
      <c r="H78" s="1">
        <v>101.3</v>
      </c>
      <c r="I78" s="1">
        <f t="shared" si="30"/>
        <v>101300</v>
      </c>
      <c r="J78" s="1">
        <f t="shared" si="31"/>
        <v>2.0124824921938581E-5</v>
      </c>
      <c r="K78" s="28">
        <v>84.648514851485146</v>
      </c>
      <c r="L78" s="16">
        <f t="shared" si="21"/>
        <v>8.4648514851485142E-5</v>
      </c>
      <c r="M78" s="1">
        <f t="shared" si="32"/>
        <v>4.7762865441819992E-3</v>
      </c>
      <c r="N78" s="64">
        <f t="shared" si="22"/>
        <v>3.5666548175660365E-7</v>
      </c>
      <c r="O78" s="29">
        <f t="shared" si="33"/>
        <v>2.032E-3</v>
      </c>
      <c r="P78" s="29">
        <v>1.1208581181901367E-10</v>
      </c>
      <c r="Q78" s="2">
        <v>0.05</v>
      </c>
      <c r="R78" s="2">
        <f t="shared" si="23"/>
        <v>105000</v>
      </c>
      <c r="S78" s="2">
        <f t="shared" si="34"/>
        <v>5.2493374855265302E-3</v>
      </c>
      <c r="T78" s="2">
        <v>0.13</v>
      </c>
      <c r="U78" s="2">
        <f t="shared" si="35"/>
        <v>112999.99999999999</v>
      </c>
      <c r="V78" s="2">
        <f t="shared" si="25"/>
        <v>9.565282178217819</v>
      </c>
      <c r="W78" s="2">
        <f t="shared" si="36"/>
        <v>5</v>
      </c>
      <c r="X78" s="12">
        <f t="shared" si="26"/>
        <v>4.0392195553435685E-7</v>
      </c>
      <c r="Y78" s="2">
        <f t="shared" si="37"/>
        <v>100307.97763298417</v>
      </c>
      <c r="Z78" s="12">
        <f t="shared" si="38"/>
        <v>2.1140141829938365E-14</v>
      </c>
      <c r="AA78" s="12">
        <f t="shared" si="39"/>
        <v>12730593409.988884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</row>
    <row r="79" spans="1:75" s="4" customFormat="1" x14ac:dyDescent="0.25">
      <c r="A79" s="1">
        <v>231</v>
      </c>
      <c r="B79" s="1">
        <f t="shared" si="27"/>
        <v>3.85</v>
      </c>
      <c r="C79" s="1">
        <v>20</v>
      </c>
      <c r="D79" s="1">
        <f t="shared" si="24"/>
        <v>29.146000000000001</v>
      </c>
      <c r="E79" s="1">
        <f t="shared" si="28"/>
        <v>4.8576666666666667E-7</v>
      </c>
      <c r="F79" s="1">
        <v>21.1</v>
      </c>
      <c r="G79" s="1">
        <f t="shared" si="29"/>
        <v>294.10000000000002</v>
      </c>
      <c r="H79" s="1">
        <v>101.3</v>
      </c>
      <c r="I79" s="1">
        <f t="shared" si="30"/>
        <v>101300</v>
      </c>
      <c r="J79" s="1">
        <f t="shared" si="31"/>
        <v>2.0124824921938581E-5</v>
      </c>
      <c r="K79" s="28">
        <v>88.93069306930694</v>
      </c>
      <c r="L79" s="16">
        <f t="shared" si="21"/>
        <v>8.8930693069306946E-5</v>
      </c>
      <c r="M79" s="1">
        <f t="shared" si="32"/>
        <v>4.7762865441819992E-3</v>
      </c>
      <c r="N79" s="64">
        <f t="shared" si="22"/>
        <v>3.7470838729022919E-7</v>
      </c>
      <c r="O79" s="29">
        <f t="shared" si="33"/>
        <v>2.032E-3</v>
      </c>
      <c r="P79" s="29">
        <v>1.1208581181901367E-10</v>
      </c>
      <c r="Q79" s="2">
        <v>0.05</v>
      </c>
      <c r="R79" s="2">
        <f t="shared" si="23"/>
        <v>105000</v>
      </c>
      <c r="S79" s="2">
        <f t="shared" si="34"/>
        <v>5.2493374855265302E-3</v>
      </c>
      <c r="T79" s="2">
        <v>0.13</v>
      </c>
      <c r="U79" s="2">
        <f t="shared" si="35"/>
        <v>112999.99999999999</v>
      </c>
      <c r="V79" s="2">
        <f t="shared" si="25"/>
        <v>10.049168316831684</v>
      </c>
      <c r="W79" s="2">
        <f t="shared" si="36"/>
        <v>5</v>
      </c>
      <c r="X79" s="12">
        <f t="shared" si="26"/>
        <v>4.2622673005971463E-7</v>
      </c>
      <c r="Y79" s="2">
        <f t="shared" si="37"/>
        <v>100052.00631614735</v>
      </c>
      <c r="Z79" s="12">
        <f t="shared" si="38"/>
        <v>2.2364695925827132E-14</v>
      </c>
      <c r="AA79" s="12">
        <f t="shared" si="39"/>
        <v>13468019886.5331</v>
      </c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</row>
    <row r="80" spans="1:75" s="4" customFormat="1" x14ac:dyDescent="0.25">
      <c r="A80" s="1">
        <v>234</v>
      </c>
      <c r="B80" s="1">
        <f t="shared" si="27"/>
        <v>3.9</v>
      </c>
      <c r="C80" s="1">
        <v>20</v>
      </c>
      <c r="D80" s="1">
        <f t="shared" si="24"/>
        <v>29.146000000000001</v>
      </c>
      <c r="E80" s="1">
        <f t="shared" si="28"/>
        <v>4.8576666666666667E-7</v>
      </c>
      <c r="F80" s="1">
        <v>21.1</v>
      </c>
      <c r="G80" s="1">
        <f t="shared" si="29"/>
        <v>294.10000000000002</v>
      </c>
      <c r="H80" s="1">
        <v>101.3</v>
      </c>
      <c r="I80" s="1">
        <f t="shared" si="30"/>
        <v>101300</v>
      </c>
      <c r="J80" s="1">
        <f t="shared" si="31"/>
        <v>2.0124824921938581E-5</v>
      </c>
      <c r="K80" s="28">
        <v>80.267326732673268</v>
      </c>
      <c r="L80" s="16">
        <f t="shared" si="21"/>
        <v>8.0267326732673275E-5</v>
      </c>
      <c r="M80" s="1">
        <f t="shared" si="32"/>
        <v>4.7762865441819992E-3</v>
      </c>
      <c r="N80" s="64">
        <f t="shared" si="22"/>
        <v>3.3820539921642041E-7</v>
      </c>
      <c r="O80" s="29">
        <f t="shared" si="33"/>
        <v>2.032E-3</v>
      </c>
      <c r="P80" s="29">
        <v>1.1208581181901367E-10</v>
      </c>
      <c r="Q80" s="2">
        <v>0.05</v>
      </c>
      <c r="R80" s="2">
        <f t="shared" si="23"/>
        <v>105000</v>
      </c>
      <c r="S80" s="2">
        <f t="shared" si="34"/>
        <v>5.2493374855265302E-3</v>
      </c>
      <c r="T80" s="2">
        <v>0.13</v>
      </c>
      <c r="U80" s="2">
        <f t="shared" si="35"/>
        <v>112999.99999999999</v>
      </c>
      <c r="V80" s="2">
        <f t="shared" si="25"/>
        <v>9.0702079207920789</v>
      </c>
      <c r="W80" s="2">
        <f t="shared" si="36"/>
        <v>5</v>
      </c>
      <c r="X80" s="12">
        <f t="shared" si="26"/>
        <v>3.8098834458854126E-7</v>
      </c>
      <c r="Y80" s="2">
        <f t="shared" si="37"/>
        <v>100571.50650264979</v>
      </c>
      <c r="Z80" s="12">
        <f t="shared" si="38"/>
        <v>1.988750941689502E-14</v>
      </c>
      <c r="AA80" s="12">
        <f t="shared" si="39"/>
        <v>11976258170.854181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</row>
    <row r="81" spans="1:75" s="4" customFormat="1" x14ac:dyDescent="0.25">
      <c r="A81" s="1">
        <v>237</v>
      </c>
      <c r="B81" s="1">
        <f t="shared" si="27"/>
        <v>3.95</v>
      </c>
      <c r="C81" s="1">
        <v>20</v>
      </c>
      <c r="D81" s="1">
        <f t="shared" si="24"/>
        <v>29.146000000000001</v>
      </c>
      <c r="E81" s="1">
        <f t="shared" si="28"/>
        <v>4.8576666666666667E-7</v>
      </c>
      <c r="F81" s="1">
        <v>21.1</v>
      </c>
      <c r="G81" s="1">
        <f t="shared" si="29"/>
        <v>294.10000000000002</v>
      </c>
      <c r="H81" s="1">
        <v>101.3</v>
      </c>
      <c r="I81" s="1">
        <f t="shared" si="30"/>
        <v>101300</v>
      </c>
      <c r="J81" s="1">
        <f t="shared" si="31"/>
        <v>2.0124824921938581E-5</v>
      </c>
      <c r="K81" s="28">
        <v>80.910891089108915</v>
      </c>
      <c r="L81" s="16">
        <f t="shared" ref="L81:L83" si="40">(K81/1000000)</f>
        <v>8.091089108910891E-5</v>
      </c>
      <c r="M81" s="1">
        <f t="shared" si="32"/>
        <v>4.7762865441819992E-3</v>
      </c>
      <c r="N81" s="64">
        <f t="shared" ref="N81:N83" si="41">(L81*J81)/M81</f>
        <v>3.4091704975904618E-7</v>
      </c>
      <c r="O81" s="29">
        <f t="shared" si="33"/>
        <v>2.032E-3</v>
      </c>
      <c r="P81" s="29">
        <v>1.1208581181901367E-10</v>
      </c>
      <c r="Q81" s="2">
        <v>0.05</v>
      </c>
      <c r="R81" s="2">
        <f t="shared" ref="R81:R83" si="42">(1+Q81)*100000*1</f>
        <v>105000</v>
      </c>
      <c r="S81" s="2">
        <f t="shared" si="34"/>
        <v>5.2493374855265302E-3</v>
      </c>
      <c r="T81" s="2">
        <v>0.13</v>
      </c>
      <c r="U81" s="2">
        <f t="shared" si="35"/>
        <v>112999.99999999999</v>
      </c>
      <c r="V81" s="2">
        <f t="shared" si="25"/>
        <v>9.1429306930693048</v>
      </c>
      <c r="W81" s="2">
        <f t="shared" si="36"/>
        <v>5</v>
      </c>
      <c r="X81" s="12">
        <f t="shared" si="26"/>
        <v>3.8436464180492613E-7</v>
      </c>
      <c r="Y81" s="2">
        <f t="shared" si="37"/>
        <v>100532.68795409649</v>
      </c>
      <c r="Z81" s="12">
        <f t="shared" si="38"/>
        <v>2.0071513811692915E-14</v>
      </c>
      <c r="AA81" s="12">
        <f t="shared" si="39"/>
        <v>12087065617.401474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</row>
    <row r="82" spans="1:75" s="4" customFormat="1" x14ac:dyDescent="0.25">
      <c r="A82" s="1">
        <v>240</v>
      </c>
      <c r="B82" s="1">
        <f t="shared" si="27"/>
        <v>4</v>
      </c>
      <c r="C82" s="1">
        <v>20</v>
      </c>
      <c r="D82" s="1">
        <f t="shared" si="24"/>
        <v>29.146000000000001</v>
      </c>
      <c r="E82" s="1">
        <f t="shared" si="28"/>
        <v>4.8576666666666667E-7</v>
      </c>
      <c r="F82" s="1">
        <v>21.1</v>
      </c>
      <c r="G82" s="1">
        <f t="shared" si="29"/>
        <v>294.10000000000002</v>
      </c>
      <c r="H82" s="1">
        <v>101.3</v>
      </c>
      <c r="I82" s="1">
        <f t="shared" si="30"/>
        <v>101300</v>
      </c>
      <c r="J82" s="1">
        <f t="shared" si="31"/>
        <v>2.0124824921938581E-5</v>
      </c>
      <c r="K82" s="28">
        <v>91.183168316831697</v>
      </c>
      <c r="L82" s="16">
        <f t="shared" si="40"/>
        <v>9.1183168316831702E-5</v>
      </c>
      <c r="M82" s="1">
        <f t="shared" si="32"/>
        <v>4.7762865441819992E-3</v>
      </c>
      <c r="N82" s="64">
        <f t="shared" si="41"/>
        <v>3.8419916418941954E-7</v>
      </c>
      <c r="O82" s="29">
        <f t="shared" si="33"/>
        <v>2.032E-3</v>
      </c>
      <c r="P82" s="29">
        <v>1.1208581181901367E-10</v>
      </c>
      <c r="Q82" s="2">
        <v>0.05</v>
      </c>
      <c r="R82" s="2">
        <f t="shared" si="42"/>
        <v>105000</v>
      </c>
      <c r="S82" s="2">
        <f t="shared" si="34"/>
        <v>5.2493374855265302E-3</v>
      </c>
      <c r="T82" s="2">
        <v>0.13</v>
      </c>
      <c r="U82" s="2">
        <f t="shared" si="35"/>
        <v>112999.99999999999</v>
      </c>
      <c r="V82" s="2">
        <f t="shared" si="25"/>
        <v>10.303698019801981</v>
      </c>
      <c r="W82" s="2">
        <f t="shared" si="36"/>
        <v>5</v>
      </c>
      <c r="X82" s="12">
        <f t="shared" si="26"/>
        <v>4.3791813230869406E-7</v>
      </c>
      <c r="Y82" s="2">
        <f t="shared" si="37"/>
        <v>99917.965510038382</v>
      </c>
      <c r="Z82" s="12">
        <f t="shared" si="38"/>
        <v>2.3009046812096033E-14</v>
      </c>
      <c r="AA82" s="12">
        <f t="shared" si="39"/>
        <v>13856047990.244232</v>
      </c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</row>
    <row r="83" spans="1:75" s="4" customFormat="1" x14ac:dyDescent="0.25">
      <c r="A83" s="1">
        <v>243</v>
      </c>
      <c r="B83" s="1">
        <f t="shared" si="27"/>
        <v>4.05</v>
      </c>
      <c r="C83" s="1">
        <v>20</v>
      </c>
      <c r="D83" s="1">
        <f t="shared" si="24"/>
        <v>29.146000000000001</v>
      </c>
      <c r="E83" s="1">
        <f t="shared" si="28"/>
        <v>4.8576666666666667E-7</v>
      </c>
      <c r="F83" s="1">
        <v>21.1</v>
      </c>
      <c r="G83" s="1">
        <f t="shared" si="29"/>
        <v>294.10000000000002</v>
      </c>
      <c r="H83" s="1">
        <v>101.3</v>
      </c>
      <c r="I83" s="1">
        <f t="shared" si="30"/>
        <v>101300</v>
      </c>
      <c r="J83" s="1">
        <f t="shared" si="31"/>
        <v>2.0124824921938581E-5</v>
      </c>
      <c r="K83" s="28">
        <v>84.029702970297038</v>
      </c>
      <c r="L83" s="16">
        <f t="shared" si="40"/>
        <v>8.4029702970297036E-5</v>
      </c>
      <c r="M83" s="1">
        <f t="shared" si="32"/>
        <v>4.7762865441819992E-3</v>
      </c>
      <c r="N83" s="64">
        <f t="shared" si="41"/>
        <v>3.5405812546561736E-7</v>
      </c>
      <c r="O83" s="29">
        <f t="shared" si="33"/>
        <v>2.032E-3</v>
      </c>
      <c r="P83" s="29">
        <v>1.1208581181901367E-10</v>
      </c>
      <c r="Q83" s="2">
        <v>0.05</v>
      </c>
      <c r="R83" s="2">
        <f t="shared" si="42"/>
        <v>105000</v>
      </c>
      <c r="S83" s="2">
        <f t="shared" si="34"/>
        <v>5.2493374855265302E-3</v>
      </c>
      <c r="T83" s="2">
        <v>0.13</v>
      </c>
      <c r="U83" s="2">
        <f t="shared" si="35"/>
        <v>112999.99999999999</v>
      </c>
      <c r="V83" s="2">
        <f t="shared" si="25"/>
        <v>9.4953564356435631</v>
      </c>
      <c r="W83" s="2">
        <f t="shared" si="36"/>
        <v>5</v>
      </c>
      <c r="X83" s="12">
        <f t="shared" si="26"/>
        <v>4.0068988553744042E-7</v>
      </c>
      <c r="Y83" s="2">
        <f t="shared" si="37"/>
        <v>100345.0962446623</v>
      </c>
      <c r="Z83" s="12">
        <f t="shared" si="38"/>
        <v>2.0963211637773007E-14</v>
      </c>
      <c r="AA83" s="12">
        <f t="shared" si="39"/>
        <v>12624046048.266905</v>
      </c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</row>
    <row r="84" spans="1:75" s="4" customForma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22"/>
      <c r="L84" s="1"/>
      <c r="M84" s="1"/>
      <c r="N84" s="29"/>
      <c r="O84" s="29"/>
      <c r="P84" s="29"/>
      <c r="Q84" s="2"/>
      <c r="R84" s="2"/>
      <c r="S84" s="2"/>
      <c r="T84" s="2"/>
      <c r="U84" s="2"/>
      <c r="V84" s="2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</row>
    <row r="85" spans="1:75" s="4" customForma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22"/>
      <c r="L85" s="1"/>
      <c r="M85" s="1"/>
      <c r="N85" s="29"/>
      <c r="O85" s="29"/>
      <c r="P85" s="29"/>
      <c r="Q85" s="2"/>
      <c r="R85" s="2"/>
      <c r="S85" s="2"/>
      <c r="T85" s="2"/>
      <c r="U85" s="2"/>
      <c r="V85" s="2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</row>
    <row r="86" spans="1:75" s="4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22"/>
      <c r="L86" s="1"/>
      <c r="M86" s="1"/>
      <c r="N86" s="29"/>
      <c r="O86" s="29"/>
      <c r="P86" s="29"/>
      <c r="Q86" s="2"/>
      <c r="R86" s="2"/>
      <c r="S86" s="2"/>
      <c r="T86" s="2"/>
      <c r="U86" s="2"/>
      <c r="V86" s="2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</row>
    <row r="87" spans="1:75" s="4" customFormat="1" x14ac:dyDescent="0.25">
      <c r="N87" s="29"/>
      <c r="O87" s="5"/>
      <c r="P87" s="5"/>
      <c r="Q87" s="5"/>
      <c r="R87" s="5"/>
      <c r="S87" s="5"/>
      <c r="T87" s="5"/>
      <c r="U87" s="5"/>
      <c r="V87" s="5"/>
      <c r="W87" s="8"/>
      <c r="X87" s="8"/>
      <c r="Y87" s="8"/>
      <c r="Z87" s="45">
        <f>AVERAGE(Z48:Z83)</f>
        <v>2.0615487094252896E-14</v>
      </c>
      <c r="AA87" s="45">
        <f>AVERAGE(AA48:AA83)</f>
        <v>12414646328.159096</v>
      </c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</row>
    <row r="88" spans="1:75" s="4" customForma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22"/>
      <c r="L88" s="1"/>
      <c r="M88" s="1"/>
      <c r="N88" s="29"/>
      <c r="O88" s="29"/>
      <c r="P88" s="29"/>
      <c r="Q88" s="2"/>
      <c r="R88" s="2"/>
      <c r="S88" s="2"/>
      <c r="T88" s="2"/>
      <c r="U88" s="2"/>
      <c r="V88" s="2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</row>
    <row r="89" spans="1:75" s="4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22"/>
      <c r="L89" s="1"/>
      <c r="M89" s="1"/>
      <c r="N89" s="29"/>
      <c r="O89" s="29"/>
      <c r="P89" s="29"/>
      <c r="Q89" s="2"/>
      <c r="R89" s="2"/>
      <c r="S89" s="2"/>
      <c r="T89" s="2"/>
      <c r="U89" s="2"/>
      <c r="V89" s="2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</row>
    <row r="90" spans="1:75" s="4" customForma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22"/>
      <c r="L90" s="1"/>
      <c r="M90" s="1"/>
      <c r="N90" s="29"/>
      <c r="O90" s="29"/>
      <c r="P90" s="29"/>
      <c r="Q90" s="2"/>
      <c r="R90" s="2"/>
      <c r="S90" s="2"/>
      <c r="T90" s="2"/>
      <c r="U90" s="2"/>
      <c r="V90" s="2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</row>
    <row r="91" spans="1:75" s="4" customForma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22"/>
      <c r="L91" s="1"/>
      <c r="M91" s="1"/>
      <c r="N91" s="29"/>
      <c r="O91" s="29"/>
      <c r="P91" s="29"/>
      <c r="Q91" s="2"/>
      <c r="R91" s="2"/>
      <c r="S91" s="2"/>
      <c r="T91" s="2"/>
      <c r="U91" s="2"/>
      <c r="V91" s="2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</row>
    <row r="92" spans="1:75" s="4" customForma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22"/>
      <c r="L92" s="1"/>
      <c r="M92" s="1"/>
      <c r="N92" s="29"/>
      <c r="O92" s="29"/>
      <c r="P92" s="29"/>
      <c r="Q92" s="2"/>
      <c r="R92" s="2"/>
      <c r="S92" s="2"/>
      <c r="T92" s="2"/>
      <c r="U92" s="2"/>
      <c r="V92" s="2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</row>
    <row r="93" spans="1:75" s="4" customForma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22"/>
      <c r="L93" s="1"/>
      <c r="M93" s="1"/>
      <c r="N93" s="29"/>
      <c r="O93" s="29"/>
      <c r="P93" s="29"/>
      <c r="Q93" s="2"/>
      <c r="R93" s="2"/>
      <c r="S93" s="2"/>
      <c r="T93" s="2"/>
      <c r="U93" s="2"/>
      <c r="V93" s="2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</row>
    <row r="94" spans="1:75" s="4" customForma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22"/>
      <c r="L94" s="1"/>
      <c r="M94" s="1"/>
      <c r="N94" s="29"/>
      <c r="O94" s="29"/>
      <c r="P94" s="29"/>
      <c r="Q94" s="2"/>
      <c r="R94" s="2"/>
      <c r="S94" s="2"/>
      <c r="T94" s="2"/>
      <c r="U94" s="2"/>
      <c r="V94" s="2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</row>
    <row r="95" spans="1:75" s="4" customForma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22"/>
      <c r="L95" s="1"/>
      <c r="M95" s="1"/>
      <c r="N95" s="29"/>
      <c r="O95" s="29"/>
      <c r="P95" s="29"/>
      <c r="Q95" s="2"/>
      <c r="R95" s="2"/>
      <c r="S95" s="2"/>
      <c r="T95" s="2"/>
      <c r="U95" s="2"/>
      <c r="V95" s="2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</row>
    <row r="96" spans="1:75" s="4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22"/>
      <c r="L96" s="1"/>
      <c r="M96" s="1"/>
      <c r="N96" s="29"/>
      <c r="O96" s="29"/>
      <c r="P96" s="29"/>
      <c r="Q96" s="2"/>
      <c r="R96" s="2"/>
      <c r="S96" s="2"/>
      <c r="T96" s="2"/>
      <c r="U96" s="2"/>
      <c r="V96" s="2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</row>
    <row r="97" spans="1:75" s="4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22"/>
      <c r="L97" s="1"/>
      <c r="M97" s="1"/>
      <c r="N97" s="29"/>
      <c r="O97" s="29"/>
      <c r="P97" s="29"/>
      <c r="Q97" s="2"/>
      <c r="R97" s="2"/>
      <c r="S97" s="2"/>
      <c r="T97" s="2"/>
      <c r="U97" s="2"/>
      <c r="V97" s="2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</row>
    <row r="98" spans="1:75" s="4" customForma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22"/>
      <c r="L98" s="1"/>
      <c r="M98" s="1"/>
      <c r="N98" s="29"/>
      <c r="O98" s="29"/>
      <c r="P98" s="29"/>
      <c r="Q98" s="2"/>
      <c r="R98" s="2"/>
      <c r="S98" s="2"/>
      <c r="T98" s="2"/>
      <c r="U98" s="2"/>
      <c r="V98" s="2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</row>
    <row r="99" spans="1:75" s="4" customForma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22"/>
      <c r="L99" s="1"/>
      <c r="M99" s="1"/>
      <c r="N99" s="29"/>
      <c r="O99" s="29"/>
      <c r="P99" s="29"/>
      <c r="Q99" s="2"/>
      <c r="R99" s="2"/>
      <c r="S99" s="2"/>
      <c r="T99" s="2"/>
      <c r="U99" s="2"/>
      <c r="V99" s="2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</row>
    <row r="100" spans="1:75" s="4" customForma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22"/>
      <c r="L100" s="1"/>
      <c r="M100" s="1"/>
      <c r="N100" s="29"/>
      <c r="O100" s="29"/>
      <c r="P100" s="29"/>
      <c r="Q100" s="2"/>
      <c r="R100" s="2"/>
      <c r="S100" s="2"/>
      <c r="T100" s="2"/>
      <c r="U100" s="2"/>
      <c r="V100" s="2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</row>
    <row r="101" spans="1:75" s="4" customForma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22"/>
      <c r="L101" s="1"/>
      <c r="M101" s="1"/>
      <c r="N101" s="29"/>
      <c r="O101" s="29"/>
      <c r="P101" s="29"/>
      <c r="Q101" s="2"/>
      <c r="R101" s="2"/>
      <c r="S101" s="2"/>
      <c r="T101" s="2"/>
      <c r="U101" s="2"/>
      <c r="V101" s="2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</row>
    <row r="102" spans="1:75" s="4" customForma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22"/>
      <c r="L102" s="1"/>
      <c r="M102" s="1"/>
      <c r="N102" s="29"/>
      <c r="O102" s="29"/>
      <c r="P102" s="29"/>
      <c r="Q102" s="2"/>
      <c r="R102" s="2"/>
      <c r="S102" s="2"/>
      <c r="T102" s="2"/>
      <c r="U102" s="2"/>
      <c r="V102" s="2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</row>
    <row r="103" spans="1:75" s="4" customForma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22"/>
      <c r="L103" s="1"/>
      <c r="M103" s="1"/>
      <c r="N103" s="29"/>
      <c r="O103" s="29"/>
      <c r="P103" s="29"/>
      <c r="Q103" s="2"/>
      <c r="R103" s="2"/>
      <c r="S103" s="2"/>
      <c r="T103" s="2"/>
      <c r="U103" s="2"/>
      <c r="V103" s="2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</row>
    <row r="104" spans="1:75" s="4" customForma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22"/>
      <c r="L104" s="1"/>
      <c r="M104" s="1"/>
      <c r="N104" s="29"/>
      <c r="O104" s="29"/>
      <c r="P104" s="29"/>
      <c r="Q104" s="2"/>
      <c r="R104" s="2"/>
      <c r="S104" s="2"/>
      <c r="T104" s="2"/>
      <c r="U104" s="2"/>
      <c r="V104" s="2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</row>
    <row r="105" spans="1:75" s="4" customForma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22"/>
      <c r="L105" s="1"/>
      <c r="M105" s="1"/>
      <c r="N105" s="29"/>
      <c r="O105" s="29"/>
      <c r="P105" s="29"/>
      <c r="Q105" s="2"/>
      <c r="R105" s="2"/>
      <c r="S105" s="2"/>
      <c r="T105" s="2"/>
      <c r="U105" s="2"/>
      <c r="V105" s="2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</row>
    <row r="106" spans="1:75" s="4" customForma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22"/>
      <c r="L106" s="1"/>
      <c r="M106" s="1"/>
      <c r="N106" s="29"/>
      <c r="O106" s="29"/>
      <c r="P106" s="29"/>
      <c r="Q106" s="2"/>
      <c r="R106" s="2"/>
      <c r="S106" s="2"/>
      <c r="T106" s="2"/>
      <c r="U106" s="2"/>
      <c r="V106" s="2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</row>
    <row r="107" spans="1:75" s="4" customForma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22"/>
      <c r="L107" s="1"/>
      <c r="M107" s="1"/>
      <c r="N107" s="29"/>
      <c r="O107" s="29"/>
      <c r="P107" s="29"/>
      <c r="Q107" s="2"/>
      <c r="R107" s="2"/>
      <c r="S107" s="2"/>
      <c r="T107" s="2"/>
      <c r="U107" s="2"/>
      <c r="V107" s="2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</row>
    <row r="108" spans="1:75" s="4" customForma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22"/>
      <c r="L108" s="1"/>
      <c r="M108" s="1"/>
      <c r="N108" s="29"/>
      <c r="O108" s="29"/>
      <c r="P108" s="29"/>
      <c r="Q108" s="2"/>
      <c r="R108" s="2"/>
      <c r="S108" s="2"/>
      <c r="T108" s="2"/>
      <c r="U108" s="2"/>
      <c r="V108" s="2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</row>
    <row r="109" spans="1:75" s="4" customForma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22"/>
      <c r="L109" s="1"/>
      <c r="M109" s="1"/>
      <c r="N109" s="29"/>
      <c r="O109" s="29"/>
      <c r="P109" s="29"/>
      <c r="Q109" s="2"/>
      <c r="R109" s="2"/>
      <c r="S109" s="2"/>
      <c r="T109" s="2"/>
      <c r="U109" s="2"/>
      <c r="V109" s="2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</row>
    <row r="110" spans="1:75" s="4" customForma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22"/>
      <c r="L110" s="1"/>
      <c r="M110" s="1"/>
      <c r="N110" s="29"/>
      <c r="O110" s="29"/>
      <c r="P110" s="29"/>
      <c r="Q110" s="2"/>
      <c r="R110" s="2"/>
      <c r="S110" s="2"/>
      <c r="T110" s="2"/>
      <c r="U110" s="2"/>
      <c r="V110" s="2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</row>
    <row r="111" spans="1:75" s="4" customForma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22"/>
      <c r="L111" s="1"/>
      <c r="M111" s="1"/>
      <c r="N111" s="29"/>
      <c r="O111" s="29"/>
      <c r="P111" s="29"/>
      <c r="Q111" s="2"/>
      <c r="R111" s="2"/>
      <c r="S111" s="2"/>
      <c r="T111" s="2"/>
      <c r="U111" s="2"/>
      <c r="V111" s="2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</row>
    <row r="112" spans="1:75" s="4" customForma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22"/>
      <c r="L112" s="1"/>
      <c r="M112" s="1"/>
      <c r="N112" s="29"/>
      <c r="O112" s="29"/>
      <c r="P112" s="29"/>
      <c r="Q112" s="2"/>
      <c r="R112" s="2"/>
      <c r="S112" s="2"/>
      <c r="T112" s="2"/>
      <c r="U112" s="2"/>
      <c r="V112" s="2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</row>
    <row r="113" spans="1:75" s="4" customForma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22"/>
      <c r="L113" s="1"/>
      <c r="M113" s="1"/>
      <c r="N113" s="29"/>
      <c r="O113" s="29"/>
      <c r="P113" s="29"/>
      <c r="Q113" s="2"/>
      <c r="R113" s="2"/>
      <c r="S113" s="2"/>
      <c r="T113" s="2"/>
      <c r="U113" s="2"/>
      <c r="V113" s="2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</row>
    <row r="114" spans="1:75" s="4" customForma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22"/>
      <c r="L114" s="1"/>
      <c r="M114" s="1"/>
      <c r="N114" s="64"/>
      <c r="O114" s="29"/>
      <c r="P114" s="29"/>
      <c r="Q114" s="2"/>
      <c r="R114" s="2"/>
      <c r="S114" s="2"/>
      <c r="T114" s="2"/>
      <c r="U114" s="2"/>
      <c r="V114" s="2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</row>
    <row r="115" spans="1:75" s="4" customForma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22"/>
      <c r="L115" s="1"/>
      <c r="M115" s="1"/>
      <c r="N115" s="29"/>
      <c r="O115" s="29"/>
      <c r="P115" s="29"/>
      <c r="Q115" s="2"/>
      <c r="R115" s="2"/>
      <c r="S115" s="2"/>
      <c r="T115" s="2"/>
      <c r="U115" s="2"/>
      <c r="V115" s="2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</row>
    <row r="116" spans="1:75" s="4" customForma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22"/>
      <c r="L116" s="1"/>
      <c r="M116" s="1"/>
      <c r="N116" s="29"/>
      <c r="O116" s="29"/>
      <c r="P116" s="29"/>
      <c r="Q116" s="2"/>
      <c r="R116" s="2"/>
      <c r="S116" s="2"/>
      <c r="T116" s="2"/>
      <c r="U116" s="2"/>
      <c r="V116" s="2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</row>
    <row r="117" spans="1:75" s="4" customForma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22"/>
      <c r="L117" s="1"/>
      <c r="M117" s="1"/>
      <c r="N117" s="29"/>
      <c r="O117" s="29"/>
      <c r="P117" s="29"/>
      <c r="Q117" s="2"/>
      <c r="R117" s="2"/>
      <c r="S117" s="2"/>
      <c r="T117" s="2"/>
      <c r="U117" s="2"/>
      <c r="V117" s="2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</row>
    <row r="118" spans="1:75" s="4" customForma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22"/>
      <c r="L118" s="1"/>
      <c r="M118" s="1"/>
      <c r="N118" s="29"/>
      <c r="O118" s="29"/>
      <c r="P118" s="29"/>
      <c r="Q118" s="2"/>
      <c r="R118" s="2"/>
      <c r="S118" s="2"/>
      <c r="T118" s="2"/>
      <c r="U118" s="2"/>
      <c r="V118" s="2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</row>
    <row r="119" spans="1:75" s="4" customForma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22"/>
      <c r="L119" s="1"/>
      <c r="M119" s="1"/>
      <c r="N119" s="29"/>
      <c r="O119" s="29"/>
      <c r="P119" s="29"/>
      <c r="Q119" s="2"/>
      <c r="R119" s="2"/>
      <c r="S119" s="2"/>
      <c r="T119" s="2"/>
      <c r="U119" s="2"/>
      <c r="V119" s="2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</row>
    <row r="120" spans="1:75" s="4" customForma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22"/>
      <c r="L120" s="1"/>
      <c r="M120" s="1"/>
      <c r="N120" s="29"/>
      <c r="O120" s="29"/>
      <c r="P120" s="29"/>
      <c r="Q120" s="2"/>
      <c r="R120" s="2"/>
      <c r="S120" s="2"/>
      <c r="T120" s="2"/>
      <c r="U120" s="2"/>
      <c r="V120" s="2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</row>
    <row r="121" spans="1:75" s="4" customForma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22"/>
      <c r="L121" s="1"/>
      <c r="M121" s="1"/>
      <c r="N121" s="29"/>
      <c r="O121" s="29"/>
      <c r="P121" s="29"/>
      <c r="Q121" s="2"/>
      <c r="R121" s="2"/>
      <c r="S121" s="2"/>
      <c r="T121" s="2"/>
      <c r="U121" s="2"/>
      <c r="V121" s="2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</row>
    <row r="122" spans="1:75" s="4" customForma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22"/>
      <c r="L122" s="1"/>
      <c r="M122" s="1"/>
      <c r="N122" s="29"/>
      <c r="O122" s="29"/>
      <c r="P122" s="29"/>
      <c r="Q122" s="2"/>
      <c r="R122" s="2"/>
      <c r="S122" s="2"/>
      <c r="T122" s="2"/>
      <c r="U122" s="2"/>
      <c r="V122" s="2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</row>
    <row r="123" spans="1:75" s="4" customForma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22"/>
      <c r="L123" s="1"/>
      <c r="M123" s="1"/>
      <c r="N123" s="29"/>
      <c r="O123" s="29"/>
      <c r="P123" s="29"/>
      <c r="Q123" s="2"/>
      <c r="R123" s="2"/>
      <c r="S123" s="2"/>
      <c r="T123" s="2"/>
      <c r="U123" s="2"/>
      <c r="V123" s="2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</row>
    <row r="124" spans="1:75" s="4" customForma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22"/>
      <c r="L124" s="1"/>
      <c r="M124" s="1"/>
      <c r="N124" s="29"/>
      <c r="O124" s="29"/>
      <c r="P124" s="29"/>
      <c r="Q124" s="2"/>
      <c r="R124" s="2"/>
      <c r="S124" s="2"/>
      <c r="T124" s="2"/>
      <c r="U124" s="2"/>
      <c r="V124" s="2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</row>
    <row r="125" spans="1:75" s="4" customForma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22"/>
      <c r="L125" s="1"/>
      <c r="M125" s="1"/>
      <c r="N125" s="29"/>
      <c r="O125" s="29"/>
      <c r="P125" s="29"/>
      <c r="Q125" s="2"/>
      <c r="R125" s="2"/>
      <c r="S125" s="2"/>
      <c r="T125" s="2"/>
      <c r="U125" s="2"/>
      <c r="V125" s="2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</row>
    <row r="126" spans="1:75" s="4" customForma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22"/>
      <c r="L126" s="1"/>
      <c r="M126" s="1"/>
      <c r="N126" s="29"/>
      <c r="O126" s="29"/>
      <c r="P126" s="29"/>
      <c r="Q126" s="2"/>
      <c r="R126" s="2"/>
      <c r="S126" s="2"/>
      <c r="T126" s="2"/>
      <c r="U126" s="2"/>
      <c r="V126" s="2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</row>
    <row r="127" spans="1:75" s="4" customForma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22"/>
      <c r="L127" s="1"/>
      <c r="M127" s="1"/>
      <c r="N127" s="29"/>
      <c r="O127" s="29"/>
      <c r="P127" s="29"/>
      <c r="Q127" s="2"/>
      <c r="R127" s="2"/>
      <c r="S127" s="2"/>
      <c r="T127" s="2"/>
      <c r="U127" s="2"/>
      <c r="V127" s="2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</row>
    <row r="128" spans="1:75" s="4" customForma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22"/>
      <c r="L128" s="1"/>
      <c r="M128" s="1"/>
      <c r="N128" s="29"/>
      <c r="O128" s="29"/>
      <c r="P128" s="29"/>
      <c r="Q128" s="2"/>
      <c r="R128" s="2"/>
      <c r="S128" s="2"/>
      <c r="T128" s="2"/>
      <c r="U128" s="2"/>
      <c r="V128" s="2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</row>
    <row r="129" spans="1:75" s="4" customForma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22"/>
      <c r="L129" s="1"/>
      <c r="M129" s="1"/>
      <c r="N129" s="29"/>
      <c r="O129" s="29"/>
      <c r="P129" s="29"/>
      <c r="Q129" s="2"/>
      <c r="R129" s="2"/>
      <c r="S129" s="2"/>
      <c r="T129" s="2"/>
      <c r="U129" s="2"/>
      <c r="V129" s="2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</row>
    <row r="130" spans="1:75" s="4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22"/>
      <c r="L130" s="1"/>
      <c r="M130" s="1"/>
      <c r="N130" s="29"/>
      <c r="O130" s="29"/>
      <c r="P130" s="29"/>
      <c r="Q130" s="2"/>
      <c r="R130" s="2"/>
      <c r="S130" s="2"/>
      <c r="T130" s="2"/>
      <c r="U130" s="2"/>
      <c r="V130" s="2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</row>
    <row r="131" spans="1:75" s="4" customForma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22"/>
      <c r="L131" s="1"/>
      <c r="M131" s="1"/>
      <c r="N131" s="29"/>
      <c r="O131" s="29"/>
      <c r="P131" s="29"/>
      <c r="Q131" s="2"/>
      <c r="R131" s="2"/>
      <c r="S131" s="2"/>
      <c r="T131" s="2"/>
      <c r="U131" s="2"/>
      <c r="V131" s="2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</row>
    <row r="132" spans="1:75" s="4" customForma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22"/>
      <c r="L132" s="1"/>
      <c r="M132" s="1"/>
      <c r="N132" s="29"/>
      <c r="O132" s="29"/>
      <c r="P132" s="29"/>
      <c r="Q132" s="2"/>
      <c r="R132" s="2"/>
      <c r="S132" s="2"/>
      <c r="T132" s="2"/>
      <c r="U132" s="2"/>
      <c r="V132" s="2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</row>
    <row r="133" spans="1:75" s="4" customForma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22"/>
      <c r="L133" s="1"/>
      <c r="M133" s="1"/>
      <c r="N133" s="29"/>
      <c r="O133" s="29"/>
      <c r="P133" s="29"/>
      <c r="Q133" s="2"/>
      <c r="R133" s="2"/>
      <c r="S133" s="2"/>
      <c r="T133" s="2"/>
      <c r="U133" s="2"/>
      <c r="V133" s="2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</row>
    <row r="134" spans="1:75" s="4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22"/>
      <c r="L134" s="1"/>
      <c r="M134" s="1"/>
      <c r="N134" s="29"/>
      <c r="O134" s="29"/>
      <c r="P134" s="29"/>
      <c r="Q134" s="2"/>
      <c r="R134" s="2"/>
      <c r="S134" s="2"/>
      <c r="T134" s="2"/>
      <c r="U134" s="2"/>
      <c r="V134" s="2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</row>
    <row r="135" spans="1:75" s="4" customForma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22"/>
      <c r="L135" s="1"/>
      <c r="M135" s="1"/>
      <c r="N135" s="29"/>
      <c r="O135" s="29"/>
      <c r="P135" s="29"/>
      <c r="Q135" s="2"/>
      <c r="R135" s="2"/>
      <c r="S135" s="2"/>
      <c r="T135" s="2"/>
      <c r="U135" s="2"/>
      <c r="V135" s="2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</row>
    <row r="136" spans="1:75" s="4" customForma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22"/>
      <c r="L136" s="1"/>
      <c r="M136" s="1"/>
      <c r="N136" s="29"/>
      <c r="O136" s="29"/>
      <c r="P136" s="29"/>
      <c r="Q136" s="2"/>
      <c r="R136" s="2"/>
      <c r="S136" s="2"/>
      <c r="T136" s="2"/>
      <c r="U136" s="2"/>
      <c r="V136" s="2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</row>
    <row r="137" spans="1:75" s="4" customForma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22"/>
      <c r="L137" s="1"/>
      <c r="M137" s="1"/>
      <c r="N137" s="29"/>
      <c r="O137" s="29"/>
      <c r="P137" s="29"/>
      <c r="Q137" s="2"/>
      <c r="R137" s="2"/>
      <c r="S137" s="2"/>
      <c r="T137" s="2"/>
      <c r="U137" s="2"/>
      <c r="V137" s="2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</row>
    <row r="138" spans="1:75" s="4" customForma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22"/>
      <c r="L138" s="1"/>
      <c r="M138" s="1"/>
      <c r="N138" s="29"/>
      <c r="O138" s="29"/>
      <c r="P138" s="29"/>
      <c r="Q138" s="2"/>
      <c r="R138" s="2"/>
      <c r="S138" s="2"/>
      <c r="T138" s="2"/>
      <c r="U138" s="2"/>
      <c r="V138" s="2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</row>
    <row r="139" spans="1:75" s="4" customForma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22"/>
      <c r="L139" s="1"/>
      <c r="M139" s="1"/>
      <c r="N139" s="29"/>
      <c r="O139" s="29"/>
      <c r="P139" s="29"/>
      <c r="Q139" s="2"/>
      <c r="R139" s="2"/>
      <c r="S139" s="2"/>
      <c r="T139" s="2"/>
      <c r="U139" s="2"/>
      <c r="V139" s="2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</row>
    <row r="140" spans="1:75" s="4" customForma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22"/>
      <c r="L140" s="1"/>
      <c r="M140" s="1"/>
      <c r="N140" s="29"/>
      <c r="O140" s="29"/>
      <c r="P140" s="29"/>
      <c r="Q140" s="2"/>
      <c r="R140" s="2"/>
      <c r="S140" s="2"/>
      <c r="T140" s="2"/>
      <c r="U140" s="2"/>
      <c r="V140" s="2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</row>
    <row r="141" spans="1:75" s="4" customForma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22"/>
      <c r="L141" s="1"/>
      <c r="M141" s="1"/>
      <c r="N141" s="29"/>
      <c r="O141" s="29"/>
      <c r="P141" s="29"/>
      <c r="Q141" s="2"/>
      <c r="R141" s="2"/>
      <c r="S141" s="2"/>
      <c r="T141" s="2"/>
      <c r="U141" s="2"/>
      <c r="V141" s="2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</row>
    <row r="142" spans="1:75" s="4" customForma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22"/>
      <c r="L142" s="1"/>
      <c r="M142" s="1"/>
      <c r="N142" s="29"/>
      <c r="O142" s="29"/>
      <c r="P142" s="29"/>
      <c r="Q142" s="2"/>
      <c r="R142" s="2"/>
      <c r="S142" s="2"/>
      <c r="T142" s="2"/>
      <c r="U142" s="2"/>
      <c r="V142" s="2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</row>
    <row r="143" spans="1:75" s="4" customForma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22"/>
      <c r="L143" s="1"/>
      <c r="M143" s="1"/>
      <c r="N143" s="29"/>
      <c r="O143" s="29"/>
      <c r="P143" s="29"/>
      <c r="Q143" s="2"/>
      <c r="R143" s="2"/>
      <c r="S143" s="2"/>
      <c r="T143" s="2"/>
      <c r="U143" s="2"/>
      <c r="V143" s="2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</row>
    <row r="144" spans="1:75" s="4" customForma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22"/>
      <c r="L144" s="1"/>
      <c r="M144" s="1"/>
      <c r="N144" s="29"/>
      <c r="O144" s="29"/>
      <c r="P144" s="29"/>
      <c r="Q144" s="2"/>
      <c r="R144" s="2"/>
      <c r="S144" s="2"/>
      <c r="T144" s="2"/>
      <c r="U144" s="2"/>
      <c r="V144" s="2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</row>
    <row r="145" spans="1:75" s="4" customForma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22"/>
      <c r="L145" s="1"/>
      <c r="M145" s="1"/>
      <c r="N145" s="29"/>
      <c r="O145" s="29"/>
      <c r="P145" s="29"/>
      <c r="Q145" s="2"/>
      <c r="R145" s="2"/>
      <c r="S145" s="2"/>
      <c r="T145" s="2"/>
      <c r="U145" s="2"/>
      <c r="V145" s="2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</row>
    <row r="146" spans="1:75" s="4" customForma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22"/>
      <c r="L146" s="1"/>
      <c r="M146" s="1"/>
      <c r="N146" s="29"/>
      <c r="O146" s="29"/>
      <c r="P146" s="29"/>
      <c r="Q146" s="2"/>
      <c r="R146" s="2"/>
      <c r="S146" s="2"/>
      <c r="T146" s="2"/>
      <c r="U146" s="2"/>
      <c r="V146" s="2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</row>
    <row r="147" spans="1:75" s="4" customForma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22"/>
      <c r="L147" s="1"/>
      <c r="M147" s="1"/>
      <c r="N147" s="29"/>
      <c r="O147" s="29"/>
      <c r="P147" s="29"/>
      <c r="Q147" s="2"/>
      <c r="R147" s="2"/>
      <c r="S147" s="2"/>
      <c r="T147" s="2"/>
      <c r="U147" s="2"/>
      <c r="V147" s="2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</row>
    <row r="148" spans="1:75" s="4" customForma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22"/>
      <c r="L148" s="1"/>
      <c r="M148" s="1"/>
      <c r="N148" s="29"/>
      <c r="O148" s="29"/>
      <c r="P148" s="29"/>
      <c r="Q148" s="2"/>
      <c r="R148" s="2"/>
      <c r="S148" s="2"/>
      <c r="T148" s="2"/>
      <c r="U148" s="2"/>
      <c r="V148" s="2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</row>
    <row r="149" spans="1:75" s="4" customForma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22"/>
      <c r="L149" s="1"/>
      <c r="M149" s="1"/>
      <c r="N149" s="29"/>
      <c r="O149" s="29"/>
      <c r="P149" s="29"/>
      <c r="Q149" s="2"/>
      <c r="R149" s="2"/>
      <c r="S149" s="2"/>
      <c r="T149" s="2"/>
      <c r="U149" s="2"/>
      <c r="V149" s="2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</row>
    <row r="150" spans="1:75" s="4" customForma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22"/>
      <c r="L150" s="1"/>
      <c r="M150" s="1"/>
      <c r="N150" s="29"/>
      <c r="O150" s="29"/>
      <c r="P150" s="29"/>
      <c r="Q150" s="2"/>
      <c r="R150" s="2"/>
      <c r="S150" s="2"/>
      <c r="T150" s="2"/>
      <c r="U150" s="2"/>
      <c r="V150" s="2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</row>
    <row r="151" spans="1:75" s="4" customForma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22"/>
      <c r="L151" s="1"/>
      <c r="M151" s="1"/>
      <c r="N151" s="29"/>
      <c r="O151" s="29"/>
      <c r="P151" s="29"/>
      <c r="Q151" s="2"/>
      <c r="R151" s="2"/>
      <c r="S151" s="2"/>
      <c r="T151" s="2"/>
      <c r="U151" s="2"/>
      <c r="V151" s="2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</row>
    <row r="152" spans="1:75" s="4" customForma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22"/>
      <c r="L152" s="1"/>
      <c r="M152" s="1"/>
      <c r="N152" s="29"/>
      <c r="O152" s="29"/>
      <c r="P152" s="29"/>
      <c r="Q152" s="2"/>
      <c r="R152" s="2"/>
      <c r="S152" s="2"/>
      <c r="T152" s="2"/>
      <c r="U152" s="2"/>
      <c r="V152" s="2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</row>
    <row r="153" spans="1:75" s="4" customForma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22"/>
      <c r="L153" s="1"/>
      <c r="M153" s="1"/>
      <c r="N153" s="29"/>
      <c r="O153" s="29"/>
      <c r="P153" s="29"/>
      <c r="Q153" s="2"/>
      <c r="R153" s="2"/>
      <c r="S153" s="2"/>
      <c r="T153" s="2"/>
      <c r="U153" s="2"/>
      <c r="V153" s="2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</row>
    <row r="154" spans="1:75" s="4" customForma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22"/>
      <c r="L154" s="1"/>
      <c r="M154" s="1"/>
      <c r="N154" s="29"/>
      <c r="O154" s="29"/>
      <c r="P154" s="29"/>
      <c r="Q154" s="2"/>
      <c r="R154" s="2"/>
      <c r="S154" s="2"/>
      <c r="T154" s="2"/>
      <c r="U154" s="2"/>
      <c r="V154" s="2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</row>
    <row r="155" spans="1:75" s="4" customForma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22"/>
      <c r="L155" s="1"/>
      <c r="M155" s="1"/>
      <c r="N155" s="29"/>
      <c r="O155" s="29"/>
      <c r="P155" s="29"/>
      <c r="Q155" s="2"/>
      <c r="R155" s="2"/>
      <c r="S155" s="2"/>
      <c r="T155" s="2"/>
      <c r="U155" s="2"/>
      <c r="V155" s="2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</row>
    <row r="156" spans="1:75" s="4" customForma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22"/>
      <c r="L156" s="1"/>
      <c r="M156" s="1"/>
      <c r="N156" s="29"/>
      <c r="O156" s="29"/>
      <c r="P156" s="29"/>
      <c r="Q156" s="2"/>
      <c r="R156" s="2"/>
      <c r="S156" s="2"/>
      <c r="T156" s="2"/>
      <c r="U156" s="2"/>
      <c r="V156" s="2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</row>
    <row r="157" spans="1:75" s="4" customForma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22"/>
      <c r="L157" s="1"/>
      <c r="M157" s="1"/>
      <c r="N157" s="29"/>
      <c r="O157" s="29"/>
      <c r="P157" s="29"/>
      <c r="Q157" s="2"/>
      <c r="R157" s="2"/>
      <c r="S157" s="2"/>
      <c r="T157" s="2"/>
      <c r="U157" s="2"/>
      <c r="V157" s="2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</row>
    <row r="158" spans="1:75" s="4" customForma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22"/>
      <c r="L158" s="1"/>
      <c r="M158" s="1"/>
      <c r="N158" s="29"/>
      <c r="O158" s="29"/>
      <c r="P158" s="29"/>
      <c r="Q158" s="2"/>
      <c r="R158" s="2"/>
      <c r="S158" s="2"/>
      <c r="T158" s="2"/>
      <c r="U158" s="2"/>
      <c r="V158" s="2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</row>
    <row r="159" spans="1:75" s="4" customForma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22"/>
      <c r="L159" s="1"/>
      <c r="M159" s="1"/>
      <c r="N159" s="29"/>
      <c r="O159" s="29"/>
      <c r="P159" s="29"/>
      <c r="Q159" s="2"/>
      <c r="R159" s="2"/>
      <c r="S159" s="2"/>
      <c r="T159" s="2"/>
      <c r="U159" s="2"/>
      <c r="V159" s="2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</row>
    <row r="160" spans="1:75" s="4" customForma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22"/>
      <c r="L160" s="1"/>
      <c r="M160" s="1"/>
      <c r="N160" s="29"/>
      <c r="O160" s="29"/>
      <c r="P160" s="29"/>
      <c r="Q160" s="2"/>
      <c r="R160" s="2"/>
      <c r="S160" s="2"/>
      <c r="T160" s="2"/>
      <c r="U160" s="2"/>
      <c r="V160" s="2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</row>
    <row r="161" spans="1:75" s="4" customForma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22"/>
      <c r="L161" s="1"/>
      <c r="M161" s="1"/>
      <c r="N161" s="29"/>
      <c r="O161" s="29"/>
      <c r="P161" s="29"/>
      <c r="Q161" s="2"/>
      <c r="R161" s="2"/>
      <c r="S161" s="2"/>
      <c r="T161" s="2"/>
      <c r="U161" s="2"/>
      <c r="V161" s="2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</row>
    <row r="162" spans="1:75" s="4" customForma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22"/>
      <c r="L162" s="1"/>
      <c r="M162" s="1"/>
      <c r="N162" s="29"/>
      <c r="O162" s="29"/>
      <c r="P162" s="29"/>
      <c r="Q162" s="2"/>
      <c r="R162" s="2"/>
      <c r="S162" s="2"/>
      <c r="T162" s="2"/>
      <c r="U162" s="2"/>
      <c r="V162" s="2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</row>
    <row r="163" spans="1:75" s="4" customForma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22"/>
      <c r="L163" s="1"/>
      <c r="M163" s="1"/>
      <c r="N163" s="29"/>
      <c r="O163" s="29"/>
      <c r="P163" s="29"/>
      <c r="Q163" s="2"/>
      <c r="R163" s="2"/>
      <c r="S163" s="2"/>
      <c r="T163" s="2"/>
      <c r="U163" s="2"/>
      <c r="V163" s="2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</row>
    <row r="164" spans="1:75" s="4" customForma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22"/>
      <c r="L164" s="1"/>
      <c r="M164" s="1"/>
      <c r="N164" s="29"/>
      <c r="O164" s="29"/>
      <c r="P164" s="29"/>
      <c r="Q164" s="2"/>
      <c r="R164" s="2"/>
      <c r="S164" s="2"/>
      <c r="T164" s="2"/>
      <c r="U164" s="2"/>
      <c r="V164" s="2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</row>
    <row r="165" spans="1:75" s="4" customForma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22"/>
      <c r="L165" s="1"/>
      <c r="M165" s="1"/>
      <c r="N165" s="29"/>
      <c r="O165" s="29"/>
      <c r="P165" s="29"/>
      <c r="Q165" s="2"/>
      <c r="R165" s="2"/>
      <c r="S165" s="2"/>
      <c r="T165" s="2"/>
      <c r="U165" s="2"/>
      <c r="V165" s="2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</row>
    <row r="166" spans="1:75" s="4" customForma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22"/>
      <c r="L166" s="1"/>
      <c r="M166" s="1"/>
      <c r="N166" s="29"/>
      <c r="O166" s="29"/>
      <c r="P166" s="29"/>
      <c r="Q166" s="2"/>
      <c r="R166" s="2"/>
      <c r="S166" s="2"/>
      <c r="T166" s="2"/>
      <c r="U166" s="2"/>
      <c r="V166" s="2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</row>
    <row r="167" spans="1:75" s="4" customForma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22"/>
      <c r="L167" s="1"/>
      <c r="M167" s="1"/>
      <c r="N167" s="29"/>
      <c r="O167" s="29"/>
      <c r="P167" s="29"/>
      <c r="Q167" s="2"/>
      <c r="R167" s="2"/>
      <c r="S167" s="2"/>
      <c r="T167" s="2"/>
      <c r="U167" s="2"/>
      <c r="V167" s="2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</row>
    <row r="168" spans="1:75" s="4" customForma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22"/>
      <c r="L168" s="1"/>
      <c r="M168" s="1"/>
      <c r="N168" s="29"/>
      <c r="O168" s="29"/>
      <c r="P168" s="29"/>
      <c r="Q168" s="2"/>
      <c r="R168" s="2"/>
      <c r="S168" s="2"/>
      <c r="T168" s="2"/>
      <c r="U168" s="2"/>
      <c r="V168" s="2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</row>
    <row r="169" spans="1:75" s="4" customForma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22"/>
      <c r="L169" s="1"/>
      <c r="M169" s="1"/>
      <c r="N169" s="29"/>
      <c r="O169" s="29"/>
      <c r="P169" s="29"/>
      <c r="Q169" s="2"/>
      <c r="R169" s="2"/>
      <c r="S169" s="2"/>
      <c r="T169" s="2"/>
      <c r="U169" s="2"/>
      <c r="V169" s="2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</row>
    <row r="170" spans="1:75" s="4" customForma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22"/>
      <c r="L170" s="1"/>
      <c r="M170" s="1"/>
      <c r="N170" s="29"/>
      <c r="O170" s="29"/>
      <c r="P170" s="29"/>
      <c r="Q170" s="2"/>
      <c r="R170" s="2"/>
      <c r="S170" s="2"/>
      <c r="T170" s="2"/>
      <c r="U170" s="2"/>
      <c r="V170" s="2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</row>
    <row r="171" spans="1:75" s="4" customForma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22"/>
      <c r="L171" s="1"/>
      <c r="M171" s="1"/>
      <c r="N171" s="29"/>
      <c r="O171" s="29"/>
      <c r="P171" s="29"/>
      <c r="Q171" s="2"/>
      <c r="R171" s="2"/>
      <c r="S171" s="2"/>
      <c r="T171" s="2"/>
      <c r="U171" s="2"/>
      <c r="V171" s="2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</row>
    <row r="172" spans="1:75" s="4" customForma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22"/>
      <c r="L172" s="1"/>
      <c r="M172" s="1"/>
      <c r="N172" s="29"/>
      <c r="O172" s="29"/>
      <c r="P172" s="29"/>
      <c r="Q172" s="2"/>
      <c r="R172" s="2"/>
      <c r="S172" s="2"/>
      <c r="T172" s="2"/>
      <c r="U172" s="2"/>
      <c r="V172" s="2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</row>
    <row r="173" spans="1:75" s="4" customForma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22"/>
      <c r="L173" s="1"/>
      <c r="M173" s="1"/>
      <c r="N173" s="29"/>
      <c r="O173" s="29"/>
      <c r="P173" s="29"/>
      <c r="Q173" s="2"/>
      <c r="R173" s="2"/>
      <c r="S173" s="2"/>
      <c r="T173" s="2"/>
      <c r="U173" s="2"/>
      <c r="V173" s="2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</row>
    <row r="174" spans="1:75" s="4" customForma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22"/>
      <c r="L174" s="1"/>
      <c r="M174" s="1"/>
      <c r="N174" s="29"/>
      <c r="O174" s="29"/>
      <c r="P174" s="29"/>
      <c r="Q174" s="2"/>
      <c r="R174" s="2"/>
      <c r="S174" s="2"/>
      <c r="T174" s="2"/>
      <c r="U174" s="2"/>
      <c r="V174" s="2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</row>
    <row r="175" spans="1:75" s="4" customForma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22"/>
      <c r="L175" s="1"/>
      <c r="M175" s="1"/>
      <c r="N175" s="29"/>
      <c r="O175" s="29"/>
      <c r="P175" s="29"/>
      <c r="Q175" s="2"/>
      <c r="R175" s="2"/>
      <c r="S175" s="2"/>
      <c r="T175" s="2"/>
      <c r="U175" s="2"/>
      <c r="V175" s="2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</row>
    <row r="176" spans="1:75" s="4" customForma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22"/>
      <c r="L176" s="1"/>
      <c r="M176" s="1"/>
      <c r="N176" s="29"/>
      <c r="O176" s="29"/>
      <c r="P176" s="29"/>
      <c r="Q176" s="2"/>
      <c r="R176" s="2"/>
      <c r="S176" s="2"/>
      <c r="T176" s="2"/>
      <c r="U176" s="2"/>
      <c r="V176" s="2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</row>
    <row r="177" spans="1:75" s="4" customForma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22"/>
      <c r="L177" s="1"/>
      <c r="M177" s="1"/>
      <c r="N177" s="29"/>
      <c r="O177" s="29"/>
      <c r="P177" s="29"/>
      <c r="Q177" s="2"/>
      <c r="R177" s="2"/>
      <c r="S177" s="2"/>
      <c r="T177" s="2"/>
      <c r="U177" s="2"/>
      <c r="V177" s="2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</row>
    <row r="178" spans="1:75" s="4" customForma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22"/>
      <c r="L178" s="1"/>
      <c r="M178" s="1"/>
      <c r="N178" s="29"/>
      <c r="O178" s="29"/>
      <c r="P178" s="29"/>
      <c r="Q178" s="2"/>
      <c r="R178" s="2"/>
      <c r="S178" s="2"/>
      <c r="T178" s="2"/>
      <c r="U178" s="2"/>
      <c r="V178" s="2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</row>
    <row r="179" spans="1:75" s="4" customForma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22"/>
      <c r="L179" s="1"/>
      <c r="M179" s="1"/>
      <c r="N179" s="29"/>
      <c r="O179" s="29"/>
      <c r="P179" s="29"/>
      <c r="Q179" s="2"/>
      <c r="R179" s="2"/>
      <c r="S179" s="2"/>
      <c r="T179" s="2"/>
      <c r="U179" s="2"/>
      <c r="V179" s="2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</row>
    <row r="180" spans="1:75" s="4" customForma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22"/>
      <c r="L180" s="1"/>
      <c r="M180" s="1"/>
      <c r="N180" s="29"/>
      <c r="O180" s="29"/>
      <c r="P180" s="29"/>
      <c r="Q180" s="2"/>
      <c r="R180" s="2"/>
      <c r="S180" s="2"/>
      <c r="T180" s="2"/>
      <c r="U180" s="2"/>
      <c r="V180" s="2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</row>
    <row r="181" spans="1:75" s="4" customForma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22"/>
      <c r="L181" s="1"/>
      <c r="M181" s="1"/>
      <c r="N181" s="29"/>
      <c r="O181" s="29"/>
      <c r="P181" s="29"/>
      <c r="Q181" s="2"/>
      <c r="R181" s="2"/>
      <c r="S181" s="2"/>
      <c r="T181" s="2"/>
      <c r="U181" s="2"/>
      <c r="V181" s="2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</row>
    <row r="182" spans="1:75" s="4" customForma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22"/>
      <c r="L182" s="1"/>
      <c r="M182" s="1"/>
      <c r="N182" s="29"/>
      <c r="O182" s="29"/>
      <c r="P182" s="29"/>
      <c r="Q182" s="2"/>
      <c r="R182" s="2"/>
      <c r="S182" s="2"/>
      <c r="T182" s="2"/>
      <c r="U182" s="2"/>
      <c r="V182" s="2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</row>
    <row r="183" spans="1:75" s="4" customForma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2"/>
      <c r="L183" s="1"/>
      <c r="M183" s="1"/>
      <c r="N183" s="64"/>
      <c r="O183" s="29"/>
      <c r="P183" s="29"/>
      <c r="Q183" s="2"/>
      <c r="R183" s="2"/>
      <c r="S183" s="2"/>
      <c r="T183" s="2"/>
      <c r="U183" s="2"/>
      <c r="V183" s="2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</row>
    <row r="184" spans="1:75" s="4" customForma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2"/>
      <c r="L184" s="1"/>
      <c r="M184" s="1"/>
      <c r="N184" s="29"/>
      <c r="O184" s="29"/>
      <c r="P184" s="29"/>
      <c r="Q184" s="2"/>
      <c r="R184" s="2"/>
      <c r="S184" s="2"/>
      <c r="T184" s="2"/>
      <c r="U184" s="2"/>
      <c r="V184" s="2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</row>
    <row r="185" spans="1:75" s="4" customForma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2"/>
      <c r="L185" s="1"/>
      <c r="M185" s="1"/>
      <c r="N185" s="29"/>
      <c r="O185" s="29"/>
      <c r="P185" s="29"/>
      <c r="Q185" s="2"/>
      <c r="R185" s="2"/>
      <c r="S185" s="2"/>
      <c r="T185" s="2"/>
      <c r="U185" s="2"/>
      <c r="V185" s="2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</row>
    <row r="186" spans="1:75" s="4" customForma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2"/>
      <c r="L186" s="1"/>
      <c r="M186" s="1"/>
      <c r="N186" s="29"/>
      <c r="O186" s="29"/>
      <c r="P186" s="29"/>
      <c r="Q186" s="2"/>
      <c r="R186" s="2"/>
      <c r="S186" s="2"/>
      <c r="T186" s="2"/>
      <c r="U186" s="2"/>
      <c r="V186" s="2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</row>
    <row r="187" spans="1:75" s="4" customForma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2"/>
      <c r="L187" s="1"/>
      <c r="M187" s="1"/>
      <c r="N187" s="29"/>
      <c r="O187" s="29"/>
      <c r="P187" s="29"/>
      <c r="Q187" s="2"/>
      <c r="R187" s="2"/>
      <c r="S187" s="2"/>
      <c r="T187" s="2"/>
      <c r="U187" s="2"/>
      <c r="V187" s="2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</row>
    <row r="188" spans="1:75" s="4" customForma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2"/>
      <c r="L188" s="1"/>
      <c r="M188" s="1"/>
      <c r="N188" s="29"/>
      <c r="O188" s="29"/>
      <c r="P188" s="29"/>
      <c r="Q188" s="2"/>
      <c r="R188" s="2"/>
      <c r="S188" s="2"/>
      <c r="T188" s="2"/>
      <c r="U188" s="2"/>
      <c r="V188" s="2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</row>
    <row r="189" spans="1:75" s="4" customForma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2"/>
      <c r="L189" s="1"/>
      <c r="M189" s="1"/>
      <c r="N189" s="29"/>
      <c r="O189" s="29"/>
      <c r="P189" s="29"/>
      <c r="Q189" s="2"/>
      <c r="R189" s="2"/>
      <c r="S189" s="2"/>
      <c r="T189" s="2"/>
      <c r="U189" s="2"/>
      <c r="V189" s="2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</row>
    <row r="190" spans="1:75" s="4" customForma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2"/>
      <c r="L190" s="1"/>
      <c r="M190" s="1"/>
      <c r="N190" s="29"/>
      <c r="O190" s="29"/>
      <c r="P190" s="29"/>
      <c r="Q190" s="2"/>
      <c r="R190" s="2"/>
      <c r="S190" s="2"/>
      <c r="T190" s="2"/>
      <c r="U190" s="2"/>
      <c r="V190" s="2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</row>
    <row r="191" spans="1:75" s="4" customForma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2"/>
      <c r="L191" s="1"/>
      <c r="M191" s="1"/>
      <c r="N191" s="29"/>
      <c r="O191" s="29"/>
      <c r="P191" s="29"/>
      <c r="Q191" s="2"/>
      <c r="R191" s="2"/>
      <c r="S191" s="2"/>
      <c r="T191" s="2"/>
      <c r="U191" s="2"/>
      <c r="V191" s="2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</row>
    <row r="192" spans="1:75" s="4" customForma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2"/>
      <c r="L192" s="1"/>
      <c r="M192" s="1"/>
      <c r="N192" s="29"/>
      <c r="O192" s="29"/>
      <c r="P192" s="29"/>
      <c r="Q192" s="2"/>
      <c r="R192" s="2"/>
      <c r="S192" s="2"/>
      <c r="T192" s="2"/>
      <c r="U192" s="2"/>
      <c r="V192" s="2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</row>
    <row r="193" spans="1:75" s="4" customForma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2"/>
      <c r="L193" s="1"/>
      <c r="M193" s="1"/>
      <c r="N193" s="29"/>
      <c r="O193" s="29"/>
      <c r="P193" s="29"/>
      <c r="Q193" s="2"/>
      <c r="R193" s="2"/>
      <c r="S193" s="2"/>
      <c r="T193" s="2"/>
      <c r="U193" s="2"/>
      <c r="V193" s="2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</row>
    <row r="194" spans="1:75" s="4" customForma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2"/>
      <c r="L194" s="1"/>
      <c r="M194" s="1"/>
      <c r="N194" s="29"/>
      <c r="O194" s="29"/>
      <c r="P194" s="29"/>
      <c r="Q194" s="2"/>
      <c r="R194" s="2"/>
      <c r="S194" s="2"/>
      <c r="T194" s="2"/>
      <c r="U194" s="2"/>
      <c r="V194" s="2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</row>
    <row r="195" spans="1:75" s="4" customForma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22"/>
      <c r="L195" s="1"/>
      <c r="M195" s="1"/>
      <c r="N195" s="29"/>
      <c r="O195" s="29"/>
      <c r="P195" s="29"/>
      <c r="Q195" s="2"/>
      <c r="R195" s="2"/>
      <c r="S195" s="2"/>
      <c r="T195" s="2"/>
      <c r="U195" s="2"/>
      <c r="V195" s="2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</row>
    <row r="196" spans="1:75" s="4" customForma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22"/>
      <c r="L196" s="1"/>
      <c r="M196" s="1"/>
      <c r="N196" s="29"/>
      <c r="O196" s="29"/>
      <c r="P196" s="29"/>
      <c r="Q196" s="2"/>
      <c r="R196" s="2"/>
      <c r="S196" s="2"/>
      <c r="T196" s="2"/>
      <c r="U196" s="2"/>
      <c r="V196" s="2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</row>
    <row r="197" spans="1:75" s="4" customForma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22"/>
      <c r="L197" s="1"/>
      <c r="M197" s="1"/>
      <c r="N197" s="29"/>
      <c r="O197" s="29"/>
      <c r="P197" s="29"/>
      <c r="Q197" s="2"/>
      <c r="R197" s="2"/>
      <c r="S197" s="2"/>
      <c r="T197" s="2"/>
      <c r="U197" s="2"/>
      <c r="V197" s="2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</row>
    <row r="198" spans="1:75" s="4" customForma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22"/>
      <c r="L198" s="1"/>
      <c r="M198" s="1"/>
      <c r="N198" s="29"/>
      <c r="O198" s="29"/>
      <c r="P198" s="29"/>
      <c r="Q198" s="2"/>
      <c r="R198" s="2"/>
      <c r="S198" s="2"/>
      <c r="T198" s="2"/>
      <c r="U198" s="2"/>
      <c r="V198" s="2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</row>
    <row r="199" spans="1:75" s="4" customForma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22"/>
      <c r="L199" s="1"/>
      <c r="M199" s="1"/>
      <c r="N199" s="29"/>
      <c r="O199" s="29"/>
      <c r="P199" s="29"/>
      <c r="Q199" s="2"/>
      <c r="R199" s="2"/>
      <c r="S199" s="2"/>
      <c r="T199" s="2"/>
      <c r="U199" s="2"/>
      <c r="V199" s="2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</row>
    <row r="200" spans="1:75" s="4" customForma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22"/>
      <c r="L200" s="1"/>
      <c r="M200" s="1"/>
      <c r="N200" s="29"/>
      <c r="O200" s="29"/>
      <c r="P200" s="29"/>
      <c r="Q200" s="2"/>
      <c r="R200" s="2"/>
      <c r="S200" s="2"/>
      <c r="T200" s="2"/>
      <c r="U200" s="2"/>
      <c r="V200" s="2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</row>
    <row r="201" spans="1:75" s="4" customForma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22"/>
      <c r="L201" s="1"/>
      <c r="M201" s="1"/>
      <c r="N201" s="29"/>
      <c r="O201" s="29"/>
      <c r="P201" s="29"/>
      <c r="Q201" s="2"/>
      <c r="R201" s="2"/>
      <c r="S201" s="2"/>
      <c r="T201" s="2"/>
      <c r="U201" s="2"/>
      <c r="V201" s="2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</row>
    <row r="202" spans="1:75" s="4" customForma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22"/>
      <c r="L202" s="1"/>
      <c r="M202" s="1"/>
      <c r="N202" s="29"/>
      <c r="O202" s="29"/>
      <c r="P202" s="29"/>
      <c r="Q202" s="2"/>
      <c r="R202" s="2"/>
      <c r="S202" s="2"/>
      <c r="T202" s="2"/>
      <c r="U202" s="2"/>
      <c r="V202" s="2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</row>
    <row r="203" spans="1:75" s="4" customForma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22"/>
      <c r="L203" s="1"/>
      <c r="M203" s="1"/>
      <c r="N203" s="29"/>
      <c r="O203" s="29"/>
      <c r="P203" s="29"/>
      <c r="Q203" s="2"/>
      <c r="R203" s="2"/>
      <c r="S203" s="2"/>
      <c r="T203" s="2"/>
      <c r="U203" s="2"/>
      <c r="V203" s="2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</row>
    <row r="204" spans="1:75" s="4" customForma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22"/>
      <c r="L204" s="1"/>
      <c r="M204" s="1"/>
      <c r="N204" s="29"/>
      <c r="O204" s="29"/>
      <c r="P204" s="29"/>
      <c r="Q204" s="2"/>
      <c r="R204" s="2"/>
      <c r="S204" s="2"/>
      <c r="T204" s="2"/>
      <c r="U204" s="2"/>
      <c r="V204" s="2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</row>
    <row r="205" spans="1:75" s="4" customForma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22"/>
      <c r="L205" s="1"/>
      <c r="M205" s="1"/>
      <c r="N205" s="29"/>
      <c r="O205" s="29"/>
      <c r="P205" s="29"/>
      <c r="Q205" s="2"/>
      <c r="R205" s="2"/>
      <c r="S205" s="2"/>
      <c r="T205" s="2"/>
      <c r="U205" s="2"/>
      <c r="V205" s="2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</row>
    <row r="206" spans="1:75" s="4" customForma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22"/>
      <c r="L206" s="1"/>
      <c r="M206" s="1"/>
      <c r="N206" s="29"/>
      <c r="O206" s="29"/>
      <c r="P206" s="29"/>
      <c r="Q206" s="2"/>
      <c r="R206" s="2"/>
      <c r="S206" s="2"/>
      <c r="T206" s="2"/>
      <c r="U206" s="2"/>
      <c r="V206" s="2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</row>
    <row r="207" spans="1:75" s="4" customForma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22"/>
      <c r="L207" s="1"/>
      <c r="M207" s="1"/>
      <c r="N207" s="29"/>
      <c r="O207" s="29"/>
      <c r="P207" s="29"/>
      <c r="Q207" s="2"/>
      <c r="R207" s="2"/>
      <c r="S207" s="2"/>
      <c r="T207" s="2"/>
      <c r="U207" s="2"/>
      <c r="V207" s="2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</row>
    <row r="208" spans="1:75" s="4" customForma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22"/>
      <c r="L208" s="1"/>
      <c r="M208" s="1"/>
      <c r="N208" s="29"/>
      <c r="O208" s="29"/>
      <c r="P208" s="29"/>
      <c r="Q208" s="2"/>
      <c r="R208" s="2"/>
      <c r="S208" s="2"/>
      <c r="T208" s="2"/>
      <c r="U208" s="2"/>
      <c r="V208" s="2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</row>
    <row r="209" spans="1:75" s="4" customForma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22"/>
      <c r="L209" s="1"/>
      <c r="M209" s="1"/>
      <c r="N209" s="29"/>
      <c r="O209" s="29"/>
      <c r="P209" s="29"/>
      <c r="Q209" s="2"/>
      <c r="R209" s="2"/>
      <c r="S209" s="2"/>
      <c r="T209" s="2"/>
      <c r="U209" s="2"/>
      <c r="V209" s="2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</row>
    <row r="210" spans="1:75" s="4" customForma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22"/>
      <c r="L210" s="1"/>
      <c r="M210" s="1"/>
      <c r="N210" s="29"/>
      <c r="O210" s="29"/>
      <c r="P210" s="29"/>
      <c r="Q210" s="2"/>
      <c r="R210" s="2"/>
      <c r="S210" s="2"/>
      <c r="T210" s="2"/>
      <c r="U210" s="2"/>
      <c r="V210" s="2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</row>
    <row r="211" spans="1:75" s="4" customForma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2"/>
      <c r="L211" s="1"/>
      <c r="M211" s="1"/>
      <c r="N211" s="29"/>
      <c r="O211" s="29"/>
      <c r="P211" s="29"/>
      <c r="Q211" s="2"/>
      <c r="R211" s="2"/>
      <c r="S211" s="2"/>
      <c r="T211" s="2"/>
      <c r="U211" s="2"/>
      <c r="V211" s="2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</row>
    <row r="212" spans="1:75" s="4" customForma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2"/>
      <c r="L212" s="1"/>
      <c r="M212" s="1"/>
      <c r="N212" s="29"/>
      <c r="O212" s="29"/>
      <c r="P212" s="29"/>
      <c r="Q212" s="2"/>
      <c r="R212" s="2"/>
      <c r="S212" s="2"/>
      <c r="T212" s="2"/>
      <c r="U212" s="2"/>
      <c r="V212" s="2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</row>
    <row r="213" spans="1:75" s="4" customForma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2"/>
      <c r="L213" s="1"/>
      <c r="M213" s="1"/>
      <c r="N213" s="29"/>
      <c r="O213" s="29"/>
      <c r="P213" s="29"/>
      <c r="Q213" s="2"/>
      <c r="R213" s="2"/>
      <c r="S213" s="2"/>
      <c r="T213" s="2"/>
      <c r="U213" s="2"/>
      <c r="V213" s="2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</row>
    <row r="214" spans="1:75" s="4" customForma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2"/>
      <c r="L214" s="1"/>
      <c r="M214" s="1"/>
      <c r="N214" s="29"/>
      <c r="O214" s="29"/>
      <c r="P214" s="29"/>
      <c r="Q214" s="2"/>
      <c r="R214" s="2"/>
      <c r="S214" s="2"/>
      <c r="T214" s="2"/>
      <c r="U214" s="2"/>
      <c r="V214" s="2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</row>
    <row r="215" spans="1:75" s="4" customForma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2"/>
      <c r="L215" s="1"/>
      <c r="M215" s="1"/>
      <c r="N215" s="29"/>
      <c r="O215" s="29"/>
      <c r="P215" s="29"/>
      <c r="Q215" s="2"/>
      <c r="R215" s="2"/>
      <c r="S215" s="2"/>
      <c r="T215" s="2"/>
      <c r="U215" s="2"/>
      <c r="V215" s="2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</row>
    <row r="216" spans="1:75" s="4" customForma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2"/>
      <c r="L216" s="1"/>
      <c r="M216" s="1"/>
      <c r="N216" s="29"/>
      <c r="O216" s="29"/>
      <c r="P216" s="29"/>
      <c r="Q216" s="2"/>
      <c r="R216" s="2"/>
      <c r="S216" s="2"/>
      <c r="T216" s="2"/>
      <c r="U216" s="2"/>
      <c r="V216" s="2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</row>
    <row r="217" spans="1:75" s="4" customForma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2"/>
      <c r="L217" s="1"/>
      <c r="M217" s="1"/>
      <c r="N217" s="29"/>
      <c r="O217" s="29"/>
      <c r="P217" s="29"/>
      <c r="Q217" s="2"/>
      <c r="R217" s="2"/>
      <c r="S217" s="2"/>
      <c r="T217" s="2"/>
      <c r="U217" s="2"/>
      <c r="V217" s="2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</row>
    <row r="218" spans="1:75" s="4" customForma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2"/>
      <c r="L218" s="1"/>
      <c r="M218" s="1"/>
      <c r="N218" s="29"/>
      <c r="O218" s="29"/>
      <c r="P218" s="29"/>
      <c r="Q218" s="2"/>
      <c r="R218" s="2"/>
      <c r="S218" s="2"/>
      <c r="T218" s="2"/>
      <c r="U218" s="2"/>
      <c r="V218" s="2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</row>
    <row r="219" spans="1:75" s="4" customForma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2"/>
      <c r="L219" s="1"/>
      <c r="M219" s="1"/>
      <c r="N219" s="29"/>
      <c r="O219" s="29"/>
      <c r="P219" s="29"/>
      <c r="Q219" s="2"/>
      <c r="R219" s="2"/>
      <c r="S219" s="2"/>
      <c r="T219" s="2"/>
      <c r="U219" s="2"/>
      <c r="V219" s="2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</row>
    <row r="220" spans="1:75" s="4" customForma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2"/>
      <c r="L220" s="1"/>
      <c r="M220" s="1"/>
      <c r="N220" s="29"/>
      <c r="O220" s="29"/>
      <c r="P220" s="29"/>
      <c r="Q220" s="2"/>
      <c r="R220" s="2"/>
      <c r="S220" s="2"/>
      <c r="T220" s="2"/>
      <c r="U220" s="2"/>
      <c r="V220" s="2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</row>
    <row r="221" spans="1:75" s="4" customForma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2"/>
      <c r="L221" s="1"/>
      <c r="M221" s="1"/>
      <c r="N221" s="29"/>
      <c r="O221" s="29"/>
      <c r="P221" s="29"/>
      <c r="Q221" s="2"/>
      <c r="R221" s="2"/>
      <c r="S221" s="2"/>
      <c r="T221" s="2"/>
      <c r="U221" s="2"/>
      <c r="V221" s="2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</row>
    <row r="222" spans="1:75" s="4" customForma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2"/>
      <c r="L222" s="1"/>
      <c r="M222" s="1"/>
      <c r="N222" s="29"/>
      <c r="O222" s="29"/>
      <c r="P222" s="29"/>
      <c r="Q222" s="2"/>
      <c r="R222" s="2"/>
      <c r="S222" s="2"/>
      <c r="T222" s="2"/>
      <c r="U222" s="2"/>
      <c r="V222" s="2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</row>
    <row r="223" spans="1:75" s="4" customForma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2"/>
      <c r="L223" s="1"/>
      <c r="M223" s="1"/>
      <c r="N223" s="29"/>
      <c r="O223" s="29"/>
      <c r="P223" s="29"/>
      <c r="Q223" s="2"/>
      <c r="R223" s="2"/>
      <c r="S223" s="2"/>
      <c r="T223" s="2"/>
      <c r="U223" s="2"/>
      <c r="V223" s="2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</row>
    <row r="224" spans="1:75" s="4" customForma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2"/>
      <c r="L224" s="1"/>
      <c r="M224" s="1"/>
      <c r="N224" s="33"/>
      <c r="O224" s="33"/>
      <c r="P224" s="33"/>
      <c r="Q224" s="9"/>
      <c r="R224" s="9"/>
      <c r="S224" s="9"/>
      <c r="T224" s="9"/>
      <c r="U224" s="9"/>
      <c r="V224" s="9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</row>
    <row r="225" spans="1:75" s="4" customForma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2"/>
      <c r="L225" s="1"/>
      <c r="M225" s="1"/>
      <c r="N225" s="33"/>
      <c r="O225" s="33"/>
      <c r="P225" s="33"/>
      <c r="Q225" s="9"/>
      <c r="R225" s="9"/>
      <c r="S225" s="9"/>
      <c r="T225" s="9"/>
      <c r="U225" s="9"/>
      <c r="V225" s="9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</row>
    <row r="226" spans="1:75" s="4" customForma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22"/>
      <c r="L226" s="1"/>
      <c r="M226" s="1"/>
      <c r="N226" s="33"/>
      <c r="O226" s="33"/>
      <c r="P226" s="33"/>
      <c r="Q226" s="9"/>
      <c r="R226" s="9"/>
      <c r="S226" s="9"/>
      <c r="T226" s="9"/>
      <c r="U226" s="9"/>
      <c r="V226" s="9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</row>
    <row r="227" spans="1:75" s="4" customForma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22"/>
      <c r="L227" s="1"/>
      <c r="M227" s="1"/>
      <c r="N227" s="33"/>
      <c r="O227" s="33"/>
      <c r="P227" s="33"/>
      <c r="Q227" s="9"/>
      <c r="R227" s="9"/>
      <c r="S227" s="9"/>
      <c r="T227" s="9"/>
      <c r="U227" s="9"/>
      <c r="V227" s="9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</row>
    <row r="228" spans="1:75" s="4" customForma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22"/>
      <c r="L228" s="1"/>
      <c r="M228" s="1"/>
      <c r="N228" s="33"/>
      <c r="O228" s="33"/>
      <c r="P228" s="33"/>
      <c r="Q228" s="9"/>
      <c r="R228" s="9"/>
      <c r="S228" s="9"/>
      <c r="T228" s="9"/>
      <c r="U228" s="9"/>
      <c r="V228" s="9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</row>
    <row r="229" spans="1:75" s="4" customForma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22"/>
      <c r="L229" s="1"/>
      <c r="M229" s="1"/>
      <c r="N229" s="33"/>
      <c r="O229" s="33"/>
      <c r="P229" s="33"/>
      <c r="Q229" s="9"/>
      <c r="R229" s="9"/>
      <c r="S229" s="9"/>
      <c r="T229" s="9"/>
      <c r="U229" s="9"/>
      <c r="V229" s="9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</row>
    <row r="230" spans="1:75" s="4" customForma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22"/>
      <c r="L230" s="1"/>
      <c r="M230" s="1"/>
      <c r="N230" s="33"/>
      <c r="O230" s="33"/>
      <c r="P230" s="33"/>
      <c r="Q230" s="9"/>
      <c r="R230" s="9"/>
      <c r="S230" s="9"/>
      <c r="T230" s="9"/>
      <c r="U230" s="9"/>
      <c r="V230" s="9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</row>
    <row r="231" spans="1:75" s="4" customForma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22"/>
      <c r="L231" s="1"/>
      <c r="M231" s="1"/>
      <c r="N231" s="33"/>
      <c r="O231" s="33"/>
      <c r="P231" s="33"/>
      <c r="Q231" s="9"/>
      <c r="R231" s="9"/>
      <c r="S231" s="9"/>
      <c r="T231" s="9"/>
      <c r="U231" s="9"/>
      <c r="V231" s="9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</row>
    <row r="232" spans="1:75" s="4" customForma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22"/>
      <c r="L232" s="1"/>
      <c r="M232" s="1"/>
      <c r="N232" s="33"/>
      <c r="O232" s="33"/>
      <c r="P232" s="33"/>
      <c r="Q232" s="9"/>
      <c r="R232" s="9"/>
      <c r="S232" s="9"/>
      <c r="T232" s="9"/>
      <c r="U232" s="9"/>
      <c r="V232" s="9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</row>
    <row r="233" spans="1:75" s="4" customForma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22"/>
      <c r="L233" s="1"/>
      <c r="M233" s="1"/>
      <c r="N233" s="33"/>
      <c r="O233" s="33"/>
      <c r="P233" s="33"/>
      <c r="Q233" s="9"/>
      <c r="R233" s="9"/>
      <c r="S233" s="9"/>
      <c r="T233" s="9"/>
      <c r="U233" s="9"/>
      <c r="V233" s="9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</row>
    <row r="234" spans="1:75" s="4" customForma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22"/>
      <c r="L234" s="1"/>
      <c r="M234" s="1"/>
      <c r="N234" s="33"/>
      <c r="O234" s="33"/>
      <c r="P234" s="33"/>
      <c r="Q234" s="9"/>
      <c r="R234" s="9"/>
      <c r="S234" s="9"/>
      <c r="T234" s="9"/>
      <c r="U234" s="9"/>
      <c r="V234" s="9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</row>
    <row r="235" spans="1:75" s="4" customForma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22"/>
      <c r="L235" s="1"/>
      <c r="M235" s="1"/>
      <c r="N235" s="33"/>
      <c r="O235" s="33"/>
      <c r="P235" s="33"/>
      <c r="Q235" s="9"/>
      <c r="R235" s="9"/>
      <c r="S235" s="9"/>
      <c r="T235" s="9"/>
      <c r="U235" s="9"/>
      <c r="V235" s="9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</row>
    <row r="236" spans="1:75" s="4" customForma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22"/>
      <c r="L236" s="1"/>
      <c r="M236" s="1"/>
      <c r="N236" s="33"/>
      <c r="O236" s="33"/>
      <c r="P236" s="33"/>
      <c r="Q236" s="9"/>
      <c r="R236" s="9"/>
      <c r="S236" s="9"/>
      <c r="T236" s="9"/>
      <c r="U236" s="9"/>
      <c r="V236" s="9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</row>
    <row r="237" spans="1:75" s="4" customForma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22"/>
      <c r="L237" s="1"/>
      <c r="M237" s="1"/>
      <c r="N237" s="33"/>
      <c r="O237" s="33"/>
      <c r="P237" s="33"/>
      <c r="Q237" s="9"/>
      <c r="R237" s="9"/>
      <c r="S237" s="9"/>
      <c r="T237" s="9"/>
      <c r="U237" s="9"/>
      <c r="V237" s="9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</row>
    <row r="238" spans="1:75" s="4" customForma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22"/>
      <c r="L238" s="1"/>
      <c r="M238" s="1"/>
      <c r="N238" s="33"/>
      <c r="O238" s="33"/>
      <c r="P238" s="33"/>
      <c r="Q238" s="9"/>
      <c r="R238" s="9"/>
      <c r="S238" s="9"/>
      <c r="T238" s="9"/>
      <c r="U238" s="9"/>
      <c r="V238" s="9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</row>
    <row r="239" spans="1:75" s="4" customForma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2"/>
      <c r="L239" s="1"/>
      <c r="M239" s="1"/>
      <c r="N239" s="33"/>
      <c r="O239" s="33"/>
      <c r="P239" s="33"/>
      <c r="Q239" s="9"/>
      <c r="R239" s="9"/>
      <c r="S239" s="9"/>
      <c r="T239" s="9"/>
      <c r="U239" s="9"/>
      <c r="V239" s="9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</row>
    <row r="240" spans="1:75" s="4" customForma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22"/>
      <c r="L240" s="1"/>
      <c r="M240" s="1"/>
      <c r="N240" s="33"/>
      <c r="O240" s="33"/>
      <c r="P240" s="33"/>
      <c r="Q240" s="9"/>
      <c r="R240" s="9"/>
      <c r="S240" s="9"/>
      <c r="T240" s="9"/>
      <c r="U240" s="9"/>
      <c r="V240" s="9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</row>
    <row r="241" spans="1:75" s="4" customForma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22"/>
      <c r="L241" s="1"/>
      <c r="M241" s="1"/>
      <c r="N241" s="33"/>
      <c r="O241" s="33"/>
      <c r="P241" s="33"/>
      <c r="Q241" s="9"/>
      <c r="R241" s="9"/>
      <c r="S241" s="9"/>
      <c r="T241" s="9"/>
      <c r="U241" s="9"/>
      <c r="V241" s="9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</row>
    <row r="242" spans="1:75" s="4" customForma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22"/>
      <c r="L242" s="1"/>
      <c r="M242" s="1"/>
      <c r="N242" s="33"/>
      <c r="O242" s="33"/>
      <c r="P242" s="33"/>
      <c r="Q242" s="9"/>
      <c r="R242" s="9"/>
      <c r="S242" s="9"/>
      <c r="T242" s="9"/>
      <c r="U242" s="9"/>
      <c r="V242" s="9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</row>
    <row r="243" spans="1:75" s="4" customForma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22"/>
      <c r="L243" s="1"/>
      <c r="M243" s="1"/>
      <c r="N243" s="33"/>
      <c r="O243" s="33"/>
      <c r="P243" s="33"/>
      <c r="Q243" s="9"/>
      <c r="R243" s="9"/>
      <c r="S243" s="9"/>
      <c r="T243" s="9"/>
      <c r="U243" s="9"/>
      <c r="V243" s="9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</row>
    <row r="244" spans="1:75" s="4" customForma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22"/>
      <c r="L244" s="1"/>
      <c r="M244" s="1"/>
      <c r="N244" s="33"/>
      <c r="O244" s="33"/>
      <c r="P244" s="33"/>
      <c r="Q244" s="9"/>
      <c r="R244" s="9"/>
      <c r="S244" s="9"/>
      <c r="T244" s="9"/>
      <c r="U244" s="9"/>
      <c r="V244" s="9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</row>
    <row r="245" spans="1:75" s="4" customForma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22"/>
      <c r="L245" s="1"/>
      <c r="M245" s="1"/>
      <c r="N245" s="33"/>
      <c r="O245" s="33"/>
      <c r="P245" s="33"/>
      <c r="Q245" s="9"/>
      <c r="R245" s="9"/>
      <c r="S245" s="9"/>
      <c r="T245" s="9"/>
      <c r="U245" s="9"/>
      <c r="V245" s="9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</row>
    <row r="246" spans="1:75" s="4" customForma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22"/>
      <c r="L246" s="1"/>
      <c r="M246" s="1"/>
      <c r="N246" s="33"/>
      <c r="O246" s="33"/>
      <c r="P246" s="33"/>
      <c r="Q246" s="9"/>
      <c r="R246" s="9"/>
      <c r="S246" s="9"/>
      <c r="T246" s="9"/>
      <c r="U246" s="9"/>
      <c r="V246" s="9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</row>
    <row r="247" spans="1:75" s="4" customForma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22"/>
      <c r="L247" s="1"/>
      <c r="M247" s="1"/>
      <c r="N247" s="33"/>
      <c r="O247" s="33"/>
      <c r="P247" s="33"/>
      <c r="Q247" s="9"/>
      <c r="R247" s="9"/>
      <c r="S247" s="9"/>
      <c r="T247" s="9"/>
      <c r="U247" s="9"/>
      <c r="V247" s="9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</row>
    <row r="248" spans="1:75" s="4" customForma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22"/>
      <c r="L248" s="1"/>
      <c r="M248" s="1"/>
      <c r="N248" s="33"/>
      <c r="O248" s="33"/>
      <c r="P248" s="33"/>
      <c r="Q248" s="9"/>
      <c r="R248" s="9"/>
      <c r="S248" s="9"/>
      <c r="T248" s="9"/>
      <c r="U248" s="9"/>
      <c r="V248" s="9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</row>
    <row r="249" spans="1:75" s="4" customForma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22"/>
      <c r="L249" s="1"/>
      <c r="M249" s="1"/>
      <c r="N249" s="33"/>
      <c r="O249" s="33"/>
      <c r="P249" s="33"/>
      <c r="Q249" s="9"/>
      <c r="R249" s="9"/>
      <c r="S249" s="9"/>
      <c r="T249" s="9"/>
      <c r="U249" s="9"/>
      <c r="V249" s="9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</row>
    <row r="250" spans="1:75" s="4" customForma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22"/>
      <c r="L250" s="1"/>
      <c r="M250" s="1"/>
      <c r="N250" s="33"/>
      <c r="O250" s="33"/>
      <c r="P250" s="33"/>
      <c r="Q250" s="9"/>
      <c r="R250" s="9"/>
      <c r="S250" s="9"/>
      <c r="T250" s="9"/>
      <c r="U250" s="9"/>
      <c r="V250" s="9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</row>
    <row r="251" spans="1:75" s="4" customForma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22"/>
      <c r="L251" s="1"/>
      <c r="M251" s="1"/>
      <c r="N251" s="33"/>
      <c r="O251" s="33"/>
      <c r="P251" s="33"/>
      <c r="Q251" s="9"/>
      <c r="R251" s="9"/>
      <c r="S251" s="9"/>
      <c r="T251" s="9"/>
      <c r="U251" s="9"/>
      <c r="V251" s="9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</row>
    <row r="252" spans="1:75" s="4" customForma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22"/>
      <c r="L252" s="1"/>
      <c r="M252" s="1"/>
      <c r="N252" s="33"/>
      <c r="O252" s="33"/>
      <c r="P252" s="33"/>
      <c r="Q252" s="9"/>
      <c r="R252" s="9"/>
      <c r="S252" s="9"/>
      <c r="T252" s="9"/>
      <c r="U252" s="9"/>
      <c r="V252" s="9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</row>
    <row r="253" spans="1:75" s="4" customForma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22"/>
      <c r="L253" s="1"/>
      <c r="M253" s="1"/>
      <c r="N253" s="33"/>
      <c r="O253" s="33"/>
      <c r="P253" s="33"/>
      <c r="Q253" s="9"/>
      <c r="R253" s="9"/>
      <c r="S253" s="9"/>
      <c r="T253" s="9"/>
      <c r="U253" s="9"/>
      <c r="V253" s="9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</row>
    <row r="254" spans="1:75" s="4" customForma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2"/>
      <c r="L254" s="1"/>
      <c r="M254" s="1"/>
      <c r="N254" s="33"/>
      <c r="O254" s="33"/>
      <c r="P254" s="33"/>
      <c r="Q254" s="9"/>
      <c r="R254" s="9"/>
      <c r="S254" s="9"/>
      <c r="T254" s="9"/>
      <c r="U254" s="9"/>
      <c r="V254" s="9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</row>
    <row r="255" spans="1:75" s="4" customForma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2"/>
      <c r="L255" s="1"/>
      <c r="M255" s="1"/>
      <c r="N255" s="33"/>
      <c r="O255" s="33"/>
      <c r="P255" s="33"/>
      <c r="Q255" s="9"/>
      <c r="R255" s="9"/>
      <c r="S255" s="9"/>
      <c r="T255" s="9"/>
      <c r="U255" s="9"/>
      <c r="V255" s="9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</row>
    <row r="256" spans="1:75" s="4" customForma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2"/>
      <c r="L256" s="1"/>
      <c r="M256" s="1"/>
      <c r="N256" s="33"/>
      <c r="O256" s="33"/>
      <c r="P256" s="33"/>
      <c r="Q256" s="9"/>
      <c r="R256" s="9"/>
      <c r="S256" s="9"/>
      <c r="T256" s="9"/>
      <c r="U256" s="9"/>
      <c r="V256" s="9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</row>
    <row r="257" spans="1:75" s="4" customForma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2"/>
      <c r="L257" s="1"/>
      <c r="M257" s="1"/>
      <c r="N257" s="33"/>
      <c r="O257" s="33"/>
      <c r="P257" s="33"/>
      <c r="Q257" s="9"/>
      <c r="R257" s="9"/>
      <c r="S257" s="9"/>
      <c r="T257" s="9"/>
      <c r="U257" s="9"/>
      <c r="V257" s="9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</row>
    <row r="258" spans="1:75" s="4" customForma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2"/>
      <c r="L258" s="1"/>
      <c r="M258" s="1"/>
      <c r="N258" s="33"/>
      <c r="O258" s="33"/>
      <c r="P258" s="33"/>
      <c r="Q258" s="9"/>
      <c r="R258" s="9"/>
      <c r="S258" s="9"/>
      <c r="T258" s="9"/>
      <c r="U258" s="9"/>
      <c r="V258" s="9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</row>
    <row r="259" spans="1:75" s="4" customForma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2"/>
      <c r="L259" s="1"/>
      <c r="M259" s="1"/>
      <c r="N259" s="33"/>
      <c r="O259" s="33"/>
      <c r="P259" s="33"/>
      <c r="Q259" s="9"/>
      <c r="R259" s="9"/>
      <c r="S259" s="9"/>
      <c r="T259" s="9"/>
      <c r="U259" s="9"/>
      <c r="V259" s="9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</row>
    <row r="260" spans="1:75" s="4" customForma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2"/>
      <c r="L260" s="1"/>
      <c r="M260" s="1"/>
      <c r="N260" s="33"/>
      <c r="O260" s="33"/>
      <c r="P260" s="33"/>
      <c r="Q260" s="9"/>
      <c r="R260" s="9"/>
      <c r="S260" s="9"/>
      <c r="T260" s="9"/>
      <c r="U260" s="9"/>
      <c r="V260" s="9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</row>
    <row r="261" spans="1:75" s="4" customForma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2"/>
      <c r="L261" s="1"/>
      <c r="M261" s="1"/>
      <c r="N261" s="33"/>
      <c r="O261" s="33"/>
      <c r="P261" s="33"/>
      <c r="Q261" s="9"/>
      <c r="R261" s="9"/>
      <c r="S261" s="9"/>
      <c r="T261" s="9"/>
      <c r="U261" s="9"/>
      <c r="V261" s="9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</row>
    <row r="262" spans="1:75" s="4" customForma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2"/>
      <c r="L262" s="1"/>
      <c r="M262" s="1"/>
      <c r="N262" s="33"/>
      <c r="O262" s="33"/>
      <c r="P262" s="33"/>
      <c r="Q262" s="9"/>
      <c r="R262" s="9"/>
      <c r="S262" s="9"/>
      <c r="T262" s="9"/>
      <c r="U262" s="9"/>
      <c r="V262" s="9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</row>
    <row r="263" spans="1:75" s="4" customForma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2"/>
      <c r="L263" s="1"/>
      <c r="M263" s="1"/>
      <c r="N263" s="33"/>
      <c r="O263" s="33"/>
      <c r="P263" s="33"/>
      <c r="Q263" s="9"/>
      <c r="R263" s="9"/>
      <c r="S263" s="9"/>
      <c r="T263" s="9"/>
      <c r="U263" s="9"/>
      <c r="V263" s="9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</row>
    <row r="264" spans="1:75" s="4" customForma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2"/>
      <c r="L264" s="1"/>
      <c r="M264" s="1"/>
      <c r="N264" s="33"/>
      <c r="O264" s="33"/>
      <c r="P264" s="33"/>
      <c r="Q264" s="9"/>
      <c r="R264" s="9"/>
      <c r="S264" s="9"/>
      <c r="T264" s="9"/>
      <c r="U264" s="9"/>
      <c r="V264" s="9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</row>
    <row r="265" spans="1:75" s="4" customForma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2"/>
      <c r="L265" s="1"/>
      <c r="M265" s="1"/>
      <c r="N265" s="33"/>
      <c r="O265" s="33"/>
      <c r="P265" s="33"/>
      <c r="Q265" s="9"/>
      <c r="R265" s="9"/>
      <c r="S265" s="9"/>
      <c r="T265" s="9"/>
      <c r="U265" s="9"/>
      <c r="V265" s="9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</row>
    <row r="266" spans="1:75" s="4" customForma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2"/>
      <c r="L266" s="1"/>
      <c r="M266" s="1"/>
      <c r="N266" s="33"/>
      <c r="O266" s="33"/>
      <c r="P266" s="33"/>
      <c r="Q266" s="9"/>
      <c r="R266" s="9"/>
      <c r="S266" s="9"/>
      <c r="T266" s="9"/>
      <c r="U266" s="9"/>
      <c r="V266" s="9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</row>
    <row r="267" spans="1:75" s="4" customForma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2"/>
      <c r="L267" s="1"/>
      <c r="M267" s="1"/>
      <c r="N267" s="33"/>
      <c r="O267" s="33"/>
      <c r="P267" s="33"/>
      <c r="Q267" s="9"/>
      <c r="R267" s="9"/>
      <c r="S267" s="9"/>
      <c r="T267" s="9"/>
      <c r="U267" s="9"/>
      <c r="V267" s="9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</row>
    <row r="268" spans="1:75" s="4" customForma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22"/>
      <c r="L268" s="1"/>
      <c r="M268" s="1"/>
      <c r="N268" s="33"/>
      <c r="O268" s="33"/>
      <c r="P268" s="33"/>
      <c r="Q268" s="9"/>
      <c r="R268" s="9"/>
      <c r="S268" s="9"/>
      <c r="T268" s="9"/>
      <c r="U268" s="9"/>
      <c r="V268" s="9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E2C1-C50B-4834-8978-1C45882E2871}">
  <dimension ref="A1:BZ268"/>
  <sheetViews>
    <sheetView topLeftCell="X49" zoomScale="120" zoomScaleNormal="120" workbookViewId="0">
      <selection activeCell="Z59" sqref="Z59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2" customWidth="1"/>
    <col min="12" max="12" width="20.88671875" style="3" customWidth="1"/>
    <col min="13" max="13" width="27.33203125" style="3" customWidth="1"/>
    <col min="14" max="15" width="20.6640625" style="33" customWidth="1"/>
    <col min="16" max="16" width="32.88671875" style="33" customWidth="1"/>
    <col min="17" max="17" width="23.21875" style="9" customWidth="1"/>
    <col min="18" max="18" width="30.88671875" style="9" customWidth="1"/>
    <col min="19" max="19" width="20.6640625" style="9" customWidth="1"/>
    <col min="20" max="20" width="20.6640625" style="19" customWidth="1"/>
    <col min="21" max="21" width="20.6640625" style="9" customWidth="1"/>
    <col min="22" max="22" width="20.6640625" style="19" customWidth="1"/>
    <col min="23" max="25" width="23.77734375" style="9" customWidth="1"/>
    <col min="26" max="26" width="47.33203125" style="9" customWidth="1"/>
    <col min="27" max="27" width="51.6640625" style="27" customWidth="1"/>
    <col min="28" max="16384" width="8.88671875" style="7"/>
  </cols>
  <sheetData>
    <row r="1" spans="1:27" s="43" customFormat="1" ht="53.4" customHeight="1" x14ac:dyDescent="0.3">
      <c r="A1" s="23" t="s">
        <v>7</v>
      </c>
      <c r="B1" s="24" t="s">
        <v>6</v>
      </c>
      <c r="C1" s="23" t="s">
        <v>2</v>
      </c>
      <c r="D1" s="23" t="s">
        <v>1</v>
      </c>
      <c r="E1" s="24" t="s">
        <v>0</v>
      </c>
      <c r="F1" s="23" t="s">
        <v>3</v>
      </c>
      <c r="G1" s="24" t="s">
        <v>11</v>
      </c>
      <c r="H1" s="23" t="s">
        <v>4</v>
      </c>
      <c r="I1" s="24" t="s">
        <v>12</v>
      </c>
      <c r="J1" s="24" t="s">
        <v>8</v>
      </c>
      <c r="K1" s="23" t="s">
        <v>5</v>
      </c>
      <c r="L1" s="24" t="s">
        <v>10</v>
      </c>
      <c r="M1" s="15" t="s">
        <v>40</v>
      </c>
      <c r="N1" s="32" t="s">
        <v>9</v>
      </c>
      <c r="O1" s="32" t="s">
        <v>31</v>
      </c>
      <c r="P1" s="32" t="s">
        <v>37</v>
      </c>
      <c r="Q1" s="26" t="s">
        <v>13</v>
      </c>
      <c r="R1" s="25" t="s">
        <v>24</v>
      </c>
      <c r="S1" s="25" t="s">
        <v>27</v>
      </c>
      <c r="T1" s="17" t="s">
        <v>14</v>
      </c>
      <c r="U1" s="25" t="s">
        <v>15</v>
      </c>
      <c r="V1" s="17" t="s">
        <v>23</v>
      </c>
      <c r="W1" s="25" t="s">
        <v>34</v>
      </c>
      <c r="X1" s="25" t="s">
        <v>41</v>
      </c>
      <c r="Y1" s="25" t="s">
        <v>52</v>
      </c>
      <c r="Z1" s="44" t="s">
        <v>44</v>
      </c>
      <c r="AA1" s="44" t="s">
        <v>45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54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14.995049504950495</v>
      </c>
      <c r="L2" s="2">
        <f>(K2/1000000)</f>
        <v>1.4995049504950496E-5</v>
      </c>
      <c r="M2" s="3">
        <f>(3.142*3.07*3.07*25.4*25.4)/(4*1000000)</f>
        <v>4.7762865441819992E-3</v>
      </c>
      <c r="N2" s="29">
        <f>(L2*J2)/M2</f>
        <v>6.318145764318104E-8</v>
      </c>
      <c r="O2" s="29">
        <f>(2.032/1000)</f>
        <v>2.032E-3</v>
      </c>
      <c r="P2" s="29">
        <v>1.1208581181901367E-10</v>
      </c>
      <c r="Q2" s="2">
        <v>0.31</v>
      </c>
      <c r="R2" s="2">
        <f>(1+Q2)*100000*1</f>
        <v>131000</v>
      </c>
      <c r="S2" s="2">
        <f>(5.24933748552653/1000)</f>
        <v>5.2493374855265302E-3</v>
      </c>
      <c r="T2" s="16">
        <v>0.09</v>
      </c>
      <c r="U2" s="16">
        <f>(1+T2)*100000</f>
        <v>109000.00000000001</v>
      </c>
      <c r="V2" s="16">
        <f t="shared" ref="V2:V33" si="1">(L2*U2)</f>
        <v>1.6344603960396042</v>
      </c>
      <c r="W2" s="2">
        <f>(50/1000000)*100000</f>
        <v>5</v>
      </c>
      <c r="X2" s="2">
        <f t="shared" ref="X2:X33" si="2">(N2+((P2/O2)*(SQRT(V2)-SQRT(W2))))</f>
        <v>1.0359484731476434E-8</v>
      </c>
      <c r="Y2" s="2">
        <f>(SQRT(R2)-(X2*O2/P2))^2</f>
        <v>130864.08600759288</v>
      </c>
      <c r="Z2" s="2">
        <f>(X2*S2)/(Y2-V2)</f>
        <v>4.1555412487489698E-16</v>
      </c>
      <c r="AA2" s="2">
        <f>(Z2*6.022E+23)</f>
        <v>250246693.99966297</v>
      </c>
    </row>
    <row r="3" spans="1:27" x14ac:dyDescent="0.25">
      <c r="A3" s="1">
        <v>3</v>
      </c>
      <c r="B3" s="1">
        <f t="shared" ref="B3:B54" si="3">(A3/60)</f>
        <v>0.05</v>
      </c>
      <c r="C3" s="1">
        <v>20</v>
      </c>
      <c r="D3" s="1">
        <f t="shared" si="0"/>
        <v>29.146000000000001</v>
      </c>
      <c r="E3" s="1">
        <f t="shared" ref="E3:E54" si="4">(D3/(1000000*60))</f>
        <v>4.8576666666666667E-7</v>
      </c>
      <c r="F3" s="1">
        <v>21.1</v>
      </c>
      <c r="G3" s="1">
        <f t="shared" ref="G3:G54" si="5">(273+F3)</f>
        <v>294.10000000000002</v>
      </c>
      <c r="H3" s="1">
        <v>101.3</v>
      </c>
      <c r="I3" s="1">
        <f t="shared" ref="I3:I54" si="6">(H3*1000)</f>
        <v>101300</v>
      </c>
      <c r="J3" s="1">
        <f t="shared" ref="J3:J54" si="7">((I3*E3)/(8.314*G3))</f>
        <v>2.0124824921938581E-5</v>
      </c>
      <c r="K3" s="22">
        <v>14.846534653465348</v>
      </c>
      <c r="L3" s="2">
        <f t="shared" ref="L3:L54" si="8">(K3/1000000)</f>
        <v>1.4846534653465348E-5</v>
      </c>
      <c r="M3" s="3">
        <f t="shared" ref="M3:M54" si="9">(3.142*3.07*3.07*25.4*25.4)/(4*1000000)</f>
        <v>4.7762865441819992E-3</v>
      </c>
      <c r="N3" s="29">
        <f t="shared" ref="N3:N54" si="10">(L3*J3)/M3</f>
        <v>6.2555692133344323E-8</v>
      </c>
      <c r="O3" s="29">
        <f t="shared" ref="O3:O54" si="11">(2.032/1000)</f>
        <v>2.032E-3</v>
      </c>
      <c r="P3" s="29">
        <v>1.1208581181901367E-10</v>
      </c>
      <c r="Q3" s="2">
        <v>0.31</v>
      </c>
      <c r="R3" s="2">
        <f t="shared" ref="R3:R54" si="12">(1+Q3)*100000*1</f>
        <v>131000</v>
      </c>
      <c r="S3" s="2">
        <f t="shared" ref="S3:S54" si="13">(5.24933748552653/1000)</f>
        <v>5.2493374855265302E-3</v>
      </c>
      <c r="T3" s="16">
        <v>0.09</v>
      </c>
      <c r="U3" s="16">
        <f t="shared" ref="U3:U54" si="14">(1+T3)*100000</f>
        <v>109000.00000000001</v>
      </c>
      <c r="V3" s="16">
        <f t="shared" si="1"/>
        <v>1.6182722772277232</v>
      </c>
      <c r="W3" s="2">
        <f t="shared" ref="W3:W54" si="15">(50/1000000)*100000</f>
        <v>5</v>
      </c>
      <c r="X3" s="2">
        <f t="shared" si="2"/>
        <v>9.3836245652841124E-9</v>
      </c>
      <c r="Y3" s="2">
        <f t="shared" ref="Y3:Y54" si="16">(SQRT(R3)-(X3*O3/P3))^2</f>
        <v>130876.88605287208</v>
      </c>
      <c r="Z3" s="2">
        <f t="shared" ref="Z3:Z54" si="17">(X3*S3)/(Y3-V3)</f>
        <v>3.7637219786424029E-16</v>
      </c>
      <c r="AA3" s="2">
        <f t="shared" ref="AA3:AA54" si="18">(Z3*6.022E+23)</f>
        <v>226651337.55384552</v>
      </c>
    </row>
    <row r="4" spans="1:27" x14ac:dyDescent="0.25">
      <c r="A4" s="1">
        <v>6</v>
      </c>
      <c r="B4" s="1">
        <f t="shared" si="3"/>
        <v>0.1</v>
      </c>
      <c r="C4" s="1">
        <v>20</v>
      </c>
      <c r="D4" s="1">
        <f t="shared" si="0"/>
        <v>29.146000000000001</v>
      </c>
      <c r="E4" s="1">
        <f t="shared" si="4"/>
        <v>4.8576666666666667E-7</v>
      </c>
      <c r="F4" s="1">
        <v>21.1</v>
      </c>
      <c r="G4" s="1">
        <f t="shared" si="5"/>
        <v>294.10000000000002</v>
      </c>
      <c r="H4" s="1">
        <v>101.3</v>
      </c>
      <c r="I4" s="1">
        <f t="shared" si="6"/>
        <v>101300</v>
      </c>
      <c r="J4" s="1">
        <f t="shared" si="7"/>
        <v>2.0124824921938581E-5</v>
      </c>
      <c r="K4" s="22">
        <v>16.480198019801978</v>
      </c>
      <c r="L4" s="2">
        <f t="shared" si="8"/>
        <v>1.648019801980198E-5</v>
      </c>
      <c r="M4" s="3">
        <f t="shared" si="9"/>
        <v>4.7762865441819992E-3</v>
      </c>
      <c r="N4" s="29">
        <f t="shared" si="10"/>
        <v>6.9439112741548255E-8</v>
      </c>
      <c r="O4" s="29">
        <f t="shared" si="11"/>
        <v>2.032E-3</v>
      </c>
      <c r="P4" s="29">
        <v>1.1208581181901367E-10</v>
      </c>
      <c r="Q4" s="2">
        <v>0.31</v>
      </c>
      <c r="R4" s="2">
        <f t="shared" si="12"/>
        <v>131000</v>
      </c>
      <c r="S4" s="2">
        <f t="shared" si="13"/>
        <v>5.2493374855265302E-3</v>
      </c>
      <c r="T4" s="16">
        <v>0.09</v>
      </c>
      <c r="U4" s="16">
        <f t="shared" si="14"/>
        <v>109000.00000000001</v>
      </c>
      <c r="V4" s="16">
        <f t="shared" si="1"/>
        <v>1.796341584158416</v>
      </c>
      <c r="W4" s="2">
        <f t="shared" si="15"/>
        <v>5</v>
      </c>
      <c r="X4" s="2">
        <f t="shared" si="2"/>
        <v>2.0026959895602983E-8</v>
      </c>
      <c r="Y4" s="2">
        <f t="shared" si="16"/>
        <v>130737.31464903399</v>
      </c>
      <c r="Z4" s="2">
        <f t="shared" si="17"/>
        <v>8.0412938015739365E-16</v>
      </c>
      <c r="AA4" s="2">
        <f t="shared" si="18"/>
        <v>484246712.73078251</v>
      </c>
    </row>
    <row r="5" spans="1:27" x14ac:dyDescent="0.25">
      <c r="A5" s="1">
        <v>9</v>
      </c>
      <c r="B5" s="1">
        <f t="shared" si="3"/>
        <v>0.15</v>
      </c>
      <c r="C5" s="1">
        <v>20</v>
      </c>
      <c r="D5" s="1">
        <f t="shared" si="0"/>
        <v>29.146000000000001</v>
      </c>
      <c r="E5" s="1">
        <f t="shared" si="4"/>
        <v>4.8576666666666667E-7</v>
      </c>
      <c r="F5" s="1">
        <v>21.1</v>
      </c>
      <c r="G5" s="1">
        <f t="shared" si="5"/>
        <v>294.10000000000002</v>
      </c>
      <c r="H5" s="1">
        <v>101.3</v>
      </c>
      <c r="I5" s="1">
        <f t="shared" si="6"/>
        <v>101300</v>
      </c>
      <c r="J5" s="1">
        <f t="shared" si="7"/>
        <v>2.0124824921938581E-5</v>
      </c>
      <c r="K5" s="22">
        <v>11.851485148514852</v>
      </c>
      <c r="L5" s="2">
        <f t="shared" si="8"/>
        <v>1.1851485148514853E-5</v>
      </c>
      <c r="M5" s="3">
        <f t="shared" si="9"/>
        <v>4.7762865441819992E-3</v>
      </c>
      <c r="N5" s="29">
        <f t="shared" si="10"/>
        <v>4.9936087684970427E-8</v>
      </c>
      <c r="O5" s="29">
        <f t="shared" si="11"/>
        <v>2.032E-3</v>
      </c>
      <c r="P5" s="29">
        <v>1.1208581181901367E-10</v>
      </c>
      <c r="Q5" s="2">
        <v>0.31</v>
      </c>
      <c r="R5" s="2">
        <f t="shared" si="12"/>
        <v>131000</v>
      </c>
      <c r="S5" s="2">
        <f t="shared" si="13"/>
        <v>5.2493374855265302E-3</v>
      </c>
      <c r="T5" s="16">
        <v>0.09</v>
      </c>
      <c r="U5" s="16">
        <f t="shared" si="14"/>
        <v>109000.00000000001</v>
      </c>
      <c r="V5" s="16">
        <f t="shared" si="1"/>
        <v>1.2918118811881192</v>
      </c>
      <c r="W5" s="2">
        <f t="shared" si="15"/>
        <v>5</v>
      </c>
      <c r="X5" s="2">
        <f t="shared" si="2"/>
        <v>-1.0712097242116577E-8</v>
      </c>
      <c r="Y5" s="2">
        <f t="shared" si="16"/>
        <v>131140.61437053283</v>
      </c>
      <c r="Z5" s="2">
        <f t="shared" si="17"/>
        <v>-4.2879139913582049E-16</v>
      </c>
      <c r="AA5" s="2">
        <f t="shared" si="18"/>
        <v>-258218180.55959111</v>
      </c>
    </row>
    <row r="6" spans="1:27" x14ac:dyDescent="0.25">
      <c r="A6" s="1">
        <v>12</v>
      </c>
      <c r="B6" s="1">
        <f t="shared" si="3"/>
        <v>0.2</v>
      </c>
      <c r="C6" s="1">
        <v>20</v>
      </c>
      <c r="D6" s="1">
        <f t="shared" si="0"/>
        <v>29.146000000000001</v>
      </c>
      <c r="E6" s="1">
        <f t="shared" si="4"/>
        <v>4.8576666666666667E-7</v>
      </c>
      <c r="F6" s="1">
        <v>21.1</v>
      </c>
      <c r="G6" s="1">
        <f t="shared" si="5"/>
        <v>294.10000000000002</v>
      </c>
      <c r="H6" s="1">
        <v>101.3</v>
      </c>
      <c r="I6" s="1">
        <f t="shared" si="6"/>
        <v>101300</v>
      </c>
      <c r="J6" s="1">
        <f t="shared" si="7"/>
        <v>2.0124824921938581E-5</v>
      </c>
      <c r="K6" s="22">
        <v>19.747524752475247</v>
      </c>
      <c r="L6" s="2">
        <f t="shared" si="8"/>
        <v>1.9747524752475247E-5</v>
      </c>
      <c r="M6" s="3">
        <f t="shared" si="9"/>
        <v>4.7762865441819992E-3</v>
      </c>
      <c r="N6" s="29">
        <f t="shared" si="10"/>
        <v>8.3205953957956133E-8</v>
      </c>
      <c r="O6" s="29">
        <f t="shared" si="11"/>
        <v>2.032E-3</v>
      </c>
      <c r="P6" s="29">
        <v>1.1208581181901367E-10</v>
      </c>
      <c r="Q6" s="2">
        <v>0.31</v>
      </c>
      <c r="R6" s="2">
        <f t="shared" si="12"/>
        <v>131000</v>
      </c>
      <c r="S6" s="2">
        <f t="shared" si="13"/>
        <v>5.2493374855265302E-3</v>
      </c>
      <c r="T6" s="16">
        <v>0.09</v>
      </c>
      <c r="U6" s="16">
        <f t="shared" si="14"/>
        <v>109000.00000000001</v>
      </c>
      <c r="V6" s="16">
        <f t="shared" si="1"/>
        <v>2.1524801980198021</v>
      </c>
      <c r="W6" s="2">
        <f t="shared" si="15"/>
        <v>5</v>
      </c>
      <c r="X6" s="2">
        <f t="shared" si="2"/>
        <v>4.0791256821196801E-8</v>
      </c>
      <c r="Y6" s="2">
        <f t="shared" si="16"/>
        <v>130465.23632830054</v>
      </c>
      <c r="Z6" s="2">
        <f t="shared" si="17"/>
        <v>1.6412847772520477E-15</v>
      </c>
      <c r="AA6" s="2">
        <f t="shared" si="18"/>
        <v>988381692.86118317</v>
      </c>
    </row>
    <row r="7" spans="1:27" x14ac:dyDescent="0.25">
      <c r="A7" s="1">
        <v>15</v>
      </c>
      <c r="B7" s="1">
        <f t="shared" si="3"/>
        <v>0.25</v>
      </c>
      <c r="C7" s="1">
        <v>20</v>
      </c>
      <c r="D7" s="1">
        <f t="shared" si="0"/>
        <v>29.146000000000001</v>
      </c>
      <c r="E7" s="1">
        <f t="shared" si="4"/>
        <v>4.8576666666666667E-7</v>
      </c>
      <c r="F7" s="1">
        <v>21.1</v>
      </c>
      <c r="G7" s="1">
        <f t="shared" si="5"/>
        <v>294.10000000000002</v>
      </c>
      <c r="H7" s="1">
        <v>101.3</v>
      </c>
      <c r="I7" s="1">
        <f t="shared" si="6"/>
        <v>101300</v>
      </c>
      <c r="J7" s="1">
        <f t="shared" si="7"/>
        <v>2.0124824921938581E-5</v>
      </c>
      <c r="K7" s="22">
        <v>18.831683168316832</v>
      </c>
      <c r="L7" s="2">
        <f t="shared" si="8"/>
        <v>1.8831683168316832E-5</v>
      </c>
      <c r="M7" s="3">
        <f t="shared" si="9"/>
        <v>4.7762865441819992E-3</v>
      </c>
      <c r="N7" s="29">
        <f t="shared" si="10"/>
        <v>7.9347066647296348E-8</v>
      </c>
      <c r="O7" s="29">
        <f t="shared" si="11"/>
        <v>2.032E-3</v>
      </c>
      <c r="P7" s="29">
        <v>1.1208581181901367E-10</v>
      </c>
      <c r="Q7" s="2">
        <v>0.31</v>
      </c>
      <c r="R7" s="2">
        <f t="shared" si="12"/>
        <v>131000</v>
      </c>
      <c r="S7" s="2">
        <f t="shared" si="13"/>
        <v>5.2493374855265302E-3</v>
      </c>
      <c r="T7" s="16">
        <v>0.09</v>
      </c>
      <c r="U7" s="16">
        <f t="shared" si="14"/>
        <v>109000.00000000001</v>
      </c>
      <c r="V7" s="16">
        <f t="shared" si="1"/>
        <v>2.0526534653465349</v>
      </c>
      <c r="W7" s="2">
        <f t="shared" si="15"/>
        <v>5</v>
      </c>
      <c r="X7" s="2">
        <f t="shared" si="2"/>
        <v>3.5033480877830603E-8</v>
      </c>
      <c r="Y7" s="2">
        <f t="shared" si="16"/>
        <v>130540.6531054849</v>
      </c>
      <c r="Z7" s="2">
        <f t="shared" si="17"/>
        <v>1.4087983461111785E-15</v>
      </c>
      <c r="AA7" s="2">
        <f t="shared" si="18"/>
        <v>848378364.02815175</v>
      </c>
    </row>
    <row r="8" spans="1:27" x14ac:dyDescent="0.25">
      <c r="A8" s="1">
        <v>18</v>
      </c>
      <c r="B8" s="1">
        <f t="shared" si="3"/>
        <v>0.3</v>
      </c>
      <c r="C8" s="1">
        <v>20</v>
      </c>
      <c r="D8" s="1">
        <f t="shared" si="0"/>
        <v>29.146000000000001</v>
      </c>
      <c r="E8" s="1">
        <f t="shared" si="4"/>
        <v>4.8576666666666667E-7</v>
      </c>
      <c r="F8" s="1">
        <v>21.1</v>
      </c>
      <c r="G8" s="1">
        <f t="shared" si="5"/>
        <v>294.10000000000002</v>
      </c>
      <c r="H8" s="1">
        <v>101.3</v>
      </c>
      <c r="I8" s="1">
        <f t="shared" si="6"/>
        <v>101300</v>
      </c>
      <c r="J8" s="1">
        <f t="shared" si="7"/>
        <v>2.0124824921938581E-5</v>
      </c>
      <c r="K8" s="22">
        <v>13.782178217821782</v>
      </c>
      <c r="L8" s="2">
        <f t="shared" si="8"/>
        <v>1.3782178217821781E-5</v>
      </c>
      <c r="M8" s="3">
        <f t="shared" si="9"/>
        <v>4.7762865441819992E-3</v>
      </c>
      <c r="N8" s="29">
        <f t="shared" si="10"/>
        <v>5.8071039312847801E-8</v>
      </c>
      <c r="O8" s="29">
        <f t="shared" si="11"/>
        <v>2.032E-3</v>
      </c>
      <c r="P8" s="29">
        <v>1.1208581181901367E-10</v>
      </c>
      <c r="Q8" s="2">
        <v>0.31</v>
      </c>
      <c r="R8" s="2">
        <f t="shared" si="12"/>
        <v>131000</v>
      </c>
      <c r="S8" s="2">
        <f t="shared" si="13"/>
        <v>5.2493374855265302E-3</v>
      </c>
      <c r="T8" s="16">
        <v>0.09</v>
      </c>
      <c r="U8" s="16">
        <f t="shared" si="14"/>
        <v>109000.00000000001</v>
      </c>
      <c r="V8" s="16">
        <f t="shared" si="1"/>
        <v>1.5022574257425743</v>
      </c>
      <c r="W8" s="2">
        <f t="shared" si="15"/>
        <v>5</v>
      </c>
      <c r="X8" s="2">
        <f t="shared" si="2"/>
        <v>2.3369285801829794E-9</v>
      </c>
      <c r="Y8" s="2">
        <f t="shared" si="16"/>
        <v>130969.33388733803</v>
      </c>
      <c r="Z8" s="2">
        <f t="shared" si="17"/>
        <v>9.3666716813466891E-17</v>
      </c>
      <c r="AA8" s="2">
        <f t="shared" si="18"/>
        <v>56406096.865069762</v>
      </c>
    </row>
    <row r="9" spans="1:27" x14ac:dyDescent="0.25">
      <c r="A9" s="1">
        <v>21</v>
      </c>
      <c r="B9" s="1">
        <f t="shared" si="3"/>
        <v>0.35</v>
      </c>
      <c r="C9" s="1">
        <v>20</v>
      </c>
      <c r="D9" s="1">
        <f t="shared" si="0"/>
        <v>29.146000000000001</v>
      </c>
      <c r="E9" s="1">
        <f t="shared" si="4"/>
        <v>4.8576666666666667E-7</v>
      </c>
      <c r="F9" s="1">
        <v>21.1</v>
      </c>
      <c r="G9" s="1">
        <f t="shared" si="5"/>
        <v>294.10000000000002</v>
      </c>
      <c r="H9" s="1">
        <v>101.3</v>
      </c>
      <c r="I9" s="1">
        <f t="shared" si="6"/>
        <v>101300</v>
      </c>
      <c r="J9" s="1">
        <f t="shared" si="7"/>
        <v>2.0124824921938581E-5</v>
      </c>
      <c r="K9" s="22">
        <v>21.183168316831683</v>
      </c>
      <c r="L9" s="2">
        <f t="shared" si="8"/>
        <v>2.1183168316831684E-5</v>
      </c>
      <c r="M9" s="3">
        <f t="shared" si="9"/>
        <v>4.7762865441819992E-3</v>
      </c>
      <c r="N9" s="29">
        <f t="shared" si="10"/>
        <v>8.9255020553044468E-8</v>
      </c>
      <c r="O9" s="29">
        <f t="shared" si="11"/>
        <v>2.032E-3</v>
      </c>
      <c r="P9" s="29">
        <v>1.1208581181901367E-10</v>
      </c>
      <c r="Q9" s="2">
        <v>0.31</v>
      </c>
      <c r="R9" s="2">
        <f t="shared" si="12"/>
        <v>131000</v>
      </c>
      <c r="S9" s="2">
        <f t="shared" si="13"/>
        <v>5.2493374855265302E-3</v>
      </c>
      <c r="T9" s="16">
        <v>0.09</v>
      </c>
      <c r="U9" s="16">
        <f t="shared" si="14"/>
        <v>109000.00000000001</v>
      </c>
      <c r="V9" s="16">
        <f t="shared" si="1"/>
        <v>2.308965346534654</v>
      </c>
      <c r="W9" s="2">
        <f t="shared" si="15"/>
        <v>5</v>
      </c>
      <c r="X9" s="2">
        <f t="shared" si="2"/>
        <v>4.9730431507517443E-8</v>
      </c>
      <c r="Y9" s="2">
        <f t="shared" si="16"/>
        <v>130348.19198024317</v>
      </c>
      <c r="Z9" s="2">
        <f t="shared" si="17"/>
        <v>2.0027622832858216E-15</v>
      </c>
      <c r="AA9" s="2">
        <f t="shared" si="18"/>
        <v>1206063446.9947219</v>
      </c>
    </row>
    <row r="10" spans="1:27" x14ac:dyDescent="0.25">
      <c r="A10" s="1">
        <v>24</v>
      </c>
      <c r="B10" s="1">
        <f t="shared" si="3"/>
        <v>0.4</v>
      </c>
      <c r="C10" s="1">
        <v>20</v>
      </c>
      <c r="D10" s="1">
        <f t="shared" si="0"/>
        <v>29.146000000000001</v>
      </c>
      <c r="E10" s="1">
        <f t="shared" si="4"/>
        <v>4.8576666666666667E-7</v>
      </c>
      <c r="F10" s="1">
        <v>21.1</v>
      </c>
      <c r="G10" s="1">
        <f t="shared" si="5"/>
        <v>294.10000000000002</v>
      </c>
      <c r="H10" s="1">
        <v>101.3</v>
      </c>
      <c r="I10" s="1">
        <f t="shared" si="6"/>
        <v>101300</v>
      </c>
      <c r="J10" s="1">
        <f t="shared" si="7"/>
        <v>2.0124824921938581E-5</v>
      </c>
      <c r="K10" s="22">
        <v>26.67821782178218</v>
      </c>
      <c r="L10" s="2">
        <f t="shared" si="8"/>
        <v>2.6678217821782182E-5</v>
      </c>
      <c r="M10" s="3">
        <f t="shared" si="9"/>
        <v>4.7762865441819992E-3</v>
      </c>
      <c r="N10" s="29">
        <f t="shared" si="10"/>
        <v>1.1240834441700319E-7</v>
      </c>
      <c r="O10" s="29">
        <f t="shared" si="11"/>
        <v>2.032E-3</v>
      </c>
      <c r="P10" s="29">
        <v>1.1208581181901367E-10</v>
      </c>
      <c r="Q10" s="2">
        <v>0.31</v>
      </c>
      <c r="R10" s="2">
        <f t="shared" si="12"/>
        <v>131000</v>
      </c>
      <c r="S10" s="2">
        <f t="shared" si="13"/>
        <v>5.2493374855265302E-3</v>
      </c>
      <c r="T10" s="16">
        <v>0.09</v>
      </c>
      <c r="U10" s="16">
        <f t="shared" si="14"/>
        <v>109000.00000000001</v>
      </c>
      <c r="V10" s="16">
        <f t="shared" si="1"/>
        <v>2.9079257425742582</v>
      </c>
      <c r="W10" s="2">
        <f t="shared" si="15"/>
        <v>5</v>
      </c>
      <c r="X10" s="2">
        <f t="shared" si="2"/>
        <v>8.3129023300648303E-8</v>
      </c>
      <c r="Y10" s="2">
        <f t="shared" si="16"/>
        <v>129911.3549989388</v>
      </c>
      <c r="Z10" s="2">
        <f t="shared" si="17"/>
        <v>3.3590756257861343E-15</v>
      </c>
      <c r="AA10" s="2">
        <f t="shared" si="18"/>
        <v>2022835341.8484101</v>
      </c>
    </row>
    <row r="11" spans="1:27" x14ac:dyDescent="0.25">
      <c r="A11" s="1">
        <v>27</v>
      </c>
      <c r="B11" s="1">
        <f t="shared" si="3"/>
        <v>0.45</v>
      </c>
      <c r="C11" s="1">
        <v>20</v>
      </c>
      <c r="D11" s="1">
        <f t="shared" si="0"/>
        <v>29.146000000000001</v>
      </c>
      <c r="E11" s="1">
        <f t="shared" si="4"/>
        <v>4.8576666666666667E-7</v>
      </c>
      <c r="F11" s="1">
        <v>21.1</v>
      </c>
      <c r="G11" s="1">
        <f t="shared" si="5"/>
        <v>294.10000000000002</v>
      </c>
      <c r="H11" s="1">
        <v>101.3</v>
      </c>
      <c r="I11" s="1">
        <f t="shared" si="6"/>
        <v>101300</v>
      </c>
      <c r="J11" s="1">
        <f t="shared" si="7"/>
        <v>2.0124824921938581E-5</v>
      </c>
      <c r="K11" s="22">
        <v>32.173267326732677</v>
      </c>
      <c r="L11" s="2">
        <f t="shared" si="8"/>
        <v>3.2173267326732675E-5</v>
      </c>
      <c r="M11" s="3">
        <f t="shared" si="9"/>
        <v>4.7762865441819992E-3</v>
      </c>
      <c r="N11" s="29">
        <f t="shared" si="10"/>
        <v>1.3556166828096191E-7</v>
      </c>
      <c r="O11" s="29">
        <f t="shared" si="11"/>
        <v>2.032E-3</v>
      </c>
      <c r="P11" s="29">
        <v>1.1208581181901367E-10</v>
      </c>
      <c r="Q11" s="2">
        <v>0.31</v>
      </c>
      <c r="R11" s="2">
        <f t="shared" si="12"/>
        <v>131000</v>
      </c>
      <c r="S11" s="2">
        <f t="shared" si="13"/>
        <v>5.2493374855265302E-3</v>
      </c>
      <c r="T11" s="16">
        <v>0.09</v>
      </c>
      <c r="U11" s="16">
        <f t="shared" si="14"/>
        <v>109000.00000000001</v>
      </c>
      <c r="V11" s="16">
        <f t="shared" si="1"/>
        <v>3.5068861386138619</v>
      </c>
      <c r="W11" s="2">
        <f t="shared" si="15"/>
        <v>5</v>
      </c>
      <c r="X11" s="2">
        <f t="shared" si="2"/>
        <v>1.1551641211330961E-7</v>
      </c>
      <c r="Y11" s="2">
        <f t="shared" si="16"/>
        <v>129488.44430374246</v>
      </c>
      <c r="Z11" s="2">
        <f t="shared" si="17"/>
        <v>4.683051514665885E-15</v>
      </c>
      <c r="AA11" s="2">
        <f t="shared" si="18"/>
        <v>2820133622.1317959</v>
      </c>
    </row>
    <row r="12" spans="1:27" x14ac:dyDescent="0.25">
      <c r="A12" s="1">
        <v>30</v>
      </c>
      <c r="B12" s="1">
        <f t="shared" si="3"/>
        <v>0.5</v>
      </c>
      <c r="C12" s="1">
        <v>20</v>
      </c>
      <c r="D12" s="1">
        <f t="shared" si="0"/>
        <v>29.146000000000001</v>
      </c>
      <c r="E12" s="1">
        <f t="shared" si="4"/>
        <v>4.8576666666666667E-7</v>
      </c>
      <c r="F12" s="1">
        <v>21.1</v>
      </c>
      <c r="G12" s="1">
        <f t="shared" si="5"/>
        <v>294.10000000000002</v>
      </c>
      <c r="H12" s="1">
        <v>101.3</v>
      </c>
      <c r="I12" s="1">
        <f t="shared" si="6"/>
        <v>101300</v>
      </c>
      <c r="J12" s="1">
        <f t="shared" si="7"/>
        <v>2.0124824921938581E-5</v>
      </c>
      <c r="K12" s="22">
        <v>42.89108910891089</v>
      </c>
      <c r="L12" s="2">
        <f t="shared" si="8"/>
        <v>4.289108910891089E-5</v>
      </c>
      <c r="M12" s="3">
        <f t="shared" si="9"/>
        <v>4.7762865441819992E-3</v>
      </c>
      <c r="N12" s="29">
        <f t="shared" si="10"/>
        <v>1.8072107924084534E-7</v>
      </c>
      <c r="O12" s="29">
        <f t="shared" si="11"/>
        <v>2.032E-3</v>
      </c>
      <c r="P12" s="29">
        <v>1.1208581181901367E-10</v>
      </c>
      <c r="Q12" s="2">
        <v>0.31</v>
      </c>
      <c r="R12" s="2">
        <f t="shared" si="12"/>
        <v>131000</v>
      </c>
      <c r="S12" s="2">
        <f t="shared" si="13"/>
        <v>5.2493374855265302E-3</v>
      </c>
      <c r="T12" s="16">
        <v>0.09</v>
      </c>
      <c r="U12" s="16">
        <f t="shared" si="14"/>
        <v>109000.00000000001</v>
      </c>
      <c r="V12" s="16">
        <f t="shared" si="1"/>
        <v>4.6751287128712873</v>
      </c>
      <c r="W12" s="2">
        <f t="shared" si="15"/>
        <v>5</v>
      </c>
      <c r="X12" s="2">
        <f t="shared" si="2"/>
        <v>1.7664674994294632E-7</v>
      </c>
      <c r="Y12" s="2">
        <f t="shared" si="16"/>
        <v>128692.09044801535</v>
      </c>
      <c r="Z12" s="2">
        <f t="shared" si="17"/>
        <v>7.2056650129397102E-15</v>
      </c>
      <c r="AA12" s="2">
        <f t="shared" si="18"/>
        <v>4339251470.7922935</v>
      </c>
    </row>
    <row r="13" spans="1:27" x14ac:dyDescent="0.25">
      <c r="A13" s="1">
        <v>33</v>
      </c>
      <c r="B13" s="1">
        <f t="shared" si="3"/>
        <v>0.55000000000000004</v>
      </c>
      <c r="C13" s="1">
        <v>20</v>
      </c>
      <c r="D13" s="1">
        <f t="shared" si="0"/>
        <v>29.146000000000001</v>
      </c>
      <c r="E13" s="1">
        <f t="shared" si="4"/>
        <v>4.8576666666666667E-7</v>
      </c>
      <c r="F13" s="1">
        <v>21.1</v>
      </c>
      <c r="G13" s="1">
        <f t="shared" si="5"/>
        <v>294.10000000000002</v>
      </c>
      <c r="H13" s="1">
        <v>101.3</v>
      </c>
      <c r="I13" s="1">
        <f t="shared" si="6"/>
        <v>101300</v>
      </c>
      <c r="J13" s="1">
        <f t="shared" si="7"/>
        <v>2.0124824921938581E-5</v>
      </c>
      <c r="K13" s="22">
        <v>50.094059405940598</v>
      </c>
      <c r="L13" s="2">
        <f t="shared" si="8"/>
        <v>5.0094059405940601E-5</v>
      </c>
      <c r="M13" s="3">
        <f t="shared" si="9"/>
        <v>4.7762865441819992E-3</v>
      </c>
      <c r="N13" s="29">
        <f t="shared" si="10"/>
        <v>2.1107070646792637E-7</v>
      </c>
      <c r="O13" s="29">
        <f t="shared" si="11"/>
        <v>2.032E-3</v>
      </c>
      <c r="P13" s="29">
        <v>1.1208581181901367E-10</v>
      </c>
      <c r="Q13" s="2">
        <v>0.31</v>
      </c>
      <c r="R13" s="2">
        <f t="shared" si="12"/>
        <v>131000</v>
      </c>
      <c r="S13" s="2">
        <f t="shared" si="13"/>
        <v>5.2493374855265302E-3</v>
      </c>
      <c r="T13" s="16">
        <v>0.09</v>
      </c>
      <c r="U13" s="16">
        <f t="shared" si="14"/>
        <v>109000.00000000001</v>
      </c>
      <c r="V13" s="16">
        <f t="shared" si="1"/>
        <v>5.4602524752475263</v>
      </c>
      <c r="W13" s="2">
        <f t="shared" si="15"/>
        <v>5</v>
      </c>
      <c r="X13" s="2">
        <f t="shared" si="2"/>
        <v>2.1662261325281458E-7</v>
      </c>
      <c r="Y13" s="2">
        <f t="shared" si="16"/>
        <v>128172.64740554646</v>
      </c>
      <c r="Z13" s="2">
        <f t="shared" si="17"/>
        <v>8.8722022322502625E-15</v>
      </c>
      <c r="AA13" s="2">
        <f t="shared" si="18"/>
        <v>5342840184.2611084</v>
      </c>
    </row>
    <row r="14" spans="1:27" x14ac:dyDescent="0.25">
      <c r="A14" s="1">
        <v>36</v>
      </c>
      <c r="B14" s="1">
        <f t="shared" si="3"/>
        <v>0.6</v>
      </c>
      <c r="C14" s="1">
        <v>20</v>
      </c>
      <c r="D14" s="1">
        <f t="shared" si="0"/>
        <v>29.146000000000001</v>
      </c>
      <c r="E14" s="1">
        <f t="shared" si="4"/>
        <v>4.8576666666666667E-7</v>
      </c>
      <c r="F14" s="1">
        <v>21.1</v>
      </c>
      <c r="G14" s="1">
        <f t="shared" si="5"/>
        <v>294.10000000000002</v>
      </c>
      <c r="H14" s="1">
        <v>101.3</v>
      </c>
      <c r="I14" s="1">
        <f t="shared" si="6"/>
        <v>101300</v>
      </c>
      <c r="J14" s="1">
        <f t="shared" si="7"/>
        <v>2.0124824921938581E-5</v>
      </c>
      <c r="K14" s="22">
        <v>64.004950495049499</v>
      </c>
      <c r="L14" s="2">
        <f t="shared" si="8"/>
        <v>6.4004950495049495E-5</v>
      </c>
      <c r="M14" s="3">
        <f t="shared" si="9"/>
        <v>4.7762865441819992E-3</v>
      </c>
      <c r="N14" s="29">
        <f t="shared" si="10"/>
        <v>2.6968407588929923E-7</v>
      </c>
      <c r="O14" s="29">
        <f t="shared" si="11"/>
        <v>2.032E-3</v>
      </c>
      <c r="P14" s="29">
        <v>1.1208581181901367E-10</v>
      </c>
      <c r="Q14" s="2">
        <v>0.31</v>
      </c>
      <c r="R14" s="2">
        <f t="shared" si="12"/>
        <v>131000</v>
      </c>
      <c r="S14" s="2">
        <f t="shared" si="13"/>
        <v>5.2493374855265302E-3</v>
      </c>
      <c r="T14" s="16">
        <v>0.09</v>
      </c>
      <c r="U14" s="16">
        <f t="shared" si="14"/>
        <v>109000.00000000001</v>
      </c>
      <c r="V14" s="16">
        <f t="shared" si="1"/>
        <v>6.9765396039603962</v>
      </c>
      <c r="W14" s="2">
        <f t="shared" si="15"/>
        <v>5</v>
      </c>
      <c r="X14" s="2">
        <f t="shared" si="2"/>
        <v>2.920375840161339E-7</v>
      </c>
      <c r="Y14" s="2">
        <f t="shared" si="16"/>
        <v>127195.57160789179</v>
      </c>
      <c r="Z14" s="2">
        <f t="shared" si="17"/>
        <v>1.2052997646018671E-14</v>
      </c>
      <c r="AA14" s="2">
        <f t="shared" si="18"/>
        <v>7258315182.4324436</v>
      </c>
    </row>
    <row r="15" spans="1:27" x14ac:dyDescent="0.25">
      <c r="A15" s="1">
        <v>39</v>
      </c>
      <c r="B15" s="1">
        <f t="shared" si="3"/>
        <v>0.65</v>
      </c>
      <c r="C15" s="1">
        <v>20</v>
      </c>
      <c r="D15" s="1">
        <f t="shared" si="0"/>
        <v>29.146000000000001</v>
      </c>
      <c r="E15" s="1">
        <f t="shared" si="4"/>
        <v>4.8576666666666667E-7</v>
      </c>
      <c r="F15" s="1">
        <v>21.1</v>
      </c>
      <c r="G15" s="1">
        <f t="shared" si="5"/>
        <v>294.10000000000002</v>
      </c>
      <c r="H15" s="1">
        <v>101.3</v>
      </c>
      <c r="I15" s="1">
        <f t="shared" si="6"/>
        <v>101300</v>
      </c>
      <c r="J15" s="1">
        <f t="shared" si="7"/>
        <v>2.0124824921938581E-5</v>
      </c>
      <c r="K15" s="22">
        <v>61.975247524752476</v>
      </c>
      <c r="L15" s="2">
        <f t="shared" si="8"/>
        <v>6.1975247524752474E-5</v>
      </c>
      <c r="M15" s="3">
        <f t="shared" si="9"/>
        <v>4.7762865441819992E-3</v>
      </c>
      <c r="N15" s="29">
        <f t="shared" si="10"/>
        <v>2.6113194725486409E-7</v>
      </c>
      <c r="O15" s="29">
        <f t="shared" si="11"/>
        <v>2.032E-3</v>
      </c>
      <c r="P15" s="29">
        <v>1.1208581181901367E-10</v>
      </c>
      <c r="Q15" s="2">
        <v>0.31</v>
      </c>
      <c r="R15" s="2">
        <f t="shared" si="12"/>
        <v>131000</v>
      </c>
      <c r="S15" s="2">
        <f t="shared" si="13"/>
        <v>5.2493374855265302E-3</v>
      </c>
      <c r="T15" s="16">
        <v>0.09</v>
      </c>
      <c r="U15" s="16">
        <f t="shared" si="14"/>
        <v>109000.00000000001</v>
      </c>
      <c r="V15" s="16">
        <f t="shared" si="1"/>
        <v>6.7553019801980208</v>
      </c>
      <c r="W15" s="2">
        <f t="shared" si="15"/>
        <v>5</v>
      </c>
      <c r="X15" s="2">
        <f t="shared" si="2"/>
        <v>2.8115671740334207E-7</v>
      </c>
      <c r="Y15" s="2">
        <f t="shared" si="16"/>
        <v>127336.31325403122</v>
      </c>
      <c r="Z15" s="2">
        <f t="shared" si="17"/>
        <v>1.1591075314411545E-14</v>
      </c>
      <c r="AA15" s="2">
        <f t="shared" si="18"/>
        <v>6980145554.3386326</v>
      </c>
    </row>
    <row r="16" spans="1:27" x14ac:dyDescent="0.25">
      <c r="A16" s="1">
        <v>42</v>
      </c>
      <c r="B16" s="1">
        <f t="shared" si="3"/>
        <v>0.7</v>
      </c>
      <c r="C16" s="1">
        <v>20</v>
      </c>
      <c r="D16" s="1">
        <f t="shared" si="0"/>
        <v>29.146000000000001</v>
      </c>
      <c r="E16" s="1">
        <f t="shared" si="4"/>
        <v>4.8576666666666667E-7</v>
      </c>
      <c r="F16" s="1">
        <v>21.1</v>
      </c>
      <c r="G16" s="1">
        <f t="shared" si="5"/>
        <v>294.10000000000002</v>
      </c>
      <c r="H16" s="1">
        <v>101.3</v>
      </c>
      <c r="I16" s="1">
        <f t="shared" si="6"/>
        <v>101300</v>
      </c>
      <c r="J16" s="1">
        <f t="shared" si="7"/>
        <v>2.0124824921938581E-5</v>
      </c>
      <c r="K16" s="22">
        <v>65.886138613861391</v>
      </c>
      <c r="L16" s="2">
        <f t="shared" si="8"/>
        <v>6.5886138613861396E-5</v>
      </c>
      <c r="M16" s="3">
        <f t="shared" si="9"/>
        <v>4.7762865441819992E-3</v>
      </c>
      <c r="N16" s="29">
        <f t="shared" si="10"/>
        <v>2.7761043901389787E-7</v>
      </c>
      <c r="O16" s="29">
        <f t="shared" si="11"/>
        <v>2.032E-3</v>
      </c>
      <c r="P16" s="29">
        <v>1.1208581181901367E-10</v>
      </c>
      <c r="Q16" s="2">
        <v>0.31</v>
      </c>
      <c r="R16" s="2">
        <f t="shared" si="12"/>
        <v>131000</v>
      </c>
      <c r="S16" s="2">
        <f t="shared" si="13"/>
        <v>5.2493374855265302E-3</v>
      </c>
      <c r="T16" s="16">
        <v>0.09</v>
      </c>
      <c r="U16" s="16">
        <f t="shared" si="14"/>
        <v>109000.00000000001</v>
      </c>
      <c r="V16" s="16">
        <f t="shared" si="1"/>
        <v>7.1815891089108934</v>
      </c>
      <c r="W16" s="2">
        <f t="shared" si="15"/>
        <v>5</v>
      </c>
      <c r="X16" s="2">
        <f t="shared" si="2"/>
        <v>3.0208953531348084E-7</v>
      </c>
      <c r="Y16" s="2">
        <f t="shared" si="16"/>
        <v>127065.62095640115</v>
      </c>
      <c r="Z16" s="2">
        <f t="shared" si="17"/>
        <v>1.2480634341197166E-14</v>
      </c>
      <c r="AA16" s="2">
        <f t="shared" si="18"/>
        <v>7515838000.2689333</v>
      </c>
    </row>
    <row r="17" spans="1:78" s="4" customFormat="1" x14ac:dyDescent="0.25">
      <c r="A17" s="1">
        <v>45</v>
      </c>
      <c r="B17" s="1">
        <f t="shared" si="3"/>
        <v>0.75</v>
      </c>
      <c r="C17" s="1">
        <v>20</v>
      </c>
      <c r="D17" s="1">
        <f t="shared" si="0"/>
        <v>29.146000000000001</v>
      </c>
      <c r="E17" s="1">
        <f t="shared" si="4"/>
        <v>4.8576666666666667E-7</v>
      </c>
      <c r="F17" s="1">
        <v>21.1</v>
      </c>
      <c r="G17" s="1">
        <f t="shared" si="5"/>
        <v>294.10000000000002</v>
      </c>
      <c r="H17" s="1">
        <v>101.3</v>
      </c>
      <c r="I17" s="1">
        <f t="shared" si="6"/>
        <v>101300</v>
      </c>
      <c r="J17" s="1">
        <f t="shared" si="7"/>
        <v>2.0124824921938581E-5</v>
      </c>
      <c r="K17" s="22">
        <v>68.881188118811878</v>
      </c>
      <c r="L17" s="2">
        <f t="shared" si="8"/>
        <v>6.8881188118811876E-5</v>
      </c>
      <c r="M17" s="3">
        <f t="shared" si="9"/>
        <v>4.7762865441819992E-3</v>
      </c>
      <c r="N17" s="29">
        <f t="shared" si="10"/>
        <v>2.9023004346227169E-7</v>
      </c>
      <c r="O17" s="29">
        <f t="shared" si="11"/>
        <v>2.032E-3</v>
      </c>
      <c r="P17" s="29">
        <v>1.1208581181901367E-10</v>
      </c>
      <c r="Q17" s="2">
        <v>0.31</v>
      </c>
      <c r="R17" s="2">
        <f t="shared" si="12"/>
        <v>131000</v>
      </c>
      <c r="S17" s="2">
        <f t="shared" si="13"/>
        <v>5.2493374855265302E-3</v>
      </c>
      <c r="T17" s="16">
        <v>0.09</v>
      </c>
      <c r="U17" s="16">
        <f t="shared" si="14"/>
        <v>109000.00000000001</v>
      </c>
      <c r="V17" s="16">
        <f t="shared" si="1"/>
        <v>7.5080495049504954</v>
      </c>
      <c r="W17" s="2">
        <f t="shared" si="15"/>
        <v>5</v>
      </c>
      <c r="X17" s="2">
        <f t="shared" si="2"/>
        <v>3.1803162993237483E-7</v>
      </c>
      <c r="Y17" s="2">
        <f t="shared" si="16"/>
        <v>126859.65929962558</v>
      </c>
      <c r="Z17" s="2">
        <f t="shared" si="17"/>
        <v>1.3160638902334176E-14</v>
      </c>
      <c r="AA17" s="2">
        <f t="shared" si="18"/>
        <v>7925336746.9856405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</row>
    <row r="18" spans="1:78" s="4" customFormat="1" x14ac:dyDescent="0.25">
      <c r="A18" s="1">
        <v>48</v>
      </c>
      <c r="B18" s="1">
        <f t="shared" si="3"/>
        <v>0.8</v>
      </c>
      <c r="C18" s="1">
        <v>20</v>
      </c>
      <c r="D18" s="1">
        <f t="shared" si="0"/>
        <v>29.146000000000001</v>
      </c>
      <c r="E18" s="1">
        <f t="shared" si="4"/>
        <v>4.8576666666666667E-7</v>
      </c>
      <c r="F18" s="1">
        <v>21.1</v>
      </c>
      <c r="G18" s="1">
        <f t="shared" si="5"/>
        <v>294.10000000000002</v>
      </c>
      <c r="H18" s="1">
        <v>101.3</v>
      </c>
      <c r="I18" s="1">
        <f t="shared" si="6"/>
        <v>101300</v>
      </c>
      <c r="J18" s="1">
        <f t="shared" si="7"/>
        <v>2.0124824921938581E-5</v>
      </c>
      <c r="K18" s="22">
        <v>70.118811881188122</v>
      </c>
      <c r="L18" s="2">
        <f t="shared" si="8"/>
        <v>7.0118811881188128E-5</v>
      </c>
      <c r="M18" s="3">
        <f t="shared" si="9"/>
        <v>4.7762865441819992E-3</v>
      </c>
      <c r="N18" s="29">
        <f t="shared" si="10"/>
        <v>2.9544475604424439E-7</v>
      </c>
      <c r="O18" s="29">
        <f t="shared" si="11"/>
        <v>2.032E-3</v>
      </c>
      <c r="P18" s="29">
        <v>1.1208581181901367E-10</v>
      </c>
      <c r="Q18" s="2">
        <v>0.31</v>
      </c>
      <c r="R18" s="2">
        <f t="shared" si="12"/>
        <v>131000</v>
      </c>
      <c r="S18" s="2">
        <f t="shared" si="13"/>
        <v>5.2493374855265302E-3</v>
      </c>
      <c r="T18" s="16">
        <v>0.09</v>
      </c>
      <c r="U18" s="16">
        <f t="shared" si="14"/>
        <v>109000.00000000001</v>
      </c>
      <c r="V18" s="16">
        <f t="shared" si="1"/>
        <v>7.6429504950495071</v>
      </c>
      <c r="W18" s="2">
        <f t="shared" si="15"/>
        <v>5</v>
      </c>
      <c r="X18" s="2">
        <f t="shared" si="2"/>
        <v>3.2459813719185656E-7</v>
      </c>
      <c r="Y18" s="2">
        <f t="shared" si="16"/>
        <v>126774.8728063536</v>
      </c>
      <c r="Z18" s="2">
        <f t="shared" si="17"/>
        <v>1.3441369439331873E-14</v>
      </c>
      <c r="AA18" s="2">
        <f t="shared" si="18"/>
        <v>8094392676.365654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</row>
    <row r="19" spans="1:78" s="4" customFormat="1" x14ac:dyDescent="0.25">
      <c r="A19" s="1">
        <v>51</v>
      </c>
      <c r="B19" s="1">
        <f t="shared" si="3"/>
        <v>0.85</v>
      </c>
      <c r="C19" s="1">
        <v>20</v>
      </c>
      <c r="D19" s="1">
        <f t="shared" si="0"/>
        <v>29.146000000000001</v>
      </c>
      <c r="E19" s="1">
        <f t="shared" si="4"/>
        <v>4.8576666666666667E-7</v>
      </c>
      <c r="F19" s="1">
        <v>21.1</v>
      </c>
      <c r="G19" s="1">
        <f t="shared" si="5"/>
        <v>294.10000000000002</v>
      </c>
      <c r="H19" s="1">
        <v>101.3</v>
      </c>
      <c r="I19" s="1">
        <f t="shared" si="6"/>
        <v>101300</v>
      </c>
      <c r="J19" s="1">
        <f t="shared" si="7"/>
        <v>2.0124824921938581E-5</v>
      </c>
      <c r="K19" s="22">
        <v>71.10891089108911</v>
      </c>
      <c r="L19" s="2">
        <f t="shared" si="8"/>
        <v>7.1108910891089116E-5</v>
      </c>
      <c r="M19" s="3">
        <f t="shared" si="9"/>
        <v>4.7762865441819992E-3</v>
      </c>
      <c r="N19" s="29">
        <f t="shared" si="10"/>
        <v>2.9961652610982256E-7</v>
      </c>
      <c r="O19" s="29">
        <f t="shared" si="11"/>
        <v>2.032E-3</v>
      </c>
      <c r="P19" s="29">
        <v>1.1208581181901367E-10</v>
      </c>
      <c r="Q19" s="2">
        <v>0.31</v>
      </c>
      <c r="R19" s="2">
        <f t="shared" si="12"/>
        <v>131000</v>
      </c>
      <c r="S19" s="2">
        <f t="shared" si="13"/>
        <v>5.2493374855265302E-3</v>
      </c>
      <c r="T19" s="16">
        <v>0.09</v>
      </c>
      <c r="U19" s="16">
        <f t="shared" si="14"/>
        <v>109000.00000000001</v>
      </c>
      <c r="V19" s="16">
        <f t="shared" si="1"/>
        <v>7.7508712871287146</v>
      </c>
      <c r="W19" s="2">
        <f t="shared" si="15"/>
        <v>5</v>
      </c>
      <c r="X19" s="2">
        <f t="shared" si="2"/>
        <v>3.2984277578483114E-7</v>
      </c>
      <c r="Y19" s="2">
        <f t="shared" si="16"/>
        <v>126707.17459015937</v>
      </c>
      <c r="Z19" s="2">
        <f t="shared" si="17"/>
        <v>1.3665855742953401E-14</v>
      </c>
      <c r="AA19" s="2">
        <f t="shared" si="18"/>
        <v>8229578328.406538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</row>
    <row r="20" spans="1:78" s="4" customFormat="1" x14ac:dyDescent="0.25">
      <c r="A20" s="1">
        <v>54</v>
      </c>
      <c r="B20" s="1">
        <f t="shared" si="3"/>
        <v>0.9</v>
      </c>
      <c r="C20" s="1">
        <v>20</v>
      </c>
      <c r="D20" s="1">
        <f t="shared" si="0"/>
        <v>29.146000000000001</v>
      </c>
      <c r="E20" s="1">
        <f t="shared" si="4"/>
        <v>4.8576666666666667E-7</v>
      </c>
      <c r="F20" s="1">
        <v>21.1</v>
      </c>
      <c r="G20" s="1">
        <f t="shared" si="5"/>
        <v>294.10000000000002</v>
      </c>
      <c r="H20" s="1">
        <v>101.3</v>
      </c>
      <c r="I20" s="1">
        <f t="shared" si="6"/>
        <v>101300</v>
      </c>
      <c r="J20" s="1">
        <f t="shared" si="7"/>
        <v>2.0124824921938581E-5</v>
      </c>
      <c r="K20" s="22">
        <v>86.653465346534659</v>
      </c>
      <c r="L20" s="2">
        <f t="shared" si="8"/>
        <v>8.6653465346534661E-5</v>
      </c>
      <c r="M20" s="3">
        <f t="shared" si="9"/>
        <v>4.7762865441819992E-3</v>
      </c>
      <c r="N20" s="29">
        <f t="shared" si="10"/>
        <v>3.6511331613939942E-7</v>
      </c>
      <c r="O20" s="29">
        <f t="shared" si="11"/>
        <v>2.032E-3</v>
      </c>
      <c r="P20" s="29">
        <v>1.1208581181901367E-10</v>
      </c>
      <c r="Q20" s="2">
        <v>0.31</v>
      </c>
      <c r="R20" s="2">
        <f t="shared" si="12"/>
        <v>131000</v>
      </c>
      <c r="S20" s="2">
        <f t="shared" si="13"/>
        <v>5.2493374855265302E-3</v>
      </c>
      <c r="T20" s="16">
        <v>0.09</v>
      </c>
      <c r="U20" s="16">
        <f t="shared" si="14"/>
        <v>109000.00000000001</v>
      </c>
      <c r="V20" s="16">
        <f t="shared" si="1"/>
        <v>9.4452277227722785</v>
      </c>
      <c r="W20" s="2">
        <f t="shared" si="15"/>
        <v>5</v>
      </c>
      <c r="X20" s="2">
        <f t="shared" si="2"/>
        <v>4.1129581162158775E-7</v>
      </c>
      <c r="Y20" s="2">
        <f t="shared" si="16"/>
        <v>125658.09318509263</v>
      </c>
      <c r="Z20" s="2">
        <f t="shared" si="17"/>
        <v>1.718307802498421E-14</v>
      </c>
      <c r="AA20" s="2">
        <f t="shared" si="18"/>
        <v>10347649586.645491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</row>
    <row r="21" spans="1:78" s="4" customFormat="1" x14ac:dyDescent="0.25">
      <c r="A21" s="1">
        <v>57</v>
      </c>
      <c r="B21" s="1">
        <f t="shared" si="3"/>
        <v>0.95</v>
      </c>
      <c r="C21" s="1">
        <v>20</v>
      </c>
      <c r="D21" s="1">
        <f t="shared" si="0"/>
        <v>29.146000000000001</v>
      </c>
      <c r="E21" s="1">
        <f t="shared" si="4"/>
        <v>4.8576666666666667E-7</v>
      </c>
      <c r="F21" s="1">
        <v>21.1</v>
      </c>
      <c r="G21" s="1">
        <f t="shared" si="5"/>
        <v>294.10000000000002</v>
      </c>
      <c r="H21" s="1">
        <v>101.3</v>
      </c>
      <c r="I21" s="1">
        <f t="shared" si="6"/>
        <v>101300</v>
      </c>
      <c r="J21" s="1">
        <f t="shared" si="7"/>
        <v>2.0124824921938581E-5</v>
      </c>
      <c r="K21" s="22">
        <v>75.341584158415841</v>
      </c>
      <c r="L21" s="2">
        <f t="shared" si="8"/>
        <v>7.5341584158415836E-5</v>
      </c>
      <c r="M21" s="3">
        <f t="shared" si="9"/>
        <v>4.7762865441819992E-3</v>
      </c>
      <c r="N21" s="29">
        <f t="shared" si="10"/>
        <v>3.1745084314016909E-7</v>
      </c>
      <c r="O21" s="29">
        <f t="shared" si="11"/>
        <v>2.032E-3</v>
      </c>
      <c r="P21" s="29">
        <v>1.1208581181901367E-10</v>
      </c>
      <c r="Q21" s="2">
        <v>0.31</v>
      </c>
      <c r="R21" s="2">
        <f t="shared" si="12"/>
        <v>131000</v>
      </c>
      <c r="S21" s="2">
        <f t="shared" si="13"/>
        <v>5.2493374855265302E-3</v>
      </c>
      <c r="T21" s="16">
        <v>0.09</v>
      </c>
      <c r="U21" s="16">
        <f t="shared" si="14"/>
        <v>109000.00000000001</v>
      </c>
      <c r="V21" s="16">
        <f t="shared" si="1"/>
        <v>8.2122326732673265</v>
      </c>
      <c r="W21" s="2">
        <f t="shared" si="15"/>
        <v>5</v>
      </c>
      <c r="X21" s="2">
        <f t="shared" si="2"/>
        <v>3.5218152313399308E-7</v>
      </c>
      <c r="Y21" s="2">
        <f t="shared" si="16"/>
        <v>126419.02675800242</v>
      </c>
      <c r="Z21" s="2">
        <f t="shared" si="17"/>
        <v>1.4624695505989858E-14</v>
      </c>
      <c r="AA21" s="2">
        <f t="shared" si="18"/>
        <v>8806991633.7070923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</row>
    <row r="22" spans="1:78" s="4" customFormat="1" x14ac:dyDescent="0.25">
      <c r="A22" s="1">
        <v>60</v>
      </c>
      <c r="B22" s="1">
        <f t="shared" si="3"/>
        <v>1</v>
      </c>
      <c r="C22" s="1">
        <v>20</v>
      </c>
      <c r="D22" s="1">
        <f t="shared" si="0"/>
        <v>29.146000000000001</v>
      </c>
      <c r="E22" s="1">
        <f t="shared" si="4"/>
        <v>4.8576666666666667E-7</v>
      </c>
      <c r="F22" s="1">
        <v>21.1</v>
      </c>
      <c r="G22" s="1">
        <f t="shared" si="5"/>
        <v>294.10000000000002</v>
      </c>
      <c r="H22" s="1">
        <v>101.3</v>
      </c>
      <c r="I22" s="1">
        <f t="shared" si="6"/>
        <v>101300</v>
      </c>
      <c r="J22" s="1">
        <f t="shared" si="7"/>
        <v>2.0124824921938581E-5</v>
      </c>
      <c r="K22" s="22">
        <v>76.455445544554465</v>
      </c>
      <c r="L22" s="2">
        <f t="shared" si="8"/>
        <v>7.6455445544554469E-5</v>
      </c>
      <c r="M22" s="3">
        <f t="shared" si="9"/>
        <v>4.7762865441819992E-3</v>
      </c>
      <c r="N22" s="29">
        <f t="shared" si="10"/>
        <v>3.2214408446394455E-7</v>
      </c>
      <c r="O22" s="29">
        <f t="shared" si="11"/>
        <v>2.032E-3</v>
      </c>
      <c r="P22" s="29">
        <v>1.1208581181901367E-10</v>
      </c>
      <c r="Q22" s="2">
        <v>0.31</v>
      </c>
      <c r="R22" s="2">
        <f t="shared" si="12"/>
        <v>131000</v>
      </c>
      <c r="S22" s="2">
        <f t="shared" si="13"/>
        <v>5.2493374855265302E-3</v>
      </c>
      <c r="T22" s="16">
        <v>0.09</v>
      </c>
      <c r="U22" s="16">
        <f t="shared" si="14"/>
        <v>109000.00000000001</v>
      </c>
      <c r="V22" s="16">
        <f t="shared" si="1"/>
        <v>8.3336435643564375</v>
      </c>
      <c r="W22" s="2">
        <f t="shared" si="15"/>
        <v>5</v>
      </c>
      <c r="X22" s="2">
        <f t="shared" si="2"/>
        <v>3.580389645360907E-7</v>
      </c>
      <c r="Y22" s="2">
        <f t="shared" si="16"/>
        <v>126343.52581538197</v>
      </c>
      <c r="Z22" s="2">
        <f t="shared" si="17"/>
        <v>1.48768314315959E-14</v>
      </c>
      <c r="AA22" s="2">
        <f t="shared" si="18"/>
        <v>8958827888.1070518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</row>
    <row r="23" spans="1:78" s="4" customFormat="1" x14ac:dyDescent="0.25">
      <c r="A23" s="1">
        <v>63</v>
      </c>
      <c r="B23" s="1">
        <f t="shared" si="3"/>
        <v>1.05</v>
      </c>
      <c r="C23" s="1">
        <v>20</v>
      </c>
      <c r="D23" s="1">
        <f t="shared" si="0"/>
        <v>29.146000000000001</v>
      </c>
      <c r="E23" s="1">
        <f t="shared" si="4"/>
        <v>4.8576666666666667E-7</v>
      </c>
      <c r="F23" s="1">
        <v>21.1</v>
      </c>
      <c r="G23" s="1">
        <f t="shared" si="5"/>
        <v>294.10000000000002</v>
      </c>
      <c r="H23" s="1">
        <v>101.3</v>
      </c>
      <c r="I23" s="1">
        <f t="shared" si="6"/>
        <v>101300</v>
      </c>
      <c r="J23" s="1">
        <f t="shared" si="7"/>
        <v>2.0124824921938581E-5</v>
      </c>
      <c r="K23" s="22">
        <v>81.801980198019805</v>
      </c>
      <c r="L23" s="2">
        <f t="shared" si="8"/>
        <v>8.1801980198019809E-5</v>
      </c>
      <c r="M23" s="3">
        <f t="shared" si="9"/>
        <v>4.7762865441819992E-3</v>
      </c>
      <c r="N23" s="29">
        <f t="shared" si="10"/>
        <v>3.4467164281806654E-7</v>
      </c>
      <c r="O23" s="29">
        <f t="shared" si="11"/>
        <v>2.032E-3</v>
      </c>
      <c r="P23" s="29">
        <v>1.1208581181901367E-10</v>
      </c>
      <c r="Q23" s="2">
        <v>0.31</v>
      </c>
      <c r="R23" s="2">
        <f t="shared" si="12"/>
        <v>131000</v>
      </c>
      <c r="S23" s="2">
        <f t="shared" si="13"/>
        <v>5.2493374855265302E-3</v>
      </c>
      <c r="T23" s="16">
        <v>0.09</v>
      </c>
      <c r="U23" s="16">
        <f t="shared" si="14"/>
        <v>109000.00000000001</v>
      </c>
      <c r="V23" s="16">
        <f t="shared" si="1"/>
        <v>8.9164158415841612</v>
      </c>
      <c r="W23" s="2">
        <f t="shared" si="15"/>
        <v>5</v>
      </c>
      <c r="X23" s="2">
        <f t="shared" si="2"/>
        <v>3.8604017905551289E-7</v>
      </c>
      <c r="Y23" s="2">
        <f t="shared" si="16"/>
        <v>125982.90881780244</v>
      </c>
      <c r="Z23" s="2">
        <f t="shared" si="17"/>
        <v>1.6086298006412431E-14</v>
      </c>
      <c r="AA23" s="2">
        <f t="shared" si="18"/>
        <v>9687168659.4615669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</row>
    <row r="24" spans="1:78" s="4" customFormat="1" x14ac:dyDescent="0.25">
      <c r="A24" s="1">
        <v>66</v>
      </c>
      <c r="B24" s="1">
        <f t="shared" si="3"/>
        <v>1.1000000000000001</v>
      </c>
      <c r="C24" s="1">
        <v>20</v>
      </c>
      <c r="D24" s="1">
        <f t="shared" si="0"/>
        <v>29.146000000000001</v>
      </c>
      <c r="E24" s="1">
        <f t="shared" si="4"/>
        <v>4.8576666666666667E-7</v>
      </c>
      <c r="F24" s="1">
        <v>21.1</v>
      </c>
      <c r="G24" s="1">
        <f t="shared" si="5"/>
        <v>294.10000000000002</v>
      </c>
      <c r="H24" s="1">
        <v>101.3</v>
      </c>
      <c r="I24" s="1">
        <f t="shared" si="6"/>
        <v>101300</v>
      </c>
      <c r="J24" s="1">
        <f t="shared" si="7"/>
        <v>2.0124824921938581E-5</v>
      </c>
      <c r="K24" s="22">
        <v>86.10891089108911</v>
      </c>
      <c r="L24" s="2">
        <f t="shared" si="8"/>
        <v>8.6108910891089115E-5</v>
      </c>
      <c r="M24" s="3">
        <f t="shared" si="9"/>
        <v>4.7762865441819992E-3</v>
      </c>
      <c r="N24" s="29">
        <f t="shared" si="10"/>
        <v>3.6281884260333145E-7</v>
      </c>
      <c r="O24" s="29">
        <f t="shared" si="11"/>
        <v>2.032E-3</v>
      </c>
      <c r="P24" s="29">
        <v>1.1208581181901367E-10</v>
      </c>
      <c r="Q24" s="2">
        <v>0.31</v>
      </c>
      <c r="R24" s="2">
        <f t="shared" si="12"/>
        <v>131000</v>
      </c>
      <c r="S24" s="2">
        <f t="shared" si="13"/>
        <v>5.2493374855265302E-3</v>
      </c>
      <c r="T24" s="16">
        <v>0.09</v>
      </c>
      <c r="U24" s="16">
        <f t="shared" si="14"/>
        <v>109000.00000000001</v>
      </c>
      <c r="V24" s="16">
        <f t="shared" si="1"/>
        <v>9.3858712871287153</v>
      </c>
      <c r="W24" s="2">
        <f t="shared" si="15"/>
        <v>5</v>
      </c>
      <c r="X24" s="2">
        <f t="shared" si="2"/>
        <v>4.0846782821365449E-7</v>
      </c>
      <c r="Y24" s="2">
        <f t="shared" si="16"/>
        <v>125694.44336392966</v>
      </c>
      <c r="Z24" s="2">
        <f t="shared" si="17"/>
        <v>1.7059987281296873E-14</v>
      </c>
      <c r="AA24" s="2">
        <f t="shared" si="18"/>
        <v>10273524340.796978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</row>
    <row r="25" spans="1:78" s="4" customFormat="1" x14ac:dyDescent="0.25">
      <c r="A25" s="1">
        <v>69</v>
      </c>
      <c r="B25" s="1">
        <f t="shared" si="3"/>
        <v>1.1499999999999999</v>
      </c>
      <c r="C25" s="1">
        <v>20</v>
      </c>
      <c r="D25" s="1">
        <f t="shared" si="0"/>
        <v>29.146000000000001</v>
      </c>
      <c r="E25" s="1">
        <f t="shared" si="4"/>
        <v>4.8576666666666667E-7</v>
      </c>
      <c r="F25" s="1">
        <v>21.1</v>
      </c>
      <c r="G25" s="1">
        <f t="shared" si="5"/>
        <v>294.10000000000002</v>
      </c>
      <c r="H25" s="1">
        <v>101.3</v>
      </c>
      <c r="I25" s="1">
        <f t="shared" si="6"/>
        <v>101300</v>
      </c>
      <c r="J25" s="1">
        <f t="shared" si="7"/>
        <v>2.0124824921938581E-5</v>
      </c>
      <c r="K25" s="22">
        <v>84.648514851485146</v>
      </c>
      <c r="L25" s="2">
        <f t="shared" si="8"/>
        <v>8.4648514851485142E-5</v>
      </c>
      <c r="M25" s="3">
        <f t="shared" si="9"/>
        <v>4.7762865441819992E-3</v>
      </c>
      <c r="N25" s="29">
        <f t="shared" si="10"/>
        <v>3.5666548175660365E-7</v>
      </c>
      <c r="O25" s="29">
        <f t="shared" si="11"/>
        <v>2.032E-3</v>
      </c>
      <c r="P25" s="29">
        <v>1.1208581181901367E-10</v>
      </c>
      <c r="Q25" s="2">
        <v>0.31</v>
      </c>
      <c r="R25" s="2">
        <f t="shared" si="12"/>
        <v>131000</v>
      </c>
      <c r="S25" s="2">
        <f t="shared" si="13"/>
        <v>5.2493374855265302E-3</v>
      </c>
      <c r="T25" s="16">
        <v>0.09</v>
      </c>
      <c r="U25" s="16">
        <f t="shared" si="14"/>
        <v>109000.00000000001</v>
      </c>
      <c r="V25" s="16">
        <f t="shared" si="1"/>
        <v>9.2266881188118823</v>
      </c>
      <c r="W25" s="2">
        <f t="shared" si="15"/>
        <v>5</v>
      </c>
      <c r="X25" s="2">
        <f t="shared" si="2"/>
        <v>4.0087530429361882E-7</v>
      </c>
      <c r="Y25" s="2">
        <f t="shared" si="16"/>
        <v>125792.06173651494</v>
      </c>
      <c r="Z25" s="2">
        <f t="shared" si="17"/>
        <v>1.6729864301760148E-14</v>
      </c>
      <c r="AA25" s="2">
        <f t="shared" si="18"/>
        <v>10074724282.519962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</row>
    <row r="26" spans="1:78" s="4" customFormat="1" x14ac:dyDescent="0.25">
      <c r="A26" s="1">
        <v>72</v>
      </c>
      <c r="B26" s="1">
        <f t="shared" si="3"/>
        <v>1.2</v>
      </c>
      <c r="C26" s="1">
        <v>20</v>
      </c>
      <c r="D26" s="1">
        <f t="shared" si="0"/>
        <v>29.146000000000001</v>
      </c>
      <c r="E26" s="1">
        <f t="shared" si="4"/>
        <v>4.8576666666666667E-7</v>
      </c>
      <c r="F26" s="1">
        <v>21.1</v>
      </c>
      <c r="G26" s="1">
        <f t="shared" si="5"/>
        <v>294.10000000000002</v>
      </c>
      <c r="H26" s="1">
        <v>101.3</v>
      </c>
      <c r="I26" s="1">
        <f t="shared" si="6"/>
        <v>101300</v>
      </c>
      <c r="J26" s="1">
        <f t="shared" si="7"/>
        <v>2.0124824921938581E-5</v>
      </c>
      <c r="K26" s="22">
        <v>84.450495049504951</v>
      </c>
      <c r="L26" s="2">
        <f t="shared" si="8"/>
        <v>8.4450495049504949E-5</v>
      </c>
      <c r="M26" s="3">
        <f t="shared" si="9"/>
        <v>4.7762865441819992E-3</v>
      </c>
      <c r="N26" s="29">
        <f t="shared" si="10"/>
        <v>3.5583112774348803E-7</v>
      </c>
      <c r="O26" s="29">
        <f t="shared" si="11"/>
        <v>2.032E-3</v>
      </c>
      <c r="P26" s="29">
        <v>1.1208581181901367E-10</v>
      </c>
      <c r="Q26" s="2">
        <v>0.31</v>
      </c>
      <c r="R26" s="2">
        <f t="shared" si="12"/>
        <v>131000</v>
      </c>
      <c r="S26" s="2">
        <f t="shared" si="13"/>
        <v>5.2493374855265302E-3</v>
      </c>
      <c r="T26" s="16">
        <v>0.09</v>
      </c>
      <c r="U26" s="16">
        <f t="shared" si="14"/>
        <v>109000.00000000001</v>
      </c>
      <c r="V26" s="16">
        <f t="shared" si="1"/>
        <v>9.2051039603960412</v>
      </c>
      <c r="W26" s="2">
        <f t="shared" si="15"/>
        <v>5</v>
      </c>
      <c r="X26" s="2">
        <f t="shared" si="2"/>
        <v>3.9984485671051066E-7</v>
      </c>
      <c r="Y26" s="2">
        <f t="shared" si="16"/>
        <v>125805.31329682373</v>
      </c>
      <c r="Z26" s="2">
        <f t="shared" si="17"/>
        <v>1.6685099601869428E-14</v>
      </c>
      <c r="AA26" s="2">
        <f t="shared" si="18"/>
        <v>10047766980.24577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</row>
    <row r="27" spans="1:78" s="4" customFormat="1" x14ac:dyDescent="0.25">
      <c r="A27" s="1">
        <v>75</v>
      </c>
      <c r="B27" s="1">
        <f t="shared" si="3"/>
        <v>1.25</v>
      </c>
      <c r="C27" s="1">
        <v>20</v>
      </c>
      <c r="D27" s="1">
        <f t="shared" si="0"/>
        <v>29.146000000000001</v>
      </c>
      <c r="E27" s="1">
        <f t="shared" si="4"/>
        <v>4.8576666666666667E-7</v>
      </c>
      <c r="F27" s="1">
        <v>21.1</v>
      </c>
      <c r="G27" s="1">
        <f t="shared" si="5"/>
        <v>294.10000000000002</v>
      </c>
      <c r="H27" s="1">
        <v>101.3</v>
      </c>
      <c r="I27" s="1">
        <f t="shared" si="6"/>
        <v>101300</v>
      </c>
      <c r="J27" s="1">
        <f t="shared" si="7"/>
        <v>2.0124824921938581E-5</v>
      </c>
      <c r="K27" s="22">
        <v>91.133663366336634</v>
      </c>
      <c r="L27" s="2">
        <f t="shared" si="8"/>
        <v>9.113366336633663E-5</v>
      </c>
      <c r="M27" s="3">
        <f t="shared" si="9"/>
        <v>4.7762865441819992E-3</v>
      </c>
      <c r="N27" s="29">
        <f t="shared" si="10"/>
        <v>3.8399057568614053E-7</v>
      </c>
      <c r="O27" s="29">
        <f t="shared" si="11"/>
        <v>2.032E-3</v>
      </c>
      <c r="P27" s="29">
        <v>1.1208581181901367E-10</v>
      </c>
      <c r="Q27" s="2">
        <v>0.31</v>
      </c>
      <c r="R27" s="2">
        <f t="shared" si="12"/>
        <v>131000</v>
      </c>
      <c r="S27" s="2">
        <f t="shared" si="13"/>
        <v>5.2493374855265302E-3</v>
      </c>
      <c r="T27" s="16">
        <v>0.09</v>
      </c>
      <c r="U27" s="16">
        <f t="shared" si="14"/>
        <v>109000.00000000001</v>
      </c>
      <c r="V27" s="16">
        <f t="shared" si="1"/>
        <v>9.9335693069306945</v>
      </c>
      <c r="W27" s="2">
        <f t="shared" si="15"/>
        <v>5</v>
      </c>
      <c r="X27" s="2">
        <f t="shared" si="2"/>
        <v>4.3450026872153607E-7</v>
      </c>
      <c r="Y27" s="2">
        <f t="shared" si="16"/>
        <v>125360.02753330258</v>
      </c>
      <c r="Z27" s="2">
        <f t="shared" si="17"/>
        <v>1.8195746616084993E-14</v>
      </c>
      <c r="AA27" s="2">
        <f t="shared" si="18"/>
        <v>10957478612.206383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</row>
    <row r="28" spans="1:78" s="4" customFormat="1" x14ac:dyDescent="0.25">
      <c r="A28" s="1">
        <v>78</v>
      </c>
      <c r="B28" s="1">
        <f t="shared" si="3"/>
        <v>1.3</v>
      </c>
      <c r="C28" s="1">
        <v>20</v>
      </c>
      <c r="D28" s="1">
        <f t="shared" si="0"/>
        <v>29.146000000000001</v>
      </c>
      <c r="E28" s="1">
        <f t="shared" si="4"/>
        <v>4.8576666666666667E-7</v>
      </c>
      <c r="F28" s="1">
        <v>21.1</v>
      </c>
      <c r="G28" s="1">
        <f t="shared" si="5"/>
        <v>294.10000000000002</v>
      </c>
      <c r="H28" s="1">
        <v>101.3</v>
      </c>
      <c r="I28" s="1">
        <f t="shared" si="6"/>
        <v>101300</v>
      </c>
      <c r="J28" s="1">
        <f t="shared" si="7"/>
        <v>2.0124824921938581E-5</v>
      </c>
      <c r="K28" s="22">
        <v>89.821782178217831</v>
      </c>
      <c r="L28" s="2">
        <f t="shared" si="8"/>
        <v>8.9821782178217831E-5</v>
      </c>
      <c r="M28" s="3">
        <f t="shared" si="9"/>
        <v>4.7762865441819992E-3</v>
      </c>
      <c r="N28" s="29">
        <f t="shared" si="10"/>
        <v>3.784629803492495E-7</v>
      </c>
      <c r="O28" s="29">
        <f t="shared" si="11"/>
        <v>2.032E-3</v>
      </c>
      <c r="P28" s="29">
        <v>1.1208581181901367E-10</v>
      </c>
      <c r="Q28" s="2">
        <v>0.31</v>
      </c>
      <c r="R28" s="2">
        <f t="shared" si="12"/>
        <v>131000</v>
      </c>
      <c r="S28" s="2">
        <f t="shared" si="13"/>
        <v>5.2493374855265302E-3</v>
      </c>
      <c r="T28" s="16">
        <v>0.09</v>
      </c>
      <c r="U28" s="16">
        <f t="shared" si="14"/>
        <v>109000.00000000001</v>
      </c>
      <c r="V28" s="16">
        <f t="shared" si="1"/>
        <v>9.7905742574257442</v>
      </c>
      <c r="W28" s="2">
        <f t="shared" si="15"/>
        <v>5</v>
      </c>
      <c r="X28" s="2">
        <f t="shared" si="2"/>
        <v>4.2771682642499872E-7</v>
      </c>
      <c r="Y28" s="2">
        <f t="shared" si="16"/>
        <v>125447.12552626233</v>
      </c>
      <c r="Z28" s="2">
        <f t="shared" si="17"/>
        <v>1.7899216138498675E-14</v>
      </c>
      <c r="AA28" s="2">
        <f t="shared" si="18"/>
        <v>10778907958.603903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</row>
    <row r="29" spans="1:78" s="4" customFormat="1" x14ac:dyDescent="0.25">
      <c r="A29" s="1">
        <v>81</v>
      </c>
      <c r="B29" s="1">
        <f t="shared" si="3"/>
        <v>1.35</v>
      </c>
      <c r="C29" s="1">
        <v>20</v>
      </c>
      <c r="D29" s="1">
        <f t="shared" si="0"/>
        <v>29.146000000000001</v>
      </c>
      <c r="E29" s="1">
        <f t="shared" si="4"/>
        <v>4.8576666666666667E-7</v>
      </c>
      <c r="F29" s="1">
        <v>21.1</v>
      </c>
      <c r="G29" s="1">
        <f t="shared" si="5"/>
        <v>294.10000000000002</v>
      </c>
      <c r="H29" s="1">
        <v>101.3</v>
      </c>
      <c r="I29" s="1">
        <f t="shared" si="6"/>
        <v>101300</v>
      </c>
      <c r="J29" s="1">
        <f t="shared" si="7"/>
        <v>2.0124824921938581E-5</v>
      </c>
      <c r="K29" s="22">
        <v>86.777227722772281</v>
      </c>
      <c r="L29" s="2">
        <f t="shared" si="8"/>
        <v>8.6777227722772279E-5</v>
      </c>
      <c r="M29" s="3">
        <f t="shared" si="9"/>
        <v>4.7762865441819992E-3</v>
      </c>
      <c r="N29" s="29">
        <f t="shared" si="10"/>
        <v>3.6563478739759671E-7</v>
      </c>
      <c r="O29" s="29">
        <f t="shared" si="11"/>
        <v>2.032E-3</v>
      </c>
      <c r="P29" s="29">
        <v>1.1208581181901367E-10</v>
      </c>
      <c r="Q29" s="2">
        <v>0.31</v>
      </c>
      <c r="R29" s="2">
        <f t="shared" si="12"/>
        <v>131000</v>
      </c>
      <c r="S29" s="2">
        <f t="shared" si="13"/>
        <v>5.2493374855265302E-3</v>
      </c>
      <c r="T29" s="16">
        <v>0.09</v>
      </c>
      <c r="U29" s="16">
        <f t="shared" si="14"/>
        <v>109000.00000000001</v>
      </c>
      <c r="V29" s="16">
        <f t="shared" si="1"/>
        <v>9.4587178217821801</v>
      </c>
      <c r="W29" s="2">
        <f t="shared" si="15"/>
        <v>5</v>
      </c>
      <c r="X29" s="2">
        <f t="shared" si="2"/>
        <v>4.1193830113195704E-7</v>
      </c>
      <c r="Y29" s="2">
        <f t="shared" si="16"/>
        <v>125649.83552130377</v>
      </c>
      <c r="Z29" s="2">
        <f t="shared" si="17"/>
        <v>1.721105285475528E-14</v>
      </c>
      <c r="AA29" s="2">
        <f t="shared" si="18"/>
        <v>10364496029.133631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 spans="1:78" s="4" customFormat="1" x14ac:dyDescent="0.25">
      <c r="A30" s="1">
        <v>84</v>
      </c>
      <c r="B30" s="1">
        <f t="shared" si="3"/>
        <v>1.4</v>
      </c>
      <c r="C30" s="1">
        <v>20</v>
      </c>
      <c r="D30" s="1">
        <f t="shared" si="0"/>
        <v>29.146000000000001</v>
      </c>
      <c r="E30" s="1">
        <f t="shared" si="4"/>
        <v>4.8576666666666667E-7</v>
      </c>
      <c r="F30" s="1">
        <v>21.1</v>
      </c>
      <c r="G30" s="1">
        <f t="shared" si="5"/>
        <v>294.10000000000002</v>
      </c>
      <c r="H30" s="1">
        <v>101.3</v>
      </c>
      <c r="I30" s="1">
        <f t="shared" si="6"/>
        <v>101300</v>
      </c>
      <c r="J30" s="1">
        <f t="shared" si="7"/>
        <v>2.0124824921938581E-5</v>
      </c>
      <c r="K30" s="22">
        <v>87.569306930693074</v>
      </c>
      <c r="L30" s="2">
        <f t="shared" si="8"/>
        <v>8.7569306930693075E-5</v>
      </c>
      <c r="M30" s="3">
        <f t="shared" si="9"/>
        <v>4.7762865441819992E-3</v>
      </c>
      <c r="N30" s="29">
        <f t="shared" si="10"/>
        <v>3.689722034500592E-7</v>
      </c>
      <c r="O30" s="29">
        <f t="shared" si="11"/>
        <v>2.032E-3</v>
      </c>
      <c r="P30" s="29">
        <v>1.1208581181901367E-10</v>
      </c>
      <c r="Q30" s="2">
        <v>0.31</v>
      </c>
      <c r="R30" s="2">
        <f t="shared" si="12"/>
        <v>131000</v>
      </c>
      <c r="S30" s="2">
        <f t="shared" si="13"/>
        <v>5.2493374855265302E-3</v>
      </c>
      <c r="T30" s="16">
        <v>0.09</v>
      </c>
      <c r="U30" s="16">
        <f t="shared" si="14"/>
        <v>109000.00000000001</v>
      </c>
      <c r="V30" s="16">
        <f t="shared" si="1"/>
        <v>9.5450544554455465</v>
      </c>
      <c r="W30" s="2">
        <f t="shared" si="15"/>
        <v>5</v>
      </c>
      <c r="X30" s="2">
        <f t="shared" si="2"/>
        <v>4.1604819899691103E-7</v>
      </c>
      <c r="Y30" s="2">
        <f t="shared" si="16"/>
        <v>125597.01904744326</v>
      </c>
      <c r="Z30" s="2">
        <f t="shared" si="17"/>
        <v>1.7390089451932356E-14</v>
      </c>
      <c r="AA30" s="2">
        <f t="shared" si="18"/>
        <v>10472311867.953665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</row>
    <row r="31" spans="1:78" s="4" customFormat="1" x14ac:dyDescent="0.25">
      <c r="A31" s="1">
        <v>87</v>
      </c>
      <c r="B31" s="1">
        <f t="shared" si="3"/>
        <v>1.45</v>
      </c>
      <c r="C31" s="1">
        <v>20</v>
      </c>
      <c r="D31" s="1">
        <f t="shared" si="0"/>
        <v>29.146000000000001</v>
      </c>
      <c r="E31" s="1">
        <f t="shared" si="4"/>
        <v>4.8576666666666667E-7</v>
      </c>
      <c r="F31" s="1">
        <v>21.1</v>
      </c>
      <c r="G31" s="1">
        <f t="shared" si="5"/>
        <v>294.10000000000002</v>
      </c>
      <c r="H31" s="1">
        <v>101.3</v>
      </c>
      <c r="I31" s="1">
        <f t="shared" si="6"/>
        <v>101300</v>
      </c>
      <c r="J31" s="1">
        <f t="shared" si="7"/>
        <v>2.0124824921938581E-5</v>
      </c>
      <c r="K31" s="22">
        <v>86.009900990099013</v>
      </c>
      <c r="L31" s="2">
        <f t="shared" si="8"/>
        <v>8.6009900990099012E-5</v>
      </c>
      <c r="M31" s="3">
        <f t="shared" si="9"/>
        <v>4.7762865441819992E-3</v>
      </c>
      <c r="N31" s="29">
        <f t="shared" si="10"/>
        <v>3.6240166559677364E-7</v>
      </c>
      <c r="O31" s="29">
        <f t="shared" si="11"/>
        <v>2.032E-3</v>
      </c>
      <c r="P31" s="29">
        <v>1.1208581181901367E-10</v>
      </c>
      <c r="Q31" s="2">
        <v>0.31</v>
      </c>
      <c r="R31" s="2">
        <f t="shared" si="12"/>
        <v>131000</v>
      </c>
      <c r="S31" s="2">
        <f t="shared" si="13"/>
        <v>5.2493374855265302E-3</v>
      </c>
      <c r="T31" s="16">
        <v>0.09</v>
      </c>
      <c r="U31" s="16">
        <f t="shared" si="14"/>
        <v>109000.00000000001</v>
      </c>
      <c r="V31" s="16">
        <f t="shared" si="1"/>
        <v>9.375079207920793</v>
      </c>
      <c r="W31" s="2">
        <f t="shared" si="15"/>
        <v>5</v>
      </c>
      <c r="X31" s="2">
        <f t="shared" si="2"/>
        <v>4.0795346834981818E-7</v>
      </c>
      <c r="Y31" s="2">
        <f t="shared" si="16"/>
        <v>125701.05537970502</v>
      </c>
      <c r="Z31" s="2">
        <f t="shared" si="17"/>
        <v>1.7037606853846731E-14</v>
      </c>
      <c r="AA31" s="2">
        <f t="shared" si="18"/>
        <v>10260046847.386501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</row>
    <row r="32" spans="1:78" s="4" customFormat="1" x14ac:dyDescent="0.25">
      <c r="A32" s="1">
        <v>90</v>
      </c>
      <c r="B32" s="1">
        <f t="shared" si="3"/>
        <v>1.5</v>
      </c>
      <c r="C32" s="1">
        <v>20</v>
      </c>
      <c r="D32" s="1">
        <f t="shared" si="0"/>
        <v>29.146000000000001</v>
      </c>
      <c r="E32" s="1">
        <f t="shared" si="4"/>
        <v>4.8576666666666667E-7</v>
      </c>
      <c r="F32" s="1">
        <v>21.1</v>
      </c>
      <c r="G32" s="1">
        <f t="shared" si="5"/>
        <v>294.10000000000002</v>
      </c>
      <c r="H32" s="1">
        <v>101.3</v>
      </c>
      <c r="I32" s="1">
        <f t="shared" si="6"/>
        <v>101300</v>
      </c>
      <c r="J32" s="1">
        <f t="shared" si="7"/>
        <v>2.0124824921938581E-5</v>
      </c>
      <c r="K32" s="22">
        <v>90.811881188118818</v>
      </c>
      <c r="L32" s="2">
        <f t="shared" si="8"/>
        <v>9.081188118811882E-5</v>
      </c>
      <c r="M32" s="3">
        <f t="shared" si="9"/>
        <v>4.7762865441819992E-3</v>
      </c>
      <c r="N32" s="29">
        <f t="shared" si="10"/>
        <v>3.8263475041482767E-7</v>
      </c>
      <c r="O32" s="29">
        <f t="shared" si="11"/>
        <v>2.032E-3</v>
      </c>
      <c r="P32" s="29">
        <v>1.1208581181901367E-10</v>
      </c>
      <c r="Q32" s="2">
        <v>0.31</v>
      </c>
      <c r="R32" s="2">
        <f t="shared" si="12"/>
        <v>131000</v>
      </c>
      <c r="S32" s="2">
        <f t="shared" si="13"/>
        <v>5.2493374855265302E-3</v>
      </c>
      <c r="T32" s="16">
        <v>0.09</v>
      </c>
      <c r="U32" s="16">
        <f t="shared" si="14"/>
        <v>109000.00000000001</v>
      </c>
      <c r="V32" s="16">
        <f t="shared" si="1"/>
        <v>9.8984950495049535</v>
      </c>
      <c r="W32" s="2">
        <f t="shared" si="15"/>
        <v>5</v>
      </c>
      <c r="X32" s="2">
        <f t="shared" si="2"/>
        <v>4.3283724668827411E-7</v>
      </c>
      <c r="Y32" s="2">
        <f t="shared" si="16"/>
        <v>125381.37759282738</v>
      </c>
      <c r="Z32" s="2">
        <f t="shared" si="17"/>
        <v>1.8123011713061325E-14</v>
      </c>
      <c r="AA32" s="2">
        <f t="shared" si="18"/>
        <v>10913677653.60553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</row>
    <row r="33" spans="1:78" s="4" customFormat="1" x14ac:dyDescent="0.25">
      <c r="A33" s="1">
        <v>93</v>
      </c>
      <c r="B33" s="1">
        <f t="shared" si="3"/>
        <v>1.55</v>
      </c>
      <c r="C33" s="1">
        <v>20</v>
      </c>
      <c r="D33" s="1">
        <f t="shared" si="0"/>
        <v>29.146000000000001</v>
      </c>
      <c r="E33" s="1">
        <f t="shared" si="4"/>
        <v>4.8576666666666667E-7</v>
      </c>
      <c r="F33" s="1">
        <v>21.1</v>
      </c>
      <c r="G33" s="1">
        <f t="shared" si="5"/>
        <v>294.10000000000002</v>
      </c>
      <c r="H33" s="1">
        <v>101.3</v>
      </c>
      <c r="I33" s="1">
        <f t="shared" si="6"/>
        <v>101300</v>
      </c>
      <c r="J33" s="1">
        <f t="shared" si="7"/>
        <v>2.0124824921938581E-5</v>
      </c>
      <c r="K33" s="22">
        <v>93.06435643564356</v>
      </c>
      <c r="L33" s="2">
        <f t="shared" si="8"/>
        <v>9.3064356435643562E-5</v>
      </c>
      <c r="M33" s="3">
        <f t="shared" si="9"/>
        <v>4.7762865441819992E-3</v>
      </c>
      <c r="N33" s="29">
        <f t="shared" si="10"/>
        <v>3.9212552731401791E-7</v>
      </c>
      <c r="O33" s="29">
        <f t="shared" si="11"/>
        <v>2.032E-3</v>
      </c>
      <c r="P33" s="29">
        <v>1.1208581181901367E-10</v>
      </c>
      <c r="Q33" s="2">
        <v>0.31</v>
      </c>
      <c r="R33" s="2">
        <f t="shared" si="12"/>
        <v>131000</v>
      </c>
      <c r="S33" s="2">
        <f t="shared" si="13"/>
        <v>5.2493374855265302E-3</v>
      </c>
      <c r="T33" s="16">
        <v>0.09</v>
      </c>
      <c r="U33" s="16">
        <f t="shared" si="14"/>
        <v>109000.00000000001</v>
      </c>
      <c r="V33" s="16">
        <f t="shared" si="1"/>
        <v>10.144014851485149</v>
      </c>
      <c r="W33" s="2">
        <f t="shared" si="15"/>
        <v>5</v>
      </c>
      <c r="X33" s="2">
        <f t="shared" si="2"/>
        <v>4.4446712098229521E-7</v>
      </c>
      <c r="Y33" s="2">
        <f t="shared" si="16"/>
        <v>125232.11008522862</v>
      </c>
      <c r="Z33" s="2">
        <f t="shared" si="17"/>
        <v>1.8632177663982199E-14</v>
      </c>
      <c r="AA33" s="2">
        <f t="shared" si="18"/>
        <v>11220297389.25008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</row>
    <row r="34" spans="1:78" s="4" customFormat="1" x14ac:dyDescent="0.25">
      <c r="A34" s="1">
        <v>96</v>
      </c>
      <c r="B34" s="1">
        <f t="shared" si="3"/>
        <v>1.6</v>
      </c>
      <c r="C34" s="1">
        <v>20</v>
      </c>
      <c r="D34" s="1">
        <f t="shared" si="0"/>
        <v>29.146000000000001</v>
      </c>
      <c r="E34" s="1">
        <f t="shared" si="4"/>
        <v>4.8576666666666667E-7</v>
      </c>
      <c r="F34" s="1">
        <v>21.1</v>
      </c>
      <c r="G34" s="1">
        <f t="shared" si="5"/>
        <v>294.10000000000002</v>
      </c>
      <c r="H34" s="1">
        <v>101.3</v>
      </c>
      <c r="I34" s="1">
        <f t="shared" si="6"/>
        <v>101300</v>
      </c>
      <c r="J34" s="1">
        <f t="shared" si="7"/>
        <v>2.0124824921938581E-5</v>
      </c>
      <c r="K34" s="22">
        <v>93.361386138613867</v>
      </c>
      <c r="L34" s="2">
        <f t="shared" si="8"/>
        <v>9.3361386138613871E-5</v>
      </c>
      <c r="M34" s="3">
        <f t="shared" si="9"/>
        <v>4.7762865441819992E-3</v>
      </c>
      <c r="N34" s="29">
        <f t="shared" si="10"/>
        <v>3.9337705833369134E-7</v>
      </c>
      <c r="O34" s="29">
        <f t="shared" si="11"/>
        <v>2.032E-3</v>
      </c>
      <c r="P34" s="29">
        <v>1.1208581181901367E-10</v>
      </c>
      <c r="Q34" s="2">
        <v>0.31</v>
      </c>
      <c r="R34" s="2">
        <f t="shared" si="12"/>
        <v>131000</v>
      </c>
      <c r="S34" s="2">
        <f t="shared" si="13"/>
        <v>5.2493374855265302E-3</v>
      </c>
      <c r="T34" s="16">
        <v>0.09</v>
      </c>
      <c r="U34" s="16">
        <f t="shared" si="14"/>
        <v>109000.00000000001</v>
      </c>
      <c r="V34" s="16">
        <f t="shared" ref="V34:V54" si="19">(L34*U34)</f>
        <v>10.176391089108913</v>
      </c>
      <c r="W34" s="2">
        <f t="shared" si="15"/>
        <v>5</v>
      </c>
      <c r="X34" s="2">
        <f t="shared" ref="X34:X54" si="20">(N34+((P34/O34)*(SQRT(V34)-SQRT(W34))))</f>
        <v>4.4599879015896151E-7</v>
      </c>
      <c r="Y34" s="2">
        <f t="shared" si="16"/>
        <v>125212.45799088199</v>
      </c>
      <c r="Z34" s="2">
        <f t="shared" si="17"/>
        <v>1.8699325106266998E-14</v>
      </c>
      <c r="AA34" s="2">
        <f t="shared" si="18"/>
        <v>11260733578.993986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 spans="1:78" s="4" customFormat="1" x14ac:dyDescent="0.25">
      <c r="A35" s="1">
        <v>99</v>
      </c>
      <c r="B35" s="1">
        <f t="shared" si="3"/>
        <v>1.65</v>
      </c>
      <c r="C35" s="1">
        <v>20</v>
      </c>
      <c r="D35" s="1">
        <f t="shared" si="0"/>
        <v>29.146000000000001</v>
      </c>
      <c r="E35" s="1">
        <f t="shared" si="4"/>
        <v>4.8576666666666667E-7</v>
      </c>
      <c r="F35" s="1">
        <v>21.1</v>
      </c>
      <c r="G35" s="1">
        <f t="shared" si="5"/>
        <v>294.10000000000002</v>
      </c>
      <c r="H35" s="1">
        <v>101.3</v>
      </c>
      <c r="I35" s="1">
        <f t="shared" si="6"/>
        <v>101300</v>
      </c>
      <c r="J35" s="1">
        <f t="shared" si="7"/>
        <v>2.0124824921938581E-5</v>
      </c>
      <c r="K35" s="28">
        <v>98.163366336633672</v>
      </c>
      <c r="L35" s="2">
        <f t="shared" si="8"/>
        <v>9.8163366336633678E-5</v>
      </c>
      <c r="M35" s="3">
        <f t="shared" si="9"/>
        <v>4.7762865441819992E-3</v>
      </c>
      <c r="N35" s="64">
        <f t="shared" si="10"/>
        <v>4.1361014315174547E-7</v>
      </c>
      <c r="O35" s="29">
        <f t="shared" si="11"/>
        <v>2.032E-3</v>
      </c>
      <c r="P35" s="29">
        <v>1.1208581181901367E-10</v>
      </c>
      <c r="Q35" s="2">
        <v>0.31</v>
      </c>
      <c r="R35" s="2">
        <f t="shared" si="12"/>
        <v>131000</v>
      </c>
      <c r="S35" s="2">
        <f t="shared" si="13"/>
        <v>5.2493374855265302E-3</v>
      </c>
      <c r="T35" s="16">
        <v>0.09</v>
      </c>
      <c r="U35" s="16">
        <f t="shared" si="14"/>
        <v>109000.00000000001</v>
      </c>
      <c r="V35" s="16">
        <f t="shared" si="19"/>
        <v>10.699806930693072</v>
      </c>
      <c r="W35" s="2">
        <f t="shared" si="15"/>
        <v>5</v>
      </c>
      <c r="X35" s="12">
        <f t="shared" si="20"/>
        <v>4.7070043126834165E-7</v>
      </c>
      <c r="Y35" s="2">
        <f t="shared" si="16"/>
        <v>124895.73634860458</v>
      </c>
      <c r="Z35" s="12">
        <f t="shared" si="17"/>
        <v>1.9785119872915175E-14</v>
      </c>
      <c r="AA35" s="12">
        <f t="shared" si="18"/>
        <v>11914599187.469519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 spans="1:78" s="4" customFormat="1" x14ac:dyDescent="0.25">
      <c r="A36" s="1">
        <v>102</v>
      </c>
      <c r="B36" s="1">
        <f t="shared" si="3"/>
        <v>1.7</v>
      </c>
      <c r="C36" s="1">
        <v>20</v>
      </c>
      <c r="D36" s="1">
        <f t="shared" si="0"/>
        <v>29.146000000000001</v>
      </c>
      <c r="E36" s="1">
        <f t="shared" si="4"/>
        <v>4.8576666666666667E-7</v>
      </c>
      <c r="F36" s="1">
        <v>21.1</v>
      </c>
      <c r="G36" s="1">
        <f t="shared" si="5"/>
        <v>294.10000000000002</v>
      </c>
      <c r="H36" s="1">
        <v>101.3</v>
      </c>
      <c r="I36" s="1">
        <f t="shared" si="6"/>
        <v>101300</v>
      </c>
      <c r="J36" s="1">
        <f t="shared" si="7"/>
        <v>2.0124824921938581E-5</v>
      </c>
      <c r="K36" s="28">
        <v>95.292079207920793</v>
      </c>
      <c r="L36" s="2">
        <f t="shared" si="8"/>
        <v>9.5292079207920789E-5</v>
      </c>
      <c r="M36" s="3">
        <f t="shared" si="9"/>
        <v>4.7762865441819992E-3</v>
      </c>
      <c r="N36" s="64">
        <f t="shared" si="10"/>
        <v>4.0151200996156872E-7</v>
      </c>
      <c r="O36" s="29">
        <f t="shared" si="11"/>
        <v>2.032E-3</v>
      </c>
      <c r="P36" s="29">
        <v>1.1208581181901367E-10</v>
      </c>
      <c r="Q36" s="2">
        <v>0.31</v>
      </c>
      <c r="R36" s="2">
        <f t="shared" si="12"/>
        <v>131000</v>
      </c>
      <c r="S36" s="2">
        <f t="shared" si="13"/>
        <v>5.2493374855265302E-3</v>
      </c>
      <c r="T36" s="16">
        <v>0.09</v>
      </c>
      <c r="U36" s="16">
        <f t="shared" si="14"/>
        <v>109000.00000000001</v>
      </c>
      <c r="V36" s="16">
        <f t="shared" si="19"/>
        <v>10.386836633663368</v>
      </c>
      <c r="W36" s="2">
        <f t="shared" si="15"/>
        <v>5</v>
      </c>
      <c r="X36" s="12">
        <f t="shared" si="20"/>
        <v>4.5594387992730651E-7</v>
      </c>
      <c r="Y36" s="2">
        <f t="shared" si="16"/>
        <v>125084.89494469446</v>
      </c>
      <c r="Z36" s="12">
        <f t="shared" si="17"/>
        <v>1.9135820211509329E-14</v>
      </c>
      <c r="AA36" s="12">
        <f t="shared" si="18"/>
        <v>11523590931.370918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</row>
    <row r="37" spans="1:78" s="4" customFormat="1" x14ac:dyDescent="0.25">
      <c r="A37" s="1">
        <v>105</v>
      </c>
      <c r="B37" s="1">
        <f t="shared" si="3"/>
        <v>1.75</v>
      </c>
      <c r="C37" s="1">
        <v>20</v>
      </c>
      <c r="D37" s="1">
        <f t="shared" si="0"/>
        <v>29.146000000000001</v>
      </c>
      <c r="E37" s="1">
        <f t="shared" si="4"/>
        <v>4.8576666666666667E-7</v>
      </c>
      <c r="F37" s="1">
        <v>21.1</v>
      </c>
      <c r="G37" s="1">
        <f t="shared" si="5"/>
        <v>294.10000000000002</v>
      </c>
      <c r="H37" s="1">
        <v>101.3</v>
      </c>
      <c r="I37" s="1">
        <f t="shared" si="6"/>
        <v>101300</v>
      </c>
      <c r="J37" s="1">
        <f t="shared" si="7"/>
        <v>2.0124824921938581E-5</v>
      </c>
      <c r="K37" s="28">
        <v>91.579207920792086</v>
      </c>
      <c r="L37" s="2">
        <f t="shared" si="8"/>
        <v>9.1579207920792086E-5</v>
      </c>
      <c r="M37" s="3">
        <f t="shared" si="9"/>
        <v>4.7762865441819992E-3</v>
      </c>
      <c r="N37" s="64">
        <f t="shared" si="10"/>
        <v>3.8586787221565073E-7</v>
      </c>
      <c r="O37" s="29">
        <f t="shared" si="11"/>
        <v>2.032E-3</v>
      </c>
      <c r="P37" s="29">
        <v>1.1208581181901367E-10</v>
      </c>
      <c r="Q37" s="2">
        <v>0.31</v>
      </c>
      <c r="R37" s="2">
        <f t="shared" si="12"/>
        <v>131000</v>
      </c>
      <c r="S37" s="2">
        <f t="shared" si="13"/>
        <v>5.2493374855265302E-3</v>
      </c>
      <c r="T37" s="16">
        <v>0.09</v>
      </c>
      <c r="U37" s="16">
        <f t="shared" si="14"/>
        <v>109000.00000000001</v>
      </c>
      <c r="V37" s="16">
        <f t="shared" si="19"/>
        <v>9.9821336633663389</v>
      </c>
      <c r="W37" s="2">
        <f t="shared" si="15"/>
        <v>5</v>
      </c>
      <c r="X37" s="12">
        <f t="shared" si="20"/>
        <v>4.3680202066828402E-7</v>
      </c>
      <c r="Y37" s="2">
        <f t="shared" si="16"/>
        <v>125330.48038831404</v>
      </c>
      <c r="Z37" s="12">
        <f t="shared" si="17"/>
        <v>1.8296457904185411E-14</v>
      </c>
      <c r="AA37" s="12">
        <f t="shared" si="18"/>
        <v>11018126949.900455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 spans="1:78" s="4" customFormat="1" x14ac:dyDescent="0.25">
      <c r="A38" s="1">
        <v>108</v>
      </c>
      <c r="B38" s="1">
        <f t="shared" si="3"/>
        <v>1.8</v>
      </c>
      <c r="C38" s="1">
        <v>20</v>
      </c>
      <c r="D38" s="1">
        <f t="shared" si="0"/>
        <v>29.146000000000001</v>
      </c>
      <c r="E38" s="1">
        <f t="shared" si="4"/>
        <v>4.8576666666666667E-7</v>
      </c>
      <c r="F38" s="1">
        <v>21.1</v>
      </c>
      <c r="G38" s="1">
        <f t="shared" si="5"/>
        <v>294.10000000000002</v>
      </c>
      <c r="H38" s="1">
        <v>101.3</v>
      </c>
      <c r="I38" s="1">
        <f t="shared" si="6"/>
        <v>101300</v>
      </c>
      <c r="J38" s="1">
        <f t="shared" si="7"/>
        <v>2.0124824921938581E-5</v>
      </c>
      <c r="K38" s="28">
        <v>88.237623762376245</v>
      </c>
      <c r="L38" s="2">
        <f t="shared" si="8"/>
        <v>8.8237623762376239E-5</v>
      </c>
      <c r="M38" s="3">
        <f t="shared" si="9"/>
        <v>4.7762865441819992E-3</v>
      </c>
      <c r="N38" s="64">
        <f t="shared" si="10"/>
        <v>3.7178814824432446E-7</v>
      </c>
      <c r="O38" s="29">
        <f t="shared" si="11"/>
        <v>2.032E-3</v>
      </c>
      <c r="P38" s="29">
        <v>1.1208581181901367E-10</v>
      </c>
      <c r="Q38" s="2">
        <v>0.31</v>
      </c>
      <c r="R38" s="2">
        <f t="shared" si="12"/>
        <v>131000</v>
      </c>
      <c r="S38" s="2">
        <f t="shared" si="13"/>
        <v>5.2493374855265302E-3</v>
      </c>
      <c r="T38" s="16">
        <v>0.09</v>
      </c>
      <c r="U38" s="16">
        <f t="shared" si="14"/>
        <v>109000.00000000001</v>
      </c>
      <c r="V38" s="16">
        <f t="shared" si="19"/>
        <v>9.6179009900990113</v>
      </c>
      <c r="W38" s="2">
        <f t="shared" si="15"/>
        <v>5</v>
      </c>
      <c r="X38" s="12">
        <f t="shared" si="20"/>
        <v>4.1951321205794111E-7</v>
      </c>
      <c r="Y38" s="2">
        <f t="shared" si="16"/>
        <v>125552.49864225552</v>
      </c>
      <c r="Z38" s="12">
        <f t="shared" si="17"/>
        <v>1.7541149420235884E-14</v>
      </c>
      <c r="AA38" s="12">
        <f t="shared" si="18"/>
        <v>10563280180.866049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</row>
    <row r="39" spans="1:78" s="4" customFormat="1" x14ac:dyDescent="0.25">
      <c r="A39" s="1">
        <v>111</v>
      </c>
      <c r="B39" s="1">
        <f t="shared" si="3"/>
        <v>1.85</v>
      </c>
      <c r="C39" s="1">
        <v>20</v>
      </c>
      <c r="D39" s="1">
        <f t="shared" si="0"/>
        <v>29.146000000000001</v>
      </c>
      <c r="E39" s="1">
        <f t="shared" si="4"/>
        <v>4.8576666666666667E-7</v>
      </c>
      <c r="F39" s="1">
        <v>21.1</v>
      </c>
      <c r="G39" s="1">
        <f t="shared" si="5"/>
        <v>294.10000000000002</v>
      </c>
      <c r="H39" s="1">
        <v>101.3</v>
      </c>
      <c r="I39" s="1">
        <f t="shared" si="6"/>
        <v>101300</v>
      </c>
      <c r="J39" s="1">
        <f t="shared" si="7"/>
        <v>2.0124824921938581E-5</v>
      </c>
      <c r="K39" s="28">
        <v>98.138613861386133</v>
      </c>
      <c r="L39" s="2">
        <f t="shared" si="8"/>
        <v>9.8138613861386135E-5</v>
      </c>
      <c r="M39" s="3">
        <f t="shared" si="9"/>
        <v>4.7762865441819992E-3</v>
      </c>
      <c r="N39" s="64">
        <f t="shared" si="10"/>
        <v>4.1350584890010589E-7</v>
      </c>
      <c r="O39" s="29">
        <f t="shared" si="11"/>
        <v>2.032E-3</v>
      </c>
      <c r="P39" s="29">
        <v>1.1208581181901367E-10</v>
      </c>
      <c r="Q39" s="2">
        <v>0.31</v>
      </c>
      <c r="R39" s="2">
        <f t="shared" si="12"/>
        <v>131000</v>
      </c>
      <c r="S39" s="2">
        <f t="shared" si="13"/>
        <v>5.2493374855265302E-3</v>
      </c>
      <c r="T39" s="16">
        <v>0.09</v>
      </c>
      <c r="U39" s="16">
        <f t="shared" si="14"/>
        <v>109000.00000000001</v>
      </c>
      <c r="V39" s="16">
        <f t="shared" si="19"/>
        <v>10.697108910891091</v>
      </c>
      <c r="W39" s="2">
        <f t="shared" si="15"/>
        <v>5</v>
      </c>
      <c r="X39" s="12">
        <f t="shared" si="20"/>
        <v>4.7057338701231815E-7</v>
      </c>
      <c r="Y39" s="2">
        <f t="shared" si="16"/>
        <v>124897.36426955937</v>
      </c>
      <c r="Z39" s="12">
        <f t="shared" si="17"/>
        <v>1.977952151575472E-14</v>
      </c>
      <c r="AA39" s="12">
        <f t="shared" si="18"/>
        <v>11911227856.787493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 spans="1:78" s="4" customFormat="1" x14ac:dyDescent="0.25">
      <c r="A40" s="1">
        <v>114</v>
      </c>
      <c r="B40" s="1">
        <f t="shared" si="3"/>
        <v>1.9</v>
      </c>
      <c r="C40" s="1">
        <v>20</v>
      </c>
      <c r="D40" s="1">
        <f t="shared" si="0"/>
        <v>29.146000000000001</v>
      </c>
      <c r="E40" s="1">
        <f t="shared" si="4"/>
        <v>4.8576666666666667E-7</v>
      </c>
      <c r="F40" s="1">
        <v>21.1</v>
      </c>
      <c r="G40" s="1">
        <f t="shared" si="5"/>
        <v>294.10000000000002</v>
      </c>
      <c r="H40" s="1">
        <v>101.3</v>
      </c>
      <c r="I40" s="1">
        <f t="shared" si="6"/>
        <v>101300</v>
      </c>
      <c r="J40" s="1">
        <f t="shared" si="7"/>
        <v>2.0124824921938581E-5</v>
      </c>
      <c r="K40" s="28">
        <v>100.66336633663369</v>
      </c>
      <c r="L40" s="2">
        <f t="shared" si="8"/>
        <v>1.0066336633663368E-4</v>
      </c>
      <c r="M40" s="3">
        <f t="shared" si="9"/>
        <v>4.7762865441819992E-3</v>
      </c>
      <c r="N40" s="64">
        <f t="shared" si="10"/>
        <v>4.2414386256733025E-7</v>
      </c>
      <c r="O40" s="29">
        <f t="shared" si="11"/>
        <v>2.032E-3</v>
      </c>
      <c r="P40" s="29">
        <v>1.1208581181901367E-10</v>
      </c>
      <c r="Q40" s="2">
        <v>0.31</v>
      </c>
      <c r="R40" s="2">
        <f t="shared" si="12"/>
        <v>131000</v>
      </c>
      <c r="S40" s="2">
        <f t="shared" si="13"/>
        <v>5.2493374855265302E-3</v>
      </c>
      <c r="T40" s="16">
        <v>0.09</v>
      </c>
      <c r="U40" s="16">
        <f t="shared" si="14"/>
        <v>109000.00000000001</v>
      </c>
      <c r="V40" s="16">
        <f t="shared" si="19"/>
        <v>10.972306930693073</v>
      </c>
      <c r="W40" s="2">
        <f t="shared" si="15"/>
        <v>5</v>
      </c>
      <c r="X40" s="12">
        <f t="shared" si="20"/>
        <v>4.8351731092593133E-7</v>
      </c>
      <c r="Y40" s="2">
        <f t="shared" si="16"/>
        <v>124731.55781306788</v>
      </c>
      <c r="Z40" s="12">
        <f t="shared" si="17"/>
        <v>2.0350654503779425E-14</v>
      </c>
      <c r="AA40" s="12">
        <f t="shared" si="18"/>
        <v>12255164142.17597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</row>
    <row r="41" spans="1:78" s="4" customFormat="1" x14ac:dyDescent="0.25">
      <c r="A41" s="1">
        <v>117</v>
      </c>
      <c r="B41" s="1">
        <f t="shared" si="3"/>
        <v>1.95</v>
      </c>
      <c r="C41" s="1">
        <v>20</v>
      </c>
      <c r="D41" s="1">
        <f t="shared" si="0"/>
        <v>29.146000000000001</v>
      </c>
      <c r="E41" s="1">
        <f t="shared" si="4"/>
        <v>4.8576666666666667E-7</v>
      </c>
      <c r="F41" s="1">
        <v>21.1</v>
      </c>
      <c r="G41" s="1">
        <f t="shared" si="5"/>
        <v>294.10000000000002</v>
      </c>
      <c r="H41" s="1">
        <v>101.3</v>
      </c>
      <c r="I41" s="1">
        <f t="shared" si="6"/>
        <v>101300</v>
      </c>
      <c r="J41" s="1">
        <f t="shared" si="7"/>
        <v>2.0124824921938581E-5</v>
      </c>
      <c r="K41" s="28">
        <v>91.579207920792086</v>
      </c>
      <c r="L41" s="2">
        <f t="shared" si="8"/>
        <v>9.1579207920792086E-5</v>
      </c>
      <c r="M41" s="3">
        <f t="shared" si="9"/>
        <v>4.7762865441819992E-3</v>
      </c>
      <c r="N41" s="64">
        <f t="shared" si="10"/>
        <v>3.8586787221565073E-7</v>
      </c>
      <c r="O41" s="29">
        <f t="shared" si="11"/>
        <v>2.032E-3</v>
      </c>
      <c r="P41" s="29">
        <v>1.1208581181901367E-10</v>
      </c>
      <c r="Q41" s="2">
        <v>0.31</v>
      </c>
      <c r="R41" s="2">
        <f t="shared" si="12"/>
        <v>131000</v>
      </c>
      <c r="S41" s="2">
        <f t="shared" si="13"/>
        <v>5.2493374855265302E-3</v>
      </c>
      <c r="T41" s="16">
        <v>0.09</v>
      </c>
      <c r="U41" s="16">
        <f t="shared" si="14"/>
        <v>109000.00000000001</v>
      </c>
      <c r="V41" s="16">
        <f t="shared" si="19"/>
        <v>9.9821336633663389</v>
      </c>
      <c r="W41" s="2">
        <f t="shared" si="15"/>
        <v>5</v>
      </c>
      <c r="X41" s="12">
        <f t="shared" si="20"/>
        <v>4.3680202066828402E-7</v>
      </c>
      <c r="Y41" s="2">
        <f t="shared" si="16"/>
        <v>125330.48038831404</v>
      </c>
      <c r="Z41" s="12">
        <f t="shared" si="17"/>
        <v>1.8296457904185411E-14</v>
      </c>
      <c r="AA41" s="12">
        <f t="shared" si="18"/>
        <v>11018126949.900455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 spans="1:78" s="4" customFormat="1" x14ac:dyDescent="0.25">
      <c r="A42" s="1">
        <v>120</v>
      </c>
      <c r="B42" s="1">
        <f t="shared" si="3"/>
        <v>2</v>
      </c>
      <c r="C42" s="1">
        <v>20</v>
      </c>
      <c r="D42" s="1">
        <f t="shared" si="0"/>
        <v>29.146000000000001</v>
      </c>
      <c r="E42" s="1">
        <f t="shared" si="4"/>
        <v>4.8576666666666667E-7</v>
      </c>
      <c r="F42" s="1">
        <v>21.1</v>
      </c>
      <c r="G42" s="1">
        <f t="shared" si="5"/>
        <v>294.10000000000002</v>
      </c>
      <c r="H42" s="1">
        <v>101.3</v>
      </c>
      <c r="I42" s="1">
        <f t="shared" si="6"/>
        <v>101300</v>
      </c>
      <c r="J42" s="1">
        <f t="shared" si="7"/>
        <v>2.0124824921938581E-5</v>
      </c>
      <c r="K42" s="28">
        <v>88.43564356435644</v>
      </c>
      <c r="L42" s="2">
        <f t="shared" si="8"/>
        <v>8.8435643564356445E-5</v>
      </c>
      <c r="M42" s="3">
        <f t="shared" si="9"/>
        <v>4.7762865441819992E-3</v>
      </c>
      <c r="N42" s="64">
        <f t="shared" si="10"/>
        <v>3.7262250225744013E-7</v>
      </c>
      <c r="O42" s="29">
        <f t="shared" si="11"/>
        <v>2.032E-3</v>
      </c>
      <c r="P42" s="29">
        <v>1.1208581181901367E-10</v>
      </c>
      <c r="Q42" s="2">
        <v>0.31</v>
      </c>
      <c r="R42" s="2">
        <f t="shared" si="12"/>
        <v>131000</v>
      </c>
      <c r="S42" s="2">
        <f t="shared" si="13"/>
        <v>5.2493374855265302E-3</v>
      </c>
      <c r="T42" s="16">
        <v>0.09</v>
      </c>
      <c r="U42" s="16">
        <f t="shared" si="14"/>
        <v>109000.00000000001</v>
      </c>
      <c r="V42" s="16">
        <f t="shared" si="19"/>
        <v>9.6394851485148543</v>
      </c>
      <c r="W42" s="2">
        <f t="shared" si="15"/>
        <v>5</v>
      </c>
      <c r="X42" s="12">
        <f t="shared" si="20"/>
        <v>4.2053941017614242E-7</v>
      </c>
      <c r="Y42" s="2">
        <f t="shared" si="16"/>
        <v>125539.3149957313</v>
      </c>
      <c r="Z42" s="12">
        <f t="shared" si="17"/>
        <v>1.7585907722614429E-14</v>
      </c>
      <c r="AA42" s="12">
        <f t="shared" si="18"/>
        <v>10590233630.558411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</row>
    <row r="43" spans="1:78" s="4" customFormat="1" x14ac:dyDescent="0.25">
      <c r="A43" s="1">
        <v>123</v>
      </c>
      <c r="B43" s="1">
        <f t="shared" si="3"/>
        <v>2.0499999999999998</v>
      </c>
      <c r="C43" s="1">
        <v>20</v>
      </c>
      <c r="D43" s="1">
        <f t="shared" si="0"/>
        <v>29.146000000000001</v>
      </c>
      <c r="E43" s="1">
        <f t="shared" si="4"/>
        <v>4.8576666666666667E-7</v>
      </c>
      <c r="F43" s="1">
        <v>21.1</v>
      </c>
      <c r="G43" s="1">
        <f t="shared" si="5"/>
        <v>294.10000000000002</v>
      </c>
      <c r="H43" s="1">
        <v>101.3</v>
      </c>
      <c r="I43" s="1">
        <f t="shared" si="6"/>
        <v>101300</v>
      </c>
      <c r="J43" s="1">
        <f t="shared" si="7"/>
        <v>2.0124824921938581E-5</v>
      </c>
      <c r="K43" s="28">
        <v>94.32673267326733</v>
      </c>
      <c r="L43" s="2">
        <f t="shared" si="8"/>
        <v>9.432673267326733E-5</v>
      </c>
      <c r="M43" s="3">
        <f t="shared" si="9"/>
        <v>4.7762865441819992E-3</v>
      </c>
      <c r="N43" s="64">
        <f t="shared" si="10"/>
        <v>3.9744453414763009E-7</v>
      </c>
      <c r="O43" s="29">
        <f t="shared" si="11"/>
        <v>2.032E-3</v>
      </c>
      <c r="P43" s="29">
        <v>1.1208581181901367E-10</v>
      </c>
      <c r="Q43" s="2">
        <v>0.31</v>
      </c>
      <c r="R43" s="2">
        <f t="shared" si="12"/>
        <v>131000</v>
      </c>
      <c r="S43" s="2">
        <f t="shared" si="13"/>
        <v>5.2493374855265302E-3</v>
      </c>
      <c r="T43" s="16">
        <v>0.09</v>
      </c>
      <c r="U43" s="16">
        <f t="shared" si="14"/>
        <v>109000.00000000001</v>
      </c>
      <c r="V43" s="16">
        <f t="shared" si="19"/>
        <v>10.281613861386141</v>
      </c>
      <c r="W43" s="2">
        <f t="shared" si="15"/>
        <v>5</v>
      </c>
      <c r="X43" s="12">
        <f t="shared" si="20"/>
        <v>4.5097365072402457E-7</v>
      </c>
      <c r="Y43" s="2">
        <f t="shared" si="16"/>
        <v>125148.63863866118</v>
      </c>
      <c r="Z43" s="12">
        <f t="shared" si="17"/>
        <v>1.8917564094766078E-14</v>
      </c>
      <c r="AA43" s="12">
        <f t="shared" si="18"/>
        <v>11392157097.868134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 spans="1:78" s="4" customFormat="1" x14ac:dyDescent="0.25">
      <c r="A44" s="1">
        <v>126</v>
      </c>
      <c r="B44" s="1">
        <f t="shared" si="3"/>
        <v>2.1</v>
      </c>
      <c r="C44" s="1">
        <v>20</v>
      </c>
      <c r="D44" s="1">
        <f t="shared" si="0"/>
        <v>29.146000000000001</v>
      </c>
      <c r="E44" s="1">
        <f t="shared" si="4"/>
        <v>4.8576666666666667E-7</v>
      </c>
      <c r="F44" s="1">
        <v>21.1</v>
      </c>
      <c r="G44" s="1">
        <f t="shared" si="5"/>
        <v>294.10000000000002</v>
      </c>
      <c r="H44" s="1">
        <v>101.3</v>
      </c>
      <c r="I44" s="1">
        <f t="shared" si="6"/>
        <v>101300</v>
      </c>
      <c r="J44" s="1">
        <f t="shared" si="7"/>
        <v>2.0124824921938581E-5</v>
      </c>
      <c r="K44" s="28">
        <v>101.72772277227725</v>
      </c>
      <c r="L44" s="2">
        <f t="shared" si="8"/>
        <v>1.0172772277227725E-4</v>
      </c>
      <c r="M44" s="3">
        <f t="shared" si="9"/>
        <v>4.7762865441819992E-3</v>
      </c>
      <c r="N44" s="64">
        <f t="shared" si="10"/>
        <v>4.286285153878268E-7</v>
      </c>
      <c r="O44" s="29">
        <f t="shared" si="11"/>
        <v>2.032E-3</v>
      </c>
      <c r="P44" s="29">
        <v>1.1208581181901367E-10</v>
      </c>
      <c r="Q44" s="2">
        <v>0.31</v>
      </c>
      <c r="R44" s="2">
        <f t="shared" si="12"/>
        <v>131000</v>
      </c>
      <c r="S44" s="2">
        <f t="shared" si="13"/>
        <v>5.2493374855265302E-3</v>
      </c>
      <c r="T44" s="16">
        <v>0.09</v>
      </c>
      <c r="U44" s="16">
        <f t="shared" si="14"/>
        <v>109000.00000000001</v>
      </c>
      <c r="V44" s="16">
        <f t="shared" si="19"/>
        <v>11.088321782178221</v>
      </c>
      <c r="W44" s="2">
        <f t="shared" si="15"/>
        <v>5</v>
      </c>
      <c r="X44" s="12">
        <f t="shared" si="20"/>
        <v>4.8896538913613621E-7</v>
      </c>
      <c r="Y44" s="2">
        <f t="shared" si="16"/>
        <v>124661.80305561612</v>
      </c>
      <c r="Z44" s="12">
        <f t="shared" si="17"/>
        <v>2.0591493212037676E-14</v>
      </c>
      <c r="AA44" s="12">
        <f t="shared" si="18"/>
        <v>12400197212.289089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</row>
    <row r="45" spans="1:78" s="4" customFormat="1" x14ac:dyDescent="0.25">
      <c r="A45" s="1">
        <v>129</v>
      </c>
      <c r="B45" s="1">
        <f t="shared" si="3"/>
        <v>2.15</v>
      </c>
      <c r="C45" s="1">
        <v>20</v>
      </c>
      <c r="D45" s="1">
        <f t="shared" si="0"/>
        <v>29.146000000000001</v>
      </c>
      <c r="E45" s="1">
        <f t="shared" si="4"/>
        <v>4.8576666666666667E-7</v>
      </c>
      <c r="F45" s="1">
        <v>21.1</v>
      </c>
      <c r="G45" s="1">
        <f t="shared" si="5"/>
        <v>294.10000000000002</v>
      </c>
      <c r="H45" s="1">
        <v>101.3</v>
      </c>
      <c r="I45" s="1">
        <f t="shared" si="6"/>
        <v>101300</v>
      </c>
      <c r="J45" s="1">
        <f t="shared" si="7"/>
        <v>2.0124824921938581E-5</v>
      </c>
      <c r="K45" s="28">
        <v>102.12376237623765</v>
      </c>
      <c r="L45" s="2">
        <f t="shared" si="8"/>
        <v>1.0212376237623764E-4</v>
      </c>
      <c r="M45" s="3">
        <f t="shared" si="9"/>
        <v>4.7762865441819992E-3</v>
      </c>
      <c r="N45" s="64">
        <f t="shared" si="10"/>
        <v>4.3029722341405805E-7</v>
      </c>
      <c r="O45" s="29">
        <f t="shared" si="11"/>
        <v>2.032E-3</v>
      </c>
      <c r="P45" s="29">
        <v>1.1208581181901367E-10</v>
      </c>
      <c r="Q45" s="2">
        <v>0.31</v>
      </c>
      <c r="R45" s="2">
        <f t="shared" si="12"/>
        <v>131000</v>
      </c>
      <c r="S45" s="2">
        <f t="shared" si="13"/>
        <v>5.2493374855265302E-3</v>
      </c>
      <c r="T45" s="16">
        <v>0.09</v>
      </c>
      <c r="U45" s="16">
        <f t="shared" si="14"/>
        <v>109000.00000000001</v>
      </c>
      <c r="V45" s="16">
        <f t="shared" si="19"/>
        <v>11.131490099009905</v>
      </c>
      <c r="W45" s="2">
        <f t="shared" si="15"/>
        <v>5</v>
      </c>
      <c r="X45" s="12">
        <f t="shared" si="20"/>
        <v>4.9099129356116707E-7</v>
      </c>
      <c r="Y45" s="2">
        <f t="shared" si="16"/>
        <v>124635.86925760457</v>
      </c>
      <c r="Z45" s="12">
        <f t="shared" si="17"/>
        <v>2.0681118761236956E-14</v>
      </c>
      <c r="AA45" s="12">
        <f t="shared" si="18"/>
        <v>12454169718.016895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</row>
    <row r="46" spans="1:78" s="4" customFormat="1" x14ac:dyDescent="0.25">
      <c r="A46" s="1">
        <v>132</v>
      </c>
      <c r="B46" s="1">
        <f t="shared" si="3"/>
        <v>2.2000000000000002</v>
      </c>
      <c r="C46" s="1">
        <v>20</v>
      </c>
      <c r="D46" s="1">
        <f t="shared" si="0"/>
        <v>29.146000000000001</v>
      </c>
      <c r="E46" s="1">
        <f t="shared" si="4"/>
        <v>4.8576666666666667E-7</v>
      </c>
      <c r="F46" s="1">
        <v>21.1</v>
      </c>
      <c r="G46" s="1">
        <f t="shared" si="5"/>
        <v>294.10000000000002</v>
      </c>
      <c r="H46" s="1">
        <v>101.3</v>
      </c>
      <c r="I46" s="1">
        <f t="shared" si="6"/>
        <v>101300</v>
      </c>
      <c r="J46" s="1">
        <f t="shared" si="7"/>
        <v>2.0124824921938581E-5</v>
      </c>
      <c r="K46" s="28">
        <v>95.836633663366342</v>
      </c>
      <c r="L46" s="2">
        <f t="shared" si="8"/>
        <v>9.5836633663366348E-5</v>
      </c>
      <c r="M46" s="3">
        <f t="shared" si="9"/>
        <v>4.7762865441819992E-3</v>
      </c>
      <c r="N46" s="64">
        <f t="shared" si="10"/>
        <v>4.0380648349763674E-7</v>
      </c>
      <c r="O46" s="29">
        <f t="shared" si="11"/>
        <v>2.032E-3</v>
      </c>
      <c r="P46" s="29">
        <v>1.1208581181901367E-10</v>
      </c>
      <c r="Q46" s="2">
        <v>0.31</v>
      </c>
      <c r="R46" s="2">
        <f t="shared" si="12"/>
        <v>131000</v>
      </c>
      <c r="S46" s="2">
        <f t="shared" si="13"/>
        <v>5.2493374855265302E-3</v>
      </c>
      <c r="T46" s="16">
        <v>0.09</v>
      </c>
      <c r="U46" s="16">
        <f t="shared" si="14"/>
        <v>109000.00000000001</v>
      </c>
      <c r="V46" s="16">
        <f t="shared" si="19"/>
        <v>10.446193069306933</v>
      </c>
      <c r="W46" s="2">
        <f t="shared" si="15"/>
        <v>5</v>
      </c>
      <c r="X46" s="12">
        <f t="shared" si="20"/>
        <v>4.5874558234936029E-7</v>
      </c>
      <c r="Y46" s="2">
        <f t="shared" si="16"/>
        <v>125048.9699832245</v>
      </c>
      <c r="Z46" s="12">
        <f t="shared" si="17"/>
        <v>1.9258947632711858E-14</v>
      </c>
      <c r="AA46" s="12">
        <f t="shared" si="18"/>
        <v>11597738264.419081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</row>
    <row r="47" spans="1:78" s="4" customFormat="1" x14ac:dyDescent="0.25">
      <c r="A47" s="1">
        <v>135</v>
      </c>
      <c r="B47" s="1">
        <f t="shared" si="3"/>
        <v>2.25</v>
      </c>
      <c r="C47" s="1">
        <v>20</v>
      </c>
      <c r="D47" s="1">
        <f t="shared" si="0"/>
        <v>29.146000000000001</v>
      </c>
      <c r="E47" s="1">
        <f t="shared" si="4"/>
        <v>4.8576666666666667E-7</v>
      </c>
      <c r="F47" s="1">
        <v>21.1</v>
      </c>
      <c r="G47" s="1">
        <f t="shared" si="5"/>
        <v>294.10000000000002</v>
      </c>
      <c r="H47" s="1">
        <v>101.3</v>
      </c>
      <c r="I47" s="1">
        <f t="shared" si="6"/>
        <v>101300</v>
      </c>
      <c r="J47" s="1">
        <f t="shared" si="7"/>
        <v>2.0124824921938581E-5</v>
      </c>
      <c r="K47" s="28">
        <v>104.22772277227725</v>
      </c>
      <c r="L47" s="2">
        <f t="shared" si="8"/>
        <v>1.0422772277227725E-4</v>
      </c>
      <c r="M47" s="3">
        <f t="shared" si="9"/>
        <v>4.7762865441819992E-3</v>
      </c>
      <c r="N47" s="64">
        <f t="shared" si="10"/>
        <v>4.3916223480341168E-7</v>
      </c>
      <c r="O47" s="29">
        <f t="shared" si="11"/>
        <v>2.032E-3</v>
      </c>
      <c r="P47" s="29">
        <v>1.1208581181901367E-10</v>
      </c>
      <c r="Q47" s="2">
        <v>0.31</v>
      </c>
      <c r="R47" s="2">
        <f t="shared" si="12"/>
        <v>131000</v>
      </c>
      <c r="S47" s="2">
        <f t="shared" si="13"/>
        <v>5.2493374855265302E-3</v>
      </c>
      <c r="T47" s="16">
        <v>0.09</v>
      </c>
      <c r="U47" s="16">
        <f t="shared" si="14"/>
        <v>109000.00000000001</v>
      </c>
      <c r="V47" s="16">
        <f t="shared" si="19"/>
        <v>11.360821782178222</v>
      </c>
      <c r="W47" s="2">
        <f t="shared" si="15"/>
        <v>5</v>
      </c>
      <c r="X47" s="12">
        <f t="shared" si="20"/>
        <v>5.0174240442538797E-7</v>
      </c>
      <c r="Y47" s="2">
        <f t="shared" si="16"/>
        <v>124498.28839712289</v>
      </c>
      <c r="Z47" s="12">
        <f t="shared" si="17"/>
        <v>2.1157363772468325E-14</v>
      </c>
      <c r="AA47" s="12">
        <f t="shared" si="18"/>
        <v>12740964463.780426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</row>
    <row r="48" spans="1:78" s="4" customFormat="1" x14ac:dyDescent="0.25">
      <c r="A48" s="1">
        <v>138</v>
      </c>
      <c r="B48" s="1">
        <f t="shared" si="3"/>
        <v>2.2999999999999998</v>
      </c>
      <c r="C48" s="1">
        <v>20</v>
      </c>
      <c r="D48" s="1">
        <f t="shared" si="0"/>
        <v>29.146000000000001</v>
      </c>
      <c r="E48" s="1">
        <f t="shared" si="4"/>
        <v>4.8576666666666667E-7</v>
      </c>
      <c r="F48" s="1">
        <v>21.1</v>
      </c>
      <c r="G48" s="1">
        <f t="shared" si="5"/>
        <v>294.10000000000002</v>
      </c>
      <c r="H48" s="1">
        <v>101.3</v>
      </c>
      <c r="I48" s="1">
        <f t="shared" si="6"/>
        <v>101300</v>
      </c>
      <c r="J48" s="1">
        <f t="shared" si="7"/>
        <v>2.0124824921938581E-5</v>
      </c>
      <c r="K48" s="28">
        <v>105.86138613861388</v>
      </c>
      <c r="L48" s="2">
        <f t="shared" si="8"/>
        <v>1.0586138613861388E-4</v>
      </c>
      <c r="M48" s="3">
        <f t="shared" si="9"/>
        <v>4.7762865441819992E-3</v>
      </c>
      <c r="N48" s="64">
        <f t="shared" si="10"/>
        <v>4.4604565541161557E-7</v>
      </c>
      <c r="O48" s="29">
        <f t="shared" si="11"/>
        <v>2.032E-3</v>
      </c>
      <c r="P48" s="29">
        <v>1.1208581181901367E-10</v>
      </c>
      <c r="Q48" s="2">
        <v>0.31</v>
      </c>
      <c r="R48" s="2">
        <f t="shared" si="12"/>
        <v>131000</v>
      </c>
      <c r="S48" s="2">
        <f t="shared" si="13"/>
        <v>5.2493374855265302E-3</v>
      </c>
      <c r="T48" s="16">
        <v>0.09</v>
      </c>
      <c r="U48" s="16">
        <f t="shared" si="14"/>
        <v>109000.00000000001</v>
      </c>
      <c r="V48" s="16">
        <f t="shared" si="19"/>
        <v>11.538891089108914</v>
      </c>
      <c r="W48" s="2">
        <f t="shared" si="15"/>
        <v>5</v>
      </c>
      <c r="X48" s="12">
        <f t="shared" si="20"/>
        <v>5.1007723223229295E-7</v>
      </c>
      <c r="Y48" s="2">
        <f t="shared" si="16"/>
        <v>124391.68074501622</v>
      </c>
      <c r="Z48" s="12">
        <f t="shared" si="17"/>
        <v>2.1527291219969426E-14</v>
      </c>
      <c r="AA48" s="12">
        <f t="shared" si="18"/>
        <v>12963734772.665588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</row>
    <row r="49" spans="1:78" s="4" customFormat="1" x14ac:dyDescent="0.25">
      <c r="A49" s="1">
        <v>141</v>
      </c>
      <c r="B49" s="1">
        <f t="shared" si="3"/>
        <v>2.35</v>
      </c>
      <c r="C49" s="1">
        <v>20</v>
      </c>
      <c r="D49" s="1">
        <f t="shared" si="0"/>
        <v>29.146000000000001</v>
      </c>
      <c r="E49" s="1">
        <f t="shared" si="4"/>
        <v>4.8576666666666667E-7</v>
      </c>
      <c r="F49" s="1">
        <v>21.1</v>
      </c>
      <c r="G49" s="1">
        <f t="shared" si="5"/>
        <v>294.10000000000002</v>
      </c>
      <c r="H49" s="1">
        <v>101.3</v>
      </c>
      <c r="I49" s="1">
        <f t="shared" si="6"/>
        <v>101300</v>
      </c>
      <c r="J49" s="1">
        <f t="shared" si="7"/>
        <v>2.0124824921938581E-5</v>
      </c>
      <c r="K49" s="28">
        <v>100.61386138613864</v>
      </c>
      <c r="L49" s="2">
        <f t="shared" si="8"/>
        <v>1.0061386138613864E-4</v>
      </c>
      <c r="M49" s="3">
        <f t="shared" si="9"/>
        <v>4.7762865441819992E-3</v>
      </c>
      <c r="N49" s="64">
        <f t="shared" si="10"/>
        <v>4.2393527406405139E-7</v>
      </c>
      <c r="O49" s="29">
        <f t="shared" si="11"/>
        <v>2.032E-3</v>
      </c>
      <c r="P49" s="29">
        <v>1.1208581181901367E-10</v>
      </c>
      <c r="Q49" s="2">
        <v>0.31</v>
      </c>
      <c r="R49" s="2">
        <f t="shared" si="12"/>
        <v>131000</v>
      </c>
      <c r="S49" s="2">
        <f t="shared" si="13"/>
        <v>5.2493374855265302E-3</v>
      </c>
      <c r="T49" s="16">
        <v>0.09</v>
      </c>
      <c r="U49" s="16">
        <f t="shared" si="14"/>
        <v>109000.00000000001</v>
      </c>
      <c r="V49" s="16">
        <f t="shared" si="19"/>
        <v>10.966910891089114</v>
      </c>
      <c r="W49" s="2">
        <f t="shared" si="15"/>
        <v>5</v>
      </c>
      <c r="X49" s="12">
        <f t="shared" si="20"/>
        <v>4.8326378827562519E-7</v>
      </c>
      <c r="Y49" s="2">
        <f t="shared" si="16"/>
        <v>124734.80427879933</v>
      </c>
      <c r="Z49" s="12">
        <f t="shared" si="17"/>
        <v>2.0339453730161805E-14</v>
      </c>
      <c r="AA49" s="12">
        <f t="shared" si="18"/>
        <v>12248419036.30344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 spans="1:78" s="4" customFormat="1" x14ac:dyDescent="0.25">
      <c r="A50" s="1">
        <v>144</v>
      </c>
      <c r="B50" s="1">
        <f t="shared" si="3"/>
        <v>2.4</v>
      </c>
      <c r="C50" s="1">
        <v>20</v>
      </c>
      <c r="D50" s="1">
        <f t="shared" si="0"/>
        <v>29.146000000000001</v>
      </c>
      <c r="E50" s="1">
        <f t="shared" si="4"/>
        <v>4.8576666666666667E-7</v>
      </c>
      <c r="F50" s="1">
        <v>21.1</v>
      </c>
      <c r="G50" s="1">
        <f t="shared" si="5"/>
        <v>294.10000000000002</v>
      </c>
      <c r="H50" s="1">
        <v>101.3</v>
      </c>
      <c r="I50" s="1">
        <f t="shared" si="6"/>
        <v>101300</v>
      </c>
      <c r="J50" s="1">
        <f t="shared" si="7"/>
        <v>2.0124824921938581E-5</v>
      </c>
      <c r="K50" s="28">
        <v>104.15346534653467</v>
      </c>
      <c r="L50" s="2">
        <f t="shared" si="8"/>
        <v>1.0415346534653468E-4</v>
      </c>
      <c r="M50" s="3">
        <f t="shared" si="9"/>
        <v>4.7762865441819992E-3</v>
      </c>
      <c r="N50" s="64">
        <f t="shared" si="10"/>
        <v>4.3884935204849329E-7</v>
      </c>
      <c r="O50" s="29">
        <f t="shared" si="11"/>
        <v>2.032E-3</v>
      </c>
      <c r="P50" s="29">
        <v>1.1208581181901367E-10</v>
      </c>
      <c r="Q50" s="2">
        <v>0.31</v>
      </c>
      <c r="R50" s="2">
        <f t="shared" si="12"/>
        <v>131000</v>
      </c>
      <c r="S50" s="2">
        <f t="shared" si="13"/>
        <v>5.2493374855265302E-3</v>
      </c>
      <c r="T50" s="16">
        <v>0.09</v>
      </c>
      <c r="U50" s="16">
        <f t="shared" si="14"/>
        <v>109000.00000000001</v>
      </c>
      <c r="V50" s="16">
        <f t="shared" si="19"/>
        <v>11.352727722772281</v>
      </c>
      <c r="W50" s="2">
        <f t="shared" si="15"/>
        <v>5</v>
      </c>
      <c r="X50" s="12">
        <f t="shared" si="20"/>
        <v>5.0136327930525116E-7</v>
      </c>
      <c r="Y50" s="2">
        <f t="shared" si="16"/>
        <v>124503.13872992892</v>
      </c>
      <c r="Z50" s="12">
        <f t="shared" si="17"/>
        <v>2.1140551842327358E-14</v>
      </c>
      <c r="AA50" s="12">
        <f t="shared" si="18"/>
        <v>12730840319.449535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</row>
    <row r="51" spans="1:78" s="4" customFormat="1" x14ac:dyDescent="0.25">
      <c r="A51" s="1">
        <v>147</v>
      </c>
      <c r="B51" s="1">
        <f t="shared" si="3"/>
        <v>2.4500000000000002</v>
      </c>
      <c r="C51" s="1">
        <v>20</v>
      </c>
      <c r="D51" s="1">
        <f t="shared" si="0"/>
        <v>29.146000000000001</v>
      </c>
      <c r="E51" s="1">
        <f t="shared" si="4"/>
        <v>4.8576666666666667E-7</v>
      </c>
      <c r="F51" s="1">
        <v>21.1</v>
      </c>
      <c r="G51" s="1">
        <f t="shared" si="5"/>
        <v>294.10000000000002</v>
      </c>
      <c r="H51" s="1">
        <v>101.3</v>
      </c>
      <c r="I51" s="1">
        <f t="shared" si="6"/>
        <v>101300</v>
      </c>
      <c r="J51" s="1">
        <f t="shared" si="7"/>
        <v>2.0124824921938581E-5</v>
      </c>
      <c r="K51" s="28">
        <v>106.45544554455448</v>
      </c>
      <c r="L51" s="2">
        <f t="shared" si="8"/>
        <v>1.0645544554455448E-4</v>
      </c>
      <c r="M51" s="3">
        <f t="shared" si="9"/>
        <v>4.7762865441819992E-3</v>
      </c>
      <c r="N51" s="64">
        <f t="shared" si="10"/>
        <v>4.4854871745096249E-7</v>
      </c>
      <c r="O51" s="29">
        <f t="shared" si="11"/>
        <v>2.032E-3</v>
      </c>
      <c r="P51" s="29">
        <v>1.1208581181901367E-10</v>
      </c>
      <c r="Q51" s="2">
        <v>0.31</v>
      </c>
      <c r="R51" s="2">
        <f t="shared" si="12"/>
        <v>131000</v>
      </c>
      <c r="S51" s="2">
        <f t="shared" si="13"/>
        <v>5.2493374855265302E-3</v>
      </c>
      <c r="T51" s="16">
        <v>0.09</v>
      </c>
      <c r="U51" s="16">
        <f t="shared" si="14"/>
        <v>109000.00000000001</v>
      </c>
      <c r="V51" s="16">
        <f t="shared" si="19"/>
        <v>11.603643564356441</v>
      </c>
      <c r="W51" s="2">
        <f t="shared" si="15"/>
        <v>5</v>
      </c>
      <c r="X51" s="12">
        <f t="shared" si="20"/>
        <v>5.1310529907689531E-7</v>
      </c>
      <c r="Y51" s="2">
        <f t="shared" si="16"/>
        <v>124352.96118766423</v>
      </c>
      <c r="Z51" s="12">
        <f t="shared" si="17"/>
        <v>2.1661842315911368E-14</v>
      </c>
      <c r="AA51" s="12">
        <f t="shared" si="18"/>
        <v>13044761442.641827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 spans="1:78" s="4" customFormat="1" x14ac:dyDescent="0.25">
      <c r="A52" s="1">
        <v>150</v>
      </c>
      <c r="B52" s="1">
        <f t="shared" si="3"/>
        <v>2.5</v>
      </c>
      <c r="C52" s="1">
        <v>20</v>
      </c>
      <c r="D52" s="1">
        <f t="shared" si="0"/>
        <v>29.146000000000001</v>
      </c>
      <c r="E52" s="1">
        <f t="shared" si="4"/>
        <v>4.8576666666666667E-7</v>
      </c>
      <c r="F52" s="1">
        <v>21.1</v>
      </c>
      <c r="G52" s="1">
        <f t="shared" si="5"/>
        <v>294.10000000000002</v>
      </c>
      <c r="H52" s="1">
        <v>101.3</v>
      </c>
      <c r="I52" s="1">
        <f t="shared" si="6"/>
        <v>101300</v>
      </c>
      <c r="J52" s="1">
        <f t="shared" si="7"/>
        <v>2.0124824921938581E-5</v>
      </c>
      <c r="K52" s="28">
        <v>96.727722772277232</v>
      </c>
      <c r="L52" s="2">
        <f t="shared" si="8"/>
        <v>9.6727722772277234E-5</v>
      </c>
      <c r="M52" s="3">
        <f t="shared" si="9"/>
        <v>4.7762865441819992E-3</v>
      </c>
      <c r="N52" s="64">
        <f t="shared" si="10"/>
        <v>4.075610765566571E-7</v>
      </c>
      <c r="O52" s="29">
        <f t="shared" si="11"/>
        <v>2.032E-3</v>
      </c>
      <c r="P52" s="29">
        <v>1.1208581181901367E-10</v>
      </c>
      <c r="Q52" s="2">
        <v>0.31</v>
      </c>
      <c r="R52" s="2">
        <f t="shared" si="12"/>
        <v>131000</v>
      </c>
      <c r="S52" s="2">
        <f t="shared" si="13"/>
        <v>5.2493374855265302E-3</v>
      </c>
      <c r="T52" s="16">
        <v>0.09</v>
      </c>
      <c r="U52" s="16">
        <f t="shared" si="14"/>
        <v>109000.00000000001</v>
      </c>
      <c r="V52" s="16">
        <f t="shared" si="19"/>
        <v>10.54332178217822</v>
      </c>
      <c r="W52" s="2">
        <f t="shared" si="15"/>
        <v>5</v>
      </c>
      <c r="X52" s="12">
        <f t="shared" si="20"/>
        <v>4.6332708786860272E-7</v>
      </c>
      <c r="Y52" s="2">
        <f t="shared" si="16"/>
        <v>124990.23452988607</v>
      </c>
      <c r="Z52" s="12">
        <f t="shared" si="17"/>
        <v>1.9460443748086293E-14</v>
      </c>
      <c r="AA52" s="12">
        <f t="shared" si="18"/>
        <v>11719079225.097567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</row>
    <row r="53" spans="1:78" s="4" customFormat="1" x14ac:dyDescent="0.25">
      <c r="A53" s="1">
        <v>153</v>
      </c>
      <c r="B53" s="1">
        <f t="shared" si="3"/>
        <v>2.5499999999999998</v>
      </c>
      <c r="C53" s="1">
        <v>20</v>
      </c>
      <c r="D53" s="1">
        <f t="shared" si="0"/>
        <v>29.146000000000001</v>
      </c>
      <c r="E53" s="1">
        <f t="shared" si="4"/>
        <v>4.8576666666666667E-7</v>
      </c>
      <c r="F53" s="1">
        <v>21.1</v>
      </c>
      <c r="G53" s="1">
        <f t="shared" si="5"/>
        <v>294.10000000000002</v>
      </c>
      <c r="H53" s="1">
        <v>101.3</v>
      </c>
      <c r="I53" s="1">
        <f t="shared" si="6"/>
        <v>101300</v>
      </c>
      <c r="J53" s="1">
        <f t="shared" si="7"/>
        <v>2.0124824921938581E-5</v>
      </c>
      <c r="K53" s="28">
        <v>102.32178217821784</v>
      </c>
      <c r="L53" s="2">
        <f t="shared" si="8"/>
        <v>1.0232178217821785E-4</v>
      </c>
      <c r="M53" s="3">
        <f t="shared" si="9"/>
        <v>4.7762865441819992E-3</v>
      </c>
      <c r="N53" s="64">
        <f t="shared" si="10"/>
        <v>4.3113157742717372E-7</v>
      </c>
      <c r="O53" s="29">
        <f t="shared" si="11"/>
        <v>2.032E-3</v>
      </c>
      <c r="P53" s="29">
        <v>1.1208581181901367E-10</v>
      </c>
      <c r="Q53" s="2">
        <v>0.31</v>
      </c>
      <c r="R53" s="2">
        <f t="shared" si="12"/>
        <v>131000</v>
      </c>
      <c r="S53" s="2">
        <f t="shared" si="13"/>
        <v>5.2493374855265302E-3</v>
      </c>
      <c r="T53" s="16">
        <v>0.09</v>
      </c>
      <c r="U53" s="16">
        <f t="shared" si="14"/>
        <v>109000.00000000001</v>
      </c>
      <c r="V53" s="16">
        <f t="shared" si="19"/>
        <v>11.153074257425747</v>
      </c>
      <c r="W53" s="2">
        <f t="shared" si="15"/>
        <v>5</v>
      </c>
      <c r="X53" s="12">
        <f t="shared" si="20"/>
        <v>4.9200398604442737E-7</v>
      </c>
      <c r="Y53" s="2">
        <f t="shared" si="16"/>
        <v>124622.90669475714</v>
      </c>
      <c r="Z53" s="12">
        <f t="shared" si="17"/>
        <v>2.072593388611625E-14</v>
      </c>
      <c r="AA53" s="12">
        <f t="shared" si="18"/>
        <v>12481157386.219206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 spans="1:78" s="4" customFormat="1" x14ac:dyDescent="0.25">
      <c r="A54" s="1">
        <v>156</v>
      </c>
      <c r="B54" s="1">
        <f t="shared" si="3"/>
        <v>2.6</v>
      </c>
      <c r="C54" s="1">
        <v>20</v>
      </c>
      <c r="D54" s="1">
        <f t="shared" si="0"/>
        <v>29.146000000000001</v>
      </c>
      <c r="E54" s="1">
        <f t="shared" si="4"/>
        <v>4.8576666666666667E-7</v>
      </c>
      <c r="F54" s="1">
        <v>21.1</v>
      </c>
      <c r="G54" s="1">
        <f t="shared" si="5"/>
        <v>294.10000000000002</v>
      </c>
      <c r="H54" s="1">
        <v>101.3</v>
      </c>
      <c r="I54" s="1">
        <f t="shared" si="6"/>
        <v>101300</v>
      </c>
      <c r="J54" s="1">
        <f t="shared" si="7"/>
        <v>2.0124824921938581E-5</v>
      </c>
      <c r="K54" s="28">
        <v>100.71287128712872</v>
      </c>
      <c r="L54" s="2">
        <f t="shared" si="8"/>
        <v>1.0071287128712872E-4</v>
      </c>
      <c r="M54" s="3">
        <f t="shared" si="9"/>
        <v>4.7762865441819992E-3</v>
      </c>
      <c r="N54" s="64">
        <f t="shared" si="10"/>
        <v>4.2435245107060915E-7</v>
      </c>
      <c r="O54" s="29">
        <f t="shared" si="11"/>
        <v>2.032E-3</v>
      </c>
      <c r="P54" s="29">
        <v>1.1208581181901367E-10</v>
      </c>
      <c r="Q54" s="2">
        <v>0.31</v>
      </c>
      <c r="R54" s="2">
        <f t="shared" si="12"/>
        <v>131000</v>
      </c>
      <c r="S54" s="2">
        <f t="shared" si="13"/>
        <v>5.2493374855265302E-3</v>
      </c>
      <c r="T54" s="16">
        <v>0.09</v>
      </c>
      <c r="U54" s="16">
        <f t="shared" si="14"/>
        <v>109000.00000000001</v>
      </c>
      <c r="V54" s="16">
        <f t="shared" si="19"/>
        <v>10.977702970297031</v>
      </c>
      <c r="W54" s="2">
        <f t="shared" si="15"/>
        <v>5</v>
      </c>
      <c r="X54" s="12">
        <f t="shared" si="20"/>
        <v>4.83770822528577E-7</v>
      </c>
      <c r="Y54" s="2">
        <f t="shared" si="16"/>
        <v>124728.31153105202</v>
      </c>
      <c r="Z54" s="12">
        <f t="shared" si="17"/>
        <v>2.036185536650292E-14</v>
      </c>
      <c r="AA54" s="12">
        <f t="shared" si="18"/>
        <v>12261909301.708059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</row>
    <row r="55" spans="1:78" s="4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22"/>
      <c r="L55" s="2"/>
      <c r="M55" s="3"/>
      <c r="N55" s="29"/>
      <c r="O55" s="29"/>
      <c r="P55" s="29"/>
      <c r="Q55" s="2"/>
      <c r="R55" s="2"/>
      <c r="S55" s="2"/>
      <c r="T55" s="16"/>
      <c r="U55" s="2"/>
      <c r="V55" s="16"/>
      <c r="W55" s="2"/>
      <c r="X55" s="2"/>
      <c r="Y55" s="2"/>
      <c r="Z55" s="2"/>
      <c r="AA55" s="5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</row>
    <row r="56" spans="1:78" s="4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22"/>
      <c r="L56" s="2"/>
      <c r="M56" s="3"/>
      <c r="N56" s="29"/>
      <c r="O56" s="29"/>
      <c r="P56" s="29"/>
      <c r="Q56" s="2"/>
      <c r="R56" s="2"/>
      <c r="S56" s="2"/>
      <c r="T56" s="16"/>
      <c r="U56" s="2"/>
      <c r="V56" s="16"/>
      <c r="W56" s="2"/>
      <c r="X56" s="2"/>
      <c r="Y56" s="2"/>
      <c r="Z56" s="2"/>
      <c r="AA56" s="5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</row>
    <row r="57" spans="1:78" s="4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22"/>
      <c r="L57" s="2"/>
      <c r="M57" s="3"/>
      <c r="N57" s="29"/>
      <c r="O57" s="29"/>
      <c r="P57" s="29"/>
      <c r="Q57" s="2"/>
      <c r="R57" s="2"/>
      <c r="S57" s="2"/>
      <c r="T57" s="16"/>
      <c r="U57" s="2"/>
      <c r="V57" s="16"/>
      <c r="W57" s="2"/>
      <c r="X57" s="2"/>
      <c r="Y57" s="2"/>
      <c r="Z57" s="2"/>
      <c r="AA57" s="5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</row>
    <row r="58" spans="1:78" s="4" customFormat="1" x14ac:dyDescent="0.25">
      <c r="L58" s="5"/>
      <c r="N58" s="29"/>
      <c r="O58" s="5"/>
      <c r="P58" s="29"/>
      <c r="Q58" s="5"/>
      <c r="R58" s="5"/>
      <c r="S58" s="5"/>
      <c r="T58" s="5"/>
      <c r="U58" s="5"/>
      <c r="V58" s="5"/>
      <c r="W58" s="5"/>
      <c r="X58" s="5"/>
      <c r="Y58" s="5"/>
      <c r="Z58" s="45">
        <f>AVERAGE(Z35:Z54)</f>
        <v>1.9829747431873802E-14</v>
      </c>
      <c r="AA58" s="45">
        <f>AVERAGE(AA35:AA54)</f>
        <v>11941473903.474405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</row>
    <row r="59" spans="1:78" s="4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22"/>
      <c r="L59" s="2"/>
      <c r="M59" s="3"/>
      <c r="N59" s="29"/>
      <c r="O59" s="29"/>
      <c r="P59" s="29"/>
      <c r="Q59" s="2"/>
      <c r="R59" s="2"/>
      <c r="S59" s="2"/>
      <c r="T59" s="16"/>
      <c r="U59" s="2"/>
      <c r="V59" s="16"/>
      <c r="W59" s="2"/>
      <c r="X59" s="2"/>
      <c r="Y59" s="2"/>
      <c r="Z59" s="2"/>
      <c r="AA59" s="5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</row>
    <row r="60" spans="1:78" s="4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22"/>
      <c r="L60" s="2"/>
      <c r="M60" s="3"/>
      <c r="N60" s="29"/>
      <c r="O60" s="29"/>
      <c r="P60" s="29"/>
      <c r="Q60" s="2"/>
      <c r="R60" s="2"/>
      <c r="S60" s="2"/>
      <c r="T60" s="16"/>
      <c r="U60" s="2"/>
      <c r="V60" s="16"/>
      <c r="W60" s="2"/>
      <c r="X60" s="2"/>
      <c r="Y60" s="2"/>
      <c r="Z60" s="2"/>
      <c r="AA60" s="5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</row>
    <row r="61" spans="1:78" s="4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22"/>
      <c r="L61" s="2"/>
      <c r="M61" s="3"/>
      <c r="N61" s="29"/>
      <c r="O61" s="29"/>
      <c r="P61" s="29"/>
      <c r="Q61" s="2"/>
      <c r="R61" s="2"/>
      <c r="S61" s="2"/>
      <c r="T61" s="16"/>
      <c r="U61" s="2"/>
      <c r="V61" s="16"/>
      <c r="W61" s="2"/>
      <c r="X61" s="2"/>
      <c r="Y61" s="2"/>
      <c r="Z61" s="2"/>
      <c r="AA61" s="5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</row>
    <row r="62" spans="1:78" s="4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22"/>
      <c r="L62" s="2"/>
      <c r="M62" s="3"/>
      <c r="N62" s="29"/>
      <c r="O62" s="29"/>
      <c r="P62" s="29"/>
      <c r="Q62" s="2"/>
      <c r="R62" s="2"/>
      <c r="S62" s="2"/>
      <c r="T62" s="16"/>
      <c r="U62" s="2"/>
      <c r="V62" s="16"/>
      <c r="W62" s="2"/>
      <c r="X62" s="2"/>
      <c r="Y62" s="2"/>
      <c r="Z62" s="2"/>
      <c r="AA62" s="5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</row>
    <row r="63" spans="1:78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2"/>
      <c r="L63" s="2"/>
      <c r="M63" s="3"/>
      <c r="N63" s="29"/>
      <c r="O63" s="29"/>
      <c r="P63" s="29"/>
      <c r="Q63" s="2"/>
      <c r="R63" s="2"/>
      <c r="S63" s="2"/>
      <c r="T63" s="16"/>
      <c r="U63" s="2"/>
      <c r="V63" s="16"/>
      <c r="W63" s="2"/>
      <c r="X63" s="2"/>
      <c r="Y63" s="2"/>
      <c r="Z63" s="2"/>
      <c r="AA63" s="5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</row>
    <row r="64" spans="1:78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2"/>
      <c r="L64" s="2"/>
      <c r="M64" s="3"/>
      <c r="N64" s="29"/>
      <c r="O64" s="29"/>
      <c r="P64" s="29"/>
      <c r="Q64" s="2"/>
      <c r="R64" s="2"/>
      <c r="S64" s="2"/>
      <c r="T64" s="16"/>
      <c r="U64" s="2"/>
      <c r="V64" s="16"/>
      <c r="W64" s="2"/>
      <c r="X64" s="2"/>
      <c r="Y64" s="2"/>
      <c r="Z64" s="2"/>
      <c r="AA64" s="5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</row>
    <row r="65" spans="1:78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2"/>
      <c r="L65" s="2"/>
      <c r="M65" s="3"/>
      <c r="N65" s="29"/>
      <c r="O65" s="29"/>
      <c r="P65" s="29"/>
      <c r="Q65" s="2"/>
      <c r="R65" s="2"/>
      <c r="S65" s="2"/>
      <c r="T65" s="16"/>
      <c r="U65" s="2"/>
      <c r="V65" s="16"/>
      <c r="W65" s="2"/>
      <c r="X65" s="2"/>
      <c r="Y65" s="2"/>
      <c r="Z65" s="2"/>
      <c r="AA65" s="5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</row>
    <row r="66" spans="1:78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2"/>
      <c r="L66" s="2"/>
      <c r="M66" s="3"/>
      <c r="N66" s="29"/>
      <c r="O66" s="29"/>
      <c r="P66" s="29"/>
      <c r="Q66" s="2"/>
      <c r="R66" s="2"/>
      <c r="S66" s="2"/>
      <c r="T66" s="16"/>
      <c r="U66" s="2"/>
      <c r="V66" s="16"/>
      <c r="W66" s="2"/>
      <c r="X66" s="2"/>
      <c r="Y66" s="2"/>
      <c r="Z66" s="2"/>
      <c r="AA66" s="5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</row>
    <row r="67" spans="1:78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2"/>
      <c r="L67" s="2"/>
      <c r="M67" s="3"/>
      <c r="N67" s="29"/>
      <c r="O67" s="29"/>
      <c r="P67" s="29"/>
      <c r="Q67" s="2"/>
      <c r="R67" s="2"/>
      <c r="S67" s="2"/>
      <c r="T67" s="16"/>
      <c r="U67" s="2"/>
      <c r="V67" s="16"/>
      <c r="W67" s="2"/>
      <c r="X67" s="2"/>
      <c r="Y67" s="2"/>
      <c r="Z67" s="2"/>
      <c r="AA67" s="5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</row>
    <row r="68" spans="1:78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2"/>
      <c r="L68" s="2"/>
      <c r="M68" s="3"/>
      <c r="N68" s="29"/>
      <c r="O68" s="29"/>
      <c r="P68" s="29"/>
      <c r="Q68" s="2"/>
      <c r="R68" s="2"/>
      <c r="S68" s="2"/>
      <c r="T68" s="16"/>
      <c r="U68" s="2"/>
      <c r="V68" s="16"/>
      <c r="W68" s="2"/>
      <c r="X68" s="2"/>
      <c r="Y68" s="2"/>
      <c r="Z68" s="2"/>
      <c r="AA68" s="5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</row>
    <row r="69" spans="1:78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2"/>
      <c r="L69" s="2"/>
      <c r="M69" s="3"/>
      <c r="N69" s="29"/>
      <c r="O69" s="29"/>
      <c r="P69" s="29"/>
      <c r="Q69" s="2"/>
      <c r="R69" s="2"/>
      <c r="S69" s="2"/>
      <c r="T69" s="16"/>
      <c r="U69" s="2"/>
      <c r="V69" s="16"/>
      <c r="W69" s="2"/>
      <c r="X69" s="2"/>
      <c r="Y69" s="2"/>
      <c r="Z69" s="2"/>
      <c r="AA69" s="5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</row>
    <row r="70" spans="1:78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2"/>
      <c r="L70" s="2"/>
      <c r="M70" s="3"/>
      <c r="N70" s="29"/>
      <c r="O70" s="29"/>
      <c r="P70" s="29"/>
      <c r="Q70" s="2"/>
      <c r="R70" s="2"/>
      <c r="S70" s="2"/>
      <c r="T70" s="16"/>
      <c r="U70" s="2"/>
      <c r="V70" s="16"/>
      <c r="W70" s="2"/>
      <c r="X70" s="2"/>
      <c r="Y70" s="2"/>
      <c r="Z70" s="2"/>
      <c r="AA70" s="5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</row>
    <row r="71" spans="1:78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2"/>
      <c r="L71" s="2"/>
      <c r="M71" s="3"/>
      <c r="N71" s="29"/>
      <c r="O71" s="29"/>
      <c r="P71" s="29"/>
      <c r="Q71" s="2"/>
      <c r="R71" s="2"/>
      <c r="S71" s="2"/>
      <c r="T71" s="16"/>
      <c r="U71" s="2"/>
      <c r="V71" s="16"/>
      <c r="W71" s="2"/>
      <c r="X71" s="2"/>
      <c r="Y71" s="2"/>
      <c r="Z71" s="2"/>
      <c r="AA71" s="5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 spans="1:78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22"/>
      <c r="L72" s="2"/>
      <c r="M72" s="3"/>
      <c r="N72" s="29"/>
      <c r="O72" s="29"/>
      <c r="P72" s="29"/>
      <c r="Q72" s="2"/>
      <c r="R72" s="2"/>
      <c r="S72" s="2"/>
      <c r="T72" s="16"/>
      <c r="U72" s="2"/>
      <c r="V72" s="16"/>
      <c r="W72" s="2"/>
      <c r="X72" s="2"/>
      <c r="Y72" s="2"/>
      <c r="Z72" s="2"/>
      <c r="AA72" s="5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</row>
    <row r="73" spans="1:78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2"/>
      <c r="L73" s="2"/>
      <c r="M73" s="3"/>
      <c r="N73" s="29"/>
      <c r="O73" s="29"/>
      <c r="P73" s="29"/>
      <c r="Q73" s="2"/>
      <c r="R73" s="2"/>
      <c r="S73" s="2"/>
      <c r="T73" s="16"/>
      <c r="U73" s="2"/>
      <c r="V73" s="16"/>
      <c r="W73" s="2"/>
      <c r="X73" s="2"/>
      <c r="Y73" s="2"/>
      <c r="Z73" s="2"/>
      <c r="AA73" s="5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 spans="1:78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2"/>
      <c r="L74" s="2"/>
      <c r="M74" s="3"/>
      <c r="N74" s="29"/>
      <c r="O74" s="29"/>
      <c r="P74" s="29"/>
      <c r="Q74" s="2"/>
      <c r="R74" s="2"/>
      <c r="S74" s="2"/>
      <c r="T74" s="16"/>
      <c r="U74" s="2"/>
      <c r="V74" s="16"/>
      <c r="W74" s="2"/>
      <c r="X74" s="2"/>
      <c r="Y74" s="2"/>
      <c r="Z74" s="2"/>
      <c r="AA74" s="5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</row>
    <row r="75" spans="1:78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2"/>
      <c r="L75" s="2"/>
      <c r="M75" s="3"/>
      <c r="N75" s="29"/>
      <c r="O75" s="29"/>
      <c r="P75" s="29"/>
      <c r="Q75" s="2"/>
      <c r="R75" s="2"/>
      <c r="S75" s="2"/>
      <c r="T75" s="16"/>
      <c r="U75" s="2"/>
      <c r="V75" s="16"/>
      <c r="W75" s="2"/>
      <c r="X75" s="2"/>
      <c r="Y75" s="2"/>
      <c r="Z75" s="2"/>
      <c r="AA75" s="5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 spans="1:78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2"/>
      <c r="L76" s="2"/>
      <c r="M76" s="3"/>
      <c r="N76" s="29"/>
      <c r="O76" s="29"/>
      <c r="P76" s="29"/>
      <c r="Q76" s="2"/>
      <c r="R76" s="2"/>
      <c r="S76" s="2"/>
      <c r="T76" s="16"/>
      <c r="U76" s="2"/>
      <c r="V76" s="16"/>
      <c r="W76" s="2"/>
      <c r="X76" s="2"/>
      <c r="Y76" s="2"/>
      <c r="Z76" s="2"/>
      <c r="AA76" s="5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</row>
    <row r="77" spans="1:78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2"/>
      <c r="L77" s="2"/>
      <c r="M77" s="3"/>
      <c r="N77" s="29"/>
      <c r="O77" s="29"/>
      <c r="P77" s="29"/>
      <c r="Q77" s="2"/>
      <c r="R77" s="2"/>
      <c r="S77" s="2"/>
      <c r="T77" s="16"/>
      <c r="U77" s="2"/>
      <c r="V77" s="16"/>
      <c r="W77" s="2"/>
      <c r="X77" s="2"/>
      <c r="Y77" s="2"/>
      <c r="Z77" s="2"/>
      <c r="AA77" s="5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 spans="1:78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2"/>
      <c r="L78" s="2"/>
      <c r="M78" s="3"/>
      <c r="N78" s="29"/>
      <c r="O78" s="29"/>
      <c r="P78" s="29"/>
      <c r="Q78" s="2"/>
      <c r="R78" s="2"/>
      <c r="S78" s="2"/>
      <c r="T78" s="16"/>
      <c r="U78" s="2"/>
      <c r="V78" s="16"/>
      <c r="W78" s="2"/>
      <c r="X78" s="2"/>
      <c r="Y78" s="2"/>
      <c r="Z78" s="2"/>
      <c r="AA78" s="5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</row>
    <row r="79" spans="1:78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2"/>
      <c r="L79" s="2"/>
      <c r="M79" s="3"/>
      <c r="N79" s="29"/>
      <c r="O79" s="29"/>
      <c r="P79" s="29"/>
      <c r="Q79" s="2"/>
      <c r="R79" s="2"/>
      <c r="S79" s="2"/>
      <c r="T79" s="16"/>
      <c r="U79" s="2"/>
      <c r="V79" s="16"/>
      <c r="W79" s="2"/>
      <c r="X79" s="2"/>
      <c r="Y79" s="2"/>
      <c r="Z79" s="2"/>
      <c r="AA79" s="5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1:78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2"/>
      <c r="L80" s="2"/>
      <c r="M80" s="3"/>
      <c r="N80" s="29"/>
      <c r="O80" s="29"/>
      <c r="P80" s="29"/>
      <c r="Q80" s="2"/>
      <c r="R80" s="2"/>
      <c r="S80" s="2"/>
      <c r="T80" s="16"/>
      <c r="U80" s="2"/>
      <c r="V80" s="16"/>
      <c r="W80" s="2"/>
      <c r="X80" s="2"/>
      <c r="Y80" s="2"/>
      <c r="Z80" s="2"/>
      <c r="AA80" s="5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 spans="1:78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2"/>
      <c r="L81" s="2"/>
      <c r="M81" s="3"/>
      <c r="N81" s="29"/>
      <c r="O81" s="29"/>
      <c r="P81" s="29"/>
      <c r="Q81" s="2"/>
      <c r="R81" s="2"/>
      <c r="S81" s="2"/>
      <c r="T81" s="16"/>
      <c r="U81" s="2"/>
      <c r="V81" s="16"/>
      <c r="W81" s="2"/>
      <c r="X81" s="2"/>
      <c r="Y81" s="2"/>
      <c r="Z81" s="2"/>
      <c r="AA81" s="5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</row>
    <row r="82" spans="1:78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2"/>
      <c r="L82" s="2"/>
      <c r="M82" s="3"/>
      <c r="N82" s="29"/>
      <c r="O82" s="29"/>
      <c r="P82" s="29"/>
      <c r="Q82" s="2"/>
      <c r="R82" s="2"/>
      <c r="S82" s="2"/>
      <c r="T82" s="16"/>
      <c r="U82" s="2"/>
      <c r="V82" s="16"/>
      <c r="W82" s="2"/>
      <c r="X82" s="2"/>
      <c r="Y82" s="2"/>
      <c r="Z82" s="2"/>
      <c r="AA82" s="5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</row>
    <row r="83" spans="1:78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2"/>
      <c r="L83" s="2"/>
      <c r="M83" s="3"/>
      <c r="N83" s="29"/>
      <c r="O83" s="29"/>
      <c r="P83" s="29"/>
      <c r="Q83" s="2"/>
      <c r="R83" s="2"/>
      <c r="S83" s="2"/>
      <c r="T83" s="16"/>
      <c r="U83" s="2"/>
      <c r="V83" s="16"/>
      <c r="W83" s="2"/>
      <c r="X83" s="2"/>
      <c r="Y83" s="2"/>
      <c r="Z83" s="2"/>
      <c r="AA83" s="5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</row>
    <row r="84" spans="1:78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2"/>
      <c r="L84" s="3"/>
      <c r="M84" s="3"/>
      <c r="N84" s="29"/>
      <c r="O84" s="29"/>
      <c r="P84" s="29"/>
      <c r="Q84" s="2"/>
      <c r="R84" s="2"/>
      <c r="S84" s="2"/>
      <c r="T84" s="16"/>
      <c r="U84" s="2"/>
      <c r="V84" s="16"/>
      <c r="W84" s="2"/>
      <c r="X84" s="2"/>
      <c r="Y84" s="2"/>
      <c r="Z84" s="2"/>
      <c r="AA84" s="5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</row>
    <row r="85" spans="1:78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2"/>
      <c r="L85" s="3"/>
      <c r="M85" s="3"/>
      <c r="N85" s="29"/>
      <c r="O85" s="29"/>
      <c r="P85" s="29"/>
      <c r="Q85" s="2"/>
      <c r="R85" s="2"/>
      <c r="S85" s="2"/>
      <c r="T85" s="16"/>
      <c r="U85" s="2"/>
      <c r="V85" s="16"/>
      <c r="W85" s="2"/>
      <c r="X85" s="2"/>
      <c r="Y85" s="2"/>
      <c r="Z85" s="2"/>
      <c r="AA85" s="5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</row>
    <row r="86" spans="1:78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2"/>
      <c r="L86" s="3"/>
      <c r="M86" s="3"/>
      <c r="N86" s="29"/>
      <c r="O86" s="29"/>
      <c r="P86" s="29"/>
      <c r="Q86" s="2"/>
      <c r="R86" s="2"/>
      <c r="S86" s="2"/>
      <c r="T86" s="16"/>
      <c r="U86" s="2"/>
      <c r="V86" s="16"/>
      <c r="W86" s="2"/>
      <c r="X86" s="2"/>
      <c r="Y86" s="2"/>
      <c r="Z86" s="2"/>
      <c r="AA86" s="5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 spans="1:78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2"/>
      <c r="L87" s="3"/>
      <c r="M87" s="3"/>
      <c r="N87" s="29"/>
      <c r="O87" s="29"/>
      <c r="P87" s="29"/>
      <c r="Q87" s="2"/>
      <c r="R87" s="2"/>
      <c r="S87" s="2"/>
      <c r="T87" s="16"/>
      <c r="U87" s="2"/>
      <c r="V87" s="16"/>
      <c r="W87" s="2"/>
      <c r="X87" s="2"/>
      <c r="Y87" s="2"/>
      <c r="Z87" s="2"/>
      <c r="AA87" s="5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</row>
    <row r="88" spans="1:78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2"/>
      <c r="L88" s="3"/>
      <c r="M88" s="3"/>
      <c r="N88" s="29"/>
      <c r="O88" s="29"/>
      <c r="P88" s="29"/>
      <c r="Q88" s="2"/>
      <c r="R88" s="2"/>
      <c r="S88" s="2"/>
      <c r="T88" s="16"/>
      <c r="U88" s="2"/>
      <c r="V88" s="16"/>
      <c r="W88" s="2"/>
      <c r="X88" s="2"/>
      <c r="Y88" s="2"/>
      <c r="Z88" s="2"/>
      <c r="AA88" s="5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 spans="1:78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2"/>
      <c r="L89" s="3"/>
      <c r="M89" s="3"/>
      <c r="N89" s="29"/>
      <c r="O89" s="29"/>
      <c r="P89" s="29"/>
      <c r="Q89" s="2"/>
      <c r="R89" s="2"/>
      <c r="S89" s="2"/>
      <c r="T89" s="16"/>
      <c r="U89" s="2"/>
      <c r="V89" s="16"/>
      <c r="W89" s="2"/>
      <c r="X89" s="2"/>
      <c r="Y89" s="2"/>
      <c r="Z89" s="2"/>
      <c r="AA89" s="5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</row>
    <row r="90" spans="1:78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2"/>
      <c r="L90" s="3"/>
      <c r="M90" s="3"/>
      <c r="N90" s="29"/>
      <c r="O90" s="29"/>
      <c r="P90" s="29"/>
      <c r="Q90" s="2"/>
      <c r="R90" s="2"/>
      <c r="S90" s="2"/>
      <c r="T90" s="16"/>
      <c r="U90" s="2"/>
      <c r="V90" s="16"/>
      <c r="W90" s="2"/>
      <c r="X90" s="2"/>
      <c r="Y90" s="2"/>
      <c r="Z90" s="2"/>
      <c r="AA90" s="5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 spans="1:78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2"/>
      <c r="L91" s="3"/>
      <c r="M91" s="3"/>
      <c r="N91" s="29"/>
      <c r="O91" s="29"/>
      <c r="P91" s="29"/>
      <c r="Q91" s="2"/>
      <c r="R91" s="2"/>
      <c r="S91" s="2"/>
      <c r="T91" s="16"/>
      <c r="U91" s="2"/>
      <c r="V91" s="16"/>
      <c r="W91" s="2"/>
      <c r="X91" s="2"/>
      <c r="Y91" s="2"/>
      <c r="Z91" s="2"/>
      <c r="AA91" s="5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</row>
    <row r="92" spans="1:78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2"/>
      <c r="L92" s="3"/>
      <c r="M92" s="3"/>
      <c r="N92" s="29"/>
      <c r="O92" s="29"/>
      <c r="P92" s="29"/>
      <c r="Q92" s="2"/>
      <c r="R92" s="2"/>
      <c r="S92" s="2"/>
      <c r="T92" s="16"/>
      <c r="U92" s="2"/>
      <c r="V92" s="16"/>
      <c r="W92" s="2"/>
      <c r="X92" s="2"/>
      <c r="Y92" s="2"/>
      <c r="Z92" s="2"/>
      <c r="AA92" s="5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</row>
    <row r="93" spans="1:78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2"/>
      <c r="L93" s="3"/>
      <c r="M93" s="3"/>
      <c r="N93" s="29"/>
      <c r="O93" s="29"/>
      <c r="P93" s="29"/>
      <c r="Q93" s="2"/>
      <c r="R93" s="2"/>
      <c r="S93" s="2"/>
      <c r="T93" s="16"/>
      <c r="U93" s="2"/>
      <c r="V93" s="16"/>
      <c r="W93" s="2"/>
      <c r="X93" s="2"/>
      <c r="Y93" s="2"/>
      <c r="Z93" s="2"/>
      <c r="AA93" s="5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</row>
    <row r="94" spans="1:78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2"/>
      <c r="L94" s="3"/>
      <c r="M94" s="3"/>
      <c r="N94" s="29"/>
      <c r="O94" s="29"/>
      <c r="P94" s="29"/>
      <c r="Q94" s="2"/>
      <c r="R94" s="2"/>
      <c r="S94" s="2"/>
      <c r="T94" s="16"/>
      <c r="U94" s="2"/>
      <c r="V94" s="16"/>
      <c r="W94" s="2"/>
      <c r="X94" s="2"/>
      <c r="Y94" s="2"/>
      <c r="Z94" s="2"/>
      <c r="AA94" s="5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 spans="1:78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2"/>
      <c r="L95" s="3"/>
      <c r="M95" s="3"/>
      <c r="N95" s="29"/>
      <c r="O95" s="29"/>
      <c r="P95" s="29"/>
      <c r="Q95" s="2"/>
      <c r="R95" s="2"/>
      <c r="S95" s="2"/>
      <c r="T95" s="16"/>
      <c r="U95" s="2"/>
      <c r="V95" s="16"/>
      <c r="W95" s="2"/>
      <c r="X95" s="2"/>
      <c r="Y95" s="2"/>
      <c r="Z95" s="2"/>
      <c r="AA95" s="5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</row>
    <row r="96" spans="1:78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2"/>
      <c r="L96" s="3"/>
      <c r="M96" s="3"/>
      <c r="N96" s="29"/>
      <c r="O96" s="29"/>
      <c r="P96" s="29"/>
      <c r="Q96" s="2"/>
      <c r="R96" s="2"/>
      <c r="S96" s="2"/>
      <c r="T96" s="16"/>
      <c r="U96" s="2"/>
      <c r="V96" s="16"/>
      <c r="W96" s="2"/>
      <c r="X96" s="2"/>
      <c r="Y96" s="2"/>
      <c r="Z96" s="2"/>
      <c r="AA96" s="5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</row>
    <row r="97" spans="1:78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2"/>
      <c r="L97" s="3"/>
      <c r="M97" s="3"/>
      <c r="N97" s="29"/>
      <c r="O97" s="29"/>
      <c r="P97" s="29"/>
      <c r="Q97" s="2"/>
      <c r="R97" s="2"/>
      <c r="S97" s="2"/>
      <c r="T97" s="16"/>
      <c r="U97" s="2"/>
      <c r="V97" s="16"/>
      <c r="W97" s="2"/>
      <c r="X97" s="2"/>
      <c r="Y97" s="2"/>
      <c r="Z97" s="2"/>
      <c r="AA97" s="5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</row>
    <row r="98" spans="1:78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2"/>
      <c r="L98" s="3"/>
      <c r="M98" s="3"/>
      <c r="N98" s="29"/>
      <c r="O98" s="29"/>
      <c r="P98" s="29"/>
      <c r="Q98" s="2"/>
      <c r="R98" s="2"/>
      <c r="S98" s="2"/>
      <c r="T98" s="16"/>
      <c r="U98" s="2"/>
      <c r="V98" s="16"/>
      <c r="W98" s="2"/>
      <c r="X98" s="2"/>
      <c r="Y98" s="2"/>
      <c r="Z98" s="2"/>
      <c r="AA98" s="5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</row>
    <row r="99" spans="1:78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2"/>
      <c r="L99" s="3"/>
      <c r="M99" s="3"/>
      <c r="N99" s="29"/>
      <c r="O99" s="29"/>
      <c r="P99" s="29"/>
      <c r="Q99" s="2"/>
      <c r="R99" s="2"/>
      <c r="S99" s="2"/>
      <c r="T99" s="16"/>
      <c r="U99" s="2"/>
      <c r="V99" s="16"/>
      <c r="W99" s="2"/>
      <c r="X99" s="2"/>
      <c r="Y99" s="2"/>
      <c r="Z99" s="2"/>
      <c r="AA99" s="5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</row>
    <row r="100" spans="1:78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2"/>
      <c r="L100" s="3"/>
      <c r="M100" s="3"/>
      <c r="N100" s="29"/>
      <c r="O100" s="29"/>
      <c r="P100" s="29"/>
      <c r="Q100" s="2"/>
      <c r="R100" s="2"/>
      <c r="S100" s="2"/>
      <c r="T100" s="16"/>
      <c r="U100" s="2"/>
      <c r="V100" s="16"/>
      <c r="W100" s="2"/>
      <c r="X100" s="2"/>
      <c r="Y100" s="2"/>
      <c r="Z100" s="2"/>
      <c r="AA100" s="5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</row>
    <row r="101" spans="1:78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2"/>
      <c r="L101" s="3"/>
      <c r="M101" s="3"/>
      <c r="N101" s="29"/>
      <c r="O101" s="29"/>
      <c r="P101" s="29"/>
      <c r="Q101" s="2"/>
      <c r="R101" s="2"/>
      <c r="S101" s="2"/>
      <c r="T101" s="16"/>
      <c r="U101" s="2"/>
      <c r="V101" s="16"/>
      <c r="W101" s="2"/>
      <c r="X101" s="2"/>
      <c r="Y101" s="2"/>
      <c r="Z101" s="2"/>
      <c r="AA101" s="5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</row>
    <row r="102" spans="1:78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2"/>
      <c r="L102" s="3"/>
      <c r="M102" s="3"/>
      <c r="N102" s="29"/>
      <c r="O102" s="29"/>
      <c r="P102" s="29"/>
      <c r="Q102" s="2"/>
      <c r="R102" s="2"/>
      <c r="S102" s="2"/>
      <c r="T102" s="16"/>
      <c r="U102" s="2"/>
      <c r="V102" s="16"/>
      <c r="W102" s="2"/>
      <c r="X102" s="2"/>
      <c r="Y102" s="2"/>
      <c r="Z102" s="2"/>
      <c r="AA102" s="5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 spans="1:78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2"/>
      <c r="L103" s="3"/>
      <c r="M103" s="3"/>
      <c r="N103" s="29"/>
      <c r="O103" s="29"/>
      <c r="P103" s="29"/>
      <c r="Q103" s="2"/>
      <c r="R103" s="2"/>
      <c r="S103" s="2"/>
      <c r="T103" s="16"/>
      <c r="U103" s="2"/>
      <c r="V103" s="16"/>
      <c r="W103" s="2"/>
      <c r="X103" s="2"/>
      <c r="Y103" s="2"/>
      <c r="Z103" s="2"/>
      <c r="AA103" s="5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</row>
    <row r="104" spans="1:78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2"/>
      <c r="L104" s="3"/>
      <c r="M104" s="3"/>
      <c r="N104" s="29"/>
      <c r="O104" s="29"/>
      <c r="P104" s="29"/>
      <c r="Q104" s="2"/>
      <c r="R104" s="2"/>
      <c r="S104" s="2"/>
      <c r="T104" s="16"/>
      <c r="U104" s="2"/>
      <c r="V104" s="16"/>
      <c r="W104" s="2"/>
      <c r="X104" s="2"/>
      <c r="Y104" s="2"/>
      <c r="Z104" s="2"/>
      <c r="AA104" s="5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 spans="1:78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2"/>
      <c r="L105" s="3"/>
      <c r="M105" s="3"/>
      <c r="N105" s="29"/>
      <c r="O105" s="29"/>
      <c r="P105" s="29"/>
      <c r="Q105" s="2"/>
      <c r="R105" s="2"/>
      <c r="S105" s="2"/>
      <c r="T105" s="16"/>
      <c r="U105" s="2"/>
      <c r="V105" s="16"/>
      <c r="W105" s="2"/>
      <c r="X105" s="2"/>
      <c r="Y105" s="2"/>
      <c r="Z105" s="2"/>
      <c r="AA105" s="5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</row>
    <row r="106" spans="1:78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2"/>
      <c r="L106" s="3"/>
      <c r="M106" s="3"/>
      <c r="N106" s="29"/>
      <c r="O106" s="29"/>
      <c r="P106" s="29"/>
      <c r="Q106" s="2"/>
      <c r="R106" s="2"/>
      <c r="S106" s="2"/>
      <c r="T106" s="16"/>
      <c r="U106" s="2"/>
      <c r="V106" s="16"/>
      <c r="W106" s="2"/>
      <c r="X106" s="2"/>
      <c r="Y106" s="2"/>
      <c r="Z106" s="2"/>
      <c r="AA106" s="5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 spans="1:78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2"/>
      <c r="L107" s="3"/>
      <c r="M107" s="3"/>
      <c r="N107" s="29"/>
      <c r="O107" s="29"/>
      <c r="P107" s="29"/>
      <c r="Q107" s="2"/>
      <c r="R107" s="2"/>
      <c r="S107" s="2"/>
      <c r="T107" s="16"/>
      <c r="U107" s="2"/>
      <c r="V107" s="16"/>
      <c r="W107" s="2"/>
      <c r="X107" s="2"/>
      <c r="Y107" s="2"/>
      <c r="Z107" s="2"/>
      <c r="AA107" s="5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</row>
    <row r="108" spans="1:78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2"/>
      <c r="L108" s="3"/>
      <c r="M108" s="3"/>
      <c r="N108" s="29"/>
      <c r="O108" s="29"/>
      <c r="P108" s="29"/>
      <c r="Q108" s="2"/>
      <c r="R108" s="2"/>
      <c r="S108" s="2"/>
      <c r="T108" s="16"/>
      <c r="U108" s="2"/>
      <c r="V108" s="16"/>
      <c r="W108" s="2"/>
      <c r="X108" s="2"/>
      <c r="Y108" s="2"/>
      <c r="Z108" s="2"/>
      <c r="AA108" s="5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 spans="1:78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2"/>
      <c r="L109" s="3"/>
      <c r="M109" s="3"/>
      <c r="N109" s="29"/>
      <c r="O109" s="29"/>
      <c r="P109" s="29"/>
      <c r="Q109" s="2"/>
      <c r="R109" s="2"/>
      <c r="S109" s="2"/>
      <c r="T109" s="16"/>
      <c r="U109" s="2"/>
      <c r="V109" s="16"/>
      <c r="W109" s="2"/>
      <c r="X109" s="2"/>
      <c r="Y109" s="2"/>
      <c r="Z109" s="2"/>
      <c r="AA109" s="5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</row>
    <row r="110" spans="1:78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2"/>
      <c r="L110" s="3"/>
      <c r="M110" s="3"/>
      <c r="N110" s="29"/>
      <c r="O110" s="29"/>
      <c r="P110" s="29"/>
      <c r="Q110" s="2"/>
      <c r="R110" s="2"/>
      <c r="S110" s="2"/>
      <c r="T110" s="16"/>
      <c r="U110" s="2"/>
      <c r="V110" s="16"/>
      <c r="W110" s="2"/>
      <c r="X110" s="2"/>
      <c r="Y110" s="2"/>
      <c r="Z110" s="2"/>
      <c r="AA110" s="5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 spans="1:78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2"/>
      <c r="L111" s="3"/>
      <c r="M111" s="3"/>
      <c r="N111" s="29"/>
      <c r="O111" s="29"/>
      <c r="P111" s="29"/>
      <c r="Q111" s="2"/>
      <c r="R111" s="2"/>
      <c r="S111" s="2"/>
      <c r="T111" s="16"/>
      <c r="U111" s="2"/>
      <c r="V111" s="16"/>
      <c r="W111" s="2"/>
      <c r="X111" s="2"/>
      <c r="Y111" s="2"/>
      <c r="Z111" s="2"/>
      <c r="AA111" s="5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</row>
    <row r="112" spans="1:78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2"/>
      <c r="L112" s="3"/>
      <c r="M112" s="3"/>
      <c r="N112" s="29"/>
      <c r="O112" s="29"/>
      <c r="P112" s="29"/>
      <c r="Q112" s="2"/>
      <c r="R112" s="2"/>
      <c r="S112" s="2"/>
      <c r="T112" s="16"/>
      <c r="U112" s="2"/>
      <c r="V112" s="16"/>
      <c r="W112" s="2"/>
      <c r="X112" s="2"/>
      <c r="Y112" s="2"/>
      <c r="Z112" s="2"/>
      <c r="AA112" s="5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 spans="1:78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2"/>
      <c r="L113" s="3"/>
      <c r="M113" s="3"/>
      <c r="N113" s="29"/>
      <c r="O113" s="29"/>
      <c r="P113" s="29"/>
      <c r="Q113" s="2"/>
      <c r="R113" s="2"/>
      <c r="S113" s="2"/>
      <c r="T113" s="16"/>
      <c r="U113" s="2"/>
      <c r="V113" s="16"/>
      <c r="W113" s="2"/>
      <c r="X113" s="2"/>
      <c r="Y113" s="2"/>
      <c r="Z113" s="2"/>
      <c r="AA113" s="5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</row>
    <row r="114" spans="1:78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2"/>
      <c r="L114" s="3"/>
      <c r="M114" s="3"/>
      <c r="N114" s="64"/>
      <c r="O114" s="29"/>
      <c r="P114" s="29"/>
      <c r="Q114" s="2"/>
      <c r="R114" s="2"/>
      <c r="S114" s="2"/>
      <c r="T114" s="16"/>
      <c r="U114" s="2"/>
      <c r="V114" s="16"/>
      <c r="W114" s="2"/>
      <c r="X114" s="2"/>
      <c r="Y114" s="2"/>
      <c r="Z114" s="2"/>
      <c r="AA114" s="5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 spans="1:78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2"/>
      <c r="L115" s="3"/>
      <c r="M115" s="3"/>
      <c r="N115" s="29"/>
      <c r="O115" s="29"/>
      <c r="P115" s="29"/>
      <c r="Q115" s="2"/>
      <c r="R115" s="2"/>
      <c r="S115" s="2"/>
      <c r="T115" s="16"/>
      <c r="U115" s="2"/>
      <c r="V115" s="16"/>
      <c r="W115" s="2"/>
      <c r="X115" s="2"/>
      <c r="Y115" s="2"/>
      <c r="Z115" s="2"/>
      <c r="AA115" s="5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</row>
    <row r="116" spans="1:78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2"/>
      <c r="L116" s="3"/>
      <c r="M116" s="3"/>
      <c r="N116" s="29"/>
      <c r="O116" s="29"/>
      <c r="P116" s="29"/>
      <c r="Q116" s="2"/>
      <c r="R116" s="2"/>
      <c r="S116" s="2"/>
      <c r="T116" s="16"/>
      <c r="U116" s="2"/>
      <c r="V116" s="16"/>
      <c r="W116" s="2"/>
      <c r="X116" s="2"/>
      <c r="Y116" s="2"/>
      <c r="Z116" s="2"/>
      <c r="AA116" s="5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 spans="1:78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2"/>
      <c r="L117" s="3"/>
      <c r="M117" s="3"/>
      <c r="N117" s="29"/>
      <c r="O117" s="29"/>
      <c r="P117" s="29"/>
      <c r="Q117" s="2"/>
      <c r="R117" s="2"/>
      <c r="S117" s="2"/>
      <c r="T117" s="16"/>
      <c r="U117" s="2"/>
      <c r="V117" s="16"/>
      <c r="W117" s="2"/>
      <c r="X117" s="2"/>
      <c r="Y117" s="2"/>
      <c r="Z117" s="2"/>
      <c r="AA117" s="5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</row>
    <row r="118" spans="1:78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2"/>
      <c r="L118" s="3"/>
      <c r="M118" s="3"/>
      <c r="N118" s="29"/>
      <c r="O118" s="29"/>
      <c r="P118" s="29"/>
      <c r="Q118" s="2"/>
      <c r="R118" s="2"/>
      <c r="S118" s="2"/>
      <c r="T118" s="16"/>
      <c r="U118" s="2"/>
      <c r="V118" s="16"/>
      <c r="W118" s="2"/>
      <c r="X118" s="2"/>
      <c r="Y118" s="2"/>
      <c r="Z118" s="2"/>
      <c r="AA118" s="5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</row>
    <row r="119" spans="1:78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2"/>
      <c r="L119" s="3"/>
      <c r="M119" s="3"/>
      <c r="N119" s="29"/>
      <c r="O119" s="29"/>
      <c r="P119" s="29"/>
      <c r="Q119" s="2"/>
      <c r="R119" s="2"/>
      <c r="S119" s="2"/>
      <c r="T119" s="16"/>
      <c r="U119" s="2"/>
      <c r="V119" s="16"/>
      <c r="W119" s="2"/>
      <c r="X119" s="2"/>
      <c r="Y119" s="2"/>
      <c r="Z119" s="2"/>
      <c r="AA119" s="5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</row>
    <row r="120" spans="1:78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2"/>
      <c r="L120" s="3"/>
      <c r="M120" s="3"/>
      <c r="N120" s="29"/>
      <c r="O120" s="29"/>
      <c r="P120" s="29"/>
      <c r="Q120" s="2"/>
      <c r="R120" s="2"/>
      <c r="S120" s="2"/>
      <c r="T120" s="16"/>
      <c r="U120" s="2"/>
      <c r="V120" s="16"/>
      <c r="W120" s="2"/>
      <c r="X120" s="2"/>
      <c r="Y120" s="2"/>
      <c r="Z120" s="2"/>
      <c r="AA120" s="5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</row>
    <row r="121" spans="1:78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2"/>
      <c r="L121" s="3"/>
      <c r="M121" s="3"/>
      <c r="N121" s="29"/>
      <c r="O121" s="29"/>
      <c r="P121" s="29"/>
      <c r="Q121" s="2"/>
      <c r="R121" s="2"/>
      <c r="S121" s="2"/>
      <c r="T121" s="16"/>
      <c r="U121" s="2"/>
      <c r="V121" s="16"/>
      <c r="W121" s="2"/>
      <c r="X121" s="2"/>
      <c r="Y121" s="2"/>
      <c r="Z121" s="2"/>
      <c r="AA121" s="5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</row>
    <row r="122" spans="1:78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2"/>
      <c r="L122" s="3"/>
      <c r="M122" s="3"/>
      <c r="N122" s="29"/>
      <c r="O122" s="29"/>
      <c r="P122" s="29"/>
      <c r="Q122" s="2"/>
      <c r="R122" s="2"/>
      <c r="S122" s="2"/>
      <c r="T122" s="16"/>
      <c r="U122" s="2"/>
      <c r="V122" s="16"/>
      <c r="W122" s="2"/>
      <c r="X122" s="2"/>
      <c r="Y122" s="2"/>
      <c r="Z122" s="2"/>
      <c r="AA122" s="5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</row>
    <row r="123" spans="1:78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2"/>
      <c r="L123" s="3"/>
      <c r="M123" s="3"/>
      <c r="N123" s="29"/>
      <c r="O123" s="29"/>
      <c r="P123" s="29"/>
      <c r="Q123" s="2"/>
      <c r="R123" s="2"/>
      <c r="S123" s="2"/>
      <c r="T123" s="16"/>
      <c r="U123" s="2"/>
      <c r="V123" s="16"/>
      <c r="W123" s="2"/>
      <c r="X123" s="2"/>
      <c r="Y123" s="2"/>
      <c r="Z123" s="2"/>
      <c r="AA123" s="5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</row>
    <row r="124" spans="1:78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2"/>
      <c r="L124" s="3"/>
      <c r="M124" s="3"/>
      <c r="N124" s="29"/>
      <c r="O124" s="29"/>
      <c r="P124" s="29"/>
      <c r="Q124" s="2"/>
      <c r="R124" s="2"/>
      <c r="S124" s="2"/>
      <c r="T124" s="16"/>
      <c r="U124" s="2"/>
      <c r="V124" s="16"/>
      <c r="W124" s="2"/>
      <c r="X124" s="2"/>
      <c r="Y124" s="2"/>
      <c r="Z124" s="2"/>
      <c r="AA124" s="5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</row>
    <row r="125" spans="1:78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2"/>
      <c r="L125" s="3"/>
      <c r="M125" s="3"/>
      <c r="N125" s="29"/>
      <c r="O125" s="29"/>
      <c r="P125" s="29"/>
      <c r="Q125" s="2"/>
      <c r="R125" s="2"/>
      <c r="S125" s="2"/>
      <c r="T125" s="16"/>
      <c r="U125" s="2"/>
      <c r="V125" s="16"/>
      <c r="W125" s="2"/>
      <c r="X125" s="2"/>
      <c r="Y125" s="2"/>
      <c r="Z125" s="2"/>
      <c r="AA125" s="5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</row>
    <row r="126" spans="1:78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2"/>
      <c r="L126" s="3"/>
      <c r="M126" s="3"/>
      <c r="N126" s="29"/>
      <c r="O126" s="29"/>
      <c r="P126" s="29"/>
      <c r="Q126" s="2"/>
      <c r="R126" s="2"/>
      <c r="S126" s="2"/>
      <c r="T126" s="16"/>
      <c r="U126" s="2"/>
      <c r="V126" s="16"/>
      <c r="W126" s="2"/>
      <c r="X126" s="2"/>
      <c r="Y126" s="2"/>
      <c r="Z126" s="2"/>
      <c r="AA126" s="5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</row>
    <row r="127" spans="1:78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2"/>
      <c r="L127" s="3"/>
      <c r="M127" s="3"/>
      <c r="N127" s="29"/>
      <c r="O127" s="29"/>
      <c r="P127" s="29"/>
      <c r="Q127" s="2"/>
      <c r="R127" s="2"/>
      <c r="S127" s="2"/>
      <c r="T127" s="16"/>
      <c r="U127" s="2"/>
      <c r="V127" s="16"/>
      <c r="W127" s="2"/>
      <c r="X127" s="2"/>
      <c r="Y127" s="2"/>
      <c r="Z127" s="2"/>
      <c r="AA127" s="5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</row>
    <row r="128" spans="1:78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2"/>
      <c r="L128" s="3"/>
      <c r="M128" s="3"/>
      <c r="N128" s="29"/>
      <c r="O128" s="29"/>
      <c r="P128" s="29"/>
      <c r="Q128" s="2"/>
      <c r="R128" s="2"/>
      <c r="S128" s="2"/>
      <c r="T128" s="16"/>
      <c r="U128" s="2"/>
      <c r="V128" s="16"/>
      <c r="W128" s="2"/>
      <c r="X128" s="2"/>
      <c r="Y128" s="2"/>
      <c r="Z128" s="2"/>
      <c r="AA128" s="5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</row>
    <row r="129" spans="1:78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2"/>
      <c r="L129" s="3"/>
      <c r="M129" s="3"/>
      <c r="N129" s="29"/>
      <c r="O129" s="29"/>
      <c r="P129" s="29"/>
      <c r="Q129" s="2"/>
      <c r="R129" s="2"/>
      <c r="S129" s="2"/>
      <c r="T129" s="16"/>
      <c r="U129" s="2"/>
      <c r="V129" s="16"/>
      <c r="W129" s="2"/>
      <c r="X129" s="2"/>
      <c r="Y129" s="2"/>
      <c r="Z129" s="2"/>
      <c r="AA129" s="5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</row>
    <row r="130" spans="1:78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2"/>
      <c r="L130" s="3"/>
      <c r="M130" s="3"/>
      <c r="N130" s="29"/>
      <c r="O130" s="29"/>
      <c r="P130" s="29"/>
      <c r="Q130" s="2"/>
      <c r="R130" s="2"/>
      <c r="S130" s="2"/>
      <c r="T130" s="16"/>
      <c r="U130" s="2"/>
      <c r="V130" s="16"/>
      <c r="W130" s="2"/>
      <c r="X130" s="2"/>
      <c r="Y130" s="2"/>
      <c r="Z130" s="2"/>
      <c r="AA130" s="5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</row>
    <row r="131" spans="1:78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2"/>
      <c r="L131" s="3"/>
      <c r="M131" s="3"/>
      <c r="N131" s="29"/>
      <c r="O131" s="29"/>
      <c r="P131" s="29"/>
      <c r="Q131" s="2"/>
      <c r="R131" s="2"/>
      <c r="S131" s="2"/>
      <c r="T131" s="16"/>
      <c r="U131" s="2"/>
      <c r="V131" s="16"/>
      <c r="W131" s="2"/>
      <c r="X131" s="2"/>
      <c r="Y131" s="2"/>
      <c r="Z131" s="2"/>
      <c r="AA131" s="5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</row>
    <row r="132" spans="1:78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2"/>
      <c r="L132" s="3"/>
      <c r="M132" s="3"/>
      <c r="N132" s="29"/>
      <c r="O132" s="29"/>
      <c r="P132" s="29"/>
      <c r="Q132" s="2"/>
      <c r="R132" s="2"/>
      <c r="S132" s="2"/>
      <c r="T132" s="16"/>
      <c r="U132" s="2"/>
      <c r="V132" s="16"/>
      <c r="W132" s="2"/>
      <c r="X132" s="2"/>
      <c r="Y132" s="2"/>
      <c r="Z132" s="2"/>
      <c r="AA132" s="5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</row>
    <row r="133" spans="1:78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2"/>
      <c r="L133" s="3"/>
      <c r="M133" s="3"/>
      <c r="N133" s="29"/>
      <c r="O133" s="29"/>
      <c r="P133" s="29"/>
      <c r="Q133" s="2"/>
      <c r="R133" s="2"/>
      <c r="S133" s="2"/>
      <c r="T133" s="16"/>
      <c r="U133" s="2"/>
      <c r="V133" s="16"/>
      <c r="W133" s="2"/>
      <c r="X133" s="2"/>
      <c r="Y133" s="2"/>
      <c r="Z133" s="2"/>
      <c r="AA133" s="5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</row>
    <row r="134" spans="1:78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2"/>
      <c r="L134" s="3"/>
      <c r="M134" s="3"/>
      <c r="N134" s="29"/>
      <c r="O134" s="29"/>
      <c r="P134" s="29"/>
      <c r="Q134" s="2"/>
      <c r="R134" s="2"/>
      <c r="S134" s="2"/>
      <c r="T134" s="16"/>
      <c r="U134" s="2"/>
      <c r="V134" s="16"/>
      <c r="W134" s="2"/>
      <c r="X134" s="2"/>
      <c r="Y134" s="2"/>
      <c r="Z134" s="2"/>
      <c r="AA134" s="5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</row>
    <row r="135" spans="1:78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2"/>
      <c r="L135" s="3"/>
      <c r="M135" s="3"/>
      <c r="N135" s="29"/>
      <c r="O135" s="29"/>
      <c r="P135" s="29"/>
      <c r="Q135" s="2"/>
      <c r="R135" s="2"/>
      <c r="S135" s="2"/>
      <c r="T135" s="16"/>
      <c r="U135" s="2"/>
      <c r="V135" s="16"/>
      <c r="W135" s="2"/>
      <c r="X135" s="2"/>
      <c r="Y135" s="2"/>
      <c r="Z135" s="2"/>
      <c r="AA135" s="5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</row>
    <row r="136" spans="1:78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2"/>
      <c r="L136" s="3"/>
      <c r="M136" s="3"/>
      <c r="N136" s="29"/>
      <c r="O136" s="29"/>
      <c r="P136" s="29"/>
      <c r="Q136" s="2"/>
      <c r="R136" s="2"/>
      <c r="S136" s="2"/>
      <c r="T136" s="16"/>
      <c r="U136" s="2"/>
      <c r="V136" s="16"/>
      <c r="W136" s="2"/>
      <c r="X136" s="2"/>
      <c r="Y136" s="2"/>
      <c r="Z136" s="2"/>
      <c r="AA136" s="5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</row>
    <row r="137" spans="1:78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2"/>
      <c r="L137" s="3"/>
      <c r="M137" s="3"/>
      <c r="N137" s="29"/>
      <c r="O137" s="29"/>
      <c r="P137" s="29"/>
      <c r="Q137" s="2"/>
      <c r="R137" s="2"/>
      <c r="S137" s="2"/>
      <c r="T137" s="16"/>
      <c r="U137" s="2"/>
      <c r="V137" s="16"/>
      <c r="W137" s="2"/>
      <c r="X137" s="2"/>
      <c r="Y137" s="2"/>
      <c r="Z137" s="2"/>
      <c r="AA137" s="5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</row>
    <row r="138" spans="1:78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2"/>
      <c r="L138" s="3"/>
      <c r="M138" s="3"/>
      <c r="N138" s="29"/>
      <c r="O138" s="29"/>
      <c r="P138" s="29"/>
      <c r="Q138" s="2"/>
      <c r="R138" s="2"/>
      <c r="S138" s="2"/>
      <c r="T138" s="16"/>
      <c r="U138" s="2"/>
      <c r="V138" s="16"/>
      <c r="W138" s="2"/>
      <c r="X138" s="2"/>
      <c r="Y138" s="2"/>
      <c r="Z138" s="2"/>
      <c r="AA138" s="5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</row>
    <row r="139" spans="1:78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2"/>
      <c r="L139" s="3"/>
      <c r="M139" s="3"/>
      <c r="N139" s="29"/>
      <c r="O139" s="29"/>
      <c r="P139" s="29"/>
      <c r="Q139" s="2"/>
      <c r="R139" s="2"/>
      <c r="S139" s="2"/>
      <c r="T139" s="16"/>
      <c r="U139" s="2"/>
      <c r="V139" s="16"/>
      <c r="W139" s="2"/>
      <c r="X139" s="2"/>
      <c r="Y139" s="2"/>
      <c r="Z139" s="2"/>
      <c r="AA139" s="5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</row>
    <row r="140" spans="1:78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2"/>
      <c r="L140" s="3"/>
      <c r="M140" s="3"/>
      <c r="N140" s="29"/>
      <c r="O140" s="29"/>
      <c r="P140" s="29"/>
      <c r="Q140" s="2"/>
      <c r="R140" s="2"/>
      <c r="S140" s="2"/>
      <c r="T140" s="16"/>
      <c r="U140" s="2"/>
      <c r="V140" s="16"/>
      <c r="W140" s="2"/>
      <c r="X140" s="2"/>
      <c r="Y140" s="2"/>
      <c r="Z140" s="2"/>
      <c r="AA140" s="5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</row>
    <row r="141" spans="1:78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2"/>
      <c r="L141" s="3"/>
      <c r="M141" s="3"/>
      <c r="N141" s="29"/>
      <c r="O141" s="29"/>
      <c r="P141" s="29"/>
      <c r="Q141" s="2"/>
      <c r="R141" s="2"/>
      <c r="S141" s="2"/>
      <c r="T141" s="16"/>
      <c r="U141" s="2"/>
      <c r="V141" s="16"/>
      <c r="W141" s="2"/>
      <c r="X141" s="2"/>
      <c r="Y141" s="2"/>
      <c r="Z141" s="2"/>
      <c r="AA141" s="5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</row>
    <row r="142" spans="1:78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2"/>
      <c r="L142" s="3"/>
      <c r="M142" s="3"/>
      <c r="N142" s="29"/>
      <c r="O142" s="29"/>
      <c r="P142" s="29"/>
      <c r="Q142" s="2"/>
      <c r="R142" s="2"/>
      <c r="S142" s="2"/>
      <c r="T142" s="16"/>
      <c r="U142" s="2"/>
      <c r="V142" s="16"/>
      <c r="W142" s="2"/>
      <c r="X142" s="2"/>
      <c r="Y142" s="2"/>
      <c r="Z142" s="2"/>
      <c r="AA142" s="5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</row>
    <row r="143" spans="1:78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2"/>
      <c r="L143" s="3"/>
      <c r="M143" s="3"/>
      <c r="N143" s="29"/>
      <c r="O143" s="29"/>
      <c r="P143" s="29"/>
      <c r="Q143" s="2"/>
      <c r="R143" s="2"/>
      <c r="S143" s="2"/>
      <c r="T143" s="16"/>
      <c r="U143" s="2"/>
      <c r="V143" s="16"/>
      <c r="W143" s="2"/>
      <c r="X143" s="2"/>
      <c r="Y143" s="2"/>
      <c r="Z143" s="2"/>
      <c r="AA143" s="5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</row>
    <row r="144" spans="1:78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2"/>
      <c r="L144" s="3"/>
      <c r="M144" s="3"/>
      <c r="N144" s="29"/>
      <c r="O144" s="29"/>
      <c r="P144" s="29"/>
      <c r="Q144" s="2"/>
      <c r="R144" s="2"/>
      <c r="S144" s="2"/>
      <c r="T144" s="16"/>
      <c r="U144" s="2"/>
      <c r="V144" s="16"/>
      <c r="W144" s="2"/>
      <c r="X144" s="2"/>
      <c r="Y144" s="2"/>
      <c r="Z144" s="2"/>
      <c r="AA144" s="5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</row>
    <row r="145" spans="1:78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2"/>
      <c r="L145" s="3"/>
      <c r="M145" s="3"/>
      <c r="N145" s="29"/>
      <c r="O145" s="29"/>
      <c r="P145" s="29"/>
      <c r="Q145" s="2"/>
      <c r="R145" s="2"/>
      <c r="S145" s="2"/>
      <c r="T145" s="16"/>
      <c r="U145" s="2"/>
      <c r="V145" s="16"/>
      <c r="W145" s="2"/>
      <c r="X145" s="2"/>
      <c r="Y145" s="2"/>
      <c r="Z145" s="2"/>
      <c r="AA145" s="5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</row>
    <row r="146" spans="1:78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2"/>
      <c r="L146" s="3"/>
      <c r="M146" s="3"/>
      <c r="N146" s="29"/>
      <c r="O146" s="29"/>
      <c r="P146" s="29"/>
      <c r="Q146" s="2"/>
      <c r="R146" s="2"/>
      <c r="S146" s="2"/>
      <c r="T146" s="16"/>
      <c r="U146" s="2"/>
      <c r="V146" s="16"/>
      <c r="W146" s="2"/>
      <c r="X146" s="2"/>
      <c r="Y146" s="2"/>
      <c r="Z146" s="2"/>
      <c r="AA146" s="5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</row>
    <row r="147" spans="1:78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2"/>
      <c r="L147" s="3"/>
      <c r="M147" s="3"/>
      <c r="N147" s="29"/>
      <c r="O147" s="29"/>
      <c r="P147" s="29"/>
      <c r="Q147" s="2"/>
      <c r="R147" s="2"/>
      <c r="S147" s="2"/>
      <c r="T147" s="16"/>
      <c r="U147" s="2"/>
      <c r="V147" s="16"/>
      <c r="W147" s="2"/>
      <c r="X147" s="2"/>
      <c r="Y147" s="2"/>
      <c r="Z147" s="2"/>
      <c r="AA147" s="5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</row>
    <row r="148" spans="1:78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2"/>
      <c r="L148" s="3"/>
      <c r="M148" s="3"/>
      <c r="N148" s="29"/>
      <c r="O148" s="29"/>
      <c r="P148" s="29"/>
      <c r="Q148" s="2"/>
      <c r="R148" s="2"/>
      <c r="S148" s="2"/>
      <c r="T148" s="16"/>
      <c r="U148" s="2"/>
      <c r="V148" s="16"/>
      <c r="W148" s="2"/>
      <c r="X148" s="2"/>
      <c r="Y148" s="2"/>
      <c r="Z148" s="2"/>
      <c r="AA148" s="5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</row>
    <row r="149" spans="1:78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2"/>
      <c r="L149" s="3"/>
      <c r="M149" s="3"/>
      <c r="N149" s="29"/>
      <c r="O149" s="29"/>
      <c r="P149" s="29"/>
      <c r="Q149" s="2"/>
      <c r="R149" s="2"/>
      <c r="S149" s="2"/>
      <c r="T149" s="16"/>
      <c r="U149" s="2"/>
      <c r="V149" s="16"/>
      <c r="W149" s="2"/>
      <c r="X149" s="2"/>
      <c r="Y149" s="2"/>
      <c r="Z149" s="2"/>
      <c r="AA149" s="5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</row>
    <row r="150" spans="1:78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2"/>
      <c r="L150" s="3"/>
      <c r="M150" s="3"/>
      <c r="N150" s="29"/>
      <c r="O150" s="29"/>
      <c r="P150" s="29"/>
      <c r="Q150" s="2"/>
      <c r="R150" s="2"/>
      <c r="S150" s="2"/>
      <c r="T150" s="16"/>
      <c r="U150" s="2"/>
      <c r="V150" s="16"/>
      <c r="W150" s="2"/>
      <c r="X150" s="2"/>
      <c r="Y150" s="2"/>
      <c r="Z150" s="2"/>
      <c r="AA150" s="5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</row>
    <row r="151" spans="1:78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2"/>
      <c r="L151" s="3"/>
      <c r="M151" s="3"/>
      <c r="N151" s="29"/>
      <c r="O151" s="29"/>
      <c r="P151" s="29"/>
      <c r="Q151" s="2"/>
      <c r="R151" s="2"/>
      <c r="S151" s="2"/>
      <c r="T151" s="16"/>
      <c r="U151" s="2"/>
      <c r="V151" s="16"/>
      <c r="W151" s="2"/>
      <c r="X151" s="2"/>
      <c r="Y151" s="2"/>
      <c r="Z151" s="2"/>
      <c r="AA151" s="5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</row>
    <row r="152" spans="1:78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2"/>
      <c r="L152" s="3"/>
      <c r="M152" s="3"/>
      <c r="N152" s="29"/>
      <c r="O152" s="29"/>
      <c r="P152" s="29"/>
      <c r="Q152" s="2"/>
      <c r="R152" s="2"/>
      <c r="S152" s="2"/>
      <c r="T152" s="16"/>
      <c r="U152" s="2"/>
      <c r="V152" s="16"/>
      <c r="W152" s="2"/>
      <c r="X152" s="2"/>
      <c r="Y152" s="2"/>
      <c r="Z152" s="2"/>
      <c r="AA152" s="5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</row>
    <row r="153" spans="1:78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2"/>
      <c r="L153" s="3"/>
      <c r="M153" s="3"/>
      <c r="N153" s="29"/>
      <c r="O153" s="29"/>
      <c r="P153" s="29"/>
      <c r="Q153" s="2"/>
      <c r="R153" s="2"/>
      <c r="S153" s="2"/>
      <c r="T153" s="16"/>
      <c r="U153" s="2"/>
      <c r="V153" s="16"/>
      <c r="W153" s="2"/>
      <c r="X153" s="2"/>
      <c r="Y153" s="2"/>
      <c r="Z153" s="2"/>
      <c r="AA153" s="5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</row>
    <row r="154" spans="1:78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2"/>
      <c r="L154" s="3"/>
      <c r="M154" s="3"/>
      <c r="N154" s="29"/>
      <c r="O154" s="29"/>
      <c r="P154" s="29"/>
      <c r="Q154" s="2"/>
      <c r="R154" s="2"/>
      <c r="S154" s="2"/>
      <c r="T154" s="16"/>
      <c r="U154" s="2"/>
      <c r="V154" s="16"/>
      <c r="W154" s="2"/>
      <c r="X154" s="2"/>
      <c r="Y154" s="2"/>
      <c r="Z154" s="2"/>
      <c r="AA154" s="5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</row>
    <row r="155" spans="1:78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2"/>
      <c r="L155" s="3"/>
      <c r="M155" s="3"/>
      <c r="N155" s="29"/>
      <c r="O155" s="29"/>
      <c r="P155" s="29"/>
      <c r="Q155" s="2"/>
      <c r="R155" s="2"/>
      <c r="S155" s="2"/>
      <c r="T155" s="16"/>
      <c r="U155" s="2"/>
      <c r="V155" s="16"/>
      <c r="W155" s="2"/>
      <c r="X155" s="2"/>
      <c r="Y155" s="2"/>
      <c r="Z155" s="2"/>
      <c r="AA155" s="5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</row>
    <row r="156" spans="1:78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2"/>
      <c r="L156" s="3"/>
      <c r="M156" s="3"/>
      <c r="N156" s="29"/>
      <c r="O156" s="29"/>
      <c r="P156" s="29"/>
      <c r="Q156" s="2"/>
      <c r="R156" s="2"/>
      <c r="S156" s="2"/>
      <c r="T156" s="16"/>
      <c r="U156" s="2"/>
      <c r="V156" s="16"/>
      <c r="W156" s="2"/>
      <c r="X156" s="2"/>
      <c r="Y156" s="2"/>
      <c r="Z156" s="2"/>
      <c r="AA156" s="5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</row>
    <row r="157" spans="1:78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2"/>
      <c r="L157" s="3"/>
      <c r="M157" s="3"/>
      <c r="N157" s="29"/>
      <c r="O157" s="29"/>
      <c r="P157" s="29"/>
      <c r="Q157" s="2"/>
      <c r="R157" s="2"/>
      <c r="S157" s="2"/>
      <c r="T157" s="16"/>
      <c r="U157" s="2"/>
      <c r="V157" s="16"/>
      <c r="W157" s="2"/>
      <c r="X157" s="2"/>
      <c r="Y157" s="2"/>
      <c r="Z157" s="2"/>
      <c r="AA157" s="5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</row>
    <row r="158" spans="1:78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2"/>
      <c r="L158" s="3"/>
      <c r="M158" s="3"/>
      <c r="N158" s="29"/>
      <c r="O158" s="29"/>
      <c r="P158" s="29"/>
      <c r="Q158" s="2"/>
      <c r="R158" s="2"/>
      <c r="S158" s="2"/>
      <c r="T158" s="16"/>
      <c r="U158" s="2"/>
      <c r="V158" s="16"/>
      <c r="W158" s="2"/>
      <c r="X158" s="2"/>
      <c r="Y158" s="2"/>
      <c r="Z158" s="2"/>
      <c r="AA158" s="5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</row>
    <row r="159" spans="1:78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2"/>
      <c r="L159" s="3"/>
      <c r="M159" s="3"/>
      <c r="N159" s="29"/>
      <c r="O159" s="29"/>
      <c r="P159" s="29"/>
      <c r="Q159" s="2"/>
      <c r="R159" s="2"/>
      <c r="S159" s="2"/>
      <c r="T159" s="16"/>
      <c r="U159" s="2"/>
      <c r="V159" s="16"/>
      <c r="W159" s="2"/>
      <c r="X159" s="2"/>
      <c r="Y159" s="2"/>
      <c r="Z159" s="2"/>
      <c r="AA159" s="5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</row>
    <row r="160" spans="1:78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2"/>
      <c r="L160" s="3"/>
      <c r="M160" s="3"/>
      <c r="N160" s="29"/>
      <c r="O160" s="29"/>
      <c r="P160" s="29"/>
      <c r="Q160" s="2"/>
      <c r="R160" s="2"/>
      <c r="S160" s="2"/>
      <c r="T160" s="16"/>
      <c r="U160" s="2"/>
      <c r="V160" s="16"/>
      <c r="W160" s="2"/>
      <c r="X160" s="2"/>
      <c r="Y160" s="2"/>
      <c r="Z160" s="2"/>
      <c r="AA160" s="5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</row>
    <row r="161" spans="1:78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2"/>
      <c r="L161" s="3"/>
      <c r="M161" s="3"/>
      <c r="N161" s="29"/>
      <c r="O161" s="29"/>
      <c r="P161" s="29"/>
      <c r="Q161" s="2"/>
      <c r="R161" s="2"/>
      <c r="S161" s="2"/>
      <c r="T161" s="16"/>
      <c r="U161" s="2"/>
      <c r="V161" s="16"/>
      <c r="W161" s="2"/>
      <c r="X161" s="2"/>
      <c r="Y161" s="2"/>
      <c r="Z161" s="2"/>
      <c r="AA161" s="5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</row>
    <row r="162" spans="1:78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2"/>
      <c r="L162" s="3"/>
      <c r="M162" s="3"/>
      <c r="N162" s="29"/>
      <c r="O162" s="29"/>
      <c r="P162" s="29"/>
      <c r="Q162" s="2"/>
      <c r="R162" s="2"/>
      <c r="S162" s="2"/>
      <c r="T162" s="16"/>
      <c r="U162" s="2"/>
      <c r="V162" s="16"/>
      <c r="W162" s="2"/>
      <c r="X162" s="2"/>
      <c r="Y162" s="2"/>
      <c r="Z162" s="2"/>
      <c r="AA162" s="5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</row>
    <row r="163" spans="1:78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2"/>
      <c r="L163" s="3"/>
      <c r="M163" s="3"/>
      <c r="N163" s="29"/>
      <c r="O163" s="29"/>
      <c r="P163" s="29"/>
      <c r="Q163" s="2"/>
      <c r="R163" s="2"/>
      <c r="S163" s="2"/>
      <c r="T163" s="16"/>
      <c r="U163" s="2"/>
      <c r="V163" s="16"/>
      <c r="W163" s="2"/>
      <c r="X163" s="2"/>
      <c r="Y163" s="2"/>
      <c r="Z163" s="2"/>
      <c r="AA163" s="5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</row>
    <row r="164" spans="1:78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2"/>
      <c r="L164" s="3"/>
      <c r="M164" s="3"/>
      <c r="N164" s="29"/>
      <c r="O164" s="29"/>
      <c r="P164" s="29"/>
      <c r="Q164" s="2"/>
      <c r="R164" s="2"/>
      <c r="S164" s="2"/>
      <c r="T164" s="16"/>
      <c r="U164" s="2"/>
      <c r="V164" s="16"/>
      <c r="W164" s="2"/>
      <c r="X164" s="2"/>
      <c r="Y164" s="2"/>
      <c r="Z164" s="2"/>
      <c r="AA164" s="5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</row>
    <row r="165" spans="1:78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2"/>
      <c r="L165" s="3"/>
      <c r="M165" s="3"/>
      <c r="N165" s="29"/>
      <c r="O165" s="29"/>
      <c r="P165" s="29"/>
      <c r="Q165" s="2"/>
      <c r="R165" s="2"/>
      <c r="S165" s="2"/>
      <c r="T165" s="16"/>
      <c r="U165" s="2"/>
      <c r="V165" s="16"/>
      <c r="W165" s="2"/>
      <c r="X165" s="2"/>
      <c r="Y165" s="2"/>
      <c r="Z165" s="2"/>
      <c r="AA165" s="5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</row>
    <row r="166" spans="1:78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2"/>
      <c r="L166" s="3"/>
      <c r="M166" s="3"/>
      <c r="N166" s="29"/>
      <c r="O166" s="29"/>
      <c r="P166" s="29"/>
      <c r="Q166" s="2"/>
      <c r="R166" s="2"/>
      <c r="S166" s="2"/>
      <c r="T166" s="16"/>
      <c r="U166" s="2"/>
      <c r="V166" s="16"/>
      <c r="W166" s="2"/>
      <c r="X166" s="2"/>
      <c r="Y166" s="2"/>
      <c r="Z166" s="2"/>
      <c r="AA166" s="5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</row>
    <row r="167" spans="1:78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2"/>
      <c r="L167" s="3"/>
      <c r="M167" s="3"/>
      <c r="N167" s="29"/>
      <c r="O167" s="29"/>
      <c r="P167" s="29"/>
      <c r="Q167" s="2"/>
      <c r="R167" s="2"/>
      <c r="S167" s="2"/>
      <c r="T167" s="16"/>
      <c r="U167" s="2"/>
      <c r="V167" s="16"/>
      <c r="W167" s="2"/>
      <c r="X167" s="2"/>
      <c r="Y167" s="2"/>
      <c r="Z167" s="2"/>
      <c r="AA167" s="5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</row>
    <row r="168" spans="1:78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2"/>
      <c r="L168" s="3"/>
      <c r="M168" s="3"/>
      <c r="N168" s="29"/>
      <c r="O168" s="29"/>
      <c r="P168" s="29"/>
      <c r="Q168" s="2"/>
      <c r="R168" s="2"/>
      <c r="S168" s="2"/>
      <c r="T168" s="16"/>
      <c r="U168" s="2"/>
      <c r="V168" s="16"/>
      <c r="W168" s="2"/>
      <c r="X168" s="2"/>
      <c r="Y168" s="2"/>
      <c r="Z168" s="2"/>
      <c r="AA168" s="5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</row>
    <row r="169" spans="1:78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2"/>
      <c r="L169" s="3"/>
      <c r="M169" s="3"/>
      <c r="N169" s="29"/>
      <c r="O169" s="29"/>
      <c r="P169" s="29"/>
      <c r="Q169" s="2"/>
      <c r="R169" s="2"/>
      <c r="S169" s="2"/>
      <c r="T169" s="16"/>
      <c r="U169" s="2"/>
      <c r="V169" s="16"/>
      <c r="W169" s="2"/>
      <c r="X169" s="2"/>
      <c r="Y169" s="2"/>
      <c r="Z169" s="2"/>
      <c r="AA169" s="5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</row>
    <row r="170" spans="1:78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2"/>
      <c r="L170" s="3"/>
      <c r="M170" s="3"/>
      <c r="N170" s="29"/>
      <c r="O170" s="29"/>
      <c r="P170" s="29"/>
      <c r="Q170" s="2"/>
      <c r="R170" s="2"/>
      <c r="S170" s="2"/>
      <c r="T170" s="16"/>
      <c r="U170" s="2"/>
      <c r="V170" s="16"/>
      <c r="W170" s="2"/>
      <c r="X170" s="2"/>
      <c r="Y170" s="2"/>
      <c r="Z170" s="2"/>
      <c r="AA170" s="5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</row>
    <row r="171" spans="1:78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2"/>
      <c r="L171" s="3"/>
      <c r="M171" s="3"/>
      <c r="N171" s="29"/>
      <c r="O171" s="29"/>
      <c r="P171" s="29"/>
      <c r="Q171" s="2"/>
      <c r="R171" s="2"/>
      <c r="S171" s="2"/>
      <c r="T171" s="16"/>
      <c r="U171" s="2"/>
      <c r="V171" s="16"/>
      <c r="W171" s="2"/>
      <c r="X171" s="2"/>
      <c r="Y171" s="2"/>
      <c r="Z171" s="2"/>
      <c r="AA171" s="5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</row>
    <row r="172" spans="1:78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2"/>
      <c r="L172" s="3"/>
      <c r="M172" s="3"/>
      <c r="N172" s="29"/>
      <c r="O172" s="29"/>
      <c r="P172" s="29"/>
      <c r="Q172" s="2"/>
      <c r="R172" s="2"/>
      <c r="S172" s="2"/>
      <c r="T172" s="16"/>
      <c r="U172" s="2"/>
      <c r="V172" s="16"/>
      <c r="W172" s="2"/>
      <c r="X172" s="2"/>
      <c r="Y172" s="2"/>
      <c r="Z172" s="2"/>
      <c r="AA172" s="5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</row>
    <row r="173" spans="1:78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2"/>
      <c r="L173" s="3"/>
      <c r="M173" s="3"/>
      <c r="N173" s="29"/>
      <c r="O173" s="29"/>
      <c r="P173" s="29"/>
      <c r="Q173" s="2"/>
      <c r="R173" s="2"/>
      <c r="S173" s="2"/>
      <c r="T173" s="16"/>
      <c r="U173" s="2"/>
      <c r="V173" s="16"/>
      <c r="W173" s="2"/>
      <c r="X173" s="2"/>
      <c r="Y173" s="2"/>
      <c r="Z173" s="2"/>
      <c r="AA173" s="5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</row>
    <row r="174" spans="1:78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2"/>
      <c r="L174" s="3"/>
      <c r="M174" s="3"/>
      <c r="N174" s="29"/>
      <c r="O174" s="29"/>
      <c r="P174" s="29"/>
      <c r="Q174" s="2"/>
      <c r="R174" s="2"/>
      <c r="S174" s="2"/>
      <c r="T174" s="16"/>
      <c r="U174" s="2"/>
      <c r="V174" s="16"/>
      <c r="W174" s="2"/>
      <c r="X174" s="2"/>
      <c r="Y174" s="2"/>
      <c r="Z174" s="2"/>
      <c r="AA174" s="5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</row>
    <row r="175" spans="1:78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2"/>
      <c r="L175" s="3"/>
      <c r="M175" s="3"/>
      <c r="N175" s="29"/>
      <c r="O175" s="29"/>
      <c r="P175" s="29"/>
      <c r="Q175" s="2"/>
      <c r="R175" s="2"/>
      <c r="S175" s="2"/>
      <c r="T175" s="16"/>
      <c r="U175" s="2"/>
      <c r="V175" s="16"/>
      <c r="W175" s="2"/>
      <c r="X175" s="2"/>
      <c r="Y175" s="2"/>
      <c r="Z175" s="2"/>
      <c r="AA175" s="5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</row>
    <row r="176" spans="1:78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2"/>
      <c r="L176" s="3"/>
      <c r="M176" s="3"/>
      <c r="N176" s="29"/>
      <c r="O176" s="29"/>
      <c r="P176" s="29"/>
      <c r="Q176" s="2"/>
      <c r="R176" s="2"/>
      <c r="S176" s="2"/>
      <c r="T176" s="16"/>
      <c r="U176" s="2"/>
      <c r="V176" s="16"/>
      <c r="W176" s="2"/>
      <c r="X176" s="2"/>
      <c r="Y176" s="2"/>
      <c r="Z176" s="2"/>
      <c r="AA176" s="5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</row>
    <row r="177" spans="1:78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2"/>
      <c r="L177" s="3"/>
      <c r="M177" s="3"/>
      <c r="N177" s="29"/>
      <c r="O177" s="29"/>
      <c r="P177" s="29"/>
      <c r="Q177" s="2"/>
      <c r="R177" s="2"/>
      <c r="S177" s="2"/>
      <c r="T177" s="16"/>
      <c r="U177" s="2"/>
      <c r="V177" s="16"/>
      <c r="W177" s="2"/>
      <c r="X177" s="2"/>
      <c r="Y177" s="2"/>
      <c r="Z177" s="2"/>
      <c r="AA177" s="5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</row>
    <row r="178" spans="1:78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2"/>
      <c r="L178" s="3"/>
      <c r="M178" s="3"/>
      <c r="N178" s="29"/>
      <c r="O178" s="29"/>
      <c r="P178" s="29"/>
      <c r="Q178" s="2"/>
      <c r="R178" s="2"/>
      <c r="S178" s="2"/>
      <c r="T178" s="16"/>
      <c r="U178" s="2"/>
      <c r="V178" s="16"/>
      <c r="W178" s="2"/>
      <c r="X178" s="2"/>
      <c r="Y178" s="2"/>
      <c r="Z178" s="2"/>
      <c r="AA178" s="5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</row>
    <row r="179" spans="1:78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2"/>
      <c r="L179" s="3"/>
      <c r="M179" s="3"/>
      <c r="N179" s="29"/>
      <c r="O179" s="29"/>
      <c r="P179" s="29"/>
      <c r="Q179" s="2"/>
      <c r="R179" s="2"/>
      <c r="S179" s="2"/>
      <c r="T179" s="16"/>
      <c r="U179" s="2"/>
      <c r="V179" s="16"/>
      <c r="W179" s="2"/>
      <c r="X179" s="2"/>
      <c r="Y179" s="2"/>
      <c r="Z179" s="2"/>
      <c r="AA179" s="5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</row>
    <row r="180" spans="1:78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2"/>
      <c r="L180" s="3"/>
      <c r="M180" s="3"/>
      <c r="N180" s="29"/>
      <c r="O180" s="29"/>
      <c r="P180" s="29"/>
      <c r="Q180" s="2"/>
      <c r="R180" s="2"/>
      <c r="S180" s="2"/>
      <c r="T180" s="16"/>
      <c r="U180" s="2"/>
      <c r="V180" s="16"/>
      <c r="W180" s="2"/>
      <c r="X180" s="2"/>
      <c r="Y180" s="2"/>
      <c r="Z180" s="2"/>
      <c r="AA180" s="5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</row>
    <row r="181" spans="1:78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2"/>
      <c r="L181" s="3"/>
      <c r="M181" s="3"/>
      <c r="N181" s="29"/>
      <c r="O181" s="29"/>
      <c r="P181" s="29"/>
      <c r="Q181" s="2"/>
      <c r="R181" s="2"/>
      <c r="S181" s="2"/>
      <c r="T181" s="16"/>
      <c r="U181" s="2"/>
      <c r="V181" s="16"/>
      <c r="W181" s="2"/>
      <c r="X181" s="2"/>
      <c r="Y181" s="2"/>
      <c r="Z181" s="2"/>
      <c r="AA181" s="5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</row>
    <row r="182" spans="1:78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2"/>
      <c r="L182" s="3"/>
      <c r="M182" s="3"/>
      <c r="N182" s="29"/>
      <c r="O182" s="29"/>
      <c r="P182" s="29"/>
      <c r="Q182" s="2"/>
      <c r="R182" s="2"/>
      <c r="S182" s="2"/>
      <c r="T182" s="16"/>
      <c r="U182" s="2"/>
      <c r="V182" s="16"/>
      <c r="W182" s="2"/>
      <c r="X182" s="2"/>
      <c r="Y182" s="2"/>
      <c r="Z182" s="2"/>
      <c r="AA182" s="5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</row>
    <row r="183" spans="1:78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2"/>
      <c r="L183" s="3"/>
      <c r="M183" s="3"/>
      <c r="N183" s="64"/>
      <c r="O183" s="29"/>
      <c r="P183" s="29"/>
      <c r="Q183" s="2"/>
      <c r="R183" s="2"/>
      <c r="S183" s="2"/>
      <c r="T183" s="16"/>
      <c r="U183" s="2"/>
      <c r="V183" s="16"/>
      <c r="W183" s="2"/>
      <c r="X183" s="2"/>
      <c r="Y183" s="2"/>
      <c r="Z183" s="2"/>
      <c r="AA183" s="5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</row>
    <row r="184" spans="1:78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2"/>
      <c r="L184" s="3"/>
      <c r="M184" s="3"/>
      <c r="N184" s="29"/>
      <c r="O184" s="29"/>
      <c r="P184" s="29"/>
      <c r="Q184" s="2"/>
      <c r="R184" s="2"/>
      <c r="S184" s="2"/>
      <c r="T184" s="16"/>
      <c r="U184" s="2"/>
      <c r="V184" s="16"/>
      <c r="W184" s="2"/>
      <c r="X184" s="2"/>
      <c r="Y184" s="2"/>
      <c r="Z184" s="2"/>
      <c r="AA184" s="5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</row>
    <row r="185" spans="1:78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2"/>
      <c r="L185" s="3"/>
      <c r="M185" s="3"/>
      <c r="N185" s="29"/>
      <c r="O185" s="29"/>
      <c r="P185" s="29"/>
      <c r="Q185" s="2"/>
      <c r="R185" s="2"/>
      <c r="S185" s="2"/>
      <c r="T185" s="16"/>
      <c r="U185" s="2"/>
      <c r="V185" s="16"/>
      <c r="W185" s="2"/>
      <c r="X185" s="2"/>
      <c r="Y185" s="2"/>
      <c r="Z185" s="2"/>
      <c r="AA185" s="5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</row>
    <row r="186" spans="1:78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2"/>
      <c r="L186" s="3"/>
      <c r="M186" s="3"/>
      <c r="N186" s="29"/>
      <c r="O186" s="29"/>
      <c r="P186" s="29"/>
      <c r="Q186" s="2"/>
      <c r="R186" s="2"/>
      <c r="S186" s="2"/>
      <c r="T186" s="16"/>
      <c r="U186" s="2"/>
      <c r="V186" s="16"/>
      <c r="W186" s="2"/>
      <c r="X186" s="2"/>
      <c r="Y186" s="2"/>
      <c r="Z186" s="2"/>
      <c r="AA186" s="5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</row>
    <row r="187" spans="1:78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2"/>
      <c r="L187" s="3"/>
      <c r="M187" s="3"/>
      <c r="N187" s="29"/>
      <c r="O187" s="29"/>
      <c r="P187" s="29"/>
      <c r="Q187" s="2"/>
      <c r="R187" s="2"/>
      <c r="S187" s="2"/>
      <c r="T187" s="16"/>
      <c r="U187" s="2"/>
      <c r="V187" s="16"/>
      <c r="W187" s="2"/>
      <c r="X187" s="2"/>
      <c r="Y187" s="2"/>
      <c r="Z187" s="2"/>
      <c r="AA187" s="5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</row>
    <row r="188" spans="1:78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2"/>
      <c r="L188" s="3"/>
      <c r="M188" s="3"/>
      <c r="N188" s="29"/>
      <c r="O188" s="29"/>
      <c r="P188" s="29"/>
      <c r="Q188" s="2"/>
      <c r="R188" s="2"/>
      <c r="S188" s="2"/>
      <c r="T188" s="16"/>
      <c r="U188" s="2"/>
      <c r="V188" s="16"/>
      <c r="W188" s="2"/>
      <c r="X188" s="2"/>
      <c r="Y188" s="2"/>
      <c r="Z188" s="2"/>
      <c r="AA188" s="5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</row>
    <row r="189" spans="1:78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2"/>
      <c r="L189" s="3"/>
      <c r="M189" s="3"/>
      <c r="N189" s="29"/>
      <c r="O189" s="29"/>
      <c r="P189" s="29"/>
      <c r="Q189" s="2"/>
      <c r="R189" s="2"/>
      <c r="S189" s="2"/>
      <c r="T189" s="16"/>
      <c r="U189" s="2"/>
      <c r="V189" s="16"/>
      <c r="W189" s="2"/>
      <c r="X189" s="2"/>
      <c r="Y189" s="2"/>
      <c r="Z189" s="2"/>
      <c r="AA189" s="5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</row>
    <row r="190" spans="1:78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2"/>
      <c r="L190" s="3"/>
      <c r="M190" s="3"/>
      <c r="N190" s="29"/>
      <c r="O190" s="29"/>
      <c r="P190" s="29"/>
      <c r="Q190" s="2"/>
      <c r="R190" s="2"/>
      <c r="S190" s="2"/>
      <c r="T190" s="16"/>
      <c r="U190" s="2"/>
      <c r="V190" s="16"/>
      <c r="W190" s="2"/>
      <c r="X190" s="2"/>
      <c r="Y190" s="2"/>
      <c r="Z190" s="2"/>
      <c r="AA190" s="5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</row>
    <row r="191" spans="1:78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2"/>
      <c r="L191" s="3"/>
      <c r="M191" s="3"/>
      <c r="N191" s="29"/>
      <c r="O191" s="29"/>
      <c r="P191" s="29"/>
      <c r="Q191" s="2"/>
      <c r="R191" s="2"/>
      <c r="S191" s="2"/>
      <c r="T191" s="16"/>
      <c r="U191" s="2"/>
      <c r="V191" s="16"/>
      <c r="W191" s="2"/>
      <c r="X191" s="2"/>
      <c r="Y191" s="2"/>
      <c r="Z191" s="2"/>
      <c r="AA191" s="5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</row>
    <row r="192" spans="1:78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2"/>
      <c r="L192" s="3"/>
      <c r="M192" s="3"/>
      <c r="N192" s="29"/>
      <c r="O192" s="29"/>
      <c r="P192" s="29"/>
      <c r="Q192" s="2"/>
      <c r="R192" s="2"/>
      <c r="S192" s="2"/>
      <c r="T192" s="16"/>
      <c r="U192" s="2"/>
      <c r="V192" s="16"/>
      <c r="W192" s="2"/>
      <c r="X192" s="2"/>
      <c r="Y192" s="2"/>
      <c r="Z192" s="2"/>
      <c r="AA192" s="5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</row>
    <row r="193" spans="1:78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2"/>
      <c r="L193" s="3"/>
      <c r="M193" s="3"/>
      <c r="N193" s="29"/>
      <c r="O193" s="29"/>
      <c r="P193" s="29"/>
      <c r="Q193" s="2"/>
      <c r="R193" s="2"/>
      <c r="S193" s="2"/>
      <c r="T193" s="16"/>
      <c r="U193" s="2"/>
      <c r="V193" s="16"/>
      <c r="W193" s="2"/>
      <c r="X193" s="2"/>
      <c r="Y193" s="2"/>
      <c r="Z193" s="2"/>
      <c r="AA193" s="5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</row>
    <row r="194" spans="1:78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2"/>
      <c r="L194" s="3"/>
      <c r="M194" s="3"/>
      <c r="N194" s="29"/>
      <c r="O194" s="29"/>
      <c r="P194" s="29"/>
      <c r="Q194" s="2"/>
      <c r="R194" s="2"/>
      <c r="S194" s="2"/>
      <c r="T194" s="16"/>
      <c r="U194" s="2"/>
      <c r="V194" s="16"/>
      <c r="W194" s="2"/>
      <c r="X194" s="2"/>
      <c r="Y194" s="2"/>
      <c r="Z194" s="2"/>
      <c r="AA194" s="5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</row>
    <row r="195" spans="1:78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2"/>
      <c r="L195" s="3"/>
      <c r="M195" s="3"/>
      <c r="N195" s="29"/>
      <c r="O195" s="29"/>
      <c r="P195" s="29"/>
      <c r="Q195" s="2"/>
      <c r="R195" s="2"/>
      <c r="S195" s="2"/>
      <c r="T195" s="16"/>
      <c r="U195" s="2"/>
      <c r="V195" s="16"/>
      <c r="W195" s="2"/>
      <c r="X195" s="2"/>
      <c r="Y195" s="2"/>
      <c r="Z195" s="2"/>
      <c r="AA195" s="5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</row>
    <row r="196" spans="1:78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2"/>
      <c r="L196" s="3"/>
      <c r="M196" s="3"/>
      <c r="N196" s="29"/>
      <c r="O196" s="29"/>
      <c r="P196" s="29"/>
      <c r="Q196" s="2"/>
      <c r="R196" s="2"/>
      <c r="S196" s="2"/>
      <c r="T196" s="16"/>
      <c r="U196" s="2"/>
      <c r="V196" s="16"/>
      <c r="W196" s="2"/>
      <c r="X196" s="2"/>
      <c r="Y196" s="2"/>
      <c r="Z196" s="2"/>
      <c r="AA196" s="5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</row>
    <row r="197" spans="1:78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2"/>
      <c r="L197" s="3"/>
      <c r="M197" s="3"/>
      <c r="N197" s="29"/>
      <c r="O197" s="29"/>
      <c r="P197" s="29"/>
      <c r="Q197" s="2"/>
      <c r="R197" s="2"/>
      <c r="S197" s="2"/>
      <c r="T197" s="16"/>
      <c r="U197" s="2"/>
      <c r="V197" s="16"/>
      <c r="W197" s="2"/>
      <c r="X197" s="2"/>
      <c r="Y197" s="2"/>
      <c r="Z197" s="2"/>
      <c r="AA197" s="5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</row>
    <row r="198" spans="1:78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2"/>
      <c r="L198" s="3"/>
      <c r="M198" s="3"/>
      <c r="N198" s="29"/>
      <c r="O198" s="29"/>
      <c r="P198" s="29"/>
      <c r="Q198" s="2"/>
      <c r="R198" s="2"/>
      <c r="S198" s="2"/>
      <c r="T198" s="16"/>
      <c r="U198" s="2"/>
      <c r="V198" s="16"/>
      <c r="W198" s="2"/>
      <c r="X198" s="2"/>
      <c r="Y198" s="2"/>
      <c r="Z198" s="2"/>
      <c r="AA198" s="5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</row>
    <row r="199" spans="1:78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2"/>
      <c r="L199" s="3"/>
      <c r="M199" s="3"/>
      <c r="N199" s="29"/>
      <c r="O199" s="29"/>
      <c r="P199" s="29"/>
      <c r="Q199" s="2"/>
      <c r="R199" s="2"/>
      <c r="S199" s="2"/>
      <c r="T199" s="16"/>
      <c r="U199" s="2"/>
      <c r="V199" s="16"/>
      <c r="W199" s="2"/>
      <c r="X199" s="2"/>
      <c r="Y199" s="2"/>
      <c r="Z199" s="2"/>
      <c r="AA199" s="5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</row>
    <row r="200" spans="1:78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2"/>
      <c r="L200" s="3"/>
      <c r="M200" s="3"/>
      <c r="N200" s="29"/>
      <c r="O200" s="29"/>
      <c r="P200" s="29"/>
      <c r="Q200" s="2"/>
      <c r="R200" s="2"/>
      <c r="S200" s="2"/>
      <c r="T200" s="16"/>
      <c r="U200" s="2"/>
      <c r="V200" s="16"/>
      <c r="W200" s="2"/>
      <c r="X200" s="2"/>
      <c r="Y200" s="2"/>
      <c r="Z200" s="2"/>
      <c r="AA200" s="5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</row>
    <row r="201" spans="1:78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2"/>
      <c r="L201" s="3"/>
      <c r="M201" s="3"/>
      <c r="N201" s="29"/>
      <c r="O201" s="29"/>
      <c r="P201" s="29"/>
      <c r="Q201" s="2"/>
      <c r="R201" s="2"/>
      <c r="S201" s="2"/>
      <c r="T201" s="16"/>
      <c r="U201" s="2"/>
      <c r="V201" s="16"/>
      <c r="W201" s="2"/>
      <c r="X201" s="2"/>
      <c r="Y201" s="2"/>
      <c r="Z201" s="2"/>
      <c r="AA201" s="5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</row>
    <row r="202" spans="1:78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2"/>
      <c r="L202" s="3"/>
      <c r="M202" s="3"/>
      <c r="N202" s="29"/>
      <c r="O202" s="29"/>
      <c r="P202" s="29"/>
      <c r="Q202" s="2"/>
      <c r="R202" s="2"/>
      <c r="S202" s="2"/>
      <c r="T202" s="16"/>
      <c r="U202" s="2"/>
      <c r="V202" s="16"/>
      <c r="W202" s="2"/>
      <c r="X202" s="2"/>
      <c r="Y202" s="2"/>
      <c r="Z202" s="2"/>
      <c r="AA202" s="5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</row>
    <row r="203" spans="1:78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2"/>
      <c r="L203" s="3"/>
      <c r="M203" s="3"/>
      <c r="N203" s="29"/>
      <c r="O203" s="29"/>
      <c r="P203" s="29"/>
      <c r="Q203" s="2"/>
      <c r="R203" s="2"/>
      <c r="S203" s="2"/>
      <c r="T203" s="16"/>
      <c r="U203" s="2"/>
      <c r="V203" s="16"/>
      <c r="W203" s="2"/>
      <c r="X203" s="2"/>
      <c r="Y203" s="2"/>
      <c r="Z203" s="2"/>
      <c r="AA203" s="5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</row>
    <row r="204" spans="1:78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2"/>
      <c r="L204" s="3"/>
      <c r="M204" s="3"/>
      <c r="N204" s="29"/>
      <c r="O204" s="29"/>
      <c r="P204" s="29"/>
      <c r="Q204" s="2"/>
      <c r="R204" s="2"/>
      <c r="S204" s="2"/>
      <c r="T204" s="16"/>
      <c r="U204" s="2"/>
      <c r="V204" s="16"/>
      <c r="W204" s="2"/>
      <c r="X204" s="2"/>
      <c r="Y204" s="2"/>
      <c r="Z204" s="2"/>
      <c r="AA204" s="5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</row>
    <row r="205" spans="1:78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2"/>
      <c r="L205" s="3"/>
      <c r="M205" s="3"/>
      <c r="N205" s="29"/>
      <c r="O205" s="29"/>
      <c r="P205" s="29"/>
      <c r="Q205" s="2"/>
      <c r="R205" s="2"/>
      <c r="S205" s="2"/>
      <c r="T205" s="16"/>
      <c r="U205" s="2"/>
      <c r="V205" s="16"/>
      <c r="W205" s="2"/>
      <c r="X205" s="2"/>
      <c r="Y205" s="2"/>
      <c r="Z205" s="2"/>
      <c r="AA205" s="5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</row>
    <row r="206" spans="1:78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2"/>
      <c r="L206" s="3"/>
      <c r="M206" s="3"/>
      <c r="N206" s="29"/>
      <c r="O206" s="29"/>
      <c r="P206" s="29"/>
      <c r="Q206" s="2"/>
      <c r="R206" s="2"/>
      <c r="S206" s="2"/>
      <c r="T206" s="16"/>
      <c r="U206" s="2"/>
      <c r="V206" s="16"/>
      <c r="W206" s="2"/>
      <c r="X206" s="2"/>
      <c r="Y206" s="2"/>
      <c r="Z206" s="2"/>
      <c r="AA206" s="5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</row>
    <row r="207" spans="1:78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2"/>
      <c r="L207" s="3"/>
      <c r="M207" s="3"/>
      <c r="N207" s="29"/>
      <c r="O207" s="29"/>
      <c r="P207" s="29"/>
      <c r="Q207" s="2"/>
      <c r="R207" s="2"/>
      <c r="S207" s="2"/>
      <c r="T207" s="16"/>
      <c r="U207" s="2"/>
      <c r="V207" s="16"/>
      <c r="W207" s="2"/>
      <c r="X207" s="2"/>
      <c r="Y207" s="2"/>
      <c r="Z207" s="2"/>
      <c r="AA207" s="5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</row>
    <row r="208" spans="1:78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2"/>
      <c r="L208" s="3"/>
      <c r="M208" s="3"/>
      <c r="N208" s="29"/>
      <c r="O208" s="29"/>
      <c r="P208" s="29"/>
      <c r="Q208" s="2"/>
      <c r="R208" s="2"/>
      <c r="S208" s="2"/>
      <c r="T208" s="16"/>
      <c r="U208" s="2"/>
      <c r="V208" s="16"/>
      <c r="W208" s="2"/>
      <c r="X208" s="2"/>
      <c r="Y208" s="2"/>
      <c r="Z208" s="2"/>
      <c r="AA208" s="5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</row>
    <row r="209" spans="1:78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2"/>
      <c r="L209" s="3"/>
      <c r="M209" s="3"/>
      <c r="N209" s="29"/>
      <c r="O209" s="29"/>
      <c r="P209" s="29"/>
      <c r="Q209" s="2"/>
      <c r="R209" s="2"/>
      <c r="S209" s="2"/>
      <c r="T209" s="16"/>
      <c r="U209" s="2"/>
      <c r="V209" s="16"/>
      <c r="W209" s="2"/>
      <c r="X209" s="2"/>
      <c r="Y209" s="2"/>
      <c r="Z209" s="2"/>
      <c r="AA209" s="5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</row>
    <row r="210" spans="1:78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2"/>
      <c r="L210" s="3"/>
      <c r="M210" s="3"/>
      <c r="N210" s="29"/>
      <c r="O210" s="29"/>
      <c r="P210" s="29"/>
      <c r="Q210" s="2"/>
      <c r="R210" s="2"/>
      <c r="S210" s="2"/>
      <c r="T210" s="16"/>
      <c r="U210" s="2"/>
      <c r="V210" s="16"/>
      <c r="W210" s="2"/>
      <c r="X210" s="2"/>
      <c r="Y210" s="2"/>
      <c r="Z210" s="2"/>
      <c r="AA210" s="5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</row>
    <row r="211" spans="1:78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2"/>
      <c r="L211" s="3"/>
      <c r="M211" s="3"/>
      <c r="N211" s="29"/>
      <c r="O211" s="29"/>
      <c r="P211" s="29"/>
      <c r="Q211" s="2"/>
      <c r="R211" s="2"/>
      <c r="S211" s="2"/>
      <c r="T211" s="16"/>
      <c r="U211" s="2"/>
      <c r="V211" s="16"/>
      <c r="W211" s="2"/>
      <c r="X211" s="2"/>
      <c r="Y211" s="2"/>
      <c r="Z211" s="2"/>
      <c r="AA211" s="5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</row>
    <row r="212" spans="1:78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2"/>
      <c r="L212" s="3"/>
      <c r="M212" s="3"/>
      <c r="N212" s="29"/>
      <c r="O212" s="29"/>
      <c r="P212" s="29"/>
      <c r="Q212" s="2"/>
      <c r="R212" s="2"/>
      <c r="S212" s="2"/>
      <c r="T212" s="16"/>
      <c r="U212" s="2"/>
      <c r="V212" s="16"/>
      <c r="W212" s="2"/>
      <c r="X212" s="2"/>
      <c r="Y212" s="2"/>
      <c r="Z212" s="2"/>
      <c r="AA212" s="5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</row>
    <row r="213" spans="1:78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2"/>
      <c r="L213" s="3"/>
      <c r="M213" s="3"/>
      <c r="N213" s="29"/>
      <c r="O213" s="29"/>
      <c r="P213" s="29"/>
      <c r="Q213" s="2"/>
      <c r="R213" s="2"/>
      <c r="S213" s="2"/>
      <c r="T213" s="16"/>
      <c r="U213" s="2"/>
      <c r="V213" s="16"/>
      <c r="W213" s="2"/>
      <c r="X213" s="2"/>
      <c r="Y213" s="2"/>
      <c r="Z213" s="2"/>
      <c r="AA213" s="5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</row>
    <row r="214" spans="1:78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2"/>
      <c r="L214" s="3"/>
      <c r="M214" s="3"/>
      <c r="N214" s="29"/>
      <c r="O214" s="29"/>
      <c r="P214" s="29"/>
      <c r="Q214" s="2"/>
      <c r="R214" s="2"/>
      <c r="S214" s="2"/>
      <c r="T214" s="16"/>
      <c r="U214" s="2"/>
      <c r="V214" s="16"/>
      <c r="W214" s="2"/>
      <c r="X214" s="2"/>
      <c r="Y214" s="2"/>
      <c r="Z214" s="2"/>
      <c r="AA214" s="5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</row>
    <row r="215" spans="1:78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2"/>
      <c r="L215" s="3"/>
      <c r="M215" s="3"/>
      <c r="N215" s="29"/>
      <c r="O215" s="29"/>
      <c r="P215" s="29"/>
      <c r="Q215" s="2"/>
      <c r="R215" s="2"/>
      <c r="S215" s="2"/>
      <c r="T215" s="16"/>
      <c r="U215" s="2"/>
      <c r="V215" s="16"/>
      <c r="W215" s="2"/>
      <c r="X215" s="2"/>
      <c r="Y215" s="2"/>
      <c r="Z215" s="2"/>
      <c r="AA215" s="5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</row>
    <row r="216" spans="1:78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2"/>
      <c r="L216" s="3"/>
      <c r="M216" s="3"/>
      <c r="N216" s="29"/>
      <c r="O216" s="29"/>
      <c r="P216" s="29"/>
      <c r="Q216" s="2"/>
      <c r="R216" s="2"/>
      <c r="S216" s="2"/>
      <c r="T216" s="16"/>
      <c r="U216" s="2"/>
      <c r="V216" s="16"/>
      <c r="W216" s="2"/>
      <c r="X216" s="2"/>
      <c r="Y216" s="2"/>
      <c r="Z216" s="2"/>
      <c r="AA216" s="5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</row>
    <row r="217" spans="1:78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2"/>
      <c r="L217" s="3"/>
      <c r="M217" s="3"/>
      <c r="N217" s="29"/>
      <c r="O217" s="29"/>
      <c r="P217" s="29"/>
      <c r="Q217" s="2"/>
      <c r="R217" s="2"/>
      <c r="S217" s="2"/>
      <c r="T217" s="16"/>
      <c r="U217" s="2"/>
      <c r="V217" s="16"/>
      <c r="W217" s="2"/>
      <c r="X217" s="2"/>
      <c r="Y217" s="2"/>
      <c r="Z217" s="2"/>
      <c r="AA217" s="5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</row>
    <row r="218" spans="1:78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2"/>
      <c r="L218" s="3"/>
      <c r="M218" s="3"/>
      <c r="N218" s="29"/>
      <c r="O218" s="29"/>
      <c r="P218" s="29"/>
      <c r="Q218" s="2"/>
      <c r="R218" s="2"/>
      <c r="S218" s="2"/>
      <c r="T218" s="16"/>
      <c r="U218" s="2"/>
      <c r="V218" s="16"/>
      <c r="W218" s="2"/>
      <c r="X218" s="2"/>
      <c r="Y218" s="2"/>
      <c r="Z218" s="2"/>
      <c r="AA218" s="5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</row>
    <row r="219" spans="1:78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2"/>
      <c r="L219" s="3"/>
      <c r="M219" s="3"/>
      <c r="N219" s="29"/>
      <c r="O219" s="29"/>
      <c r="P219" s="29"/>
      <c r="Q219" s="2"/>
      <c r="R219" s="2"/>
      <c r="S219" s="2"/>
      <c r="T219" s="16"/>
      <c r="U219" s="2"/>
      <c r="V219" s="16"/>
      <c r="W219" s="2"/>
      <c r="X219" s="2"/>
      <c r="Y219" s="2"/>
      <c r="Z219" s="2"/>
      <c r="AA219" s="5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</row>
    <row r="220" spans="1:78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2"/>
      <c r="L220" s="3"/>
      <c r="M220" s="3"/>
      <c r="N220" s="29"/>
      <c r="O220" s="29"/>
      <c r="P220" s="29"/>
      <c r="Q220" s="2"/>
      <c r="R220" s="2"/>
      <c r="S220" s="2"/>
      <c r="T220" s="16"/>
      <c r="U220" s="2"/>
      <c r="V220" s="16"/>
      <c r="W220" s="2"/>
      <c r="X220" s="2"/>
      <c r="Y220" s="2"/>
      <c r="Z220" s="2"/>
      <c r="AA220" s="5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</row>
    <row r="221" spans="1:78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2"/>
      <c r="L221" s="3"/>
      <c r="M221" s="3"/>
      <c r="N221" s="29"/>
      <c r="O221" s="29"/>
      <c r="P221" s="29"/>
      <c r="Q221" s="2"/>
      <c r="R221" s="2"/>
      <c r="S221" s="2"/>
      <c r="T221" s="16"/>
      <c r="U221" s="2"/>
      <c r="V221" s="16"/>
      <c r="W221" s="2"/>
      <c r="X221" s="2"/>
      <c r="Y221" s="2"/>
      <c r="Z221" s="2"/>
      <c r="AA221" s="5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</row>
    <row r="222" spans="1:78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2"/>
      <c r="L222" s="3"/>
      <c r="M222" s="3"/>
      <c r="N222" s="29"/>
      <c r="O222" s="29"/>
      <c r="P222" s="29"/>
      <c r="Q222" s="2"/>
      <c r="R222" s="2"/>
      <c r="S222" s="2"/>
      <c r="T222" s="16"/>
      <c r="U222" s="2"/>
      <c r="V222" s="16"/>
      <c r="W222" s="2"/>
      <c r="X222" s="2"/>
      <c r="Y222" s="2"/>
      <c r="Z222" s="2"/>
      <c r="AA222" s="5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</row>
    <row r="223" spans="1:78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2"/>
      <c r="L223" s="3"/>
      <c r="M223" s="3"/>
      <c r="N223" s="29"/>
      <c r="O223" s="29"/>
      <c r="P223" s="29"/>
      <c r="Q223" s="2"/>
      <c r="R223" s="2"/>
      <c r="S223" s="2"/>
      <c r="T223" s="16"/>
      <c r="U223" s="2"/>
      <c r="V223" s="16"/>
      <c r="W223" s="2"/>
      <c r="X223" s="2"/>
      <c r="Y223" s="2"/>
      <c r="Z223" s="2"/>
      <c r="AA223" s="5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</row>
    <row r="224" spans="1:78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2"/>
      <c r="L224" s="3"/>
      <c r="M224" s="3"/>
      <c r="N224" s="33"/>
      <c r="O224" s="33"/>
      <c r="P224" s="33"/>
      <c r="Q224" s="9"/>
      <c r="R224" s="9"/>
      <c r="S224" s="9"/>
      <c r="T224" s="19"/>
      <c r="U224" s="9"/>
      <c r="V224" s="19"/>
      <c r="W224" s="9"/>
      <c r="X224" s="9"/>
      <c r="Y224" s="9"/>
      <c r="Z224" s="9"/>
      <c r="AA224" s="27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</row>
    <row r="225" spans="1:78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2"/>
      <c r="L225" s="3"/>
      <c r="M225" s="3"/>
      <c r="N225" s="33"/>
      <c r="O225" s="33"/>
      <c r="P225" s="33"/>
      <c r="Q225" s="9"/>
      <c r="R225" s="9"/>
      <c r="S225" s="9"/>
      <c r="T225" s="19"/>
      <c r="U225" s="9"/>
      <c r="V225" s="19"/>
      <c r="W225" s="9"/>
      <c r="X225" s="9"/>
      <c r="Y225" s="9"/>
      <c r="Z225" s="9"/>
      <c r="AA225" s="27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</row>
    <row r="226" spans="1:78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2"/>
      <c r="L226" s="3"/>
      <c r="M226" s="3"/>
      <c r="N226" s="33"/>
      <c r="O226" s="33"/>
      <c r="P226" s="33"/>
      <c r="Q226" s="9"/>
      <c r="R226" s="9"/>
      <c r="S226" s="9"/>
      <c r="T226" s="19"/>
      <c r="U226" s="9"/>
      <c r="V226" s="19"/>
      <c r="W226" s="9"/>
      <c r="X226" s="9"/>
      <c r="Y226" s="9"/>
      <c r="Z226" s="9"/>
      <c r="AA226" s="27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</row>
    <row r="227" spans="1:78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2"/>
      <c r="L227" s="3"/>
      <c r="M227" s="3"/>
      <c r="N227" s="33"/>
      <c r="O227" s="33"/>
      <c r="P227" s="33"/>
      <c r="Q227" s="9"/>
      <c r="R227" s="9"/>
      <c r="S227" s="9"/>
      <c r="T227" s="19"/>
      <c r="U227" s="9"/>
      <c r="V227" s="19"/>
      <c r="W227" s="9"/>
      <c r="X227" s="9"/>
      <c r="Y227" s="9"/>
      <c r="Z227" s="9"/>
      <c r="AA227" s="27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</row>
    <row r="228" spans="1:78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2"/>
      <c r="L228" s="3"/>
      <c r="M228" s="3"/>
      <c r="N228" s="33"/>
      <c r="O228" s="33"/>
      <c r="P228" s="33"/>
      <c r="Q228" s="9"/>
      <c r="R228" s="9"/>
      <c r="S228" s="9"/>
      <c r="T228" s="19"/>
      <c r="U228" s="9"/>
      <c r="V228" s="19"/>
      <c r="W228" s="9"/>
      <c r="X228" s="9"/>
      <c r="Y228" s="9"/>
      <c r="Z228" s="9"/>
      <c r="AA228" s="27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</row>
    <row r="229" spans="1:78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2"/>
      <c r="L229" s="3"/>
      <c r="M229" s="3"/>
      <c r="N229" s="33"/>
      <c r="O229" s="33"/>
      <c r="P229" s="33"/>
      <c r="Q229" s="9"/>
      <c r="R229" s="9"/>
      <c r="S229" s="9"/>
      <c r="T229" s="19"/>
      <c r="U229" s="9"/>
      <c r="V229" s="19"/>
      <c r="W229" s="9"/>
      <c r="X229" s="9"/>
      <c r="Y229" s="9"/>
      <c r="Z229" s="9"/>
      <c r="AA229" s="27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</row>
    <row r="230" spans="1:78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2"/>
      <c r="L230" s="3"/>
      <c r="M230" s="3"/>
      <c r="N230" s="33"/>
      <c r="O230" s="33"/>
      <c r="P230" s="33"/>
      <c r="Q230" s="9"/>
      <c r="R230" s="9"/>
      <c r="S230" s="9"/>
      <c r="T230" s="19"/>
      <c r="U230" s="9"/>
      <c r="V230" s="19"/>
      <c r="W230" s="9"/>
      <c r="X230" s="9"/>
      <c r="Y230" s="9"/>
      <c r="Z230" s="9"/>
      <c r="AA230" s="27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</row>
    <row r="231" spans="1:78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2"/>
      <c r="L231" s="3"/>
      <c r="M231" s="3"/>
      <c r="N231" s="33"/>
      <c r="O231" s="33"/>
      <c r="P231" s="33"/>
      <c r="Q231" s="9"/>
      <c r="R231" s="9"/>
      <c r="S231" s="9"/>
      <c r="T231" s="19"/>
      <c r="U231" s="9"/>
      <c r="V231" s="19"/>
      <c r="W231" s="9"/>
      <c r="X231" s="9"/>
      <c r="Y231" s="9"/>
      <c r="Z231" s="9"/>
      <c r="AA231" s="27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</row>
    <row r="232" spans="1:78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2"/>
      <c r="L232" s="3"/>
      <c r="M232" s="3"/>
      <c r="N232" s="33"/>
      <c r="O232" s="33"/>
      <c r="P232" s="33"/>
      <c r="Q232" s="9"/>
      <c r="R232" s="9"/>
      <c r="S232" s="9"/>
      <c r="T232" s="19"/>
      <c r="U232" s="9"/>
      <c r="V232" s="19"/>
      <c r="W232" s="9"/>
      <c r="X232" s="9"/>
      <c r="Y232" s="9"/>
      <c r="Z232" s="9"/>
      <c r="AA232" s="27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</row>
    <row r="233" spans="1:78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2"/>
      <c r="L233" s="3"/>
      <c r="M233" s="3"/>
      <c r="N233" s="33"/>
      <c r="O233" s="33"/>
      <c r="P233" s="33"/>
      <c r="Q233" s="9"/>
      <c r="R233" s="9"/>
      <c r="S233" s="9"/>
      <c r="T233" s="19"/>
      <c r="U233" s="9"/>
      <c r="V233" s="19"/>
      <c r="W233" s="9"/>
      <c r="X233" s="9"/>
      <c r="Y233" s="9"/>
      <c r="Z233" s="9"/>
      <c r="AA233" s="27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</row>
    <row r="234" spans="1:78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2"/>
      <c r="L234" s="3"/>
      <c r="M234" s="3"/>
      <c r="N234" s="33"/>
      <c r="O234" s="33"/>
      <c r="P234" s="33"/>
      <c r="Q234" s="9"/>
      <c r="R234" s="9"/>
      <c r="S234" s="9"/>
      <c r="T234" s="19"/>
      <c r="U234" s="9"/>
      <c r="V234" s="19"/>
      <c r="W234" s="9"/>
      <c r="X234" s="9"/>
      <c r="Y234" s="9"/>
      <c r="Z234" s="9"/>
      <c r="AA234" s="27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</row>
    <row r="235" spans="1:78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2"/>
      <c r="L235" s="3"/>
      <c r="M235" s="3"/>
      <c r="N235" s="33"/>
      <c r="O235" s="33"/>
      <c r="P235" s="33"/>
      <c r="Q235" s="9"/>
      <c r="R235" s="9"/>
      <c r="S235" s="9"/>
      <c r="T235" s="19"/>
      <c r="U235" s="9"/>
      <c r="V235" s="19"/>
      <c r="W235" s="9"/>
      <c r="X235" s="9"/>
      <c r="Y235" s="9"/>
      <c r="Z235" s="9"/>
      <c r="AA235" s="27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</row>
    <row r="236" spans="1:78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2"/>
      <c r="L236" s="3"/>
      <c r="M236" s="3"/>
      <c r="N236" s="33"/>
      <c r="O236" s="33"/>
      <c r="P236" s="33"/>
      <c r="Q236" s="9"/>
      <c r="R236" s="9"/>
      <c r="S236" s="9"/>
      <c r="T236" s="19"/>
      <c r="U236" s="9"/>
      <c r="V236" s="19"/>
      <c r="W236" s="9"/>
      <c r="X236" s="9"/>
      <c r="Y236" s="9"/>
      <c r="Z236" s="9"/>
      <c r="AA236" s="27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</row>
    <row r="237" spans="1:78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2"/>
      <c r="L237" s="3"/>
      <c r="M237" s="3"/>
      <c r="N237" s="33"/>
      <c r="O237" s="33"/>
      <c r="P237" s="33"/>
      <c r="Q237" s="9"/>
      <c r="R237" s="9"/>
      <c r="S237" s="9"/>
      <c r="T237" s="19"/>
      <c r="U237" s="9"/>
      <c r="V237" s="19"/>
      <c r="W237" s="9"/>
      <c r="X237" s="9"/>
      <c r="Y237" s="9"/>
      <c r="Z237" s="9"/>
      <c r="AA237" s="27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</row>
    <row r="238" spans="1:78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2"/>
      <c r="L238" s="3"/>
      <c r="M238" s="3"/>
      <c r="N238" s="33"/>
      <c r="O238" s="33"/>
      <c r="P238" s="33"/>
      <c r="Q238" s="9"/>
      <c r="R238" s="9"/>
      <c r="S238" s="9"/>
      <c r="T238" s="19"/>
      <c r="U238" s="9"/>
      <c r="V238" s="19"/>
      <c r="W238" s="9"/>
      <c r="X238" s="9"/>
      <c r="Y238" s="9"/>
      <c r="Z238" s="9"/>
      <c r="AA238" s="27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</row>
    <row r="239" spans="1:78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2"/>
      <c r="L239" s="3"/>
      <c r="M239" s="3"/>
      <c r="N239" s="33"/>
      <c r="O239" s="33"/>
      <c r="P239" s="33"/>
      <c r="Q239" s="9"/>
      <c r="R239" s="9"/>
      <c r="S239" s="9"/>
      <c r="T239" s="19"/>
      <c r="U239" s="9"/>
      <c r="V239" s="19"/>
      <c r="W239" s="9"/>
      <c r="X239" s="9"/>
      <c r="Y239" s="9"/>
      <c r="Z239" s="9"/>
      <c r="AA239" s="27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</row>
    <row r="240" spans="1:78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2"/>
      <c r="L240" s="3"/>
      <c r="M240" s="3"/>
      <c r="N240" s="33"/>
      <c r="O240" s="33"/>
      <c r="P240" s="33"/>
      <c r="Q240" s="9"/>
      <c r="R240" s="9"/>
      <c r="S240" s="9"/>
      <c r="T240" s="19"/>
      <c r="U240" s="9"/>
      <c r="V240" s="19"/>
      <c r="W240" s="9"/>
      <c r="X240" s="9"/>
      <c r="Y240" s="9"/>
      <c r="Z240" s="9"/>
      <c r="AA240" s="27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</row>
    <row r="241" spans="1:78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2"/>
      <c r="L241" s="3"/>
      <c r="M241" s="3"/>
      <c r="N241" s="33"/>
      <c r="O241" s="33"/>
      <c r="P241" s="33"/>
      <c r="Q241" s="9"/>
      <c r="R241" s="9"/>
      <c r="S241" s="9"/>
      <c r="T241" s="19"/>
      <c r="U241" s="9"/>
      <c r="V241" s="19"/>
      <c r="W241" s="9"/>
      <c r="X241" s="9"/>
      <c r="Y241" s="9"/>
      <c r="Z241" s="9"/>
      <c r="AA241" s="27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</row>
    <row r="242" spans="1:78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2"/>
      <c r="L242" s="3"/>
      <c r="M242" s="3"/>
      <c r="N242" s="33"/>
      <c r="O242" s="33"/>
      <c r="P242" s="33"/>
      <c r="Q242" s="9"/>
      <c r="R242" s="9"/>
      <c r="S242" s="9"/>
      <c r="T242" s="19"/>
      <c r="U242" s="9"/>
      <c r="V242" s="19"/>
      <c r="W242" s="9"/>
      <c r="X242" s="9"/>
      <c r="Y242" s="9"/>
      <c r="Z242" s="9"/>
      <c r="AA242" s="27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</row>
    <row r="243" spans="1:78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2"/>
      <c r="L243" s="3"/>
      <c r="M243" s="3"/>
      <c r="N243" s="33"/>
      <c r="O243" s="33"/>
      <c r="P243" s="33"/>
      <c r="Q243" s="9"/>
      <c r="R243" s="9"/>
      <c r="S243" s="9"/>
      <c r="T243" s="19"/>
      <c r="U243" s="9"/>
      <c r="V243" s="19"/>
      <c r="W243" s="9"/>
      <c r="X243" s="9"/>
      <c r="Y243" s="9"/>
      <c r="Z243" s="9"/>
      <c r="AA243" s="27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</row>
    <row r="244" spans="1:78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2"/>
      <c r="L244" s="3"/>
      <c r="M244" s="3"/>
      <c r="N244" s="33"/>
      <c r="O244" s="33"/>
      <c r="P244" s="33"/>
      <c r="Q244" s="9"/>
      <c r="R244" s="9"/>
      <c r="S244" s="9"/>
      <c r="T244" s="19"/>
      <c r="U244" s="9"/>
      <c r="V244" s="19"/>
      <c r="W244" s="9"/>
      <c r="X244" s="9"/>
      <c r="Y244" s="9"/>
      <c r="Z244" s="9"/>
      <c r="AA244" s="27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</row>
    <row r="245" spans="1:78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2"/>
      <c r="L245" s="3"/>
      <c r="M245" s="3"/>
      <c r="N245" s="33"/>
      <c r="O245" s="33"/>
      <c r="P245" s="33"/>
      <c r="Q245" s="9"/>
      <c r="R245" s="9"/>
      <c r="S245" s="9"/>
      <c r="T245" s="19"/>
      <c r="U245" s="9"/>
      <c r="V245" s="19"/>
      <c r="W245" s="9"/>
      <c r="X245" s="9"/>
      <c r="Y245" s="9"/>
      <c r="Z245" s="9"/>
      <c r="AA245" s="27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</row>
    <row r="246" spans="1:78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2"/>
      <c r="L246" s="3"/>
      <c r="M246" s="3"/>
      <c r="N246" s="33"/>
      <c r="O246" s="33"/>
      <c r="P246" s="33"/>
      <c r="Q246" s="9"/>
      <c r="R246" s="9"/>
      <c r="S246" s="9"/>
      <c r="T246" s="19"/>
      <c r="U246" s="9"/>
      <c r="V246" s="19"/>
      <c r="W246" s="9"/>
      <c r="X246" s="9"/>
      <c r="Y246" s="9"/>
      <c r="Z246" s="9"/>
      <c r="AA246" s="27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</row>
    <row r="247" spans="1:78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2"/>
      <c r="L247" s="3"/>
      <c r="M247" s="3"/>
      <c r="N247" s="33"/>
      <c r="O247" s="33"/>
      <c r="P247" s="33"/>
      <c r="Q247" s="9"/>
      <c r="R247" s="9"/>
      <c r="S247" s="9"/>
      <c r="T247" s="19"/>
      <c r="U247" s="9"/>
      <c r="V247" s="19"/>
      <c r="W247" s="9"/>
      <c r="X247" s="9"/>
      <c r="Y247" s="9"/>
      <c r="Z247" s="9"/>
      <c r="AA247" s="27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</row>
    <row r="248" spans="1:78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2"/>
      <c r="L248" s="3"/>
      <c r="M248" s="3"/>
      <c r="N248" s="33"/>
      <c r="O248" s="33"/>
      <c r="P248" s="33"/>
      <c r="Q248" s="9"/>
      <c r="R248" s="9"/>
      <c r="S248" s="9"/>
      <c r="T248" s="19"/>
      <c r="U248" s="9"/>
      <c r="V248" s="19"/>
      <c r="W248" s="9"/>
      <c r="X248" s="9"/>
      <c r="Y248" s="9"/>
      <c r="Z248" s="9"/>
      <c r="AA248" s="27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</row>
    <row r="249" spans="1:78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2"/>
      <c r="L249" s="3"/>
      <c r="M249" s="3"/>
      <c r="N249" s="33"/>
      <c r="O249" s="33"/>
      <c r="P249" s="33"/>
      <c r="Q249" s="9"/>
      <c r="R249" s="9"/>
      <c r="S249" s="9"/>
      <c r="T249" s="19"/>
      <c r="U249" s="9"/>
      <c r="V249" s="19"/>
      <c r="W249" s="9"/>
      <c r="X249" s="9"/>
      <c r="Y249" s="9"/>
      <c r="Z249" s="9"/>
      <c r="AA249" s="27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</row>
    <row r="250" spans="1:78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2"/>
      <c r="L250" s="3"/>
      <c r="M250" s="3"/>
      <c r="N250" s="33"/>
      <c r="O250" s="33"/>
      <c r="P250" s="33"/>
      <c r="Q250" s="9"/>
      <c r="R250" s="9"/>
      <c r="S250" s="9"/>
      <c r="T250" s="19"/>
      <c r="U250" s="9"/>
      <c r="V250" s="19"/>
      <c r="W250" s="9"/>
      <c r="X250" s="9"/>
      <c r="Y250" s="9"/>
      <c r="Z250" s="9"/>
      <c r="AA250" s="27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</row>
    <row r="251" spans="1:78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2"/>
      <c r="L251" s="3"/>
      <c r="M251" s="3"/>
      <c r="N251" s="33"/>
      <c r="O251" s="33"/>
      <c r="P251" s="33"/>
      <c r="Q251" s="9"/>
      <c r="R251" s="9"/>
      <c r="S251" s="9"/>
      <c r="T251" s="19"/>
      <c r="U251" s="9"/>
      <c r="V251" s="19"/>
      <c r="W251" s="9"/>
      <c r="X251" s="9"/>
      <c r="Y251" s="9"/>
      <c r="Z251" s="9"/>
      <c r="AA251" s="27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</row>
    <row r="252" spans="1:78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2"/>
      <c r="L252" s="3"/>
      <c r="M252" s="3"/>
      <c r="N252" s="33"/>
      <c r="O252" s="33"/>
      <c r="P252" s="33"/>
      <c r="Q252" s="9"/>
      <c r="R252" s="9"/>
      <c r="S252" s="9"/>
      <c r="T252" s="19"/>
      <c r="U252" s="9"/>
      <c r="V252" s="19"/>
      <c r="W252" s="9"/>
      <c r="X252" s="9"/>
      <c r="Y252" s="9"/>
      <c r="Z252" s="9"/>
      <c r="AA252" s="27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</row>
    <row r="253" spans="1:78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2"/>
      <c r="L253" s="3"/>
      <c r="M253" s="3"/>
      <c r="N253" s="33"/>
      <c r="O253" s="33"/>
      <c r="P253" s="33"/>
      <c r="Q253" s="9"/>
      <c r="R253" s="9"/>
      <c r="S253" s="9"/>
      <c r="T253" s="19"/>
      <c r="U253" s="9"/>
      <c r="V253" s="19"/>
      <c r="W253" s="9"/>
      <c r="X253" s="9"/>
      <c r="Y253" s="9"/>
      <c r="Z253" s="9"/>
      <c r="AA253" s="27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</row>
    <row r="254" spans="1:78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2"/>
      <c r="L254" s="3"/>
      <c r="M254" s="3"/>
      <c r="N254" s="33"/>
      <c r="O254" s="33"/>
      <c r="P254" s="33"/>
      <c r="Q254" s="9"/>
      <c r="R254" s="9"/>
      <c r="S254" s="9"/>
      <c r="T254" s="19"/>
      <c r="U254" s="9"/>
      <c r="V254" s="19"/>
      <c r="W254" s="9"/>
      <c r="X254" s="9"/>
      <c r="Y254" s="9"/>
      <c r="Z254" s="9"/>
      <c r="AA254" s="27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</row>
    <row r="255" spans="1:78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2"/>
      <c r="L255" s="3"/>
      <c r="M255" s="3"/>
      <c r="N255" s="33"/>
      <c r="O255" s="33"/>
      <c r="P255" s="33"/>
      <c r="Q255" s="9"/>
      <c r="R255" s="9"/>
      <c r="S255" s="9"/>
      <c r="T255" s="19"/>
      <c r="U255" s="9"/>
      <c r="V255" s="19"/>
      <c r="W255" s="9"/>
      <c r="X255" s="9"/>
      <c r="Y255" s="9"/>
      <c r="Z255" s="9"/>
      <c r="AA255" s="27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</row>
    <row r="256" spans="1:78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2"/>
      <c r="L256" s="3"/>
      <c r="M256" s="3"/>
      <c r="N256" s="33"/>
      <c r="O256" s="33"/>
      <c r="P256" s="33"/>
      <c r="Q256" s="9"/>
      <c r="R256" s="9"/>
      <c r="S256" s="9"/>
      <c r="T256" s="19"/>
      <c r="U256" s="9"/>
      <c r="V256" s="19"/>
      <c r="W256" s="9"/>
      <c r="X256" s="9"/>
      <c r="Y256" s="9"/>
      <c r="Z256" s="9"/>
      <c r="AA256" s="27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</row>
    <row r="257" spans="1:78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2"/>
      <c r="L257" s="3"/>
      <c r="M257" s="3"/>
      <c r="N257" s="33"/>
      <c r="O257" s="33"/>
      <c r="P257" s="33"/>
      <c r="Q257" s="9"/>
      <c r="R257" s="9"/>
      <c r="S257" s="9"/>
      <c r="T257" s="19"/>
      <c r="U257" s="9"/>
      <c r="V257" s="19"/>
      <c r="W257" s="9"/>
      <c r="X257" s="9"/>
      <c r="Y257" s="9"/>
      <c r="Z257" s="9"/>
      <c r="AA257" s="27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</row>
    <row r="258" spans="1:78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2"/>
      <c r="L258" s="3"/>
      <c r="M258" s="3"/>
      <c r="N258" s="33"/>
      <c r="O258" s="33"/>
      <c r="P258" s="33"/>
      <c r="Q258" s="9"/>
      <c r="R258" s="9"/>
      <c r="S258" s="9"/>
      <c r="T258" s="19"/>
      <c r="U258" s="9"/>
      <c r="V258" s="19"/>
      <c r="W258" s="9"/>
      <c r="X258" s="9"/>
      <c r="Y258" s="9"/>
      <c r="Z258" s="9"/>
      <c r="AA258" s="27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</row>
    <row r="259" spans="1:78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2"/>
      <c r="L259" s="3"/>
      <c r="M259" s="3"/>
      <c r="N259" s="33"/>
      <c r="O259" s="33"/>
      <c r="P259" s="33"/>
      <c r="Q259" s="9"/>
      <c r="R259" s="9"/>
      <c r="S259" s="9"/>
      <c r="T259" s="19"/>
      <c r="U259" s="9"/>
      <c r="V259" s="19"/>
      <c r="W259" s="9"/>
      <c r="X259" s="9"/>
      <c r="Y259" s="9"/>
      <c r="Z259" s="9"/>
      <c r="AA259" s="27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</row>
    <row r="260" spans="1:78" s="4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2"/>
      <c r="L260" s="3"/>
      <c r="M260" s="3"/>
      <c r="N260" s="33"/>
      <c r="O260" s="33"/>
      <c r="P260" s="33"/>
      <c r="Q260" s="9"/>
      <c r="R260" s="9"/>
      <c r="S260" s="9"/>
      <c r="T260" s="19"/>
      <c r="U260" s="9"/>
      <c r="V260" s="19"/>
      <c r="W260" s="9"/>
      <c r="X260" s="9"/>
      <c r="Y260" s="9"/>
      <c r="Z260" s="9"/>
      <c r="AA260" s="27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</row>
    <row r="261" spans="1:78" s="4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2"/>
      <c r="L261" s="3"/>
      <c r="M261" s="3"/>
      <c r="N261" s="33"/>
      <c r="O261" s="33"/>
      <c r="P261" s="33"/>
      <c r="Q261" s="9"/>
      <c r="R261" s="9"/>
      <c r="S261" s="9"/>
      <c r="T261" s="19"/>
      <c r="U261" s="9"/>
      <c r="V261" s="19"/>
      <c r="W261" s="9"/>
      <c r="X261" s="9"/>
      <c r="Y261" s="9"/>
      <c r="Z261" s="9"/>
      <c r="AA261" s="27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</row>
    <row r="262" spans="1:78" s="4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2"/>
      <c r="L262" s="3"/>
      <c r="M262" s="3"/>
      <c r="N262" s="33"/>
      <c r="O262" s="33"/>
      <c r="P262" s="33"/>
      <c r="Q262" s="9"/>
      <c r="R262" s="9"/>
      <c r="S262" s="9"/>
      <c r="T262" s="19"/>
      <c r="U262" s="9"/>
      <c r="V262" s="19"/>
      <c r="W262" s="9"/>
      <c r="X262" s="9"/>
      <c r="Y262" s="9"/>
      <c r="Z262" s="9"/>
      <c r="AA262" s="27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</row>
    <row r="263" spans="1:78" s="4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2"/>
      <c r="L263" s="3"/>
      <c r="M263" s="3"/>
      <c r="N263" s="33"/>
      <c r="O263" s="33"/>
      <c r="P263" s="33"/>
      <c r="Q263" s="9"/>
      <c r="R263" s="9"/>
      <c r="S263" s="9"/>
      <c r="T263" s="19"/>
      <c r="U263" s="9"/>
      <c r="V263" s="19"/>
      <c r="W263" s="9"/>
      <c r="X263" s="9"/>
      <c r="Y263" s="9"/>
      <c r="Z263" s="9"/>
      <c r="AA263" s="27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</row>
    <row r="264" spans="1:78" s="4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2"/>
      <c r="L264" s="3"/>
      <c r="M264" s="3"/>
      <c r="N264" s="33"/>
      <c r="O264" s="33"/>
      <c r="P264" s="33"/>
      <c r="Q264" s="9"/>
      <c r="R264" s="9"/>
      <c r="S264" s="9"/>
      <c r="T264" s="19"/>
      <c r="U264" s="9"/>
      <c r="V264" s="19"/>
      <c r="W264" s="9"/>
      <c r="X264" s="9"/>
      <c r="Y264" s="9"/>
      <c r="Z264" s="9"/>
      <c r="AA264" s="27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</row>
    <row r="265" spans="1:78" s="4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2"/>
      <c r="L265" s="3"/>
      <c r="M265" s="3"/>
      <c r="N265" s="33"/>
      <c r="O265" s="33"/>
      <c r="P265" s="33"/>
      <c r="Q265" s="9"/>
      <c r="R265" s="9"/>
      <c r="S265" s="9"/>
      <c r="T265" s="19"/>
      <c r="U265" s="9"/>
      <c r="V265" s="19"/>
      <c r="W265" s="9"/>
      <c r="X265" s="9"/>
      <c r="Y265" s="9"/>
      <c r="Z265" s="9"/>
      <c r="AA265" s="27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</row>
    <row r="266" spans="1:78" s="4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2"/>
      <c r="L266" s="3"/>
      <c r="M266" s="3"/>
      <c r="N266" s="33"/>
      <c r="O266" s="33"/>
      <c r="P266" s="33"/>
      <c r="Q266" s="9"/>
      <c r="R266" s="9"/>
      <c r="S266" s="9"/>
      <c r="T266" s="19"/>
      <c r="U266" s="9"/>
      <c r="V266" s="19"/>
      <c r="W266" s="9"/>
      <c r="X266" s="9"/>
      <c r="Y266" s="9"/>
      <c r="Z266" s="9"/>
      <c r="AA266" s="27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</row>
    <row r="267" spans="1:78" s="4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2"/>
      <c r="L267" s="3"/>
      <c r="M267" s="3"/>
      <c r="N267" s="33"/>
      <c r="O267" s="33"/>
      <c r="P267" s="33"/>
      <c r="Q267" s="9"/>
      <c r="R267" s="9"/>
      <c r="S267" s="9"/>
      <c r="T267" s="19"/>
      <c r="U267" s="9"/>
      <c r="V267" s="19"/>
      <c r="W267" s="9"/>
      <c r="X267" s="9"/>
      <c r="Y267" s="9"/>
      <c r="Z267" s="9"/>
      <c r="AA267" s="27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</row>
    <row r="268" spans="1:78" s="4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2"/>
      <c r="L268" s="3"/>
      <c r="M268" s="3"/>
      <c r="N268" s="33"/>
      <c r="O268" s="33"/>
      <c r="P268" s="33"/>
      <c r="Q268" s="9"/>
      <c r="R268" s="9"/>
      <c r="S268" s="9"/>
      <c r="T268" s="19"/>
      <c r="U268" s="9"/>
      <c r="V268" s="19"/>
      <c r="W268" s="9"/>
      <c r="X268" s="9"/>
      <c r="Y268" s="9"/>
      <c r="Z268" s="9"/>
      <c r="AA268" s="27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7833-AE15-4EF6-BFFC-3688ADE4E817}">
  <dimension ref="A1:BV268"/>
  <sheetViews>
    <sheetView topLeftCell="X78" zoomScale="120" zoomScaleNormal="120" workbookViewId="0">
      <selection activeCell="Z85" sqref="Z85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2" customWidth="1"/>
    <col min="12" max="12" width="20.88671875" style="3" customWidth="1"/>
    <col min="13" max="13" width="26.88671875" style="3" customWidth="1"/>
    <col min="14" max="15" width="20.6640625" style="33" customWidth="1"/>
    <col min="16" max="16" width="36.33203125" style="33" customWidth="1"/>
    <col min="17" max="17" width="23.21875" style="19" customWidth="1"/>
    <col min="18" max="18" width="30.88671875" style="19" customWidth="1"/>
    <col min="19" max="22" width="20.6640625" style="19" customWidth="1"/>
    <col min="23" max="24" width="21.88671875" style="7" customWidth="1"/>
    <col min="25" max="25" width="27.77734375" style="7" customWidth="1"/>
    <col min="26" max="26" width="51.33203125" style="7" customWidth="1"/>
    <col min="27" max="27" width="48.109375" style="7" customWidth="1"/>
    <col min="28" max="16384" width="8.88671875" style="7"/>
  </cols>
  <sheetData>
    <row r="1" spans="1:27" s="6" customFormat="1" ht="53.4" customHeight="1" x14ac:dyDescent="0.3">
      <c r="A1" s="14" t="s">
        <v>7</v>
      </c>
      <c r="B1" s="15" t="s">
        <v>6</v>
      </c>
      <c r="C1" s="14" t="s">
        <v>2</v>
      </c>
      <c r="D1" s="14" t="s">
        <v>1</v>
      </c>
      <c r="E1" s="15" t="s">
        <v>0</v>
      </c>
      <c r="F1" s="14" t="s">
        <v>3</v>
      </c>
      <c r="G1" s="15" t="s">
        <v>11</v>
      </c>
      <c r="H1" s="14" t="s">
        <v>4</v>
      </c>
      <c r="I1" s="15" t="s">
        <v>12</v>
      </c>
      <c r="J1" s="15" t="s">
        <v>8</v>
      </c>
      <c r="K1" s="21" t="s">
        <v>5</v>
      </c>
      <c r="L1" s="24" t="s">
        <v>10</v>
      </c>
      <c r="M1" s="15" t="s">
        <v>40</v>
      </c>
      <c r="N1" s="32" t="s">
        <v>9</v>
      </c>
      <c r="O1" s="32" t="s">
        <v>31</v>
      </c>
      <c r="P1" s="32" t="s">
        <v>38</v>
      </c>
      <c r="Q1" s="20" t="s">
        <v>13</v>
      </c>
      <c r="R1" s="17" t="s">
        <v>22</v>
      </c>
      <c r="S1" s="17" t="s">
        <v>39</v>
      </c>
      <c r="T1" s="17" t="s">
        <v>14</v>
      </c>
      <c r="U1" s="17" t="s">
        <v>15</v>
      </c>
      <c r="V1" s="17" t="s">
        <v>23</v>
      </c>
      <c r="W1" s="25" t="s">
        <v>34</v>
      </c>
      <c r="X1" s="25" t="s">
        <v>41</v>
      </c>
      <c r="Y1" s="25" t="s">
        <v>52</v>
      </c>
      <c r="Z1" s="44" t="s">
        <v>44</v>
      </c>
      <c r="AA1" s="44" t="s">
        <v>45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19.450495049504951</v>
      </c>
      <c r="L2" s="2">
        <f>(K2/1000000)</f>
        <v>1.9450495049504952E-5</v>
      </c>
      <c r="M2" s="3">
        <f>(3.142*3.07*3.07*25.4*25.4)/(4*1000000)</f>
        <v>4.7762865441819992E-3</v>
      </c>
      <c r="N2" s="29">
        <f>(L2*J2)/M2</f>
        <v>8.1954422938282711E-8</v>
      </c>
      <c r="O2" s="29">
        <f>(2.032/1000)</f>
        <v>2.032E-3</v>
      </c>
      <c r="P2" s="29">
        <v>1.5574793265181801E-10</v>
      </c>
      <c r="Q2" s="16">
        <v>0.05</v>
      </c>
      <c r="R2" s="16">
        <f>(1+Q2)*100000*1</f>
        <v>105000</v>
      </c>
      <c r="S2" s="16">
        <f>(5.3058450282772/1000)</f>
        <v>5.3058450282772E-3</v>
      </c>
      <c r="T2" s="16">
        <v>0.11</v>
      </c>
      <c r="U2" s="16">
        <f>(1+T2)*100000</f>
        <v>111000.00000000001</v>
      </c>
      <c r="V2" s="16">
        <f t="shared" ref="V2:V33" si="1">(L2*U2)</f>
        <v>2.1590049504950497</v>
      </c>
      <c r="W2" s="2">
        <f>(50/1000000)*100000</f>
        <v>5</v>
      </c>
      <c r="X2" s="2">
        <f t="shared" ref="X2:X33" si="2">(N2+((P2/O2)*(SQRT(V2)-SQRT(W2))))</f>
        <v>2.3187731522409859E-8</v>
      </c>
      <c r="Y2" s="2">
        <f>(SQRT(R2)-(X2*O2/P2))^2</f>
        <v>104804.03363205337</v>
      </c>
      <c r="Z2" s="2">
        <f>(X2*S2)/(Y2-V2)</f>
        <v>1.1739342492962226E-15</v>
      </c>
      <c r="AA2" s="2">
        <f>(Z2*6.022E+23)</f>
        <v>706943204.92618525</v>
      </c>
    </row>
    <row r="3" spans="1:27" x14ac:dyDescent="0.25">
      <c r="A3" s="1">
        <v>3</v>
      </c>
      <c r="B3" s="1">
        <f t="shared" ref="B3:B66" si="3">(A3/60)</f>
        <v>0.05</v>
      </c>
      <c r="C3" s="1">
        <v>20</v>
      </c>
      <c r="D3" s="1">
        <f t="shared" si="0"/>
        <v>29.146000000000001</v>
      </c>
      <c r="E3" s="1">
        <f t="shared" ref="E3:E66" si="4">(D3/(1000000*60))</f>
        <v>4.8576666666666667E-7</v>
      </c>
      <c r="F3" s="1">
        <v>21.1</v>
      </c>
      <c r="G3" s="1">
        <f t="shared" ref="G3:G66" si="5">(273+F3)</f>
        <v>294.10000000000002</v>
      </c>
      <c r="H3" s="1">
        <v>101.3</v>
      </c>
      <c r="I3" s="1">
        <f t="shared" ref="I3:I66" si="6">(H3*1000)</f>
        <v>101300</v>
      </c>
      <c r="J3" s="1">
        <f t="shared" ref="J3:J66" si="7">((I3*E3)/(8.314*G3))</f>
        <v>2.0124824921938581E-5</v>
      </c>
      <c r="K3" s="22">
        <v>21.925742574257427</v>
      </c>
      <c r="L3" s="2">
        <f t="shared" ref="L3:L54" si="8">(K3/1000000)</f>
        <v>2.1925742574257426E-5</v>
      </c>
      <c r="M3" s="3">
        <f t="shared" ref="M3:M66" si="9">(3.142*3.07*3.07*25.4*25.4)/(4*1000000)</f>
        <v>4.7762865441819992E-3</v>
      </c>
      <c r="N3" s="29">
        <f t="shared" ref="N3:N54" si="10">(L3*J3)/M3</f>
        <v>9.2383848102228055E-8</v>
      </c>
      <c r="O3" s="29">
        <f t="shared" ref="O3:O66" si="11">(2.032/1000)</f>
        <v>2.032E-3</v>
      </c>
      <c r="P3" s="29">
        <v>1.5574793265181801E-10</v>
      </c>
      <c r="Q3" s="16">
        <v>0.05</v>
      </c>
      <c r="R3" s="16">
        <f t="shared" ref="R3:R54" si="12">(1+Q3)*100000*1</f>
        <v>105000</v>
      </c>
      <c r="S3" s="16">
        <f t="shared" ref="S3:S66" si="13">(5.3058450282772/1000)</f>
        <v>5.3058450282772E-3</v>
      </c>
      <c r="T3" s="16">
        <v>0.11</v>
      </c>
      <c r="U3" s="16">
        <f t="shared" ref="U3:U54" si="14">(1+T3)*100000</f>
        <v>111000.00000000001</v>
      </c>
      <c r="V3" s="16">
        <f t="shared" si="1"/>
        <v>2.4337574257425745</v>
      </c>
      <c r="W3" s="2">
        <f t="shared" ref="W3:W66" si="15">(50/1000000)*100000</f>
        <v>5</v>
      </c>
      <c r="X3" s="2">
        <f t="shared" si="2"/>
        <v>4.0568724388547362E-8</v>
      </c>
      <c r="Y3" s="2">
        <f t="shared" ref="Y3:Y66" si="16">(SQRT(R3)-(X3*O3/P3))^2</f>
        <v>104657.26175178314</v>
      </c>
      <c r="Z3" s="2">
        <f t="shared" ref="Z3:Z66" si="17">(X3*S3)/(Y3-V3)</f>
        <v>2.0567743383241487E-15</v>
      </c>
      <c r="AA3" s="2">
        <f t="shared" ref="AA3:AA66" si="18">(Z3*6.022E+23)</f>
        <v>1238589506.5388024</v>
      </c>
    </row>
    <row r="4" spans="1:27" x14ac:dyDescent="0.25">
      <c r="A4" s="1">
        <v>6</v>
      </c>
      <c r="B4" s="1">
        <f t="shared" si="3"/>
        <v>0.1</v>
      </c>
      <c r="C4" s="1">
        <v>20</v>
      </c>
      <c r="D4" s="1">
        <f t="shared" si="0"/>
        <v>29.146000000000001</v>
      </c>
      <c r="E4" s="1">
        <f t="shared" si="4"/>
        <v>4.8576666666666667E-7</v>
      </c>
      <c r="F4" s="1">
        <v>21.1</v>
      </c>
      <c r="G4" s="1">
        <f t="shared" si="5"/>
        <v>294.10000000000002</v>
      </c>
      <c r="H4" s="1">
        <v>101.3</v>
      </c>
      <c r="I4" s="1">
        <f t="shared" si="6"/>
        <v>101300</v>
      </c>
      <c r="J4" s="1">
        <f t="shared" si="7"/>
        <v>2.0124824921938581E-5</v>
      </c>
      <c r="K4" s="22">
        <v>17</v>
      </c>
      <c r="L4" s="2">
        <f t="shared" si="8"/>
        <v>1.7E-5</v>
      </c>
      <c r="M4" s="3">
        <f t="shared" si="9"/>
        <v>4.7762865441819992E-3</v>
      </c>
      <c r="N4" s="29">
        <f t="shared" si="10"/>
        <v>7.1629292025976779E-8</v>
      </c>
      <c r="O4" s="29">
        <f t="shared" si="11"/>
        <v>2.032E-3</v>
      </c>
      <c r="P4" s="29">
        <v>1.5574793265181801E-10</v>
      </c>
      <c r="Q4" s="16">
        <v>0.05</v>
      </c>
      <c r="R4" s="16">
        <f t="shared" si="12"/>
        <v>105000</v>
      </c>
      <c r="S4" s="16">
        <f t="shared" si="13"/>
        <v>5.3058450282772E-3</v>
      </c>
      <c r="T4" s="16">
        <v>0.11</v>
      </c>
      <c r="U4" s="16">
        <f t="shared" si="14"/>
        <v>111000.00000000001</v>
      </c>
      <c r="V4" s="16">
        <f t="shared" si="1"/>
        <v>1.8870000000000002</v>
      </c>
      <c r="W4" s="2">
        <f t="shared" si="15"/>
        <v>5</v>
      </c>
      <c r="X4" s="2">
        <f t="shared" si="2"/>
        <v>5.5294101529458949E-9</v>
      </c>
      <c r="Y4" s="2">
        <f t="shared" si="16"/>
        <v>104953.25270160059</v>
      </c>
      <c r="Z4" s="2">
        <f t="shared" si="17"/>
        <v>2.7954084421091072E-16</v>
      </c>
      <c r="AA4" s="2">
        <f t="shared" si="18"/>
        <v>168339496.38381043</v>
      </c>
    </row>
    <row r="5" spans="1:27" x14ac:dyDescent="0.25">
      <c r="A5" s="1">
        <v>9</v>
      </c>
      <c r="B5" s="1">
        <f t="shared" si="3"/>
        <v>0.15</v>
      </c>
      <c r="C5" s="1">
        <v>20</v>
      </c>
      <c r="D5" s="1">
        <f t="shared" si="0"/>
        <v>29.146000000000001</v>
      </c>
      <c r="E5" s="1">
        <f t="shared" si="4"/>
        <v>4.8576666666666667E-7</v>
      </c>
      <c r="F5" s="1">
        <v>21.1</v>
      </c>
      <c r="G5" s="1">
        <f t="shared" si="5"/>
        <v>294.10000000000002</v>
      </c>
      <c r="H5" s="1">
        <v>101.3</v>
      </c>
      <c r="I5" s="1">
        <f t="shared" si="6"/>
        <v>101300</v>
      </c>
      <c r="J5" s="1">
        <f t="shared" si="7"/>
        <v>2.0124824921938581E-5</v>
      </c>
      <c r="K5" s="22">
        <v>18.188118811881189</v>
      </c>
      <c r="L5" s="2">
        <f t="shared" si="8"/>
        <v>1.8188118811881191E-5</v>
      </c>
      <c r="M5" s="3">
        <f t="shared" si="9"/>
        <v>4.7762865441819992E-3</v>
      </c>
      <c r="N5" s="29">
        <f t="shared" si="10"/>
        <v>7.6635416104670572E-8</v>
      </c>
      <c r="O5" s="29">
        <f t="shared" si="11"/>
        <v>2.032E-3</v>
      </c>
      <c r="P5" s="29">
        <v>1.5574793265181801E-10</v>
      </c>
      <c r="Q5" s="16">
        <v>0.05</v>
      </c>
      <c r="R5" s="16">
        <f t="shared" si="12"/>
        <v>105000</v>
      </c>
      <c r="S5" s="16">
        <f t="shared" si="13"/>
        <v>5.3058450282772E-3</v>
      </c>
      <c r="T5" s="16">
        <v>0.11</v>
      </c>
      <c r="U5" s="16">
        <f t="shared" si="14"/>
        <v>111000.00000000001</v>
      </c>
      <c r="V5" s="16">
        <f t="shared" si="1"/>
        <v>2.0188811881188125</v>
      </c>
      <c r="W5" s="2">
        <f t="shared" si="15"/>
        <v>5</v>
      </c>
      <c r="X5" s="2">
        <f t="shared" si="2"/>
        <v>1.4152703586155682E-8</v>
      </c>
      <c r="Y5" s="2">
        <f t="shared" si="16"/>
        <v>104880.36955612138</v>
      </c>
      <c r="Z5" s="2">
        <f t="shared" si="17"/>
        <v>7.159919227947261E-16</v>
      </c>
      <c r="AA5" s="2">
        <f t="shared" si="18"/>
        <v>431170335.90698409</v>
      </c>
    </row>
    <row r="6" spans="1:27" x14ac:dyDescent="0.25">
      <c r="A6" s="1">
        <v>12</v>
      </c>
      <c r="B6" s="1">
        <f t="shared" si="3"/>
        <v>0.2</v>
      </c>
      <c r="C6" s="1">
        <v>20</v>
      </c>
      <c r="D6" s="1">
        <f t="shared" si="0"/>
        <v>29.146000000000001</v>
      </c>
      <c r="E6" s="1">
        <f t="shared" si="4"/>
        <v>4.8576666666666667E-7</v>
      </c>
      <c r="F6" s="1">
        <v>21.1</v>
      </c>
      <c r="G6" s="1">
        <f t="shared" si="5"/>
        <v>294.10000000000002</v>
      </c>
      <c r="H6" s="1">
        <v>101.3</v>
      </c>
      <c r="I6" s="1">
        <f t="shared" si="6"/>
        <v>101300</v>
      </c>
      <c r="J6" s="1">
        <f t="shared" si="7"/>
        <v>2.0124824921938581E-5</v>
      </c>
      <c r="K6" s="22">
        <v>14.524752475247524</v>
      </c>
      <c r="L6" s="2">
        <f t="shared" si="8"/>
        <v>1.4524752475247524E-5</v>
      </c>
      <c r="M6" s="3">
        <f t="shared" si="9"/>
        <v>4.7762865441819992E-3</v>
      </c>
      <c r="N6" s="29">
        <f t="shared" si="10"/>
        <v>6.1199866862031408E-8</v>
      </c>
      <c r="O6" s="29">
        <f t="shared" si="11"/>
        <v>2.032E-3</v>
      </c>
      <c r="P6" s="29">
        <v>1.5574793265181801E-10</v>
      </c>
      <c r="Q6" s="16">
        <v>0.05</v>
      </c>
      <c r="R6" s="16">
        <f t="shared" si="12"/>
        <v>105000</v>
      </c>
      <c r="S6" s="16">
        <f t="shared" si="13"/>
        <v>5.3058450282772E-3</v>
      </c>
      <c r="T6" s="16">
        <v>0.11</v>
      </c>
      <c r="U6" s="16">
        <f t="shared" si="14"/>
        <v>111000.00000000001</v>
      </c>
      <c r="V6" s="16">
        <f t="shared" si="1"/>
        <v>1.6122475247524755</v>
      </c>
      <c r="W6" s="2">
        <f t="shared" si="15"/>
        <v>5</v>
      </c>
      <c r="X6" s="2">
        <f t="shared" si="2"/>
        <v>-1.2866620773601031E-8</v>
      </c>
      <c r="Y6" s="2">
        <f t="shared" si="16"/>
        <v>105108.81857576252</v>
      </c>
      <c r="Z6" s="2">
        <f t="shared" si="17"/>
        <v>-6.4951108727164812E-16</v>
      </c>
      <c r="AA6" s="2">
        <f t="shared" si="18"/>
        <v>-391135576.75498652</v>
      </c>
    </row>
    <row r="7" spans="1:27" x14ac:dyDescent="0.25">
      <c r="A7" s="1">
        <v>15</v>
      </c>
      <c r="B7" s="1">
        <f t="shared" si="3"/>
        <v>0.25</v>
      </c>
      <c r="C7" s="1">
        <v>20</v>
      </c>
      <c r="D7" s="1">
        <f t="shared" si="0"/>
        <v>29.146000000000001</v>
      </c>
      <c r="E7" s="1">
        <f t="shared" si="4"/>
        <v>4.8576666666666667E-7</v>
      </c>
      <c r="F7" s="1">
        <v>21.1</v>
      </c>
      <c r="G7" s="1">
        <f t="shared" si="5"/>
        <v>294.10000000000002</v>
      </c>
      <c r="H7" s="1">
        <v>101.3</v>
      </c>
      <c r="I7" s="1">
        <f t="shared" si="6"/>
        <v>101300</v>
      </c>
      <c r="J7" s="1">
        <f t="shared" si="7"/>
        <v>2.0124824921938581E-5</v>
      </c>
      <c r="K7" s="22">
        <v>21.579207920792079</v>
      </c>
      <c r="L7" s="2">
        <f t="shared" si="8"/>
        <v>2.1579207920792079E-5</v>
      </c>
      <c r="M7" s="3">
        <f t="shared" si="9"/>
        <v>4.7762865441819992E-3</v>
      </c>
      <c r="N7" s="29">
        <f t="shared" si="10"/>
        <v>9.0923728579275715E-8</v>
      </c>
      <c r="O7" s="29">
        <f t="shared" si="11"/>
        <v>2.032E-3</v>
      </c>
      <c r="P7" s="29">
        <v>1.5574793265181801E-10</v>
      </c>
      <c r="Q7" s="16">
        <v>0.05</v>
      </c>
      <c r="R7" s="16">
        <f t="shared" si="12"/>
        <v>105000</v>
      </c>
      <c r="S7" s="16">
        <f t="shared" si="13"/>
        <v>5.3058450282772E-3</v>
      </c>
      <c r="T7" s="16">
        <v>0.11</v>
      </c>
      <c r="U7" s="16">
        <f t="shared" si="14"/>
        <v>111000.00000000001</v>
      </c>
      <c r="V7" s="16">
        <f t="shared" si="1"/>
        <v>2.3952920792079211</v>
      </c>
      <c r="W7" s="2">
        <f t="shared" si="15"/>
        <v>5</v>
      </c>
      <c r="X7" s="2">
        <f t="shared" si="2"/>
        <v>3.8159911520154178E-8</v>
      </c>
      <c r="Y7" s="2">
        <f t="shared" si="16"/>
        <v>104677.59656788758</v>
      </c>
      <c r="Z7" s="2">
        <f t="shared" si="17"/>
        <v>1.9342745402057437E-15</v>
      </c>
      <c r="AA7" s="2">
        <f t="shared" si="18"/>
        <v>1164820128.1118989</v>
      </c>
    </row>
    <row r="8" spans="1:27" x14ac:dyDescent="0.25">
      <c r="A8" s="1">
        <v>18</v>
      </c>
      <c r="B8" s="1">
        <f t="shared" si="3"/>
        <v>0.3</v>
      </c>
      <c r="C8" s="1">
        <v>20</v>
      </c>
      <c r="D8" s="1">
        <f t="shared" si="0"/>
        <v>29.146000000000001</v>
      </c>
      <c r="E8" s="1">
        <f t="shared" si="4"/>
        <v>4.8576666666666667E-7</v>
      </c>
      <c r="F8" s="1">
        <v>21.1</v>
      </c>
      <c r="G8" s="1">
        <f t="shared" si="5"/>
        <v>294.10000000000002</v>
      </c>
      <c r="H8" s="1">
        <v>101.3</v>
      </c>
      <c r="I8" s="1">
        <f t="shared" si="6"/>
        <v>101300</v>
      </c>
      <c r="J8" s="1">
        <f t="shared" si="7"/>
        <v>2.0124824921938581E-5</v>
      </c>
      <c r="K8" s="22">
        <v>14.202970297029703</v>
      </c>
      <c r="L8" s="2">
        <f t="shared" si="8"/>
        <v>1.4202970297029703E-5</v>
      </c>
      <c r="M8" s="3">
        <f t="shared" si="9"/>
        <v>4.7762865441819992E-3</v>
      </c>
      <c r="N8" s="29">
        <f t="shared" si="10"/>
        <v>5.984404159071852E-8</v>
      </c>
      <c r="O8" s="29">
        <f t="shared" si="11"/>
        <v>2.032E-3</v>
      </c>
      <c r="P8" s="29">
        <v>1.5574793265181801E-10</v>
      </c>
      <c r="Q8" s="16">
        <v>0.05</v>
      </c>
      <c r="R8" s="16">
        <f t="shared" si="12"/>
        <v>105000</v>
      </c>
      <c r="S8" s="16">
        <f t="shared" si="13"/>
        <v>5.3058450282772E-3</v>
      </c>
      <c r="T8" s="16">
        <v>0.11</v>
      </c>
      <c r="U8" s="16">
        <f t="shared" si="14"/>
        <v>111000.00000000001</v>
      </c>
      <c r="V8" s="16">
        <f t="shared" si="1"/>
        <v>1.5765297029702974</v>
      </c>
      <c r="W8" s="2">
        <f t="shared" si="15"/>
        <v>5</v>
      </c>
      <c r="X8" s="2">
        <f t="shared" si="2"/>
        <v>-1.5306530898500914E-8</v>
      </c>
      <c r="Y8" s="2">
        <f t="shared" si="16"/>
        <v>105129.46030779072</v>
      </c>
      <c r="Z8" s="2">
        <f t="shared" si="17"/>
        <v>-7.725265452828435E-16</v>
      </c>
      <c r="AA8" s="2">
        <f t="shared" si="18"/>
        <v>-465215485.56932837</v>
      </c>
    </row>
    <row r="9" spans="1:27" x14ac:dyDescent="0.25">
      <c r="A9" s="1">
        <v>21</v>
      </c>
      <c r="B9" s="1">
        <f t="shared" si="3"/>
        <v>0.35</v>
      </c>
      <c r="C9" s="1">
        <v>20</v>
      </c>
      <c r="D9" s="1">
        <f t="shared" si="0"/>
        <v>29.146000000000001</v>
      </c>
      <c r="E9" s="1">
        <f t="shared" si="4"/>
        <v>4.8576666666666667E-7</v>
      </c>
      <c r="F9" s="1">
        <v>21.1</v>
      </c>
      <c r="G9" s="1">
        <f t="shared" si="5"/>
        <v>294.10000000000002</v>
      </c>
      <c r="H9" s="1">
        <v>101.3</v>
      </c>
      <c r="I9" s="1">
        <f t="shared" si="6"/>
        <v>101300</v>
      </c>
      <c r="J9" s="1">
        <f t="shared" si="7"/>
        <v>2.0124824921938581E-5</v>
      </c>
      <c r="K9" s="22">
        <v>26.282178217821784</v>
      </c>
      <c r="L9" s="2">
        <f t="shared" si="8"/>
        <v>2.6282178217821784E-5</v>
      </c>
      <c r="M9" s="3">
        <f t="shared" si="9"/>
        <v>4.7762865441819992E-3</v>
      </c>
      <c r="N9" s="29">
        <f t="shared" si="10"/>
        <v>1.1073963639077191E-7</v>
      </c>
      <c r="O9" s="29">
        <f t="shared" si="11"/>
        <v>2.032E-3</v>
      </c>
      <c r="P9" s="29">
        <v>1.5574793265181801E-10</v>
      </c>
      <c r="Q9" s="16">
        <v>0.05</v>
      </c>
      <c r="R9" s="16">
        <f t="shared" si="12"/>
        <v>105000</v>
      </c>
      <c r="S9" s="16">
        <f t="shared" si="13"/>
        <v>5.3058450282772E-3</v>
      </c>
      <c r="T9" s="16">
        <v>0.11</v>
      </c>
      <c r="U9" s="16">
        <f t="shared" si="14"/>
        <v>111000.00000000001</v>
      </c>
      <c r="V9" s="16">
        <f t="shared" si="1"/>
        <v>2.9173217821782185</v>
      </c>
      <c r="W9" s="2">
        <f t="shared" si="15"/>
        <v>5</v>
      </c>
      <c r="X9" s="2">
        <f t="shared" si="2"/>
        <v>7.0265787322147842E-8</v>
      </c>
      <c r="Y9" s="2">
        <f t="shared" si="16"/>
        <v>104406.72615099164</v>
      </c>
      <c r="Z9" s="2">
        <f t="shared" si="17"/>
        <v>3.5709365635413112E-15</v>
      </c>
      <c r="AA9" s="2">
        <f t="shared" si="18"/>
        <v>2150417998.5645776</v>
      </c>
    </row>
    <row r="10" spans="1:27" x14ac:dyDescent="0.25">
      <c r="A10" s="1">
        <v>24</v>
      </c>
      <c r="B10" s="1">
        <f t="shared" si="3"/>
        <v>0.4</v>
      </c>
      <c r="C10" s="1">
        <v>20</v>
      </c>
      <c r="D10" s="1">
        <f t="shared" si="0"/>
        <v>29.146000000000001</v>
      </c>
      <c r="E10" s="1">
        <f t="shared" si="4"/>
        <v>4.8576666666666667E-7</v>
      </c>
      <c r="F10" s="1">
        <v>21.1</v>
      </c>
      <c r="G10" s="1">
        <f t="shared" si="5"/>
        <v>294.10000000000002</v>
      </c>
      <c r="H10" s="1">
        <v>101.3</v>
      </c>
      <c r="I10" s="1">
        <f t="shared" si="6"/>
        <v>101300</v>
      </c>
      <c r="J10" s="1">
        <f t="shared" si="7"/>
        <v>2.0124824921938581E-5</v>
      </c>
      <c r="K10" s="22">
        <v>28.955445544554454</v>
      </c>
      <c r="L10" s="2">
        <f t="shared" si="8"/>
        <v>2.8955445544554453E-5</v>
      </c>
      <c r="M10" s="3">
        <f t="shared" si="9"/>
        <v>4.7762865441819992E-3</v>
      </c>
      <c r="N10" s="29">
        <f t="shared" si="10"/>
        <v>1.220034155678329E-7</v>
      </c>
      <c r="O10" s="29">
        <f t="shared" si="11"/>
        <v>2.032E-3</v>
      </c>
      <c r="P10" s="29">
        <v>1.5574793265181801E-10</v>
      </c>
      <c r="Q10" s="16">
        <v>0.05</v>
      </c>
      <c r="R10" s="16">
        <f t="shared" si="12"/>
        <v>105000</v>
      </c>
      <c r="S10" s="16">
        <f t="shared" si="13"/>
        <v>5.3058450282772E-3</v>
      </c>
      <c r="T10" s="16">
        <v>0.11</v>
      </c>
      <c r="U10" s="16">
        <f t="shared" si="14"/>
        <v>111000.00000000001</v>
      </c>
      <c r="V10" s="16">
        <f t="shared" si="1"/>
        <v>3.2140544554455448</v>
      </c>
      <c r="W10" s="2">
        <f t="shared" si="15"/>
        <v>5</v>
      </c>
      <c r="X10" s="2">
        <f t="shared" si="2"/>
        <v>8.8026332652313715E-8</v>
      </c>
      <c r="Y10" s="2">
        <f t="shared" si="16"/>
        <v>104257.03497685029</v>
      </c>
      <c r="Z10" s="2">
        <f t="shared" si="17"/>
        <v>4.4799708569762874E-15</v>
      </c>
      <c r="AA10" s="2">
        <f t="shared" si="18"/>
        <v>2697838450.0711203</v>
      </c>
    </row>
    <row r="11" spans="1:27" x14ac:dyDescent="0.25">
      <c r="A11" s="1">
        <v>27</v>
      </c>
      <c r="B11" s="1">
        <f t="shared" si="3"/>
        <v>0.45</v>
      </c>
      <c r="C11" s="1">
        <v>20</v>
      </c>
      <c r="D11" s="1">
        <f t="shared" si="0"/>
        <v>29.146000000000001</v>
      </c>
      <c r="E11" s="1">
        <f t="shared" si="4"/>
        <v>4.8576666666666667E-7</v>
      </c>
      <c r="F11" s="1">
        <v>21.1</v>
      </c>
      <c r="G11" s="1">
        <f t="shared" si="5"/>
        <v>294.10000000000002</v>
      </c>
      <c r="H11" s="1">
        <v>101.3</v>
      </c>
      <c r="I11" s="1">
        <f t="shared" si="6"/>
        <v>101300</v>
      </c>
      <c r="J11" s="1">
        <f t="shared" si="7"/>
        <v>2.0124824921938581E-5</v>
      </c>
      <c r="K11" s="22">
        <v>51.430693069306926</v>
      </c>
      <c r="L11" s="2">
        <f t="shared" si="8"/>
        <v>5.1430693069306929E-5</v>
      </c>
      <c r="M11" s="3">
        <f t="shared" si="9"/>
        <v>4.7762865441819992E-3</v>
      </c>
      <c r="N11" s="29">
        <f t="shared" si="10"/>
        <v>2.1670259605645686E-7</v>
      </c>
      <c r="O11" s="29">
        <f t="shared" si="11"/>
        <v>2.032E-3</v>
      </c>
      <c r="P11" s="29">
        <v>1.5574793265181801E-10</v>
      </c>
      <c r="Q11" s="16">
        <v>0.05</v>
      </c>
      <c r="R11" s="16">
        <f t="shared" si="12"/>
        <v>105000</v>
      </c>
      <c r="S11" s="16">
        <f t="shared" si="13"/>
        <v>5.3058450282772E-3</v>
      </c>
      <c r="T11" s="16">
        <v>0.11</v>
      </c>
      <c r="U11" s="16">
        <f t="shared" si="14"/>
        <v>111000.00000000001</v>
      </c>
      <c r="V11" s="16">
        <f t="shared" si="1"/>
        <v>5.7088069306930702</v>
      </c>
      <c r="W11" s="2">
        <f t="shared" si="15"/>
        <v>5</v>
      </c>
      <c r="X11" s="2">
        <f t="shared" si="2"/>
        <v>2.2844830467128237E-7</v>
      </c>
      <c r="Y11" s="2">
        <f t="shared" si="16"/>
        <v>103077.2976181074</v>
      </c>
      <c r="Z11" s="2">
        <f t="shared" si="17"/>
        <v>1.1759897325139919E-14</v>
      </c>
      <c r="AA11" s="2">
        <f t="shared" si="18"/>
        <v>7081810169.1992598</v>
      </c>
    </row>
    <row r="12" spans="1:27" x14ac:dyDescent="0.25">
      <c r="A12" s="1">
        <v>30</v>
      </c>
      <c r="B12" s="1">
        <f t="shared" si="3"/>
        <v>0.5</v>
      </c>
      <c r="C12" s="1">
        <v>20</v>
      </c>
      <c r="D12" s="1">
        <f t="shared" si="0"/>
        <v>29.146000000000001</v>
      </c>
      <c r="E12" s="1">
        <f t="shared" si="4"/>
        <v>4.8576666666666667E-7</v>
      </c>
      <c r="F12" s="1">
        <v>21.1</v>
      </c>
      <c r="G12" s="1">
        <f t="shared" si="5"/>
        <v>294.10000000000002</v>
      </c>
      <c r="H12" s="1">
        <v>101.3</v>
      </c>
      <c r="I12" s="1">
        <f t="shared" si="6"/>
        <v>101300</v>
      </c>
      <c r="J12" s="1">
        <f t="shared" si="7"/>
        <v>2.0124824921938581E-5</v>
      </c>
      <c r="K12" s="22">
        <v>61.554455445544562</v>
      </c>
      <c r="L12" s="2">
        <f t="shared" si="8"/>
        <v>6.155445544554456E-5</v>
      </c>
      <c r="M12" s="3">
        <f t="shared" si="9"/>
        <v>4.7762865441819992E-3</v>
      </c>
      <c r="N12" s="29">
        <f t="shared" si="10"/>
        <v>2.5935894497699342E-7</v>
      </c>
      <c r="O12" s="29">
        <f t="shared" si="11"/>
        <v>2.032E-3</v>
      </c>
      <c r="P12" s="29">
        <v>1.5574793265181801E-10</v>
      </c>
      <c r="Q12" s="16">
        <v>0.05</v>
      </c>
      <c r="R12" s="16">
        <f t="shared" si="12"/>
        <v>105000</v>
      </c>
      <c r="S12" s="16">
        <f t="shared" si="13"/>
        <v>5.3058450282772E-3</v>
      </c>
      <c r="T12" s="16">
        <v>0.11</v>
      </c>
      <c r="U12" s="16">
        <f t="shared" si="14"/>
        <v>111000.00000000001</v>
      </c>
      <c r="V12" s="16">
        <f t="shared" si="1"/>
        <v>6.8325445544554473</v>
      </c>
      <c r="W12" s="2">
        <f t="shared" si="15"/>
        <v>5</v>
      </c>
      <c r="X12" s="2">
        <f t="shared" si="2"/>
        <v>2.88319910479197E-7</v>
      </c>
      <c r="Y12" s="2">
        <f t="shared" si="16"/>
        <v>102576.33515241342</v>
      </c>
      <c r="Z12" s="2">
        <f t="shared" si="17"/>
        <v>1.4914577185949635E-14</v>
      </c>
      <c r="AA12" s="2">
        <f t="shared" si="18"/>
        <v>8981558381.37887</v>
      </c>
    </row>
    <row r="13" spans="1:27" x14ac:dyDescent="0.25">
      <c r="A13" s="1">
        <v>33</v>
      </c>
      <c r="B13" s="1">
        <f t="shared" si="3"/>
        <v>0.55000000000000004</v>
      </c>
      <c r="C13" s="1">
        <v>20</v>
      </c>
      <c r="D13" s="1">
        <f t="shared" si="0"/>
        <v>29.146000000000001</v>
      </c>
      <c r="E13" s="1">
        <f t="shared" si="4"/>
        <v>4.8576666666666667E-7</v>
      </c>
      <c r="F13" s="1">
        <v>21.1</v>
      </c>
      <c r="G13" s="1">
        <f t="shared" si="5"/>
        <v>294.10000000000002</v>
      </c>
      <c r="H13" s="1">
        <v>101.3</v>
      </c>
      <c r="I13" s="1">
        <f t="shared" si="6"/>
        <v>101300</v>
      </c>
      <c r="J13" s="1">
        <f t="shared" si="7"/>
        <v>2.0124824921938581E-5</v>
      </c>
      <c r="K13" s="22">
        <v>77.693069306930695</v>
      </c>
      <c r="L13" s="2">
        <f t="shared" si="8"/>
        <v>7.7693069306930695E-5</v>
      </c>
      <c r="M13" s="3">
        <f t="shared" si="9"/>
        <v>4.7762865441819992E-3</v>
      </c>
      <c r="N13" s="29">
        <f t="shared" si="10"/>
        <v>3.273587970459172E-7</v>
      </c>
      <c r="O13" s="29">
        <f t="shared" si="11"/>
        <v>2.032E-3</v>
      </c>
      <c r="P13" s="29">
        <v>1.5574793265181801E-10</v>
      </c>
      <c r="Q13" s="16">
        <v>0.05</v>
      </c>
      <c r="R13" s="16">
        <f t="shared" si="12"/>
        <v>105000</v>
      </c>
      <c r="S13" s="16">
        <f t="shared" si="13"/>
        <v>5.3058450282772E-3</v>
      </c>
      <c r="T13" s="16">
        <v>0.11</v>
      </c>
      <c r="U13" s="16">
        <f t="shared" si="14"/>
        <v>111000.00000000001</v>
      </c>
      <c r="V13" s="16">
        <f t="shared" si="1"/>
        <v>8.6239306930693083</v>
      </c>
      <c r="W13" s="2">
        <f t="shared" si="15"/>
        <v>5</v>
      </c>
      <c r="X13" s="2">
        <f t="shared" si="2"/>
        <v>3.8105695892635777E-7</v>
      </c>
      <c r="Y13" s="2">
        <f t="shared" si="16"/>
        <v>101802.78733053619</v>
      </c>
      <c r="Z13" s="2">
        <f t="shared" si="17"/>
        <v>1.9861936121702635E-14</v>
      </c>
      <c r="AA13" s="2">
        <f t="shared" si="18"/>
        <v>11960857932.489326</v>
      </c>
    </row>
    <row r="14" spans="1:27" x14ac:dyDescent="0.25">
      <c r="A14" s="1">
        <v>36</v>
      </c>
      <c r="B14" s="1">
        <f t="shared" si="3"/>
        <v>0.6</v>
      </c>
      <c r="C14" s="1">
        <v>20</v>
      </c>
      <c r="D14" s="1">
        <f t="shared" si="0"/>
        <v>29.146000000000001</v>
      </c>
      <c r="E14" s="1">
        <f t="shared" si="4"/>
        <v>4.8576666666666667E-7</v>
      </c>
      <c r="F14" s="1">
        <v>21.1</v>
      </c>
      <c r="G14" s="1">
        <f t="shared" si="5"/>
        <v>294.10000000000002</v>
      </c>
      <c r="H14" s="1">
        <v>101.3</v>
      </c>
      <c r="I14" s="1">
        <f t="shared" si="6"/>
        <v>101300</v>
      </c>
      <c r="J14" s="1">
        <f t="shared" si="7"/>
        <v>2.0124824921938581E-5</v>
      </c>
      <c r="K14" s="22">
        <v>85.836633663366342</v>
      </c>
      <c r="L14" s="2">
        <f t="shared" si="8"/>
        <v>8.5836633663366336E-5</v>
      </c>
      <c r="M14" s="3">
        <f t="shared" si="9"/>
        <v>4.7762865441819992E-3</v>
      </c>
      <c r="N14" s="29">
        <f t="shared" si="10"/>
        <v>3.6167160583529745E-7</v>
      </c>
      <c r="O14" s="29">
        <f t="shared" si="11"/>
        <v>2.032E-3</v>
      </c>
      <c r="P14" s="29">
        <v>1.5574793265181801E-10</v>
      </c>
      <c r="Q14" s="16">
        <v>0.05</v>
      </c>
      <c r="R14" s="16">
        <f t="shared" si="12"/>
        <v>105000</v>
      </c>
      <c r="S14" s="16">
        <f t="shared" si="13"/>
        <v>5.3058450282772E-3</v>
      </c>
      <c r="T14" s="16">
        <v>0.11</v>
      </c>
      <c r="U14" s="16">
        <f t="shared" si="14"/>
        <v>111000.00000000001</v>
      </c>
      <c r="V14" s="16">
        <f t="shared" si="1"/>
        <v>9.5278663366336644</v>
      </c>
      <c r="W14" s="2">
        <f t="shared" si="15"/>
        <v>5</v>
      </c>
      <c r="X14" s="2">
        <f t="shared" si="2"/>
        <v>4.2687236828972362E-7</v>
      </c>
      <c r="Y14" s="2">
        <f t="shared" si="16"/>
        <v>101421.70762785317</v>
      </c>
      <c r="Z14" s="2">
        <f t="shared" si="17"/>
        <v>2.2333793024912631E-14</v>
      </c>
      <c r="AA14" s="2">
        <f t="shared" si="18"/>
        <v>13449410159.602386</v>
      </c>
    </row>
    <row r="15" spans="1:27" x14ac:dyDescent="0.25">
      <c r="A15" s="1">
        <v>39</v>
      </c>
      <c r="B15" s="1">
        <f t="shared" si="3"/>
        <v>0.65</v>
      </c>
      <c r="C15" s="1">
        <v>20</v>
      </c>
      <c r="D15" s="1">
        <f t="shared" si="0"/>
        <v>29.146000000000001</v>
      </c>
      <c r="E15" s="1">
        <f t="shared" si="4"/>
        <v>4.8576666666666667E-7</v>
      </c>
      <c r="F15" s="1">
        <v>21.1</v>
      </c>
      <c r="G15" s="1">
        <f t="shared" si="5"/>
        <v>294.10000000000002</v>
      </c>
      <c r="H15" s="1">
        <v>101.3</v>
      </c>
      <c r="I15" s="1">
        <f t="shared" si="6"/>
        <v>101300</v>
      </c>
      <c r="J15" s="1">
        <f t="shared" si="7"/>
        <v>2.0124824921938581E-5</v>
      </c>
      <c r="K15" s="22">
        <v>93.287128712871294</v>
      </c>
      <c r="L15" s="2">
        <f t="shared" si="8"/>
        <v>9.3287128712871297E-5</v>
      </c>
      <c r="M15" s="3">
        <f t="shared" si="9"/>
        <v>4.7762865441819992E-3</v>
      </c>
      <c r="N15" s="29">
        <f t="shared" si="10"/>
        <v>3.9306417557877301E-7</v>
      </c>
      <c r="O15" s="29">
        <f t="shared" si="11"/>
        <v>2.032E-3</v>
      </c>
      <c r="P15" s="29">
        <v>1.5574793265181801E-10</v>
      </c>
      <c r="Q15" s="16">
        <v>0.05</v>
      </c>
      <c r="R15" s="16">
        <f t="shared" si="12"/>
        <v>105000</v>
      </c>
      <c r="S15" s="16">
        <f t="shared" si="13"/>
        <v>5.3058450282772E-3</v>
      </c>
      <c r="T15" s="16">
        <v>0.11</v>
      </c>
      <c r="U15" s="16">
        <f t="shared" si="14"/>
        <v>111000.00000000001</v>
      </c>
      <c r="V15" s="16">
        <f t="shared" si="1"/>
        <v>10.354871287128715</v>
      </c>
      <c r="W15" s="2">
        <f t="shared" si="15"/>
        <v>5</v>
      </c>
      <c r="X15" s="2">
        <f t="shared" si="2"/>
        <v>4.6831913962404761E-7</v>
      </c>
      <c r="Y15" s="2">
        <f t="shared" si="16"/>
        <v>101077.58065861484</v>
      </c>
      <c r="Z15" s="2">
        <f t="shared" si="17"/>
        <v>2.4585900713749172E-14</v>
      </c>
      <c r="AA15" s="2">
        <f t="shared" si="18"/>
        <v>14805629409.819752</v>
      </c>
    </row>
    <row r="16" spans="1:27" x14ac:dyDescent="0.25">
      <c r="A16" s="1">
        <v>42</v>
      </c>
      <c r="B16" s="1">
        <f t="shared" si="3"/>
        <v>0.7</v>
      </c>
      <c r="C16" s="1">
        <v>20</v>
      </c>
      <c r="D16" s="1">
        <f t="shared" si="0"/>
        <v>29.146000000000001</v>
      </c>
      <c r="E16" s="1">
        <f t="shared" si="4"/>
        <v>4.8576666666666667E-7</v>
      </c>
      <c r="F16" s="1">
        <v>21.1</v>
      </c>
      <c r="G16" s="1">
        <f t="shared" si="5"/>
        <v>294.10000000000002</v>
      </c>
      <c r="H16" s="1">
        <v>101.3</v>
      </c>
      <c r="I16" s="1">
        <f t="shared" si="6"/>
        <v>101300</v>
      </c>
      <c r="J16" s="1">
        <f t="shared" si="7"/>
        <v>2.0124824921938581E-5</v>
      </c>
      <c r="K16" s="22">
        <v>94.227722772277232</v>
      </c>
      <c r="L16" s="2">
        <f t="shared" si="8"/>
        <v>9.4227722772277227E-5</v>
      </c>
      <c r="M16" s="3">
        <f t="shared" si="9"/>
        <v>4.7762865441819992E-3</v>
      </c>
      <c r="N16" s="29">
        <f t="shared" si="10"/>
        <v>3.9702735714107222E-7</v>
      </c>
      <c r="O16" s="29">
        <f t="shared" si="11"/>
        <v>2.032E-3</v>
      </c>
      <c r="P16" s="29">
        <v>1.5574793265181801E-10</v>
      </c>
      <c r="Q16" s="16">
        <v>0.05</v>
      </c>
      <c r="R16" s="16">
        <f t="shared" si="12"/>
        <v>105000</v>
      </c>
      <c r="S16" s="16">
        <f t="shared" si="13"/>
        <v>5.3058450282772E-3</v>
      </c>
      <c r="T16" s="16">
        <v>0.11</v>
      </c>
      <c r="U16" s="16">
        <f t="shared" si="14"/>
        <v>111000.00000000001</v>
      </c>
      <c r="V16" s="16">
        <f t="shared" si="1"/>
        <v>10.459277227722774</v>
      </c>
      <c r="W16" s="2">
        <f t="shared" si="15"/>
        <v>5</v>
      </c>
      <c r="X16" s="2">
        <f t="shared" si="2"/>
        <v>4.7352263288771492E-7</v>
      </c>
      <c r="Y16" s="2">
        <f t="shared" si="16"/>
        <v>101034.41807293847</v>
      </c>
      <c r="Z16" s="2">
        <f t="shared" si="17"/>
        <v>2.4869721375348484E-14</v>
      </c>
      <c r="AA16" s="2">
        <f t="shared" si="18"/>
        <v>14976546212.234858</v>
      </c>
    </row>
    <row r="17" spans="1:74" s="4" customFormat="1" x14ac:dyDescent="0.25">
      <c r="A17" s="1">
        <v>45</v>
      </c>
      <c r="B17" s="1">
        <f t="shared" si="3"/>
        <v>0.75</v>
      </c>
      <c r="C17" s="1">
        <v>20</v>
      </c>
      <c r="D17" s="1">
        <f t="shared" si="0"/>
        <v>29.146000000000001</v>
      </c>
      <c r="E17" s="1">
        <f t="shared" si="4"/>
        <v>4.8576666666666667E-7</v>
      </c>
      <c r="F17" s="1">
        <v>21.1</v>
      </c>
      <c r="G17" s="1">
        <f t="shared" si="5"/>
        <v>294.10000000000002</v>
      </c>
      <c r="H17" s="1">
        <v>101.3</v>
      </c>
      <c r="I17" s="1">
        <f t="shared" si="6"/>
        <v>101300</v>
      </c>
      <c r="J17" s="1">
        <f t="shared" si="7"/>
        <v>2.0124824921938581E-5</v>
      </c>
      <c r="K17" s="22">
        <v>108.50990099009904</v>
      </c>
      <c r="L17" s="2">
        <f t="shared" si="8"/>
        <v>1.0850990099009904E-4</v>
      </c>
      <c r="M17" s="3">
        <f t="shared" si="9"/>
        <v>4.7762865441819992E-3</v>
      </c>
      <c r="N17" s="29">
        <f t="shared" si="10"/>
        <v>4.5720514033703716E-7</v>
      </c>
      <c r="O17" s="29">
        <f t="shared" si="11"/>
        <v>2.032E-3</v>
      </c>
      <c r="P17" s="29">
        <v>1.5574793265181801E-10</v>
      </c>
      <c r="Q17" s="16">
        <v>0.05</v>
      </c>
      <c r="R17" s="16">
        <f t="shared" si="12"/>
        <v>105000</v>
      </c>
      <c r="S17" s="16">
        <f t="shared" si="13"/>
        <v>5.3058450282772E-3</v>
      </c>
      <c r="T17" s="16">
        <v>0.11</v>
      </c>
      <c r="U17" s="16">
        <f t="shared" si="14"/>
        <v>111000.00000000001</v>
      </c>
      <c r="V17" s="16">
        <f t="shared" si="1"/>
        <v>12.044599009900995</v>
      </c>
      <c r="W17" s="2">
        <f t="shared" si="15"/>
        <v>5</v>
      </c>
      <c r="X17" s="2">
        <f t="shared" si="2"/>
        <v>5.5182392408911159E-7</v>
      </c>
      <c r="Y17" s="2">
        <f t="shared" si="16"/>
        <v>100386.02771441378</v>
      </c>
      <c r="Z17" s="2">
        <f t="shared" si="17"/>
        <v>2.9169831994674516E-14</v>
      </c>
      <c r="AA17" s="2">
        <f t="shared" si="18"/>
        <v>17566072827.192993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1">
        <v>48</v>
      </c>
      <c r="B18" s="1">
        <f t="shared" si="3"/>
        <v>0.8</v>
      </c>
      <c r="C18" s="1">
        <v>20</v>
      </c>
      <c r="D18" s="1">
        <f t="shared" si="0"/>
        <v>29.146000000000001</v>
      </c>
      <c r="E18" s="1">
        <f t="shared" si="4"/>
        <v>4.8576666666666667E-7</v>
      </c>
      <c r="F18" s="1">
        <v>21.1</v>
      </c>
      <c r="G18" s="1">
        <f t="shared" si="5"/>
        <v>294.10000000000002</v>
      </c>
      <c r="H18" s="1">
        <v>101.3</v>
      </c>
      <c r="I18" s="1">
        <f t="shared" si="6"/>
        <v>101300</v>
      </c>
      <c r="J18" s="1">
        <f t="shared" si="7"/>
        <v>2.0124824921938581E-5</v>
      </c>
      <c r="K18" s="22">
        <v>102.24752475247527</v>
      </c>
      <c r="L18" s="2">
        <f t="shared" si="8"/>
        <v>1.0224752475247528E-4</v>
      </c>
      <c r="M18" s="3">
        <f t="shared" si="9"/>
        <v>4.7762865441819992E-3</v>
      </c>
      <c r="N18" s="29">
        <f t="shared" si="10"/>
        <v>4.3081869467225534E-7</v>
      </c>
      <c r="O18" s="29">
        <f t="shared" si="11"/>
        <v>2.032E-3</v>
      </c>
      <c r="P18" s="29">
        <v>1.5574793265181801E-10</v>
      </c>
      <c r="Q18" s="16">
        <v>0.05</v>
      </c>
      <c r="R18" s="16">
        <f t="shared" si="12"/>
        <v>105000</v>
      </c>
      <c r="S18" s="16">
        <f t="shared" si="13"/>
        <v>5.3058450282772E-3</v>
      </c>
      <c r="T18" s="16">
        <v>0.11</v>
      </c>
      <c r="U18" s="16">
        <f t="shared" si="14"/>
        <v>111000.00000000001</v>
      </c>
      <c r="V18" s="16">
        <f t="shared" si="1"/>
        <v>11.349475247524758</v>
      </c>
      <c r="W18" s="2">
        <f t="shared" si="15"/>
        <v>5</v>
      </c>
      <c r="X18" s="2">
        <f t="shared" si="2"/>
        <v>5.1764741958709483E-7</v>
      </c>
      <c r="Y18" s="2">
        <f t="shared" si="16"/>
        <v>100668.77677662714</v>
      </c>
      <c r="Z18" s="2">
        <f t="shared" si="17"/>
        <v>2.7286183059231279E-14</v>
      </c>
      <c r="AA18" s="2">
        <f t="shared" si="18"/>
        <v>16431739438.269077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1">
        <v>51</v>
      </c>
      <c r="B19" s="1">
        <f t="shared" si="3"/>
        <v>0.85</v>
      </c>
      <c r="C19" s="1">
        <v>20</v>
      </c>
      <c r="D19" s="1">
        <f t="shared" si="0"/>
        <v>29.146000000000001</v>
      </c>
      <c r="E19" s="1">
        <f t="shared" si="4"/>
        <v>4.8576666666666667E-7</v>
      </c>
      <c r="F19" s="1">
        <v>21.1</v>
      </c>
      <c r="G19" s="1">
        <f t="shared" si="5"/>
        <v>294.10000000000002</v>
      </c>
      <c r="H19" s="1">
        <v>101.3</v>
      </c>
      <c r="I19" s="1">
        <f t="shared" si="6"/>
        <v>101300</v>
      </c>
      <c r="J19" s="1">
        <f t="shared" si="7"/>
        <v>2.0124824921938581E-5</v>
      </c>
      <c r="K19" s="22">
        <v>107.8910891089109</v>
      </c>
      <c r="L19" s="2">
        <f t="shared" si="8"/>
        <v>1.078910891089109E-4</v>
      </c>
      <c r="M19" s="3">
        <f t="shared" si="9"/>
        <v>4.7762865441819992E-3</v>
      </c>
      <c r="N19" s="29">
        <f t="shared" si="10"/>
        <v>4.5459778404605066E-7</v>
      </c>
      <c r="O19" s="29">
        <f t="shared" si="11"/>
        <v>2.032E-3</v>
      </c>
      <c r="P19" s="29">
        <v>1.5574793265181801E-10</v>
      </c>
      <c r="Q19" s="16">
        <v>0.05</v>
      </c>
      <c r="R19" s="16">
        <f t="shared" si="12"/>
        <v>105000</v>
      </c>
      <c r="S19" s="16">
        <f t="shared" si="13"/>
        <v>5.3058450282772E-3</v>
      </c>
      <c r="T19" s="16">
        <v>0.11</v>
      </c>
      <c r="U19" s="16">
        <f t="shared" si="14"/>
        <v>111000.00000000001</v>
      </c>
      <c r="V19" s="16">
        <f t="shared" si="1"/>
        <v>11.975910891089111</v>
      </c>
      <c r="W19" s="2">
        <f t="shared" si="15"/>
        <v>5</v>
      </c>
      <c r="X19" s="2">
        <f t="shared" si="2"/>
        <v>5.4845698600841363E-7</v>
      </c>
      <c r="Y19" s="2">
        <f t="shared" si="16"/>
        <v>100413.86540978271</v>
      </c>
      <c r="Z19" s="2">
        <f t="shared" si="17"/>
        <v>2.898379489629789E-14</v>
      </c>
      <c r="AA19" s="2">
        <f t="shared" si="18"/>
        <v>17454041286.550591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1">
        <v>54</v>
      </c>
      <c r="B20" s="1">
        <f t="shared" si="3"/>
        <v>0.9</v>
      </c>
      <c r="C20" s="1">
        <v>20</v>
      </c>
      <c r="D20" s="1">
        <f t="shared" si="0"/>
        <v>29.146000000000001</v>
      </c>
      <c r="E20" s="1">
        <f t="shared" si="4"/>
        <v>4.8576666666666667E-7</v>
      </c>
      <c r="F20" s="1">
        <v>21.1</v>
      </c>
      <c r="G20" s="1">
        <f t="shared" si="5"/>
        <v>294.10000000000002</v>
      </c>
      <c r="H20" s="1">
        <v>101.3</v>
      </c>
      <c r="I20" s="1">
        <f t="shared" si="6"/>
        <v>101300</v>
      </c>
      <c r="J20" s="1">
        <f t="shared" si="7"/>
        <v>2.0124824921938581E-5</v>
      </c>
      <c r="K20" s="22">
        <v>121.85148514851487</v>
      </c>
      <c r="L20" s="2">
        <f t="shared" si="8"/>
        <v>1.2185148514851486E-4</v>
      </c>
      <c r="M20" s="3">
        <f t="shared" si="9"/>
        <v>4.7762865441819992E-3</v>
      </c>
      <c r="N20" s="29">
        <f t="shared" si="10"/>
        <v>5.1341974197070258E-7</v>
      </c>
      <c r="O20" s="29">
        <f t="shared" si="11"/>
        <v>2.032E-3</v>
      </c>
      <c r="P20" s="29">
        <v>1.5574793265181801E-10</v>
      </c>
      <c r="Q20" s="16">
        <v>0.05</v>
      </c>
      <c r="R20" s="16">
        <f t="shared" si="12"/>
        <v>105000</v>
      </c>
      <c r="S20" s="16">
        <f t="shared" si="13"/>
        <v>5.3058450282772E-3</v>
      </c>
      <c r="T20" s="16">
        <v>0.11</v>
      </c>
      <c r="U20" s="16">
        <f t="shared" si="14"/>
        <v>111000.00000000001</v>
      </c>
      <c r="V20" s="16">
        <f t="shared" si="1"/>
        <v>13.525514851485152</v>
      </c>
      <c r="W20" s="2">
        <f t="shared" si="15"/>
        <v>5</v>
      </c>
      <c r="X20" s="2">
        <f t="shared" si="2"/>
        <v>6.2391777469676905E-7</v>
      </c>
      <c r="Y20" s="2">
        <f t="shared" si="16"/>
        <v>99790.884965527846</v>
      </c>
      <c r="Z20" s="2">
        <f t="shared" si="17"/>
        <v>3.3177977861451471E-14</v>
      </c>
      <c r="AA20" s="2">
        <f t="shared" si="18"/>
        <v>19979778268.166077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1">
        <v>57</v>
      </c>
      <c r="B21" s="1">
        <f t="shared" si="3"/>
        <v>0.95</v>
      </c>
      <c r="C21" s="1">
        <v>20</v>
      </c>
      <c r="D21" s="1">
        <f t="shared" si="0"/>
        <v>29.146000000000001</v>
      </c>
      <c r="E21" s="1">
        <f t="shared" si="4"/>
        <v>4.8576666666666667E-7</v>
      </c>
      <c r="F21" s="1">
        <v>21.1</v>
      </c>
      <c r="G21" s="1">
        <f t="shared" si="5"/>
        <v>294.10000000000002</v>
      </c>
      <c r="H21" s="1">
        <v>101.3</v>
      </c>
      <c r="I21" s="1">
        <f t="shared" si="6"/>
        <v>101300</v>
      </c>
      <c r="J21" s="1">
        <f t="shared" si="7"/>
        <v>2.0124824921938581E-5</v>
      </c>
      <c r="K21" s="22">
        <v>116.20792079207924</v>
      </c>
      <c r="L21" s="2">
        <f t="shared" si="8"/>
        <v>1.1620792079207923E-4</v>
      </c>
      <c r="M21" s="3">
        <f t="shared" si="9"/>
        <v>4.7762865441819992E-3</v>
      </c>
      <c r="N21" s="29">
        <f t="shared" si="10"/>
        <v>4.8964065259690721E-7</v>
      </c>
      <c r="O21" s="29">
        <f t="shared" si="11"/>
        <v>2.032E-3</v>
      </c>
      <c r="P21" s="29">
        <v>1.5574793265181801E-10</v>
      </c>
      <c r="Q21" s="16">
        <v>0.05</v>
      </c>
      <c r="R21" s="16">
        <f t="shared" si="12"/>
        <v>105000</v>
      </c>
      <c r="S21" s="16">
        <f t="shared" si="13"/>
        <v>5.3058450282772E-3</v>
      </c>
      <c r="T21" s="16">
        <v>0.11</v>
      </c>
      <c r="U21" s="16">
        <f t="shared" si="14"/>
        <v>111000.00000000001</v>
      </c>
      <c r="V21" s="16">
        <f t="shared" si="1"/>
        <v>12.899079207920796</v>
      </c>
      <c r="W21" s="2">
        <f t="shared" si="15"/>
        <v>5</v>
      </c>
      <c r="X21" s="2">
        <f t="shared" si="2"/>
        <v>5.9353347876552997E-7</v>
      </c>
      <c r="Y21" s="2">
        <f t="shared" si="16"/>
        <v>100041.49498660449</v>
      </c>
      <c r="Z21" s="2">
        <f t="shared" si="17"/>
        <v>3.14829637350862E-14</v>
      </c>
      <c r="AA21" s="2">
        <f t="shared" si="18"/>
        <v>18959040761.268909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1">
        <v>60</v>
      </c>
      <c r="B22" s="1">
        <f t="shared" si="3"/>
        <v>1</v>
      </c>
      <c r="C22" s="1">
        <v>20</v>
      </c>
      <c r="D22" s="1">
        <f t="shared" si="0"/>
        <v>29.146000000000001</v>
      </c>
      <c r="E22" s="1">
        <f t="shared" si="4"/>
        <v>4.8576666666666667E-7</v>
      </c>
      <c r="F22" s="1">
        <v>21.1</v>
      </c>
      <c r="G22" s="1">
        <f t="shared" si="5"/>
        <v>294.10000000000002</v>
      </c>
      <c r="H22" s="1">
        <v>101.3</v>
      </c>
      <c r="I22" s="1">
        <f t="shared" si="6"/>
        <v>101300</v>
      </c>
      <c r="J22" s="1">
        <f t="shared" si="7"/>
        <v>2.0124824921938581E-5</v>
      </c>
      <c r="K22" s="22">
        <v>122.69306930693071</v>
      </c>
      <c r="L22" s="2">
        <f t="shared" si="8"/>
        <v>1.2269306930693072E-4</v>
      </c>
      <c r="M22" s="3">
        <f t="shared" si="9"/>
        <v>4.7762865441819992E-3</v>
      </c>
      <c r="N22" s="29">
        <f t="shared" si="10"/>
        <v>5.1696574652644403E-7</v>
      </c>
      <c r="O22" s="29">
        <f t="shared" si="11"/>
        <v>2.032E-3</v>
      </c>
      <c r="P22" s="29">
        <v>1.5574793265181801E-10</v>
      </c>
      <c r="Q22" s="16">
        <v>0.05</v>
      </c>
      <c r="R22" s="16">
        <f t="shared" si="12"/>
        <v>105000</v>
      </c>
      <c r="S22" s="16">
        <f t="shared" si="13"/>
        <v>5.3058450282772E-3</v>
      </c>
      <c r="T22" s="16">
        <v>0.11</v>
      </c>
      <c r="U22" s="16">
        <f t="shared" si="14"/>
        <v>111000.00000000001</v>
      </c>
      <c r="V22" s="16">
        <f t="shared" si="1"/>
        <v>13.618930693069311</v>
      </c>
      <c r="W22" s="2">
        <f t="shared" si="15"/>
        <v>5</v>
      </c>
      <c r="X22" s="2">
        <f t="shared" si="2"/>
        <v>6.2843555101511667E-7</v>
      </c>
      <c r="Y22" s="2">
        <f t="shared" si="16"/>
        <v>99753.649134444044</v>
      </c>
      <c r="Z22" s="2">
        <f t="shared" si="17"/>
        <v>3.3430726230327547E-14</v>
      </c>
      <c r="AA22" s="2">
        <f t="shared" si="18"/>
        <v>20131983335.903252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1">
        <v>63</v>
      </c>
      <c r="B23" s="1">
        <f t="shared" si="3"/>
        <v>1.05</v>
      </c>
      <c r="C23" s="1">
        <v>20</v>
      </c>
      <c r="D23" s="1">
        <f t="shared" si="0"/>
        <v>29.146000000000001</v>
      </c>
      <c r="E23" s="1">
        <f t="shared" si="4"/>
        <v>4.8576666666666667E-7</v>
      </c>
      <c r="F23" s="1">
        <v>21.1</v>
      </c>
      <c r="G23" s="1">
        <f t="shared" si="5"/>
        <v>294.10000000000002</v>
      </c>
      <c r="H23" s="1">
        <v>101.3</v>
      </c>
      <c r="I23" s="1">
        <f t="shared" si="6"/>
        <v>101300</v>
      </c>
      <c r="J23" s="1">
        <f t="shared" si="7"/>
        <v>2.0124824921938581E-5</v>
      </c>
      <c r="K23" s="22">
        <v>125.46534653465348</v>
      </c>
      <c r="L23" s="2">
        <f t="shared" si="8"/>
        <v>1.2546534653465349E-4</v>
      </c>
      <c r="M23" s="3">
        <f t="shared" si="9"/>
        <v>4.7762865441819992E-3</v>
      </c>
      <c r="N23" s="29">
        <f t="shared" si="10"/>
        <v>5.2864670271006286E-7</v>
      </c>
      <c r="O23" s="29">
        <f t="shared" si="11"/>
        <v>2.032E-3</v>
      </c>
      <c r="P23" s="29">
        <v>1.5574793265181801E-10</v>
      </c>
      <c r="Q23" s="16">
        <v>0.05</v>
      </c>
      <c r="R23" s="16">
        <f t="shared" si="12"/>
        <v>105000</v>
      </c>
      <c r="S23" s="16">
        <f t="shared" si="13"/>
        <v>5.3058450282772E-3</v>
      </c>
      <c r="T23" s="16">
        <v>0.11</v>
      </c>
      <c r="U23" s="16">
        <f t="shared" si="14"/>
        <v>111000.00000000001</v>
      </c>
      <c r="V23" s="16">
        <f t="shared" si="1"/>
        <v>13.92665346534654</v>
      </c>
      <c r="W23" s="2">
        <f t="shared" si="15"/>
        <v>5</v>
      </c>
      <c r="X23" s="2">
        <f t="shared" si="2"/>
        <v>6.4329428851638038E-7</v>
      </c>
      <c r="Y23" s="2">
        <f t="shared" si="16"/>
        <v>99631.231379130928</v>
      </c>
      <c r="Z23" s="2">
        <f t="shared" si="17"/>
        <v>3.4263322139093847E-14</v>
      </c>
      <c r="AA23" s="2">
        <f t="shared" si="18"/>
        <v>20633372592.162315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1">
        <v>66</v>
      </c>
      <c r="B24" s="1">
        <f t="shared" si="3"/>
        <v>1.1000000000000001</v>
      </c>
      <c r="C24" s="1">
        <v>20</v>
      </c>
      <c r="D24" s="1">
        <f t="shared" si="0"/>
        <v>29.146000000000001</v>
      </c>
      <c r="E24" s="1">
        <f t="shared" si="4"/>
        <v>4.8576666666666667E-7</v>
      </c>
      <c r="F24" s="1">
        <v>21.1</v>
      </c>
      <c r="G24" s="1">
        <f t="shared" si="5"/>
        <v>294.10000000000002</v>
      </c>
      <c r="H24" s="1">
        <v>101.3</v>
      </c>
      <c r="I24" s="1">
        <f t="shared" si="6"/>
        <v>101300</v>
      </c>
      <c r="J24" s="1">
        <f t="shared" si="7"/>
        <v>2.0124824921938581E-5</v>
      </c>
      <c r="K24" s="22">
        <v>125.21782178217823</v>
      </c>
      <c r="L24" s="2">
        <f t="shared" si="8"/>
        <v>1.2521782178217823E-4</v>
      </c>
      <c r="M24" s="3">
        <f t="shared" si="9"/>
        <v>4.7762865441819992E-3</v>
      </c>
      <c r="N24" s="29">
        <f t="shared" si="10"/>
        <v>5.2760376019366828E-7</v>
      </c>
      <c r="O24" s="29">
        <f t="shared" si="11"/>
        <v>2.032E-3</v>
      </c>
      <c r="P24" s="29">
        <v>1.5574793265181801E-10</v>
      </c>
      <c r="Q24" s="16">
        <v>0.05</v>
      </c>
      <c r="R24" s="16">
        <f t="shared" si="12"/>
        <v>105000</v>
      </c>
      <c r="S24" s="16">
        <f t="shared" si="13"/>
        <v>5.3058450282772E-3</v>
      </c>
      <c r="T24" s="16">
        <v>0.11</v>
      </c>
      <c r="U24" s="16">
        <f t="shared" si="14"/>
        <v>111000.00000000001</v>
      </c>
      <c r="V24" s="16">
        <f t="shared" si="1"/>
        <v>13.899178217821785</v>
      </c>
      <c r="W24" s="2">
        <f t="shared" si="15"/>
        <v>5</v>
      </c>
      <c r="X24" s="2">
        <f t="shared" si="2"/>
        <v>6.4196905230458302E-7</v>
      </c>
      <c r="Y24" s="2">
        <f t="shared" si="16"/>
        <v>99642.146645701301</v>
      </c>
      <c r="Z24" s="2">
        <f t="shared" si="17"/>
        <v>3.4188981449159828E-14</v>
      </c>
      <c r="AA24" s="2">
        <f t="shared" si="18"/>
        <v>20588604628.684048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1">
        <v>69</v>
      </c>
      <c r="B25" s="1">
        <f t="shared" si="3"/>
        <v>1.1499999999999999</v>
      </c>
      <c r="C25" s="1">
        <v>20</v>
      </c>
      <c r="D25" s="1">
        <f t="shared" si="0"/>
        <v>29.146000000000001</v>
      </c>
      <c r="E25" s="1">
        <f t="shared" si="4"/>
        <v>4.8576666666666667E-7</v>
      </c>
      <c r="F25" s="1">
        <v>21.1</v>
      </c>
      <c r="G25" s="1">
        <f t="shared" si="5"/>
        <v>294.10000000000002</v>
      </c>
      <c r="H25" s="1">
        <v>101.3</v>
      </c>
      <c r="I25" s="1">
        <f t="shared" si="6"/>
        <v>101300</v>
      </c>
      <c r="J25" s="1">
        <f t="shared" si="7"/>
        <v>2.0124824921938581E-5</v>
      </c>
      <c r="K25" s="22">
        <v>123.01485148514853</v>
      </c>
      <c r="L25" s="2">
        <f t="shared" si="8"/>
        <v>1.2301485148514851E-4</v>
      </c>
      <c r="M25" s="3">
        <f t="shared" si="9"/>
        <v>4.7762865441819992E-3</v>
      </c>
      <c r="N25" s="29">
        <f t="shared" si="10"/>
        <v>5.1832157179775689E-7</v>
      </c>
      <c r="O25" s="29">
        <f t="shared" si="11"/>
        <v>2.032E-3</v>
      </c>
      <c r="P25" s="29">
        <v>1.5574793265181801E-10</v>
      </c>
      <c r="Q25" s="16">
        <v>0.05</v>
      </c>
      <c r="R25" s="16">
        <f t="shared" si="12"/>
        <v>105000</v>
      </c>
      <c r="S25" s="16">
        <f t="shared" si="13"/>
        <v>5.3058450282772E-3</v>
      </c>
      <c r="T25" s="16">
        <v>0.11</v>
      </c>
      <c r="U25" s="16">
        <f t="shared" si="14"/>
        <v>111000.00000000001</v>
      </c>
      <c r="V25" s="16">
        <f t="shared" si="1"/>
        <v>13.654648514851488</v>
      </c>
      <c r="W25" s="2">
        <f t="shared" si="15"/>
        <v>5</v>
      </c>
      <c r="X25" s="2">
        <f t="shared" si="2"/>
        <v>6.3016205494310873E-7</v>
      </c>
      <c r="Y25" s="2">
        <f t="shared" si="16"/>
        <v>99739.421002358664</v>
      </c>
      <c r="Z25" s="2">
        <f t="shared" si="17"/>
        <v>3.3527365378826839E-14</v>
      </c>
      <c r="AA25" s="2">
        <f t="shared" si="18"/>
        <v>20190179431.129524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1">
        <v>72</v>
      </c>
      <c r="B26" s="1">
        <f t="shared" si="3"/>
        <v>1.2</v>
      </c>
      <c r="C26" s="1">
        <v>20</v>
      </c>
      <c r="D26" s="1">
        <f t="shared" si="0"/>
        <v>29.146000000000001</v>
      </c>
      <c r="E26" s="1">
        <f t="shared" si="4"/>
        <v>4.8576666666666667E-7</v>
      </c>
      <c r="F26" s="1">
        <v>21.1</v>
      </c>
      <c r="G26" s="1">
        <f t="shared" si="5"/>
        <v>294.10000000000002</v>
      </c>
      <c r="H26" s="1">
        <v>101.3</v>
      </c>
      <c r="I26" s="1">
        <f t="shared" si="6"/>
        <v>101300</v>
      </c>
      <c r="J26" s="1">
        <f t="shared" si="7"/>
        <v>2.0124824921938581E-5</v>
      </c>
      <c r="K26" s="22">
        <v>121.40594059405943</v>
      </c>
      <c r="L26" s="2">
        <f t="shared" si="8"/>
        <v>1.2140594059405943E-4</v>
      </c>
      <c r="M26" s="3">
        <f t="shared" si="9"/>
        <v>4.7762865441819992E-3</v>
      </c>
      <c r="N26" s="29">
        <f t="shared" si="10"/>
        <v>5.1154244544119248E-7</v>
      </c>
      <c r="O26" s="29">
        <f t="shared" si="11"/>
        <v>2.032E-3</v>
      </c>
      <c r="P26" s="29">
        <v>1.5574793265181801E-10</v>
      </c>
      <c r="Q26" s="16">
        <v>0.05</v>
      </c>
      <c r="R26" s="16">
        <f t="shared" si="12"/>
        <v>105000</v>
      </c>
      <c r="S26" s="16">
        <f t="shared" si="13"/>
        <v>5.3058450282772E-3</v>
      </c>
      <c r="T26" s="16">
        <v>0.11</v>
      </c>
      <c r="U26" s="16">
        <f t="shared" si="14"/>
        <v>111000.00000000001</v>
      </c>
      <c r="V26" s="16">
        <f t="shared" si="1"/>
        <v>13.4760594059406</v>
      </c>
      <c r="W26" s="2">
        <f t="shared" si="15"/>
        <v>5</v>
      </c>
      <c r="X26" s="2">
        <f t="shared" si="2"/>
        <v>6.2152465202629578E-7</v>
      </c>
      <c r="Y26" s="2">
        <f t="shared" si="16"/>
        <v>99810.612066535425</v>
      </c>
      <c r="Z26" s="2">
        <f t="shared" si="17"/>
        <v>3.3044169570856724E-14</v>
      </c>
      <c r="AA26" s="2">
        <f t="shared" si="18"/>
        <v>19899198915.56992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1">
        <v>75</v>
      </c>
      <c r="B27" s="1">
        <f t="shared" si="3"/>
        <v>1.25</v>
      </c>
      <c r="C27" s="1">
        <v>20</v>
      </c>
      <c r="D27" s="1">
        <f t="shared" si="0"/>
        <v>29.146000000000001</v>
      </c>
      <c r="E27" s="1">
        <f t="shared" si="4"/>
        <v>4.8576666666666667E-7</v>
      </c>
      <c r="F27" s="1">
        <v>21.1</v>
      </c>
      <c r="G27" s="1">
        <f t="shared" si="5"/>
        <v>294.10000000000002</v>
      </c>
      <c r="H27" s="1">
        <v>101.3</v>
      </c>
      <c r="I27" s="1">
        <f t="shared" si="6"/>
        <v>101300</v>
      </c>
      <c r="J27" s="1">
        <f t="shared" si="7"/>
        <v>2.0124824921938581E-5</v>
      </c>
      <c r="K27" s="22">
        <v>124.30198019801982</v>
      </c>
      <c r="L27" s="2">
        <f t="shared" si="8"/>
        <v>1.2430198019801981E-4</v>
      </c>
      <c r="M27" s="3">
        <f t="shared" si="9"/>
        <v>4.7762865441819992E-3</v>
      </c>
      <c r="N27" s="29">
        <f t="shared" si="10"/>
        <v>5.2374487288300844E-7</v>
      </c>
      <c r="O27" s="29">
        <f t="shared" si="11"/>
        <v>2.032E-3</v>
      </c>
      <c r="P27" s="29">
        <v>1.5574793265181801E-10</v>
      </c>
      <c r="Q27" s="16">
        <v>0.05</v>
      </c>
      <c r="R27" s="16">
        <f t="shared" si="12"/>
        <v>105000</v>
      </c>
      <c r="S27" s="16">
        <f t="shared" si="13"/>
        <v>5.3058450282772E-3</v>
      </c>
      <c r="T27" s="16">
        <v>0.11</v>
      </c>
      <c r="U27" s="16">
        <f t="shared" si="14"/>
        <v>111000.00000000001</v>
      </c>
      <c r="V27" s="16">
        <f t="shared" si="1"/>
        <v>13.797519801980201</v>
      </c>
      <c r="W27" s="2">
        <f t="shared" si="15"/>
        <v>5</v>
      </c>
      <c r="X27" s="2">
        <f t="shared" si="2"/>
        <v>6.3706324459882093E-7</v>
      </c>
      <c r="Y27" s="2">
        <f t="shared" si="16"/>
        <v>99682.558380531176</v>
      </c>
      <c r="Z27" s="2">
        <f t="shared" si="17"/>
        <v>3.3913924682740021E-14</v>
      </c>
      <c r="AA27" s="2">
        <f t="shared" si="18"/>
        <v>20422965443.946041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1">
        <v>78</v>
      </c>
      <c r="B28" s="1">
        <f t="shared" si="3"/>
        <v>1.3</v>
      </c>
      <c r="C28" s="1">
        <v>20</v>
      </c>
      <c r="D28" s="1">
        <f t="shared" si="0"/>
        <v>29.146000000000001</v>
      </c>
      <c r="E28" s="1">
        <f t="shared" si="4"/>
        <v>4.8576666666666667E-7</v>
      </c>
      <c r="F28" s="1">
        <v>21.1</v>
      </c>
      <c r="G28" s="1">
        <f t="shared" si="5"/>
        <v>294.10000000000002</v>
      </c>
      <c r="H28" s="1">
        <v>101.3</v>
      </c>
      <c r="I28" s="1">
        <f t="shared" si="6"/>
        <v>101300</v>
      </c>
      <c r="J28" s="1">
        <f t="shared" si="7"/>
        <v>2.0124824921938581E-5</v>
      </c>
      <c r="K28" s="22">
        <v>125.9851485148515</v>
      </c>
      <c r="L28" s="2">
        <f t="shared" si="8"/>
        <v>1.2598514851485149E-4</v>
      </c>
      <c r="M28" s="3">
        <f t="shared" si="9"/>
        <v>4.7762865441819992E-3</v>
      </c>
      <c r="N28" s="29">
        <f t="shared" si="10"/>
        <v>5.3083688199449135E-7</v>
      </c>
      <c r="O28" s="29">
        <f t="shared" si="11"/>
        <v>2.032E-3</v>
      </c>
      <c r="P28" s="29">
        <v>1.5574793265181801E-10</v>
      </c>
      <c r="Q28" s="16">
        <v>0.05</v>
      </c>
      <c r="R28" s="16">
        <f t="shared" si="12"/>
        <v>105000</v>
      </c>
      <c r="S28" s="16">
        <f t="shared" si="13"/>
        <v>5.3058450282772E-3</v>
      </c>
      <c r="T28" s="16">
        <v>0.11</v>
      </c>
      <c r="U28" s="16">
        <f t="shared" si="14"/>
        <v>111000.00000000001</v>
      </c>
      <c r="V28" s="16">
        <f t="shared" si="1"/>
        <v>13.984351485148517</v>
      </c>
      <c r="W28" s="2">
        <f t="shared" si="15"/>
        <v>5</v>
      </c>
      <c r="X28" s="2">
        <f t="shared" si="2"/>
        <v>6.4607637959380082E-7</v>
      </c>
      <c r="Y28" s="2">
        <f t="shared" si="16"/>
        <v>99608.318718130613</v>
      </c>
      <c r="Z28" s="2">
        <f t="shared" si="17"/>
        <v>3.4419439301992521E-14</v>
      </c>
      <c r="AA28" s="2">
        <f t="shared" si="18"/>
        <v>20727386347.659897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1">
        <v>81</v>
      </c>
      <c r="B29" s="1">
        <f t="shared" si="3"/>
        <v>1.35</v>
      </c>
      <c r="C29" s="1">
        <v>20</v>
      </c>
      <c r="D29" s="1">
        <f t="shared" si="0"/>
        <v>29.146000000000001</v>
      </c>
      <c r="E29" s="1">
        <f t="shared" si="4"/>
        <v>4.8576666666666667E-7</v>
      </c>
      <c r="F29" s="1">
        <v>21.1</v>
      </c>
      <c r="G29" s="1">
        <f t="shared" si="5"/>
        <v>294.10000000000002</v>
      </c>
      <c r="H29" s="1">
        <v>101.3</v>
      </c>
      <c r="I29" s="1">
        <f t="shared" si="6"/>
        <v>101300</v>
      </c>
      <c r="J29" s="1">
        <f t="shared" si="7"/>
        <v>2.0124824921938581E-5</v>
      </c>
      <c r="K29" s="22">
        <v>131.00990099009903</v>
      </c>
      <c r="L29" s="2">
        <f t="shared" si="8"/>
        <v>1.3100990099009904E-4</v>
      </c>
      <c r="M29" s="3">
        <f t="shared" si="9"/>
        <v>4.7762865441819992E-3</v>
      </c>
      <c r="N29" s="29">
        <f t="shared" si="10"/>
        <v>5.5200861507730053E-7</v>
      </c>
      <c r="O29" s="29">
        <f t="shared" si="11"/>
        <v>2.032E-3</v>
      </c>
      <c r="P29" s="29">
        <v>1.5574793265181801E-10</v>
      </c>
      <c r="Q29" s="16">
        <v>0.05</v>
      </c>
      <c r="R29" s="16">
        <f t="shared" si="12"/>
        <v>105000</v>
      </c>
      <c r="S29" s="16">
        <f t="shared" si="13"/>
        <v>5.3058450282772E-3</v>
      </c>
      <c r="T29" s="16">
        <v>0.11</v>
      </c>
      <c r="U29" s="16">
        <f t="shared" si="14"/>
        <v>111000.00000000001</v>
      </c>
      <c r="V29" s="16">
        <f t="shared" si="1"/>
        <v>14.542099009900994</v>
      </c>
      <c r="W29" s="2">
        <f t="shared" si="15"/>
        <v>5</v>
      </c>
      <c r="X29" s="2">
        <f t="shared" si="2"/>
        <v>6.7290813479436117E-7</v>
      </c>
      <c r="Y29" s="2">
        <f t="shared" si="16"/>
        <v>99387.473818431899</v>
      </c>
      <c r="Z29" s="2">
        <f t="shared" si="17"/>
        <v>3.5928760676667618E-14</v>
      </c>
      <c r="AA29" s="2">
        <f t="shared" si="18"/>
        <v>21636299679.489243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1">
        <v>84</v>
      </c>
      <c r="B30" s="1">
        <f t="shared" si="3"/>
        <v>1.4</v>
      </c>
      <c r="C30" s="1">
        <v>20</v>
      </c>
      <c r="D30" s="1">
        <f t="shared" si="0"/>
        <v>29.146000000000001</v>
      </c>
      <c r="E30" s="1">
        <f t="shared" si="4"/>
        <v>4.8576666666666667E-7</v>
      </c>
      <c r="F30" s="1">
        <v>21.1</v>
      </c>
      <c r="G30" s="1">
        <f t="shared" si="5"/>
        <v>294.10000000000002</v>
      </c>
      <c r="H30" s="1">
        <v>101.3</v>
      </c>
      <c r="I30" s="1">
        <f t="shared" si="6"/>
        <v>101300</v>
      </c>
      <c r="J30" s="1">
        <f t="shared" si="7"/>
        <v>2.0124824921938581E-5</v>
      </c>
      <c r="K30" s="22">
        <v>128.16336633663369</v>
      </c>
      <c r="L30" s="2">
        <f t="shared" si="8"/>
        <v>1.2816336633663368E-4</v>
      </c>
      <c r="M30" s="3">
        <f t="shared" si="9"/>
        <v>4.7762865441819992E-3</v>
      </c>
      <c r="N30" s="29">
        <f t="shared" si="10"/>
        <v>5.400147761387632E-7</v>
      </c>
      <c r="O30" s="29">
        <f t="shared" si="11"/>
        <v>2.032E-3</v>
      </c>
      <c r="P30" s="29">
        <v>1.5574793265181801E-10</v>
      </c>
      <c r="Q30" s="16">
        <v>0.05</v>
      </c>
      <c r="R30" s="16">
        <f t="shared" si="12"/>
        <v>105000</v>
      </c>
      <c r="S30" s="16">
        <f t="shared" si="13"/>
        <v>5.3058450282772E-3</v>
      </c>
      <c r="T30" s="16">
        <v>0.11</v>
      </c>
      <c r="U30" s="16">
        <f t="shared" si="14"/>
        <v>111000.00000000001</v>
      </c>
      <c r="V30" s="16">
        <f t="shared" si="1"/>
        <v>14.22613366336634</v>
      </c>
      <c r="W30" s="2">
        <f t="shared" si="15"/>
        <v>5</v>
      </c>
      <c r="X30" s="2">
        <f t="shared" si="2"/>
        <v>6.577214864009677E-7</v>
      </c>
      <c r="Y30" s="2">
        <f t="shared" si="16"/>
        <v>99512.44089951436</v>
      </c>
      <c r="Z30" s="2">
        <f t="shared" si="17"/>
        <v>3.5073677319981379E-14</v>
      </c>
      <c r="AA30" s="2">
        <f t="shared" si="18"/>
        <v>21121368482.092789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1">
        <v>87</v>
      </c>
      <c r="B31" s="1">
        <f t="shared" si="3"/>
        <v>1.45</v>
      </c>
      <c r="C31" s="1">
        <v>20</v>
      </c>
      <c r="D31" s="1">
        <f t="shared" si="0"/>
        <v>29.146000000000001</v>
      </c>
      <c r="E31" s="1">
        <f t="shared" si="4"/>
        <v>4.8576666666666667E-7</v>
      </c>
      <c r="F31" s="1">
        <v>21.1</v>
      </c>
      <c r="G31" s="1">
        <f t="shared" si="5"/>
        <v>294.10000000000002</v>
      </c>
      <c r="H31" s="1">
        <v>101.3</v>
      </c>
      <c r="I31" s="1">
        <f t="shared" si="6"/>
        <v>101300</v>
      </c>
      <c r="J31" s="1">
        <f t="shared" si="7"/>
        <v>2.0124824921938581E-5</v>
      </c>
      <c r="K31" s="22">
        <v>128.53465346534654</v>
      </c>
      <c r="L31" s="2">
        <f t="shared" si="8"/>
        <v>1.2853465346534653E-4</v>
      </c>
      <c r="M31" s="3">
        <f t="shared" si="9"/>
        <v>4.7762865441819992E-3</v>
      </c>
      <c r="N31" s="29">
        <f t="shared" si="10"/>
        <v>5.4157918991335502E-7</v>
      </c>
      <c r="O31" s="29">
        <f t="shared" si="11"/>
        <v>2.032E-3</v>
      </c>
      <c r="P31" s="29">
        <v>1.5574793265181801E-10</v>
      </c>
      <c r="Q31" s="16">
        <v>0.05</v>
      </c>
      <c r="R31" s="16">
        <f t="shared" si="12"/>
        <v>105000</v>
      </c>
      <c r="S31" s="16">
        <f t="shared" si="13"/>
        <v>5.3058450282772E-3</v>
      </c>
      <c r="T31" s="16">
        <v>0.11</v>
      </c>
      <c r="U31" s="16">
        <f t="shared" si="14"/>
        <v>111000.00000000001</v>
      </c>
      <c r="V31" s="16">
        <f t="shared" si="1"/>
        <v>14.267346534653466</v>
      </c>
      <c r="W31" s="2">
        <f t="shared" si="15"/>
        <v>5</v>
      </c>
      <c r="X31" s="2">
        <f t="shared" si="2"/>
        <v>6.5970435042097846E-7</v>
      </c>
      <c r="Y31" s="2">
        <f t="shared" si="16"/>
        <v>99496.119957481307</v>
      </c>
      <c r="Z31" s="2">
        <f t="shared" si="17"/>
        <v>3.5185201681988263E-14</v>
      </c>
      <c r="AA31" s="2">
        <f t="shared" si="18"/>
        <v>21188528452.893333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1">
        <v>90</v>
      </c>
      <c r="B32" s="1">
        <f t="shared" si="3"/>
        <v>1.5</v>
      </c>
      <c r="C32" s="1">
        <v>20</v>
      </c>
      <c r="D32" s="1">
        <f t="shared" si="0"/>
        <v>29.146000000000001</v>
      </c>
      <c r="E32" s="1">
        <f t="shared" si="4"/>
        <v>4.8576666666666667E-7</v>
      </c>
      <c r="F32" s="1">
        <v>21.1</v>
      </c>
      <c r="G32" s="1">
        <f t="shared" si="5"/>
        <v>294.10000000000002</v>
      </c>
      <c r="H32" s="1">
        <v>101.3</v>
      </c>
      <c r="I32" s="1">
        <f t="shared" si="6"/>
        <v>101300</v>
      </c>
      <c r="J32" s="1">
        <f t="shared" si="7"/>
        <v>2.0124824921938581E-5</v>
      </c>
      <c r="K32" s="22">
        <v>129.87128712871288</v>
      </c>
      <c r="L32" s="2">
        <f t="shared" si="8"/>
        <v>1.2987128712871289E-4</v>
      </c>
      <c r="M32" s="3">
        <f t="shared" si="9"/>
        <v>4.7762865441819992E-3</v>
      </c>
      <c r="N32" s="29">
        <f t="shared" si="10"/>
        <v>5.4721107950188564E-7</v>
      </c>
      <c r="O32" s="29">
        <f t="shared" si="11"/>
        <v>2.032E-3</v>
      </c>
      <c r="P32" s="29">
        <v>1.5574793265181801E-10</v>
      </c>
      <c r="Q32" s="16">
        <v>0.05</v>
      </c>
      <c r="R32" s="16">
        <f t="shared" si="12"/>
        <v>105000</v>
      </c>
      <c r="S32" s="16">
        <f t="shared" si="13"/>
        <v>5.3058450282772E-3</v>
      </c>
      <c r="T32" s="16">
        <v>0.11</v>
      </c>
      <c r="U32" s="16">
        <f t="shared" si="14"/>
        <v>111000.00000000001</v>
      </c>
      <c r="V32" s="16">
        <f t="shared" si="1"/>
        <v>14.415712871287132</v>
      </c>
      <c r="W32" s="2">
        <f t="shared" si="15"/>
        <v>5</v>
      </c>
      <c r="X32" s="2">
        <f t="shared" si="2"/>
        <v>6.6683767896297937E-7</v>
      </c>
      <c r="Y32" s="2">
        <f t="shared" si="16"/>
        <v>99437.41664140299</v>
      </c>
      <c r="Z32" s="2">
        <f t="shared" si="17"/>
        <v>3.5586708815367114E-14</v>
      </c>
      <c r="AA32" s="2">
        <f t="shared" si="18"/>
        <v>21430316048.614079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1">
        <v>93</v>
      </c>
      <c r="B33" s="1">
        <f t="shared" si="3"/>
        <v>1.55</v>
      </c>
      <c r="C33" s="1">
        <v>20</v>
      </c>
      <c r="D33" s="1">
        <f t="shared" si="0"/>
        <v>29.146000000000001</v>
      </c>
      <c r="E33" s="1">
        <f t="shared" si="4"/>
        <v>4.8576666666666667E-7</v>
      </c>
      <c r="F33" s="1">
        <v>21.1</v>
      </c>
      <c r="G33" s="1">
        <f t="shared" si="5"/>
        <v>294.10000000000002</v>
      </c>
      <c r="H33" s="1">
        <v>101.3</v>
      </c>
      <c r="I33" s="1">
        <f t="shared" si="6"/>
        <v>101300</v>
      </c>
      <c r="J33" s="1">
        <f t="shared" si="7"/>
        <v>2.0124824921938581E-5</v>
      </c>
      <c r="K33" s="22">
        <v>127.6683168316832</v>
      </c>
      <c r="L33" s="2">
        <f t="shared" si="8"/>
        <v>1.276683168316832E-4</v>
      </c>
      <c r="M33" s="3">
        <f t="shared" si="9"/>
        <v>4.7762865441819992E-3</v>
      </c>
      <c r="N33" s="29">
        <f t="shared" si="10"/>
        <v>5.3792889110597425E-7</v>
      </c>
      <c r="O33" s="29">
        <f t="shared" si="11"/>
        <v>2.032E-3</v>
      </c>
      <c r="P33" s="29">
        <v>1.5574793265181801E-10</v>
      </c>
      <c r="Q33" s="16">
        <v>0.05</v>
      </c>
      <c r="R33" s="16">
        <f t="shared" si="12"/>
        <v>105000</v>
      </c>
      <c r="S33" s="16">
        <f t="shared" si="13"/>
        <v>5.3058450282772E-3</v>
      </c>
      <c r="T33" s="16">
        <v>0.11</v>
      </c>
      <c r="U33" s="16">
        <f t="shared" si="14"/>
        <v>111000.00000000001</v>
      </c>
      <c r="V33" s="16">
        <f t="shared" si="1"/>
        <v>14.171183168316837</v>
      </c>
      <c r="W33" s="2">
        <f t="shared" si="15"/>
        <v>5</v>
      </c>
      <c r="X33" s="2">
        <f t="shared" si="2"/>
        <v>6.5507672371015786E-7</v>
      </c>
      <c r="Y33" s="2">
        <f t="shared" si="16"/>
        <v>99534.212008876973</v>
      </c>
      <c r="Z33" s="2">
        <f t="shared" si="17"/>
        <v>3.4924981428863963E-14</v>
      </c>
      <c r="AA33" s="2">
        <f t="shared" si="18"/>
        <v>21031823816.46188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1">
        <v>96</v>
      </c>
      <c r="B34" s="1">
        <f t="shared" si="3"/>
        <v>1.6</v>
      </c>
      <c r="C34" s="1">
        <v>20</v>
      </c>
      <c r="D34" s="1">
        <f t="shared" si="0"/>
        <v>29.146000000000001</v>
      </c>
      <c r="E34" s="1">
        <f t="shared" si="4"/>
        <v>4.8576666666666667E-7</v>
      </c>
      <c r="F34" s="1">
        <v>21.1</v>
      </c>
      <c r="G34" s="1">
        <f t="shared" si="5"/>
        <v>294.10000000000002</v>
      </c>
      <c r="H34" s="1">
        <v>101.3</v>
      </c>
      <c r="I34" s="1">
        <f t="shared" si="6"/>
        <v>101300</v>
      </c>
      <c r="J34" s="1">
        <f t="shared" si="7"/>
        <v>2.0124824921938581E-5</v>
      </c>
      <c r="K34" s="22">
        <v>129.52475247524754</v>
      </c>
      <c r="L34" s="2">
        <f t="shared" si="8"/>
        <v>1.2952475247524753E-4</v>
      </c>
      <c r="M34" s="3">
        <f t="shared" si="9"/>
        <v>4.7762865441819992E-3</v>
      </c>
      <c r="N34" s="29">
        <f t="shared" si="10"/>
        <v>5.4575095997893314E-7</v>
      </c>
      <c r="O34" s="29">
        <f t="shared" si="11"/>
        <v>2.032E-3</v>
      </c>
      <c r="P34" s="29">
        <v>1.5574793265181801E-10</v>
      </c>
      <c r="Q34" s="16">
        <v>0.05</v>
      </c>
      <c r="R34" s="16">
        <f t="shared" si="12"/>
        <v>105000</v>
      </c>
      <c r="S34" s="16">
        <f t="shared" si="13"/>
        <v>5.3058450282772E-3</v>
      </c>
      <c r="T34" s="16">
        <v>0.11</v>
      </c>
      <c r="U34" s="16">
        <f t="shared" si="14"/>
        <v>111000.00000000001</v>
      </c>
      <c r="V34" s="16">
        <f t="shared" ref="V34:V65" si="19">(L34*U34)</f>
        <v>14.377247524752478</v>
      </c>
      <c r="W34" s="2">
        <f t="shared" si="15"/>
        <v>5</v>
      </c>
      <c r="X34" s="2">
        <f t="shared" ref="X34:X65" si="20">(N34+((P34/O34)*(SQRT(V34)-SQRT(W34))))</f>
        <v>6.6498904230678522E-7</v>
      </c>
      <c r="Y34" s="2">
        <f t="shared" si="16"/>
        <v>99452.628227281166</v>
      </c>
      <c r="Z34" s="2">
        <f t="shared" si="17"/>
        <v>3.548261126093789E-14</v>
      </c>
      <c r="AA34" s="2">
        <f t="shared" si="18"/>
        <v>21367628501.3368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1">
        <v>99</v>
      </c>
      <c r="B35" s="1">
        <f t="shared" si="3"/>
        <v>1.65</v>
      </c>
      <c r="C35" s="1">
        <v>20</v>
      </c>
      <c r="D35" s="1">
        <f t="shared" si="0"/>
        <v>29.146000000000001</v>
      </c>
      <c r="E35" s="1">
        <f t="shared" si="4"/>
        <v>4.8576666666666667E-7</v>
      </c>
      <c r="F35" s="1">
        <v>21.1</v>
      </c>
      <c r="G35" s="1">
        <f t="shared" si="5"/>
        <v>294.10000000000002</v>
      </c>
      <c r="H35" s="1">
        <v>101.3</v>
      </c>
      <c r="I35" s="1">
        <f t="shared" si="6"/>
        <v>101300</v>
      </c>
      <c r="J35" s="1">
        <f t="shared" si="7"/>
        <v>2.0124824921938581E-5</v>
      </c>
      <c r="K35" s="22">
        <v>125.1683168316832</v>
      </c>
      <c r="L35" s="2">
        <f t="shared" si="8"/>
        <v>1.251683168316832E-4</v>
      </c>
      <c r="M35" s="3">
        <f t="shared" si="9"/>
        <v>4.7762865441819992E-3</v>
      </c>
      <c r="N35" s="29">
        <f t="shared" si="10"/>
        <v>5.2739517169038943E-7</v>
      </c>
      <c r="O35" s="29">
        <f t="shared" si="11"/>
        <v>2.032E-3</v>
      </c>
      <c r="P35" s="29">
        <v>1.5574793265181801E-10</v>
      </c>
      <c r="Q35" s="16">
        <v>0.05</v>
      </c>
      <c r="R35" s="16">
        <f t="shared" si="12"/>
        <v>105000</v>
      </c>
      <c r="S35" s="16">
        <f t="shared" si="13"/>
        <v>5.3058450282772E-3</v>
      </c>
      <c r="T35" s="16">
        <v>0.11</v>
      </c>
      <c r="U35" s="16">
        <f t="shared" si="14"/>
        <v>111000.00000000001</v>
      </c>
      <c r="V35" s="16">
        <f t="shared" si="19"/>
        <v>13.893683168316837</v>
      </c>
      <c r="W35" s="2">
        <f t="shared" si="15"/>
        <v>5</v>
      </c>
      <c r="X35" s="2">
        <f t="shared" si="20"/>
        <v>6.4170397159063728E-7</v>
      </c>
      <c r="Y35" s="2">
        <f t="shared" si="16"/>
        <v>99644.330046460091</v>
      </c>
      <c r="Z35" s="2">
        <f t="shared" si="17"/>
        <v>3.4174113369078728E-14</v>
      </c>
      <c r="AA35" s="2">
        <f t="shared" si="18"/>
        <v>20579651070.859211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1">
        <v>102</v>
      </c>
      <c r="B36" s="1">
        <f t="shared" si="3"/>
        <v>1.7</v>
      </c>
      <c r="C36" s="1">
        <v>20</v>
      </c>
      <c r="D36" s="1">
        <f t="shared" si="0"/>
        <v>29.146000000000001</v>
      </c>
      <c r="E36" s="1">
        <f t="shared" si="4"/>
        <v>4.8576666666666667E-7</v>
      </c>
      <c r="F36" s="1">
        <v>21.1</v>
      </c>
      <c r="G36" s="1">
        <f t="shared" si="5"/>
        <v>294.10000000000002</v>
      </c>
      <c r="H36" s="1">
        <v>101.3</v>
      </c>
      <c r="I36" s="1">
        <f t="shared" si="6"/>
        <v>101300</v>
      </c>
      <c r="J36" s="1">
        <f t="shared" si="7"/>
        <v>2.0124824921938581E-5</v>
      </c>
      <c r="K36" s="22">
        <v>136.50495049504951</v>
      </c>
      <c r="L36" s="2">
        <f t="shared" si="8"/>
        <v>1.3650495049504952E-4</v>
      </c>
      <c r="M36" s="3">
        <f t="shared" si="9"/>
        <v>4.7762865441819992E-3</v>
      </c>
      <c r="N36" s="29">
        <f t="shared" si="10"/>
        <v>5.7516193894125923E-7</v>
      </c>
      <c r="O36" s="29">
        <f t="shared" si="11"/>
        <v>2.032E-3</v>
      </c>
      <c r="P36" s="29">
        <v>1.5574793265181801E-10</v>
      </c>
      <c r="Q36" s="16">
        <v>0.05</v>
      </c>
      <c r="R36" s="16">
        <f t="shared" si="12"/>
        <v>105000</v>
      </c>
      <c r="S36" s="16">
        <f t="shared" si="13"/>
        <v>5.3058450282772E-3</v>
      </c>
      <c r="T36" s="16">
        <v>0.11</v>
      </c>
      <c r="U36" s="16">
        <f t="shared" si="14"/>
        <v>111000.00000000001</v>
      </c>
      <c r="V36" s="16">
        <f t="shared" si="19"/>
        <v>15.152049504950499</v>
      </c>
      <c r="W36" s="2">
        <f t="shared" si="15"/>
        <v>5</v>
      </c>
      <c r="X36" s="2">
        <f t="shared" si="20"/>
        <v>7.0212834206053662E-7</v>
      </c>
      <c r="Y36" s="2">
        <f t="shared" si="16"/>
        <v>99147.249007420047</v>
      </c>
      <c r="Z36" s="2">
        <f t="shared" si="17"/>
        <v>3.7579999689867977E-14</v>
      </c>
      <c r="AA36" s="2">
        <f t="shared" si="18"/>
        <v>22630675813.238499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1">
        <v>105</v>
      </c>
      <c r="B37" s="1">
        <f t="shared" si="3"/>
        <v>1.75</v>
      </c>
      <c r="C37" s="1">
        <v>20</v>
      </c>
      <c r="D37" s="1">
        <f t="shared" si="0"/>
        <v>29.146000000000001</v>
      </c>
      <c r="E37" s="1">
        <f t="shared" si="4"/>
        <v>4.8576666666666667E-7</v>
      </c>
      <c r="F37" s="1">
        <v>21.1</v>
      </c>
      <c r="G37" s="1">
        <f t="shared" si="5"/>
        <v>294.10000000000002</v>
      </c>
      <c r="H37" s="1">
        <v>101.3</v>
      </c>
      <c r="I37" s="1">
        <f t="shared" si="6"/>
        <v>101300</v>
      </c>
      <c r="J37" s="1">
        <f t="shared" si="7"/>
        <v>2.0124824921938581E-5</v>
      </c>
      <c r="K37" s="22">
        <v>130.51485148514851</v>
      </c>
      <c r="L37" s="2">
        <f t="shared" si="8"/>
        <v>1.3051485148514851E-4</v>
      </c>
      <c r="M37" s="3">
        <f t="shared" si="9"/>
        <v>4.7762865441819992E-3</v>
      </c>
      <c r="N37" s="29">
        <f t="shared" si="10"/>
        <v>5.4992273004451126E-7</v>
      </c>
      <c r="O37" s="29">
        <f t="shared" si="11"/>
        <v>2.032E-3</v>
      </c>
      <c r="P37" s="29">
        <v>1.5574793265181801E-10</v>
      </c>
      <c r="Q37" s="16">
        <v>0.05</v>
      </c>
      <c r="R37" s="16">
        <f t="shared" si="12"/>
        <v>105000</v>
      </c>
      <c r="S37" s="16">
        <f t="shared" si="13"/>
        <v>5.3058450282772E-3</v>
      </c>
      <c r="T37" s="16">
        <v>0.11</v>
      </c>
      <c r="U37" s="16">
        <f t="shared" si="14"/>
        <v>111000.00000000001</v>
      </c>
      <c r="V37" s="16">
        <f t="shared" si="19"/>
        <v>14.487148514851485</v>
      </c>
      <c r="W37" s="2">
        <f t="shared" si="15"/>
        <v>5</v>
      </c>
      <c r="X37" s="2">
        <f t="shared" si="20"/>
        <v>6.7026948862155937E-7</v>
      </c>
      <c r="Y37" s="2">
        <f t="shared" si="16"/>
        <v>99409.180933272582</v>
      </c>
      <c r="Z37" s="2">
        <f t="shared" si="17"/>
        <v>3.5780039138809346E-14</v>
      </c>
      <c r="AA37" s="2">
        <f t="shared" si="18"/>
        <v>21546739569.390987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1">
        <v>108</v>
      </c>
      <c r="B38" s="1">
        <f t="shared" si="3"/>
        <v>1.8</v>
      </c>
      <c r="C38" s="1">
        <v>20</v>
      </c>
      <c r="D38" s="1">
        <f t="shared" si="0"/>
        <v>29.146000000000001</v>
      </c>
      <c r="E38" s="1">
        <f t="shared" si="4"/>
        <v>4.8576666666666667E-7</v>
      </c>
      <c r="F38" s="1">
        <v>21.1</v>
      </c>
      <c r="G38" s="1">
        <f t="shared" si="5"/>
        <v>294.10000000000002</v>
      </c>
      <c r="H38" s="1">
        <v>101.3</v>
      </c>
      <c r="I38" s="1">
        <f t="shared" si="6"/>
        <v>101300</v>
      </c>
      <c r="J38" s="1">
        <f t="shared" si="7"/>
        <v>2.0124824921938581E-5</v>
      </c>
      <c r="K38" s="22">
        <v>134.69801980198022</v>
      </c>
      <c r="L38" s="2">
        <f t="shared" si="8"/>
        <v>1.3469801980198022E-4</v>
      </c>
      <c r="M38" s="3">
        <f t="shared" si="9"/>
        <v>4.7762865441819992E-3</v>
      </c>
      <c r="N38" s="29">
        <f t="shared" si="10"/>
        <v>5.6754845857157909E-7</v>
      </c>
      <c r="O38" s="29">
        <f t="shared" si="11"/>
        <v>2.032E-3</v>
      </c>
      <c r="P38" s="29">
        <v>1.5574793265181801E-10</v>
      </c>
      <c r="Q38" s="16">
        <v>0.05</v>
      </c>
      <c r="R38" s="16">
        <f t="shared" si="12"/>
        <v>105000</v>
      </c>
      <c r="S38" s="16">
        <f t="shared" si="13"/>
        <v>5.3058450282772E-3</v>
      </c>
      <c r="T38" s="16">
        <v>0.11</v>
      </c>
      <c r="U38" s="16">
        <f t="shared" si="14"/>
        <v>111000.00000000001</v>
      </c>
      <c r="V38" s="16">
        <f t="shared" si="19"/>
        <v>14.951480198019807</v>
      </c>
      <c r="W38" s="2">
        <f t="shared" si="15"/>
        <v>5</v>
      </c>
      <c r="X38" s="2">
        <f t="shared" si="20"/>
        <v>6.925336003629776E-7</v>
      </c>
      <c r="Y38" s="2">
        <f t="shared" si="16"/>
        <v>99226.097128581197</v>
      </c>
      <c r="Z38" s="2">
        <f t="shared" si="17"/>
        <v>3.7036927014466911E-14</v>
      </c>
      <c r="AA38" s="2">
        <f t="shared" si="18"/>
        <v>22303637448.111977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1">
        <v>111</v>
      </c>
      <c r="B39" s="1">
        <f t="shared" si="3"/>
        <v>1.85</v>
      </c>
      <c r="C39" s="1">
        <v>20</v>
      </c>
      <c r="D39" s="1">
        <f t="shared" si="0"/>
        <v>29.146000000000001</v>
      </c>
      <c r="E39" s="1">
        <f t="shared" si="4"/>
        <v>4.8576666666666667E-7</v>
      </c>
      <c r="F39" s="1">
        <v>21.1</v>
      </c>
      <c r="G39" s="1">
        <f t="shared" si="5"/>
        <v>294.10000000000002</v>
      </c>
      <c r="H39" s="1">
        <v>101.3</v>
      </c>
      <c r="I39" s="1">
        <f t="shared" si="6"/>
        <v>101300</v>
      </c>
      <c r="J39" s="1">
        <f t="shared" si="7"/>
        <v>2.0124824921938581E-5</v>
      </c>
      <c r="K39" s="22">
        <v>131.25742574257427</v>
      </c>
      <c r="L39" s="2">
        <f t="shared" si="8"/>
        <v>1.3125742574257427E-4</v>
      </c>
      <c r="M39" s="3">
        <f t="shared" si="9"/>
        <v>4.7762865441819992E-3</v>
      </c>
      <c r="N39" s="29">
        <f t="shared" si="10"/>
        <v>5.53051557593695E-7</v>
      </c>
      <c r="O39" s="29">
        <f t="shared" si="11"/>
        <v>2.032E-3</v>
      </c>
      <c r="P39" s="29">
        <v>1.5574793265181801E-10</v>
      </c>
      <c r="Q39" s="16">
        <v>0.05</v>
      </c>
      <c r="R39" s="16">
        <f t="shared" si="12"/>
        <v>105000</v>
      </c>
      <c r="S39" s="16">
        <f t="shared" si="13"/>
        <v>5.3058450282772E-3</v>
      </c>
      <c r="T39" s="16">
        <v>0.11</v>
      </c>
      <c r="U39" s="16">
        <f t="shared" si="14"/>
        <v>111000.00000000001</v>
      </c>
      <c r="V39" s="16">
        <f t="shared" si="19"/>
        <v>14.569574257425746</v>
      </c>
      <c r="W39" s="2">
        <f t="shared" si="15"/>
        <v>5</v>
      </c>
      <c r="X39" s="2">
        <f t="shared" si="20"/>
        <v>6.7422706624353486E-7</v>
      </c>
      <c r="Y39" s="2">
        <f t="shared" si="16"/>
        <v>99376.624371352547</v>
      </c>
      <c r="Z39" s="2">
        <f t="shared" si="17"/>
        <v>3.600312347267165E-14</v>
      </c>
      <c r="AA39" s="2">
        <f t="shared" si="18"/>
        <v>21681080955.24287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1">
        <v>114</v>
      </c>
      <c r="B40" s="1">
        <f t="shared" si="3"/>
        <v>1.9</v>
      </c>
      <c r="C40" s="1">
        <v>20</v>
      </c>
      <c r="D40" s="1">
        <f t="shared" si="0"/>
        <v>29.146000000000001</v>
      </c>
      <c r="E40" s="1">
        <f t="shared" si="4"/>
        <v>4.8576666666666667E-7</v>
      </c>
      <c r="F40" s="1">
        <v>21.1</v>
      </c>
      <c r="G40" s="1">
        <f t="shared" si="5"/>
        <v>294.10000000000002</v>
      </c>
      <c r="H40" s="1">
        <v>101.3</v>
      </c>
      <c r="I40" s="1">
        <f t="shared" si="6"/>
        <v>101300</v>
      </c>
      <c r="J40" s="1">
        <f t="shared" si="7"/>
        <v>2.0124824921938581E-5</v>
      </c>
      <c r="K40" s="22">
        <v>127.74257425742574</v>
      </c>
      <c r="L40" s="2">
        <f t="shared" si="8"/>
        <v>1.2774257425742573E-4</v>
      </c>
      <c r="M40" s="3">
        <f t="shared" si="9"/>
        <v>4.7762865441819992E-3</v>
      </c>
      <c r="N40" s="29">
        <f t="shared" si="10"/>
        <v>5.3824177386089242E-7</v>
      </c>
      <c r="O40" s="29">
        <f t="shared" si="11"/>
        <v>2.032E-3</v>
      </c>
      <c r="P40" s="29">
        <v>1.5574793265181801E-10</v>
      </c>
      <c r="Q40" s="16">
        <v>0.05</v>
      </c>
      <c r="R40" s="16">
        <f t="shared" si="12"/>
        <v>105000</v>
      </c>
      <c r="S40" s="16">
        <f t="shared" si="13"/>
        <v>5.3058450282772E-3</v>
      </c>
      <c r="T40" s="16">
        <v>0.11</v>
      </c>
      <c r="U40" s="16">
        <f t="shared" si="14"/>
        <v>111000.00000000001</v>
      </c>
      <c r="V40" s="16">
        <f t="shared" si="19"/>
        <v>14.179425742574258</v>
      </c>
      <c r="W40" s="2">
        <f t="shared" si="15"/>
        <v>5</v>
      </c>
      <c r="X40" s="2">
        <f t="shared" si="20"/>
        <v>6.5547350710372897E-7</v>
      </c>
      <c r="Y40" s="2">
        <f t="shared" si="16"/>
        <v>99530.945622735497</v>
      </c>
      <c r="Z40" s="2">
        <f t="shared" si="17"/>
        <v>3.4947285585520056E-14</v>
      </c>
      <c r="AA40" s="2">
        <f t="shared" si="18"/>
        <v>21045255379.600178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1">
        <v>117</v>
      </c>
      <c r="B41" s="1">
        <f t="shared" si="3"/>
        <v>1.95</v>
      </c>
      <c r="C41" s="1">
        <v>20</v>
      </c>
      <c r="D41" s="1">
        <f t="shared" si="0"/>
        <v>29.146000000000001</v>
      </c>
      <c r="E41" s="1">
        <f t="shared" si="4"/>
        <v>4.8576666666666667E-7</v>
      </c>
      <c r="F41" s="1">
        <v>21.1</v>
      </c>
      <c r="G41" s="1">
        <f t="shared" si="5"/>
        <v>294.10000000000002</v>
      </c>
      <c r="H41" s="1">
        <v>101.3</v>
      </c>
      <c r="I41" s="1">
        <f t="shared" si="6"/>
        <v>101300</v>
      </c>
      <c r="J41" s="1">
        <f t="shared" si="7"/>
        <v>2.0124824921938581E-5</v>
      </c>
      <c r="K41" s="22">
        <v>132.71782178217825</v>
      </c>
      <c r="L41" s="2">
        <f t="shared" si="8"/>
        <v>1.3271782178217825E-4</v>
      </c>
      <c r="M41" s="3">
        <f t="shared" si="9"/>
        <v>4.7762865441819992E-3</v>
      </c>
      <c r="N41" s="29">
        <f t="shared" si="10"/>
        <v>5.5920491844042275E-7</v>
      </c>
      <c r="O41" s="29">
        <f t="shared" si="11"/>
        <v>2.032E-3</v>
      </c>
      <c r="P41" s="29">
        <v>1.5574793265181801E-10</v>
      </c>
      <c r="Q41" s="16">
        <v>0.05</v>
      </c>
      <c r="R41" s="16">
        <f t="shared" si="12"/>
        <v>105000</v>
      </c>
      <c r="S41" s="16">
        <f t="shared" si="13"/>
        <v>5.3058450282772E-3</v>
      </c>
      <c r="T41" s="16">
        <v>0.11</v>
      </c>
      <c r="U41" s="16">
        <f t="shared" si="14"/>
        <v>111000.00000000001</v>
      </c>
      <c r="V41" s="16">
        <f t="shared" si="19"/>
        <v>14.731678217821788</v>
      </c>
      <c r="W41" s="2">
        <f t="shared" si="15"/>
        <v>5</v>
      </c>
      <c r="X41" s="2">
        <f t="shared" si="20"/>
        <v>6.8200349160876613E-7</v>
      </c>
      <c r="Y41" s="2">
        <f t="shared" si="16"/>
        <v>99312.66802513061</v>
      </c>
      <c r="Z41" s="2">
        <f t="shared" si="17"/>
        <v>3.6441893641957511E-14</v>
      </c>
      <c r="AA41" s="2">
        <f t="shared" si="18"/>
        <v>21945308351.186813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1">
        <v>120</v>
      </c>
      <c r="B42" s="1">
        <f t="shared" si="3"/>
        <v>2</v>
      </c>
      <c r="C42" s="1">
        <v>20</v>
      </c>
      <c r="D42" s="1">
        <f t="shared" si="0"/>
        <v>29.146000000000001</v>
      </c>
      <c r="E42" s="1">
        <f t="shared" si="4"/>
        <v>4.8576666666666667E-7</v>
      </c>
      <c r="F42" s="1">
        <v>21.1</v>
      </c>
      <c r="G42" s="1">
        <f t="shared" si="5"/>
        <v>294.10000000000002</v>
      </c>
      <c r="H42" s="1">
        <v>101.3</v>
      </c>
      <c r="I42" s="1">
        <f t="shared" si="6"/>
        <v>101300</v>
      </c>
      <c r="J42" s="1">
        <f t="shared" si="7"/>
        <v>2.0124824921938581E-5</v>
      </c>
      <c r="K42" s="22">
        <v>139.87128712871288</v>
      </c>
      <c r="L42" s="2">
        <f t="shared" si="8"/>
        <v>1.3987128712871289E-4</v>
      </c>
      <c r="M42" s="3">
        <f t="shared" si="9"/>
        <v>4.7762865441819992E-3</v>
      </c>
      <c r="N42" s="29">
        <f t="shared" si="10"/>
        <v>5.8934595716422483E-7</v>
      </c>
      <c r="O42" s="29">
        <f t="shared" si="11"/>
        <v>2.032E-3</v>
      </c>
      <c r="P42" s="29">
        <v>1.5574793265181801E-10</v>
      </c>
      <c r="Q42" s="16">
        <v>0.05</v>
      </c>
      <c r="R42" s="16">
        <f t="shared" si="12"/>
        <v>105000</v>
      </c>
      <c r="S42" s="16">
        <f t="shared" si="13"/>
        <v>5.3058450282772E-3</v>
      </c>
      <c r="T42" s="16">
        <v>0.11</v>
      </c>
      <c r="U42" s="16">
        <f t="shared" si="14"/>
        <v>111000.00000000001</v>
      </c>
      <c r="V42" s="16">
        <f t="shared" si="19"/>
        <v>15.525712871287132</v>
      </c>
      <c r="W42" s="2">
        <f t="shared" si="15"/>
        <v>5</v>
      </c>
      <c r="X42" s="2">
        <f t="shared" si="20"/>
        <v>7.1996881606779551E-7</v>
      </c>
      <c r="Y42" s="2">
        <f t="shared" si="16"/>
        <v>99000.722032038742</v>
      </c>
      <c r="Z42" s="2">
        <f t="shared" si="17"/>
        <v>3.8592063311473402E-14</v>
      </c>
      <c r="AA42" s="2">
        <f t="shared" si="18"/>
        <v>23240140526.169285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1">
        <v>123</v>
      </c>
      <c r="B43" s="1">
        <f t="shared" si="3"/>
        <v>2.0499999999999998</v>
      </c>
      <c r="C43" s="1">
        <v>20</v>
      </c>
      <c r="D43" s="1">
        <f t="shared" si="0"/>
        <v>29.146000000000001</v>
      </c>
      <c r="E43" s="1">
        <f t="shared" si="4"/>
        <v>4.8576666666666667E-7</v>
      </c>
      <c r="F43" s="1">
        <v>21.1</v>
      </c>
      <c r="G43" s="1">
        <f t="shared" si="5"/>
        <v>294.10000000000002</v>
      </c>
      <c r="H43" s="1">
        <v>101.3</v>
      </c>
      <c r="I43" s="1">
        <f t="shared" si="6"/>
        <v>101300</v>
      </c>
      <c r="J43" s="1">
        <f t="shared" si="7"/>
        <v>2.0124824921938581E-5</v>
      </c>
      <c r="K43" s="22">
        <v>132.94059405940595</v>
      </c>
      <c r="L43" s="2">
        <f t="shared" si="8"/>
        <v>1.3294059405940595E-4</v>
      </c>
      <c r="M43" s="3">
        <f t="shared" si="9"/>
        <v>4.7762865441819992E-3</v>
      </c>
      <c r="N43" s="29">
        <f t="shared" si="10"/>
        <v>5.6014356670517791E-7</v>
      </c>
      <c r="O43" s="29">
        <f t="shared" si="11"/>
        <v>2.032E-3</v>
      </c>
      <c r="P43" s="29">
        <v>1.5574793265181801E-10</v>
      </c>
      <c r="Q43" s="16">
        <v>0.05</v>
      </c>
      <c r="R43" s="16">
        <f t="shared" si="12"/>
        <v>105000</v>
      </c>
      <c r="S43" s="16">
        <f t="shared" si="13"/>
        <v>5.3058450282772E-3</v>
      </c>
      <c r="T43" s="16">
        <v>0.11</v>
      </c>
      <c r="U43" s="16">
        <f t="shared" si="14"/>
        <v>111000.00000000001</v>
      </c>
      <c r="V43" s="16">
        <f t="shared" si="19"/>
        <v>14.756405940594062</v>
      </c>
      <c r="W43" s="2">
        <f t="shared" si="15"/>
        <v>5</v>
      </c>
      <c r="X43" s="2">
        <f t="shared" si="20"/>
        <v>6.8318893948510115E-7</v>
      </c>
      <c r="Y43" s="2">
        <f t="shared" si="16"/>
        <v>99302.920249167233</v>
      </c>
      <c r="Z43" s="2">
        <f t="shared" si="17"/>
        <v>3.650882942769099E-14</v>
      </c>
      <c r="AA43" s="2">
        <f t="shared" si="18"/>
        <v>21985617081.355515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1">
        <v>126</v>
      </c>
      <c r="B44" s="1">
        <f t="shared" si="3"/>
        <v>2.1</v>
      </c>
      <c r="C44" s="1">
        <v>20</v>
      </c>
      <c r="D44" s="1">
        <f t="shared" si="0"/>
        <v>29.146000000000001</v>
      </c>
      <c r="E44" s="1">
        <f t="shared" si="4"/>
        <v>4.8576666666666667E-7</v>
      </c>
      <c r="F44" s="1">
        <v>21.1</v>
      </c>
      <c r="G44" s="1">
        <f t="shared" si="5"/>
        <v>294.10000000000002</v>
      </c>
      <c r="H44" s="1">
        <v>101.3</v>
      </c>
      <c r="I44" s="1">
        <f t="shared" si="6"/>
        <v>101300</v>
      </c>
      <c r="J44" s="1">
        <f t="shared" si="7"/>
        <v>2.0124824921938581E-5</v>
      </c>
      <c r="K44" s="22">
        <v>127.96534653465348</v>
      </c>
      <c r="L44" s="2">
        <f t="shared" si="8"/>
        <v>1.2796534653465347E-4</v>
      </c>
      <c r="M44" s="3">
        <f t="shared" si="9"/>
        <v>4.7762865441819992E-3</v>
      </c>
      <c r="N44" s="29">
        <f t="shared" si="10"/>
        <v>5.3918042212564769E-7</v>
      </c>
      <c r="O44" s="29">
        <f t="shared" si="11"/>
        <v>2.032E-3</v>
      </c>
      <c r="P44" s="29">
        <v>1.5574793265181801E-10</v>
      </c>
      <c r="Q44" s="16">
        <v>0.05</v>
      </c>
      <c r="R44" s="16">
        <f t="shared" si="12"/>
        <v>105000</v>
      </c>
      <c r="S44" s="16">
        <f t="shared" si="13"/>
        <v>5.3058450282772E-3</v>
      </c>
      <c r="T44" s="16">
        <v>0.11</v>
      </c>
      <c r="U44" s="16">
        <f t="shared" si="14"/>
        <v>111000.00000000001</v>
      </c>
      <c r="V44" s="16">
        <f t="shared" si="19"/>
        <v>14.204153465346536</v>
      </c>
      <c r="W44" s="2">
        <f t="shared" si="15"/>
        <v>5</v>
      </c>
      <c r="X44" s="2">
        <f t="shared" si="20"/>
        <v>6.5666371107500495E-7</v>
      </c>
      <c r="Y44" s="2">
        <f t="shared" si="16"/>
        <v>99521.147989443605</v>
      </c>
      <c r="Z44" s="2">
        <f t="shared" si="17"/>
        <v>3.501419853071219E-14</v>
      </c>
      <c r="AA44" s="2">
        <f t="shared" si="18"/>
        <v>21085550355.194881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1">
        <v>129</v>
      </c>
      <c r="B45" s="1">
        <f t="shared" si="3"/>
        <v>2.15</v>
      </c>
      <c r="C45" s="1">
        <v>20</v>
      </c>
      <c r="D45" s="1">
        <f t="shared" si="0"/>
        <v>29.146000000000001</v>
      </c>
      <c r="E45" s="1">
        <f t="shared" si="4"/>
        <v>4.8576666666666667E-7</v>
      </c>
      <c r="F45" s="1">
        <v>21.1</v>
      </c>
      <c r="G45" s="1">
        <f t="shared" si="5"/>
        <v>294.10000000000002</v>
      </c>
      <c r="H45" s="1">
        <v>101.3</v>
      </c>
      <c r="I45" s="1">
        <f t="shared" si="6"/>
        <v>101300</v>
      </c>
      <c r="J45" s="1">
        <f t="shared" si="7"/>
        <v>2.0124824921938581E-5</v>
      </c>
      <c r="K45" s="28">
        <v>140.46534653465349</v>
      </c>
      <c r="L45" s="2">
        <f t="shared" si="8"/>
        <v>1.404653465346535E-4</v>
      </c>
      <c r="M45" s="3">
        <f t="shared" si="9"/>
        <v>4.7762865441819992E-3</v>
      </c>
      <c r="N45" s="64">
        <f t="shared" si="10"/>
        <v>5.9184901920357181E-7</v>
      </c>
      <c r="O45" s="29">
        <f t="shared" si="11"/>
        <v>2.032E-3</v>
      </c>
      <c r="P45" s="29">
        <v>1.5574793265181801E-10</v>
      </c>
      <c r="Q45" s="16">
        <v>0.05</v>
      </c>
      <c r="R45" s="16">
        <f t="shared" si="12"/>
        <v>105000</v>
      </c>
      <c r="S45" s="16">
        <f t="shared" si="13"/>
        <v>5.3058450282772E-3</v>
      </c>
      <c r="T45" s="16">
        <v>0.11</v>
      </c>
      <c r="U45" s="16">
        <f t="shared" si="14"/>
        <v>111000.00000000001</v>
      </c>
      <c r="V45" s="16">
        <f t="shared" si="19"/>
        <v>15.591653465346541</v>
      </c>
      <c r="W45" s="2">
        <f t="shared" si="15"/>
        <v>5</v>
      </c>
      <c r="X45" s="12">
        <f t="shared" si="20"/>
        <v>7.2311254941097732E-7</v>
      </c>
      <c r="Y45" s="2">
        <f t="shared" si="16"/>
        <v>98974.913221840921</v>
      </c>
      <c r="Z45" s="12">
        <f t="shared" si="17"/>
        <v>3.877070966504268E-14</v>
      </c>
      <c r="AA45" s="12">
        <f t="shared" si="18"/>
        <v>23347721360.288704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1">
        <v>132</v>
      </c>
      <c r="B46" s="1">
        <f t="shared" si="3"/>
        <v>2.2000000000000002</v>
      </c>
      <c r="C46" s="1">
        <v>20</v>
      </c>
      <c r="D46" s="1">
        <f t="shared" si="0"/>
        <v>29.146000000000001</v>
      </c>
      <c r="E46" s="1">
        <f t="shared" si="4"/>
        <v>4.8576666666666667E-7</v>
      </c>
      <c r="F46" s="1">
        <v>21.1</v>
      </c>
      <c r="G46" s="1">
        <f t="shared" si="5"/>
        <v>294.10000000000002</v>
      </c>
      <c r="H46" s="1">
        <v>101.3</v>
      </c>
      <c r="I46" s="1">
        <f t="shared" si="6"/>
        <v>101300</v>
      </c>
      <c r="J46" s="1">
        <f t="shared" si="7"/>
        <v>2.0124824921938581E-5</v>
      </c>
      <c r="K46" s="28">
        <v>123.55940594059408</v>
      </c>
      <c r="L46" s="2">
        <f t="shared" si="8"/>
        <v>1.2355940594059407E-4</v>
      </c>
      <c r="M46" s="3">
        <f t="shared" si="9"/>
        <v>4.7762865441819992E-3</v>
      </c>
      <c r="N46" s="64">
        <f t="shared" si="10"/>
        <v>5.2061604533382491E-7</v>
      </c>
      <c r="O46" s="29">
        <f t="shared" si="11"/>
        <v>2.032E-3</v>
      </c>
      <c r="P46" s="29">
        <v>1.5574793265181801E-10</v>
      </c>
      <c r="Q46" s="16">
        <v>0.05</v>
      </c>
      <c r="R46" s="16">
        <f t="shared" si="12"/>
        <v>105000</v>
      </c>
      <c r="S46" s="16">
        <f t="shared" si="13"/>
        <v>5.3058450282772E-3</v>
      </c>
      <c r="T46" s="16">
        <v>0.11</v>
      </c>
      <c r="U46" s="16">
        <f t="shared" si="14"/>
        <v>111000.00000000001</v>
      </c>
      <c r="V46" s="16">
        <f t="shared" si="19"/>
        <v>13.715094059405944</v>
      </c>
      <c r="W46" s="2">
        <f t="shared" si="15"/>
        <v>5</v>
      </c>
      <c r="X46" s="12">
        <f t="shared" si="20"/>
        <v>6.3308272808827793E-7</v>
      </c>
      <c r="Y46" s="2">
        <f t="shared" si="16"/>
        <v>99715.354022949527</v>
      </c>
      <c r="Z46" s="12">
        <f t="shared" si="17"/>
        <v>3.3690909010142877E-14</v>
      </c>
      <c r="AA46" s="12">
        <f t="shared" si="18"/>
        <v>20288665405.908043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1">
        <v>135</v>
      </c>
      <c r="B47" s="1">
        <f t="shared" si="3"/>
        <v>2.25</v>
      </c>
      <c r="C47" s="1">
        <v>20</v>
      </c>
      <c r="D47" s="1">
        <f t="shared" si="0"/>
        <v>29.146000000000001</v>
      </c>
      <c r="E47" s="1">
        <f t="shared" si="4"/>
        <v>4.8576666666666667E-7</v>
      </c>
      <c r="F47" s="1">
        <v>21.1</v>
      </c>
      <c r="G47" s="1">
        <f t="shared" si="5"/>
        <v>294.10000000000002</v>
      </c>
      <c r="H47" s="1">
        <v>101.3</v>
      </c>
      <c r="I47" s="1">
        <f t="shared" si="6"/>
        <v>101300</v>
      </c>
      <c r="J47" s="1">
        <f t="shared" si="7"/>
        <v>2.0124824921938581E-5</v>
      </c>
      <c r="K47" s="28">
        <v>136.38118811881191</v>
      </c>
      <c r="L47" s="2">
        <f t="shared" si="8"/>
        <v>1.363811881188119E-4</v>
      </c>
      <c r="M47" s="3">
        <f t="shared" si="9"/>
        <v>4.7762865441819992E-3</v>
      </c>
      <c r="N47" s="64">
        <f t="shared" si="10"/>
        <v>5.74640467683062E-7</v>
      </c>
      <c r="O47" s="29">
        <f t="shared" si="11"/>
        <v>2.032E-3</v>
      </c>
      <c r="P47" s="29">
        <v>1.5574793265181801E-10</v>
      </c>
      <c r="Q47" s="16">
        <v>0.05</v>
      </c>
      <c r="R47" s="16">
        <f t="shared" si="12"/>
        <v>105000</v>
      </c>
      <c r="S47" s="16">
        <f t="shared" si="13"/>
        <v>5.3058450282772E-3</v>
      </c>
      <c r="T47" s="16">
        <v>0.11</v>
      </c>
      <c r="U47" s="16">
        <f t="shared" si="14"/>
        <v>111000.00000000001</v>
      </c>
      <c r="V47" s="16">
        <f t="shared" si="19"/>
        <v>15.138311881188123</v>
      </c>
      <c r="W47" s="2">
        <f t="shared" si="15"/>
        <v>5</v>
      </c>
      <c r="X47" s="12">
        <f t="shared" si="20"/>
        <v>7.0147158787538159E-7</v>
      </c>
      <c r="Y47" s="2">
        <f t="shared" si="16"/>
        <v>99152.645113775478</v>
      </c>
      <c r="Z47" s="12">
        <f t="shared" si="17"/>
        <v>3.7542799461799557E-14</v>
      </c>
      <c r="AA47" s="12">
        <f t="shared" si="18"/>
        <v>22608273835.895695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1">
        <v>138</v>
      </c>
      <c r="B48" s="1">
        <f t="shared" si="3"/>
        <v>2.2999999999999998</v>
      </c>
      <c r="C48" s="1">
        <v>20</v>
      </c>
      <c r="D48" s="1">
        <f t="shared" si="0"/>
        <v>29.146000000000001</v>
      </c>
      <c r="E48" s="1">
        <f t="shared" si="4"/>
        <v>4.8576666666666667E-7</v>
      </c>
      <c r="F48" s="1">
        <v>21.1</v>
      </c>
      <c r="G48" s="1">
        <f t="shared" si="5"/>
        <v>294.10000000000002</v>
      </c>
      <c r="H48" s="1">
        <v>101.3</v>
      </c>
      <c r="I48" s="1">
        <f t="shared" si="6"/>
        <v>101300</v>
      </c>
      <c r="J48" s="1">
        <f t="shared" si="7"/>
        <v>2.0124824921938581E-5</v>
      </c>
      <c r="K48" s="28">
        <v>128.21287128712873</v>
      </c>
      <c r="L48" s="2">
        <f t="shared" si="8"/>
        <v>1.2821287128712873E-4</v>
      </c>
      <c r="M48" s="3">
        <f t="shared" si="9"/>
        <v>4.7762865441819992E-3</v>
      </c>
      <c r="N48" s="64">
        <f t="shared" si="10"/>
        <v>5.4022336464204227E-7</v>
      </c>
      <c r="O48" s="29">
        <f t="shared" si="11"/>
        <v>2.032E-3</v>
      </c>
      <c r="P48" s="29">
        <v>1.5574793265181801E-10</v>
      </c>
      <c r="Q48" s="16">
        <v>0.05</v>
      </c>
      <c r="R48" s="16">
        <f t="shared" si="12"/>
        <v>105000</v>
      </c>
      <c r="S48" s="16">
        <f t="shared" si="13"/>
        <v>5.3058450282772E-3</v>
      </c>
      <c r="T48" s="16">
        <v>0.11</v>
      </c>
      <c r="U48" s="16">
        <f t="shared" si="14"/>
        <v>111000.00000000001</v>
      </c>
      <c r="V48" s="16">
        <f t="shared" si="19"/>
        <v>14.231628712871291</v>
      </c>
      <c r="W48" s="2">
        <f t="shared" si="15"/>
        <v>5</v>
      </c>
      <c r="X48" s="12">
        <f t="shared" si="20"/>
        <v>6.5798590325858517E-7</v>
      </c>
      <c r="Y48" s="2">
        <f t="shared" si="16"/>
        <v>99510.264408577321</v>
      </c>
      <c r="Z48" s="12">
        <f t="shared" si="17"/>
        <v>3.5088547110268039E-14</v>
      </c>
      <c r="AA48" s="12">
        <f t="shared" si="18"/>
        <v>21130323069.803413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1">
        <v>141</v>
      </c>
      <c r="B49" s="1">
        <f t="shared" si="3"/>
        <v>2.35</v>
      </c>
      <c r="C49" s="1">
        <v>20</v>
      </c>
      <c r="D49" s="1">
        <f t="shared" si="0"/>
        <v>29.146000000000001</v>
      </c>
      <c r="E49" s="1">
        <f t="shared" si="4"/>
        <v>4.8576666666666667E-7</v>
      </c>
      <c r="F49" s="1">
        <v>21.1</v>
      </c>
      <c r="G49" s="1">
        <f t="shared" si="5"/>
        <v>294.10000000000002</v>
      </c>
      <c r="H49" s="1">
        <v>101.3</v>
      </c>
      <c r="I49" s="1">
        <f t="shared" si="6"/>
        <v>101300</v>
      </c>
      <c r="J49" s="1">
        <f t="shared" si="7"/>
        <v>2.0124824921938581E-5</v>
      </c>
      <c r="K49" s="28">
        <v>134.57425742574259</v>
      </c>
      <c r="L49" s="2">
        <f t="shared" si="8"/>
        <v>1.3457425742574258E-4</v>
      </c>
      <c r="M49" s="3">
        <f t="shared" si="9"/>
        <v>4.7762865441819992E-3</v>
      </c>
      <c r="N49" s="64">
        <f t="shared" si="10"/>
        <v>5.6702698731338175E-7</v>
      </c>
      <c r="O49" s="29">
        <f t="shared" si="11"/>
        <v>2.032E-3</v>
      </c>
      <c r="P49" s="29">
        <v>1.5574793265181801E-10</v>
      </c>
      <c r="Q49" s="16">
        <v>0.05</v>
      </c>
      <c r="R49" s="16">
        <f t="shared" si="12"/>
        <v>105000</v>
      </c>
      <c r="S49" s="16">
        <f t="shared" si="13"/>
        <v>5.3058450282772E-3</v>
      </c>
      <c r="T49" s="16">
        <v>0.11</v>
      </c>
      <c r="U49" s="16">
        <f t="shared" si="14"/>
        <v>111000.00000000001</v>
      </c>
      <c r="V49" s="16">
        <f t="shared" si="19"/>
        <v>14.937742574257427</v>
      </c>
      <c r="W49" s="2">
        <f t="shared" si="15"/>
        <v>5</v>
      </c>
      <c r="X49" s="12">
        <f t="shared" si="20"/>
        <v>6.9187594139776844E-7</v>
      </c>
      <c r="Y49" s="2">
        <f t="shared" si="16"/>
        <v>99231.502817166751</v>
      </c>
      <c r="Z49" s="12">
        <f t="shared" si="17"/>
        <v>3.6999734077571171E-14</v>
      </c>
      <c r="AA49" s="12">
        <f t="shared" si="18"/>
        <v>22281239861.513359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1">
        <v>144</v>
      </c>
      <c r="B50" s="1">
        <f t="shared" si="3"/>
        <v>2.4</v>
      </c>
      <c r="C50" s="1">
        <v>20</v>
      </c>
      <c r="D50" s="1">
        <f t="shared" si="0"/>
        <v>29.146000000000001</v>
      </c>
      <c r="E50" s="1">
        <f t="shared" si="4"/>
        <v>4.8576666666666667E-7</v>
      </c>
      <c r="F50" s="1">
        <v>21.1</v>
      </c>
      <c r="G50" s="1">
        <f t="shared" si="5"/>
        <v>294.10000000000002</v>
      </c>
      <c r="H50" s="1">
        <v>101.3</v>
      </c>
      <c r="I50" s="1">
        <f t="shared" si="6"/>
        <v>101300</v>
      </c>
      <c r="J50" s="1">
        <f t="shared" si="7"/>
        <v>2.0124824921938581E-5</v>
      </c>
      <c r="K50" s="28">
        <v>137.07425742574259</v>
      </c>
      <c r="L50" s="2">
        <f t="shared" si="8"/>
        <v>1.3707425742574258E-4</v>
      </c>
      <c r="M50" s="3">
        <f t="shared" si="9"/>
        <v>4.7762865441819992E-3</v>
      </c>
      <c r="N50" s="64">
        <f t="shared" si="10"/>
        <v>5.7756070672896668E-7</v>
      </c>
      <c r="O50" s="29">
        <f t="shared" si="11"/>
        <v>2.032E-3</v>
      </c>
      <c r="P50" s="29">
        <v>1.5574793265181801E-10</v>
      </c>
      <c r="Q50" s="16">
        <v>0.05</v>
      </c>
      <c r="R50" s="16">
        <f t="shared" si="12"/>
        <v>105000</v>
      </c>
      <c r="S50" s="16">
        <f t="shared" si="13"/>
        <v>5.3058450282772E-3</v>
      </c>
      <c r="T50" s="16">
        <v>0.11</v>
      </c>
      <c r="U50" s="16">
        <f t="shared" si="14"/>
        <v>111000.00000000001</v>
      </c>
      <c r="V50" s="16">
        <f t="shared" si="19"/>
        <v>15.215242574257429</v>
      </c>
      <c r="W50" s="2">
        <f t="shared" si="15"/>
        <v>5</v>
      </c>
      <c r="X50" s="12">
        <f t="shared" si="20"/>
        <v>7.0514862288206106E-7</v>
      </c>
      <c r="Y50" s="2">
        <f t="shared" si="16"/>
        <v>99122.435286559135</v>
      </c>
      <c r="Z50" s="12">
        <f t="shared" si="17"/>
        <v>3.7751127649981699E-14</v>
      </c>
      <c r="AA50" s="12">
        <f t="shared" si="18"/>
        <v>22733729070.818981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1">
        <v>147</v>
      </c>
      <c r="B51" s="1">
        <f t="shared" si="3"/>
        <v>2.4500000000000002</v>
      </c>
      <c r="C51" s="1">
        <v>20</v>
      </c>
      <c r="D51" s="1">
        <f t="shared" si="0"/>
        <v>29.146000000000001</v>
      </c>
      <c r="E51" s="1">
        <f t="shared" si="4"/>
        <v>4.8576666666666667E-7</v>
      </c>
      <c r="F51" s="1">
        <v>21.1</v>
      </c>
      <c r="G51" s="1">
        <f t="shared" si="5"/>
        <v>294.10000000000002</v>
      </c>
      <c r="H51" s="1">
        <v>101.3</v>
      </c>
      <c r="I51" s="1">
        <f t="shared" si="6"/>
        <v>101300</v>
      </c>
      <c r="J51" s="1">
        <f t="shared" si="7"/>
        <v>2.0124824921938581E-5</v>
      </c>
      <c r="K51" s="28">
        <v>133.68316831683168</v>
      </c>
      <c r="L51" s="2">
        <f t="shared" si="8"/>
        <v>1.3368316831683169E-4</v>
      </c>
      <c r="M51" s="3">
        <f t="shared" si="9"/>
        <v>4.7762865441819992E-3</v>
      </c>
      <c r="N51" s="64">
        <f t="shared" si="10"/>
        <v>5.6327239425436144E-7</v>
      </c>
      <c r="O51" s="29">
        <f t="shared" si="11"/>
        <v>2.032E-3</v>
      </c>
      <c r="P51" s="29">
        <v>1.5574793265181801E-10</v>
      </c>
      <c r="Q51" s="16">
        <v>0.05</v>
      </c>
      <c r="R51" s="16">
        <f t="shared" si="12"/>
        <v>105000</v>
      </c>
      <c r="S51" s="16">
        <f t="shared" si="13"/>
        <v>5.3058450282772E-3</v>
      </c>
      <c r="T51" s="16">
        <v>0.11</v>
      </c>
      <c r="U51" s="16">
        <f t="shared" si="14"/>
        <v>111000.00000000001</v>
      </c>
      <c r="V51" s="16">
        <f t="shared" si="19"/>
        <v>14.838831683168319</v>
      </c>
      <c r="W51" s="2">
        <f t="shared" si="15"/>
        <v>5</v>
      </c>
      <c r="X51" s="12">
        <f t="shared" si="20"/>
        <v>6.8713894249546724E-7</v>
      </c>
      <c r="Y51" s="2">
        <f t="shared" si="16"/>
        <v>99270.443366814012</v>
      </c>
      <c r="Z51" s="12">
        <f t="shared" si="17"/>
        <v>3.6731958450616287E-14</v>
      </c>
      <c r="AA51" s="12">
        <f t="shared" si="18"/>
        <v>22119985378.961128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1">
        <v>150</v>
      </c>
      <c r="B52" s="1">
        <f t="shared" si="3"/>
        <v>2.5</v>
      </c>
      <c r="C52" s="1">
        <v>20</v>
      </c>
      <c r="D52" s="1">
        <f t="shared" si="0"/>
        <v>29.146000000000001</v>
      </c>
      <c r="E52" s="1">
        <f t="shared" si="4"/>
        <v>4.8576666666666667E-7</v>
      </c>
      <c r="F52" s="1">
        <v>21.1</v>
      </c>
      <c r="G52" s="1">
        <f t="shared" si="5"/>
        <v>294.10000000000002</v>
      </c>
      <c r="H52" s="1">
        <v>101.3</v>
      </c>
      <c r="I52" s="1">
        <f t="shared" si="6"/>
        <v>101300</v>
      </c>
      <c r="J52" s="1">
        <f t="shared" si="7"/>
        <v>2.0124824921938581E-5</v>
      </c>
      <c r="K52" s="28">
        <v>138.06435643564359</v>
      </c>
      <c r="L52" s="2">
        <f t="shared" si="8"/>
        <v>1.3806435643564359E-4</v>
      </c>
      <c r="M52" s="3">
        <f t="shared" si="9"/>
        <v>4.7762865441819992E-3</v>
      </c>
      <c r="N52" s="64">
        <f t="shared" si="10"/>
        <v>5.8173247679454479E-7</v>
      </c>
      <c r="O52" s="29">
        <f t="shared" si="11"/>
        <v>2.032E-3</v>
      </c>
      <c r="P52" s="29">
        <v>1.5574793265181801E-10</v>
      </c>
      <c r="Q52" s="16">
        <v>0.05</v>
      </c>
      <c r="R52" s="16">
        <f t="shared" si="12"/>
        <v>105000</v>
      </c>
      <c r="S52" s="16">
        <f t="shared" si="13"/>
        <v>5.3058450282772E-3</v>
      </c>
      <c r="T52" s="16">
        <v>0.11</v>
      </c>
      <c r="U52" s="16">
        <f t="shared" si="14"/>
        <v>111000.00000000001</v>
      </c>
      <c r="V52" s="16">
        <f t="shared" si="19"/>
        <v>15.32514356435644</v>
      </c>
      <c r="W52" s="2">
        <f t="shared" si="15"/>
        <v>5</v>
      </c>
      <c r="X52" s="12">
        <f t="shared" si="20"/>
        <v>7.1039821889710054E-7</v>
      </c>
      <c r="Y52" s="2">
        <f t="shared" si="16"/>
        <v>99079.313570788858</v>
      </c>
      <c r="Z52" s="12">
        <f t="shared" si="17"/>
        <v>3.8048769463801442E-14</v>
      </c>
      <c r="AA52" s="12">
        <f t="shared" si="18"/>
        <v>22912968971.101231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1">
        <v>153</v>
      </c>
      <c r="B53" s="1">
        <f t="shared" si="3"/>
        <v>2.5499999999999998</v>
      </c>
      <c r="C53" s="1">
        <v>20</v>
      </c>
      <c r="D53" s="1">
        <f t="shared" si="0"/>
        <v>29.146000000000001</v>
      </c>
      <c r="E53" s="1">
        <f t="shared" si="4"/>
        <v>4.8576666666666667E-7</v>
      </c>
      <c r="F53" s="1">
        <v>21.1</v>
      </c>
      <c r="G53" s="1">
        <f t="shared" si="5"/>
        <v>294.10000000000002</v>
      </c>
      <c r="H53" s="1">
        <v>101.3</v>
      </c>
      <c r="I53" s="1">
        <f t="shared" si="6"/>
        <v>101300</v>
      </c>
      <c r="J53" s="1">
        <f t="shared" si="7"/>
        <v>2.0124824921938581E-5</v>
      </c>
      <c r="K53" s="28">
        <v>127.47029702970299</v>
      </c>
      <c r="L53" s="2">
        <f t="shared" si="8"/>
        <v>1.27470297029703E-4</v>
      </c>
      <c r="M53" s="3">
        <f t="shared" si="9"/>
        <v>4.7762865441819992E-3</v>
      </c>
      <c r="N53" s="64">
        <f t="shared" si="10"/>
        <v>5.3709453709285863E-7</v>
      </c>
      <c r="O53" s="29">
        <f t="shared" si="11"/>
        <v>2.032E-3</v>
      </c>
      <c r="P53" s="29">
        <v>1.5574793265181801E-10</v>
      </c>
      <c r="Q53" s="16">
        <v>0.05</v>
      </c>
      <c r="R53" s="16">
        <f t="shared" si="12"/>
        <v>105000</v>
      </c>
      <c r="S53" s="16">
        <f t="shared" si="13"/>
        <v>5.3058450282772E-3</v>
      </c>
      <c r="T53" s="16">
        <v>0.11</v>
      </c>
      <c r="U53" s="16">
        <f t="shared" si="14"/>
        <v>111000.00000000001</v>
      </c>
      <c r="V53" s="16">
        <f t="shared" si="19"/>
        <v>14.149202970297035</v>
      </c>
      <c r="W53" s="2">
        <f t="shared" si="15"/>
        <v>5</v>
      </c>
      <c r="X53" s="12">
        <f t="shared" si="20"/>
        <v>6.5401851529589999E-7</v>
      </c>
      <c r="Y53" s="2">
        <f t="shared" si="16"/>
        <v>99542.923616631437</v>
      </c>
      <c r="Z53" s="12">
        <f t="shared" si="17"/>
        <v>3.4865504053747134E-14</v>
      </c>
      <c r="AA53" s="12">
        <f t="shared" si="18"/>
        <v>20996006541.166527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1">
        <v>156</v>
      </c>
      <c r="B54" s="1">
        <f t="shared" si="3"/>
        <v>2.6</v>
      </c>
      <c r="C54" s="1">
        <v>20</v>
      </c>
      <c r="D54" s="1">
        <f t="shared" si="0"/>
        <v>29.146000000000001</v>
      </c>
      <c r="E54" s="1">
        <f t="shared" si="4"/>
        <v>4.8576666666666667E-7</v>
      </c>
      <c r="F54" s="1">
        <v>21.1</v>
      </c>
      <c r="G54" s="1">
        <f t="shared" si="5"/>
        <v>294.10000000000002</v>
      </c>
      <c r="H54" s="1">
        <v>101.3</v>
      </c>
      <c r="I54" s="1">
        <f t="shared" si="6"/>
        <v>101300</v>
      </c>
      <c r="J54" s="1">
        <f t="shared" si="7"/>
        <v>2.0124824921938581E-5</v>
      </c>
      <c r="K54" s="28">
        <v>137.86633663366339</v>
      </c>
      <c r="L54" s="2">
        <f t="shared" si="8"/>
        <v>1.3786633663366341E-4</v>
      </c>
      <c r="M54" s="3">
        <f t="shared" si="9"/>
        <v>4.7762865441819992E-3</v>
      </c>
      <c r="N54" s="64">
        <f t="shared" si="10"/>
        <v>5.8089812278142928E-7</v>
      </c>
      <c r="O54" s="29">
        <f t="shared" si="11"/>
        <v>2.032E-3</v>
      </c>
      <c r="P54" s="29">
        <v>1.5574793265181801E-10</v>
      </c>
      <c r="Q54" s="16">
        <v>0.05</v>
      </c>
      <c r="R54" s="16">
        <f t="shared" si="12"/>
        <v>105000</v>
      </c>
      <c r="S54" s="16">
        <f t="shared" si="13"/>
        <v>5.3058450282772E-3</v>
      </c>
      <c r="T54" s="16">
        <v>0.11</v>
      </c>
      <c r="U54" s="16">
        <f t="shared" si="14"/>
        <v>111000.00000000001</v>
      </c>
      <c r="V54" s="16">
        <f t="shared" si="19"/>
        <v>15.303163366336641</v>
      </c>
      <c r="W54" s="2">
        <f t="shared" si="15"/>
        <v>5</v>
      </c>
      <c r="X54" s="12">
        <f t="shared" si="20"/>
        <v>7.0934860964883673E-7</v>
      </c>
      <c r="Y54" s="2">
        <f t="shared" si="16"/>
        <v>99087.934617508989</v>
      </c>
      <c r="Z54" s="12">
        <f t="shared" si="17"/>
        <v>3.7989238183934888E-14</v>
      </c>
      <c r="AA54" s="12">
        <f t="shared" si="18"/>
        <v>22877119234.365589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1">
        <v>159</v>
      </c>
      <c r="B55" s="1">
        <f t="shared" si="3"/>
        <v>2.65</v>
      </c>
      <c r="C55" s="1">
        <v>20</v>
      </c>
      <c r="D55" s="1">
        <f t="shared" si="0"/>
        <v>29.146000000000001</v>
      </c>
      <c r="E55" s="1">
        <f t="shared" si="4"/>
        <v>4.8576666666666667E-7</v>
      </c>
      <c r="F55" s="1">
        <v>21.1</v>
      </c>
      <c r="G55" s="1">
        <f t="shared" si="5"/>
        <v>294.10000000000002</v>
      </c>
      <c r="H55" s="1">
        <v>101.3</v>
      </c>
      <c r="I55" s="1">
        <f t="shared" si="6"/>
        <v>101300</v>
      </c>
      <c r="J55" s="1">
        <f t="shared" si="7"/>
        <v>2.0124824921938581E-5</v>
      </c>
      <c r="K55" s="28">
        <v>141.60396039603961</v>
      </c>
      <c r="L55" s="2">
        <f t="shared" ref="L55:L81" si="21">(K55/1000000)</f>
        <v>1.416039603960396E-4</v>
      </c>
      <c r="M55" s="3">
        <f t="shared" si="9"/>
        <v>4.7762865441819992E-3</v>
      </c>
      <c r="N55" s="64">
        <f t="shared" ref="N55:N81" si="22">(L55*J55)/M55</f>
        <v>5.9664655477898648E-7</v>
      </c>
      <c r="O55" s="29">
        <f t="shared" si="11"/>
        <v>2.032E-3</v>
      </c>
      <c r="P55" s="29">
        <v>1.5574793265181801E-10</v>
      </c>
      <c r="Q55" s="16">
        <v>0.05</v>
      </c>
      <c r="R55" s="16">
        <f t="shared" ref="R55:R81" si="23">(1+Q55)*100000*1</f>
        <v>105000</v>
      </c>
      <c r="S55" s="16">
        <f t="shared" si="13"/>
        <v>5.3058450282772E-3</v>
      </c>
      <c r="T55" s="16">
        <v>0.11</v>
      </c>
      <c r="U55" s="16">
        <f t="shared" ref="U55:U81" si="24">(1+T55)*100000</f>
        <v>111000.00000000001</v>
      </c>
      <c r="V55" s="16">
        <f t="shared" si="19"/>
        <v>15.718039603960397</v>
      </c>
      <c r="W55" s="2">
        <f t="shared" si="15"/>
        <v>5</v>
      </c>
      <c r="X55" s="12">
        <f t="shared" si="20"/>
        <v>7.29134262827542E-7</v>
      </c>
      <c r="Y55" s="2">
        <f t="shared" si="16"/>
        <v>98925.486725483555</v>
      </c>
      <c r="Z55" s="12">
        <f t="shared" si="17"/>
        <v>3.9113157929388312E-14</v>
      </c>
      <c r="AA55" s="12">
        <f t="shared" si="18"/>
        <v>23553943705.077644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1">
        <v>162</v>
      </c>
      <c r="B56" s="1">
        <f t="shared" si="3"/>
        <v>2.7</v>
      </c>
      <c r="C56" s="1">
        <v>20</v>
      </c>
      <c r="D56" s="1">
        <f t="shared" si="0"/>
        <v>29.146000000000001</v>
      </c>
      <c r="E56" s="1">
        <f t="shared" si="4"/>
        <v>4.8576666666666667E-7</v>
      </c>
      <c r="F56" s="1">
        <v>21.1</v>
      </c>
      <c r="G56" s="1">
        <f t="shared" si="5"/>
        <v>294.10000000000002</v>
      </c>
      <c r="H56" s="1">
        <v>101.3</v>
      </c>
      <c r="I56" s="1">
        <f t="shared" si="6"/>
        <v>101300</v>
      </c>
      <c r="J56" s="1">
        <f t="shared" si="7"/>
        <v>2.0124824921938581E-5</v>
      </c>
      <c r="K56" s="28">
        <v>134.22772277227725</v>
      </c>
      <c r="L56" s="2">
        <f t="shared" si="21"/>
        <v>1.3422772277227725E-4</v>
      </c>
      <c r="M56" s="3">
        <f t="shared" si="9"/>
        <v>4.7762865441819992E-3</v>
      </c>
      <c r="N56" s="64">
        <f t="shared" si="22"/>
        <v>5.6556686779042946E-7</v>
      </c>
      <c r="O56" s="29">
        <f t="shared" si="11"/>
        <v>2.032E-3</v>
      </c>
      <c r="P56" s="29">
        <v>1.5574793265181801E-10</v>
      </c>
      <c r="Q56" s="16">
        <v>0.05</v>
      </c>
      <c r="R56" s="16">
        <f t="shared" si="23"/>
        <v>105000</v>
      </c>
      <c r="S56" s="16">
        <f t="shared" si="13"/>
        <v>5.3058450282772E-3</v>
      </c>
      <c r="T56" s="16">
        <v>0.11</v>
      </c>
      <c r="U56" s="16">
        <f t="shared" si="24"/>
        <v>111000.00000000001</v>
      </c>
      <c r="V56" s="16">
        <f t="shared" si="19"/>
        <v>14.899277227722777</v>
      </c>
      <c r="W56" s="2">
        <f t="shared" si="15"/>
        <v>5</v>
      </c>
      <c r="X56" s="12">
        <f t="shared" si="20"/>
        <v>6.9003416278736795E-7</v>
      </c>
      <c r="Y56" s="2">
        <f t="shared" si="16"/>
        <v>99246.642270083132</v>
      </c>
      <c r="Z56" s="12">
        <f t="shared" si="17"/>
        <v>3.6895596323752779E-14</v>
      </c>
      <c r="AA56" s="12">
        <f t="shared" si="18"/>
        <v>22218528106.163925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1">
        <v>165</v>
      </c>
      <c r="B57" s="1">
        <f t="shared" si="3"/>
        <v>2.75</v>
      </c>
      <c r="C57" s="1">
        <v>20</v>
      </c>
      <c r="D57" s="1">
        <f t="shared" si="0"/>
        <v>29.146000000000001</v>
      </c>
      <c r="E57" s="1">
        <f t="shared" si="4"/>
        <v>4.8576666666666667E-7</v>
      </c>
      <c r="F57" s="1">
        <v>21.1</v>
      </c>
      <c r="G57" s="1">
        <f t="shared" si="5"/>
        <v>294.10000000000002</v>
      </c>
      <c r="H57" s="1">
        <v>101.3</v>
      </c>
      <c r="I57" s="1">
        <f t="shared" si="6"/>
        <v>101300</v>
      </c>
      <c r="J57" s="1">
        <f t="shared" si="7"/>
        <v>2.0124824921938581E-5</v>
      </c>
      <c r="K57" s="28">
        <v>129.05445544554459</v>
      </c>
      <c r="L57" s="2">
        <f t="shared" si="21"/>
        <v>1.2905445544554459E-4</v>
      </c>
      <c r="M57" s="3">
        <f t="shared" si="9"/>
        <v>4.7762865441819992E-3</v>
      </c>
      <c r="N57" s="64">
        <f t="shared" si="22"/>
        <v>5.4376936919778372E-7</v>
      </c>
      <c r="O57" s="29">
        <f t="shared" si="11"/>
        <v>2.032E-3</v>
      </c>
      <c r="P57" s="29">
        <v>1.5574793265181801E-10</v>
      </c>
      <c r="Q57" s="16">
        <v>0.05</v>
      </c>
      <c r="R57" s="16">
        <f t="shared" si="23"/>
        <v>105000</v>
      </c>
      <c r="S57" s="16">
        <f t="shared" si="13"/>
        <v>5.3058450282772E-3</v>
      </c>
      <c r="T57" s="16">
        <v>0.11</v>
      </c>
      <c r="U57" s="16">
        <f t="shared" si="24"/>
        <v>111000.00000000001</v>
      </c>
      <c r="V57" s="16">
        <f t="shared" si="19"/>
        <v>14.325044554455451</v>
      </c>
      <c r="W57" s="2">
        <f t="shared" si="15"/>
        <v>5</v>
      </c>
      <c r="X57" s="12">
        <f t="shared" si="20"/>
        <v>6.6247934602180744E-7</v>
      </c>
      <c r="Y57" s="2">
        <f t="shared" si="16"/>
        <v>99473.281232468042</v>
      </c>
      <c r="Z57" s="12">
        <f t="shared" si="17"/>
        <v>3.5341339575141127E-14</v>
      </c>
      <c r="AA57" s="12">
        <f t="shared" si="18"/>
        <v>21282554692.149986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1">
        <v>168</v>
      </c>
      <c r="B58" s="1">
        <f t="shared" si="3"/>
        <v>2.8</v>
      </c>
      <c r="C58" s="1">
        <v>20</v>
      </c>
      <c r="D58" s="1">
        <f t="shared" si="0"/>
        <v>29.146000000000001</v>
      </c>
      <c r="E58" s="1">
        <f t="shared" si="4"/>
        <v>4.8576666666666667E-7</v>
      </c>
      <c r="F58" s="1">
        <v>21.1</v>
      </c>
      <c r="G58" s="1">
        <f t="shared" si="5"/>
        <v>294.10000000000002</v>
      </c>
      <c r="H58" s="1">
        <v>101.3</v>
      </c>
      <c r="I58" s="1">
        <f t="shared" si="6"/>
        <v>101300</v>
      </c>
      <c r="J58" s="1">
        <f t="shared" si="7"/>
        <v>2.0124824921938581E-5</v>
      </c>
      <c r="K58" s="28">
        <v>128.73267326732673</v>
      </c>
      <c r="L58" s="2">
        <f t="shared" si="21"/>
        <v>1.2873267326732674E-4</v>
      </c>
      <c r="M58" s="3">
        <f t="shared" si="9"/>
        <v>4.7762865441819992E-3</v>
      </c>
      <c r="N58" s="64">
        <f t="shared" si="22"/>
        <v>5.4241354392647065E-7</v>
      </c>
      <c r="O58" s="29">
        <f t="shared" si="11"/>
        <v>2.032E-3</v>
      </c>
      <c r="P58" s="29">
        <v>1.5574793265181801E-10</v>
      </c>
      <c r="Q58" s="16">
        <v>0.05</v>
      </c>
      <c r="R58" s="16">
        <f t="shared" si="23"/>
        <v>105000</v>
      </c>
      <c r="S58" s="16">
        <f t="shared" si="13"/>
        <v>5.3058450282772E-3</v>
      </c>
      <c r="T58" s="16">
        <v>0.11</v>
      </c>
      <c r="U58" s="16">
        <f t="shared" si="24"/>
        <v>111000.00000000001</v>
      </c>
      <c r="V58" s="16">
        <f t="shared" si="19"/>
        <v>14.28932673267327</v>
      </c>
      <c r="W58" s="2">
        <f t="shared" si="15"/>
        <v>5</v>
      </c>
      <c r="X58" s="12">
        <f t="shared" si="20"/>
        <v>6.6076163078946322E-7</v>
      </c>
      <c r="Y58" s="2">
        <f t="shared" si="16"/>
        <v>99487.418036141025</v>
      </c>
      <c r="Z58" s="12">
        <f t="shared" si="17"/>
        <v>3.5244682248232268E-14</v>
      </c>
      <c r="AA58" s="12">
        <f t="shared" si="18"/>
        <v>21224347649.885471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1">
        <v>171</v>
      </c>
      <c r="B59" s="1">
        <f t="shared" si="3"/>
        <v>2.85</v>
      </c>
      <c r="C59" s="1">
        <v>20</v>
      </c>
      <c r="D59" s="1">
        <f t="shared" si="0"/>
        <v>29.146000000000001</v>
      </c>
      <c r="E59" s="1">
        <f t="shared" si="4"/>
        <v>4.8576666666666667E-7</v>
      </c>
      <c r="F59" s="1">
        <v>21.1</v>
      </c>
      <c r="G59" s="1">
        <f t="shared" si="5"/>
        <v>294.10000000000002</v>
      </c>
      <c r="H59" s="1">
        <v>101.3</v>
      </c>
      <c r="I59" s="1">
        <f t="shared" si="6"/>
        <v>101300</v>
      </c>
      <c r="J59" s="1">
        <f t="shared" si="7"/>
        <v>2.0124824921938581E-5</v>
      </c>
      <c r="K59" s="28">
        <v>130.5891089108911</v>
      </c>
      <c r="L59" s="2">
        <f t="shared" si="21"/>
        <v>1.3058910891089109E-4</v>
      </c>
      <c r="M59" s="3">
        <f t="shared" si="9"/>
        <v>4.7762865441819992E-3</v>
      </c>
      <c r="N59" s="64">
        <f t="shared" si="22"/>
        <v>5.5023561279942975E-7</v>
      </c>
      <c r="O59" s="29">
        <f t="shared" si="11"/>
        <v>2.032E-3</v>
      </c>
      <c r="P59" s="29">
        <v>1.5574793265181801E-10</v>
      </c>
      <c r="Q59" s="16">
        <v>0.05</v>
      </c>
      <c r="R59" s="16">
        <f t="shared" si="23"/>
        <v>105000</v>
      </c>
      <c r="S59" s="16">
        <f t="shared" si="13"/>
        <v>5.3058450282772E-3</v>
      </c>
      <c r="T59" s="16">
        <v>0.11</v>
      </c>
      <c r="U59" s="16">
        <f t="shared" si="24"/>
        <v>111000.00000000001</v>
      </c>
      <c r="V59" s="16">
        <f t="shared" si="19"/>
        <v>14.495391089108914</v>
      </c>
      <c r="W59" s="2">
        <f t="shared" si="15"/>
        <v>5</v>
      </c>
      <c r="X59" s="12">
        <f t="shared" si="20"/>
        <v>6.706653522960074E-7</v>
      </c>
      <c r="Y59" s="2">
        <f t="shared" si="16"/>
        <v>99405.924165807592</v>
      </c>
      <c r="Z59" s="12">
        <f t="shared" si="17"/>
        <v>3.5802347033194929E-14</v>
      </c>
      <c r="AA59" s="12">
        <f t="shared" si="18"/>
        <v>21560173383.389988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1">
        <v>174</v>
      </c>
      <c r="B60" s="1">
        <f t="shared" si="3"/>
        <v>2.9</v>
      </c>
      <c r="C60" s="1">
        <v>20</v>
      </c>
      <c r="D60" s="1">
        <f t="shared" si="0"/>
        <v>29.146000000000001</v>
      </c>
      <c r="E60" s="1">
        <f t="shared" si="4"/>
        <v>4.8576666666666667E-7</v>
      </c>
      <c r="F60" s="1">
        <v>21.1</v>
      </c>
      <c r="G60" s="1">
        <f t="shared" si="5"/>
        <v>294.10000000000002</v>
      </c>
      <c r="H60" s="1">
        <v>101.3</v>
      </c>
      <c r="I60" s="1">
        <f t="shared" si="6"/>
        <v>101300</v>
      </c>
      <c r="J60" s="1">
        <f t="shared" si="7"/>
        <v>2.0124824921938581E-5</v>
      </c>
      <c r="K60" s="28">
        <v>136.95049504950498</v>
      </c>
      <c r="L60" s="2">
        <f t="shared" si="21"/>
        <v>1.3695049504950499E-4</v>
      </c>
      <c r="M60" s="3">
        <f t="shared" si="9"/>
        <v>4.7762865441819992E-3</v>
      </c>
      <c r="N60" s="64">
        <f t="shared" si="22"/>
        <v>5.7703923547076944E-7</v>
      </c>
      <c r="O60" s="29">
        <f t="shared" si="11"/>
        <v>2.032E-3</v>
      </c>
      <c r="P60" s="29">
        <v>1.5574793265181801E-10</v>
      </c>
      <c r="Q60" s="16">
        <v>0.05</v>
      </c>
      <c r="R60" s="16">
        <f t="shared" si="23"/>
        <v>105000</v>
      </c>
      <c r="S60" s="16">
        <f t="shared" si="13"/>
        <v>5.3058450282772E-3</v>
      </c>
      <c r="T60" s="16">
        <v>0.11</v>
      </c>
      <c r="U60" s="16">
        <f t="shared" si="24"/>
        <v>111000.00000000001</v>
      </c>
      <c r="V60" s="16">
        <f t="shared" si="19"/>
        <v>15.201504950495057</v>
      </c>
      <c r="W60" s="2">
        <f t="shared" si="15"/>
        <v>5</v>
      </c>
      <c r="X60" s="12">
        <f t="shared" si="20"/>
        <v>7.0449215004991003E-7</v>
      </c>
      <c r="Y60" s="2">
        <f t="shared" si="16"/>
        <v>99127.828406205837</v>
      </c>
      <c r="Z60" s="12">
        <f t="shared" si="17"/>
        <v>3.7713924942446322E-14</v>
      </c>
      <c r="AA60" s="12">
        <f t="shared" si="18"/>
        <v>22711325600.341175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1">
        <v>177</v>
      </c>
      <c r="B61" s="1">
        <f t="shared" si="3"/>
        <v>2.95</v>
      </c>
      <c r="C61" s="1">
        <v>20</v>
      </c>
      <c r="D61" s="1">
        <f t="shared" si="0"/>
        <v>29.146000000000001</v>
      </c>
      <c r="E61" s="1">
        <f t="shared" si="4"/>
        <v>4.8576666666666667E-7</v>
      </c>
      <c r="F61" s="1">
        <v>21.1</v>
      </c>
      <c r="G61" s="1">
        <f t="shared" si="5"/>
        <v>294.10000000000002</v>
      </c>
      <c r="H61" s="1">
        <v>101.3</v>
      </c>
      <c r="I61" s="1">
        <f t="shared" si="6"/>
        <v>101300</v>
      </c>
      <c r="J61" s="1">
        <f t="shared" si="7"/>
        <v>2.0124824921938581E-5</v>
      </c>
      <c r="K61" s="28">
        <v>141.38118811881191</v>
      </c>
      <c r="L61" s="2">
        <f t="shared" si="21"/>
        <v>1.4138118811881192E-4</v>
      </c>
      <c r="M61" s="3">
        <f t="shared" si="9"/>
        <v>4.7762865441819992E-3</v>
      </c>
      <c r="N61" s="64">
        <f t="shared" si="22"/>
        <v>5.9570790651423164E-7</v>
      </c>
      <c r="O61" s="29">
        <f t="shared" si="11"/>
        <v>2.032E-3</v>
      </c>
      <c r="P61" s="29">
        <v>1.5574793265181801E-10</v>
      </c>
      <c r="Q61" s="16">
        <v>0.05</v>
      </c>
      <c r="R61" s="16">
        <f t="shared" si="23"/>
        <v>105000</v>
      </c>
      <c r="S61" s="16">
        <f t="shared" si="13"/>
        <v>5.3058450282772E-3</v>
      </c>
      <c r="T61" s="16">
        <v>0.11</v>
      </c>
      <c r="U61" s="16">
        <f t="shared" si="24"/>
        <v>111000.00000000001</v>
      </c>
      <c r="V61" s="16">
        <f t="shared" si="19"/>
        <v>15.693311881188125</v>
      </c>
      <c r="W61" s="2">
        <f t="shared" si="15"/>
        <v>5</v>
      </c>
      <c r="X61" s="12">
        <f t="shared" si="20"/>
        <v>7.279564898646726E-7</v>
      </c>
      <c r="Y61" s="2">
        <f t="shared" si="16"/>
        <v>98935.152968188369</v>
      </c>
      <c r="Z61" s="12">
        <f t="shared" si="17"/>
        <v>3.9046152657631546E-14</v>
      </c>
      <c r="AA61" s="12">
        <f t="shared" si="18"/>
        <v>23513593130.425716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1">
        <v>180</v>
      </c>
      <c r="B62" s="1">
        <f t="shared" si="3"/>
        <v>3</v>
      </c>
      <c r="C62" s="1">
        <v>20</v>
      </c>
      <c r="D62" s="1">
        <f t="shared" si="0"/>
        <v>29.146000000000001</v>
      </c>
      <c r="E62" s="1">
        <f t="shared" si="4"/>
        <v>4.8576666666666667E-7</v>
      </c>
      <c r="F62" s="1">
        <v>21.1</v>
      </c>
      <c r="G62" s="1">
        <f t="shared" si="5"/>
        <v>294.10000000000002</v>
      </c>
      <c r="H62" s="1">
        <v>101.3</v>
      </c>
      <c r="I62" s="1">
        <f t="shared" si="6"/>
        <v>101300</v>
      </c>
      <c r="J62" s="1">
        <f t="shared" si="7"/>
        <v>2.0124824921938581E-5</v>
      </c>
      <c r="K62" s="28">
        <v>145.73762376237624</v>
      </c>
      <c r="L62" s="2">
        <f t="shared" si="21"/>
        <v>1.4573762376237625E-4</v>
      </c>
      <c r="M62" s="3">
        <f t="shared" si="9"/>
        <v>4.7762865441819992E-3</v>
      </c>
      <c r="N62" s="64">
        <f t="shared" si="22"/>
        <v>6.1406369480277546E-7</v>
      </c>
      <c r="O62" s="29">
        <f t="shared" si="11"/>
        <v>2.032E-3</v>
      </c>
      <c r="P62" s="29">
        <v>1.5574793265181801E-10</v>
      </c>
      <c r="Q62" s="16">
        <v>0.05</v>
      </c>
      <c r="R62" s="16">
        <f t="shared" si="23"/>
        <v>105000</v>
      </c>
      <c r="S62" s="16">
        <f t="shared" si="13"/>
        <v>5.3058450282772E-3</v>
      </c>
      <c r="T62" s="16">
        <v>0.11</v>
      </c>
      <c r="U62" s="16">
        <f t="shared" si="24"/>
        <v>111000.00000000001</v>
      </c>
      <c r="V62" s="16">
        <f t="shared" si="19"/>
        <v>16.176876237623766</v>
      </c>
      <c r="W62" s="2">
        <f t="shared" si="15"/>
        <v>5</v>
      </c>
      <c r="X62" s="12">
        <f t="shared" si="20"/>
        <v>7.5095484382843981E-7</v>
      </c>
      <c r="Y62" s="2">
        <f t="shared" si="16"/>
        <v>98746.485821464099</v>
      </c>
      <c r="Z62" s="12">
        <f t="shared" si="17"/>
        <v>4.0356908300553372E-14</v>
      </c>
      <c r="AA62" s="12">
        <f t="shared" si="18"/>
        <v>24302930178.593243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1">
        <v>183</v>
      </c>
      <c r="B63" s="1">
        <f t="shared" si="3"/>
        <v>3.05</v>
      </c>
      <c r="C63" s="1">
        <v>20</v>
      </c>
      <c r="D63" s="1">
        <f t="shared" si="0"/>
        <v>29.146000000000001</v>
      </c>
      <c r="E63" s="1">
        <f t="shared" si="4"/>
        <v>4.8576666666666667E-7</v>
      </c>
      <c r="F63" s="1">
        <v>21.1</v>
      </c>
      <c r="G63" s="1">
        <f t="shared" si="5"/>
        <v>294.10000000000002</v>
      </c>
      <c r="H63" s="1">
        <v>101.3</v>
      </c>
      <c r="I63" s="1">
        <f t="shared" si="6"/>
        <v>101300</v>
      </c>
      <c r="J63" s="1">
        <f t="shared" si="7"/>
        <v>2.0124824921938581E-5</v>
      </c>
      <c r="K63" s="28">
        <v>133.43564356435644</v>
      </c>
      <c r="L63" s="2">
        <f t="shared" si="21"/>
        <v>1.3343564356435643E-4</v>
      </c>
      <c r="M63" s="3">
        <f t="shared" si="9"/>
        <v>4.7762865441819992E-3</v>
      </c>
      <c r="N63" s="64">
        <f t="shared" si="22"/>
        <v>5.6222945173796686E-7</v>
      </c>
      <c r="O63" s="29">
        <f t="shared" si="11"/>
        <v>2.032E-3</v>
      </c>
      <c r="P63" s="29">
        <v>1.5574793265181801E-10</v>
      </c>
      <c r="Q63" s="16">
        <v>0.05</v>
      </c>
      <c r="R63" s="16">
        <f t="shared" si="23"/>
        <v>105000</v>
      </c>
      <c r="S63" s="16">
        <f t="shared" si="13"/>
        <v>5.3058450282772E-3</v>
      </c>
      <c r="T63" s="16">
        <v>0.11</v>
      </c>
      <c r="U63" s="16">
        <f t="shared" si="24"/>
        <v>111000.00000000001</v>
      </c>
      <c r="V63" s="16">
        <f t="shared" si="19"/>
        <v>14.811356435643566</v>
      </c>
      <c r="W63" s="2">
        <f t="shared" si="15"/>
        <v>5</v>
      </c>
      <c r="X63" s="12">
        <f t="shared" si="20"/>
        <v>6.8582252882527685E-7</v>
      </c>
      <c r="Y63" s="2">
        <f t="shared" si="16"/>
        <v>99281.26631575638</v>
      </c>
      <c r="Z63" s="12">
        <f t="shared" si="17"/>
        <v>3.6657580411623397E-14</v>
      </c>
      <c r="AA63" s="12">
        <f t="shared" si="18"/>
        <v>22075194923.879612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1">
        <v>186</v>
      </c>
      <c r="B64" s="1">
        <f t="shared" si="3"/>
        <v>3.1</v>
      </c>
      <c r="C64" s="1">
        <v>20</v>
      </c>
      <c r="D64" s="1">
        <f t="shared" si="0"/>
        <v>29.146000000000001</v>
      </c>
      <c r="E64" s="1">
        <f t="shared" si="4"/>
        <v>4.8576666666666667E-7</v>
      </c>
      <c r="F64" s="1">
        <v>21.1</v>
      </c>
      <c r="G64" s="1">
        <f t="shared" si="5"/>
        <v>294.10000000000002</v>
      </c>
      <c r="H64" s="1">
        <v>101.3</v>
      </c>
      <c r="I64" s="1">
        <f t="shared" si="6"/>
        <v>101300</v>
      </c>
      <c r="J64" s="1">
        <f t="shared" si="7"/>
        <v>2.0124824921938581E-5</v>
      </c>
      <c r="K64" s="28">
        <v>138.50990099009903</v>
      </c>
      <c r="L64" s="2">
        <f t="shared" si="21"/>
        <v>1.3850990099009903E-4</v>
      </c>
      <c r="M64" s="3">
        <f t="shared" si="9"/>
        <v>4.7762865441819992E-3</v>
      </c>
      <c r="N64" s="64">
        <f t="shared" si="22"/>
        <v>5.8360977332405489E-7</v>
      </c>
      <c r="O64" s="29">
        <f t="shared" si="11"/>
        <v>2.032E-3</v>
      </c>
      <c r="P64" s="29">
        <v>1.5574793265181801E-10</v>
      </c>
      <c r="Q64" s="16">
        <v>0.05</v>
      </c>
      <c r="R64" s="16">
        <f t="shared" si="23"/>
        <v>105000</v>
      </c>
      <c r="S64" s="16">
        <f t="shared" si="13"/>
        <v>5.3058450282772E-3</v>
      </c>
      <c r="T64" s="16">
        <v>0.11</v>
      </c>
      <c r="U64" s="16">
        <f t="shared" si="24"/>
        <v>111000.00000000001</v>
      </c>
      <c r="V64" s="16">
        <f t="shared" si="19"/>
        <v>15.374599009900994</v>
      </c>
      <c r="W64" s="2">
        <f t="shared" si="15"/>
        <v>5</v>
      </c>
      <c r="X64" s="12">
        <f t="shared" si="20"/>
        <v>7.1275927601296199E-7</v>
      </c>
      <c r="Y64" s="2">
        <f t="shared" si="16"/>
        <v>99059.922216321807</v>
      </c>
      <c r="Z64" s="12">
        <f t="shared" si="17"/>
        <v>3.8182720321000443E-14</v>
      </c>
      <c r="AA64" s="12">
        <f t="shared" si="18"/>
        <v>22993634177.306469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1">
        <v>189</v>
      </c>
      <c r="B65" s="1">
        <f t="shared" si="3"/>
        <v>3.15</v>
      </c>
      <c r="C65" s="1">
        <v>20</v>
      </c>
      <c r="D65" s="1">
        <f t="shared" si="0"/>
        <v>29.146000000000001</v>
      </c>
      <c r="E65" s="1">
        <f t="shared" si="4"/>
        <v>4.8576666666666667E-7</v>
      </c>
      <c r="F65" s="1">
        <v>21.1</v>
      </c>
      <c r="G65" s="1">
        <f t="shared" si="5"/>
        <v>294.10000000000002</v>
      </c>
      <c r="H65" s="1">
        <v>101.3</v>
      </c>
      <c r="I65" s="1">
        <f t="shared" si="6"/>
        <v>101300</v>
      </c>
      <c r="J65" s="1">
        <f t="shared" si="7"/>
        <v>2.0124824921938581E-5</v>
      </c>
      <c r="K65" s="28">
        <v>133.70792079207922</v>
      </c>
      <c r="L65" s="2">
        <f t="shared" si="21"/>
        <v>1.3370792079207922E-4</v>
      </c>
      <c r="M65" s="3">
        <f t="shared" si="9"/>
        <v>4.7762865441819992E-3</v>
      </c>
      <c r="N65" s="64">
        <f t="shared" si="22"/>
        <v>5.6337668850600087E-7</v>
      </c>
      <c r="O65" s="29">
        <f t="shared" si="11"/>
        <v>2.032E-3</v>
      </c>
      <c r="P65" s="29">
        <v>1.5574793265181801E-10</v>
      </c>
      <c r="Q65" s="16">
        <v>0.05</v>
      </c>
      <c r="R65" s="16">
        <f t="shared" si="23"/>
        <v>105000</v>
      </c>
      <c r="S65" s="16">
        <f t="shared" si="13"/>
        <v>5.3058450282772E-3</v>
      </c>
      <c r="T65" s="16">
        <v>0.11</v>
      </c>
      <c r="U65" s="16">
        <f t="shared" si="24"/>
        <v>111000.00000000001</v>
      </c>
      <c r="V65" s="16">
        <f t="shared" si="19"/>
        <v>14.841579207920795</v>
      </c>
      <c r="W65" s="2">
        <f t="shared" si="15"/>
        <v>5</v>
      </c>
      <c r="X65" s="12">
        <f t="shared" si="20"/>
        <v>6.8727056993261571E-7</v>
      </c>
      <c r="Y65" s="2">
        <f t="shared" si="16"/>
        <v>99269.361218888458</v>
      </c>
      <c r="Z65" s="12">
        <f t="shared" si="17"/>
        <v>3.6739396349870273E-14</v>
      </c>
      <c r="AA65" s="12">
        <f t="shared" si="18"/>
        <v>22124464481.89188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1">
        <v>192</v>
      </c>
      <c r="B66" s="1">
        <f t="shared" si="3"/>
        <v>3.2</v>
      </c>
      <c r="C66" s="1">
        <v>20</v>
      </c>
      <c r="D66" s="1">
        <f t="shared" ref="D66:D81" si="25">(C66*1.4573)</f>
        <v>29.146000000000001</v>
      </c>
      <c r="E66" s="1">
        <f t="shared" si="4"/>
        <v>4.8576666666666667E-7</v>
      </c>
      <c r="F66" s="1">
        <v>21.1</v>
      </c>
      <c r="G66" s="1">
        <f t="shared" si="5"/>
        <v>294.10000000000002</v>
      </c>
      <c r="H66" s="1">
        <v>101.3</v>
      </c>
      <c r="I66" s="1">
        <f t="shared" si="6"/>
        <v>101300</v>
      </c>
      <c r="J66" s="1">
        <f t="shared" si="7"/>
        <v>2.0124824921938581E-5</v>
      </c>
      <c r="K66" s="28">
        <v>135.91089108910893</v>
      </c>
      <c r="L66" s="2">
        <f t="shared" si="21"/>
        <v>1.3591089108910893E-4</v>
      </c>
      <c r="M66" s="3">
        <f t="shared" si="9"/>
        <v>4.7762865441819992E-3</v>
      </c>
      <c r="N66" s="64">
        <f t="shared" si="22"/>
        <v>5.7265887690191236E-7</v>
      </c>
      <c r="O66" s="29">
        <f t="shared" si="11"/>
        <v>2.032E-3</v>
      </c>
      <c r="P66" s="29">
        <v>1.5574793265181801E-10</v>
      </c>
      <c r="Q66" s="16">
        <v>0.05</v>
      </c>
      <c r="R66" s="16">
        <f t="shared" si="23"/>
        <v>105000</v>
      </c>
      <c r="S66" s="16">
        <f t="shared" si="13"/>
        <v>5.3058450282772E-3</v>
      </c>
      <c r="T66" s="16">
        <v>0.11</v>
      </c>
      <c r="U66" s="16">
        <f t="shared" si="24"/>
        <v>111000.00000000001</v>
      </c>
      <c r="V66" s="16">
        <f t="shared" ref="V66:V81" si="26">(L66*U66)</f>
        <v>15.086108910891094</v>
      </c>
      <c r="W66" s="2">
        <f t="shared" si="15"/>
        <v>5</v>
      </c>
      <c r="X66" s="12">
        <f t="shared" ref="X66:X81" si="27">(N66+((P66/O66)*(SQRT(V66)-SQRT(W66))))</f>
        <v>6.9897536132001263E-7</v>
      </c>
      <c r="Y66" s="2">
        <f t="shared" si="16"/>
        <v>99173.156264125631</v>
      </c>
      <c r="Z66" s="12">
        <f t="shared" si="17"/>
        <v>3.74014433716065E-14</v>
      </c>
      <c r="AA66" s="12">
        <f t="shared" si="18"/>
        <v>22523149198.381435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1">
        <v>195</v>
      </c>
      <c r="B67" s="1">
        <f t="shared" ref="B67:B81" si="28">(A67/60)</f>
        <v>3.25</v>
      </c>
      <c r="C67" s="1">
        <v>20</v>
      </c>
      <c r="D67" s="1">
        <f t="shared" si="25"/>
        <v>29.146000000000001</v>
      </c>
      <c r="E67" s="1">
        <f t="shared" ref="E67:E81" si="29">(D67/(1000000*60))</f>
        <v>4.8576666666666667E-7</v>
      </c>
      <c r="F67" s="1">
        <v>21.1</v>
      </c>
      <c r="G67" s="1">
        <f t="shared" ref="G67:G81" si="30">(273+F67)</f>
        <v>294.10000000000002</v>
      </c>
      <c r="H67" s="1">
        <v>101.3</v>
      </c>
      <c r="I67" s="1">
        <f t="shared" ref="I67:I81" si="31">(H67*1000)</f>
        <v>101300</v>
      </c>
      <c r="J67" s="1">
        <f t="shared" ref="J67:J81" si="32">((I67*E67)/(8.314*G67))</f>
        <v>2.0124824921938581E-5</v>
      </c>
      <c r="K67" s="28">
        <v>140.78712871287129</v>
      </c>
      <c r="L67" s="2">
        <f t="shared" si="21"/>
        <v>1.407871287128713E-4</v>
      </c>
      <c r="M67" s="3">
        <f t="shared" ref="M67:M81" si="33">(3.142*3.07*3.07*25.4*25.4)/(4*1000000)</f>
        <v>4.7762865441819992E-3</v>
      </c>
      <c r="N67" s="64">
        <f t="shared" si="22"/>
        <v>5.9320484447488467E-7</v>
      </c>
      <c r="O67" s="29">
        <f t="shared" ref="O67:O81" si="34">(2.032/1000)</f>
        <v>2.032E-3</v>
      </c>
      <c r="P67" s="29">
        <v>1.5574793265181801E-10</v>
      </c>
      <c r="Q67" s="16">
        <v>0.05</v>
      </c>
      <c r="R67" s="16">
        <f t="shared" si="23"/>
        <v>105000</v>
      </c>
      <c r="S67" s="16">
        <f t="shared" ref="S67:S81" si="35">(5.3058450282772/1000)</f>
        <v>5.3058450282772E-3</v>
      </c>
      <c r="T67" s="16">
        <v>0.11</v>
      </c>
      <c r="U67" s="16">
        <f t="shared" si="24"/>
        <v>111000.00000000001</v>
      </c>
      <c r="V67" s="16">
        <f t="shared" si="26"/>
        <v>15.627371287128716</v>
      </c>
      <c r="W67" s="2">
        <f t="shared" ref="W67:W81" si="36">(50/1000000)*100000</f>
        <v>5</v>
      </c>
      <c r="X67" s="12">
        <f t="shared" si="27"/>
        <v>7.2481483935652185E-7</v>
      </c>
      <c r="Y67" s="2">
        <f t="shared" ref="Y67:Y81" si="37">(SQRT(R67)-(X67*O67/P67))^2</f>
        <v>98960.93949730623</v>
      </c>
      <c r="Z67" s="12">
        <f t="shared" ref="Z67:Z81" si="38">(X67*S67)/(Y67-V67)</f>
        <v>3.8867482745653417E-14</v>
      </c>
      <c r="AA67" s="12">
        <f t="shared" ref="AA67:AA81" si="39">(Z67*6.022E+23)</f>
        <v>23405998109.432487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1">
        <v>198</v>
      </c>
      <c r="B68" s="1">
        <f t="shared" si="28"/>
        <v>3.3</v>
      </c>
      <c r="C68" s="1">
        <v>20</v>
      </c>
      <c r="D68" s="1">
        <f t="shared" si="25"/>
        <v>29.146000000000001</v>
      </c>
      <c r="E68" s="1">
        <f t="shared" si="29"/>
        <v>4.8576666666666667E-7</v>
      </c>
      <c r="F68" s="1">
        <v>21.1</v>
      </c>
      <c r="G68" s="1">
        <f t="shared" si="30"/>
        <v>294.10000000000002</v>
      </c>
      <c r="H68" s="1">
        <v>101.3</v>
      </c>
      <c r="I68" s="1">
        <f t="shared" si="31"/>
        <v>101300</v>
      </c>
      <c r="J68" s="1">
        <f t="shared" si="32"/>
        <v>2.0124824921938581E-5</v>
      </c>
      <c r="K68" s="28">
        <v>136.72772277227725</v>
      </c>
      <c r="L68" s="2">
        <f t="shared" si="21"/>
        <v>1.3672772277227726E-4</v>
      </c>
      <c r="M68" s="3">
        <f t="shared" si="33"/>
        <v>4.7762865441819992E-3</v>
      </c>
      <c r="N68" s="64">
        <f t="shared" si="22"/>
        <v>5.7610058720601428E-7</v>
      </c>
      <c r="O68" s="29">
        <f t="shared" si="34"/>
        <v>2.032E-3</v>
      </c>
      <c r="P68" s="29">
        <v>1.5574793265181801E-10</v>
      </c>
      <c r="Q68" s="16">
        <v>0.05</v>
      </c>
      <c r="R68" s="16">
        <f t="shared" si="23"/>
        <v>105000</v>
      </c>
      <c r="S68" s="16">
        <f t="shared" si="35"/>
        <v>5.3058450282772E-3</v>
      </c>
      <c r="T68" s="16">
        <v>0.11</v>
      </c>
      <c r="U68" s="16">
        <f t="shared" si="24"/>
        <v>111000.00000000001</v>
      </c>
      <c r="V68" s="16">
        <f t="shared" si="26"/>
        <v>15.176777227722777</v>
      </c>
      <c r="W68" s="2">
        <f t="shared" si="36"/>
        <v>5</v>
      </c>
      <c r="X68" s="12">
        <f t="shared" si="27"/>
        <v>7.033103451402127E-7</v>
      </c>
      <c r="Y68" s="2">
        <f t="shared" si="37"/>
        <v>99137.53765497377</v>
      </c>
      <c r="Z68" s="12">
        <f t="shared" si="38"/>
        <v>3.7646961442944332E-14</v>
      </c>
      <c r="AA68" s="12">
        <f t="shared" si="39"/>
        <v>22671000180.941078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1">
        <v>201</v>
      </c>
      <c r="B69" s="1">
        <f t="shared" si="28"/>
        <v>3.35</v>
      </c>
      <c r="C69" s="1">
        <v>20</v>
      </c>
      <c r="D69" s="1">
        <f t="shared" si="25"/>
        <v>29.146000000000001</v>
      </c>
      <c r="E69" s="1">
        <f t="shared" si="29"/>
        <v>4.8576666666666667E-7</v>
      </c>
      <c r="F69" s="1">
        <v>21.1</v>
      </c>
      <c r="G69" s="1">
        <f t="shared" si="30"/>
        <v>294.10000000000002</v>
      </c>
      <c r="H69" s="1">
        <v>101.3</v>
      </c>
      <c r="I69" s="1">
        <f t="shared" si="31"/>
        <v>101300</v>
      </c>
      <c r="J69" s="1">
        <f t="shared" si="32"/>
        <v>2.0124824921938581E-5</v>
      </c>
      <c r="K69" s="28">
        <v>139.25247524752479</v>
      </c>
      <c r="L69" s="2">
        <f t="shared" si="21"/>
        <v>1.3925247524752479E-4</v>
      </c>
      <c r="M69" s="3">
        <f t="shared" si="33"/>
        <v>4.7762865441819992E-3</v>
      </c>
      <c r="N69" s="64">
        <f t="shared" si="22"/>
        <v>5.8673860087323864E-7</v>
      </c>
      <c r="O69" s="29">
        <f t="shared" si="34"/>
        <v>2.032E-3</v>
      </c>
      <c r="P69" s="29">
        <v>1.5574793265181801E-10</v>
      </c>
      <c r="Q69" s="16">
        <v>0.05</v>
      </c>
      <c r="R69" s="16">
        <f t="shared" si="23"/>
        <v>105000</v>
      </c>
      <c r="S69" s="16">
        <f t="shared" si="35"/>
        <v>5.3058450282772E-3</v>
      </c>
      <c r="T69" s="16">
        <v>0.11</v>
      </c>
      <c r="U69" s="16">
        <f t="shared" si="24"/>
        <v>111000.00000000001</v>
      </c>
      <c r="V69" s="16">
        <f t="shared" si="26"/>
        <v>15.457024752475254</v>
      </c>
      <c r="W69" s="2">
        <f t="shared" si="36"/>
        <v>5</v>
      </c>
      <c r="X69" s="12">
        <f t="shared" si="27"/>
        <v>7.166926454251242E-7</v>
      </c>
      <c r="Y69" s="2">
        <f t="shared" si="37"/>
        <v>99027.621680326614</v>
      </c>
      <c r="Z69" s="12">
        <f t="shared" si="38"/>
        <v>3.8405989029325292E-14</v>
      </c>
      <c r="AA69" s="12">
        <f t="shared" si="39"/>
        <v>23128086593.45969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1">
        <v>204</v>
      </c>
      <c r="B70" s="1">
        <f t="shared" si="28"/>
        <v>3.4</v>
      </c>
      <c r="C70" s="1">
        <v>20</v>
      </c>
      <c r="D70" s="1">
        <f t="shared" si="25"/>
        <v>29.146000000000001</v>
      </c>
      <c r="E70" s="1">
        <f t="shared" si="29"/>
        <v>4.8576666666666667E-7</v>
      </c>
      <c r="F70" s="1">
        <v>21.1</v>
      </c>
      <c r="G70" s="1">
        <f t="shared" si="30"/>
        <v>294.10000000000002</v>
      </c>
      <c r="H70" s="1">
        <v>101.3</v>
      </c>
      <c r="I70" s="1">
        <f t="shared" si="31"/>
        <v>101300</v>
      </c>
      <c r="J70" s="1">
        <f t="shared" si="32"/>
        <v>2.0124824921938581E-5</v>
      </c>
      <c r="K70" s="28">
        <v>134.50000000000003</v>
      </c>
      <c r="L70" s="2">
        <f t="shared" si="21"/>
        <v>1.3450000000000002E-4</v>
      </c>
      <c r="M70" s="3">
        <f t="shared" si="33"/>
        <v>4.7762865441819992E-3</v>
      </c>
      <c r="N70" s="64">
        <f t="shared" si="22"/>
        <v>5.6671410455846336E-7</v>
      </c>
      <c r="O70" s="29">
        <f t="shared" si="34"/>
        <v>2.032E-3</v>
      </c>
      <c r="P70" s="29">
        <v>1.5574793265181801E-10</v>
      </c>
      <c r="Q70" s="16">
        <v>0.05</v>
      </c>
      <c r="R70" s="16">
        <f t="shared" si="23"/>
        <v>105000</v>
      </c>
      <c r="S70" s="16">
        <f t="shared" si="35"/>
        <v>5.3058450282772E-3</v>
      </c>
      <c r="T70" s="16">
        <v>0.11</v>
      </c>
      <c r="U70" s="16">
        <f t="shared" si="24"/>
        <v>111000.00000000001</v>
      </c>
      <c r="V70" s="16">
        <f t="shared" si="26"/>
        <v>14.929500000000004</v>
      </c>
      <c r="W70" s="2">
        <f t="shared" si="36"/>
        <v>5</v>
      </c>
      <c r="X70" s="12">
        <f t="shared" si="27"/>
        <v>6.9148131595816986E-7</v>
      </c>
      <c r="Y70" s="2">
        <f t="shared" si="37"/>
        <v>99234.746548086885</v>
      </c>
      <c r="Z70" s="12">
        <f t="shared" si="38"/>
        <v>3.6977418539736897E-14</v>
      </c>
      <c r="AA70" s="12">
        <f t="shared" si="39"/>
        <v>22267801444.629562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1">
        <v>207</v>
      </c>
      <c r="B71" s="1">
        <f t="shared" si="28"/>
        <v>3.45</v>
      </c>
      <c r="C71" s="1">
        <v>20</v>
      </c>
      <c r="D71" s="1">
        <f t="shared" si="25"/>
        <v>29.146000000000001</v>
      </c>
      <c r="E71" s="1">
        <f t="shared" si="29"/>
        <v>4.8576666666666667E-7</v>
      </c>
      <c r="F71" s="1">
        <v>21.1</v>
      </c>
      <c r="G71" s="1">
        <f t="shared" si="30"/>
        <v>294.10000000000002</v>
      </c>
      <c r="H71" s="1">
        <v>101.3</v>
      </c>
      <c r="I71" s="1">
        <f t="shared" si="31"/>
        <v>101300</v>
      </c>
      <c r="J71" s="1">
        <f t="shared" si="32"/>
        <v>2.0124824921938581E-5</v>
      </c>
      <c r="K71" s="28">
        <v>137.12376237623764</v>
      </c>
      <c r="L71" s="2">
        <f t="shared" si="21"/>
        <v>1.3712376237623764E-4</v>
      </c>
      <c r="M71" s="3">
        <f t="shared" si="33"/>
        <v>4.7762865441819992E-3</v>
      </c>
      <c r="N71" s="64">
        <f t="shared" si="22"/>
        <v>5.7776929523224553E-7</v>
      </c>
      <c r="O71" s="29">
        <f t="shared" si="34"/>
        <v>2.032E-3</v>
      </c>
      <c r="P71" s="29">
        <v>1.5574793265181801E-10</v>
      </c>
      <c r="Q71" s="16">
        <v>0.05</v>
      </c>
      <c r="R71" s="16">
        <f t="shared" si="23"/>
        <v>105000</v>
      </c>
      <c r="S71" s="16">
        <f t="shared" si="35"/>
        <v>5.3058450282772E-3</v>
      </c>
      <c r="T71" s="16">
        <v>0.11</v>
      </c>
      <c r="U71" s="16">
        <f t="shared" si="24"/>
        <v>111000.00000000001</v>
      </c>
      <c r="V71" s="16">
        <f t="shared" si="26"/>
        <v>15.22073762376238</v>
      </c>
      <c r="W71" s="2">
        <f t="shared" si="36"/>
        <v>5</v>
      </c>
      <c r="X71" s="12">
        <f t="shared" si="27"/>
        <v>7.0541119494941245E-7</v>
      </c>
      <c r="Y71" s="2">
        <f t="shared" si="37"/>
        <v>99120.278219974643</v>
      </c>
      <c r="Z71" s="12">
        <f t="shared" si="38"/>
        <v>3.776600888688204E-14</v>
      </c>
      <c r="AA71" s="12">
        <f t="shared" si="39"/>
        <v>22742690551.680367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4" customFormat="1" x14ac:dyDescent="0.25">
      <c r="A72" s="1">
        <v>210</v>
      </c>
      <c r="B72" s="1">
        <f t="shared" si="28"/>
        <v>3.5</v>
      </c>
      <c r="C72" s="1">
        <v>20</v>
      </c>
      <c r="D72" s="1">
        <f t="shared" si="25"/>
        <v>29.146000000000001</v>
      </c>
      <c r="E72" s="1">
        <f t="shared" si="29"/>
        <v>4.8576666666666667E-7</v>
      </c>
      <c r="F72" s="1">
        <v>21.1</v>
      </c>
      <c r="G72" s="1">
        <f t="shared" si="30"/>
        <v>294.10000000000002</v>
      </c>
      <c r="H72" s="1">
        <v>101.3</v>
      </c>
      <c r="I72" s="1">
        <f t="shared" si="31"/>
        <v>101300</v>
      </c>
      <c r="J72" s="1">
        <f t="shared" si="32"/>
        <v>2.0124824921938581E-5</v>
      </c>
      <c r="K72" s="28">
        <v>145.53960396039605</v>
      </c>
      <c r="L72" s="2">
        <f t="shared" si="21"/>
        <v>1.4553960396039605E-4</v>
      </c>
      <c r="M72" s="3">
        <f t="shared" si="33"/>
        <v>4.7762865441819992E-3</v>
      </c>
      <c r="N72" s="64">
        <f t="shared" si="22"/>
        <v>6.1322934078965973E-7</v>
      </c>
      <c r="O72" s="29">
        <f t="shared" si="34"/>
        <v>2.032E-3</v>
      </c>
      <c r="P72" s="29">
        <v>1.5574793265181801E-10</v>
      </c>
      <c r="Q72" s="16">
        <v>0.05</v>
      </c>
      <c r="R72" s="16">
        <f t="shared" si="23"/>
        <v>105000</v>
      </c>
      <c r="S72" s="16">
        <f t="shared" si="35"/>
        <v>5.3058450282772E-3</v>
      </c>
      <c r="T72" s="16">
        <v>0.11</v>
      </c>
      <c r="U72" s="16">
        <f t="shared" si="24"/>
        <v>111000.00000000001</v>
      </c>
      <c r="V72" s="16">
        <f t="shared" si="26"/>
        <v>16.154896039603962</v>
      </c>
      <c r="W72" s="2">
        <f t="shared" si="36"/>
        <v>5</v>
      </c>
      <c r="X72" s="12">
        <f t="shared" si="27"/>
        <v>7.499109818884855E-7</v>
      </c>
      <c r="Y72" s="2">
        <f t="shared" si="37"/>
        <v>98755.045248755865</v>
      </c>
      <c r="Z72" s="12">
        <f t="shared" si="38"/>
        <v>4.0297307785108567E-14</v>
      </c>
      <c r="AA72" s="12">
        <f t="shared" si="39"/>
        <v>24267038748.192379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4" customFormat="1" x14ac:dyDescent="0.25">
      <c r="A73" s="1">
        <v>213</v>
      </c>
      <c r="B73" s="1">
        <f t="shared" si="28"/>
        <v>3.55</v>
      </c>
      <c r="C73" s="1">
        <v>20</v>
      </c>
      <c r="D73" s="1">
        <f t="shared" si="25"/>
        <v>29.146000000000001</v>
      </c>
      <c r="E73" s="1">
        <f t="shared" si="29"/>
        <v>4.8576666666666667E-7</v>
      </c>
      <c r="F73" s="1">
        <v>21.1</v>
      </c>
      <c r="G73" s="1">
        <f t="shared" si="30"/>
        <v>294.10000000000002</v>
      </c>
      <c r="H73" s="1">
        <v>101.3</v>
      </c>
      <c r="I73" s="1">
        <f t="shared" si="31"/>
        <v>101300</v>
      </c>
      <c r="J73" s="1">
        <f t="shared" si="32"/>
        <v>2.0124824921938581E-5</v>
      </c>
      <c r="K73" s="28">
        <v>134.64851485148517</v>
      </c>
      <c r="L73" s="2">
        <f t="shared" si="21"/>
        <v>1.3464851485148516E-4</v>
      </c>
      <c r="M73" s="3">
        <f t="shared" si="33"/>
        <v>4.7762865441819992E-3</v>
      </c>
      <c r="N73" s="64">
        <f t="shared" si="22"/>
        <v>5.6733987006830013E-7</v>
      </c>
      <c r="O73" s="29">
        <f t="shared" si="34"/>
        <v>2.032E-3</v>
      </c>
      <c r="P73" s="29">
        <v>1.5574793265181801E-10</v>
      </c>
      <c r="Q73" s="16">
        <v>0.05</v>
      </c>
      <c r="R73" s="16">
        <f t="shared" si="23"/>
        <v>105000</v>
      </c>
      <c r="S73" s="16">
        <f t="shared" si="35"/>
        <v>5.3058450282772E-3</v>
      </c>
      <c r="T73" s="16">
        <v>0.11</v>
      </c>
      <c r="U73" s="16">
        <f t="shared" si="24"/>
        <v>111000.00000000001</v>
      </c>
      <c r="V73" s="16">
        <f t="shared" si="26"/>
        <v>14.945985148514856</v>
      </c>
      <c r="W73" s="2">
        <f t="shared" si="36"/>
        <v>5</v>
      </c>
      <c r="X73" s="12">
        <f t="shared" si="27"/>
        <v>6.9227054428786701E-7</v>
      </c>
      <c r="Y73" s="2">
        <f t="shared" si="37"/>
        <v>99228.259324609317</v>
      </c>
      <c r="Z73" s="12">
        <f t="shared" si="38"/>
        <v>3.702204978342973E-14</v>
      </c>
      <c r="AA73" s="12">
        <f t="shared" si="39"/>
        <v>22294678379.581383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s="4" customFormat="1" x14ac:dyDescent="0.25">
      <c r="A74" s="1">
        <v>216</v>
      </c>
      <c r="B74" s="1">
        <f t="shared" si="28"/>
        <v>3.6</v>
      </c>
      <c r="C74" s="1">
        <v>20</v>
      </c>
      <c r="D74" s="1">
        <f t="shared" si="25"/>
        <v>29.146000000000001</v>
      </c>
      <c r="E74" s="1">
        <f t="shared" si="29"/>
        <v>4.8576666666666667E-7</v>
      </c>
      <c r="F74" s="1">
        <v>21.1</v>
      </c>
      <c r="G74" s="1">
        <f t="shared" si="30"/>
        <v>294.10000000000002</v>
      </c>
      <c r="H74" s="1">
        <v>101.3</v>
      </c>
      <c r="I74" s="1">
        <f t="shared" si="31"/>
        <v>101300</v>
      </c>
      <c r="J74" s="1">
        <f t="shared" si="32"/>
        <v>2.0124824921938581E-5</v>
      </c>
      <c r="K74" s="28">
        <v>134.79702970297032</v>
      </c>
      <c r="L74" s="2">
        <f t="shared" si="21"/>
        <v>1.3479702970297031E-4</v>
      </c>
      <c r="M74" s="3">
        <f t="shared" si="33"/>
        <v>4.7762865441819992E-3</v>
      </c>
      <c r="N74" s="64">
        <f t="shared" si="22"/>
        <v>5.679656355781369E-7</v>
      </c>
      <c r="O74" s="29">
        <f t="shared" si="34"/>
        <v>2.032E-3</v>
      </c>
      <c r="P74" s="29">
        <v>1.5574793265181801E-10</v>
      </c>
      <c r="Q74" s="16">
        <v>0.05</v>
      </c>
      <c r="R74" s="16">
        <f t="shared" si="23"/>
        <v>105000</v>
      </c>
      <c r="S74" s="16">
        <f t="shared" si="35"/>
        <v>5.3058450282772E-3</v>
      </c>
      <c r="T74" s="16">
        <v>0.11</v>
      </c>
      <c r="U74" s="16">
        <f t="shared" si="24"/>
        <v>111000.00000000001</v>
      </c>
      <c r="V74" s="16">
        <f t="shared" si="26"/>
        <v>14.962470297029707</v>
      </c>
      <c r="W74" s="2">
        <f t="shared" si="36"/>
        <v>5</v>
      </c>
      <c r="X74" s="12">
        <f t="shared" si="27"/>
        <v>6.9305968249414308E-7</v>
      </c>
      <c r="Y74" s="2">
        <f t="shared" si="37"/>
        <v>99221.773053933182</v>
      </c>
      <c r="Z74" s="12">
        <f t="shared" si="38"/>
        <v>3.7066681702873708E-14</v>
      </c>
      <c r="AA74" s="12">
        <f t="shared" si="39"/>
        <v>22321555721.470547</v>
      </c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s="4" customFormat="1" x14ac:dyDescent="0.25">
      <c r="A75" s="1">
        <v>219</v>
      </c>
      <c r="B75" s="1">
        <f t="shared" si="28"/>
        <v>3.65</v>
      </c>
      <c r="C75" s="1">
        <v>20</v>
      </c>
      <c r="D75" s="1">
        <f t="shared" si="25"/>
        <v>29.146000000000001</v>
      </c>
      <c r="E75" s="1">
        <f t="shared" si="29"/>
        <v>4.8576666666666667E-7</v>
      </c>
      <c r="F75" s="1">
        <v>21.1</v>
      </c>
      <c r="G75" s="1">
        <f t="shared" si="30"/>
        <v>294.10000000000002</v>
      </c>
      <c r="H75" s="1">
        <v>101.3</v>
      </c>
      <c r="I75" s="1">
        <f t="shared" si="31"/>
        <v>101300</v>
      </c>
      <c r="J75" s="1">
        <f t="shared" si="32"/>
        <v>2.0124824921938581E-5</v>
      </c>
      <c r="K75" s="28">
        <v>129.20297029702971</v>
      </c>
      <c r="L75" s="2">
        <f t="shared" si="21"/>
        <v>1.2920297029702971E-4</v>
      </c>
      <c r="M75" s="3">
        <f t="shared" si="33"/>
        <v>4.7762865441819992E-3</v>
      </c>
      <c r="N75" s="64">
        <f t="shared" si="22"/>
        <v>5.4439513470762039E-7</v>
      </c>
      <c r="O75" s="29">
        <f t="shared" si="34"/>
        <v>2.032E-3</v>
      </c>
      <c r="P75" s="29">
        <v>1.5574793265181801E-10</v>
      </c>
      <c r="Q75" s="16">
        <v>0.05</v>
      </c>
      <c r="R75" s="16">
        <f t="shared" si="23"/>
        <v>105000</v>
      </c>
      <c r="S75" s="16">
        <f t="shared" si="35"/>
        <v>5.3058450282772E-3</v>
      </c>
      <c r="T75" s="16">
        <v>0.11</v>
      </c>
      <c r="U75" s="16">
        <f t="shared" si="24"/>
        <v>111000.00000000001</v>
      </c>
      <c r="V75" s="16">
        <f t="shared" si="26"/>
        <v>14.3415297029703</v>
      </c>
      <c r="W75" s="2">
        <f t="shared" si="36"/>
        <v>5</v>
      </c>
      <c r="X75" s="12">
        <f t="shared" si="27"/>
        <v>6.6327198549198848E-7</v>
      </c>
      <c r="Y75" s="2">
        <f t="shared" si="37"/>
        <v>99466.758144953666</v>
      </c>
      <c r="Z75" s="12">
        <f t="shared" si="38"/>
        <v>3.5385951255794357E-14</v>
      </c>
      <c r="AA75" s="12">
        <f t="shared" si="39"/>
        <v>21309419846.239361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s="4" customFormat="1" x14ac:dyDescent="0.25">
      <c r="A76" s="1">
        <v>222</v>
      </c>
      <c r="B76" s="1">
        <f t="shared" si="28"/>
        <v>3.7</v>
      </c>
      <c r="C76" s="1">
        <v>20</v>
      </c>
      <c r="D76" s="1">
        <f t="shared" si="25"/>
        <v>29.146000000000001</v>
      </c>
      <c r="E76" s="1">
        <f t="shared" si="29"/>
        <v>4.8576666666666667E-7</v>
      </c>
      <c r="F76" s="1">
        <v>21.1</v>
      </c>
      <c r="G76" s="1">
        <f t="shared" si="30"/>
        <v>294.10000000000002</v>
      </c>
      <c r="H76" s="1">
        <v>101.3</v>
      </c>
      <c r="I76" s="1">
        <f t="shared" si="31"/>
        <v>101300</v>
      </c>
      <c r="J76" s="1">
        <f t="shared" si="32"/>
        <v>2.0124824921938581E-5</v>
      </c>
      <c r="K76" s="28">
        <v>137.32178217821783</v>
      </c>
      <c r="L76" s="2">
        <f t="shared" si="21"/>
        <v>1.3732178217821782E-4</v>
      </c>
      <c r="M76" s="3">
        <f t="shared" si="33"/>
        <v>4.7762865441819992E-3</v>
      </c>
      <c r="N76" s="64">
        <f t="shared" si="22"/>
        <v>5.7860364924536115E-7</v>
      </c>
      <c r="O76" s="29">
        <f t="shared" si="34"/>
        <v>2.032E-3</v>
      </c>
      <c r="P76" s="29">
        <v>1.5574793265181801E-10</v>
      </c>
      <c r="Q76" s="16">
        <v>0.05</v>
      </c>
      <c r="R76" s="16">
        <f t="shared" si="23"/>
        <v>105000</v>
      </c>
      <c r="S76" s="16">
        <f t="shared" si="35"/>
        <v>5.3058450282772E-3</v>
      </c>
      <c r="T76" s="16">
        <v>0.11</v>
      </c>
      <c r="U76" s="16">
        <f t="shared" si="24"/>
        <v>111000.00000000001</v>
      </c>
      <c r="V76" s="16">
        <f t="shared" si="26"/>
        <v>15.242717821782181</v>
      </c>
      <c r="W76" s="2">
        <f t="shared" si="36"/>
        <v>5</v>
      </c>
      <c r="X76" s="12">
        <f t="shared" si="27"/>
        <v>7.0646138583355436E-7</v>
      </c>
      <c r="Y76" s="2">
        <f t="shared" si="37"/>
        <v>99111.650988340378</v>
      </c>
      <c r="Z76" s="12">
        <f t="shared" si="38"/>
        <v>3.7825534720312715E-14</v>
      </c>
      <c r="AA76" s="12">
        <f t="shared" si="39"/>
        <v>22778537008.572319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s="4" customFormat="1" x14ac:dyDescent="0.25">
      <c r="A77" s="1">
        <v>225</v>
      </c>
      <c r="B77" s="1">
        <f t="shared" si="28"/>
        <v>3.75</v>
      </c>
      <c r="C77" s="1">
        <v>20</v>
      </c>
      <c r="D77" s="1">
        <f t="shared" si="25"/>
        <v>29.146000000000001</v>
      </c>
      <c r="E77" s="1">
        <f t="shared" si="29"/>
        <v>4.8576666666666667E-7</v>
      </c>
      <c r="F77" s="1">
        <v>21.1</v>
      </c>
      <c r="G77" s="1">
        <f t="shared" si="30"/>
        <v>294.10000000000002</v>
      </c>
      <c r="H77" s="1">
        <v>101.3</v>
      </c>
      <c r="I77" s="1">
        <f t="shared" si="31"/>
        <v>101300</v>
      </c>
      <c r="J77" s="1">
        <f t="shared" si="32"/>
        <v>2.0124824921938581E-5</v>
      </c>
      <c r="K77" s="28">
        <v>141.35643564356437</v>
      </c>
      <c r="L77" s="2">
        <f t="shared" si="21"/>
        <v>1.4135643564356436E-4</v>
      </c>
      <c r="M77" s="3">
        <f t="shared" si="33"/>
        <v>4.7762865441819992E-3</v>
      </c>
      <c r="N77" s="64">
        <f t="shared" si="22"/>
        <v>5.9560361226259201E-7</v>
      </c>
      <c r="O77" s="29">
        <f t="shared" si="34"/>
        <v>2.032E-3</v>
      </c>
      <c r="P77" s="29">
        <v>1.5574793265181801E-10</v>
      </c>
      <c r="Q77" s="16">
        <v>0.05</v>
      </c>
      <c r="R77" s="16">
        <f t="shared" si="23"/>
        <v>105000</v>
      </c>
      <c r="S77" s="16">
        <f t="shared" si="35"/>
        <v>5.3058450282772E-3</v>
      </c>
      <c r="T77" s="16">
        <v>0.11</v>
      </c>
      <c r="U77" s="16">
        <f t="shared" si="24"/>
        <v>111000.00000000001</v>
      </c>
      <c r="V77" s="16">
        <f t="shared" si="26"/>
        <v>15.690564356435646</v>
      </c>
      <c r="W77" s="2">
        <f t="shared" si="36"/>
        <v>5</v>
      </c>
      <c r="X77" s="12">
        <f t="shared" si="27"/>
        <v>7.2782561457651519E-7</v>
      </c>
      <c r="Y77" s="2">
        <f t="shared" si="37"/>
        <v>98936.227119722593</v>
      </c>
      <c r="Z77" s="12">
        <f t="shared" si="38"/>
        <v>3.9038707765117892E-14</v>
      </c>
      <c r="AA77" s="12">
        <f t="shared" si="39"/>
        <v>23509109816.153996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s="4" customFormat="1" x14ac:dyDescent="0.25">
      <c r="A78" s="1">
        <v>228</v>
      </c>
      <c r="B78" s="1">
        <f t="shared" si="28"/>
        <v>3.8</v>
      </c>
      <c r="C78" s="1">
        <v>20</v>
      </c>
      <c r="D78" s="1">
        <f t="shared" si="25"/>
        <v>29.146000000000001</v>
      </c>
      <c r="E78" s="1">
        <f t="shared" si="29"/>
        <v>4.8576666666666667E-7</v>
      </c>
      <c r="F78" s="1">
        <v>21.1</v>
      </c>
      <c r="G78" s="1">
        <f t="shared" si="30"/>
        <v>294.10000000000002</v>
      </c>
      <c r="H78" s="1">
        <v>101.3</v>
      </c>
      <c r="I78" s="1">
        <f t="shared" si="31"/>
        <v>101300</v>
      </c>
      <c r="J78" s="1">
        <f t="shared" si="32"/>
        <v>2.0124824921938581E-5</v>
      </c>
      <c r="K78" s="28">
        <v>147.84158415841586</v>
      </c>
      <c r="L78" s="2">
        <f t="shared" si="21"/>
        <v>1.4784158415841585E-4</v>
      </c>
      <c r="M78" s="3">
        <f t="shared" si="33"/>
        <v>4.7762865441819992E-3</v>
      </c>
      <c r="N78" s="64">
        <f t="shared" si="22"/>
        <v>6.2292870619212893E-7</v>
      </c>
      <c r="O78" s="29">
        <f t="shared" si="34"/>
        <v>2.032E-3</v>
      </c>
      <c r="P78" s="29">
        <v>1.5574793265181801E-10</v>
      </c>
      <c r="Q78" s="16">
        <v>0.05</v>
      </c>
      <c r="R78" s="16">
        <f t="shared" si="23"/>
        <v>105000</v>
      </c>
      <c r="S78" s="16">
        <f t="shared" si="35"/>
        <v>5.3058450282772E-3</v>
      </c>
      <c r="T78" s="16">
        <v>0.11</v>
      </c>
      <c r="U78" s="16">
        <f t="shared" si="24"/>
        <v>111000.00000000001</v>
      </c>
      <c r="V78" s="16">
        <f t="shared" si="26"/>
        <v>16.410415841584161</v>
      </c>
      <c r="W78" s="2">
        <f t="shared" si="36"/>
        <v>5</v>
      </c>
      <c r="X78" s="12">
        <f t="shared" si="27"/>
        <v>7.620371466571373E-7</v>
      </c>
      <c r="Y78" s="2">
        <f t="shared" si="37"/>
        <v>98655.636367546758</v>
      </c>
      <c r="Z78" s="12">
        <f t="shared" si="38"/>
        <v>4.0990295361126766E-14</v>
      </c>
      <c r="AA78" s="12">
        <f t="shared" si="39"/>
        <v>24684355866.470539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s="4" customFormat="1" x14ac:dyDescent="0.25">
      <c r="A79" s="1">
        <v>231</v>
      </c>
      <c r="B79" s="1">
        <f t="shared" si="28"/>
        <v>3.85</v>
      </c>
      <c r="C79" s="1">
        <v>20</v>
      </c>
      <c r="D79" s="1">
        <f t="shared" si="25"/>
        <v>29.146000000000001</v>
      </c>
      <c r="E79" s="1">
        <f t="shared" si="29"/>
        <v>4.8576666666666667E-7</v>
      </c>
      <c r="F79" s="1">
        <v>21.1</v>
      </c>
      <c r="G79" s="1">
        <f t="shared" si="30"/>
        <v>294.10000000000002</v>
      </c>
      <c r="H79" s="1">
        <v>101.3</v>
      </c>
      <c r="I79" s="1">
        <f t="shared" si="31"/>
        <v>101300</v>
      </c>
      <c r="J79" s="1">
        <f t="shared" si="32"/>
        <v>2.0124824921938581E-5</v>
      </c>
      <c r="K79" s="28">
        <v>137.44554455445547</v>
      </c>
      <c r="L79" s="2">
        <f t="shared" si="21"/>
        <v>1.3744554455445547E-4</v>
      </c>
      <c r="M79" s="3">
        <f t="shared" si="33"/>
        <v>4.7762865441819992E-3</v>
      </c>
      <c r="N79" s="64">
        <f t="shared" si="22"/>
        <v>5.791251205035585E-7</v>
      </c>
      <c r="O79" s="29">
        <f t="shared" si="34"/>
        <v>2.032E-3</v>
      </c>
      <c r="P79" s="29">
        <v>1.5574793265181801E-10</v>
      </c>
      <c r="Q79" s="16">
        <v>0.05</v>
      </c>
      <c r="R79" s="16">
        <f t="shared" si="23"/>
        <v>105000</v>
      </c>
      <c r="S79" s="16">
        <f t="shared" si="35"/>
        <v>5.3058450282772E-3</v>
      </c>
      <c r="T79" s="16">
        <v>0.11</v>
      </c>
      <c r="U79" s="16">
        <f t="shared" si="24"/>
        <v>111000.00000000001</v>
      </c>
      <c r="V79" s="16">
        <f t="shared" si="26"/>
        <v>15.256455445544558</v>
      </c>
      <c r="W79" s="2">
        <f t="shared" si="36"/>
        <v>5</v>
      </c>
      <c r="X79" s="12">
        <f t="shared" si="27"/>
        <v>7.0711767611756831E-7</v>
      </c>
      <c r="Y79" s="2">
        <f t="shared" si="37"/>
        <v>99106.259808334013</v>
      </c>
      <c r="Z79" s="12">
        <f t="shared" si="38"/>
        <v>3.7862739091196841E-14</v>
      </c>
      <c r="AA79" s="12">
        <f t="shared" si="39"/>
        <v>22800941480.718739</v>
      </c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s="4" customFormat="1" x14ac:dyDescent="0.25">
      <c r="A80" s="1">
        <v>234</v>
      </c>
      <c r="B80" s="1">
        <f t="shared" si="28"/>
        <v>3.9</v>
      </c>
      <c r="C80" s="1">
        <v>20</v>
      </c>
      <c r="D80" s="1">
        <f t="shared" si="25"/>
        <v>29.146000000000001</v>
      </c>
      <c r="E80" s="1">
        <f t="shared" si="29"/>
        <v>4.8576666666666667E-7</v>
      </c>
      <c r="F80" s="1">
        <v>21.1</v>
      </c>
      <c r="G80" s="1">
        <f t="shared" si="30"/>
        <v>294.10000000000002</v>
      </c>
      <c r="H80" s="1">
        <v>101.3</v>
      </c>
      <c r="I80" s="1">
        <f t="shared" si="31"/>
        <v>101300</v>
      </c>
      <c r="J80" s="1">
        <f t="shared" si="32"/>
        <v>2.0124824921938581E-5</v>
      </c>
      <c r="K80" s="28">
        <v>137.84158415841586</v>
      </c>
      <c r="L80" s="2">
        <f t="shared" si="21"/>
        <v>1.3784158415841585E-4</v>
      </c>
      <c r="M80" s="3">
        <f t="shared" si="33"/>
        <v>4.7762865441819992E-3</v>
      </c>
      <c r="N80" s="64">
        <f t="shared" si="22"/>
        <v>5.8079382852978964E-7</v>
      </c>
      <c r="O80" s="29">
        <f t="shared" si="34"/>
        <v>2.032E-3</v>
      </c>
      <c r="P80" s="29">
        <v>1.5574793265181801E-10</v>
      </c>
      <c r="Q80" s="16">
        <v>0.05</v>
      </c>
      <c r="R80" s="16">
        <f t="shared" si="23"/>
        <v>105000</v>
      </c>
      <c r="S80" s="16">
        <f t="shared" si="35"/>
        <v>5.3058450282772E-3</v>
      </c>
      <c r="T80" s="16">
        <v>0.11</v>
      </c>
      <c r="U80" s="16">
        <f t="shared" si="24"/>
        <v>111000.00000000001</v>
      </c>
      <c r="V80" s="16">
        <f t="shared" si="26"/>
        <v>15.300415841584162</v>
      </c>
      <c r="W80" s="2">
        <f t="shared" si="36"/>
        <v>5</v>
      </c>
      <c r="X80" s="12">
        <f t="shared" si="27"/>
        <v>7.0921739762630138E-7</v>
      </c>
      <c r="Y80" s="2">
        <f t="shared" si="37"/>
        <v>99089.012363974951</v>
      </c>
      <c r="Z80" s="12">
        <f t="shared" si="38"/>
        <v>3.7981796877997194E-14</v>
      </c>
      <c r="AA80" s="12">
        <f t="shared" si="39"/>
        <v>22872638079.929913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s="4" customFormat="1" x14ac:dyDescent="0.25">
      <c r="A81" s="1">
        <v>237</v>
      </c>
      <c r="B81" s="1">
        <f t="shared" si="28"/>
        <v>3.95</v>
      </c>
      <c r="C81" s="1">
        <v>20</v>
      </c>
      <c r="D81" s="1">
        <f t="shared" si="25"/>
        <v>29.146000000000001</v>
      </c>
      <c r="E81" s="1">
        <f t="shared" si="29"/>
        <v>4.8576666666666667E-7</v>
      </c>
      <c r="F81" s="1">
        <v>21.1</v>
      </c>
      <c r="G81" s="1">
        <f t="shared" si="30"/>
        <v>294.10000000000002</v>
      </c>
      <c r="H81" s="1">
        <v>101.3</v>
      </c>
      <c r="I81" s="1">
        <f t="shared" si="31"/>
        <v>101300</v>
      </c>
      <c r="J81" s="1">
        <f t="shared" si="32"/>
        <v>2.0124824921938581E-5</v>
      </c>
      <c r="K81" s="28">
        <v>143.46039603960398</v>
      </c>
      <c r="L81" s="2">
        <f t="shared" si="21"/>
        <v>1.4346039603960398E-4</v>
      </c>
      <c r="M81" s="3">
        <f t="shared" si="33"/>
        <v>4.7762865441819992E-3</v>
      </c>
      <c r="N81" s="64">
        <f t="shared" si="22"/>
        <v>6.0446862365194569E-7</v>
      </c>
      <c r="O81" s="29">
        <f t="shared" si="34"/>
        <v>2.032E-3</v>
      </c>
      <c r="P81" s="29">
        <v>1.5574793265181801E-10</v>
      </c>
      <c r="Q81" s="16">
        <v>0.05</v>
      </c>
      <c r="R81" s="16">
        <f t="shared" si="23"/>
        <v>105000</v>
      </c>
      <c r="S81" s="16">
        <f t="shared" si="35"/>
        <v>5.3058450282772E-3</v>
      </c>
      <c r="T81" s="16">
        <v>0.11</v>
      </c>
      <c r="U81" s="16">
        <f t="shared" si="24"/>
        <v>111000.00000000001</v>
      </c>
      <c r="V81" s="16">
        <f t="shared" si="26"/>
        <v>15.924103960396044</v>
      </c>
      <c r="W81" s="2">
        <f t="shared" si="36"/>
        <v>5</v>
      </c>
      <c r="X81" s="12">
        <f t="shared" si="27"/>
        <v>7.3894176737176554E-7</v>
      </c>
      <c r="Y81" s="2">
        <f t="shared" si="37"/>
        <v>98845.01270950133</v>
      </c>
      <c r="Z81" s="12">
        <f t="shared" si="38"/>
        <v>3.9671624598752313E-14</v>
      </c>
      <c r="AA81" s="12">
        <f t="shared" si="39"/>
        <v>23890252333.368645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2"/>
      <c r="L82" s="3"/>
      <c r="M82" s="3"/>
      <c r="N82" s="29"/>
      <c r="O82" s="29"/>
      <c r="P82" s="29"/>
      <c r="Q82" s="16"/>
      <c r="R82" s="16"/>
      <c r="S82" s="16"/>
      <c r="T82" s="16"/>
      <c r="U82" s="16"/>
      <c r="V82" s="16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2"/>
      <c r="L83" s="3"/>
      <c r="M83" s="3"/>
      <c r="N83" s="29"/>
      <c r="O83" s="29"/>
      <c r="P83" s="29"/>
      <c r="Q83" s="16"/>
      <c r="R83" s="16"/>
      <c r="S83" s="16"/>
      <c r="T83" s="16"/>
      <c r="U83" s="16"/>
      <c r="V83" s="16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2"/>
      <c r="L84" s="3"/>
      <c r="M84" s="3"/>
      <c r="N84" s="29"/>
      <c r="O84" s="29"/>
      <c r="P84" s="29"/>
      <c r="Q84" s="16"/>
      <c r="R84" s="16"/>
      <c r="S84" s="16"/>
      <c r="T84" s="16"/>
      <c r="U84" s="16"/>
      <c r="V84" s="16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s="4" customFormat="1" x14ac:dyDescent="0.25">
      <c r="N85" s="29"/>
      <c r="O85" s="5"/>
      <c r="P85" s="5"/>
      <c r="Q85" s="5"/>
      <c r="R85" s="5"/>
      <c r="S85" s="5"/>
      <c r="T85" s="5"/>
      <c r="U85" s="5"/>
      <c r="V85" s="5"/>
      <c r="W85" s="8"/>
      <c r="X85" s="8"/>
      <c r="Y85" s="8"/>
      <c r="Z85" s="45">
        <f>AVERAGE(Z45:Z81)</f>
        <v>3.7534624221016182E-14</v>
      </c>
      <c r="AA85" s="45">
        <f>AVERAGE(AA45:AA81)</f>
        <v>22603350705.895958</v>
      </c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2"/>
      <c r="L86" s="3"/>
      <c r="M86" s="3"/>
      <c r="N86" s="29"/>
      <c r="O86" s="29"/>
      <c r="P86" s="29"/>
      <c r="Q86" s="16"/>
      <c r="R86" s="16"/>
      <c r="S86" s="16"/>
      <c r="T86" s="16"/>
      <c r="U86" s="16"/>
      <c r="V86" s="16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2"/>
      <c r="L87" s="3"/>
      <c r="M87" s="3"/>
      <c r="N87" s="29"/>
      <c r="O87" s="29"/>
      <c r="P87" s="29"/>
      <c r="Q87" s="16"/>
      <c r="R87" s="16"/>
      <c r="S87" s="16"/>
      <c r="T87" s="16"/>
      <c r="U87" s="16"/>
      <c r="V87" s="16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2"/>
      <c r="L88" s="3"/>
      <c r="M88" s="3"/>
      <c r="N88" s="29"/>
      <c r="O88" s="29"/>
      <c r="P88" s="29"/>
      <c r="Q88" s="16"/>
      <c r="R88" s="16"/>
      <c r="S88" s="16"/>
      <c r="T88" s="16"/>
      <c r="U88" s="16"/>
      <c r="V88" s="16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2"/>
      <c r="L89" s="3"/>
      <c r="M89" s="3"/>
      <c r="N89" s="29"/>
      <c r="O89" s="29"/>
      <c r="P89" s="29"/>
      <c r="Q89" s="16"/>
      <c r="R89" s="16"/>
      <c r="S89" s="16"/>
      <c r="T89" s="16"/>
      <c r="U89" s="16"/>
      <c r="V89" s="16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2"/>
      <c r="L90" s="3"/>
      <c r="M90" s="3"/>
      <c r="N90" s="29"/>
      <c r="O90" s="29"/>
      <c r="P90" s="29"/>
      <c r="Q90" s="16"/>
      <c r="R90" s="16"/>
      <c r="S90" s="16"/>
      <c r="T90" s="16"/>
      <c r="U90" s="16"/>
      <c r="V90" s="16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2"/>
      <c r="L91" s="3"/>
      <c r="M91" s="3"/>
      <c r="N91" s="29"/>
      <c r="O91" s="29"/>
      <c r="P91" s="29"/>
      <c r="Q91" s="16"/>
      <c r="R91" s="16"/>
      <c r="S91" s="16"/>
      <c r="T91" s="16"/>
      <c r="U91" s="16"/>
      <c r="V91" s="16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2"/>
      <c r="L92" s="3"/>
      <c r="M92" s="3"/>
      <c r="N92" s="29"/>
      <c r="O92" s="29"/>
      <c r="P92" s="29"/>
      <c r="Q92" s="16"/>
      <c r="R92" s="16"/>
      <c r="S92" s="16"/>
      <c r="T92" s="16"/>
      <c r="U92" s="16"/>
      <c r="V92" s="16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2"/>
      <c r="L93" s="3"/>
      <c r="M93" s="3"/>
      <c r="N93" s="29"/>
      <c r="O93" s="29"/>
      <c r="P93" s="29"/>
      <c r="Q93" s="16"/>
      <c r="R93" s="16"/>
      <c r="S93" s="16"/>
      <c r="T93" s="16"/>
      <c r="U93" s="16"/>
      <c r="V93" s="16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2"/>
      <c r="L94" s="3"/>
      <c r="M94" s="3"/>
      <c r="N94" s="29"/>
      <c r="O94" s="29"/>
      <c r="P94" s="29"/>
      <c r="Q94" s="16"/>
      <c r="R94" s="16"/>
      <c r="S94" s="16"/>
      <c r="T94" s="16"/>
      <c r="U94" s="16"/>
      <c r="V94" s="16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2"/>
      <c r="L95" s="3"/>
      <c r="M95" s="3"/>
      <c r="N95" s="29"/>
      <c r="O95" s="29"/>
      <c r="P95" s="29"/>
      <c r="Q95" s="16"/>
      <c r="R95" s="16"/>
      <c r="S95" s="16"/>
      <c r="T95" s="16"/>
      <c r="U95" s="16"/>
      <c r="V95" s="16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2"/>
      <c r="L96" s="3"/>
      <c r="M96" s="3"/>
      <c r="N96" s="29"/>
      <c r="O96" s="29"/>
      <c r="P96" s="29"/>
      <c r="Q96" s="16"/>
      <c r="R96" s="16"/>
      <c r="S96" s="16"/>
      <c r="T96" s="16"/>
      <c r="U96" s="16"/>
      <c r="V96" s="16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2"/>
      <c r="L97" s="3"/>
      <c r="M97" s="3"/>
      <c r="N97" s="29"/>
      <c r="O97" s="29"/>
      <c r="P97" s="29"/>
      <c r="Q97" s="16"/>
      <c r="R97" s="16"/>
      <c r="S97" s="16"/>
      <c r="T97" s="16"/>
      <c r="U97" s="16"/>
      <c r="V97" s="16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2"/>
      <c r="L98" s="3"/>
      <c r="M98" s="3"/>
      <c r="N98" s="29"/>
      <c r="O98" s="29"/>
      <c r="P98" s="29"/>
      <c r="Q98" s="16"/>
      <c r="R98" s="16"/>
      <c r="S98" s="16"/>
      <c r="T98" s="16"/>
      <c r="U98" s="16"/>
      <c r="V98" s="16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2"/>
      <c r="L99" s="3"/>
      <c r="M99" s="3"/>
      <c r="N99" s="29"/>
      <c r="O99" s="29"/>
      <c r="P99" s="29"/>
      <c r="Q99" s="16"/>
      <c r="R99" s="16"/>
      <c r="S99" s="16"/>
      <c r="T99" s="16"/>
      <c r="U99" s="16"/>
      <c r="V99" s="16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2"/>
      <c r="L100" s="3"/>
      <c r="M100" s="3"/>
      <c r="N100" s="29"/>
      <c r="O100" s="29"/>
      <c r="P100" s="29"/>
      <c r="Q100" s="16"/>
      <c r="R100" s="16"/>
      <c r="S100" s="16"/>
      <c r="T100" s="16"/>
      <c r="U100" s="16"/>
      <c r="V100" s="16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2"/>
      <c r="L101" s="3"/>
      <c r="M101" s="3"/>
      <c r="N101" s="29"/>
      <c r="O101" s="29"/>
      <c r="P101" s="29"/>
      <c r="Q101" s="16"/>
      <c r="R101" s="16"/>
      <c r="S101" s="16"/>
      <c r="T101" s="16"/>
      <c r="U101" s="16"/>
      <c r="V101" s="16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2"/>
      <c r="L102" s="3"/>
      <c r="M102" s="3"/>
      <c r="N102" s="29"/>
      <c r="O102" s="29"/>
      <c r="P102" s="29"/>
      <c r="Q102" s="16"/>
      <c r="R102" s="16"/>
      <c r="S102" s="16"/>
      <c r="T102" s="16"/>
      <c r="U102" s="16"/>
      <c r="V102" s="16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2"/>
      <c r="L103" s="3"/>
      <c r="M103" s="3"/>
      <c r="N103" s="29"/>
      <c r="O103" s="29"/>
      <c r="P103" s="29"/>
      <c r="Q103" s="16"/>
      <c r="R103" s="16"/>
      <c r="S103" s="16"/>
      <c r="T103" s="16"/>
      <c r="U103" s="16"/>
      <c r="V103" s="16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2"/>
      <c r="L104" s="3"/>
      <c r="M104" s="3"/>
      <c r="N104" s="29"/>
      <c r="O104" s="29"/>
      <c r="P104" s="29"/>
      <c r="Q104" s="16"/>
      <c r="R104" s="16"/>
      <c r="S104" s="16"/>
      <c r="T104" s="16"/>
      <c r="U104" s="16"/>
      <c r="V104" s="16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2"/>
      <c r="L105" s="3"/>
      <c r="M105" s="3"/>
      <c r="N105" s="29"/>
      <c r="O105" s="29"/>
      <c r="P105" s="29"/>
      <c r="Q105" s="16"/>
      <c r="R105" s="16"/>
      <c r="S105" s="16"/>
      <c r="T105" s="16"/>
      <c r="U105" s="16"/>
      <c r="V105" s="16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2"/>
      <c r="L106" s="3"/>
      <c r="M106" s="3"/>
      <c r="N106" s="29"/>
      <c r="O106" s="29"/>
      <c r="P106" s="29"/>
      <c r="Q106" s="16"/>
      <c r="R106" s="16"/>
      <c r="S106" s="16"/>
      <c r="T106" s="16"/>
      <c r="U106" s="16"/>
      <c r="V106" s="16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2"/>
      <c r="L107" s="3"/>
      <c r="M107" s="3"/>
      <c r="N107" s="29"/>
      <c r="O107" s="29"/>
      <c r="P107" s="29"/>
      <c r="Q107" s="16"/>
      <c r="R107" s="16"/>
      <c r="S107" s="16"/>
      <c r="T107" s="16"/>
      <c r="U107" s="16"/>
      <c r="V107" s="16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2"/>
      <c r="L108" s="3"/>
      <c r="M108" s="3"/>
      <c r="N108" s="29"/>
      <c r="O108" s="29"/>
      <c r="P108" s="29"/>
      <c r="Q108" s="16"/>
      <c r="R108" s="16"/>
      <c r="S108" s="16"/>
      <c r="T108" s="16"/>
      <c r="U108" s="16"/>
      <c r="V108" s="16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2"/>
      <c r="L109" s="3"/>
      <c r="M109" s="3"/>
      <c r="N109" s="29"/>
      <c r="O109" s="29"/>
      <c r="P109" s="29"/>
      <c r="Q109" s="16"/>
      <c r="R109" s="16"/>
      <c r="S109" s="16"/>
      <c r="T109" s="16"/>
      <c r="U109" s="16"/>
      <c r="V109" s="16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2"/>
      <c r="L110" s="3"/>
      <c r="M110" s="3"/>
      <c r="N110" s="29"/>
      <c r="O110" s="29"/>
      <c r="P110" s="29"/>
      <c r="Q110" s="16"/>
      <c r="R110" s="16"/>
      <c r="S110" s="16"/>
      <c r="T110" s="16"/>
      <c r="U110" s="16"/>
      <c r="V110" s="16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2"/>
      <c r="L111" s="3"/>
      <c r="M111" s="3"/>
      <c r="N111" s="29"/>
      <c r="O111" s="29"/>
      <c r="P111" s="29"/>
      <c r="Q111" s="16"/>
      <c r="R111" s="16"/>
      <c r="S111" s="16"/>
      <c r="T111" s="16"/>
      <c r="U111" s="16"/>
      <c r="V111" s="16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2"/>
      <c r="L112" s="3"/>
      <c r="M112" s="3"/>
      <c r="N112" s="29"/>
      <c r="O112" s="29"/>
      <c r="P112" s="29"/>
      <c r="Q112" s="16"/>
      <c r="R112" s="16"/>
      <c r="S112" s="16"/>
      <c r="T112" s="16"/>
      <c r="U112" s="16"/>
      <c r="V112" s="16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2"/>
      <c r="L113" s="3"/>
      <c r="M113" s="3"/>
      <c r="N113" s="29"/>
      <c r="O113" s="29"/>
      <c r="P113" s="29"/>
      <c r="Q113" s="16"/>
      <c r="R113" s="16"/>
      <c r="S113" s="16"/>
      <c r="T113" s="16"/>
      <c r="U113" s="16"/>
      <c r="V113" s="16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2"/>
      <c r="L114" s="3"/>
      <c r="M114" s="3"/>
      <c r="N114" s="64"/>
      <c r="O114" s="29"/>
      <c r="P114" s="29"/>
      <c r="Q114" s="16"/>
      <c r="R114" s="16"/>
      <c r="S114" s="16"/>
      <c r="T114" s="16"/>
      <c r="U114" s="16"/>
      <c r="V114" s="16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2"/>
      <c r="L115" s="3"/>
      <c r="M115" s="3"/>
      <c r="N115" s="29"/>
      <c r="O115" s="29"/>
      <c r="P115" s="29"/>
      <c r="Q115" s="16"/>
      <c r="R115" s="16"/>
      <c r="S115" s="16"/>
      <c r="T115" s="16"/>
      <c r="U115" s="16"/>
      <c r="V115" s="16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2"/>
      <c r="L116" s="3"/>
      <c r="M116" s="3"/>
      <c r="N116" s="29"/>
      <c r="O116" s="29"/>
      <c r="P116" s="29"/>
      <c r="Q116" s="16"/>
      <c r="R116" s="16"/>
      <c r="S116" s="16"/>
      <c r="T116" s="16"/>
      <c r="U116" s="16"/>
      <c r="V116" s="16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2"/>
      <c r="L117" s="3"/>
      <c r="M117" s="3"/>
      <c r="N117" s="29"/>
      <c r="O117" s="29"/>
      <c r="P117" s="29"/>
      <c r="Q117" s="16"/>
      <c r="R117" s="16"/>
      <c r="S117" s="16"/>
      <c r="T117" s="16"/>
      <c r="U117" s="16"/>
      <c r="V117" s="16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2"/>
      <c r="L118" s="3"/>
      <c r="M118" s="3"/>
      <c r="N118" s="29"/>
      <c r="O118" s="29"/>
      <c r="P118" s="29"/>
      <c r="Q118" s="16"/>
      <c r="R118" s="16"/>
      <c r="S118" s="16"/>
      <c r="T118" s="16"/>
      <c r="U118" s="16"/>
      <c r="V118" s="16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2"/>
      <c r="L119" s="3"/>
      <c r="M119" s="3"/>
      <c r="N119" s="29"/>
      <c r="O119" s="29"/>
      <c r="P119" s="29"/>
      <c r="Q119" s="16"/>
      <c r="R119" s="16"/>
      <c r="S119" s="16"/>
      <c r="T119" s="16"/>
      <c r="U119" s="16"/>
      <c r="V119" s="16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2"/>
      <c r="L120" s="3"/>
      <c r="M120" s="3"/>
      <c r="N120" s="29"/>
      <c r="O120" s="29"/>
      <c r="P120" s="29"/>
      <c r="Q120" s="16"/>
      <c r="R120" s="16"/>
      <c r="S120" s="16"/>
      <c r="T120" s="16"/>
      <c r="U120" s="16"/>
      <c r="V120" s="16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2"/>
      <c r="L121" s="3"/>
      <c r="M121" s="3"/>
      <c r="N121" s="29"/>
      <c r="O121" s="29"/>
      <c r="P121" s="29"/>
      <c r="Q121" s="16"/>
      <c r="R121" s="16"/>
      <c r="S121" s="16"/>
      <c r="T121" s="16"/>
      <c r="U121" s="16"/>
      <c r="V121" s="16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2"/>
      <c r="L122" s="3"/>
      <c r="M122" s="3"/>
      <c r="N122" s="29"/>
      <c r="O122" s="29"/>
      <c r="P122" s="29"/>
      <c r="Q122" s="16"/>
      <c r="R122" s="16"/>
      <c r="S122" s="16"/>
      <c r="T122" s="16"/>
      <c r="U122" s="16"/>
      <c r="V122" s="16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2"/>
      <c r="L123" s="3"/>
      <c r="M123" s="3"/>
      <c r="N123" s="29"/>
      <c r="O123" s="29"/>
      <c r="P123" s="29"/>
      <c r="Q123" s="16"/>
      <c r="R123" s="16"/>
      <c r="S123" s="16"/>
      <c r="T123" s="16"/>
      <c r="U123" s="16"/>
      <c r="V123" s="16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2"/>
      <c r="L124" s="3"/>
      <c r="M124" s="3"/>
      <c r="N124" s="29"/>
      <c r="O124" s="29"/>
      <c r="P124" s="29"/>
      <c r="Q124" s="16"/>
      <c r="R124" s="16"/>
      <c r="S124" s="16"/>
      <c r="T124" s="16"/>
      <c r="U124" s="16"/>
      <c r="V124" s="16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2"/>
      <c r="L125" s="3"/>
      <c r="M125" s="3"/>
      <c r="N125" s="29"/>
      <c r="O125" s="29"/>
      <c r="P125" s="29"/>
      <c r="Q125" s="16"/>
      <c r="R125" s="16"/>
      <c r="S125" s="16"/>
      <c r="T125" s="16"/>
      <c r="U125" s="16"/>
      <c r="V125" s="16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</row>
    <row r="126" spans="1:74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2"/>
      <c r="L126" s="3"/>
      <c r="M126" s="3"/>
      <c r="N126" s="29"/>
      <c r="O126" s="29"/>
      <c r="P126" s="29"/>
      <c r="Q126" s="16"/>
      <c r="R126" s="16"/>
      <c r="S126" s="16"/>
      <c r="T126" s="16"/>
      <c r="U126" s="16"/>
      <c r="V126" s="16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</row>
    <row r="127" spans="1:74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2"/>
      <c r="L127" s="3"/>
      <c r="M127" s="3"/>
      <c r="N127" s="29"/>
      <c r="O127" s="29"/>
      <c r="P127" s="29"/>
      <c r="Q127" s="16"/>
      <c r="R127" s="16"/>
      <c r="S127" s="16"/>
      <c r="T127" s="16"/>
      <c r="U127" s="16"/>
      <c r="V127" s="16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</row>
    <row r="128" spans="1:74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2"/>
      <c r="L128" s="3"/>
      <c r="M128" s="3"/>
      <c r="N128" s="29"/>
      <c r="O128" s="29"/>
      <c r="P128" s="29"/>
      <c r="Q128" s="16"/>
      <c r="R128" s="16"/>
      <c r="S128" s="16"/>
      <c r="T128" s="16"/>
      <c r="U128" s="16"/>
      <c r="V128" s="16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</row>
    <row r="129" spans="1:74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2"/>
      <c r="L129" s="3"/>
      <c r="M129" s="3"/>
      <c r="N129" s="29"/>
      <c r="O129" s="29"/>
      <c r="P129" s="29"/>
      <c r="Q129" s="16"/>
      <c r="R129" s="16"/>
      <c r="S129" s="16"/>
      <c r="T129" s="16"/>
      <c r="U129" s="16"/>
      <c r="V129" s="16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</row>
    <row r="130" spans="1:74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2"/>
      <c r="L130" s="3"/>
      <c r="M130" s="3"/>
      <c r="N130" s="29"/>
      <c r="O130" s="29"/>
      <c r="P130" s="29"/>
      <c r="Q130" s="16"/>
      <c r="R130" s="16"/>
      <c r="S130" s="16"/>
      <c r="T130" s="16"/>
      <c r="U130" s="16"/>
      <c r="V130" s="16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</row>
    <row r="131" spans="1:74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2"/>
      <c r="L131" s="3"/>
      <c r="M131" s="3"/>
      <c r="N131" s="29"/>
      <c r="O131" s="29"/>
      <c r="P131" s="29"/>
      <c r="Q131" s="16"/>
      <c r="R131" s="16"/>
      <c r="S131" s="16"/>
      <c r="T131" s="16"/>
      <c r="U131" s="16"/>
      <c r="V131" s="16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</row>
    <row r="132" spans="1:74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2"/>
      <c r="L132" s="3"/>
      <c r="M132" s="3"/>
      <c r="N132" s="29"/>
      <c r="O132" s="29"/>
      <c r="P132" s="29"/>
      <c r="Q132" s="16"/>
      <c r="R132" s="16"/>
      <c r="S132" s="16"/>
      <c r="T132" s="16"/>
      <c r="U132" s="16"/>
      <c r="V132" s="16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</row>
    <row r="133" spans="1:74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2"/>
      <c r="L133" s="3"/>
      <c r="M133" s="3"/>
      <c r="N133" s="29"/>
      <c r="O133" s="29"/>
      <c r="P133" s="29"/>
      <c r="Q133" s="16"/>
      <c r="R133" s="16"/>
      <c r="S133" s="16"/>
      <c r="T133" s="16"/>
      <c r="U133" s="16"/>
      <c r="V133" s="16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</row>
    <row r="134" spans="1:74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2"/>
      <c r="L134" s="3"/>
      <c r="M134" s="3"/>
      <c r="N134" s="29"/>
      <c r="O134" s="29"/>
      <c r="P134" s="29"/>
      <c r="Q134" s="16"/>
      <c r="R134" s="16"/>
      <c r="S134" s="16"/>
      <c r="T134" s="16"/>
      <c r="U134" s="16"/>
      <c r="V134" s="16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</row>
    <row r="135" spans="1:74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2"/>
      <c r="L135" s="3"/>
      <c r="M135" s="3"/>
      <c r="N135" s="29"/>
      <c r="O135" s="29"/>
      <c r="P135" s="29"/>
      <c r="Q135" s="16"/>
      <c r="R135" s="16"/>
      <c r="S135" s="16"/>
      <c r="T135" s="16"/>
      <c r="U135" s="16"/>
      <c r="V135" s="16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</row>
    <row r="136" spans="1:74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2"/>
      <c r="L136" s="3"/>
      <c r="M136" s="3"/>
      <c r="N136" s="29"/>
      <c r="O136" s="29"/>
      <c r="P136" s="29"/>
      <c r="Q136" s="16"/>
      <c r="R136" s="16"/>
      <c r="S136" s="16"/>
      <c r="T136" s="16"/>
      <c r="U136" s="16"/>
      <c r="V136" s="16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</row>
    <row r="137" spans="1:74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2"/>
      <c r="L137" s="3"/>
      <c r="M137" s="3"/>
      <c r="N137" s="29"/>
      <c r="O137" s="29"/>
      <c r="P137" s="29"/>
      <c r="Q137" s="16"/>
      <c r="R137" s="16"/>
      <c r="S137" s="16"/>
      <c r="T137" s="16"/>
      <c r="U137" s="16"/>
      <c r="V137" s="16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</row>
    <row r="138" spans="1:74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2"/>
      <c r="L138" s="3"/>
      <c r="M138" s="3"/>
      <c r="N138" s="29"/>
      <c r="O138" s="29"/>
      <c r="P138" s="29"/>
      <c r="Q138" s="16"/>
      <c r="R138" s="16"/>
      <c r="S138" s="16"/>
      <c r="T138" s="16"/>
      <c r="U138" s="16"/>
      <c r="V138" s="16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</row>
    <row r="139" spans="1:74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2"/>
      <c r="L139" s="3"/>
      <c r="M139" s="3"/>
      <c r="N139" s="29"/>
      <c r="O139" s="29"/>
      <c r="P139" s="29"/>
      <c r="Q139" s="16"/>
      <c r="R139" s="16"/>
      <c r="S139" s="16"/>
      <c r="T139" s="16"/>
      <c r="U139" s="16"/>
      <c r="V139" s="16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</row>
    <row r="140" spans="1:74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2"/>
      <c r="L140" s="3"/>
      <c r="M140" s="3"/>
      <c r="N140" s="29"/>
      <c r="O140" s="29"/>
      <c r="P140" s="29"/>
      <c r="Q140" s="16"/>
      <c r="R140" s="16"/>
      <c r="S140" s="16"/>
      <c r="T140" s="16"/>
      <c r="U140" s="16"/>
      <c r="V140" s="16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</row>
    <row r="141" spans="1:74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2"/>
      <c r="L141" s="3"/>
      <c r="M141" s="3"/>
      <c r="N141" s="29"/>
      <c r="O141" s="29"/>
      <c r="P141" s="29"/>
      <c r="Q141" s="16"/>
      <c r="R141" s="16"/>
      <c r="S141" s="16"/>
      <c r="T141" s="16"/>
      <c r="U141" s="16"/>
      <c r="V141" s="16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</row>
    <row r="142" spans="1:74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2"/>
      <c r="L142" s="3"/>
      <c r="M142" s="3"/>
      <c r="N142" s="29"/>
      <c r="O142" s="29"/>
      <c r="P142" s="29"/>
      <c r="Q142" s="16"/>
      <c r="R142" s="16"/>
      <c r="S142" s="16"/>
      <c r="T142" s="16"/>
      <c r="U142" s="16"/>
      <c r="V142" s="16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</row>
    <row r="143" spans="1:74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2"/>
      <c r="L143" s="3"/>
      <c r="M143" s="3"/>
      <c r="N143" s="29"/>
      <c r="O143" s="29"/>
      <c r="P143" s="29"/>
      <c r="Q143" s="16"/>
      <c r="R143" s="16"/>
      <c r="S143" s="16"/>
      <c r="T143" s="16"/>
      <c r="U143" s="16"/>
      <c r="V143" s="16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</row>
    <row r="144" spans="1:74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2"/>
      <c r="L144" s="3"/>
      <c r="M144" s="3"/>
      <c r="N144" s="29"/>
      <c r="O144" s="29"/>
      <c r="P144" s="29"/>
      <c r="Q144" s="16"/>
      <c r="R144" s="16"/>
      <c r="S144" s="16"/>
      <c r="T144" s="16"/>
      <c r="U144" s="16"/>
      <c r="V144" s="16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</row>
    <row r="145" spans="1:74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2"/>
      <c r="L145" s="3"/>
      <c r="M145" s="3"/>
      <c r="N145" s="29"/>
      <c r="O145" s="29"/>
      <c r="P145" s="29"/>
      <c r="Q145" s="16"/>
      <c r="R145" s="16"/>
      <c r="S145" s="16"/>
      <c r="T145" s="16"/>
      <c r="U145" s="16"/>
      <c r="V145" s="16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</row>
    <row r="146" spans="1:74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2"/>
      <c r="L146" s="3"/>
      <c r="M146" s="3"/>
      <c r="N146" s="29"/>
      <c r="O146" s="29"/>
      <c r="P146" s="29"/>
      <c r="Q146" s="16"/>
      <c r="R146" s="16"/>
      <c r="S146" s="16"/>
      <c r="T146" s="16"/>
      <c r="U146" s="16"/>
      <c r="V146" s="16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</row>
    <row r="147" spans="1:74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2"/>
      <c r="L147" s="3"/>
      <c r="M147" s="3"/>
      <c r="N147" s="29"/>
      <c r="O147" s="29"/>
      <c r="P147" s="29"/>
      <c r="Q147" s="16"/>
      <c r="R147" s="16"/>
      <c r="S147" s="16"/>
      <c r="T147" s="16"/>
      <c r="U147" s="16"/>
      <c r="V147" s="16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</row>
    <row r="148" spans="1:74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2"/>
      <c r="L148" s="3"/>
      <c r="M148" s="3"/>
      <c r="N148" s="29"/>
      <c r="O148" s="29"/>
      <c r="P148" s="29"/>
      <c r="Q148" s="16"/>
      <c r="R148" s="16"/>
      <c r="S148" s="16"/>
      <c r="T148" s="16"/>
      <c r="U148" s="16"/>
      <c r="V148" s="16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</row>
    <row r="149" spans="1:74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2"/>
      <c r="L149" s="3"/>
      <c r="M149" s="3"/>
      <c r="N149" s="29"/>
      <c r="O149" s="29"/>
      <c r="P149" s="29"/>
      <c r="Q149" s="16"/>
      <c r="R149" s="16"/>
      <c r="S149" s="16"/>
      <c r="T149" s="16"/>
      <c r="U149" s="16"/>
      <c r="V149" s="16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</row>
    <row r="150" spans="1:74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2"/>
      <c r="L150" s="3"/>
      <c r="M150" s="3"/>
      <c r="N150" s="29"/>
      <c r="O150" s="29"/>
      <c r="P150" s="29"/>
      <c r="Q150" s="16"/>
      <c r="R150" s="16"/>
      <c r="S150" s="16"/>
      <c r="T150" s="16"/>
      <c r="U150" s="16"/>
      <c r="V150" s="16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</row>
    <row r="151" spans="1:74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2"/>
      <c r="L151" s="3"/>
      <c r="M151" s="3"/>
      <c r="N151" s="29"/>
      <c r="O151" s="29"/>
      <c r="P151" s="29"/>
      <c r="Q151" s="16"/>
      <c r="R151" s="16"/>
      <c r="S151" s="16"/>
      <c r="T151" s="16"/>
      <c r="U151" s="16"/>
      <c r="V151" s="16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</row>
    <row r="152" spans="1:74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2"/>
      <c r="L152" s="3"/>
      <c r="M152" s="3"/>
      <c r="N152" s="29"/>
      <c r="O152" s="29"/>
      <c r="P152" s="29"/>
      <c r="Q152" s="16"/>
      <c r="R152" s="16"/>
      <c r="S152" s="16"/>
      <c r="T152" s="16"/>
      <c r="U152" s="16"/>
      <c r="V152" s="16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</row>
    <row r="153" spans="1:74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2"/>
      <c r="L153" s="3"/>
      <c r="M153" s="3"/>
      <c r="N153" s="29"/>
      <c r="O153" s="29"/>
      <c r="P153" s="29"/>
      <c r="Q153" s="16"/>
      <c r="R153" s="16"/>
      <c r="S153" s="16"/>
      <c r="T153" s="16"/>
      <c r="U153" s="16"/>
      <c r="V153" s="16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</row>
    <row r="154" spans="1:74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2"/>
      <c r="L154" s="3"/>
      <c r="M154" s="3"/>
      <c r="N154" s="29"/>
      <c r="O154" s="29"/>
      <c r="P154" s="29"/>
      <c r="Q154" s="16"/>
      <c r="R154" s="16"/>
      <c r="S154" s="16"/>
      <c r="T154" s="16"/>
      <c r="U154" s="16"/>
      <c r="V154" s="16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</row>
    <row r="155" spans="1:74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2"/>
      <c r="L155" s="3"/>
      <c r="M155" s="3"/>
      <c r="N155" s="29"/>
      <c r="O155" s="29"/>
      <c r="P155" s="29"/>
      <c r="Q155" s="16"/>
      <c r="R155" s="16"/>
      <c r="S155" s="16"/>
      <c r="T155" s="16"/>
      <c r="U155" s="16"/>
      <c r="V155" s="16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</row>
    <row r="156" spans="1:74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2"/>
      <c r="L156" s="3"/>
      <c r="M156" s="3"/>
      <c r="N156" s="29"/>
      <c r="O156" s="29"/>
      <c r="P156" s="29"/>
      <c r="Q156" s="16"/>
      <c r="R156" s="16"/>
      <c r="S156" s="16"/>
      <c r="T156" s="16"/>
      <c r="U156" s="16"/>
      <c r="V156" s="16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</row>
    <row r="157" spans="1:74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2"/>
      <c r="L157" s="3"/>
      <c r="M157" s="3"/>
      <c r="N157" s="29"/>
      <c r="O157" s="29"/>
      <c r="P157" s="29"/>
      <c r="Q157" s="16"/>
      <c r="R157" s="16"/>
      <c r="S157" s="16"/>
      <c r="T157" s="16"/>
      <c r="U157" s="16"/>
      <c r="V157" s="16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</row>
    <row r="158" spans="1:74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2"/>
      <c r="L158" s="3"/>
      <c r="M158" s="3"/>
      <c r="N158" s="29"/>
      <c r="O158" s="29"/>
      <c r="P158" s="29"/>
      <c r="Q158" s="16"/>
      <c r="R158" s="16"/>
      <c r="S158" s="16"/>
      <c r="T158" s="16"/>
      <c r="U158" s="16"/>
      <c r="V158" s="16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</row>
    <row r="159" spans="1:74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2"/>
      <c r="L159" s="3"/>
      <c r="M159" s="3"/>
      <c r="N159" s="29"/>
      <c r="O159" s="29"/>
      <c r="P159" s="29"/>
      <c r="Q159" s="16"/>
      <c r="R159" s="16"/>
      <c r="S159" s="16"/>
      <c r="T159" s="16"/>
      <c r="U159" s="16"/>
      <c r="V159" s="16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</row>
    <row r="160" spans="1:74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2"/>
      <c r="L160" s="3"/>
      <c r="M160" s="3"/>
      <c r="N160" s="29"/>
      <c r="O160" s="29"/>
      <c r="P160" s="29"/>
      <c r="Q160" s="16"/>
      <c r="R160" s="16"/>
      <c r="S160" s="16"/>
      <c r="T160" s="16"/>
      <c r="U160" s="16"/>
      <c r="V160" s="16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</row>
    <row r="161" spans="1:74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2"/>
      <c r="L161" s="3"/>
      <c r="M161" s="3"/>
      <c r="N161" s="29"/>
      <c r="O161" s="29"/>
      <c r="P161" s="29"/>
      <c r="Q161" s="16"/>
      <c r="R161" s="16"/>
      <c r="S161" s="16"/>
      <c r="T161" s="16"/>
      <c r="U161" s="16"/>
      <c r="V161" s="16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</row>
    <row r="162" spans="1:74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2"/>
      <c r="L162" s="3"/>
      <c r="M162" s="3"/>
      <c r="N162" s="29"/>
      <c r="O162" s="29"/>
      <c r="P162" s="29"/>
      <c r="Q162" s="16"/>
      <c r="R162" s="16"/>
      <c r="S162" s="16"/>
      <c r="T162" s="16"/>
      <c r="U162" s="16"/>
      <c r="V162" s="16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</row>
    <row r="163" spans="1:74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2"/>
      <c r="L163" s="3"/>
      <c r="M163" s="3"/>
      <c r="N163" s="29"/>
      <c r="O163" s="29"/>
      <c r="P163" s="29"/>
      <c r="Q163" s="16"/>
      <c r="R163" s="16"/>
      <c r="S163" s="16"/>
      <c r="T163" s="16"/>
      <c r="U163" s="16"/>
      <c r="V163" s="16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</row>
    <row r="164" spans="1:74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2"/>
      <c r="L164" s="3"/>
      <c r="M164" s="3"/>
      <c r="N164" s="29"/>
      <c r="O164" s="29"/>
      <c r="P164" s="29"/>
      <c r="Q164" s="16"/>
      <c r="R164" s="16"/>
      <c r="S164" s="16"/>
      <c r="T164" s="16"/>
      <c r="U164" s="16"/>
      <c r="V164" s="16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</row>
    <row r="165" spans="1:74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2"/>
      <c r="L165" s="3"/>
      <c r="M165" s="3"/>
      <c r="N165" s="29"/>
      <c r="O165" s="29"/>
      <c r="P165" s="29"/>
      <c r="Q165" s="16"/>
      <c r="R165" s="16"/>
      <c r="S165" s="16"/>
      <c r="T165" s="16"/>
      <c r="U165" s="16"/>
      <c r="V165" s="16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</row>
    <row r="166" spans="1:74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2"/>
      <c r="L166" s="3"/>
      <c r="M166" s="3"/>
      <c r="N166" s="29"/>
      <c r="O166" s="29"/>
      <c r="P166" s="29"/>
      <c r="Q166" s="16"/>
      <c r="R166" s="16"/>
      <c r="S166" s="16"/>
      <c r="T166" s="16"/>
      <c r="U166" s="16"/>
      <c r="V166" s="16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</row>
    <row r="167" spans="1:74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2"/>
      <c r="L167" s="3"/>
      <c r="M167" s="3"/>
      <c r="N167" s="29"/>
      <c r="O167" s="29"/>
      <c r="P167" s="29"/>
      <c r="Q167" s="16"/>
      <c r="R167" s="16"/>
      <c r="S167" s="16"/>
      <c r="T167" s="16"/>
      <c r="U167" s="16"/>
      <c r="V167" s="16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</row>
    <row r="168" spans="1:74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2"/>
      <c r="L168" s="3"/>
      <c r="M168" s="3"/>
      <c r="N168" s="29"/>
      <c r="O168" s="29"/>
      <c r="P168" s="29"/>
      <c r="Q168" s="16"/>
      <c r="R168" s="16"/>
      <c r="S168" s="16"/>
      <c r="T168" s="16"/>
      <c r="U168" s="16"/>
      <c r="V168" s="16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</row>
    <row r="169" spans="1:74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2"/>
      <c r="L169" s="3"/>
      <c r="M169" s="3"/>
      <c r="N169" s="29"/>
      <c r="O169" s="29"/>
      <c r="P169" s="29"/>
      <c r="Q169" s="16"/>
      <c r="R169" s="16"/>
      <c r="S169" s="16"/>
      <c r="T169" s="16"/>
      <c r="U169" s="16"/>
      <c r="V169" s="16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</row>
    <row r="170" spans="1:74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2"/>
      <c r="L170" s="3"/>
      <c r="M170" s="3"/>
      <c r="N170" s="29"/>
      <c r="O170" s="29"/>
      <c r="P170" s="29"/>
      <c r="Q170" s="16"/>
      <c r="R170" s="16"/>
      <c r="S170" s="16"/>
      <c r="T170" s="16"/>
      <c r="U170" s="16"/>
      <c r="V170" s="16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</row>
    <row r="171" spans="1:74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2"/>
      <c r="L171" s="3"/>
      <c r="M171" s="3"/>
      <c r="N171" s="29"/>
      <c r="O171" s="29"/>
      <c r="P171" s="29"/>
      <c r="Q171" s="16"/>
      <c r="R171" s="16"/>
      <c r="S171" s="16"/>
      <c r="T171" s="16"/>
      <c r="U171" s="16"/>
      <c r="V171" s="16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</row>
    <row r="172" spans="1:74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2"/>
      <c r="L172" s="3"/>
      <c r="M172" s="3"/>
      <c r="N172" s="29"/>
      <c r="O172" s="29"/>
      <c r="P172" s="29"/>
      <c r="Q172" s="16"/>
      <c r="R172" s="16"/>
      <c r="S172" s="16"/>
      <c r="T172" s="16"/>
      <c r="U172" s="16"/>
      <c r="V172" s="16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</row>
    <row r="173" spans="1:74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2"/>
      <c r="L173" s="3"/>
      <c r="M173" s="3"/>
      <c r="N173" s="29"/>
      <c r="O173" s="29"/>
      <c r="P173" s="29"/>
      <c r="Q173" s="16"/>
      <c r="R173" s="16"/>
      <c r="S173" s="16"/>
      <c r="T173" s="16"/>
      <c r="U173" s="16"/>
      <c r="V173" s="16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</row>
    <row r="174" spans="1:74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2"/>
      <c r="L174" s="3"/>
      <c r="M174" s="3"/>
      <c r="N174" s="29"/>
      <c r="O174" s="29"/>
      <c r="P174" s="29"/>
      <c r="Q174" s="16"/>
      <c r="R174" s="16"/>
      <c r="S174" s="16"/>
      <c r="T174" s="16"/>
      <c r="U174" s="16"/>
      <c r="V174" s="16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</row>
    <row r="175" spans="1:74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2"/>
      <c r="L175" s="3"/>
      <c r="M175" s="3"/>
      <c r="N175" s="29"/>
      <c r="O175" s="29"/>
      <c r="P175" s="29"/>
      <c r="Q175" s="16"/>
      <c r="R175" s="16"/>
      <c r="S175" s="16"/>
      <c r="T175" s="16"/>
      <c r="U175" s="16"/>
      <c r="V175" s="16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</row>
    <row r="176" spans="1:74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2"/>
      <c r="L176" s="3"/>
      <c r="M176" s="3"/>
      <c r="N176" s="29"/>
      <c r="O176" s="29"/>
      <c r="P176" s="29"/>
      <c r="Q176" s="16"/>
      <c r="R176" s="16"/>
      <c r="S176" s="16"/>
      <c r="T176" s="16"/>
      <c r="U176" s="16"/>
      <c r="V176" s="16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</row>
    <row r="177" spans="1:74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2"/>
      <c r="L177" s="3"/>
      <c r="M177" s="3"/>
      <c r="N177" s="29"/>
      <c r="O177" s="29"/>
      <c r="P177" s="29"/>
      <c r="Q177" s="16"/>
      <c r="R177" s="16"/>
      <c r="S177" s="16"/>
      <c r="T177" s="16"/>
      <c r="U177" s="16"/>
      <c r="V177" s="16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</row>
    <row r="178" spans="1:74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2"/>
      <c r="L178" s="3"/>
      <c r="M178" s="3"/>
      <c r="N178" s="29"/>
      <c r="O178" s="29"/>
      <c r="P178" s="29"/>
      <c r="Q178" s="16"/>
      <c r="R178" s="16"/>
      <c r="S178" s="16"/>
      <c r="T178" s="16"/>
      <c r="U178" s="16"/>
      <c r="V178" s="16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</row>
    <row r="179" spans="1:74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2"/>
      <c r="L179" s="3"/>
      <c r="M179" s="3"/>
      <c r="N179" s="29"/>
      <c r="O179" s="29"/>
      <c r="P179" s="29"/>
      <c r="Q179" s="16"/>
      <c r="R179" s="16"/>
      <c r="S179" s="16"/>
      <c r="T179" s="16"/>
      <c r="U179" s="16"/>
      <c r="V179" s="16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</row>
    <row r="180" spans="1:74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2"/>
      <c r="L180" s="3"/>
      <c r="M180" s="3"/>
      <c r="N180" s="29"/>
      <c r="O180" s="29"/>
      <c r="P180" s="29"/>
      <c r="Q180" s="16"/>
      <c r="R180" s="16"/>
      <c r="S180" s="16"/>
      <c r="T180" s="16"/>
      <c r="U180" s="16"/>
      <c r="V180" s="16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</row>
    <row r="181" spans="1:74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2"/>
      <c r="L181" s="3"/>
      <c r="M181" s="3"/>
      <c r="N181" s="29"/>
      <c r="O181" s="29"/>
      <c r="P181" s="29"/>
      <c r="Q181" s="16"/>
      <c r="R181" s="16"/>
      <c r="S181" s="16"/>
      <c r="T181" s="16"/>
      <c r="U181" s="16"/>
      <c r="V181" s="16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</row>
    <row r="182" spans="1:74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2"/>
      <c r="L182" s="3"/>
      <c r="M182" s="3"/>
      <c r="N182" s="29"/>
      <c r="O182" s="29"/>
      <c r="P182" s="29"/>
      <c r="Q182" s="16"/>
      <c r="R182" s="16"/>
      <c r="S182" s="16"/>
      <c r="T182" s="16"/>
      <c r="U182" s="16"/>
      <c r="V182" s="16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</row>
    <row r="183" spans="1:74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2"/>
      <c r="L183" s="3"/>
      <c r="M183" s="3"/>
      <c r="N183" s="64"/>
      <c r="O183" s="29"/>
      <c r="P183" s="29"/>
      <c r="Q183" s="16"/>
      <c r="R183" s="16"/>
      <c r="S183" s="16"/>
      <c r="T183" s="16"/>
      <c r="U183" s="16"/>
      <c r="V183" s="16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</row>
    <row r="184" spans="1:74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2"/>
      <c r="L184" s="3"/>
      <c r="M184" s="3"/>
      <c r="N184" s="29"/>
      <c r="O184" s="29"/>
      <c r="P184" s="29"/>
      <c r="Q184" s="16"/>
      <c r="R184" s="16"/>
      <c r="S184" s="16"/>
      <c r="T184" s="16"/>
      <c r="U184" s="16"/>
      <c r="V184" s="16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</row>
    <row r="185" spans="1:74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2"/>
      <c r="L185" s="3"/>
      <c r="M185" s="3"/>
      <c r="N185" s="29"/>
      <c r="O185" s="29"/>
      <c r="P185" s="29"/>
      <c r="Q185" s="16"/>
      <c r="R185" s="16"/>
      <c r="S185" s="16"/>
      <c r="T185" s="16"/>
      <c r="U185" s="16"/>
      <c r="V185" s="16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</row>
    <row r="186" spans="1:74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2"/>
      <c r="L186" s="3"/>
      <c r="M186" s="3"/>
      <c r="N186" s="29"/>
      <c r="O186" s="29"/>
      <c r="P186" s="29"/>
      <c r="Q186" s="16"/>
      <c r="R186" s="16"/>
      <c r="S186" s="16"/>
      <c r="T186" s="16"/>
      <c r="U186" s="16"/>
      <c r="V186" s="16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</row>
    <row r="187" spans="1:74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2"/>
      <c r="L187" s="3"/>
      <c r="M187" s="3"/>
      <c r="N187" s="29"/>
      <c r="O187" s="29"/>
      <c r="P187" s="29"/>
      <c r="Q187" s="16"/>
      <c r="R187" s="16"/>
      <c r="S187" s="16"/>
      <c r="T187" s="16"/>
      <c r="U187" s="16"/>
      <c r="V187" s="16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</row>
    <row r="188" spans="1:74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2"/>
      <c r="L188" s="3"/>
      <c r="M188" s="3"/>
      <c r="N188" s="29"/>
      <c r="O188" s="29"/>
      <c r="P188" s="29"/>
      <c r="Q188" s="16"/>
      <c r="R188" s="16"/>
      <c r="S188" s="16"/>
      <c r="T188" s="16"/>
      <c r="U188" s="16"/>
      <c r="V188" s="16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</row>
    <row r="189" spans="1:74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2"/>
      <c r="L189" s="3"/>
      <c r="M189" s="3"/>
      <c r="N189" s="29"/>
      <c r="O189" s="29"/>
      <c r="P189" s="29"/>
      <c r="Q189" s="16"/>
      <c r="R189" s="16"/>
      <c r="S189" s="16"/>
      <c r="T189" s="16"/>
      <c r="U189" s="16"/>
      <c r="V189" s="16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</row>
    <row r="190" spans="1:74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2"/>
      <c r="L190" s="3"/>
      <c r="M190" s="3"/>
      <c r="N190" s="29"/>
      <c r="O190" s="29"/>
      <c r="P190" s="29"/>
      <c r="Q190" s="16"/>
      <c r="R190" s="16"/>
      <c r="S190" s="16"/>
      <c r="T190" s="16"/>
      <c r="U190" s="16"/>
      <c r="V190" s="16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</row>
    <row r="191" spans="1:74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2"/>
      <c r="L191" s="3"/>
      <c r="M191" s="3"/>
      <c r="N191" s="29"/>
      <c r="O191" s="29"/>
      <c r="P191" s="29"/>
      <c r="Q191" s="16"/>
      <c r="R191" s="16"/>
      <c r="S191" s="16"/>
      <c r="T191" s="16"/>
      <c r="U191" s="16"/>
      <c r="V191" s="16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</row>
    <row r="192" spans="1:74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2"/>
      <c r="L192" s="3"/>
      <c r="M192" s="3"/>
      <c r="N192" s="29"/>
      <c r="O192" s="29"/>
      <c r="P192" s="29"/>
      <c r="Q192" s="16"/>
      <c r="R192" s="16"/>
      <c r="S192" s="16"/>
      <c r="T192" s="16"/>
      <c r="U192" s="16"/>
      <c r="V192" s="16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</row>
    <row r="193" spans="1:74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2"/>
      <c r="L193" s="3"/>
      <c r="M193" s="3"/>
      <c r="N193" s="29"/>
      <c r="O193" s="29"/>
      <c r="P193" s="29"/>
      <c r="Q193" s="16"/>
      <c r="R193" s="16"/>
      <c r="S193" s="16"/>
      <c r="T193" s="16"/>
      <c r="U193" s="16"/>
      <c r="V193" s="16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</row>
    <row r="194" spans="1:74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2"/>
      <c r="L194" s="3"/>
      <c r="M194" s="3"/>
      <c r="N194" s="29"/>
      <c r="O194" s="29"/>
      <c r="P194" s="29"/>
      <c r="Q194" s="16"/>
      <c r="R194" s="16"/>
      <c r="S194" s="16"/>
      <c r="T194" s="16"/>
      <c r="U194" s="16"/>
      <c r="V194" s="16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</row>
    <row r="195" spans="1:74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2"/>
      <c r="L195" s="3"/>
      <c r="M195" s="3"/>
      <c r="N195" s="29"/>
      <c r="O195" s="29"/>
      <c r="P195" s="29"/>
      <c r="Q195" s="16"/>
      <c r="R195" s="16"/>
      <c r="S195" s="16"/>
      <c r="T195" s="16"/>
      <c r="U195" s="16"/>
      <c r="V195" s="16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</row>
    <row r="196" spans="1:74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2"/>
      <c r="L196" s="3"/>
      <c r="M196" s="3"/>
      <c r="N196" s="29"/>
      <c r="O196" s="29"/>
      <c r="P196" s="29"/>
      <c r="Q196" s="16"/>
      <c r="R196" s="16"/>
      <c r="S196" s="16"/>
      <c r="T196" s="16"/>
      <c r="U196" s="16"/>
      <c r="V196" s="16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</row>
    <row r="197" spans="1:74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2"/>
      <c r="L197" s="3"/>
      <c r="M197" s="3"/>
      <c r="N197" s="29"/>
      <c r="O197" s="29"/>
      <c r="P197" s="29"/>
      <c r="Q197" s="16"/>
      <c r="R197" s="16"/>
      <c r="S197" s="16"/>
      <c r="T197" s="16"/>
      <c r="U197" s="16"/>
      <c r="V197" s="16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</row>
    <row r="198" spans="1:74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2"/>
      <c r="L198" s="3"/>
      <c r="M198" s="3"/>
      <c r="N198" s="29"/>
      <c r="O198" s="29"/>
      <c r="P198" s="29"/>
      <c r="Q198" s="16"/>
      <c r="R198" s="16"/>
      <c r="S198" s="16"/>
      <c r="T198" s="16"/>
      <c r="U198" s="16"/>
      <c r="V198" s="16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</row>
    <row r="199" spans="1:74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2"/>
      <c r="L199" s="3"/>
      <c r="M199" s="3"/>
      <c r="N199" s="29"/>
      <c r="O199" s="29"/>
      <c r="P199" s="29"/>
      <c r="Q199" s="16"/>
      <c r="R199" s="16"/>
      <c r="S199" s="16"/>
      <c r="T199" s="16"/>
      <c r="U199" s="16"/>
      <c r="V199" s="16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</row>
    <row r="200" spans="1:74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2"/>
      <c r="L200" s="3"/>
      <c r="M200" s="3"/>
      <c r="N200" s="29"/>
      <c r="O200" s="29"/>
      <c r="P200" s="29"/>
      <c r="Q200" s="16"/>
      <c r="R200" s="16"/>
      <c r="S200" s="16"/>
      <c r="T200" s="16"/>
      <c r="U200" s="16"/>
      <c r="V200" s="16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</row>
    <row r="201" spans="1:74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2"/>
      <c r="L201" s="3"/>
      <c r="M201" s="3"/>
      <c r="N201" s="29"/>
      <c r="O201" s="29"/>
      <c r="P201" s="29"/>
      <c r="Q201" s="16"/>
      <c r="R201" s="16"/>
      <c r="S201" s="16"/>
      <c r="T201" s="16"/>
      <c r="U201" s="16"/>
      <c r="V201" s="16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</row>
    <row r="202" spans="1:74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2"/>
      <c r="L202" s="3"/>
      <c r="M202" s="3"/>
      <c r="N202" s="29"/>
      <c r="O202" s="29"/>
      <c r="P202" s="29"/>
      <c r="Q202" s="16"/>
      <c r="R202" s="16"/>
      <c r="S202" s="16"/>
      <c r="T202" s="16"/>
      <c r="U202" s="16"/>
      <c r="V202" s="16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</row>
    <row r="203" spans="1:74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2"/>
      <c r="L203" s="3"/>
      <c r="M203" s="3"/>
      <c r="N203" s="29"/>
      <c r="O203" s="29"/>
      <c r="P203" s="29"/>
      <c r="Q203" s="16"/>
      <c r="R203" s="16"/>
      <c r="S203" s="16"/>
      <c r="T203" s="16"/>
      <c r="U203" s="16"/>
      <c r="V203" s="16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</row>
    <row r="204" spans="1:74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2"/>
      <c r="L204" s="3"/>
      <c r="M204" s="3"/>
      <c r="N204" s="29"/>
      <c r="O204" s="29"/>
      <c r="P204" s="29"/>
      <c r="Q204" s="16"/>
      <c r="R204" s="16"/>
      <c r="S204" s="16"/>
      <c r="T204" s="16"/>
      <c r="U204" s="16"/>
      <c r="V204" s="16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</row>
    <row r="205" spans="1:74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2"/>
      <c r="L205" s="3"/>
      <c r="M205" s="3"/>
      <c r="N205" s="29"/>
      <c r="O205" s="29"/>
      <c r="P205" s="29"/>
      <c r="Q205" s="16"/>
      <c r="R205" s="16"/>
      <c r="S205" s="16"/>
      <c r="T205" s="16"/>
      <c r="U205" s="16"/>
      <c r="V205" s="16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</row>
    <row r="206" spans="1:74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2"/>
      <c r="L206" s="3"/>
      <c r="M206" s="3"/>
      <c r="N206" s="29"/>
      <c r="O206" s="29"/>
      <c r="P206" s="29"/>
      <c r="Q206" s="16"/>
      <c r="R206" s="16"/>
      <c r="S206" s="16"/>
      <c r="T206" s="16"/>
      <c r="U206" s="16"/>
      <c r="V206" s="16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</row>
    <row r="207" spans="1:74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2"/>
      <c r="L207" s="3"/>
      <c r="M207" s="3"/>
      <c r="N207" s="29"/>
      <c r="O207" s="29"/>
      <c r="P207" s="29"/>
      <c r="Q207" s="16"/>
      <c r="R207" s="16"/>
      <c r="S207" s="16"/>
      <c r="T207" s="16"/>
      <c r="U207" s="16"/>
      <c r="V207" s="16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</row>
    <row r="208" spans="1:74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2"/>
      <c r="L208" s="3"/>
      <c r="M208" s="3"/>
      <c r="N208" s="29"/>
      <c r="O208" s="29"/>
      <c r="P208" s="29"/>
      <c r="Q208" s="16"/>
      <c r="R208" s="16"/>
      <c r="S208" s="16"/>
      <c r="T208" s="16"/>
      <c r="U208" s="16"/>
      <c r="V208" s="16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</row>
    <row r="209" spans="1:74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2"/>
      <c r="L209" s="3"/>
      <c r="M209" s="3"/>
      <c r="N209" s="29"/>
      <c r="O209" s="29"/>
      <c r="P209" s="29"/>
      <c r="Q209" s="16"/>
      <c r="R209" s="16"/>
      <c r="S209" s="16"/>
      <c r="T209" s="16"/>
      <c r="U209" s="16"/>
      <c r="V209" s="16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</row>
    <row r="210" spans="1:74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2"/>
      <c r="L210" s="3"/>
      <c r="M210" s="3"/>
      <c r="N210" s="29"/>
      <c r="O210" s="29"/>
      <c r="P210" s="29"/>
      <c r="Q210" s="16"/>
      <c r="R210" s="16"/>
      <c r="S210" s="16"/>
      <c r="T210" s="16"/>
      <c r="U210" s="16"/>
      <c r="V210" s="16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</row>
    <row r="211" spans="1:74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2"/>
      <c r="L211" s="3"/>
      <c r="M211" s="3"/>
      <c r="N211" s="29"/>
      <c r="O211" s="29"/>
      <c r="P211" s="29"/>
      <c r="Q211" s="16"/>
      <c r="R211" s="16"/>
      <c r="S211" s="16"/>
      <c r="T211" s="16"/>
      <c r="U211" s="16"/>
      <c r="V211" s="16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</row>
    <row r="212" spans="1:74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2"/>
      <c r="L212" s="3"/>
      <c r="M212" s="3"/>
      <c r="N212" s="29"/>
      <c r="O212" s="29"/>
      <c r="P212" s="29"/>
      <c r="Q212" s="16"/>
      <c r="R212" s="16"/>
      <c r="S212" s="16"/>
      <c r="T212" s="16"/>
      <c r="U212" s="16"/>
      <c r="V212" s="16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</row>
    <row r="213" spans="1:74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2"/>
      <c r="L213" s="3"/>
      <c r="M213" s="3"/>
      <c r="N213" s="29"/>
      <c r="O213" s="29"/>
      <c r="P213" s="29"/>
      <c r="Q213" s="16"/>
      <c r="R213" s="16"/>
      <c r="S213" s="16"/>
      <c r="T213" s="16"/>
      <c r="U213" s="16"/>
      <c r="V213" s="16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</row>
    <row r="214" spans="1:74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2"/>
      <c r="L214" s="3"/>
      <c r="M214" s="3"/>
      <c r="N214" s="29"/>
      <c r="O214" s="29"/>
      <c r="P214" s="29"/>
      <c r="Q214" s="16"/>
      <c r="R214" s="16"/>
      <c r="S214" s="16"/>
      <c r="T214" s="16"/>
      <c r="U214" s="16"/>
      <c r="V214" s="16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</row>
    <row r="215" spans="1:74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2"/>
      <c r="L215" s="3"/>
      <c r="M215" s="3"/>
      <c r="N215" s="29"/>
      <c r="O215" s="29"/>
      <c r="P215" s="29"/>
      <c r="Q215" s="16"/>
      <c r="R215" s="16"/>
      <c r="S215" s="16"/>
      <c r="T215" s="16"/>
      <c r="U215" s="16"/>
      <c r="V215" s="16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</row>
    <row r="216" spans="1:74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2"/>
      <c r="L216" s="3"/>
      <c r="M216" s="3"/>
      <c r="N216" s="29"/>
      <c r="O216" s="29"/>
      <c r="P216" s="29"/>
      <c r="Q216" s="16"/>
      <c r="R216" s="16"/>
      <c r="S216" s="16"/>
      <c r="T216" s="16"/>
      <c r="U216" s="16"/>
      <c r="V216" s="16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</row>
    <row r="217" spans="1:74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2"/>
      <c r="L217" s="3"/>
      <c r="M217" s="3"/>
      <c r="N217" s="29"/>
      <c r="O217" s="29"/>
      <c r="P217" s="29"/>
      <c r="Q217" s="16"/>
      <c r="R217" s="16"/>
      <c r="S217" s="16"/>
      <c r="T217" s="16"/>
      <c r="U217" s="16"/>
      <c r="V217" s="16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</row>
    <row r="218" spans="1:74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2"/>
      <c r="L218" s="3"/>
      <c r="M218" s="3"/>
      <c r="N218" s="29"/>
      <c r="O218" s="29"/>
      <c r="P218" s="29"/>
      <c r="Q218" s="16"/>
      <c r="R218" s="16"/>
      <c r="S218" s="16"/>
      <c r="T218" s="16"/>
      <c r="U218" s="16"/>
      <c r="V218" s="16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</row>
    <row r="219" spans="1:74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2"/>
      <c r="L219" s="3"/>
      <c r="M219" s="3"/>
      <c r="N219" s="29"/>
      <c r="O219" s="29"/>
      <c r="P219" s="29"/>
      <c r="Q219" s="16"/>
      <c r="R219" s="16"/>
      <c r="S219" s="16"/>
      <c r="T219" s="16"/>
      <c r="U219" s="16"/>
      <c r="V219" s="16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</row>
    <row r="220" spans="1:74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2"/>
      <c r="L220" s="3"/>
      <c r="M220" s="3"/>
      <c r="N220" s="29"/>
      <c r="O220" s="29"/>
      <c r="P220" s="29"/>
      <c r="Q220" s="16"/>
      <c r="R220" s="16"/>
      <c r="S220" s="16"/>
      <c r="T220" s="16"/>
      <c r="U220" s="16"/>
      <c r="V220" s="16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</row>
    <row r="221" spans="1:74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2"/>
      <c r="L221" s="3"/>
      <c r="M221" s="3"/>
      <c r="N221" s="29"/>
      <c r="O221" s="29"/>
      <c r="P221" s="29"/>
      <c r="Q221" s="16"/>
      <c r="R221" s="16"/>
      <c r="S221" s="16"/>
      <c r="T221" s="16"/>
      <c r="U221" s="16"/>
      <c r="V221" s="16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</row>
    <row r="222" spans="1:74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2"/>
      <c r="L222" s="3"/>
      <c r="M222" s="3"/>
      <c r="N222" s="29"/>
      <c r="O222" s="29"/>
      <c r="P222" s="29"/>
      <c r="Q222" s="16"/>
      <c r="R222" s="16"/>
      <c r="S222" s="16"/>
      <c r="T222" s="16"/>
      <c r="U222" s="16"/>
      <c r="V222" s="16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</row>
    <row r="223" spans="1:74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2"/>
      <c r="L223" s="3"/>
      <c r="M223" s="3"/>
      <c r="N223" s="29"/>
      <c r="O223" s="29"/>
      <c r="P223" s="29"/>
      <c r="Q223" s="16"/>
      <c r="R223" s="16"/>
      <c r="S223" s="16"/>
      <c r="T223" s="16"/>
      <c r="U223" s="16"/>
      <c r="V223" s="16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</row>
    <row r="224" spans="1:74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2"/>
      <c r="L224" s="3"/>
      <c r="M224" s="3"/>
      <c r="N224" s="33"/>
      <c r="O224" s="33"/>
      <c r="P224" s="33"/>
      <c r="Q224" s="19"/>
      <c r="R224" s="19"/>
      <c r="S224" s="19"/>
      <c r="T224" s="19"/>
      <c r="U224" s="19"/>
      <c r="V224" s="19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</row>
    <row r="225" spans="1:74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2"/>
      <c r="L225" s="3"/>
      <c r="M225" s="3"/>
      <c r="N225" s="33"/>
      <c r="O225" s="33"/>
      <c r="P225" s="33"/>
      <c r="Q225" s="19"/>
      <c r="R225" s="19"/>
      <c r="S225" s="19"/>
      <c r="T225" s="19"/>
      <c r="U225" s="19"/>
      <c r="V225" s="19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</row>
    <row r="226" spans="1:74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2"/>
      <c r="L226" s="3"/>
      <c r="M226" s="3"/>
      <c r="N226" s="33"/>
      <c r="O226" s="33"/>
      <c r="P226" s="33"/>
      <c r="Q226" s="19"/>
      <c r="R226" s="19"/>
      <c r="S226" s="19"/>
      <c r="T226" s="19"/>
      <c r="U226" s="19"/>
      <c r="V226" s="19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</row>
    <row r="227" spans="1:74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2"/>
      <c r="L227" s="3"/>
      <c r="M227" s="3"/>
      <c r="N227" s="33"/>
      <c r="O227" s="33"/>
      <c r="P227" s="33"/>
      <c r="Q227" s="19"/>
      <c r="R227" s="19"/>
      <c r="S227" s="19"/>
      <c r="T227" s="19"/>
      <c r="U227" s="19"/>
      <c r="V227" s="19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</row>
    <row r="228" spans="1:74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2"/>
      <c r="L228" s="3"/>
      <c r="M228" s="3"/>
      <c r="N228" s="33"/>
      <c r="O228" s="33"/>
      <c r="P228" s="33"/>
      <c r="Q228" s="19"/>
      <c r="R228" s="19"/>
      <c r="S228" s="19"/>
      <c r="T228" s="19"/>
      <c r="U228" s="19"/>
      <c r="V228" s="19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</row>
    <row r="229" spans="1:74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2"/>
      <c r="L229" s="3"/>
      <c r="M229" s="3"/>
      <c r="N229" s="33"/>
      <c r="O229" s="33"/>
      <c r="P229" s="33"/>
      <c r="Q229" s="19"/>
      <c r="R229" s="19"/>
      <c r="S229" s="19"/>
      <c r="T229" s="19"/>
      <c r="U229" s="19"/>
      <c r="V229" s="19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</row>
    <row r="230" spans="1:74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2"/>
      <c r="L230" s="3"/>
      <c r="M230" s="3"/>
      <c r="N230" s="33"/>
      <c r="O230" s="33"/>
      <c r="P230" s="33"/>
      <c r="Q230" s="19"/>
      <c r="R230" s="19"/>
      <c r="S230" s="19"/>
      <c r="T230" s="19"/>
      <c r="U230" s="19"/>
      <c r="V230" s="19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</row>
    <row r="231" spans="1:74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2"/>
      <c r="L231" s="3"/>
      <c r="M231" s="3"/>
      <c r="N231" s="33"/>
      <c r="O231" s="33"/>
      <c r="P231" s="33"/>
      <c r="Q231" s="19"/>
      <c r="R231" s="19"/>
      <c r="S231" s="19"/>
      <c r="T231" s="19"/>
      <c r="U231" s="19"/>
      <c r="V231" s="19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</row>
    <row r="232" spans="1:74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2"/>
      <c r="L232" s="3"/>
      <c r="M232" s="3"/>
      <c r="N232" s="33"/>
      <c r="O232" s="33"/>
      <c r="P232" s="33"/>
      <c r="Q232" s="19"/>
      <c r="R232" s="19"/>
      <c r="S232" s="19"/>
      <c r="T232" s="19"/>
      <c r="U232" s="19"/>
      <c r="V232" s="19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</row>
    <row r="233" spans="1:74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2"/>
      <c r="L233" s="3"/>
      <c r="M233" s="3"/>
      <c r="N233" s="33"/>
      <c r="O233" s="33"/>
      <c r="P233" s="33"/>
      <c r="Q233" s="19"/>
      <c r="R233" s="19"/>
      <c r="S233" s="19"/>
      <c r="T233" s="19"/>
      <c r="U233" s="19"/>
      <c r="V233" s="19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</row>
    <row r="234" spans="1:74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2"/>
      <c r="L234" s="3"/>
      <c r="M234" s="3"/>
      <c r="N234" s="33"/>
      <c r="O234" s="33"/>
      <c r="P234" s="33"/>
      <c r="Q234" s="19"/>
      <c r="R234" s="19"/>
      <c r="S234" s="19"/>
      <c r="T234" s="19"/>
      <c r="U234" s="19"/>
      <c r="V234" s="19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</row>
    <row r="235" spans="1:74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2"/>
      <c r="L235" s="3"/>
      <c r="M235" s="3"/>
      <c r="N235" s="33"/>
      <c r="O235" s="33"/>
      <c r="P235" s="33"/>
      <c r="Q235" s="19"/>
      <c r="R235" s="19"/>
      <c r="S235" s="19"/>
      <c r="T235" s="19"/>
      <c r="U235" s="19"/>
      <c r="V235" s="19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</row>
    <row r="236" spans="1:74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2"/>
      <c r="L236" s="3"/>
      <c r="M236" s="3"/>
      <c r="N236" s="33"/>
      <c r="O236" s="33"/>
      <c r="P236" s="33"/>
      <c r="Q236" s="19"/>
      <c r="R236" s="19"/>
      <c r="S236" s="19"/>
      <c r="T236" s="19"/>
      <c r="U236" s="19"/>
      <c r="V236" s="19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</row>
    <row r="237" spans="1:74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2"/>
      <c r="L237" s="3"/>
      <c r="M237" s="3"/>
      <c r="N237" s="33"/>
      <c r="O237" s="33"/>
      <c r="P237" s="33"/>
      <c r="Q237" s="19"/>
      <c r="R237" s="19"/>
      <c r="S237" s="19"/>
      <c r="T237" s="19"/>
      <c r="U237" s="19"/>
      <c r="V237" s="19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</row>
    <row r="238" spans="1:74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2"/>
      <c r="L238" s="3"/>
      <c r="M238" s="3"/>
      <c r="N238" s="33"/>
      <c r="O238" s="33"/>
      <c r="P238" s="33"/>
      <c r="Q238" s="19"/>
      <c r="R238" s="19"/>
      <c r="S238" s="19"/>
      <c r="T238" s="19"/>
      <c r="U238" s="19"/>
      <c r="V238" s="19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</row>
    <row r="239" spans="1:74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2"/>
      <c r="L239" s="3"/>
      <c r="M239" s="3"/>
      <c r="N239" s="33"/>
      <c r="O239" s="33"/>
      <c r="P239" s="33"/>
      <c r="Q239" s="19"/>
      <c r="R239" s="19"/>
      <c r="S239" s="19"/>
      <c r="T239" s="19"/>
      <c r="U239" s="19"/>
      <c r="V239" s="19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</row>
    <row r="240" spans="1:74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2"/>
      <c r="L240" s="3"/>
      <c r="M240" s="3"/>
      <c r="N240" s="33"/>
      <c r="O240" s="33"/>
      <c r="P240" s="33"/>
      <c r="Q240" s="19"/>
      <c r="R240" s="19"/>
      <c r="S240" s="19"/>
      <c r="T240" s="19"/>
      <c r="U240" s="19"/>
      <c r="V240" s="19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</row>
    <row r="241" spans="1:74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2"/>
      <c r="L241" s="3"/>
      <c r="M241" s="3"/>
      <c r="N241" s="33"/>
      <c r="O241" s="33"/>
      <c r="P241" s="33"/>
      <c r="Q241" s="19"/>
      <c r="R241" s="19"/>
      <c r="S241" s="19"/>
      <c r="T241" s="19"/>
      <c r="U241" s="19"/>
      <c r="V241" s="19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</row>
    <row r="242" spans="1:74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2"/>
      <c r="L242" s="3"/>
      <c r="M242" s="3"/>
      <c r="N242" s="33"/>
      <c r="O242" s="33"/>
      <c r="P242" s="33"/>
      <c r="Q242" s="19"/>
      <c r="R242" s="19"/>
      <c r="S242" s="19"/>
      <c r="T242" s="19"/>
      <c r="U242" s="19"/>
      <c r="V242" s="19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</row>
    <row r="243" spans="1:74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2"/>
      <c r="L243" s="3"/>
      <c r="M243" s="3"/>
      <c r="N243" s="33"/>
      <c r="O243" s="33"/>
      <c r="P243" s="33"/>
      <c r="Q243" s="19"/>
      <c r="R243" s="19"/>
      <c r="S243" s="19"/>
      <c r="T243" s="19"/>
      <c r="U243" s="19"/>
      <c r="V243" s="19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</row>
    <row r="244" spans="1:74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2"/>
      <c r="L244" s="3"/>
      <c r="M244" s="3"/>
      <c r="N244" s="33"/>
      <c r="O244" s="33"/>
      <c r="P244" s="33"/>
      <c r="Q244" s="19"/>
      <c r="R244" s="19"/>
      <c r="S244" s="19"/>
      <c r="T244" s="19"/>
      <c r="U244" s="19"/>
      <c r="V244" s="19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</row>
    <row r="245" spans="1:74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2"/>
      <c r="L245" s="3"/>
      <c r="M245" s="3"/>
      <c r="N245" s="33"/>
      <c r="O245" s="33"/>
      <c r="P245" s="33"/>
      <c r="Q245" s="19"/>
      <c r="R245" s="19"/>
      <c r="S245" s="19"/>
      <c r="T245" s="19"/>
      <c r="U245" s="19"/>
      <c r="V245" s="19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</row>
    <row r="246" spans="1:74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2"/>
      <c r="L246" s="3"/>
      <c r="M246" s="3"/>
      <c r="N246" s="33"/>
      <c r="O246" s="33"/>
      <c r="P246" s="33"/>
      <c r="Q246" s="19"/>
      <c r="R246" s="19"/>
      <c r="S246" s="19"/>
      <c r="T246" s="19"/>
      <c r="U246" s="19"/>
      <c r="V246" s="19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</row>
    <row r="247" spans="1:74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2"/>
      <c r="L247" s="3"/>
      <c r="M247" s="3"/>
      <c r="N247" s="33"/>
      <c r="O247" s="33"/>
      <c r="P247" s="33"/>
      <c r="Q247" s="19"/>
      <c r="R247" s="19"/>
      <c r="S247" s="19"/>
      <c r="T247" s="19"/>
      <c r="U247" s="19"/>
      <c r="V247" s="19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</row>
    <row r="248" spans="1:74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2"/>
      <c r="L248" s="3"/>
      <c r="M248" s="3"/>
      <c r="N248" s="33"/>
      <c r="O248" s="33"/>
      <c r="P248" s="33"/>
      <c r="Q248" s="19"/>
      <c r="R248" s="19"/>
      <c r="S248" s="19"/>
      <c r="T248" s="19"/>
      <c r="U248" s="19"/>
      <c r="V248" s="19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</row>
    <row r="249" spans="1:74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2"/>
      <c r="L249" s="3"/>
      <c r="M249" s="3"/>
      <c r="N249" s="33"/>
      <c r="O249" s="33"/>
      <c r="P249" s="33"/>
      <c r="Q249" s="19"/>
      <c r="R249" s="19"/>
      <c r="S249" s="19"/>
      <c r="T249" s="19"/>
      <c r="U249" s="19"/>
      <c r="V249" s="19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</row>
    <row r="250" spans="1:74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2"/>
      <c r="L250" s="3"/>
      <c r="M250" s="3"/>
      <c r="N250" s="33"/>
      <c r="O250" s="33"/>
      <c r="P250" s="33"/>
      <c r="Q250" s="19"/>
      <c r="R250" s="19"/>
      <c r="S250" s="19"/>
      <c r="T250" s="19"/>
      <c r="U250" s="19"/>
      <c r="V250" s="19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</row>
    <row r="251" spans="1:74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2"/>
      <c r="L251" s="3"/>
      <c r="M251" s="3"/>
      <c r="N251" s="33"/>
      <c r="O251" s="33"/>
      <c r="P251" s="33"/>
      <c r="Q251" s="19"/>
      <c r="R251" s="19"/>
      <c r="S251" s="19"/>
      <c r="T251" s="19"/>
      <c r="U251" s="19"/>
      <c r="V251" s="19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</row>
    <row r="252" spans="1:74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2"/>
      <c r="L252" s="3"/>
      <c r="M252" s="3"/>
      <c r="N252" s="33"/>
      <c r="O252" s="33"/>
      <c r="P252" s="33"/>
      <c r="Q252" s="19"/>
      <c r="R252" s="19"/>
      <c r="S252" s="19"/>
      <c r="T252" s="19"/>
      <c r="U252" s="19"/>
      <c r="V252" s="19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</row>
    <row r="253" spans="1:74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2"/>
      <c r="L253" s="3"/>
      <c r="M253" s="3"/>
      <c r="N253" s="33"/>
      <c r="O253" s="33"/>
      <c r="P253" s="33"/>
      <c r="Q253" s="19"/>
      <c r="R253" s="19"/>
      <c r="S253" s="19"/>
      <c r="T253" s="19"/>
      <c r="U253" s="19"/>
      <c r="V253" s="19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</row>
    <row r="254" spans="1:74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2"/>
      <c r="L254" s="3"/>
      <c r="M254" s="3"/>
      <c r="N254" s="33"/>
      <c r="O254" s="33"/>
      <c r="P254" s="33"/>
      <c r="Q254" s="19"/>
      <c r="R254" s="19"/>
      <c r="S254" s="19"/>
      <c r="T254" s="19"/>
      <c r="U254" s="19"/>
      <c r="V254" s="19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</row>
    <row r="255" spans="1:74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2"/>
      <c r="L255" s="3"/>
      <c r="M255" s="3"/>
      <c r="N255" s="33"/>
      <c r="O255" s="33"/>
      <c r="P255" s="33"/>
      <c r="Q255" s="19"/>
      <c r="R255" s="19"/>
      <c r="S255" s="19"/>
      <c r="T255" s="19"/>
      <c r="U255" s="19"/>
      <c r="V255" s="19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</row>
    <row r="256" spans="1:74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2"/>
      <c r="L256" s="3"/>
      <c r="M256" s="3"/>
      <c r="N256" s="33"/>
      <c r="O256" s="33"/>
      <c r="P256" s="33"/>
      <c r="Q256" s="19"/>
      <c r="R256" s="19"/>
      <c r="S256" s="19"/>
      <c r="T256" s="19"/>
      <c r="U256" s="19"/>
      <c r="V256" s="19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</row>
    <row r="257" spans="1:74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2"/>
      <c r="L257" s="3"/>
      <c r="M257" s="3"/>
      <c r="N257" s="33"/>
      <c r="O257" s="33"/>
      <c r="P257" s="33"/>
      <c r="Q257" s="19"/>
      <c r="R257" s="19"/>
      <c r="S257" s="19"/>
      <c r="T257" s="19"/>
      <c r="U257" s="19"/>
      <c r="V257" s="19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</row>
    <row r="258" spans="1:74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2"/>
      <c r="L258" s="3"/>
      <c r="M258" s="3"/>
      <c r="N258" s="33"/>
      <c r="O258" s="33"/>
      <c r="P258" s="33"/>
      <c r="Q258" s="19"/>
      <c r="R258" s="19"/>
      <c r="S258" s="19"/>
      <c r="T258" s="19"/>
      <c r="U258" s="19"/>
      <c r="V258" s="19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</row>
    <row r="259" spans="1:74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2"/>
      <c r="L259" s="3"/>
      <c r="M259" s="3"/>
      <c r="N259" s="33"/>
      <c r="O259" s="33"/>
      <c r="P259" s="33"/>
      <c r="Q259" s="19"/>
      <c r="R259" s="19"/>
      <c r="S259" s="19"/>
      <c r="T259" s="19"/>
      <c r="U259" s="19"/>
      <c r="V259" s="19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</row>
    <row r="260" spans="1:74" s="4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2"/>
      <c r="L260" s="3"/>
      <c r="M260" s="3"/>
      <c r="N260" s="33"/>
      <c r="O260" s="33"/>
      <c r="P260" s="33"/>
      <c r="Q260" s="19"/>
      <c r="R260" s="19"/>
      <c r="S260" s="19"/>
      <c r="T260" s="19"/>
      <c r="U260" s="19"/>
      <c r="V260" s="19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</row>
    <row r="261" spans="1:74" s="4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2"/>
      <c r="L261" s="3"/>
      <c r="M261" s="3"/>
      <c r="N261" s="33"/>
      <c r="O261" s="33"/>
      <c r="P261" s="33"/>
      <c r="Q261" s="19"/>
      <c r="R261" s="19"/>
      <c r="S261" s="19"/>
      <c r="T261" s="19"/>
      <c r="U261" s="19"/>
      <c r="V261" s="19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</row>
    <row r="262" spans="1:74" s="4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2"/>
      <c r="L262" s="3"/>
      <c r="M262" s="3"/>
      <c r="N262" s="33"/>
      <c r="O262" s="33"/>
      <c r="P262" s="33"/>
      <c r="Q262" s="19"/>
      <c r="R262" s="19"/>
      <c r="S262" s="19"/>
      <c r="T262" s="19"/>
      <c r="U262" s="19"/>
      <c r="V262" s="19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</row>
    <row r="263" spans="1:74" s="4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2"/>
      <c r="L263" s="3"/>
      <c r="M263" s="3"/>
      <c r="N263" s="33"/>
      <c r="O263" s="33"/>
      <c r="P263" s="33"/>
      <c r="Q263" s="19"/>
      <c r="R263" s="19"/>
      <c r="S263" s="19"/>
      <c r="T263" s="19"/>
      <c r="U263" s="19"/>
      <c r="V263" s="19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</row>
    <row r="264" spans="1:74" s="4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2"/>
      <c r="L264" s="3"/>
      <c r="M264" s="3"/>
      <c r="N264" s="33"/>
      <c r="O264" s="33"/>
      <c r="P264" s="33"/>
      <c r="Q264" s="19"/>
      <c r="R264" s="19"/>
      <c r="S264" s="19"/>
      <c r="T264" s="19"/>
      <c r="U264" s="19"/>
      <c r="V264" s="19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</row>
    <row r="265" spans="1:74" s="4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2"/>
      <c r="L265" s="3"/>
      <c r="M265" s="3"/>
      <c r="N265" s="33"/>
      <c r="O265" s="33"/>
      <c r="P265" s="33"/>
      <c r="Q265" s="19"/>
      <c r="R265" s="19"/>
      <c r="S265" s="19"/>
      <c r="T265" s="19"/>
      <c r="U265" s="19"/>
      <c r="V265" s="19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</row>
    <row r="266" spans="1:74" s="4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2"/>
      <c r="L266" s="3"/>
      <c r="M266" s="3"/>
      <c r="N266" s="33"/>
      <c r="O266" s="33"/>
      <c r="P266" s="33"/>
      <c r="Q266" s="19"/>
      <c r="R266" s="19"/>
      <c r="S266" s="19"/>
      <c r="T266" s="19"/>
      <c r="U266" s="19"/>
      <c r="V266" s="19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</row>
    <row r="267" spans="1:74" s="4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2"/>
      <c r="L267" s="3"/>
      <c r="M267" s="3"/>
      <c r="N267" s="33"/>
      <c r="O267" s="33"/>
      <c r="P267" s="33"/>
      <c r="Q267" s="19"/>
      <c r="R267" s="19"/>
      <c r="S267" s="19"/>
      <c r="T267" s="19"/>
      <c r="U267" s="19"/>
      <c r="V267" s="19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</row>
    <row r="268" spans="1:74" s="4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2"/>
      <c r="L268" s="3"/>
      <c r="M268" s="3"/>
      <c r="N268" s="33"/>
      <c r="O268" s="33"/>
      <c r="P268" s="33"/>
      <c r="Q268" s="19"/>
      <c r="R268" s="19"/>
      <c r="S268" s="19"/>
      <c r="T268" s="19"/>
      <c r="U268" s="19"/>
      <c r="V268" s="19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8608-C6BE-461D-B102-71DFDB04F5AD}">
  <dimension ref="A1:BV260"/>
  <sheetViews>
    <sheetView topLeftCell="Y70" zoomScale="120" zoomScaleNormal="120" workbookViewId="0">
      <selection activeCell="AA77" sqref="AA77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2" customWidth="1"/>
    <col min="12" max="12" width="20.88671875" style="3" customWidth="1"/>
    <col min="13" max="13" width="26.88671875" style="3" customWidth="1"/>
    <col min="14" max="15" width="20.6640625" style="33" customWidth="1"/>
    <col min="16" max="16" width="36.33203125" style="33" customWidth="1"/>
    <col min="17" max="17" width="23.21875" style="19" customWidth="1"/>
    <col min="18" max="18" width="30.88671875" style="19" customWidth="1"/>
    <col min="19" max="22" width="20.6640625" style="19" customWidth="1"/>
    <col min="23" max="24" width="21.88671875" style="47" customWidth="1"/>
    <col min="25" max="25" width="36.33203125" style="47" customWidth="1"/>
    <col min="26" max="26" width="55.44140625" style="7" customWidth="1"/>
    <col min="27" max="27" width="53.88671875" style="7" customWidth="1"/>
    <col min="28" max="16384" width="8.88671875" style="7"/>
  </cols>
  <sheetData>
    <row r="1" spans="1:27" s="43" customFormat="1" ht="53.4" customHeight="1" x14ac:dyDescent="0.3">
      <c r="A1" s="23" t="s">
        <v>7</v>
      </c>
      <c r="B1" s="24" t="s">
        <v>6</v>
      </c>
      <c r="C1" s="23" t="s">
        <v>2</v>
      </c>
      <c r="D1" s="23" t="s">
        <v>1</v>
      </c>
      <c r="E1" s="24" t="s">
        <v>0</v>
      </c>
      <c r="F1" s="23" t="s">
        <v>3</v>
      </c>
      <c r="G1" s="24" t="s">
        <v>11</v>
      </c>
      <c r="H1" s="23" t="s">
        <v>4</v>
      </c>
      <c r="I1" s="24" t="s">
        <v>12</v>
      </c>
      <c r="J1" s="24" t="s">
        <v>8</v>
      </c>
      <c r="K1" s="23" t="s">
        <v>5</v>
      </c>
      <c r="L1" s="24" t="s">
        <v>10</v>
      </c>
      <c r="M1" s="24" t="s">
        <v>40</v>
      </c>
      <c r="N1" s="66" t="s">
        <v>9</v>
      </c>
      <c r="O1" s="32" t="s">
        <v>31</v>
      </c>
      <c r="P1" s="32" t="s">
        <v>38</v>
      </c>
      <c r="Q1" s="26" t="s">
        <v>13</v>
      </c>
      <c r="R1" s="25" t="s">
        <v>24</v>
      </c>
      <c r="S1" s="25" t="s">
        <v>42</v>
      </c>
      <c r="T1" s="25" t="s">
        <v>14</v>
      </c>
      <c r="U1" s="25" t="s">
        <v>15</v>
      </c>
      <c r="V1" s="25" t="s">
        <v>26</v>
      </c>
      <c r="W1" s="46" t="s">
        <v>34</v>
      </c>
      <c r="X1" s="46" t="s">
        <v>41</v>
      </c>
      <c r="Y1" s="25" t="s">
        <v>52</v>
      </c>
      <c r="Z1" s="44" t="s">
        <v>44</v>
      </c>
      <c r="AA1" s="44" t="s">
        <v>45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17.792079207920793</v>
      </c>
      <c r="L2" s="2">
        <f>(K2/1000000)</f>
        <v>1.7792079207920793E-5</v>
      </c>
      <c r="M2" s="3">
        <f>(3.142*3.07*3.07*25.4*25.4)/(4*1000000)</f>
        <v>4.7762865441819992E-3</v>
      </c>
      <c r="N2" s="29">
        <f>(L2*J2)/M2</f>
        <v>7.4966708078439299E-8</v>
      </c>
      <c r="O2" s="29">
        <f>(2.032/1000)</f>
        <v>2.032E-3</v>
      </c>
      <c r="P2" s="29">
        <v>1.5574793265181801E-10</v>
      </c>
      <c r="Q2" s="16">
        <v>0.04</v>
      </c>
      <c r="R2" s="16">
        <f>(1+Q2)*100000*1</f>
        <v>104000</v>
      </c>
      <c r="S2" s="16">
        <f>(5.3058450282772/1000)</f>
        <v>5.3058450282772E-3</v>
      </c>
      <c r="T2" s="16">
        <v>0.13</v>
      </c>
      <c r="U2" s="16">
        <f>(1+T2)*100000</f>
        <v>112999.99999999999</v>
      </c>
      <c r="V2" s="16">
        <f t="shared" ref="V2:V33" si="1">(L2*U2)</f>
        <v>2.0105049504950494</v>
      </c>
      <c r="W2" s="2">
        <f>(50/1000000)*100000</f>
        <v>5</v>
      </c>
      <c r="X2" s="2">
        <f t="shared" ref="X2:X33" si="2">(N2+((P2/O2)*(SQRT(V2)-SQRT(W2))))</f>
        <v>1.2257836823496221E-8</v>
      </c>
      <c r="Y2" s="2">
        <f>(SQRT(R2)-(X2*O2/P2))^2</f>
        <v>103896.87731405292</v>
      </c>
      <c r="Z2" s="2">
        <f>(X2*S2)/(Y2-V2)</f>
        <v>6.2599996096902926E-16</v>
      </c>
      <c r="AA2" s="2">
        <f>(Z2*6.022E+23)</f>
        <v>376977176.49554944</v>
      </c>
    </row>
    <row r="3" spans="1:27" x14ac:dyDescent="0.25">
      <c r="A3" s="1">
        <v>3</v>
      </c>
      <c r="B3" s="1">
        <f t="shared" ref="B3:B66" si="3">(A3/60)</f>
        <v>0.05</v>
      </c>
      <c r="C3" s="1">
        <v>20</v>
      </c>
      <c r="D3" s="1">
        <f t="shared" si="0"/>
        <v>29.146000000000001</v>
      </c>
      <c r="E3" s="1">
        <f t="shared" ref="E3:E66" si="4">(D3/(1000000*60))</f>
        <v>4.8576666666666667E-7</v>
      </c>
      <c r="F3" s="1">
        <v>21.1</v>
      </c>
      <c r="G3" s="1">
        <f t="shared" ref="G3:G66" si="5">(273+F3)</f>
        <v>294.10000000000002</v>
      </c>
      <c r="H3" s="1">
        <v>101.3</v>
      </c>
      <c r="I3" s="1">
        <f t="shared" ref="I3:I66" si="6">(H3*1000)</f>
        <v>101300</v>
      </c>
      <c r="J3" s="1">
        <f t="shared" ref="J3:J66" si="7">((I3*E3)/(8.314*G3))</f>
        <v>2.0124824921938581E-5</v>
      </c>
      <c r="K3" s="22">
        <v>13.386138613861386</v>
      </c>
      <c r="L3" s="2">
        <f t="shared" ref="L3:L66" si="8">(K3/1000000)</f>
        <v>1.3386138613861385E-5</v>
      </c>
      <c r="M3" s="3">
        <f t="shared" ref="M3:M66" si="9">(3.142*3.07*3.07*25.4*25.4)/(4*1000000)</f>
        <v>4.7762865441819992E-3</v>
      </c>
      <c r="N3" s="29">
        <f t="shared" ref="N3:N66" si="10">(L3*J3)/M3</f>
        <v>5.6402331286616548E-8</v>
      </c>
      <c r="O3" s="29">
        <f t="shared" ref="O3:O66" si="11">(2.032/1000)</f>
        <v>2.032E-3</v>
      </c>
      <c r="P3" s="29">
        <v>1.5574793265181801E-10</v>
      </c>
      <c r="Q3" s="16">
        <v>0.04</v>
      </c>
      <c r="R3" s="16">
        <f t="shared" ref="R3:R66" si="12">(1+Q3)*100000*1</f>
        <v>104000</v>
      </c>
      <c r="S3" s="16">
        <f t="shared" ref="S3:S66" si="13">(5.3058450282772/1000)</f>
        <v>5.3058450282772E-3</v>
      </c>
      <c r="T3" s="16">
        <v>0.13</v>
      </c>
      <c r="U3" s="16">
        <f t="shared" ref="U3:U66" si="14">(1+T3)*100000</f>
        <v>112999.99999999999</v>
      </c>
      <c r="V3" s="16">
        <f t="shared" si="1"/>
        <v>1.5126336633663362</v>
      </c>
      <c r="W3" s="2">
        <f t="shared" ref="W3:W66" si="15">(50/1000000)*100000</f>
        <v>5</v>
      </c>
      <c r="X3" s="2">
        <f t="shared" si="2"/>
        <v>-2.0718668070966301E-8</v>
      </c>
      <c r="Y3" s="2">
        <f t="shared" ref="Y3:Y66" si="16">(SQRT(R3)-(X3*O3/P3))^2</f>
        <v>104174.41823412133</v>
      </c>
      <c r="Z3" s="2">
        <f t="shared" ref="Z3:Z66" si="17">(X3*S3)/(Y3-V3)</f>
        <v>-1.0552651991726614E-15</v>
      </c>
      <c r="AA3" s="2">
        <f t="shared" ref="AA3:AA66" si="18">(Z3*6.022E+23)</f>
        <v>-635480702.94177675</v>
      </c>
    </row>
    <row r="4" spans="1:27" x14ac:dyDescent="0.25">
      <c r="A4" s="1">
        <v>6</v>
      </c>
      <c r="B4" s="1">
        <f t="shared" si="3"/>
        <v>0.1</v>
      </c>
      <c r="C4" s="1">
        <v>20</v>
      </c>
      <c r="D4" s="1">
        <f t="shared" si="0"/>
        <v>29.146000000000001</v>
      </c>
      <c r="E4" s="1">
        <f t="shared" si="4"/>
        <v>4.8576666666666667E-7</v>
      </c>
      <c r="F4" s="1">
        <v>21.1</v>
      </c>
      <c r="G4" s="1">
        <f t="shared" si="5"/>
        <v>294.10000000000002</v>
      </c>
      <c r="H4" s="1">
        <v>101.3</v>
      </c>
      <c r="I4" s="1">
        <f t="shared" si="6"/>
        <v>101300</v>
      </c>
      <c r="J4" s="1">
        <f t="shared" si="7"/>
        <v>2.0124824921938581E-5</v>
      </c>
      <c r="K4" s="22">
        <v>17.371287128712872</v>
      </c>
      <c r="L4" s="2">
        <f t="shared" si="8"/>
        <v>1.7371287128712872E-5</v>
      </c>
      <c r="M4" s="3">
        <f t="shared" si="9"/>
        <v>4.7762865441819992E-3</v>
      </c>
      <c r="N4" s="29">
        <f t="shared" si="10"/>
        <v>7.3193705800568586E-8</v>
      </c>
      <c r="O4" s="29">
        <f t="shared" si="11"/>
        <v>2.032E-3</v>
      </c>
      <c r="P4" s="29">
        <v>1.5574793265181801E-10</v>
      </c>
      <c r="Q4" s="16">
        <v>0.04</v>
      </c>
      <c r="R4" s="16">
        <f t="shared" si="12"/>
        <v>104000</v>
      </c>
      <c r="S4" s="16">
        <f t="shared" si="13"/>
        <v>5.3058450282772E-3</v>
      </c>
      <c r="T4" s="16">
        <v>0.13</v>
      </c>
      <c r="U4" s="16">
        <f t="shared" si="14"/>
        <v>112999.99999999999</v>
      </c>
      <c r="V4" s="16">
        <f t="shared" si="1"/>
        <v>1.9629554455445544</v>
      </c>
      <c r="W4" s="2">
        <f t="shared" si="15"/>
        <v>5</v>
      </c>
      <c r="X4" s="2">
        <f t="shared" si="2"/>
        <v>9.1919703178889282E-9</v>
      </c>
      <c r="Y4" s="2">
        <f t="shared" si="16"/>
        <v>103922.66502792154</v>
      </c>
      <c r="Z4" s="2">
        <f t="shared" si="17"/>
        <v>4.6931139838940613E-16</v>
      </c>
      <c r="AA4" s="2">
        <f t="shared" si="18"/>
        <v>282619324.11010039</v>
      </c>
    </row>
    <row r="5" spans="1:27" x14ac:dyDescent="0.25">
      <c r="A5" s="1">
        <v>9</v>
      </c>
      <c r="B5" s="1">
        <f t="shared" si="3"/>
        <v>0.15</v>
      </c>
      <c r="C5" s="1">
        <v>20</v>
      </c>
      <c r="D5" s="1">
        <f t="shared" si="0"/>
        <v>29.146000000000001</v>
      </c>
      <c r="E5" s="1">
        <f t="shared" si="4"/>
        <v>4.8576666666666667E-7</v>
      </c>
      <c r="F5" s="1">
        <v>21.1</v>
      </c>
      <c r="G5" s="1">
        <f t="shared" si="5"/>
        <v>294.10000000000002</v>
      </c>
      <c r="H5" s="1">
        <v>101.3</v>
      </c>
      <c r="I5" s="1">
        <f t="shared" si="6"/>
        <v>101300</v>
      </c>
      <c r="J5" s="1">
        <f t="shared" si="7"/>
        <v>2.0124824921938581E-5</v>
      </c>
      <c r="K5" s="22">
        <v>19.970297029702969</v>
      </c>
      <c r="L5" s="2">
        <f t="shared" si="8"/>
        <v>1.9970297029702968E-5</v>
      </c>
      <c r="M5" s="3">
        <f t="shared" si="9"/>
        <v>4.7762865441819992E-3</v>
      </c>
      <c r="N5" s="29">
        <f t="shared" si="10"/>
        <v>8.4144602222711209E-8</v>
      </c>
      <c r="O5" s="29">
        <f t="shared" si="11"/>
        <v>2.032E-3</v>
      </c>
      <c r="P5" s="29">
        <v>1.5574793265181801E-10</v>
      </c>
      <c r="Q5" s="16">
        <v>0.04</v>
      </c>
      <c r="R5" s="16">
        <f t="shared" si="12"/>
        <v>104000</v>
      </c>
      <c r="S5" s="16">
        <f t="shared" si="13"/>
        <v>5.3058450282772E-3</v>
      </c>
      <c r="T5" s="16">
        <v>0.13</v>
      </c>
      <c r="U5" s="16">
        <f t="shared" si="14"/>
        <v>112999.99999999999</v>
      </c>
      <c r="V5" s="16">
        <f t="shared" si="1"/>
        <v>2.2566435643564353</v>
      </c>
      <c r="W5" s="2">
        <f t="shared" si="15"/>
        <v>5</v>
      </c>
      <c r="X5" s="2">
        <f t="shared" si="2"/>
        <v>2.7896367540111229E-8</v>
      </c>
      <c r="Y5" s="2">
        <f t="shared" si="16"/>
        <v>103765.3877971132</v>
      </c>
      <c r="Z5" s="2">
        <f t="shared" si="17"/>
        <v>1.4264585250483775E-15</v>
      </c>
      <c r="AA5" s="2">
        <f t="shared" si="18"/>
        <v>859013323.78413296</v>
      </c>
    </row>
    <row r="6" spans="1:27" x14ac:dyDescent="0.25">
      <c r="A6" s="1">
        <v>12</v>
      </c>
      <c r="B6" s="1">
        <f t="shared" si="3"/>
        <v>0.2</v>
      </c>
      <c r="C6" s="1">
        <v>20</v>
      </c>
      <c r="D6" s="1">
        <f t="shared" si="0"/>
        <v>29.146000000000001</v>
      </c>
      <c r="E6" s="1">
        <f t="shared" si="4"/>
        <v>4.8576666666666667E-7</v>
      </c>
      <c r="F6" s="1">
        <v>21.1</v>
      </c>
      <c r="G6" s="1">
        <f t="shared" si="5"/>
        <v>294.10000000000002</v>
      </c>
      <c r="H6" s="1">
        <v>101.3</v>
      </c>
      <c r="I6" s="1">
        <f t="shared" si="6"/>
        <v>101300</v>
      </c>
      <c r="J6" s="1">
        <f t="shared" si="7"/>
        <v>2.0124824921938581E-5</v>
      </c>
      <c r="K6" s="22">
        <v>18.658415841584159</v>
      </c>
      <c r="L6" s="2">
        <f t="shared" si="8"/>
        <v>1.8658415841584159E-5</v>
      </c>
      <c r="M6" s="3">
        <f t="shared" si="9"/>
        <v>4.7762865441819992E-3</v>
      </c>
      <c r="N6" s="29">
        <f t="shared" si="10"/>
        <v>7.8617006885820191E-8</v>
      </c>
      <c r="O6" s="29">
        <f t="shared" si="11"/>
        <v>2.032E-3</v>
      </c>
      <c r="P6" s="29">
        <v>1.5574793265181801E-10</v>
      </c>
      <c r="Q6" s="16">
        <v>0.04</v>
      </c>
      <c r="R6" s="16">
        <f t="shared" si="12"/>
        <v>104000</v>
      </c>
      <c r="S6" s="16">
        <f t="shared" si="13"/>
        <v>5.3058450282772E-3</v>
      </c>
      <c r="T6" s="16">
        <v>0.13</v>
      </c>
      <c r="U6" s="16">
        <f t="shared" si="14"/>
        <v>112999.99999999999</v>
      </c>
      <c r="V6" s="16">
        <f t="shared" si="1"/>
        <v>2.1084009900990095</v>
      </c>
      <c r="W6" s="2">
        <f t="shared" si="15"/>
        <v>5</v>
      </c>
      <c r="X6" s="2">
        <f t="shared" si="2"/>
        <v>1.8522634434676512E-8</v>
      </c>
      <c r="Y6" s="2">
        <f t="shared" si="16"/>
        <v>103844.19259910511</v>
      </c>
      <c r="Z6" s="2">
        <f t="shared" si="17"/>
        <v>9.4642002406581543E-16</v>
      </c>
      <c r="AA6" s="2">
        <f t="shared" si="18"/>
        <v>569934138.49243402</v>
      </c>
    </row>
    <row r="7" spans="1:27" x14ac:dyDescent="0.25">
      <c r="A7" s="1">
        <v>15</v>
      </c>
      <c r="B7" s="1">
        <f t="shared" si="3"/>
        <v>0.25</v>
      </c>
      <c r="C7" s="1">
        <v>20</v>
      </c>
      <c r="D7" s="1">
        <f t="shared" si="0"/>
        <v>29.146000000000001</v>
      </c>
      <c r="E7" s="1">
        <f t="shared" si="4"/>
        <v>4.8576666666666667E-7</v>
      </c>
      <c r="F7" s="1">
        <v>21.1</v>
      </c>
      <c r="G7" s="1">
        <f t="shared" si="5"/>
        <v>294.10000000000002</v>
      </c>
      <c r="H7" s="1">
        <v>101.3</v>
      </c>
      <c r="I7" s="1">
        <f t="shared" si="6"/>
        <v>101300</v>
      </c>
      <c r="J7" s="1">
        <f t="shared" si="7"/>
        <v>2.0124824921938581E-5</v>
      </c>
      <c r="K7" s="22">
        <v>11.554455445544555</v>
      </c>
      <c r="L7" s="2">
        <f t="shared" si="8"/>
        <v>1.1554455445544554E-5</v>
      </c>
      <c r="M7" s="3">
        <f t="shared" si="9"/>
        <v>4.7762865441819992E-3</v>
      </c>
      <c r="N7" s="29">
        <f t="shared" si="10"/>
        <v>4.8684556665296972E-8</v>
      </c>
      <c r="O7" s="29">
        <f t="shared" si="11"/>
        <v>2.032E-3</v>
      </c>
      <c r="P7" s="29">
        <v>1.5574793265181801E-10</v>
      </c>
      <c r="Q7" s="16">
        <v>0.04</v>
      </c>
      <c r="R7" s="16">
        <f t="shared" si="12"/>
        <v>104000</v>
      </c>
      <c r="S7" s="16">
        <f t="shared" si="13"/>
        <v>5.3058450282772E-3</v>
      </c>
      <c r="T7" s="16">
        <v>0.13</v>
      </c>
      <c r="U7" s="16">
        <f t="shared" si="14"/>
        <v>112999.99999999999</v>
      </c>
      <c r="V7" s="16">
        <f t="shared" si="1"/>
        <v>1.3056534653465344</v>
      </c>
      <c r="W7" s="2">
        <f t="shared" si="15"/>
        <v>5</v>
      </c>
      <c r="X7" s="2">
        <f t="shared" si="2"/>
        <v>-3.5123163182626317E-8</v>
      </c>
      <c r="Y7" s="2">
        <f t="shared" si="16"/>
        <v>104295.76729211587</v>
      </c>
      <c r="Z7" s="2">
        <f t="shared" si="17"/>
        <v>-1.7868452247788786E-15</v>
      </c>
      <c r="AA7" s="2">
        <f t="shared" si="18"/>
        <v>-1076038194.3618407</v>
      </c>
    </row>
    <row r="8" spans="1:27" x14ac:dyDescent="0.25">
      <c r="A8" s="1">
        <v>18</v>
      </c>
      <c r="B8" s="1">
        <f t="shared" si="3"/>
        <v>0.3</v>
      </c>
      <c r="C8" s="1">
        <v>20</v>
      </c>
      <c r="D8" s="1">
        <f t="shared" si="0"/>
        <v>29.146000000000001</v>
      </c>
      <c r="E8" s="1">
        <f t="shared" si="4"/>
        <v>4.8576666666666667E-7</v>
      </c>
      <c r="F8" s="1">
        <v>21.1</v>
      </c>
      <c r="G8" s="1">
        <f t="shared" si="5"/>
        <v>294.10000000000002</v>
      </c>
      <c r="H8" s="1">
        <v>101.3</v>
      </c>
      <c r="I8" s="1">
        <f t="shared" si="6"/>
        <v>101300</v>
      </c>
      <c r="J8" s="1">
        <f t="shared" si="7"/>
        <v>2.0124824921938581E-5</v>
      </c>
      <c r="K8" s="22">
        <v>16.950495049504951</v>
      </c>
      <c r="L8" s="2">
        <f t="shared" si="8"/>
        <v>1.6950495049504952E-5</v>
      </c>
      <c r="M8" s="3">
        <f t="shared" si="9"/>
        <v>4.7762865441819992E-3</v>
      </c>
      <c r="N8" s="29">
        <f t="shared" si="10"/>
        <v>7.1420703522697887E-8</v>
      </c>
      <c r="O8" s="29">
        <f t="shared" si="11"/>
        <v>2.032E-3</v>
      </c>
      <c r="P8" s="29">
        <v>1.5574793265181801E-10</v>
      </c>
      <c r="Q8" s="16">
        <v>0.04</v>
      </c>
      <c r="R8" s="16">
        <f t="shared" si="12"/>
        <v>104000</v>
      </c>
      <c r="S8" s="16">
        <f t="shared" si="13"/>
        <v>5.3058450282772E-3</v>
      </c>
      <c r="T8" s="16">
        <v>0.13</v>
      </c>
      <c r="U8" s="16">
        <f t="shared" si="14"/>
        <v>112999.99999999999</v>
      </c>
      <c r="V8" s="16">
        <f t="shared" si="1"/>
        <v>1.9154059405940593</v>
      </c>
      <c r="W8" s="2">
        <f t="shared" si="15"/>
        <v>5</v>
      </c>
      <c r="X8" s="2">
        <f t="shared" si="2"/>
        <v>6.1103478626290286E-9</v>
      </c>
      <c r="Y8" s="2">
        <f t="shared" si="16"/>
        <v>103948.5884933659</v>
      </c>
      <c r="Z8" s="2">
        <f t="shared" si="17"/>
        <v>3.1189607002339403E-16</v>
      </c>
      <c r="AA8" s="2">
        <f t="shared" si="18"/>
        <v>187823813.36808789</v>
      </c>
    </row>
    <row r="9" spans="1:27" x14ac:dyDescent="0.25">
      <c r="A9" s="1">
        <v>21</v>
      </c>
      <c r="B9" s="1">
        <f t="shared" si="3"/>
        <v>0.35</v>
      </c>
      <c r="C9" s="1">
        <v>20</v>
      </c>
      <c r="D9" s="1">
        <f t="shared" si="0"/>
        <v>29.146000000000001</v>
      </c>
      <c r="E9" s="1">
        <f t="shared" si="4"/>
        <v>4.8576666666666667E-7</v>
      </c>
      <c r="F9" s="1">
        <v>21.1</v>
      </c>
      <c r="G9" s="1">
        <f t="shared" si="5"/>
        <v>294.10000000000002</v>
      </c>
      <c r="H9" s="1">
        <v>101.3</v>
      </c>
      <c r="I9" s="1">
        <f t="shared" si="6"/>
        <v>101300</v>
      </c>
      <c r="J9" s="1">
        <f t="shared" si="7"/>
        <v>2.0124824921938581E-5</v>
      </c>
      <c r="K9" s="22">
        <v>18.930693069306933</v>
      </c>
      <c r="L9" s="2">
        <f t="shared" si="8"/>
        <v>1.8930693069306932E-5</v>
      </c>
      <c r="M9" s="3">
        <f t="shared" si="9"/>
        <v>4.7762865441819992E-3</v>
      </c>
      <c r="N9" s="29">
        <f t="shared" si="10"/>
        <v>7.9764243653854173E-8</v>
      </c>
      <c r="O9" s="29">
        <f t="shared" si="11"/>
        <v>2.032E-3</v>
      </c>
      <c r="P9" s="29">
        <v>1.5574793265181801E-10</v>
      </c>
      <c r="Q9" s="16">
        <v>0.04</v>
      </c>
      <c r="R9" s="16">
        <f t="shared" si="12"/>
        <v>104000</v>
      </c>
      <c r="S9" s="16">
        <f t="shared" si="13"/>
        <v>5.3058450282772E-3</v>
      </c>
      <c r="T9" s="16">
        <v>0.13</v>
      </c>
      <c r="U9" s="16">
        <f t="shared" si="14"/>
        <v>112999.99999999999</v>
      </c>
      <c r="V9" s="16">
        <f t="shared" si="1"/>
        <v>2.1391683168316828</v>
      </c>
      <c r="W9" s="2">
        <f t="shared" si="15"/>
        <v>5</v>
      </c>
      <c r="X9" s="2">
        <f t="shared" si="2"/>
        <v>2.0478978213373006E-8</v>
      </c>
      <c r="Y9" s="2">
        <f t="shared" si="16"/>
        <v>103827.74318288986</v>
      </c>
      <c r="Z9" s="2">
        <f t="shared" si="17"/>
        <v>1.0465461363689339E-15</v>
      </c>
      <c r="AA9" s="2">
        <f t="shared" si="18"/>
        <v>630230083.32137203</v>
      </c>
    </row>
    <row r="10" spans="1:27" x14ac:dyDescent="0.25">
      <c r="A10" s="1">
        <v>24</v>
      </c>
      <c r="B10" s="1">
        <f t="shared" si="3"/>
        <v>0.4</v>
      </c>
      <c r="C10" s="1">
        <v>20</v>
      </c>
      <c r="D10" s="1">
        <f t="shared" si="0"/>
        <v>29.146000000000001</v>
      </c>
      <c r="E10" s="1">
        <f t="shared" si="4"/>
        <v>4.8576666666666667E-7</v>
      </c>
      <c r="F10" s="1">
        <v>21.1</v>
      </c>
      <c r="G10" s="1">
        <f t="shared" si="5"/>
        <v>294.10000000000002</v>
      </c>
      <c r="H10" s="1">
        <v>101.3</v>
      </c>
      <c r="I10" s="1">
        <f t="shared" si="6"/>
        <v>101300</v>
      </c>
      <c r="J10" s="1">
        <f t="shared" si="7"/>
        <v>2.0124824921938581E-5</v>
      </c>
      <c r="K10" s="22">
        <v>12.198019801980198</v>
      </c>
      <c r="L10" s="2">
        <f t="shared" si="8"/>
        <v>1.2198019801980198E-5</v>
      </c>
      <c r="M10" s="3">
        <f t="shared" si="9"/>
        <v>4.7762865441819992E-3</v>
      </c>
      <c r="N10" s="29">
        <f t="shared" si="10"/>
        <v>5.1396207207922768E-8</v>
      </c>
      <c r="O10" s="29">
        <f t="shared" si="11"/>
        <v>2.032E-3</v>
      </c>
      <c r="P10" s="29">
        <v>1.5574793265181801E-10</v>
      </c>
      <c r="Q10" s="16">
        <v>0.04</v>
      </c>
      <c r="R10" s="16">
        <f t="shared" si="12"/>
        <v>104000</v>
      </c>
      <c r="S10" s="16">
        <f t="shared" si="13"/>
        <v>5.3058450282772E-3</v>
      </c>
      <c r="T10" s="16">
        <v>0.13</v>
      </c>
      <c r="U10" s="16">
        <f t="shared" si="14"/>
        <v>112999.99999999999</v>
      </c>
      <c r="V10" s="16">
        <f t="shared" si="1"/>
        <v>1.378376237623762</v>
      </c>
      <c r="W10" s="2">
        <f t="shared" si="15"/>
        <v>5</v>
      </c>
      <c r="X10" s="2">
        <f t="shared" si="2"/>
        <v>-3.0005487168643415E-8</v>
      </c>
      <c r="Y10" s="2">
        <f t="shared" si="16"/>
        <v>104252.64591303389</v>
      </c>
      <c r="Z10" s="2">
        <f t="shared" si="17"/>
        <v>-1.5271225825488364E-15</v>
      </c>
      <c r="AA10" s="2">
        <f t="shared" si="18"/>
        <v>-919633219.21090937</v>
      </c>
    </row>
    <row r="11" spans="1:27" x14ac:dyDescent="0.25">
      <c r="A11" s="1">
        <v>27</v>
      </c>
      <c r="B11" s="1">
        <f t="shared" si="3"/>
        <v>0.45</v>
      </c>
      <c r="C11" s="1">
        <v>20</v>
      </c>
      <c r="D11" s="1">
        <f t="shared" si="0"/>
        <v>29.146000000000001</v>
      </c>
      <c r="E11" s="1">
        <f t="shared" si="4"/>
        <v>4.8576666666666667E-7</v>
      </c>
      <c r="F11" s="1">
        <v>21.1</v>
      </c>
      <c r="G11" s="1">
        <f t="shared" si="5"/>
        <v>294.10000000000002</v>
      </c>
      <c r="H11" s="1">
        <v>101.3</v>
      </c>
      <c r="I11" s="1">
        <f t="shared" si="6"/>
        <v>101300</v>
      </c>
      <c r="J11" s="1">
        <f t="shared" si="7"/>
        <v>2.0124824921938581E-5</v>
      </c>
      <c r="K11" s="22">
        <v>16.727722772277229</v>
      </c>
      <c r="L11" s="2">
        <f t="shared" si="8"/>
        <v>1.672772277227723E-5</v>
      </c>
      <c r="M11" s="3">
        <f t="shared" si="9"/>
        <v>4.7762865441819992E-3</v>
      </c>
      <c r="N11" s="29">
        <f t="shared" si="10"/>
        <v>7.0482055257942797E-8</v>
      </c>
      <c r="O11" s="29">
        <f t="shared" si="11"/>
        <v>2.032E-3</v>
      </c>
      <c r="P11" s="29">
        <v>1.5574793265181801E-10</v>
      </c>
      <c r="Q11" s="16">
        <v>0.04</v>
      </c>
      <c r="R11" s="16">
        <f t="shared" si="12"/>
        <v>104000</v>
      </c>
      <c r="S11" s="16">
        <f t="shared" si="13"/>
        <v>5.3058450282772E-3</v>
      </c>
      <c r="T11" s="16">
        <v>0.13</v>
      </c>
      <c r="U11" s="16">
        <f t="shared" si="14"/>
        <v>112999.99999999999</v>
      </c>
      <c r="V11" s="16">
        <f t="shared" si="1"/>
        <v>1.8902326732673267</v>
      </c>
      <c r="W11" s="2">
        <f t="shared" si="15"/>
        <v>5</v>
      </c>
      <c r="X11" s="2">
        <f t="shared" si="2"/>
        <v>4.4723218988566084E-9</v>
      </c>
      <c r="Y11" s="2">
        <f t="shared" si="16"/>
        <v>103962.36933942647</v>
      </c>
      <c r="Z11" s="2">
        <f t="shared" si="17"/>
        <v>2.2825449743778771E-16</v>
      </c>
      <c r="AA11" s="2">
        <f t="shared" si="18"/>
        <v>137454858.35703576</v>
      </c>
    </row>
    <row r="12" spans="1:27" x14ac:dyDescent="0.25">
      <c r="A12" s="1">
        <v>30</v>
      </c>
      <c r="B12" s="1">
        <f t="shared" si="3"/>
        <v>0.5</v>
      </c>
      <c r="C12" s="1">
        <v>20</v>
      </c>
      <c r="D12" s="1">
        <f t="shared" si="0"/>
        <v>29.146000000000001</v>
      </c>
      <c r="E12" s="1">
        <f t="shared" si="4"/>
        <v>4.8576666666666667E-7</v>
      </c>
      <c r="F12" s="1">
        <v>21.1</v>
      </c>
      <c r="G12" s="1">
        <f t="shared" si="5"/>
        <v>294.10000000000002</v>
      </c>
      <c r="H12" s="1">
        <v>101.3</v>
      </c>
      <c r="I12" s="1">
        <f t="shared" si="6"/>
        <v>101300</v>
      </c>
      <c r="J12" s="1">
        <f t="shared" si="7"/>
        <v>2.0124824921938581E-5</v>
      </c>
      <c r="K12" s="22">
        <v>18.386138613861387</v>
      </c>
      <c r="L12" s="2">
        <f t="shared" si="8"/>
        <v>1.8386138613861386E-5</v>
      </c>
      <c r="M12" s="3">
        <f t="shared" si="9"/>
        <v>4.7762865441819992E-3</v>
      </c>
      <c r="N12" s="29">
        <f t="shared" si="10"/>
        <v>7.7469770117786182E-8</v>
      </c>
      <c r="O12" s="29">
        <f t="shared" si="11"/>
        <v>2.032E-3</v>
      </c>
      <c r="P12" s="29">
        <v>1.5574793265181801E-10</v>
      </c>
      <c r="Q12" s="16">
        <v>0.04</v>
      </c>
      <c r="R12" s="16">
        <f t="shared" si="12"/>
        <v>104000</v>
      </c>
      <c r="S12" s="16">
        <f t="shared" si="13"/>
        <v>5.3058450282772E-3</v>
      </c>
      <c r="T12" s="16">
        <v>0.13</v>
      </c>
      <c r="U12" s="16">
        <f t="shared" si="14"/>
        <v>112999.99999999999</v>
      </c>
      <c r="V12" s="16">
        <f t="shared" si="1"/>
        <v>2.0776336633663361</v>
      </c>
      <c r="W12" s="2">
        <f t="shared" si="15"/>
        <v>5</v>
      </c>
      <c r="X12" s="2">
        <f t="shared" si="2"/>
        <v>1.6560365262319775E-8</v>
      </c>
      <c r="Y12" s="2">
        <f t="shared" si="16"/>
        <v>103860.69314633899</v>
      </c>
      <c r="Z12" s="2">
        <f t="shared" si="17"/>
        <v>8.4602255922437137E-16</v>
      </c>
      <c r="AA12" s="2">
        <f t="shared" si="18"/>
        <v>509474785.16491646</v>
      </c>
    </row>
    <row r="13" spans="1:27" x14ac:dyDescent="0.25">
      <c r="A13" s="1">
        <v>33</v>
      </c>
      <c r="B13" s="1">
        <f t="shared" si="3"/>
        <v>0.55000000000000004</v>
      </c>
      <c r="C13" s="1">
        <v>20</v>
      </c>
      <c r="D13" s="1">
        <f t="shared" si="0"/>
        <v>29.146000000000001</v>
      </c>
      <c r="E13" s="1">
        <f t="shared" si="4"/>
        <v>4.8576666666666667E-7</v>
      </c>
      <c r="F13" s="1">
        <v>21.1</v>
      </c>
      <c r="G13" s="1">
        <f t="shared" si="5"/>
        <v>294.10000000000002</v>
      </c>
      <c r="H13" s="1">
        <v>101.3</v>
      </c>
      <c r="I13" s="1">
        <f t="shared" si="6"/>
        <v>101300</v>
      </c>
      <c r="J13" s="1">
        <f t="shared" si="7"/>
        <v>2.0124824921938581E-5</v>
      </c>
      <c r="K13" s="22">
        <v>8.6089108910891099</v>
      </c>
      <c r="L13" s="2">
        <f t="shared" si="8"/>
        <v>8.6089108910891101E-6</v>
      </c>
      <c r="M13" s="3">
        <f t="shared" si="9"/>
        <v>4.7762865441819992E-3</v>
      </c>
      <c r="N13" s="29">
        <f t="shared" si="10"/>
        <v>3.6273540720201996E-8</v>
      </c>
      <c r="O13" s="29">
        <f t="shared" si="11"/>
        <v>2.032E-3</v>
      </c>
      <c r="P13" s="29">
        <v>1.5574793265181801E-10</v>
      </c>
      <c r="Q13" s="16">
        <v>0.04</v>
      </c>
      <c r="R13" s="16">
        <f t="shared" si="12"/>
        <v>104000</v>
      </c>
      <c r="S13" s="16">
        <f t="shared" si="13"/>
        <v>5.3058450282772E-3</v>
      </c>
      <c r="T13" s="16">
        <v>0.13</v>
      </c>
      <c r="U13" s="16">
        <f t="shared" si="14"/>
        <v>112999.99999999999</v>
      </c>
      <c r="V13" s="16">
        <f t="shared" si="1"/>
        <v>0.97280693069306934</v>
      </c>
      <c r="W13" s="2">
        <f t="shared" si="15"/>
        <v>5</v>
      </c>
      <c r="X13" s="2">
        <f t="shared" si="2"/>
        <v>-5.9517433510088249E-8</v>
      </c>
      <c r="Y13" s="2">
        <f t="shared" si="16"/>
        <v>104501.43519893891</v>
      </c>
      <c r="Z13" s="2">
        <f t="shared" si="17"/>
        <v>-3.0219031711143026E-15</v>
      </c>
      <c r="AA13" s="2">
        <f t="shared" si="18"/>
        <v>-1819790089.6450331</v>
      </c>
    </row>
    <row r="14" spans="1:27" x14ac:dyDescent="0.25">
      <c r="A14" s="1">
        <v>36</v>
      </c>
      <c r="B14" s="1">
        <f t="shared" si="3"/>
        <v>0.6</v>
      </c>
      <c r="C14" s="1">
        <v>20</v>
      </c>
      <c r="D14" s="1">
        <f t="shared" si="0"/>
        <v>29.146000000000001</v>
      </c>
      <c r="E14" s="1">
        <f t="shared" si="4"/>
        <v>4.8576666666666667E-7</v>
      </c>
      <c r="F14" s="1">
        <v>21.1</v>
      </c>
      <c r="G14" s="1">
        <f t="shared" si="5"/>
        <v>294.10000000000002</v>
      </c>
      <c r="H14" s="1">
        <v>101.3</v>
      </c>
      <c r="I14" s="1">
        <f t="shared" si="6"/>
        <v>101300</v>
      </c>
      <c r="J14" s="1">
        <f t="shared" si="7"/>
        <v>2.0124824921938581E-5</v>
      </c>
      <c r="K14" s="22">
        <v>16.232673267326732</v>
      </c>
      <c r="L14" s="2">
        <f t="shared" si="8"/>
        <v>1.6232673267326733E-5</v>
      </c>
      <c r="M14" s="3">
        <f t="shared" si="9"/>
        <v>4.7762865441819992E-3</v>
      </c>
      <c r="N14" s="29">
        <f t="shared" si="10"/>
        <v>6.8396170225153726E-8</v>
      </c>
      <c r="O14" s="29">
        <f t="shared" si="11"/>
        <v>2.032E-3</v>
      </c>
      <c r="P14" s="29">
        <v>1.5574793265181801E-10</v>
      </c>
      <c r="Q14" s="16">
        <v>0.04</v>
      </c>
      <c r="R14" s="16">
        <f t="shared" si="12"/>
        <v>104000</v>
      </c>
      <c r="S14" s="16">
        <f t="shared" si="13"/>
        <v>5.3058450282772E-3</v>
      </c>
      <c r="T14" s="16">
        <v>0.13</v>
      </c>
      <c r="U14" s="16">
        <f t="shared" si="14"/>
        <v>112999.99999999999</v>
      </c>
      <c r="V14" s="16">
        <f t="shared" si="1"/>
        <v>1.8342920792079205</v>
      </c>
      <c r="W14" s="2">
        <f t="shared" si="15"/>
        <v>5</v>
      </c>
      <c r="X14" s="2">
        <f t="shared" si="2"/>
        <v>8.1539601396739283E-10</v>
      </c>
      <c r="Y14" s="2">
        <f t="shared" si="16"/>
        <v>103993.13865117464</v>
      </c>
      <c r="Z14" s="2">
        <f t="shared" si="17"/>
        <v>4.160314089191957E-17</v>
      </c>
      <c r="AA14" s="2">
        <f t="shared" si="18"/>
        <v>25053411.445113964</v>
      </c>
    </row>
    <row r="15" spans="1:27" x14ac:dyDescent="0.25">
      <c r="A15" s="1">
        <v>39</v>
      </c>
      <c r="B15" s="1">
        <f t="shared" si="3"/>
        <v>0.65</v>
      </c>
      <c r="C15" s="1">
        <v>20</v>
      </c>
      <c r="D15" s="1">
        <f t="shared" si="0"/>
        <v>29.146000000000001</v>
      </c>
      <c r="E15" s="1">
        <f t="shared" si="4"/>
        <v>4.8576666666666667E-7</v>
      </c>
      <c r="F15" s="1">
        <v>21.1</v>
      </c>
      <c r="G15" s="1">
        <f t="shared" si="5"/>
        <v>294.10000000000002</v>
      </c>
      <c r="H15" s="1">
        <v>101.3</v>
      </c>
      <c r="I15" s="1">
        <f t="shared" si="6"/>
        <v>101300</v>
      </c>
      <c r="J15" s="1">
        <f t="shared" si="7"/>
        <v>2.0124824921938581E-5</v>
      </c>
      <c r="K15" s="22">
        <v>14.54950495049505</v>
      </c>
      <c r="L15" s="2">
        <f t="shared" si="8"/>
        <v>1.454950495049505E-5</v>
      </c>
      <c r="M15" s="3">
        <f t="shared" si="9"/>
        <v>4.7762865441819992E-3</v>
      </c>
      <c r="N15" s="29">
        <f t="shared" si="10"/>
        <v>6.1304161113670874E-8</v>
      </c>
      <c r="O15" s="29">
        <f t="shared" si="11"/>
        <v>2.032E-3</v>
      </c>
      <c r="P15" s="29">
        <v>1.5574793265181801E-10</v>
      </c>
      <c r="Q15" s="16">
        <v>0.04</v>
      </c>
      <c r="R15" s="16">
        <f t="shared" si="12"/>
        <v>104000</v>
      </c>
      <c r="S15" s="16">
        <f t="shared" si="13"/>
        <v>5.3058450282772E-3</v>
      </c>
      <c r="T15" s="16">
        <v>0.13</v>
      </c>
      <c r="U15" s="16">
        <f t="shared" si="14"/>
        <v>112999.99999999999</v>
      </c>
      <c r="V15" s="16">
        <f t="shared" si="1"/>
        <v>1.6440940594059403</v>
      </c>
      <c r="W15" s="2">
        <f t="shared" si="15"/>
        <v>5</v>
      </c>
      <c r="X15" s="2">
        <f t="shared" si="2"/>
        <v>-1.180582429385495E-8</v>
      </c>
      <c r="Y15" s="2">
        <f t="shared" si="16"/>
        <v>104099.36835371482</v>
      </c>
      <c r="Z15" s="2">
        <f t="shared" si="17"/>
        <v>-6.0174105226372817E-16</v>
      </c>
      <c r="AA15" s="2">
        <f t="shared" si="18"/>
        <v>-362368461.67321712</v>
      </c>
    </row>
    <row r="16" spans="1:27" x14ac:dyDescent="0.25">
      <c r="A16" s="1">
        <v>42</v>
      </c>
      <c r="B16" s="1">
        <f t="shared" si="3"/>
        <v>0.7</v>
      </c>
      <c r="C16" s="1">
        <v>20</v>
      </c>
      <c r="D16" s="1">
        <f t="shared" si="0"/>
        <v>29.146000000000001</v>
      </c>
      <c r="E16" s="1">
        <f t="shared" si="4"/>
        <v>4.8576666666666667E-7</v>
      </c>
      <c r="F16" s="1">
        <v>21.1</v>
      </c>
      <c r="G16" s="1">
        <f t="shared" si="5"/>
        <v>294.10000000000002</v>
      </c>
      <c r="H16" s="1">
        <v>101.3</v>
      </c>
      <c r="I16" s="1">
        <f t="shared" si="6"/>
        <v>101300</v>
      </c>
      <c r="J16" s="1">
        <f t="shared" si="7"/>
        <v>2.0124824921938581E-5</v>
      </c>
      <c r="K16" s="22">
        <v>15.044554455445546</v>
      </c>
      <c r="L16" s="2">
        <f t="shared" si="8"/>
        <v>1.5044554455445546E-5</v>
      </c>
      <c r="M16" s="3">
        <f t="shared" si="9"/>
        <v>4.7762865441819992E-3</v>
      </c>
      <c r="N16" s="29">
        <f t="shared" si="10"/>
        <v>6.3390046146459946E-8</v>
      </c>
      <c r="O16" s="29">
        <f t="shared" si="11"/>
        <v>2.032E-3</v>
      </c>
      <c r="P16" s="29">
        <v>1.5574793265181801E-10</v>
      </c>
      <c r="Q16" s="16">
        <v>0.04</v>
      </c>
      <c r="R16" s="16">
        <f t="shared" si="12"/>
        <v>104000</v>
      </c>
      <c r="S16" s="16">
        <f t="shared" si="13"/>
        <v>5.3058450282772E-3</v>
      </c>
      <c r="T16" s="16">
        <v>0.13</v>
      </c>
      <c r="U16" s="16">
        <f t="shared" si="14"/>
        <v>112999.99999999999</v>
      </c>
      <c r="V16" s="16">
        <f t="shared" si="1"/>
        <v>1.7000346534653465</v>
      </c>
      <c r="W16" s="2">
        <f t="shared" si="15"/>
        <v>5</v>
      </c>
      <c r="X16" s="2">
        <f t="shared" si="2"/>
        <v>-8.0619398827702732E-9</v>
      </c>
      <c r="Y16" s="2">
        <f t="shared" si="16"/>
        <v>104067.851343517</v>
      </c>
      <c r="Z16" s="2">
        <f t="shared" si="17"/>
        <v>-4.1104050747789161E-16</v>
      </c>
      <c r="AA16" s="2">
        <f t="shared" si="18"/>
        <v>-247528593.60318634</v>
      </c>
    </row>
    <row r="17" spans="1:74" s="4" customFormat="1" x14ac:dyDescent="0.25">
      <c r="A17" s="1">
        <v>45</v>
      </c>
      <c r="B17" s="1">
        <f t="shared" si="3"/>
        <v>0.75</v>
      </c>
      <c r="C17" s="1">
        <v>20</v>
      </c>
      <c r="D17" s="1">
        <f t="shared" si="0"/>
        <v>29.146000000000001</v>
      </c>
      <c r="E17" s="1">
        <f t="shared" si="4"/>
        <v>4.8576666666666667E-7</v>
      </c>
      <c r="F17" s="1">
        <v>21.1</v>
      </c>
      <c r="G17" s="1">
        <f t="shared" si="5"/>
        <v>294.10000000000002</v>
      </c>
      <c r="H17" s="1">
        <v>101.3</v>
      </c>
      <c r="I17" s="1">
        <f t="shared" si="6"/>
        <v>101300</v>
      </c>
      <c r="J17" s="1">
        <f t="shared" si="7"/>
        <v>2.0124824921938581E-5</v>
      </c>
      <c r="K17" s="22">
        <v>17.198019801980198</v>
      </c>
      <c r="L17" s="2">
        <f t="shared" si="8"/>
        <v>1.7198019801980199E-5</v>
      </c>
      <c r="M17" s="3">
        <f t="shared" si="9"/>
        <v>4.7762865441819992E-3</v>
      </c>
      <c r="N17" s="29">
        <f t="shared" si="10"/>
        <v>7.2463646039092416E-8</v>
      </c>
      <c r="O17" s="29">
        <f t="shared" si="11"/>
        <v>2.032E-3</v>
      </c>
      <c r="P17" s="29">
        <v>1.5574793265181801E-10</v>
      </c>
      <c r="Q17" s="16">
        <v>0.04</v>
      </c>
      <c r="R17" s="16">
        <f t="shared" si="12"/>
        <v>104000</v>
      </c>
      <c r="S17" s="16">
        <f t="shared" si="13"/>
        <v>5.3058450282772E-3</v>
      </c>
      <c r="T17" s="16">
        <v>0.13</v>
      </c>
      <c r="U17" s="16">
        <f t="shared" si="14"/>
        <v>112999.99999999999</v>
      </c>
      <c r="V17" s="16">
        <f t="shared" si="1"/>
        <v>1.9433762376237622</v>
      </c>
      <c r="W17" s="2">
        <f t="shared" si="15"/>
        <v>5</v>
      </c>
      <c r="X17" s="2">
        <f t="shared" si="2"/>
        <v>7.9250079486144972E-9</v>
      </c>
      <c r="Y17" s="2">
        <f t="shared" si="16"/>
        <v>103933.32267651182</v>
      </c>
      <c r="Z17" s="2">
        <f t="shared" si="17"/>
        <v>4.0458294988780729E-16</v>
      </c>
      <c r="AA17" s="2">
        <f t="shared" si="18"/>
        <v>243639852.42243755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1">
        <v>48</v>
      </c>
      <c r="B18" s="1">
        <f t="shared" si="3"/>
        <v>0.8</v>
      </c>
      <c r="C18" s="1">
        <v>20</v>
      </c>
      <c r="D18" s="1">
        <f t="shared" si="0"/>
        <v>29.146000000000001</v>
      </c>
      <c r="E18" s="1">
        <f t="shared" si="4"/>
        <v>4.8576666666666667E-7</v>
      </c>
      <c r="F18" s="1">
        <v>21.1</v>
      </c>
      <c r="G18" s="1">
        <f t="shared" si="5"/>
        <v>294.10000000000002</v>
      </c>
      <c r="H18" s="1">
        <v>101.3</v>
      </c>
      <c r="I18" s="1">
        <f t="shared" si="6"/>
        <v>101300</v>
      </c>
      <c r="J18" s="1">
        <f t="shared" si="7"/>
        <v>2.0124824921938581E-5</v>
      </c>
      <c r="K18" s="22">
        <v>12.594059405940595</v>
      </c>
      <c r="L18" s="2">
        <f t="shared" si="8"/>
        <v>1.2594059405940594E-5</v>
      </c>
      <c r="M18" s="3">
        <f t="shared" si="9"/>
        <v>4.7762865441819992E-3</v>
      </c>
      <c r="N18" s="29">
        <f t="shared" si="10"/>
        <v>5.3064915234154028E-8</v>
      </c>
      <c r="O18" s="29">
        <f t="shared" si="11"/>
        <v>2.032E-3</v>
      </c>
      <c r="P18" s="29">
        <v>1.5574793265181801E-10</v>
      </c>
      <c r="Q18" s="16">
        <v>0.04</v>
      </c>
      <c r="R18" s="16">
        <f t="shared" si="12"/>
        <v>104000</v>
      </c>
      <c r="S18" s="16">
        <f t="shared" si="13"/>
        <v>5.3058450282772E-3</v>
      </c>
      <c r="T18" s="16">
        <v>0.13</v>
      </c>
      <c r="U18" s="16">
        <f t="shared" si="14"/>
        <v>112999.99999999999</v>
      </c>
      <c r="V18" s="16">
        <f t="shared" si="1"/>
        <v>1.4231287128712868</v>
      </c>
      <c r="W18" s="2">
        <f t="shared" si="15"/>
        <v>5</v>
      </c>
      <c r="X18" s="2">
        <f t="shared" si="2"/>
        <v>-2.6887610902169932E-8</v>
      </c>
      <c r="Y18" s="2">
        <f t="shared" si="16"/>
        <v>104226.37915522295</v>
      </c>
      <c r="Z18" s="2">
        <f t="shared" si="17"/>
        <v>-1.3687844261718236E-15</v>
      </c>
      <c r="AA18" s="2">
        <f t="shared" si="18"/>
        <v>-824281981.44067216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1">
        <v>51</v>
      </c>
      <c r="B19" s="1">
        <f t="shared" si="3"/>
        <v>0.85</v>
      </c>
      <c r="C19" s="1">
        <v>20</v>
      </c>
      <c r="D19" s="1">
        <f t="shared" si="0"/>
        <v>29.146000000000001</v>
      </c>
      <c r="E19" s="1">
        <f t="shared" si="4"/>
        <v>4.8576666666666667E-7</v>
      </c>
      <c r="F19" s="1">
        <v>21.1</v>
      </c>
      <c r="G19" s="1">
        <f t="shared" si="5"/>
        <v>294.10000000000002</v>
      </c>
      <c r="H19" s="1">
        <v>101.3</v>
      </c>
      <c r="I19" s="1">
        <f t="shared" si="6"/>
        <v>101300</v>
      </c>
      <c r="J19" s="1">
        <f t="shared" si="7"/>
        <v>2.0124824921938581E-5</v>
      </c>
      <c r="K19" s="22">
        <v>19.747524752475247</v>
      </c>
      <c r="L19" s="2">
        <f t="shared" si="8"/>
        <v>1.9747524752475247E-5</v>
      </c>
      <c r="M19" s="3">
        <f t="shared" si="9"/>
        <v>4.7762865441819992E-3</v>
      </c>
      <c r="N19" s="29">
        <f t="shared" si="10"/>
        <v>8.3205953957956133E-8</v>
      </c>
      <c r="O19" s="29">
        <f t="shared" si="11"/>
        <v>2.032E-3</v>
      </c>
      <c r="P19" s="29">
        <v>1.5574793265181801E-10</v>
      </c>
      <c r="Q19" s="16">
        <v>0.04</v>
      </c>
      <c r="R19" s="16">
        <f t="shared" si="12"/>
        <v>104000</v>
      </c>
      <c r="S19" s="16">
        <f t="shared" si="13"/>
        <v>5.3058450282772E-3</v>
      </c>
      <c r="T19" s="16">
        <v>0.13</v>
      </c>
      <c r="U19" s="16">
        <f t="shared" si="14"/>
        <v>112999.99999999999</v>
      </c>
      <c r="V19" s="16">
        <f t="shared" si="1"/>
        <v>2.2314702970297025</v>
      </c>
      <c r="W19" s="2">
        <f t="shared" si="15"/>
        <v>5</v>
      </c>
      <c r="X19" s="2">
        <f t="shared" si="2"/>
        <v>2.6313708770023047E-8</v>
      </c>
      <c r="Y19" s="2">
        <f t="shared" si="16"/>
        <v>103778.69108143552</v>
      </c>
      <c r="Z19" s="2">
        <f t="shared" si="17"/>
        <v>1.345357717695504E-15</v>
      </c>
      <c r="AA19" s="2">
        <f t="shared" si="18"/>
        <v>810174417.59623253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1">
        <v>54</v>
      </c>
      <c r="B20" s="1">
        <f t="shared" si="3"/>
        <v>0.9</v>
      </c>
      <c r="C20" s="1">
        <v>20</v>
      </c>
      <c r="D20" s="1">
        <f t="shared" si="0"/>
        <v>29.146000000000001</v>
      </c>
      <c r="E20" s="1">
        <f t="shared" si="4"/>
        <v>4.8576666666666667E-7</v>
      </c>
      <c r="F20" s="1">
        <v>21.1</v>
      </c>
      <c r="G20" s="1">
        <f t="shared" si="5"/>
        <v>294.10000000000002</v>
      </c>
      <c r="H20" s="1">
        <v>101.3</v>
      </c>
      <c r="I20" s="1">
        <f t="shared" si="6"/>
        <v>101300</v>
      </c>
      <c r="J20" s="1">
        <f t="shared" si="7"/>
        <v>2.0124824921938581E-5</v>
      </c>
      <c r="K20" s="22">
        <v>25.391089108910894</v>
      </c>
      <c r="L20" s="2">
        <f t="shared" si="8"/>
        <v>2.5391089108910895E-5</v>
      </c>
      <c r="M20" s="3">
        <f t="shared" si="9"/>
        <v>4.7762865441819992E-3</v>
      </c>
      <c r="N20" s="29">
        <f t="shared" si="10"/>
        <v>1.0698504333175161E-7</v>
      </c>
      <c r="O20" s="29">
        <f t="shared" si="11"/>
        <v>2.032E-3</v>
      </c>
      <c r="P20" s="29">
        <v>1.5574793265181801E-10</v>
      </c>
      <c r="Q20" s="16">
        <v>0.04</v>
      </c>
      <c r="R20" s="16">
        <f t="shared" si="12"/>
        <v>104000</v>
      </c>
      <c r="S20" s="16">
        <f t="shared" si="13"/>
        <v>5.3058450282772E-3</v>
      </c>
      <c r="T20" s="16">
        <v>0.13</v>
      </c>
      <c r="U20" s="16">
        <f t="shared" si="14"/>
        <v>112999.99999999999</v>
      </c>
      <c r="V20" s="16">
        <f t="shared" si="1"/>
        <v>2.8691930693069305</v>
      </c>
      <c r="W20" s="2">
        <f t="shared" si="15"/>
        <v>5</v>
      </c>
      <c r="X20" s="2">
        <f t="shared" si="2"/>
        <v>6.5426810375216742E-8</v>
      </c>
      <c r="Y20" s="2">
        <f t="shared" si="16"/>
        <v>103450.169692536</v>
      </c>
      <c r="Z20" s="2">
        <f t="shared" si="17"/>
        <v>3.3557619664243293E-15</v>
      </c>
      <c r="AA20" s="2">
        <f t="shared" si="18"/>
        <v>2020839856.1807313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1">
        <v>57</v>
      </c>
      <c r="B21" s="1">
        <f t="shared" si="3"/>
        <v>0.95</v>
      </c>
      <c r="C21" s="1">
        <v>20</v>
      </c>
      <c r="D21" s="1">
        <f t="shared" si="0"/>
        <v>29.146000000000001</v>
      </c>
      <c r="E21" s="1">
        <f t="shared" si="4"/>
        <v>4.8576666666666667E-7</v>
      </c>
      <c r="F21" s="1">
        <v>21.1</v>
      </c>
      <c r="G21" s="1">
        <f t="shared" si="5"/>
        <v>294.10000000000002</v>
      </c>
      <c r="H21" s="1">
        <v>101.3</v>
      </c>
      <c r="I21" s="1">
        <f t="shared" si="6"/>
        <v>101300</v>
      </c>
      <c r="J21" s="1">
        <f t="shared" si="7"/>
        <v>2.0124824921938581E-5</v>
      </c>
      <c r="K21" s="22">
        <v>42.544554455445542</v>
      </c>
      <c r="L21" s="2">
        <f t="shared" si="8"/>
        <v>4.2544554455445543E-5</v>
      </c>
      <c r="M21" s="3">
        <f t="shared" si="9"/>
        <v>4.7762865441819992E-3</v>
      </c>
      <c r="N21" s="29">
        <f t="shared" si="10"/>
        <v>1.7926095971789297E-7</v>
      </c>
      <c r="O21" s="29">
        <f t="shared" si="11"/>
        <v>2.032E-3</v>
      </c>
      <c r="P21" s="29">
        <v>1.5574793265181801E-10</v>
      </c>
      <c r="Q21" s="16">
        <v>0.04</v>
      </c>
      <c r="R21" s="16">
        <f t="shared" si="12"/>
        <v>104000</v>
      </c>
      <c r="S21" s="16">
        <f t="shared" si="13"/>
        <v>5.3058450282772E-3</v>
      </c>
      <c r="T21" s="16">
        <v>0.13</v>
      </c>
      <c r="U21" s="16">
        <f t="shared" si="14"/>
        <v>112999.99999999999</v>
      </c>
      <c r="V21" s="16">
        <f t="shared" si="1"/>
        <v>4.8075346534653454</v>
      </c>
      <c r="W21" s="2">
        <f t="shared" si="15"/>
        <v>5</v>
      </c>
      <c r="X21" s="2">
        <f t="shared" si="2"/>
        <v>1.7592994064804125E-7</v>
      </c>
      <c r="Y21" s="2">
        <f t="shared" si="16"/>
        <v>102524.83858953061</v>
      </c>
      <c r="Z21" s="2">
        <f t="shared" si="17"/>
        <v>9.1051182028305247E-15</v>
      </c>
      <c r="AA21" s="2">
        <f t="shared" si="18"/>
        <v>5483102181.7445421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1">
        <v>60</v>
      </c>
      <c r="B22" s="1">
        <f t="shared" si="3"/>
        <v>1</v>
      </c>
      <c r="C22" s="1">
        <v>20</v>
      </c>
      <c r="D22" s="1">
        <f t="shared" si="0"/>
        <v>29.146000000000001</v>
      </c>
      <c r="E22" s="1">
        <f t="shared" si="4"/>
        <v>4.8576666666666667E-7</v>
      </c>
      <c r="F22" s="1">
        <v>21.1</v>
      </c>
      <c r="G22" s="1">
        <f t="shared" si="5"/>
        <v>294.10000000000002</v>
      </c>
      <c r="H22" s="1">
        <v>101.3</v>
      </c>
      <c r="I22" s="1">
        <f t="shared" si="6"/>
        <v>101300</v>
      </c>
      <c r="J22" s="1">
        <f t="shared" si="7"/>
        <v>2.0124824921938581E-5</v>
      </c>
      <c r="K22" s="22">
        <v>58.707920792079207</v>
      </c>
      <c r="L22" s="2">
        <f t="shared" si="8"/>
        <v>5.8707920792079207E-5</v>
      </c>
      <c r="M22" s="3">
        <f t="shared" si="9"/>
        <v>4.7762865441819992E-3</v>
      </c>
      <c r="N22" s="29">
        <f t="shared" si="10"/>
        <v>2.473651060384562E-7</v>
      </c>
      <c r="O22" s="29">
        <f t="shared" si="11"/>
        <v>2.032E-3</v>
      </c>
      <c r="P22" s="29">
        <v>1.5574793265181801E-10</v>
      </c>
      <c r="Q22" s="16">
        <v>0.04</v>
      </c>
      <c r="R22" s="16">
        <f t="shared" si="12"/>
        <v>104000</v>
      </c>
      <c r="S22" s="16">
        <f t="shared" si="13"/>
        <v>5.3058450282772E-3</v>
      </c>
      <c r="T22" s="16">
        <v>0.13</v>
      </c>
      <c r="U22" s="16">
        <f t="shared" si="14"/>
        <v>112999.99999999999</v>
      </c>
      <c r="V22" s="16">
        <f t="shared" si="1"/>
        <v>6.6339950495049491</v>
      </c>
      <c r="W22" s="2">
        <f t="shared" si="15"/>
        <v>5</v>
      </c>
      <c r="X22" s="2">
        <f t="shared" si="2"/>
        <v>2.7339358387930111E-7</v>
      </c>
      <c r="Y22" s="2">
        <f t="shared" si="16"/>
        <v>101712.14770349352</v>
      </c>
      <c r="Z22" s="2">
        <f t="shared" si="17"/>
        <v>1.4262589459478261E-14</v>
      </c>
      <c r="AA22" s="2">
        <f t="shared" si="18"/>
        <v>8588931372.4978094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1">
        <v>63</v>
      </c>
      <c r="B23" s="1">
        <f t="shared" si="3"/>
        <v>1.05</v>
      </c>
      <c r="C23" s="1">
        <v>20</v>
      </c>
      <c r="D23" s="1">
        <f t="shared" si="0"/>
        <v>29.146000000000001</v>
      </c>
      <c r="E23" s="1">
        <f t="shared" si="4"/>
        <v>4.8576666666666667E-7</v>
      </c>
      <c r="F23" s="1">
        <v>21.1</v>
      </c>
      <c r="G23" s="1">
        <f t="shared" si="5"/>
        <v>294.10000000000002</v>
      </c>
      <c r="H23" s="1">
        <v>101.3</v>
      </c>
      <c r="I23" s="1">
        <f t="shared" si="6"/>
        <v>101300</v>
      </c>
      <c r="J23" s="1">
        <f t="shared" si="7"/>
        <v>2.0124824921938581E-5</v>
      </c>
      <c r="K23" s="22">
        <v>67.594059405940598</v>
      </c>
      <c r="L23" s="2">
        <f t="shared" si="8"/>
        <v>6.7594059405940593E-5</v>
      </c>
      <c r="M23" s="3">
        <f t="shared" si="9"/>
        <v>4.7762865441819992E-3</v>
      </c>
      <c r="N23" s="29">
        <f t="shared" si="10"/>
        <v>2.8480674237702009E-7</v>
      </c>
      <c r="O23" s="29">
        <f t="shared" si="11"/>
        <v>2.032E-3</v>
      </c>
      <c r="P23" s="29">
        <v>1.5574793265181801E-10</v>
      </c>
      <c r="Q23" s="16">
        <v>0.04</v>
      </c>
      <c r="R23" s="16">
        <f t="shared" si="12"/>
        <v>104000</v>
      </c>
      <c r="S23" s="16">
        <f t="shared" si="13"/>
        <v>5.3058450282772E-3</v>
      </c>
      <c r="T23" s="16">
        <v>0.13</v>
      </c>
      <c r="U23" s="16">
        <f t="shared" si="14"/>
        <v>112999.99999999999</v>
      </c>
      <c r="V23" s="16">
        <f t="shared" si="1"/>
        <v>7.6381287128712856</v>
      </c>
      <c r="W23" s="2">
        <f t="shared" si="15"/>
        <v>5</v>
      </c>
      <c r="X23" s="2">
        <f t="shared" si="2"/>
        <v>3.2524973523545914E-7</v>
      </c>
      <c r="Y23" s="2">
        <f t="shared" si="16"/>
        <v>101281.06836339703</v>
      </c>
      <c r="Z23" s="2">
        <f t="shared" si="17"/>
        <v>1.7040251195683405E-14</v>
      </c>
      <c r="AA23" s="2">
        <f t="shared" si="18"/>
        <v>10261639270.040546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1">
        <v>66</v>
      </c>
      <c r="B24" s="1">
        <f t="shared" si="3"/>
        <v>1.1000000000000001</v>
      </c>
      <c r="C24" s="1">
        <v>20</v>
      </c>
      <c r="D24" s="1">
        <f t="shared" si="0"/>
        <v>29.146000000000001</v>
      </c>
      <c r="E24" s="1">
        <f t="shared" si="4"/>
        <v>4.8576666666666667E-7</v>
      </c>
      <c r="F24" s="1">
        <v>21.1</v>
      </c>
      <c r="G24" s="1">
        <f t="shared" si="5"/>
        <v>294.10000000000002</v>
      </c>
      <c r="H24" s="1">
        <v>101.3</v>
      </c>
      <c r="I24" s="1">
        <f t="shared" si="6"/>
        <v>101300</v>
      </c>
      <c r="J24" s="1">
        <f t="shared" si="7"/>
        <v>2.0124824921938581E-5</v>
      </c>
      <c r="K24" s="22">
        <v>84.945544554455452</v>
      </c>
      <c r="L24" s="2">
        <f t="shared" si="8"/>
        <v>8.494554455445545E-5</v>
      </c>
      <c r="M24" s="3">
        <f t="shared" si="9"/>
        <v>4.7762865441819992E-3</v>
      </c>
      <c r="N24" s="29">
        <f t="shared" si="10"/>
        <v>3.5791701277627714E-7</v>
      </c>
      <c r="O24" s="29">
        <f t="shared" si="11"/>
        <v>2.032E-3</v>
      </c>
      <c r="P24" s="29">
        <v>1.5574793265181801E-10</v>
      </c>
      <c r="Q24" s="16">
        <v>0.04</v>
      </c>
      <c r="R24" s="16">
        <f t="shared" si="12"/>
        <v>104000</v>
      </c>
      <c r="S24" s="16">
        <f t="shared" si="13"/>
        <v>5.3058450282772E-3</v>
      </c>
      <c r="T24" s="16">
        <v>0.13</v>
      </c>
      <c r="U24" s="16">
        <f t="shared" si="14"/>
        <v>112999.99999999999</v>
      </c>
      <c r="V24" s="16">
        <f t="shared" si="1"/>
        <v>9.5988465346534646</v>
      </c>
      <c r="W24" s="2">
        <f t="shared" si="15"/>
        <v>5</v>
      </c>
      <c r="X24" s="2">
        <f t="shared" si="2"/>
        <v>4.2399740794812776E-7</v>
      </c>
      <c r="Y24" s="2">
        <f t="shared" si="16"/>
        <v>100462.71200005292</v>
      </c>
      <c r="Z24" s="2">
        <f t="shared" si="17"/>
        <v>2.2395169928939144E-14</v>
      </c>
      <c r="AA24" s="2">
        <f t="shared" si="18"/>
        <v>13486371331.207153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1">
        <v>69</v>
      </c>
      <c r="B25" s="1">
        <f t="shared" si="3"/>
        <v>1.1499999999999999</v>
      </c>
      <c r="C25" s="1">
        <v>20</v>
      </c>
      <c r="D25" s="1">
        <f t="shared" si="0"/>
        <v>29.146000000000001</v>
      </c>
      <c r="E25" s="1">
        <f t="shared" si="4"/>
        <v>4.8576666666666667E-7</v>
      </c>
      <c r="F25" s="1">
        <v>21.1</v>
      </c>
      <c r="G25" s="1">
        <f t="shared" si="5"/>
        <v>294.10000000000002</v>
      </c>
      <c r="H25" s="1">
        <v>101.3</v>
      </c>
      <c r="I25" s="1">
        <f t="shared" si="6"/>
        <v>101300</v>
      </c>
      <c r="J25" s="1">
        <f t="shared" si="7"/>
        <v>2.0124824921938581E-5</v>
      </c>
      <c r="K25" s="22">
        <v>82.990099009900987</v>
      </c>
      <c r="L25" s="2">
        <f t="shared" si="8"/>
        <v>8.2990099009900989E-5</v>
      </c>
      <c r="M25" s="3">
        <f t="shared" si="9"/>
        <v>4.7762865441819992E-3</v>
      </c>
      <c r="N25" s="29">
        <f t="shared" si="10"/>
        <v>3.4967776689676028E-7</v>
      </c>
      <c r="O25" s="29">
        <f t="shared" si="11"/>
        <v>2.032E-3</v>
      </c>
      <c r="P25" s="29">
        <v>1.5574793265181801E-10</v>
      </c>
      <c r="Q25" s="16">
        <v>0.04</v>
      </c>
      <c r="R25" s="16">
        <f t="shared" si="12"/>
        <v>104000</v>
      </c>
      <c r="S25" s="16">
        <f t="shared" si="13"/>
        <v>5.3058450282772E-3</v>
      </c>
      <c r="T25" s="16">
        <v>0.13</v>
      </c>
      <c r="U25" s="16">
        <f t="shared" si="14"/>
        <v>112999.99999999999</v>
      </c>
      <c r="V25" s="16">
        <f t="shared" si="1"/>
        <v>9.3778811881188098</v>
      </c>
      <c r="W25" s="2">
        <f t="shared" si="15"/>
        <v>5</v>
      </c>
      <c r="X25" s="2">
        <f t="shared" si="2"/>
        <v>4.130089739617931E-7</v>
      </c>
      <c r="Y25" s="2">
        <f t="shared" si="16"/>
        <v>100553.61283396702</v>
      </c>
      <c r="Z25" s="2">
        <f t="shared" si="17"/>
        <v>2.1795000102772985E-14</v>
      </c>
      <c r="AA25" s="2">
        <f t="shared" si="18"/>
        <v>13124949061.889893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1">
        <v>72</v>
      </c>
      <c r="B26" s="1">
        <f t="shared" si="3"/>
        <v>1.2</v>
      </c>
      <c r="C26" s="1">
        <v>20</v>
      </c>
      <c r="D26" s="1">
        <f t="shared" si="0"/>
        <v>29.146000000000001</v>
      </c>
      <c r="E26" s="1">
        <f t="shared" si="4"/>
        <v>4.8576666666666667E-7</v>
      </c>
      <c r="F26" s="1">
        <v>21.1</v>
      </c>
      <c r="G26" s="1">
        <f t="shared" si="5"/>
        <v>294.10000000000002</v>
      </c>
      <c r="H26" s="1">
        <v>101.3</v>
      </c>
      <c r="I26" s="1">
        <f t="shared" si="6"/>
        <v>101300</v>
      </c>
      <c r="J26" s="1">
        <f t="shared" si="7"/>
        <v>2.0124824921938581E-5</v>
      </c>
      <c r="K26" s="22">
        <v>86.405940594059416</v>
      </c>
      <c r="L26" s="2">
        <f t="shared" si="8"/>
        <v>8.640594059405941E-5</v>
      </c>
      <c r="M26" s="3">
        <f t="shared" si="9"/>
        <v>4.7762865441819992E-3</v>
      </c>
      <c r="N26" s="29">
        <f t="shared" si="10"/>
        <v>3.6407037362300489E-7</v>
      </c>
      <c r="O26" s="29">
        <f t="shared" si="11"/>
        <v>2.032E-3</v>
      </c>
      <c r="P26" s="29">
        <v>1.5574793265181801E-10</v>
      </c>
      <c r="Q26" s="16">
        <v>0.04</v>
      </c>
      <c r="R26" s="16">
        <f t="shared" si="12"/>
        <v>104000</v>
      </c>
      <c r="S26" s="16">
        <f t="shared" si="13"/>
        <v>5.3058450282772E-3</v>
      </c>
      <c r="T26" s="16">
        <v>0.13</v>
      </c>
      <c r="U26" s="16">
        <f t="shared" si="14"/>
        <v>112999.99999999999</v>
      </c>
      <c r="V26" s="16">
        <f t="shared" si="1"/>
        <v>9.7638712871287119</v>
      </c>
      <c r="W26" s="2">
        <f t="shared" si="15"/>
        <v>5</v>
      </c>
      <c r="X26" s="2">
        <f t="shared" si="2"/>
        <v>4.3218337601747494E-7</v>
      </c>
      <c r="Y26" s="2">
        <f t="shared" si="16"/>
        <v>100395.02103134054</v>
      </c>
      <c r="Z26" s="2">
        <f t="shared" si="17"/>
        <v>2.2842975968974001E-14</v>
      </c>
      <c r="AA26" s="2">
        <f t="shared" si="18"/>
        <v>13756040128.516144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1">
        <v>75</v>
      </c>
      <c r="B27" s="1">
        <f t="shared" si="3"/>
        <v>1.25</v>
      </c>
      <c r="C27" s="1">
        <v>20</v>
      </c>
      <c r="D27" s="1">
        <f t="shared" si="0"/>
        <v>29.146000000000001</v>
      </c>
      <c r="E27" s="1">
        <f t="shared" si="4"/>
        <v>4.8576666666666667E-7</v>
      </c>
      <c r="F27" s="1">
        <v>21.1</v>
      </c>
      <c r="G27" s="1">
        <f t="shared" si="5"/>
        <v>294.10000000000002</v>
      </c>
      <c r="H27" s="1">
        <v>101.3</v>
      </c>
      <c r="I27" s="1">
        <f t="shared" si="6"/>
        <v>101300</v>
      </c>
      <c r="J27" s="1">
        <f t="shared" si="7"/>
        <v>2.0124824921938581E-5</v>
      </c>
      <c r="K27" s="22">
        <v>101.60396039603961</v>
      </c>
      <c r="L27" s="2">
        <f t="shared" si="8"/>
        <v>1.0160396039603961E-4</v>
      </c>
      <c r="M27" s="3">
        <f t="shared" si="9"/>
        <v>4.7762865441819992E-3</v>
      </c>
      <c r="N27" s="29">
        <f t="shared" si="10"/>
        <v>4.2810704412962951E-7</v>
      </c>
      <c r="O27" s="29">
        <f t="shared" si="11"/>
        <v>2.032E-3</v>
      </c>
      <c r="P27" s="29">
        <v>1.5574793265181801E-10</v>
      </c>
      <c r="Q27" s="16">
        <v>0.04</v>
      </c>
      <c r="R27" s="16">
        <f t="shared" si="12"/>
        <v>104000</v>
      </c>
      <c r="S27" s="16">
        <f t="shared" si="13"/>
        <v>5.3058450282772E-3</v>
      </c>
      <c r="T27" s="16">
        <v>0.13</v>
      </c>
      <c r="U27" s="16">
        <f t="shared" si="14"/>
        <v>112999.99999999999</v>
      </c>
      <c r="V27" s="16">
        <f t="shared" si="1"/>
        <v>11.481247524752474</v>
      </c>
      <c r="W27" s="2">
        <f t="shared" si="15"/>
        <v>5</v>
      </c>
      <c r="X27" s="2">
        <f t="shared" si="2"/>
        <v>5.1643045384673752E-7</v>
      </c>
      <c r="Y27" s="2">
        <f t="shared" si="16"/>
        <v>99699.695123575497</v>
      </c>
      <c r="Z27" s="2">
        <f t="shared" si="17"/>
        <v>2.7486699274205134E-14</v>
      </c>
      <c r="AA27" s="2">
        <f t="shared" si="18"/>
        <v>16552490302.926332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1">
        <v>78</v>
      </c>
      <c r="B28" s="1">
        <f t="shared" si="3"/>
        <v>1.3</v>
      </c>
      <c r="C28" s="1">
        <v>20</v>
      </c>
      <c r="D28" s="1">
        <f t="shared" si="0"/>
        <v>29.146000000000001</v>
      </c>
      <c r="E28" s="1">
        <f t="shared" si="4"/>
        <v>4.8576666666666667E-7</v>
      </c>
      <c r="F28" s="1">
        <v>21.1</v>
      </c>
      <c r="G28" s="1">
        <f t="shared" si="5"/>
        <v>294.10000000000002</v>
      </c>
      <c r="H28" s="1">
        <v>101.3</v>
      </c>
      <c r="I28" s="1">
        <f t="shared" si="6"/>
        <v>101300</v>
      </c>
      <c r="J28" s="1">
        <f t="shared" si="7"/>
        <v>2.0124824921938581E-5</v>
      </c>
      <c r="K28" s="22">
        <v>104.62376237623765</v>
      </c>
      <c r="L28" s="2">
        <f t="shared" si="8"/>
        <v>1.0462376237623765E-4</v>
      </c>
      <c r="M28" s="3">
        <f t="shared" si="9"/>
        <v>4.7762865441819992E-3</v>
      </c>
      <c r="N28" s="29">
        <f t="shared" si="10"/>
        <v>4.4083094282964287E-7</v>
      </c>
      <c r="O28" s="29">
        <f t="shared" si="11"/>
        <v>2.032E-3</v>
      </c>
      <c r="P28" s="29">
        <v>1.5574793265181801E-10</v>
      </c>
      <c r="Q28" s="16">
        <v>0.04</v>
      </c>
      <c r="R28" s="16">
        <f t="shared" si="12"/>
        <v>104000</v>
      </c>
      <c r="S28" s="16">
        <f t="shared" si="13"/>
        <v>5.3058450282772E-3</v>
      </c>
      <c r="T28" s="16">
        <v>0.13</v>
      </c>
      <c r="U28" s="16">
        <f t="shared" si="14"/>
        <v>112999.99999999999</v>
      </c>
      <c r="V28" s="16">
        <f t="shared" si="1"/>
        <v>11.822485148514852</v>
      </c>
      <c r="W28" s="2">
        <f t="shared" si="15"/>
        <v>5</v>
      </c>
      <c r="X28" s="2">
        <f t="shared" si="2"/>
        <v>5.3298559286604667E-7</v>
      </c>
      <c r="Y28" s="2">
        <f t="shared" si="16"/>
        <v>99563.342784989116</v>
      </c>
      <c r="Z28" s="2">
        <f t="shared" si="17"/>
        <v>2.8406788259327243E-14</v>
      </c>
      <c r="AA28" s="2">
        <f t="shared" si="18"/>
        <v>17106567889.766867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1">
        <v>81</v>
      </c>
      <c r="B29" s="1">
        <f t="shared" si="3"/>
        <v>1.35</v>
      </c>
      <c r="C29" s="1">
        <v>20</v>
      </c>
      <c r="D29" s="1">
        <f t="shared" si="0"/>
        <v>29.146000000000001</v>
      </c>
      <c r="E29" s="1">
        <f t="shared" si="4"/>
        <v>4.8576666666666667E-7</v>
      </c>
      <c r="F29" s="1">
        <v>21.1</v>
      </c>
      <c r="G29" s="1">
        <f t="shared" si="5"/>
        <v>294.10000000000002</v>
      </c>
      <c r="H29" s="1">
        <v>101.3</v>
      </c>
      <c r="I29" s="1">
        <f t="shared" si="6"/>
        <v>101300</v>
      </c>
      <c r="J29" s="1">
        <f t="shared" si="7"/>
        <v>2.0124824921938581E-5</v>
      </c>
      <c r="K29" s="22">
        <v>104.62376237623765</v>
      </c>
      <c r="L29" s="2">
        <f t="shared" si="8"/>
        <v>1.0462376237623765E-4</v>
      </c>
      <c r="M29" s="3">
        <f t="shared" si="9"/>
        <v>4.7762865441819992E-3</v>
      </c>
      <c r="N29" s="29">
        <f t="shared" si="10"/>
        <v>4.4083094282964287E-7</v>
      </c>
      <c r="O29" s="29">
        <f t="shared" si="11"/>
        <v>2.032E-3</v>
      </c>
      <c r="P29" s="29">
        <v>1.5574793265181801E-10</v>
      </c>
      <c r="Q29" s="16">
        <v>0.04</v>
      </c>
      <c r="R29" s="16">
        <f t="shared" si="12"/>
        <v>104000</v>
      </c>
      <c r="S29" s="16">
        <f t="shared" si="13"/>
        <v>5.3058450282772E-3</v>
      </c>
      <c r="T29" s="16">
        <v>0.13</v>
      </c>
      <c r="U29" s="16">
        <f t="shared" si="14"/>
        <v>112999.99999999999</v>
      </c>
      <c r="V29" s="16">
        <f t="shared" si="1"/>
        <v>11.822485148514852</v>
      </c>
      <c r="W29" s="2">
        <f t="shared" si="15"/>
        <v>5</v>
      </c>
      <c r="X29" s="2">
        <f t="shared" si="2"/>
        <v>5.3298559286604667E-7</v>
      </c>
      <c r="Y29" s="2">
        <f t="shared" si="16"/>
        <v>99563.342784989116</v>
      </c>
      <c r="Z29" s="2">
        <f t="shared" si="17"/>
        <v>2.8406788259327243E-14</v>
      </c>
      <c r="AA29" s="2">
        <f t="shared" si="18"/>
        <v>17106567889.766867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1">
        <v>84</v>
      </c>
      <c r="B30" s="1">
        <f t="shared" si="3"/>
        <v>1.4</v>
      </c>
      <c r="C30" s="1">
        <v>20</v>
      </c>
      <c r="D30" s="1">
        <f t="shared" si="0"/>
        <v>29.146000000000001</v>
      </c>
      <c r="E30" s="1">
        <f t="shared" si="4"/>
        <v>4.8576666666666667E-7</v>
      </c>
      <c r="F30" s="1">
        <v>21.1</v>
      </c>
      <c r="G30" s="1">
        <f t="shared" si="5"/>
        <v>294.10000000000002</v>
      </c>
      <c r="H30" s="1">
        <v>101.3</v>
      </c>
      <c r="I30" s="1">
        <f t="shared" si="6"/>
        <v>101300</v>
      </c>
      <c r="J30" s="1">
        <f t="shared" si="7"/>
        <v>2.0124824921938581E-5</v>
      </c>
      <c r="K30" s="22">
        <v>107.29702970297031</v>
      </c>
      <c r="L30" s="2">
        <f t="shared" si="8"/>
        <v>1.0729702970297031E-4</v>
      </c>
      <c r="M30" s="3">
        <f t="shared" si="9"/>
        <v>4.7762865441819992E-3</v>
      </c>
      <c r="N30" s="29">
        <f t="shared" si="10"/>
        <v>4.5209472200670384E-7</v>
      </c>
      <c r="O30" s="29">
        <f t="shared" si="11"/>
        <v>2.032E-3</v>
      </c>
      <c r="P30" s="29">
        <v>1.5574793265181801E-10</v>
      </c>
      <c r="Q30" s="16">
        <v>0.04</v>
      </c>
      <c r="R30" s="16">
        <f t="shared" si="12"/>
        <v>104000</v>
      </c>
      <c r="S30" s="16">
        <f t="shared" si="13"/>
        <v>5.3058450282772E-3</v>
      </c>
      <c r="T30" s="16">
        <v>0.13</v>
      </c>
      <c r="U30" s="16">
        <f t="shared" si="14"/>
        <v>112999.99999999999</v>
      </c>
      <c r="V30" s="16">
        <f t="shared" si="1"/>
        <v>12.124564356435643</v>
      </c>
      <c r="W30" s="2">
        <f t="shared" si="15"/>
        <v>5</v>
      </c>
      <c r="X30" s="2">
        <f t="shared" si="2"/>
        <v>5.4759507250258348E-7</v>
      </c>
      <c r="Y30" s="2">
        <f t="shared" si="16"/>
        <v>99443.092891877008</v>
      </c>
      <c r="Z30" s="2">
        <f t="shared" si="17"/>
        <v>2.9220821659671513E-14</v>
      </c>
      <c r="AA30" s="2">
        <f t="shared" si="18"/>
        <v>17596778803.454185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1">
        <v>87</v>
      </c>
      <c r="B31" s="1">
        <f t="shared" si="3"/>
        <v>1.45</v>
      </c>
      <c r="C31" s="1">
        <v>20</v>
      </c>
      <c r="D31" s="1">
        <f t="shared" si="0"/>
        <v>29.146000000000001</v>
      </c>
      <c r="E31" s="1">
        <f t="shared" si="4"/>
        <v>4.8576666666666667E-7</v>
      </c>
      <c r="F31" s="1">
        <v>21.1</v>
      </c>
      <c r="G31" s="1">
        <f t="shared" si="5"/>
        <v>294.10000000000002</v>
      </c>
      <c r="H31" s="1">
        <v>101.3</v>
      </c>
      <c r="I31" s="1">
        <f t="shared" si="6"/>
        <v>101300</v>
      </c>
      <c r="J31" s="1">
        <f t="shared" si="7"/>
        <v>2.0124824921938581E-5</v>
      </c>
      <c r="K31" s="22">
        <v>104.32673267326734</v>
      </c>
      <c r="L31" s="2">
        <f t="shared" si="8"/>
        <v>1.0432673267326734E-4</v>
      </c>
      <c r="M31" s="3">
        <f t="shared" si="9"/>
        <v>4.7762865441819992E-3</v>
      </c>
      <c r="N31" s="29">
        <f t="shared" si="10"/>
        <v>4.3957941180996944E-7</v>
      </c>
      <c r="O31" s="29">
        <f t="shared" si="11"/>
        <v>2.032E-3</v>
      </c>
      <c r="P31" s="29">
        <v>1.5574793265181801E-10</v>
      </c>
      <c r="Q31" s="16">
        <v>0.04</v>
      </c>
      <c r="R31" s="16">
        <f t="shared" si="12"/>
        <v>104000</v>
      </c>
      <c r="S31" s="16">
        <f t="shared" si="13"/>
        <v>5.3058450282772E-3</v>
      </c>
      <c r="T31" s="16">
        <v>0.13</v>
      </c>
      <c r="U31" s="16">
        <f t="shared" si="14"/>
        <v>112999.99999999999</v>
      </c>
      <c r="V31" s="16">
        <f t="shared" si="1"/>
        <v>11.788920792079209</v>
      </c>
      <c r="W31" s="2">
        <f t="shared" si="15"/>
        <v>5</v>
      </c>
      <c r="X31" s="2">
        <f t="shared" si="2"/>
        <v>5.3135969179467414E-7</v>
      </c>
      <c r="Y31" s="2">
        <f t="shared" si="16"/>
        <v>99576.729988282983</v>
      </c>
      <c r="Z31" s="2">
        <f t="shared" si="17"/>
        <v>2.8316314444705827E-14</v>
      </c>
      <c r="AA31" s="2">
        <f t="shared" si="18"/>
        <v>17052084558.601851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1">
        <v>90</v>
      </c>
      <c r="B32" s="1">
        <f t="shared" si="3"/>
        <v>1.5</v>
      </c>
      <c r="C32" s="1">
        <v>20</v>
      </c>
      <c r="D32" s="1">
        <f t="shared" si="0"/>
        <v>29.146000000000001</v>
      </c>
      <c r="E32" s="1">
        <f t="shared" si="4"/>
        <v>4.8576666666666667E-7</v>
      </c>
      <c r="F32" s="1">
        <v>21.1</v>
      </c>
      <c r="G32" s="1">
        <f t="shared" si="5"/>
        <v>294.10000000000002</v>
      </c>
      <c r="H32" s="1">
        <v>101.3</v>
      </c>
      <c r="I32" s="1">
        <f t="shared" si="6"/>
        <v>101300</v>
      </c>
      <c r="J32" s="1">
        <f t="shared" si="7"/>
        <v>2.0124824921938581E-5</v>
      </c>
      <c r="K32" s="22">
        <v>115.86138613861388</v>
      </c>
      <c r="L32" s="2">
        <f t="shared" si="8"/>
        <v>1.1586138613861388E-4</v>
      </c>
      <c r="M32" s="3">
        <f t="shared" si="9"/>
        <v>4.7762865441819992E-3</v>
      </c>
      <c r="N32" s="29">
        <f t="shared" si="10"/>
        <v>4.8818053307395481E-7</v>
      </c>
      <c r="O32" s="29">
        <f t="shared" si="11"/>
        <v>2.032E-3</v>
      </c>
      <c r="P32" s="29">
        <v>1.5574793265181801E-10</v>
      </c>
      <c r="Q32" s="16">
        <v>0.04</v>
      </c>
      <c r="R32" s="16">
        <f t="shared" si="12"/>
        <v>104000</v>
      </c>
      <c r="S32" s="16">
        <f t="shared" si="13"/>
        <v>5.3058450282772E-3</v>
      </c>
      <c r="T32" s="16">
        <v>0.13</v>
      </c>
      <c r="U32" s="16">
        <f t="shared" si="14"/>
        <v>112999.99999999999</v>
      </c>
      <c r="V32" s="16">
        <f t="shared" si="1"/>
        <v>13.092336633663367</v>
      </c>
      <c r="W32" s="2">
        <f t="shared" si="15"/>
        <v>5</v>
      </c>
      <c r="X32" s="2">
        <f t="shared" si="2"/>
        <v>5.9412786712597342E-7</v>
      </c>
      <c r="Y32" s="2">
        <f t="shared" si="16"/>
        <v>99060.568084313942</v>
      </c>
      <c r="Z32" s="2">
        <f t="shared" si="17"/>
        <v>3.1826660560050787E-14</v>
      </c>
      <c r="AA32" s="2">
        <f t="shared" si="18"/>
        <v>19166014989.262585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1">
        <v>93</v>
      </c>
      <c r="B33" s="1">
        <f t="shared" si="3"/>
        <v>1.55</v>
      </c>
      <c r="C33" s="1">
        <v>20</v>
      </c>
      <c r="D33" s="1">
        <f t="shared" si="0"/>
        <v>29.146000000000001</v>
      </c>
      <c r="E33" s="1">
        <f t="shared" si="4"/>
        <v>4.8576666666666667E-7</v>
      </c>
      <c r="F33" s="1">
        <v>21.1</v>
      </c>
      <c r="G33" s="1">
        <f t="shared" si="5"/>
        <v>294.10000000000002</v>
      </c>
      <c r="H33" s="1">
        <v>101.3</v>
      </c>
      <c r="I33" s="1">
        <f t="shared" si="6"/>
        <v>101300</v>
      </c>
      <c r="J33" s="1">
        <f t="shared" si="7"/>
        <v>2.0124824921938581E-5</v>
      </c>
      <c r="K33" s="22">
        <v>111.45544554455448</v>
      </c>
      <c r="L33" s="2">
        <f t="shared" si="8"/>
        <v>1.1145544554455448E-4</v>
      </c>
      <c r="M33" s="3">
        <f t="shared" si="9"/>
        <v>4.7762865441819992E-3</v>
      </c>
      <c r="N33" s="29">
        <f t="shared" si="10"/>
        <v>4.6961615628213209E-7</v>
      </c>
      <c r="O33" s="29">
        <f t="shared" si="11"/>
        <v>2.032E-3</v>
      </c>
      <c r="P33" s="29">
        <v>1.5574793265181801E-10</v>
      </c>
      <c r="Q33" s="16">
        <v>0.04</v>
      </c>
      <c r="R33" s="16">
        <f t="shared" si="12"/>
        <v>104000</v>
      </c>
      <c r="S33" s="16">
        <f t="shared" si="13"/>
        <v>5.3058450282772E-3</v>
      </c>
      <c r="T33" s="16">
        <v>0.13</v>
      </c>
      <c r="U33" s="16">
        <f t="shared" si="14"/>
        <v>112999.99999999999</v>
      </c>
      <c r="V33" s="16">
        <f t="shared" si="1"/>
        <v>12.594465346534655</v>
      </c>
      <c r="W33" s="2">
        <f t="shared" si="15"/>
        <v>5</v>
      </c>
      <c r="X33" s="2">
        <f t="shared" si="2"/>
        <v>5.7023914705496786E-7</v>
      </c>
      <c r="Y33" s="2">
        <f t="shared" si="16"/>
        <v>99256.854241862413</v>
      </c>
      <c r="Z33" s="2">
        <f t="shared" si="17"/>
        <v>3.04864034468478E-14</v>
      </c>
      <c r="AA33" s="2">
        <f t="shared" si="18"/>
        <v>18358912155.691746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1">
        <v>96</v>
      </c>
      <c r="B34" s="1">
        <f t="shared" si="3"/>
        <v>1.6</v>
      </c>
      <c r="C34" s="1">
        <v>20</v>
      </c>
      <c r="D34" s="1">
        <f t="shared" si="0"/>
        <v>29.146000000000001</v>
      </c>
      <c r="E34" s="1">
        <f t="shared" si="4"/>
        <v>4.8576666666666667E-7</v>
      </c>
      <c r="F34" s="1">
        <v>21.1</v>
      </c>
      <c r="G34" s="1">
        <f t="shared" si="5"/>
        <v>294.10000000000002</v>
      </c>
      <c r="H34" s="1">
        <v>101.3</v>
      </c>
      <c r="I34" s="1">
        <f t="shared" si="6"/>
        <v>101300</v>
      </c>
      <c r="J34" s="1">
        <f t="shared" si="7"/>
        <v>2.0124824921938581E-5</v>
      </c>
      <c r="K34" s="22">
        <v>113.28712871287131</v>
      </c>
      <c r="L34" s="2">
        <f t="shared" si="8"/>
        <v>1.1328712871287131E-4</v>
      </c>
      <c r="M34" s="3">
        <f t="shared" si="9"/>
        <v>4.7762865441819992E-3</v>
      </c>
      <c r="N34" s="29">
        <f t="shared" si="10"/>
        <v>4.7733393090345171E-7</v>
      </c>
      <c r="O34" s="29">
        <f t="shared" si="11"/>
        <v>2.032E-3</v>
      </c>
      <c r="P34" s="29">
        <v>1.5574793265181801E-10</v>
      </c>
      <c r="Q34" s="16">
        <v>0.04</v>
      </c>
      <c r="R34" s="16">
        <f t="shared" si="12"/>
        <v>104000</v>
      </c>
      <c r="S34" s="16">
        <f t="shared" si="13"/>
        <v>5.3058450282772E-3</v>
      </c>
      <c r="T34" s="16">
        <v>0.13</v>
      </c>
      <c r="U34" s="16">
        <f t="shared" si="14"/>
        <v>112999.99999999999</v>
      </c>
      <c r="V34" s="16">
        <f t="shared" ref="V34:V65" si="19">(L34*U34)</f>
        <v>12.801445544554456</v>
      </c>
      <c r="W34" s="2">
        <f t="shared" si="15"/>
        <v>5</v>
      </c>
      <c r="X34" s="2">
        <f t="shared" ref="X34:X65" si="20">(N34+((P34/O34)*(SQRT(V34)-SQRT(W34))))</f>
        <v>5.8018296747945423E-7</v>
      </c>
      <c r="Y34" s="2">
        <f t="shared" si="16"/>
        <v>99175.125369503614</v>
      </c>
      <c r="Z34" s="2">
        <f t="shared" si="17"/>
        <v>3.1043654400965463E-14</v>
      </c>
      <c r="AA34" s="2">
        <f t="shared" si="18"/>
        <v>18694488680.261402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1">
        <v>99</v>
      </c>
      <c r="B35" s="1">
        <f t="shared" si="3"/>
        <v>1.65</v>
      </c>
      <c r="C35" s="1">
        <v>20</v>
      </c>
      <c r="D35" s="1">
        <f t="shared" si="0"/>
        <v>29.146000000000001</v>
      </c>
      <c r="E35" s="1">
        <f t="shared" si="4"/>
        <v>4.8576666666666667E-7</v>
      </c>
      <c r="F35" s="1">
        <v>21.1</v>
      </c>
      <c r="G35" s="1">
        <f t="shared" si="5"/>
        <v>294.10000000000002</v>
      </c>
      <c r="H35" s="1">
        <v>101.3</v>
      </c>
      <c r="I35" s="1">
        <f t="shared" si="6"/>
        <v>101300</v>
      </c>
      <c r="J35" s="1">
        <f t="shared" si="7"/>
        <v>2.0124824921938581E-5</v>
      </c>
      <c r="K35" s="22">
        <v>108.21287128712872</v>
      </c>
      <c r="L35" s="2">
        <f t="shared" si="8"/>
        <v>1.0821287128712872E-4</v>
      </c>
      <c r="M35" s="3">
        <f t="shared" si="9"/>
        <v>4.7762865441819992E-3</v>
      </c>
      <c r="N35" s="29">
        <f t="shared" si="10"/>
        <v>4.5595360931736362E-7</v>
      </c>
      <c r="O35" s="29">
        <f t="shared" si="11"/>
        <v>2.032E-3</v>
      </c>
      <c r="P35" s="29">
        <v>1.5574793265181801E-10</v>
      </c>
      <c r="Q35" s="16">
        <v>0.04</v>
      </c>
      <c r="R35" s="16">
        <f t="shared" si="12"/>
        <v>104000</v>
      </c>
      <c r="S35" s="16">
        <f t="shared" si="13"/>
        <v>5.3058450282772E-3</v>
      </c>
      <c r="T35" s="16">
        <v>0.13</v>
      </c>
      <c r="U35" s="16">
        <f t="shared" si="14"/>
        <v>112999.99999999999</v>
      </c>
      <c r="V35" s="16">
        <f t="shared" si="19"/>
        <v>12.228054455445545</v>
      </c>
      <c r="W35" s="2">
        <f t="shared" si="15"/>
        <v>5</v>
      </c>
      <c r="X35" s="2">
        <f t="shared" si="20"/>
        <v>5.5259056736349486E-7</v>
      </c>
      <c r="Y35" s="2">
        <f t="shared" si="16"/>
        <v>99401.991895042302</v>
      </c>
      <c r="Z35" s="2">
        <f t="shared" si="17"/>
        <v>2.9499616471783787E-14</v>
      </c>
      <c r="AA35" s="2">
        <f t="shared" si="18"/>
        <v>17764669039.308197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1">
        <v>102</v>
      </c>
      <c r="B36" s="1">
        <f t="shared" si="3"/>
        <v>1.7</v>
      </c>
      <c r="C36" s="1">
        <v>20</v>
      </c>
      <c r="D36" s="1">
        <f t="shared" si="0"/>
        <v>29.146000000000001</v>
      </c>
      <c r="E36" s="1">
        <f t="shared" si="4"/>
        <v>4.8576666666666667E-7</v>
      </c>
      <c r="F36" s="1">
        <v>21.1</v>
      </c>
      <c r="G36" s="1">
        <f t="shared" si="5"/>
        <v>294.10000000000002</v>
      </c>
      <c r="H36" s="1">
        <v>101.3</v>
      </c>
      <c r="I36" s="1">
        <f t="shared" si="6"/>
        <v>101300</v>
      </c>
      <c r="J36" s="1">
        <f t="shared" si="7"/>
        <v>2.0124824921938581E-5</v>
      </c>
      <c r="K36" s="22">
        <v>117.17326732673268</v>
      </c>
      <c r="L36" s="2">
        <f t="shared" si="8"/>
        <v>1.1717326732673269E-4</v>
      </c>
      <c r="M36" s="3">
        <f t="shared" si="9"/>
        <v>4.7762865441819992E-3</v>
      </c>
      <c r="N36" s="29">
        <f t="shared" si="10"/>
        <v>4.937081284108459E-7</v>
      </c>
      <c r="O36" s="29">
        <f t="shared" si="11"/>
        <v>2.032E-3</v>
      </c>
      <c r="P36" s="29">
        <v>1.5574793265181801E-10</v>
      </c>
      <c r="Q36" s="16">
        <v>0.04</v>
      </c>
      <c r="R36" s="16">
        <f t="shared" si="12"/>
        <v>104000</v>
      </c>
      <c r="S36" s="16">
        <f t="shared" si="13"/>
        <v>5.3058450282772E-3</v>
      </c>
      <c r="T36" s="16">
        <v>0.13</v>
      </c>
      <c r="U36" s="16">
        <f t="shared" si="14"/>
        <v>112999.99999999999</v>
      </c>
      <c r="V36" s="16">
        <f t="shared" si="19"/>
        <v>13.240579207920792</v>
      </c>
      <c r="W36" s="2">
        <f t="shared" si="15"/>
        <v>5</v>
      </c>
      <c r="X36" s="2">
        <f t="shared" si="20"/>
        <v>6.0122116329395936E-7</v>
      </c>
      <c r="Y36" s="2">
        <f t="shared" si="16"/>
        <v>99002.322091066875</v>
      </c>
      <c r="Z36" s="2">
        <f t="shared" si="17"/>
        <v>3.2225638135415233E-14</v>
      </c>
      <c r="AA36" s="2">
        <f t="shared" si="18"/>
        <v>19406279285.147053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1">
        <v>105</v>
      </c>
      <c r="B37" s="1">
        <f t="shared" si="3"/>
        <v>1.75</v>
      </c>
      <c r="C37" s="1">
        <v>20</v>
      </c>
      <c r="D37" s="1">
        <f t="shared" si="0"/>
        <v>29.146000000000001</v>
      </c>
      <c r="E37" s="1">
        <f t="shared" si="4"/>
        <v>4.8576666666666667E-7</v>
      </c>
      <c r="F37" s="1">
        <v>21.1</v>
      </c>
      <c r="G37" s="1">
        <f t="shared" si="5"/>
        <v>294.10000000000002</v>
      </c>
      <c r="H37" s="1">
        <v>101.3</v>
      </c>
      <c r="I37" s="1">
        <f t="shared" si="6"/>
        <v>101300</v>
      </c>
      <c r="J37" s="1">
        <f t="shared" si="7"/>
        <v>2.0124824921938581E-5</v>
      </c>
      <c r="K37" s="22">
        <v>124.1782178217822</v>
      </c>
      <c r="L37" s="2">
        <f t="shared" si="8"/>
        <v>1.2417821782178219E-4</v>
      </c>
      <c r="M37" s="3">
        <f t="shared" si="9"/>
        <v>4.7762865441819992E-3</v>
      </c>
      <c r="N37" s="29">
        <f t="shared" si="10"/>
        <v>5.232234016248112E-7</v>
      </c>
      <c r="O37" s="29">
        <f t="shared" si="11"/>
        <v>2.032E-3</v>
      </c>
      <c r="P37" s="29">
        <v>1.5574793265181801E-10</v>
      </c>
      <c r="Q37" s="16">
        <v>0.04</v>
      </c>
      <c r="R37" s="16">
        <f t="shared" si="12"/>
        <v>104000</v>
      </c>
      <c r="S37" s="16">
        <f t="shared" si="13"/>
        <v>5.3058450282772E-3</v>
      </c>
      <c r="T37" s="16">
        <v>0.13</v>
      </c>
      <c r="U37" s="16">
        <f t="shared" si="14"/>
        <v>112999.99999999999</v>
      </c>
      <c r="V37" s="16">
        <f t="shared" si="19"/>
        <v>14.032138613861386</v>
      </c>
      <c r="W37" s="2">
        <f t="shared" si="15"/>
        <v>5</v>
      </c>
      <c r="X37" s="2">
        <f t="shared" si="20"/>
        <v>6.3895221342598263E-7</v>
      </c>
      <c r="Y37" s="2">
        <f t="shared" si="16"/>
        <v>98692.784691048771</v>
      </c>
      <c r="Z37" s="2">
        <f t="shared" si="17"/>
        <v>3.4355738568052151E-14</v>
      </c>
      <c r="AA37" s="2">
        <f t="shared" si="18"/>
        <v>20689025765.681007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1">
        <v>108</v>
      </c>
      <c r="B38" s="1">
        <f t="shared" si="3"/>
        <v>1.8</v>
      </c>
      <c r="C38" s="1">
        <v>20</v>
      </c>
      <c r="D38" s="1">
        <f t="shared" si="0"/>
        <v>29.146000000000001</v>
      </c>
      <c r="E38" s="1">
        <f t="shared" si="4"/>
        <v>4.8576666666666667E-7</v>
      </c>
      <c r="F38" s="1">
        <v>21.1</v>
      </c>
      <c r="G38" s="1">
        <f t="shared" si="5"/>
        <v>294.10000000000002</v>
      </c>
      <c r="H38" s="1">
        <v>101.3</v>
      </c>
      <c r="I38" s="1">
        <f t="shared" si="6"/>
        <v>101300</v>
      </c>
      <c r="J38" s="1">
        <f t="shared" si="7"/>
        <v>2.0124824921938581E-5</v>
      </c>
      <c r="K38" s="22">
        <v>116.55445544554456</v>
      </c>
      <c r="L38" s="2">
        <f t="shared" si="8"/>
        <v>1.1655445544554457E-4</v>
      </c>
      <c r="M38" s="3">
        <f t="shared" si="9"/>
        <v>4.7762865441819992E-3</v>
      </c>
      <c r="N38" s="29">
        <f t="shared" si="10"/>
        <v>4.9110077211985949E-7</v>
      </c>
      <c r="O38" s="29">
        <f t="shared" si="11"/>
        <v>2.032E-3</v>
      </c>
      <c r="P38" s="29">
        <v>1.5574793265181801E-10</v>
      </c>
      <c r="Q38" s="16">
        <v>0.04</v>
      </c>
      <c r="R38" s="16">
        <f t="shared" si="12"/>
        <v>104000</v>
      </c>
      <c r="S38" s="16">
        <f t="shared" si="13"/>
        <v>5.3058450282772E-3</v>
      </c>
      <c r="T38" s="16">
        <v>0.13</v>
      </c>
      <c r="U38" s="16">
        <f t="shared" si="14"/>
        <v>112999.99999999999</v>
      </c>
      <c r="V38" s="16">
        <f t="shared" si="19"/>
        <v>13.170653465346534</v>
      </c>
      <c r="W38" s="2">
        <f t="shared" si="15"/>
        <v>5</v>
      </c>
      <c r="X38" s="2">
        <f t="shared" si="20"/>
        <v>5.978763669512963E-7</v>
      </c>
      <c r="Y38" s="2">
        <f t="shared" si="16"/>
        <v>99029.785465249995</v>
      </c>
      <c r="Z38" s="2">
        <f t="shared" si="17"/>
        <v>3.2037444979743138E-14</v>
      </c>
      <c r="AA38" s="2">
        <f t="shared" si="18"/>
        <v>19292949366.801319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1">
        <v>111</v>
      </c>
      <c r="B39" s="1">
        <f t="shared" si="3"/>
        <v>1.85</v>
      </c>
      <c r="C39" s="1">
        <v>20</v>
      </c>
      <c r="D39" s="1">
        <f t="shared" si="0"/>
        <v>29.146000000000001</v>
      </c>
      <c r="E39" s="1">
        <f t="shared" si="4"/>
        <v>4.8576666666666667E-7</v>
      </c>
      <c r="F39" s="1">
        <v>21.1</v>
      </c>
      <c r="G39" s="1">
        <f t="shared" si="5"/>
        <v>294.10000000000002</v>
      </c>
      <c r="H39" s="1">
        <v>101.3</v>
      </c>
      <c r="I39" s="1">
        <f t="shared" si="6"/>
        <v>101300</v>
      </c>
      <c r="J39" s="1">
        <f t="shared" si="7"/>
        <v>2.0124824921938581E-5</v>
      </c>
      <c r="K39" s="22">
        <v>121.6782178217822</v>
      </c>
      <c r="L39" s="2">
        <f t="shared" si="8"/>
        <v>1.216782178217822E-4</v>
      </c>
      <c r="M39" s="3">
        <f t="shared" si="9"/>
        <v>4.7762865441819992E-3</v>
      </c>
      <c r="N39" s="29">
        <f t="shared" si="10"/>
        <v>5.1268968220922649E-7</v>
      </c>
      <c r="O39" s="29">
        <f t="shared" si="11"/>
        <v>2.032E-3</v>
      </c>
      <c r="P39" s="29">
        <v>1.5574793265181801E-10</v>
      </c>
      <c r="Q39" s="16">
        <v>0.04</v>
      </c>
      <c r="R39" s="16">
        <f t="shared" si="12"/>
        <v>104000</v>
      </c>
      <c r="S39" s="16">
        <f t="shared" si="13"/>
        <v>5.3058450282772E-3</v>
      </c>
      <c r="T39" s="16">
        <v>0.13</v>
      </c>
      <c r="U39" s="16">
        <f t="shared" si="14"/>
        <v>112999.99999999999</v>
      </c>
      <c r="V39" s="16">
        <f t="shared" si="19"/>
        <v>13.749638613861388</v>
      </c>
      <c r="W39" s="2">
        <f t="shared" si="15"/>
        <v>5</v>
      </c>
      <c r="X39" s="2">
        <f t="shared" si="20"/>
        <v>6.2551361771546982E-7</v>
      </c>
      <c r="Y39" s="2">
        <f t="shared" si="16"/>
        <v>98802.976464308042</v>
      </c>
      <c r="Z39" s="2">
        <f t="shared" si="17"/>
        <v>3.3595549082808499E-14</v>
      </c>
      <c r="AA39" s="2">
        <f t="shared" si="18"/>
        <v>20231239657.667278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1">
        <v>114</v>
      </c>
      <c r="B40" s="1">
        <f t="shared" si="3"/>
        <v>1.9</v>
      </c>
      <c r="C40" s="1">
        <v>20</v>
      </c>
      <c r="D40" s="1">
        <f t="shared" si="0"/>
        <v>29.146000000000001</v>
      </c>
      <c r="E40" s="1">
        <f t="shared" si="4"/>
        <v>4.8576666666666667E-7</v>
      </c>
      <c r="F40" s="1">
        <v>21.1</v>
      </c>
      <c r="G40" s="1">
        <f t="shared" si="5"/>
        <v>294.10000000000002</v>
      </c>
      <c r="H40" s="1">
        <v>101.3</v>
      </c>
      <c r="I40" s="1">
        <f t="shared" si="6"/>
        <v>101300</v>
      </c>
      <c r="J40" s="1">
        <f t="shared" si="7"/>
        <v>2.0124824921938581E-5</v>
      </c>
      <c r="K40" s="22">
        <v>118.28712871287131</v>
      </c>
      <c r="L40" s="2">
        <f t="shared" si="8"/>
        <v>1.1828712871287131E-4</v>
      </c>
      <c r="M40" s="3">
        <f t="shared" si="9"/>
        <v>4.7762865441819992E-3</v>
      </c>
      <c r="N40" s="29">
        <f t="shared" si="10"/>
        <v>4.9840136973462136E-7</v>
      </c>
      <c r="O40" s="29">
        <f t="shared" si="11"/>
        <v>2.032E-3</v>
      </c>
      <c r="P40" s="29">
        <v>1.5574793265181801E-10</v>
      </c>
      <c r="Q40" s="16">
        <v>0.04</v>
      </c>
      <c r="R40" s="16">
        <f t="shared" si="12"/>
        <v>104000</v>
      </c>
      <c r="S40" s="16">
        <f t="shared" si="13"/>
        <v>5.3058450282772E-3</v>
      </c>
      <c r="T40" s="16">
        <v>0.13</v>
      </c>
      <c r="U40" s="16">
        <f t="shared" si="14"/>
        <v>112999.99999999999</v>
      </c>
      <c r="V40" s="16">
        <f t="shared" si="19"/>
        <v>13.366445544554455</v>
      </c>
      <c r="W40" s="2">
        <f t="shared" si="15"/>
        <v>5</v>
      </c>
      <c r="X40" s="2">
        <f t="shared" si="20"/>
        <v>6.0723690631911853E-7</v>
      </c>
      <c r="Y40" s="2">
        <f t="shared" si="16"/>
        <v>98952.937756467378</v>
      </c>
      <c r="Z40" s="2">
        <f t="shared" si="17"/>
        <v>3.2564371137759598E-14</v>
      </c>
      <c r="AA40" s="2">
        <f t="shared" si="18"/>
        <v>19610264299.158833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1">
        <v>117</v>
      </c>
      <c r="B41" s="1">
        <f t="shared" si="3"/>
        <v>1.95</v>
      </c>
      <c r="C41" s="1">
        <v>20</v>
      </c>
      <c r="D41" s="1">
        <f t="shared" si="0"/>
        <v>29.146000000000001</v>
      </c>
      <c r="E41" s="1">
        <f t="shared" si="4"/>
        <v>4.8576666666666667E-7</v>
      </c>
      <c r="F41" s="1">
        <v>21.1</v>
      </c>
      <c r="G41" s="1">
        <f t="shared" si="5"/>
        <v>294.10000000000002</v>
      </c>
      <c r="H41" s="1">
        <v>101.3</v>
      </c>
      <c r="I41" s="1">
        <f t="shared" si="6"/>
        <v>101300</v>
      </c>
      <c r="J41" s="1">
        <f t="shared" si="7"/>
        <v>2.0124824921938581E-5</v>
      </c>
      <c r="K41" s="22">
        <v>122.51980198019804</v>
      </c>
      <c r="L41" s="2">
        <f t="shared" si="8"/>
        <v>1.2251980198019804E-4</v>
      </c>
      <c r="M41" s="3">
        <f t="shared" si="9"/>
        <v>4.7762865441819992E-3</v>
      </c>
      <c r="N41" s="29">
        <f t="shared" si="10"/>
        <v>5.1623568676496794E-7</v>
      </c>
      <c r="O41" s="29">
        <f t="shared" si="11"/>
        <v>2.032E-3</v>
      </c>
      <c r="P41" s="29">
        <v>1.5574793265181801E-10</v>
      </c>
      <c r="Q41" s="16">
        <v>0.04</v>
      </c>
      <c r="R41" s="16">
        <f t="shared" si="12"/>
        <v>104000</v>
      </c>
      <c r="S41" s="16">
        <f t="shared" si="13"/>
        <v>5.3058450282772E-3</v>
      </c>
      <c r="T41" s="16">
        <v>0.13</v>
      </c>
      <c r="U41" s="16">
        <f t="shared" si="14"/>
        <v>112999.99999999999</v>
      </c>
      <c r="V41" s="16">
        <f t="shared" si="19"/>
        <v>13.844737623762377</v>
      </c>
      <c r="W41" s="2">
        <f t="shared" si="15"/>
        <v>5</v>
      </c>
      <c r="X41" s="2">
        <f t="shared" si="20"/>
        <v>6.3004080509886505E-7</v>
      </c>
      <c r="Y41" s="2">
        <f t="shared" si="16"/>
        <v>98765.848247827031</v>
      </c>
      <c r="Z41" s="2">
        <f t="shared" si="17"/>
        <v>3.3851453687217414E-14</v>
      </c>
      <c r="AA41" s="2">
        <f t="shared" si="18"/>
        <v>20385345410.442329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1">
        <v>120</v>
      </c>
      <c r="B42" s="1">
        <f t="shared" si="3"/>
        <v>2</v>
      </c>
      <c r="C42" s="1">
        <v>20</v>
      </c>
      <c r="D42" s="1">
        <f t="shared" si="0"/>
        <v>29.146000000000001</v>
      </c>
      <c r="E42" s="1">
        <f t="shared" si="4"/>
        <v>4.8576666666666667E-7</v>
      </c>
      <c r="F42" s="1">
        <v>21.1</v>
      </c>
      <c r="G42" s="1">
        <f t="shared" si="5"/>
        <v>294.10000000000002</v>
      </c>
      <c r="H42" s="1">
        <v>101.3</v>
      </c>
      <c r="I42" s="1">
        <f t="shared" si="6"/>
        <v>101300</v>
      </c>
      <c r="J42" s="1">
        <f t="shared" si="7"/>
        <v>2.0124824921938581E-5</v>
      </c>
      <c r="K42" s="22">
        <v>119.1782178217822</v>
      </c>
      <c r="L42" s="2">
        <f t="shared" si="8"/>
        <v>1.1917821782178219E-4</v>
      </c>
      <c r="M42" s="3">
        <f t="shared" si="9"/>
        <v>4.7762865441819992E-3</v>
      </c>
      <c r="N42" s="29">
        <f t="shared" si="10"/>
        <v>5.0215596279364156E-7</v>
      </c>
      <c r="O42" s="29">
        <f t="shared" si="11"/>
        <v>2.032E-3</v>
      </c>
      <c r="P42" s="29">
        <v>1.5574793265181801E-10</v>
      </c>
      <c r="Q42" s="16">
        <v>0.04</v>
      </c>
      <c r="R42" s="16">
        <f t="shared" si="12"/>
        <v>104000</v>
      </c>
      <c r="S42" s="16">
        <f t="shared" si="13"/>
        <v>5.3058450282772E-3</v>
      </c>
      <c r="T42" s="16">
        <v>0.13</v>
      </c>
      <c r="U42" s="16">
        <f t="shared" si="14"/>
        <v>112999.99999999999</v>
      </c>
      <c r="V42" s="16">
        <f t="shared" si="19"/>
        <v>13.467138613861387</v>
      </c>
      <c r="W42" s="2">
        <f t="shared" si="15"/>
        <v>5</v>
      </c>
      <c r="X42" s="2">
        <f t="shared" si="20"/>
        <v>6.1204502375808483E-7</v>
      </c>
      <c r="Y42" s="2">
        <f t="shared" si="16"/>
        <v>98913.475899642552</v>
      </c>
      <c r="Z42" s="2">
        <f t="shared" si="17"/>
        <v>3.2835346397545236E-14</v>
      </c>
      <c r="AA42" s="2">
        <f t="shared" si="18"/>
        <v>19773445600.601742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1">
        <v>123</v>
      </c>
      <c r="B43" s="1">
        <f t="shared" si="3"/>
        <v>2.0499999999999998</v>
      </c>
      <c r="C43" s="1">
        <v>20</v>
      </c>
      <c r="D43" s="1">
        <f t="shared" si="0"/>
        <v>29.146000000000001</v>
      </c>
      <c r="E43" s="1">
        <f t="shared" si="4"/>
        <v>4.8576666666666667E-7</v>
      </c>
      <c r="F43" s="1">
        <v>21.1</v>
      </c>
      <c r="G43" s="1">
        <f t="shared" si="5"/>
        <v>294.10000000000002</v>
      </c>
      <c r="H43" s="1">
        <v>101.3</v>
      </c>
      <c r="I43" s="1">
        <f t="shared" si="6"/>
        <v>101300</v>
      </c>
      <c r="J43" s="1">
        <f t="shared" si="7"/>
        <v>2.0124824921938581E-5</v>
      </c>
      <c r="K43" s="22">
        <v>117.56930693069309</v>
      </c>
      <c r="L43" s="2">
        <f t="shared" si="8"/>
        <v>1.1756930693069309E-4</v>
      </c>
      <c r="M43" s="3">
        <f t="shared" si="9"/>
        <v>4.7762865441819992E-3</v>
      </c>
      <c r="N43" s="29">
        <f t="shared" si="10"/>
        <v>4.9537683643707704E-7</v>
      </c>
      <c r="O43" s="29">
        <f t="shared" si="11"/>
        <v>2.032E-3</v>
      </c>
      <c r="P43" s="29">
        <v>1.5574793265181801E-10</v>
      </c>
      <c r="Q43" s="16">
        <v>0.04</v>
      </c>
      <c r="R43" s="16">
        <f t="shared" si="12"/>
        <v>104000</v>
      </c>
      <c r="S43" s="16">
        <f t="shared" si="13"/>
        <v>5.3058450282772E-3</v>
      </c>
      <c r="T43" s="16">
        <v>0.13</v>
      </c>
      <c r="U43" s="16">
        <f t="shared" si="14"/>
        <v>112999.99999999999</v>
      </c>
      <c r="V43" s="16">
        <f t="shared" si="19"/>
        <v>13.285331683168318</v>
      </c>
      <c r="W43" s="2">
        <f t="shared" si="15"/>
        <v>5</v>
      </c>
      <c r="X43" s="2">
        <f t="shared" si="20"/>
        <v>6.0336081139842085E-7</v>
      </c>
      <c r="Y43" s="2">
        <f t="shared" si="16"/>
        <v>98984.755916806578</v>
      </c>
      <c r="Z43" s="2">
        <f t="shared" si="17"/>
        <v>3.2346078546566615E-14</v>
      </c>
      <c r="AA43" s="2">
        <f t="shared" si="18"/>
        <v>19478808500.742416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1">
        <v>126</v>
      </c>
      <c r="B44" s="1">
        <f t="shared" si="3"/>
        <v>2.1</v>
      </c>
      <c r="C44" s="1">
        <v>20</v>
      </c>
      <c r="D44" s="1">
        <f t="shared" si="0"/>
        <v>29.146000000000001</v>
      </c>
      <c r="E44" s="1">
        <f t="shared" si="4"/>
        <v>4.8576666666666667E-7</v>
      </c>
      <c r="F44" s="1">
        <v>21.1</v>
      </c>
      <c r="G44" s="1">
        <f t="shared" si="5"/>
        <v>294.10000000000002</v>
      </c>
      <c r="H44" s="1">
        <v>101.3</v>
      </c>
      <c r="I44" s="1">
        <f t="shared" si="6"/>
        <v>101300</v>
      </c>
      <c r="J44" s="1">
        <f t="shared" si="7"/>
        <v>2.0124824921938581E-5</v>
      </c>
      <c r="K44" s="28">
        <v>128.68316831683168</v>
      </c>
      <c r="L44" s="2">
        <f t="shared" si="8"/>
        <v>1.2868316831683168E-4</v>
      </c>
      <c r="M44" s="3">
        <f t="shared" si="9"/>
        <v>4.7762865441819992E-3</v>
      </c>
      <c r="N44" s="64">
        <f t="shared" si="10"/>
        <v>5.4220495542319169E-7</v>
      </c>
      <c r="O44" s="29">
        <f t="shared" si="11"/>
        <v>2.032E-3</v>
      </c>
      <c r="P44" s="29">
        <v>1.5574793265181801E-10</v>
      </c>
      <c r="Q44" s="16">
        <v>0.04</v>
      </c>
      <c r="R44" s="16">
        <f t="shared" si="12"/>
        <v>104000</v>
      </c>
      <c r="S44" s="16">
        <f t="shared" si="13"/>
        <v>5.3058450282772E-3</v>
      </c>
      <c r="T44" s="16">
        <v>0.13</v>
      </c>
      <c r="U44" s="16">
        <f t="shared" si="14"/>
        <v>112999.99999999999</v>
      </c>
      <c r="V44" s="16">
        <f t="shared" si="19"/>
        <v>14.541198019801978</v>
      </c>
      <c r="W44" s="2">
        <f t="shared" si="15"/>
        <v>5</v>
      </c>
      <c r="X44" s="12">
        <f t="shared" si="20"/>
        <v>6.6309542027924131E-7</v>
      </c>
      <c r="Y44" s="2">
        <f t="shared" si="16"/>
        <v>98494.973304997649</v>
      </c>
      <c r="Z44" s="12">
        <f t="shared" si="17"/>
        <v>3.5725691527633986E-14</v>
      </c>
      <c r="AA44" s="12">
        <f t="shared" si="18"/>
        <v>21514011437.941189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1">
        <v>129</v>
      </c>
      <c r="B45" s="1">
        <f t="shared" si="3"/>
        <v>2.15</v>
      </c>
      <c r="C45" s="1">
        <v>20</v>
      </c>
      <c r="D45" s="1">
        <f t="shared" si="0"/>
        <v>29.146000000000001</v>
      </c>
      <c r="E45" s="1">
        <f t="shared" si="4"/>
        <v>4.8576666666666667E-7</v>
      </c>
      <c r="F45" s="1">
        <v>21.1</v>
      </c>
      <c r="G45" s="1">
        <f t="shared" si="5"/>
        <v>294.10000000000002</v>
      </c>
      <c r="H45" s="1">
        <v>101.3</v>
      </c>
      <c r="I45" s="1">
        <f t="shared" si="6"/>
        <v>101300</v>
      </c>
      <c r="J45" s="1">
        <f t="shared" si="7"/>
        <v>2.0124824921938581E-5</v>
      </c>
      <c r="K45" s="28">
        <v>124.42574257425744</v>
      </c>
      <c r="L45" s="2">
        <f t="shared" si="8"/>
        <v>1.2442574257425743E-4</v>
      </c>
      <c r="M45" s="3">
        <f t="shared" si="9"/>
        <v>4.7762865441819992E-3</v>
      </c>
      <c r="N45" s="64">
        <f t="shared" si="10"/>
        <v>5.2426634414120568E-7</v>
      </c>
      <c r="O45" s="29">
        <f t="shared" si="11"/>
        <v>2.032E-3</v>
      </c>
      <c r="P45" s="29">
        <v>1.5574793265181801E-10</v>
      </c>
      <c r="Q45" s="16">
        <v>0.04</v>
      </c>
      <c r="R45" s="16">
        <f t="shared" si="12"/>
        <v>104000</v>
      </c>
      <c r="S45" s="16">
        <f t="shared" si="13"/>
        <v>5.3058450282772E-3</v>
      </c>
      <c r="T45" s="16">
        <v>0.13</v>
      </c>
      <c r="U45" s="16">
        <f t="shared" si="14"/>
        <v>112999.99999999999</v>
      </c>
      <c r="V45" s="16">
        <f t="shared" si="19"/>
        <v>14.060108910891088</v>
      </c>
      <c r="W45" s="2">
        <f t="shared" si="15"/>
        <v>5</v>
      </c>
      <c r="X45" s="12">
        <f t="shared" si="20"/>
        <v>6.4028117006517074E-7</v>
      </c>
      <c r="Y45" s="2">
        <f t="shared" si="16"/>
        <v>98681.89105312129</v>
      </c>
      <c r="Z45" s="12">
        <f t="shared" si="17"/>
        <v>3.4431005834218521E-14</v>
      </c>
      <c r="AA45" s="12">
        <f t="shared" si="18"/>
        <v>20734351713.366394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1">
        <v>132</v>
      </c>
      <c r="B46" s="1">
        <f t="shared" si="3"/>
        <v>2.2000000000000002</v>
      </c>
      <c r="C46" s="1">
        <v>20</v>
      </c>
      <c r="D46" s="1">
        <f t="shared" si="0"/>
        <v>29.146000000000001</v>
      </c>
      <c r="E46" s="1">
        <f t="shared" si="4"/>
        <v>4.8576666666666667E-7</v>
      </c>
      <c r="F46" s="1">
        <v>21.1</v>
      </c>
      <c r="G46" s="1">
        <f t="shared" si="5"/>
        <v>294.10000000000002</v>
      </c>
      <c r="H46" s="1">
        <v>101.3</v>
      </c>
      <c r="I46" s="1">
        <f t="shared" si="6"/>
        <v>101300</v>
      </c>
      <c r="J46" s="1">
        <f t="shared" si="7"/>
        <v>2.0124824921938581E-5</v>
      </c>
      <c r="K46" s="28">
        <v>123.980198019802</v>
      </c>
      <c r="L46" s="2">
        <f t="shared" si="8"/>
        <v>1.2398019801980201E-4</v>
      </c>
      <c r="M46" s="3">
        <f t="shared" si="9"/>
        <v>4.7762865441819992E-3</v>
      </c>
      <c r="N46" s="64">
        <f t="shared" si="10"/>
        <v>5.2238904761169569E-7</v>
      </c>
      <c r="O46" s="29">
        <f t="shared" si="11"/>
        <v>2.032E-3</v>
      </c>
      <c r="P46" s="29">
        <v>1.5574793265181801E-10</v>
      </c>
      <c r="Q46" s="16">
        <v>0.04</v>
      </c>
      <c r="R46" s="16">
        <f t="shared" si="12"/>
        <v>104000</v>
      </c>
      <c r="S46" s="16">
        <f t="shared" si="13"/>
        <v>5.3058450282772E-3</v>
      </c>
      <c r="T46" s="16">
        <v>0.13</v>
      </c>
      <c r="U46" s="16">
        <f t="shared" si="14"/>
        <v>112999.99999999999</v>
      </c>
      <c r="V46" s="16">
        <f t="shared" si="19"/>
        <v>14.009762376237626</v>
      </c>
      <c r="W46" s="2">
        <f t="shared" si="15"/>
        <v>5</v>
      </c>
      <c r="X46" s="12">
        <f t="shared" si="20"/>
        <v>6.378888428125634E-7</v>
      </c>
      <c r="Y46" s="2">
        <f t="shared" si="16"/>
        <v>98701.501717299761</v>
      </c>
      <c r="Z46" s="12">
        <f t="shared" si="17"/>
        <v>3.4295524976726105E-14</v>
      </c>
      <c r="AA46" s="12">
        <f t="shared" si="18"/>
        <v>20652765140.984463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1">
        <v>135</v>
      </c>
      <c r="B47" s="1">
        <f t="shared" si="3"/>
        <v>2.25</v>
      </c>
      <c r="C47" s="1">
        <v>20</v>
      </c>
      <c r="D47" s="1">
        <f t="shared" si="0"/>
        <v>29.146000000000001</v>
      </c>
      <c r="E47" s="1">
        <f t="shared" si="4"/>
        <v>4.8576666666666667E-7</v>
      </c>
      <c r="F47" s="1">
        <v>21.1</v>
      </c>
      <c r="G47" s="1">
        <f t="shared" si="5"/>
        <v>294.10000000000002</v>
      </c>
      <c r="H47" s="1">
        <v>101.3</v>
      </c>
      <c r="I47" s="1">
        <f t="shared" si="6"/>
        <v>101300</v>
      </c>
      <c r="J47" s="1">
        <f t="shared" si="7"/>
        <v>2.0124824921938581E-5</v>
      </c>
      <c r="K47" s="28">
        <v>117.54455445544555</v>
      </c>
      <c r="L47" s="2">
        <f t="shared" si="8"/>
        <v>1.1754455445544554E-4</v>
      </c>
      <c r="M47" s="3">
        <f t="shared" si="9"/>
        <v>4.7762865441819992E-3</v>
      </c>
      <c r="N47" s="64">
        <f t="shared" si="10"/>
        <v>4.9527254218543761E-7</v>
      </c>
      <c r="O47" s="29">
        <f t="shared" si="11"/>
        <v>2.032E-3</v>
      </c>
      <c r="P47" s="29">
        <v>1.5574793265181801E-10</v>
      </c>
      <c r="Q47" s="16">
        <v>0.04</v>
      </c>
      <c r="R47" s="16">
        <f t="shared" si="12"/>
        <v>104000</v>
      </c>
      <c r="S47" s="16">
        <f t="shared" si="13"/>
        <v>5.3058450282772E-3</v>
      </c>
      <c r="T47" s="16">
        <v>0.13</v>
      </c>
      <c r="U47" s="16">
        <f t="shared" si="14"/>
        <v>112999.99999999999</v>
      </c>
      <c r="V47" s="16">
        <f t="shared" si="19"/>
        <v>13.282534653465344</v>
      </c>
      <c r="W47" s="2">
        <f t="shared" si="15"/>
        <v>5</v>
      </c>
      <c r="X47" s="12">
        <f t="shared" si="20"/>
        <v>6.0322710665209792E-7</v>
      </c>
      <c r="Y47" s="2">
        <f t="shared" si="16"/>
        <v>98985.853566082325</v>
      </c>
      <c r="Z47" s="12">
        <f t="shared" si="17"/>
        <v>3.2338551089429721E-14</v>
      </c>
      <c r="AA47" s="12">
        <f t="shared" si="18"/>
        <v>19474275466.054581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1">
        <v>138</v>
      </c>
      <c r="B48" s="1">
        <f t="shared" si="3"/>
        <v>2.2999999999999998</v>
      </c>
      <c r="C48" s="1">
        <v>20</v>
      </c>
      <c r="D48" s="1">
        <f t="shared" si="0"/>
        <v>29.146000000000001</v>
      </c>
      <c r="E48" s="1">
        <f t="shared" si="4"/>
        <v>4.8576666666666667E-7</v>
      </c>
      <c r="F48" s="1">
        <v>21.1</v>
      </c>
      <c r="G48" s="1">
        <f t="shared" si="5"/>
        <v>294.10000000000002</v>
      </c>
      <c r="H48" s="1">
        <v>101.3</v>
      </c>
      <c r="I48" s="1">
        <f t="shared" si="6"/>
        <v>101300</v>
      </c>
      <c r="J48" s="1">
        <f t="shared" si="7"/>
        <v>2.0124824921938581E-5</v>
      </c>
      <c r="K48" s="28">
        <v>114.87128712871289</v>
      </c>
      <c r="L48" s="2">
        <f t="shared" si="8"/>
        <v>1.1487128712871289E-4</v>
      </c>
      <c r="M48" s="3">
        <f t="shared" si="9"/>
        <v>4.7762865441819992E-3</v>
      </c>
      <c r="N48" s="64">
        <f t="shared" si="10"/>
        <v>4.840087630083767E-7</v>
      </c>
      <c r="O48" s="29">
        <f t="shared" si="11"/>
        <v>2.032E-3</v>
      </c>
      <c r="P48" s="29">
        <v>1.5574793265181801E-10</v>
      </c>
      <c r="Q48" s="16">
        <v>0.04</v>
      </c>
      <c r="R48" s="16">
        <f t="shared" si="12"/>
        <v>104000</v>
      </c>
      <c r="S48" s="16">
        <f t="shared" si="13"/>
        <v>5.3058450282772E-3</v>
      </c>
      <c r="T48" s="16">
        <v>0.13</v>
      </c>
      <c r="U48" s="16">
        <f t="shared" si="14"/>
        <v>112999.99999999999</v>
      </c>
      <c r="V48" s="16">
        <f t="shared" si="19"/>
        <v>12.980455445544555</v>
      </c>
      <c r="W48" s="2">
        <f t="shared" si="15"/>
        <v>5</v>
      </c>
      <c r="X48" s="12">
        <f t="shared" si="20"/>
        <v>5.8876855804208616E-7</v>
      </c>
      <c r="Y48" s="2">
        <f t="shared" si="16"/>
        <v>99104.586951136473</v>
      </c>
      <c r="Z48" s="12">
        <f t="shared" si="17"/>
        <v>3.1525523068690837E-14</v>
      </c>
      <c r="AA48" s="12">
        <f t="shared" si="18"/>
        <v>18984669991.965622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1">
        <v>141</v>
      </c>
      <c r="B49" s="1">
        <f t="shared" si="3"/>
        <v>2.35</v>
      </c>
      <c r="C49" s="1">
        <v>20</v>
      </c>
      <c r="D49" s="1">
        <f t="shared" si="0"/>
        <v>29.146000000000001</v>
      </c>
      <c r="E49" s="1">
        <f t="shared" si="4"/>
        <v>4.8576666666666667E-7</v>
      </c>
      <c r="F49" s="1">
        <v>21.1</v>
      </c>
      <c r="G49" s="1">
        <f t="shared" si="5"/>
        <v>294.10000000000002</v>
      </c>
      <c r="H49" s="1">
        <v>101.3</v>
      </c>
      <c r="I49" s="1">
        <f t="shared" si="6"/>
        <v>101300</v>
      </c>
      <c r="J49" s="1">
        <f t="shared" si="7"/>
        <v>2.0124824921938581E-5</v>
      </c>
      <c r="K49" s="28">
        <v>124.97029702970299</v>
      </c>
      <c r="L49" s="2">
        <f t="shared" si="8"/>
        <v>1.2497029702970299E-4</v>
      </c>
      <c r="M49" s="3">
        <f t="shared" si="9"/>
        <v>4.7762865441819992E-3</v>
      </c>
      <c r="N49" s="64">
        <f t="shared" si="10"/>
        <v>5.265608176772738E-7</v>
      </c>
      <c r="O49" s="29">
        <f t="shared" si="11"/>
        <v>2.032E-3</v>
      </c>
      <c r="P49" s="29">
        <v>1.5574793265181801E-10</v>
      </c>
      <c r="Q49" s="16">
        <v>0.04</v>
      </c>
      <c r="R49" s="16">
        <f t="shared" si="12"/>
        <v>104000</v>
      </c>
      <c r="S49" s="16">
        <f t="shared" si="13"/>
        <v>5.3058450282772E-3</v>
      </c>
      <c r="T49" s="16">
        <v>0.13</v>
      </c>
      <c r="U49" s="16">
        <f t="shared" si="14"/>
        <v>112999.99999999999</v>
      </c>
      <c r="V49" s="16">
        <f t="shared" si="19"/>
        <v>14.121643564356436</v>
      </c>
      <c r="W49" s="2">
        <f t="shared" si="15"/>
        <v>5</v>
      </c>
      <c r="X49" s="12">
        <f t="shared" si="20"/>
        <v>6.4320387495765536E-7</v>
      </c>
      <c r="Y49" s="2">
        <f t="shared" si="16"/>
        <v>98657.93535964581</v>
      </c>
      <c r="Z49" s="12">
        <f t="shared" si="17"/>
        <v>3.4596595098556514E-14</v>
      </c>
      <c r="AA49" s="12">
        <f t="shared" si="18"/>
        <v>20834069568.350735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1">
        <v>144</v>
      </c>
      <c r="B50" s="1">
        <f t="shared" si="3"/>
        <v>2.4</v>
      </c>
      <c r="C50" s="1">
        <v>20</v>
      </c>
      <c r="D50" s="1">
        <f t="shared" si="0"/>
        <v>29.146000000000001</v>
      </c>
      <c r="E50" s="1">
        <f t="shared" si="4"/>
        <v>4.8576666666666667E-7</v>
      </c>
      <c r="F50" s="1">
        <v>21.1</v>
      </c>
      <c r="G50" s="1">
        <f t="shared" si="5"/>
        <v>294.10000000000002</v>
      </c>
      <c r="H50" s="1">
        <v>101.3</v>
      </c>
      <c r="I50" s="1">
        <f t="shared" si="6"/>
        <v>101300</v>
      </c>
      <c r="J50" s="1">
        <f t="shared" si="7"/>
        <v>2.0124824921938581E-5</v>
      </c>
      <c r="K50" s="28">
        <v>127.22277227722773</v>
      </c>
      <c r="L50" s="2">
        <f t="shared" si="8"/>
        <v>1.2722277227722773E-4</v>
      </c>
      <c r="M50" s="3">
        <f t="shared" si="9"/>
        <v>4.7762865441819992E-3</v>
      </c>
      <c r="N50" s="64">
        <f t="shared" si="10"/>
        <v>5.3605159457646405E-7</v>
      </c>
      <c r="O50" s="29">
        <f t="shared" si="11"/>
        <v>2.032E-3</v>
      </c>
      <c r="P50" s="29">
        <v>1.5574793265181801E-10</v>
      </c>
      <c r="Q50" s="16">
        <v>0.04</v>
      </c>
      <c r="R50" s="16">
        <f t="shared" si="12"/>
        <v>104000</v>
      </c>
      <c r="S50" s="16">
        <f t="shared" si="13"/>
        <v>5.3058450282772E-3</v>
      </c>
      <c r="T50" s="16">
        <v>0.13</v>
      </c>
      <c r="U50" s="16">
        <f t="shared" si="14"/>
        <v>112999.99999999999</v>
      </c>
      <c r="V50" s="16">
        <f t="shared" si="19"/>
        <v>14.376173267326731</v>
      </c>
      <c r="W50" s="2">
        <f t="shared" si="15"/>
        <v>5</v>
      </c>
      <c r="X50" s="12">
        <f t="shared" si="20"/>
        <v>6.5527881897041084E-7</v>
      </c>
      <c r="Y50" s="2">
        <f t="shared" si="16"/>
        <v>98558.994969119682</v>
      </c>
      <c r="Z50" s="12">
        <f t="shared" si="17"/>
        <v>3.5281559827961357E-14</v>
      </c>
      <c r="AA50" s="12">
        <f t="shared" si="18"/>
        <v>21246555328.398331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1">
        <v>147</v>
      </c>
      <c r="B51" s="1">
        <f t="shared" si="3"/>
        <v>2.4500000000000002</v>
      </c>
      <c r="C51" s="1">
        <v>20</v>
      </c>
      <c r="D51" s="1">
        <f t="shared" si="0"/>
        <v>29.146000000000001</v>
      </c>
      <c r="E51" s="1">
        <f t="shared" si="4"/>
        <v>4.8576666666666667E-7</v>
      </c>
      <c r="F51" s="1">
        <v>21.1</v>
      </c>
      <c r="G51" s="1">
        <f t="shared" si="5"/>
        <v>294.10000000000002</v>
      </c>
      <c r="H51" s="1">
        <v>101.3</v>
      </c>
      <c r="I51" s="1">
        <f t="shared" si="6"/>
        <v>101300</v>
      </c>
      <c r="J51" s="1">
        <f t="shared" si="7"/>
        <v>2.0124824921938581E-5</v>
      </c>
      <c r="K51" s="28">
        <v>121.92574257425744</v>
      </c>
      <c r="L51" s="2">
        <f t="shared" si="8"/>
        <v>1.2192574257425744E-4</v>
      </c>
      <c r="M51" s="3">
        <f t="shared" si="9"/>
        <v>4.7762865441819992E-3</v>
      </c>
      <c r="N51" s="64">
        <f t="shared" si="10"/>
        <v>5.1373262472562096E-7</v>
      </c>
      <c r="O51" s="29">
        <f t="shared" si="11"/>
        <v>2.032E-3</v>
      </c>
      <c r="P51" s="29">
        <v>1.5574793265181801E-10</v>
      </c>
      <c r="Q51" s="16">
        <v>0.04</v>
      </c>
      <c r="R51" s="16">
        <f t="shared" si="12"/>
        <v>104000</v>
      </c>
      <c r="S51" s="16">
        <f t="shared" si="13"/>
        <v>5.3058450282772E-3</v>
      </c>
      <c r="T51" s="16">
        <v>0.13</v>
      </c>
      <c r="U51" s="16">
        <f t="shared" si="14"/>
        <v>112999.99999999999</v>
      </c>
      <c r="V51" s="16">
        <f t="shared" si="19"/>
        <v>13.777608910891088</v>
      </c>
      <c r="W51" s="2">
        <f t="shared" si="15"/>
        <v>5</v>
      </c>
      <c r="X51" s="12">
        <f t="shared" si="20"/>
        <v>6.2684549468402838E-7</v>
      </c>
      <c r="Y51" s="2">
        <f t="shared" si="16"/>
        <v>98792.052795430893</v>
      </c>
      <c r="Z51" s="12">
        <f t="shared" si="17"/>
        <v>3.3670815219104944E-14</v>
      </c>
      <c r="AA51" s="12">
        <f t="shared" si="18"/>
        <v>20276564924.945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1">
        <v>150</v>
      </c>
      <c r="B52" s="1">
        <f t="shared" si="3"/>
        <v>2.5</v>
      </c>
      <c r="C52" s="1">
        <v>20</v>
      </c>
      <c r="D52" s="1">
        <f t="shared" si="0"/>
        <v>29.146000000000001</v>
      </c>
      <c r="E52" s="1">
        <f t="shared" si="4"/>
        <v>4.8576666666666667E-7</v>
      </c>
      <c r="F52" s="1">
        <v>21.1</v>
      </c>
      <c r="G52" s="1">
        <f t="shared" si="5"/>
        <v>294.10000000000002</v>
      </c>
      <c r="H52" s="1">
        <v>101.3</v>
      </c>
      <c r="I52" s="1">
        <f t="shared" si="6"/>
        <v>101300</v>
      </c>
      <c r="J52" s="1">
        <f t="shared" si="7"/>
        <v>2.0124824921938581E-5</v>
      </c>
      <c r="K52" s="28">
        <v>119.47524752475249</v>
      </c>
      <c r="L52" s="2">
        <f t="shared" si="8"/>
        <v>1.1947524752475249E-4</v>
      </c>
      <c r="M52" s="3">
        <f t="shared" si="9"/>
        <v>4.7762865441819992E-3</v>
      </c>
      <c r="N52" s="64">
        <f t="shared" si="10"/>
        <v>5.0340749381331499E-7</v>
      </c>
      <c r="O52" s="29">
        <f t="shared" si="11"/>
        <v>2.032E-3</v>
      </c>
      <c r="P52" s="29">
        <v>1.5574793265181801E-10</v>
      </c>
      <c r="Q52" s="16">
        <v>0.04</v>
      </c>
      <c r="R52" s="16">
        <f t="shared" si="12"/>
        <v>104000</v>
      </c>
      <c r="S52" s="16">
        <f t="shared" si="13"/>
        <v>5.3058450282772E-3</v>
      </c>
      <c r="T52" s="16">
        <v>0.13</v>
      </c>
      <c r="U52" s="16">
        <f t="shared" si="14"/>
        <v>112999.99999999999</v>
      </c>
      <c r="V52" s="16">
        <f t="shared" si="19"/>
        <v>13.500702970297029</v>
      </c>
      <c r="W52" s="2">
        <f t="shared" si="15"/>
        <v>5</v>
      </c>
      <c r="X52" s="12">
        <f t="shared" si="20"/>
        <v>6.136468537826242E-7</v>
      </c>
      <c r="Y52" s="2">
        <f t="shared" si="16"/>
        <v>98900.330882989147</v>
      </c>
      <c r="Z52" s="12">
        <f t="shared" si="17"/>
        <v>3.2925669700740146E-14</v>
      </c>
      <c r="AA52" s="12">
        <f t="shared" si="18"/>
        <v>19827838293.785717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1">
        <v>153</v>
      </c>
      <c r="B53" s="1">
        <f t="shared" si="3"/>
        <v>2.5499999999999998</v>
      </c>
      <c r="C53" s="1">
        <v>20</v>
      </c>
      <c r="D53" s="1">
        <f t="shared" si="0"/>
        <v>29.146000000000001</v>
      </c>
      <c r="E53" s="1">
        <f t="shared" si="4"/>
        <v>4.8576666666666667E-7</v>
      </c>
      <c r="F53" s="1">
        <v>21.1</v>
      </c>
      <c r="G53" s="1">
        <f t="shared" si="5"/>
        <v>294.10000000000002</v>
      </c>
      <c r="H53" s="1">
        <v>101.3</v>
      </c>
      <c r="I53" s="1">
        <f t="shared" si="6"/>
        <v>101300</v>
      </c>
      <c r="J53" s="1">
        <f t="shared" si="7"/>
        <v>2.0124824921938581E-5</v>
      </c>
      <c r="K53" s="28">
        <v>121.87623762376241</v>
      </c>
      <c r="L53" s="2">
        <f t="shared" si="8"/>
        <v>1.2187623762376241E-4</v>
      </c>
      <c r="M53" s="3">
        <f t="shared" si="9"/>
        <v>4.7762865441819992E-3</v>
      </c>
      <c r="N53" s="64">
        <f t="shared" si="10"/>
        <v>5.1352403622234211E-7</v>
      </c>
      <c r="O53" s="29">
        <f t="shared" si="11"/>
        <v>2.032E-3</v>
      </c>
      <c r="P53" s="29">
        <v>1.5574793265181801E-10</v>
      </c>
      <c r="Q53" s="16">
        <v>0.04</v>
      </c>
      <c r="R53" s="16">
        <f t="shared" si="12"/>
        <v>104000</v>
      </c>
      <c r="S53" s="16">
        <f t="shared" si="13"/>
        <v>5.3058450282772E-3</v>
      </c>
      <c r="T53" s="16">
        <v>0.13</v>
      </c>
      <c r="U53" s="16">
        <f t="shared" si="14"/>
        <v>112999.99999999999</v>
      </c>
      <c r="V53" s="16">
        <f t="shared" si="19"/>
        <v>13.772014851485149</v>
      </c>
      <c r="W53" s="2">
        <f t="shared" si="15"/>
        <v>5</v>
      </c>
      <c r="X53" s="12">
        <f t="shared" si="20"/>
        <v>6.2657914276995147E-7</v>
      </c>
      <c r="Y53" s="2">
        <f t="shared" si="16"/>
        <v>98794.237288324817</v>
      </c>
      <c r="Z53" s="12">
        <f t="shared" si="17"/>
        <v>3.3655761999947895E-14</v>
      </c>
      <c r="AA53" s="12">
        <f t="shared" si="18"/>
        <v>20267499876.368622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1">
        <v>156</v>
      </c>
      <c r="B54" s="1">
        <f t="shared" si="3"/>
        <v>2.6</v>
      </c>
      <c r="C54" s="1">
        <v>20</v>
      </c>
      <c r="D54" s="1">
        <f t="shared" si="0"/>
        <v>29.146000000000001</v>
      </c>
      <c r="E54" s="1">
        <f t="shared" si="4"/>
        <v>4.8576666666666667E-7</v>
      </c>
      <c r="F54" s="1">
        <v>21.1</v>
      </c>
      <c r="G54" s="1">
        <f t="shared" si="5"/>
        <v>294.10000000000002</v>
      </c>
      <c r="H54" s="1">
        <v>101.3</v>
      </c>
      <c r="I54" s="1">
        <f t="shared" si="6"/>
        <v>101300</v>
      </c>
      <c r="J54" s="1">
        <f t="shared" si="7"/>
        <v>2.0124824921938581E-5</v>
      </c>
      <c r="K54" s="28">
        <v>127.8910891089109</v>
      </c>
      <c r="L54" s="2">
        <f t="shared" si="8"/>
        <v>1.2789108910891091E-4</v>
      </c>
      <c r="M54" s="3">
        <f t="shared" si="9"/>
        <v>4.7762865441819992E-3</v>
      </c>
      <c r="N54" s="64">
        <f t="shared" si="10"/>
        <v>5.388675393707293E-7</v>
      </c>
      <c r="O54" s="29">
        <f t="shared" si="11"/>
        <v>2.032E-3</v>
      </c>
      <c r="P54" s="29">
        <v>1.5574793265181801E-10</v>
      </c>
      <c r="Q54" s="16">
        <v>0.04</v>
      </c>
      <c r="R54" s="16">
        <f t="shared" si="12"/>
        <v>104000</v>
      </c>
      <c r="S54" s="16">
        <f t="shared" si="13"/>
        <v>5.3058450282772E-3</v>
      </c>
      <c r="T54" s="16">
        <v>0.13</v>
      </c>
      <c r="U54" s="16">
        <f t="shared" si="14"/>
        <v>112999.99999999999</v>
      </c>
      <c r="V54" s="16">
        <f t="shared" si="19"/>
        <v>14.451693069306931</v>
      </c>
      <c r="W54" s="2">
        <f t="shared" si="15"/>
        <v>5</v>
      </c>
      <c r="X54" s="12">
        <f t="shared" si="20"/>
        <v>6.588570859421679E-7</v>
      </c>
      <c r="Y54" s="2">
        <f t="shared" si="16"/>
        <v>98529.684687624394</v>
      </c>
      <c r="Z54" s="12">
        <f t="shared" si="17"/>
        <v>3.5484802578548105E-14</v>
      </c>
      <c r="AA54" s="12">
        <f t="shared" si="18"/>
        <v>21368948112.80167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1">
        <v>159</v>
      </c>
      <c r="B55" s="1">
        <f t="shared" si="3"/>
        <v>2.65</v>
      </c>
      <c r="C55" s="1">
        <v>20</v>
      </c>
      <c r="D55" s="1">
        <f t="shared" si="0"/>
        <v>29.146000000000001</v>
      </c>
      <c r="E55" s="1">
        <f t="shared" si="4"/>
        <v>4.8576666666666667E-7</v>
      </c>
      <c r="F55" s="1">
        <v>21.1</v>
      </c>
      <c r="G55" s="1">
        <f t="shared" si="5"/>
        <v>294.10000000000002</v>
      </c>
      <c r="H55" s="1">
        <v>101.3</v>
      </c>
      <c r="I55" s="1">
        <f t="shared" si="6"/>
        <v>101300</v>
      </c>
      <c r="J55" s="1">
        <f t="shared" si="7"/>
        <v>2.0124824921938581E-5</v>
      </c>
      <c r="K55" s="28">
        <v>122.14851485148516</v>
      </c>
      <c r="L55" s="2">
        <f t="shared" si="8"/>
        <v>1.2214851485148516E-4</v>
      </c>
      <c r="M55" s="3">
        <f t="shared" si="9"/>
        <v>4.7762865441819992E-3</v>
      </c>
      <c r="N55" s="64">
        <f t="shared" si="10"/>
        <v>5.1467127299037601E-7</v>
      </c>
      <c r="O55" s="29">
        <f t="shared" si="11"/>
        <v>2.032E-3</v>
      </c>
      <c r="P55" s="29">
        <v>1.5574793265181801E-10</v>
      </c>
      <c r="Q55" s="16">
        <v>0.04</v>
      </c>
      <c r="R55" s="16">
        <f t="shared" si="12"/>
        <v>104000</v>
      </c>
      <c r="S55" s="16">
        <f t="shared" si="13"/>
        <v>5.3058450282772E-3</v>
      </c>
      <c r="T55" s="16">
        <v>0.13</v>
      </c>
      <c r="U55" s="16">
        <f t="shared" si="14"/>
        <v>112999.99999999999</v>
      </c>
      <c r="V55" s="16">
        <f t="shared" si="19"/>
        <v>13.802782178217821</v>
      </c>
      <c r="W55" s="2">
        <f t="shared" si="15"/>
        <v>5</v>
      </c>
      <c r="X55" s="12">
        <f t="shared" si="20"/>
        <v>6.2804393329709138E-7</v>
      </c>
      <c r="Y55" s="2">
        <f t="shared" si="16"/>
        <v>98782.224065441653</v>
      </c>
      <c r="Z55" s="12">
        <f t="shared" si="17"/>
        <v>3.3738554668876712E-14</v>
      </c>
      <c r="AA55" s="12">
        <f t="shared" si="18"/>
        <v>20317357621.597557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1">
        <v>162</v>
      </c>
      <c r="B56" s="1">
        <f t="shared" si="3"/>
        <v>2.7</v>
      </c>
      <c r="C56" s="1">
        <v>20</v>
      </c>
      <c r="D56" s="1">
        <f t="shared" si="0"/>
        <v>29.146000000000001</v>
      </c>
      <c r="E56" s="1">
        <f t="shared" si="4"/>
        <v>4.8576666666666667E-7</v>
      </c>
      <c r="F56" s="1">
        <v>21.1</v>
      </c>
      <c r="G56" s="1">
        <f t="shared" si="5"/>
        <v>294.10000000000002</v>
      </c>
      <c r="H56" s="1">
        <v>101.3</v>
      </c>
      <c r="I56" s="1">
        <f t="shared" si="6"/>
        <v>101300</v>
      </c>
      <c r="J56" s="1">
        <f t="shared" si="7"/>
        <v>2.0124824921938581E-5</v>
      </c>
      <c r="K56" s="28">
        <v>131.20792079207922</v>
      </c>
      <c r="L56" s="2">
        <f t="shared" si="8"/>
        <v>1.3120792079207921E-4</v>
      </c>
      <c r="M56" s="3">
        <f t="shared" si="9"/>
        <v>4.7762865441819992E-3</v>
      </c>
      <c r="N56" s="64">
        <f t="shared" si="10"/>
        <v>5.5284296909041604E-7</v>
      </c>
      <c r="O56" s="29">
        <f t="shared" si="11"/>
        <v>2.032E-3</v>
      </c>
      <c r="P56" s="29">
        <v>1.5574793265181801E-10</v>
      </c>
      <c r="Q56" s="16">
        <v>0.04</v>
      </c>
      <c r="R56" s="16">
        <f t="shared" si="12"/>
        <v>104000</v>
      </c>
      <c r="S56" s="16">
        <f t="shared" si="13"/>
        <v>5.3058450282772E-3</v>
      </c>
      <c r="T56" s="16">
        <v>0.13</v>
      </c>
      <c r="U56" s="16">
        <f t="shared" si="14"/>
        <v>112999.99999999999</v>
      </c>
      <c r="V56" s="16">
        <f t="shared" si="19"/>
        <v>14.826495049504949</v>
      </c>
      <c r="W56" s="2">
        <f t="shared" si="15"/>
        <v>5</v>
      </c>
      <c r="X56" s="12">
        <f t="shared" si="20"/>
        <v>6.7658675766523378E-7</v>
      </c>
      <c r="Y56" s="2">
        <f t="shared" si="16"/>
        <v>98384.521799402268</v>
      </c>
      <c r="Z56" s="12">
        <f t="shared" si="17"/>
        <v>3.6493601746445823E-14</v>
      </c>
      <c r="AA56" s="12">
        <f t="shared" si="18"/>
        <v>21976446971.709675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1">
        <v>165</v>
      </c>
      <c r="B57" s="1">
        <f t="shared" si="3"/>
        <v>2.75</v>
      </c>
      <c r="C57" s="1">
        <v>20</v>
      </c>
      <c r="D57" s="1">
        <f t="shared" si="0"/>
        <v>29.146000000000001</v>
      </c>
      <c r="E57" s="1">
        <f t="shared" si="4"/>
        <v>4.8576666666666667E-7</v>
      </c>
      <c r="F57" s="1">
        <v>21.1</v>
      </c>
      <c r="G57" s="1">
        <f t="shared" si="5"/>
        <v>294.10000000000002</v>
      </c>
      <c r="H57" s="1">
        <v>101.3</v>
      </c>
      <c r="I57" s="1">
        <f t="shared" si="6"/>
        <v>101300</v>
      </c>
      <c r="J57" s="1">
        <f t="shared" si="7"/>
        <v>2.0124824921938581E-5</v>
      </c>
      <c r="K57" s="28">
        <v>117.66831683168317</v>
      </c>
      <c r="L57" s="2">
        <f t="shared" si="8"/>
        <v>1.1766831683168318E-4</v>
      </c>
      <c r="M57" s="3">
        <f t="shared" si="9"/>
        <v>4.7762865441819992E-3</v>
      </c>
      <c r="N57" s="64">
        <f t="shared" si="10"/>
        <v>4.9579401344363496E-7</v>
      </c>
      <c r="O57" s="29">
        <f t="shared" si="11"/>
        <v>2.032E-3</v>
      </c>
      <c r="P57" s="29">
        <v>1.5574793265181801E-10</v>
      </c>
      <c r="Q57" s="16">
        <v>0.04</v>
      </c>
      <c r="R57" s="16">
        <f t="shared" si="12"/>
        <v>104000</v>
      </c>
      <c r="S57" s="16">
        <f t="shared" si="13"/>
        <v>5.3058450282772E-3</v>
      </c>
      <c r="T57" s="16">
        <v>0.13</v>
      </c>
      <c r="U57" s="16">
        <f t="shared" si="14"/>
        <v>112999.99999999999</v>
      </c>
      <c r="V57" s="16">
        <f t="shared" si="19"/>
        <v>13.296519801980198</v>
      </c>
      <c r="W57" s="2">
        <f t="shared" si="15"/>
        <v>5</v>
      </c>
      <c r="X57" s="12">
        <f t="shared" si="20"/>
        <v>6.0389559943539471E-7</v>
      </c>
      <c r="Y57" s="2">
        <f t="shared" si="16"/>
        <v>98980.365634626782</v>
      </c>
      <c r="Z57" s="12">
        <f t="shared" si="17"/>
        <v>3.23761882868854E-14</v>
      </c>
      <c r="AA57" s="12">
        <f t="shared" si="18"/>
        <v>19496940586.362389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1">
        <v>168</v>
      </c>
      <c r="B58" s="1">
        <f t="shared" si="3"/>
        <v>2.8</v>
      </c>
      <c r="C58" s="1">
        <v>20</v>
      </c>
      <c r="D58" s="1">
        <f t="shared" si="0"/>
        <v>29.146000000000001</v>
      </c>
      <c r="E58" s="1">
        <f t="shared" si="4"/>
        <v>4.8576666666666667E-7</v>
      </c>
      <c r="F58" s="1">
        <v>21.1</v>
      </c>
      <c r="G58" s="1">
        <f t="shared" si="5"/>
        <v>294.10000000000002</v>
      </c>
      <c r="H58" s="1">
        <v>101.3</v>
      </c>
      <c r="I58" s="1">
        <f t="shared" si="6"/>
        <v>101300</v>
      </c>
      <c r="J58" s="1">
        <f t="shared" si="7"/>
        <v>2.0124824921938581E-5</v>
      </c>
      <c r="K58" s="28">
        <v>125.53960396039606</v>
      </c>
      <c r="L58" s="2">
        <f t="shared" si="8"/>
        <v>1.2553960396039608E-4</v>
      </c>
      <c r="M58" s="3">
        <f t="shared" si="9"/>
        <v>4.7762865441819992E-3</v>
      </c>
      <c r="N58" s="64">
        <f t="shared" si="10"/>
        <v>5.2895958546498135E-7</v>
      </c>
      <c r="O58" s="29">
        <f t="shared" si="11"/>
        <v>2.032E-3</v>
      </c>
      <c r="P58" s="29">
        <v>1.5574793265181801E-10</v>
      </c>
      <c r="Q58" s="16">
        <v>0.04</v>
      </c>
      <c r="R58" s="16">
        <f t="shared" si="12"/>
        <v>104000</v>
      </c>
      <c r="S58" s="16">
        <f t="shared" si="13"/>
        <v>5.3058450282772E-3</v>
      </c>
      <c r="T58" s="16">
        <v>0.13</v>
      </c>
      <c r="U58" s="16">
        <f t="shared" si="14"/>
        <v>112999.99999999999</v>
      </c>
      <c r="V58" s="16">
        <f t="shared" si="19"/>
        <v>14.185975247524755</v>
      </c>
      <c r="W58" s="2">
        <f t="shared" si="15"/>
        <v>5</v>
      </c>
      <c r="X58" s="12">
        <f t="shared" si="20"/>
        <v>6.4625796831639016E-7</v>
      </c>
      <c r="Y58" s="2">
        <f t="shared" si="16"/>
        <v>98632.905859257182</v>
      </c>
      <c r="Z58" s="12">
        <f t="shared" si="17"/>
        <v>3.4769713419612364E-14</v>
      </c>
      <c r="AA58" s="12">
        <f t="shared" si="18"/>
        <v>20938321421.290565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1">
        <v>171</v>
      </c>
      <c r="B59" s="1">
        <f t="shared" si="3"/>
        <v>2.85</v>
      </c>
      <c r="C59" s="1">
        <v>20</v>
      </c>
      <c r="D59" s="1">
        <f t="shared" si="0"/>
        <v>29.146000000000001</v>
      </c>
      <c r="E59" s="1">
        <f t="shared" si="4"/>
        <v>4.8576666666666667E-7</v>
      </c>
      <c r="F59" s="1">
        <v>21.1</v>
      </c>
      <c r="G59" s="1">
        <f t="shared" si="5"/>
        <v>294.10000000000002</v>
      </c>
      <c r="H59" s="1">
        <v>101.3</v>
      </c>
      <c r="I59" s="1">
        <f t="shared" si="6"/>
        <v>101300</v>
      </c>
      <c r="J59" s="1">
        <f t="shared" si="7"/>
        <v>2.0124824921938581E-5</v>
      </c>
      <c r="K59" s="28">
        <v>123.18811881188121</v>
      </c>
      <c r="L59" s="2">
        <f t="shared" si="8"/>
        <v>1.2318811881188122E-4</v>
      </c>
      <c r="M59" s="3">
        <f t="shared" si="9"/>
        <v>4.7762865441819992E-3</v>
      </c>
      <c r="N59" s="64">
        <f t="shared" si="10"/>
        <v>5.1905163155923319E-7</v>
      </c>
      <c r="O59" s="29">
        <f t="shared" si="11"/>
        <v>2.032E-3</v>
      </c>
      <c r="P59" s="29">
        <v>1.5574793265181801E-10</v>
      </c>
      <c r="Q59" s="16">
        <v>0.04</v>
      </c>
      <c r="R59" s="16">
        <f t="shared" si="12"/>
        <v>104000</v>
      </c>
      <c r="S59" s="16">
        <f t="shared" si="13"/>
        <v>5.3058450282772E-3</v>
      </c>
      <c r="T59" s="16">
        <v>0.13</v>
      </c>
      <c r="U59" s="16">
        <f t="shared" si="14"/>
        <v>112999.99999999999</v>
      </c>
      <c r="V59" s="16">
        <f t="shared" si="19"/>
        <v>13.920257425742577</v>
      </c>
      <c r="W59" s="2">
        <f t="shared" si="15"/>
        <v>5</v>
      </c>
      <c r="X59" s="12">
        <f t="shared" si="20"/>
        <v>6.3363352631250753E-7</v>
      </c>
      <c r="Y59" s="2">
        <f t="shared" si="16"/>
        <v>98736.388709446561</v>
      </c>
      <c r="Z59" s="12">
        <f t="shared" si="17"/>
        <v>3.4054672133414935E-14</v>
      </c>
      <c r="AA59" s="12">
        <f t="shared" si="18"/>
        <v>20507723558.742474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1">
        <v>174</v>
      </c>
      <c r="B60" s="1">
        <f t="shared" si="3"/>
        <v>2.9</v>
      </c>
      <c r="C60" s="1">
        <v>20</v>
      </c>
      <c r="D60" s="1">
        <f t="shared" si="0"/>
        <v>29.146000000000001</v>
      </c>
      <c r="E60" s="1">
        <f t="shared" si="4"/>
        <v>4.8576666666666667E-7</v>
      </c>
      <c r="F60" s="1">
        <v>21.1</v>
      </c>
      <c r="G60" s="1">
        <f t="shared" si="5"/>
        <v>294.10000000000002</v>
      </c>
      <c r="H60" s="1">
        <v>101.3</v>
      </c>
      <c r="I60" s="1">
        <f t="shared" si="6"/>
        <v>101300</v>
      </c>
      <c r="J60" s="1">
        <f t="shared" si="7"/>
        <v>2.0124824921938581E-5</v>
      </c>
      <c r="K60" s="28">
        <v>118.88118811881189</v>
      </c>
      <c r="L60" s="2">
        <f t="shared" si="8"/>
        <v>1.1888118811881189E-4</v>
      </c>
      <c r="M60" s="3">
        <f t="shared" si="9"/>
        <v>4.7762865441819992E-3</v>
      </c>
      <c r="N60" s="64">
        <f t="shared" si="10"/>
        <v>5.0090443177396812E-7</v>
      </c>
      <c r="O60" s="29">
        <f t="shared" si="11"/>
        <v>2.032E-3</v>
      </c>
      <c r="P60" s="29">
        <v>1.5574793265181801E-10</v>
      </c>
      <c r="Q60" s="16">
        <v>0.04</v>
      </c>
      <c r="R60" s="16">
        <f t="shared" si="12"/>
        <v>104000</v>
      </c>
      <c r="S60" s="16">
        <f t="shared" si="13"/>
        <v>5.3058450282772E-3</v>
      </c>
      <c r="T60" s="16">
        <v>0.13</v>
      </c>
      <c r="U60" s="16">
        <f t="shared" si="14"/>
        <v>112999.99999999999</v>
      </c>
      <c r="V60" s="16">
        <f t="shared" si="19"/>
        <v>13.433574257425741</v>
      </c>
      <c r="W60" s="2">
        <f t="shared" si="15"/>
        <v>5</v>
      </c>
      <c r="X60" s="12">
        <f t="shared" si="20"/>
        <v>6.1044275693308016E-7</v>
      </c>
      <c r="Y60" s="2">
        <f t="shared" si="16"/>
        <v>98926.625374652431</v>
      </c>
      <c r="Z60" s="12">
        <f t="shared" si="17"/>
        <v>3.2745022256053376E-14</v>
      </c>
      <c r="AA60" s="12">
        <f t="shared" si="18"/>
        <v>19719052402.595345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1">
        <v>177</v>
      </c>
      <c r="B61" s="1">
        <f t="shared" si="3"/>
        <v>2.95</v>
      </c>
      <c r="C61" s="1">
        <v>20</v>
      </c>
      <c r="D61" s="1">
        <f t="shared" si="0"/>
        <v>29.146000000000001</v>
      </c>
      <c r="E61" s="1">
        <f t="shared" si="4"/>
        <v>4.8576666666666667E-7</v>
      </c>
      <c r="F61" s="1">
        <v>21.1</v>
      </c>
      <c r="G61" s="1">
        <f t="shared" si="5"/>
        <v>294.10000000000002</v>
      </c>
      <c r="H61" s="1">
        <v>101.3</v>
      </c>
      <c r="I61" s="1">
        <f t="shared" si="6"/>
        <v>101300</v>
      </c>
      <c r="J61" s="1">
        <f t="shared" si="7"/>
        <v>2.0124824921938581E-5</v>
      </c>
      <c r="K61" s="28">
        <v>123.58415841584161</v>
      </c>
      <c r="L61" s="2">
        <f t="shared" si="8"/>
        <v>1.235841584158416E-4</v>
      </c>
      <c r="M61" s="3">
        <f t="shared" si="9"/>
        <v>4.7762865441819992E-3</v>
      </c>
      <c r="N61" s="64">
        <f t="shared" si="10"/>
        <v>5.2072033958546444E-7</v>
      </c>
      <c r="O61" s="29">
        <f t="shared" si="11"/>
        <v>2.032E-3</v>
      </c>
      <c r="P61" s="29">
        <v>1.5574793265181801E-10</v>
      </c>
      <c r="Q61" s="16">
        <v>0.04</v>
      </c>
      <c r="R61" s="16">
        <f t="shared" si="12"/>
        <v>104000</v>
      </c>
      <c r="S61" s="16">
        <f t="shared" si="13"/>
        <v>5.3058450282772E-3</v>
      </c>
      <c r="T61" s="16">
        <v>0.13</v>
      </c>
      <c r="U61" s="16">
        <f t="shared" si="14"/>
        <v>112999.99999999999</v>
      </c>
      <c r="V61" s="16">
        <f t="shared" si="19"/>
        <v>13.965009900990099</v>
      </c>
      <c r="W61" s="2">
        <f t="shared" si="15"/>
        <v>5</v>
      </c>
      <c r="X61" s="12">
        <f t="shared" si="20"/>
        <v>6.3576155225289565E-7</v>
      </c>
      <c r="Y61" s="2">
        <f t="shared" si="16"/>
        <v>98718.941428322578</v>
      </c>
      <c r="Z61" s="12">
        <f t="shared" si="17"/>
        <v>3.4175098293841061E-14</v>
      </c>
      <c r="AA61" s="12">
        <f t="shared" si="18"/>
        <v>20580244192.551086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1">
        <v>180</v>
      </c>
      <c r="B62" s="1">
        <f t="shared" si="3"/>
        <v>3</v>
      </c>
      <c r="C62" s="1">
        <v>20</v>
      </c>
      <c r="D62" s="1">
        <f t="shared" si="0"/>
        <v>29.146000000000001</v>
      </c>
      <c r="E62" s="1">
        <f t="shared" si="4"/>
        <v>4.8576666666666667E-7</v>
      </c>
      <c r="F62" s="1">
        <v>21.1</v>
      </c>
      <c r="G62" s="1">
        <f t="shared" si="5"/>
        <v>294.10000000000002</v>
      </c>
      <c r="H62" s="1">
        <v>101.3</v>
      </c>
      <c r="I62" s="1">
        <f t="shared" si="6"/>
        <v>101300</v>
      </c>
      <c r="J62" s="1">
        <f t="shared" si="7"/>
        <v>2.0124824921938581E-5</v>
      </c>
      <c r="K62" s="28">
        <v>124.54950495049506</v>
      </c>
      <c r="L62" s="2">
        <f t="shared" si="8"/>
        <v>1.2454950495049508E-4</v>
      </c>
      <c r="M62" s="3">
        <f t="shared" si="9"/>
        <v>4.7762865441819992E-3</v>
      </c>
      <c r="N62" s="64">
        <f t="shared" si="10"/>
        <v>5.2478781539940313E-7</v>
      </c>
      <c r="O62" s="29">
        <f t="shared" si="11"/>
        <v>2.032E-3</v>
      </c>
      <c r="P62" s="29">
        <v>1.5574793265181801E-10</v>
      </c>
      <c r="Q62" s="16">
        <v>0.04</v>
      </c>
      <c r="R62" s="16">
        <f t="shared" si="12"/>
        <v>104000</v>
      </c>
      <c r="S62" s="16">
        <f t="shared" si="13"/>
        <v>5.3058450282772E-3</v>
      </c>
      <c r="T62" s="16">
        <v>0.13</v>
      </c>
      <c r="U62" s="16">
        <f t="shared" si="14"/>
        <v>112999.99999999999</v>
      </c>
      <c r="V62" s="16">
        <f t="shared" si="19"/>
        <v>14.074094059405942</v>
      </c>
      <c r="W62" s="2">
        <f t="shared" si="15"/>
        <v>5</v>
      </c>
      <c r="X62" s="12">
        <f t="shared" si="20"/>
        <v>6.4094554170124609E-7</v>
      </c>
      <c r="Y62" s="2">
        <f t="shared" si="16"/>
        <v>98676.445334076983</v>
      </c>
      <c r="Z62" s="12">
        <f t="shared" si="17"/>
        <v>3.4468639594713511E-14</v>
      </c>
      <c r="AA62" s="12">
        <f t="shared" si="18"/>
        <v>20757014763.936478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1">
        <v>183</v>
      </c>
      <c r="B63" s="1">
        <f t="shared" si="3"/>
        <v>3.05</v>
      </c>
      <c r="C63" s="1">
        <v>20</v>
      </c>
      <c r="D63" s="1">
        <f t="shared" si="0"/>
        <v>29.146000000000001</v>
      </c>
      <c r="E63" s="1">
        <f t="shared" si="4"/>
        <v>4.8576666666666667E-7</v>
      </c>
      <c r="F63" s="1">
        <v>21.1</v>
      </c>
      <c r="G63" s="1">
        <f t="shared" si="5"/>
        <v>294.10000000000002</v>
      </c>
      <c r="H63" s="1">
        <v>101.3</v>
      </c>
      <c r="I63" s="1">
        <f t="shared" si="6"/>
        <v>101300</v>
      </c>
      <c r="J63" s="1">
        <f t="shared" si="7"/>
        <v>2.0124824921938581E-5</v>
      </c>
      <c r="K63" s="28">
        <v>119.87128712871289</v>
      </c>
      <c r="L63" s="2">
        <f t="shared" si="8"/>
        <v>1.1987128712871289E-4</v>
      </c>
      <c r="M63" s="3">
        <f t="shared" si="9"/>
        <v>4.7762865441819992E-3</v>
      </c>
      <c r="N63" s="64">
        <f t="shared" si="10"/>
        <v>5.0507620183954634E-7</v>
      </c>
      <c r="O63" s="29">
        <f t="shared" si="11"/>
        <v>2.032E-3</v>
      </c>
      <c r="P63" s="29">
        <v>1.5574793265181801E-10</v>
      </c>
      <c r="Q63" s="16">
        <v>0.04</v>
      </c>
      <c r="R63" s="16">
        <f t="shared" si="12"/>
        <v>104000</v>
      </c>
      <c r="S63" s="16">
        <f t="shared" si="13"/>
        <v>5.3058450282772E-3</v>
      </c>
      <c r="T63" s="16">
        <v>0.13</v>
      </c>
      <c r="U63" s="16">
        <f t="shared" si="14"/>
        <v>112999.99999999999</v>
      </c>
      <c r="V63" s="16">
        <f t="shared" si="19"/>
        <v>13.545455445544555</v>
      </c>
      <c r="W63" s="2">
        <f t="shared" si="15"/>
        <v>5</v>
      </c>
      <c r="X63" s="12">
        <f t="shared" si="20"/>
        <v>6.1578195049348346E-7</v>
      </c>
      <c r="Y63" s="2">
        <f t="shared" si="16"/>
        <v>98882.811105029192</v>
      </c>
      <c r="Z63" s="12">
        <f t="shared" si="17"/>
        <v>3.3046099604993323E-14</v>
      </c>
      <c r="AA63" s="12">
        <f t="shared" si="18"/>
        <v>19900361182.12698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1">
        <v>186</v>
      </c>
      <c r="B64" s="1">
        <f t="shared" si="3"/>
        <v>3.1</v>
      </c>
      <c r="C64" s="1">
        <v>20</v>
      </c>
      <c r="D64" s="1">
        <f t="shared" si="0"/>
        <v>29.146000000000001</v>
      </c>
      <c r="E64" s="1">
        <f t="shared" si="4"/>
        <v>4.8576666666666667E-7</v>
      </c>
      <c r="F64" s="1">
        <v>21.1</v>
      </c>
      <c r="G64" s="1">
        <f t="shared" si="5"/>
        <v>294.10000000000002</v>
      </c>
      <c r="H64" s="1">
        <v>101.3</v>
      </c>
      <c r="I64" s="1">
        <f t="shared" si="6"/>
        <v>101300</v>
      </c>
      <c r="J64" s="1">
        <f t="shared" si="7"/>
        <v>2.0124824921938581E-5</v>
      </c>
      <c r="K64" s="28">
        <v>124.62376237623765</v>
      </c>
      <c r="L64" s="2">
        <f t="shared" si="8"/>
        <v>1.2462376237623766E-4</v>
      </c>
      <c r="M64" s="3">
        <f t="shared" si="9"/>
        <v>4.7762865441819992E-3</v>
      </c>
      <c r="N64" s="64">
        <f t="shared" si="10"/>
        <v>5.2510069815432152E-7</v>
      </c>
      <c r="O64" s="29">
        <f t="shared" si="11"/>
        <v>2.032E-3</v>
      </c>
      <c r="P64" s="29">
        <v>1.5574793265181801E-10</v>
      </c>
      <c r="Q64" s="16">
        <v>0.04</v>
      </c>
      <c r="R64" s="16">
        <f t="shared" si="12"/>
        <v>104000</v>
      </c>
      <c r="S64" s="16">
        <f t="shared" si="13"/>
        <v>5.3058450282772E-3</v>
      </c>
      <c r="T64" s="16">
        <v>0.13</v>
      </c>
      <c r="U64" s="16">
        <f t="shared" si="14"/>
        <v>112999.99999999999</v>
      </c>
      <c r="V64" s="16">
        <f t="shared" si="19"/>
        <v>14.082485148514854</v>
      </c>
      <c r="W64" s="2">
        <f t="shared" si="15"/>
        <v>5</v>
      </c>
      <c r="X64" s="12">
        <f t="shared" si="20"/>
        <v>6.4134413060523426E-7</v>
      </c>
      <c r="Y64" s="2">
        <f t="shared" si="16"/>
        <v>98673.178254096274</v>
      </c>
      <c r="Z64" s="12">
        <f t="shared" si="17"/>
        <v>3.4491219894776035E-14</v>
      </c>
      <c r="AA64" s="12">
        <f t="shared" si="18"/>
        <v>20770612620.634129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1">
        <v>189</v>
      </c>
      <c r="B65" s="1">
        <f t="shared" si="3"/>
        <v>3.15</v>
      </c>
      <c r="C65" s="1">
        <v>20</v>
      </c>
      <c r="D65" s="1">
        <f t="shared" si="0"/>
        <v>29.146000000000001</v>
      </c>
      <c r="E65" s="1">
        <f t="shared" si="4"/>
        <v>4.8576666666666667E-7</v>
      </c>
      <c r="F65" s="1">
        <v>21.1</v>
      </c>
      <c r="G65" s="1">
        <f t="shared" si="5"/>
        <v>294.10000000000002</v>
      </c>
      <c r="H65" s="1">
        <v>101.3</v>
      </c>
      <c r="I65" s="1">
        <f t="shared" si="6"/>
        <v>101300</v>
      </c>
      <c r="J65" s="1">
        <f t="shared" si="7"/>
        <v>2.0124824921938581E-5</v>
      </c>
      <c r="K65" s="28">
        <v>128.23762376237624</v>
      </c>
      <c r="L65" s="2">
        <f t="shared" si="8"/>
        <v>1.2823762376237624E-4</v>
      </c>
      <c r="M65" s="3">
        <f t="shared" si="9"/>
        <v>4.7762865441819992E-3</v>
      </c>
      <c r="N65" s="64">
        <f t="shared" si="10"/>
        <v>5.4032765889368159E-7</v>
      </c>
      <c r="O65" s="29">
        <f t="shared" si="11"/>
        <v>2.032E-3</v>
      </c>
      <c r="P65" s="29">
        <v>1.5574793265181801E-10</v>
      </c>
      <c r="Q65" s="16">
        <v>0.04</v>
      </c>
      <c r="R65" s="16">
        <f t="shared" si="12"/>
        <v>104000</v>
      </c>
      <c r="S65" s="16">
        <f t="shared" si="13"/>
        <v>5.3058450282772E-3</v>
      </c>
      <c r="T65" s="16">
        <v>0.13</v>
      </c>
      <c r="U65" s="16">
        <f t="shared" si="14"/>
        <v>112999.99999999999</v>
      </c>
      <c r="V65" s="16">
        <f t="shared" si="19"/>
        <v>14.490851485148513</v>
      </c>
      <c r="W65" s="2">
        <f t="shared" si="15"/>
        <v>5</v>
      </c>
      <c r="X65" s="12">
        <f t="shared" si="20"/>
        <v>6.6071169950613063E-7</v>
      </c>
      <c r="Y65" s="2">
        <f t="shared" si="16"/>
        <v>98514.494901895421</v>
      </c>
      <c r="Z65" s="12">
        <f t="shared" si="17"/>
        <v>3.5590190272023455E-14</v>
      </c>
      <c r="AA65" s="12">
        <f t="shared" si="18"/>
        <v>21432412581.812527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1">
        <v>192</v>
      </c>
      <c r="B66" s="1">
        <f t="shared" si="3"/>
        <v>3.2</v>
      </c>
      <c r="C66" s="1">
        <v>20</v>
      </c>
      <c r="D66" s="1">
        <f t="shared" ref="D66:D73" si="21">(C66*1.4573)</f>
        <v>29.146000000000001</v>
      </c>
      <c r="E66" s="1">
        <f t="shared" si="4"/>
        <v>4.8576666666666667E-7</v>
      </c>
      <c r="F66" s="1">
        <v>21.1</v>
      </c>
      <c r="G66" s="1">
        <f t="shared" si="5"/>
        <v>294.10000000000002</v>
      </c>
      <c r="H66" s="1">
        <v>101.3</v>
      </c>
      <c r="I66" s="1">
        <f t="shared" si="6"/>
        <v>101300</v>
      </c>
      <c r="J66" s="1">
        <f t="shared" si="7"/>
        <v>2.0124824921938581E-5</v>
      </c>
      <c r="K66" s="28">
        <v>120.88613861386141</v>
      </c>
      <c r="L66" s="2">
        <f t="shared" si="8"/>
        <v>1.208861386138614E-4</v>
      </c>
      <c r="M66" s="3">
        <f t="shared" si="9"/>
        <v>4.7762865441819992E-3</v>
      </c>
      <c r="N66" s="64">
        <f t="shared" si="10"/>
        <v>5.0935226615676399E-7</v>
      </c>
      <c r="O66" s="29">
        <f t="shared" si="11"/>
        <v>2.032E-3</v>
      </c>
      <c r="P66" s="29">
        <v>1.5574793265181801E-10</v>
      </c>
      <c r="Q66" s="16">
        <v>0.04</v>
      </c>
      <c r="R66" s="16">
        <f t="shared" si="12"/>
        <v>104000</v>
      </c>
      <c r="S66" s="16">
        <f t="shared" si="13"/>
        <v>5.3058450282772E-3</v>
      </c>
      <c r="T66" s="16">
        <v>0.13</v>
      </c>
      <c r="U66" s="16">
        <f t="shared" si="14"/>
        <v>112999.99999999999</v>
      </c>
      <c r="V66" s="16">
        <f t="shared" ref="V66:V73" si="22">(L66*U66)</f>
        <v>13.660133663366336</v>
      </c>
      <c r="W66" s="2">
        <f t="shared" si="15"/>
        <v>5</v>
      </c>
      <c r="X66" s="12">
        <f t="shared" ref="X66:X73" si="23">(N66+((P66/O66)*(SQRT(V66)-SQRT(W66))))</f>
        <v>6.2124963107337764E-7</v>
      </c>
      <c r="Y66" s="2">
        <f t="shared" si="16"/>
        <v>98837.952508405506</v>
      </c>
      <c r="Z66" s="12">
        <f t="shared" si="17"/>
        <v>3.3354696372125945E-14</v>
      </c>
      <c r="AA66" s="12">
        <f t="shared" si="18"/>
        <v>20086198155.294247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1">
        <v>195</v>
      </c>
      <c r="B67" s="1">
        <f t="shared" ref="B67:B73" si="24">(A67/60)</f>
        <v>3.25</v>
      </c>
      <c r="C67" s="1">
        <v>20</v>
      </c>
      <c r="D67" s="1">
        <f t="shared" si="21"/>
        <v>29.146000000000001</v>
      </c>
      <c r="E67" s="1">
        <f t="shared" ref="E67:E73" si="25">(D67/(1000000*60))</f>
        <v>4.8576666666666667E-7</v>
      </c>
      <c r="F67" s="1">
        <v>21.1</v>
      </c>
      <c r="G67" s="1">
        <f t="shared" ref="G67:G73" si="26">(273+F67)</f>
        <v>294.10000000000002</v>
      </c>
      <c r="H67" s="1">
        <v>101.3</v>
      </c>
      <c r="I67" s="1">
        <f t="shared" ref="I67:I73" si="27">(H67*1000)</f>
        <v>101300</v>
      </c>
      <c r="J67" s="1">
        <f t="shared" ref="J67:J73" si="28">((I67*E67)/(8.314*G67))</f>
        <v>2.0124824921938581E-5</v>
      </c>
      <c r="K67" s="28">
        <v>125.88613861386141</v>
      </c>
      <c r="L67" s="2">
        <f t="shared" ref="L67:L73" si="29">(K67/1000000)</f>
        <v>1.258861386138614E-4</v>
      </c>
      <c r="M67" s="3">
        <f t="shared" ref="M67:M73" si="30">(3.142*3.07*3.07*25.4*25.4)/(4*1000000)</f>
        <v>4.7762865441819992E-3</v>
      </c>
      <c r="N67" s="64">
        <f t="shared" ref="N67:N73" si="31">(L67*J67)/M67</f>
        <v>5.3041970498793354E-7</v>
      </c>
      <c r="O67" s="29">
        <f t="shared" ref="O67:O73" si="32">(2.032/1000)</f>
        <v>2.032E-3</v>
      </c>
      <c r="P67" s="29">
        <v>1.5574793265181801E-10</v>
      </c>
      <c r="Q67" s="16">
        <v>0.04</v>
      </c>
      <c r="R67" s="16">
        <f t="shared" ref="R67:R73" si="33">(1+Q67)*100000*1</f>
        <v>104000</v>
      </c>
      <c r="S67" s="16">
        <f t="shared" ref="S67:S73" si="34">(5.3058450282772/1000)</f>
        <v>5.3058450282772E-3</v>
      </c>
      <c r="T67" s="16">
        <v>0.13</v>
      </c>
      <c r="U67" s="16">
        <f t="shared" ref="U67:U73" si="35">(1+T67)*100000</f>
        <v>112999.99999999999</v>
      </c>
      <c r="V67" s="16">
        <f t="shared" si="22"/>
        <v>14.225133663366337</v>
      </c>
      <c r="W67" s="2">
        <f t="shared" ref="W67:W73" si="36">(50/1000000)*100000</f>
        <v>5</v>
      </c>
      <c r="X67" s="12">
        <f t="shared" si="23"/>
        <v>6.4811625433600767E-7</v>
      </c>
      <c r="Y67" s="2">
        <f t="shared" ref="Y67:Y73" si="37">(SQRT(R67)-(X67*O67/P67))^2</f>
        <v>98617.678025787696</v>
      </c>
      <c r="Z67" s="12">
        <f t="shared" ref="Z67:Z73" si="38">(X67*S67)/(Y67-V67)</f>
        <v>3.4875091134754898E-14</v>
      </c>
      <c r="AA67" s="12">
        <f t="shared" ref="AA67:AA73" si="39">(Z67*6.022E+23)</f>
        <v>21001779881.3494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1">
        <v>198</v>
      </c>
      <c r="B68" s="1">
        <f t="shared" si="24"/>
        <v>3.3</v>
      </c>
      <c r="C68" s="1">
        <v>20</v>
      </c>
      <c r="D68" s="1">
        <f t="shared" si="21"/>
        <v>29.146000000000001</v>
      </c>
      <c r="E68" s="1">
        <f t="shared" si="25"/>
        <v>4.8576666666666667E-7</v>
      </c>
      <c r="F68" s="1">
        <v>21.1</v>
      </c>
      <c r="G68" s="1">
        <f t="shared" si="26"/>
        <v>294.10000000000002</v>
      </c>
      <c r="H68" s="1">
        <v>101.3</v>
      </c>
      <c r="I68" s="1">
        <f t="shared" si="27"/>
        <v>101300</v>
      </c>
      <c r="J68" s="1">
        <f t="shared" si="28"/>
        <v>2.0124824921938581E-5</v>
      </c>
      <c r="K68" s="28">
        <v>125.1683168316832</v>
      </c>
      <c r="L68" s="2">
        <f t="shared" si="29"/>
        <v>1.251683168316832E-4</v>
      </c>
      <c r="M68" s="3">
        <f t="shared" si="30"/>
        <v>4.7762865441819992E-3</v>
      </c>
      <c r="N68" s="64">
        <f t="shared" si="31"/>
        <v>5.2739517169038943E-7</v>
      </c>
      <c r="O68" s="29">
        <f t="shared" si="32"/>
        <v>2.032E-3</v>
      </c>
      <c r="P68" s="29">
        <v>1.5574793265181801E-10</v>
      </c>
      <c r="Q68" s="16">
        <v>0.04</v>
      </c>
      <c r="R68" s="16">
        <f t="shared" si="33"/>
        <v>104000</v>
      </c>
      <c r="S68" s="16">
        <f t="shared" si="34"/>
        <v>5.3058450282772E-3</v>
      </c>
      <c r="T68" s="16">
        <v>0.13</v>
      </c>
      <c r="U68" s="16">
        <f t="shared" si="35"/>
        <v>112999.99999999999</v>
      </c>
      <c r="V68" s="16">
        <f t="shared" si="22"/>
        <v>14.1440198019802</v>
      </c>
      <c r="W68" s="2">
        <f t="shared" si="36"/>
        <v>5</v>
      </c>
      <c r="X68" s="12">
        <f t="shared" si="23"/>
        <v>6.4426633727578301E-7</v>
      </c>
      <c r="Y68" s="2">
        <f t="shared" si="37"/>
        <v>98649.227701457799</v>
      </c>
      <c r="Z68" s="12">
        <f t="shared" si="38"/>
        <v>3.4656809878662131E-14</v>
      </c>
      <c r="AA68" s="12">
        <f t="shared" si="39"/>
        <v>20870330908.930336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1">
        <v>201</v>
      </c>
      <c r="B69" s="1">
        <f t="shared" si="24"/>
        <v>3.35</v>
      </c>
      <c r="C69" s="1">
        <v>20</v>
      </c>
      <c r="D69" s="1">
        <f t="shared" si="21"/>
        <v>29.146000000000001</v>
      </c>
      <c r="E69" s="1">
        <f t="shared" si="25"/>
        <v>4.8576666666666667E-7</v>
      </c>
      <c r="F69" s="1">
        <v>21.1</v>
      </c>
      <c r="G69" s="1">
        <f t="shared" si="26"/>
        <v>294.10000000000002</v>
      </c>
      <c r="H69" s="1">
        <v>101.3</v>
      </c>
      <c r="I69" s="1">
        <f t="shared" si="27"/>
        <v>101300</v>
      </c>
      <c r="J69" s="1">
        <f t="shared" si="28"/>
        <v>2.0124824921938581E-5</v>
      </c>
      <c r="K69" s="28">
        <v>126.10891089108912</v>
      </c>
      <c r="L69" s="2">
        <f t="shared" si="29"/>
        <v>1.2610891089108911E-4</v>
      </c>
      <c r="M69" s="3">
        <f t="shared" si="30"/>
        <v>4.7762865441819992E-3</v>
      </c>
      <c r="N69" s="64">
        <f t="shared" si="31"/>
        <v>5.3135835325268859E-7</v>
      </c>
      <c r="O69" s="29">
        <f t="shared" si="32"/>
        <v>2.032E-3</v>
      </c>
      <c r="P69" s="29">
        <v>1.5574793265181801E-10</v>
      </c>
      <c r="Q69" s="16">
        <v>0.04</v>
      </c>
      <c r="R69" s="16">
        <f t="shared" si="33"/>
        <v>104000</v>
      </c>
      <c r="S69" s="16">
        <f t="shared" si="34"/>
        <v>5.3058450282772E-3</v>
      </c>
      <c r="T69" s="16">
        <v>0.13</v>
      </c>
      <c r="U69" s="16">
        <f t="shared" si="35"/>
        <v>112999.99999999999</v>
      </c>
      <c r="V69" s="16">
        <f t="shared" si="22"/>
        <v>14.250306930693068</v>
      </c>
      <c r="W69" s="2">
        <f t="shared" si="36"/>
        <v>5</v>
      </c>
      <c r="X69" s="12">
        <f t="shared" si="23"/>
        <v>6.4931057744097743E-7</v>
      </c>
      <c r="Y69" s="2">
        <f t="shared" si="37"/>
        <v>98607.891695831378</v>
      </c>
      <c r="Z69" s="12">
        <f t="shared" si="38"/>
        <v>3.4942834553941632E-14</v>
      </c>
      <c r="AA69" s="12">
        <f t="shared" si="39"/>
        <v>21042574968.383652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1">
        <v>204</v>
      </c>
      <c r="B70" s="1">
        <f t="shared" si="24"/>
        <v>3.4</v>
      </c>
      <c r="C70" s="1">
        <v>20</v>
      </c>
      <c r="D70" s="1">
        <f t="shared" si="21"/>
        <v>29.146000000000001</v>
      </c>
      <c r="E70" s="1">
        <f t="shared" si="25"/>
        <v>4.8576666666666667E-7</v>
      </c>
      <c r="F70" s="1">
        <v>21.1</v>
      </c>
      <c r="G70" s="1">
        <f t="shared" si="26"/>
        <v>294.10000000000002</v>
      </c>
      <c r="H70" s="1">
        <v>101.3</v>
      </c>
      <c r="I70" s="1">
        <f t="shared" si="27"/>
        <v>101300</v>
      </c>
      <c r="J70" s="1">
        <f t="shared" si="28"/>
        <v>2.0124824921938581E-5</v>
      </c>
      <c r="K70" s="28">
        <v>124.40099009900992</v>
      </c>
      <c r="L70" s="2">
        <f t="shared" si="29"/>
        <v>1.2440099009900993E-4</v>
      </c>
      <c r="M70" s="3">
        <f t="shared" si="30"/>
        <v>4.7762865441819992E-3</v>
      </c>
      <c r="N70" s="64">
        <f t="shared" si="31"/>
        <v>5.2416204988956636E-7</v>
      </c>
      <c r="O70" s="29">
        <f t="shared" si="32"/>
        <v>2.032E-3</v>
      </c>
      <c r="P70" s="29">
        <v>1.5574793265181801E-10</v>
      </c>
      <c r="Q70" s="16">
        <v>0.04</v>
      </c>
      <c r="R70" s="16">
        <f t="shared" si="33"/>
        <v>104000</v>
      </c>
      <c r="S70" s="16">
        <f t="shared" si="34"/>
        <v>5.3058450282772E-3</v>
      </c>
      <c r="T70" s="16">
        <v>0.13</v>
      </c>
      <c r="U70" s="16">
        <f t="shared" si="35"/>
        <v>112999.99999999999</v>
      </c>
      <c r="V70" s="16">
        <f t="shared" si="22"/>
        <v>14.05731188118812</v>
      </c>
      <c r="W70" s="2">
        <f t="shared" si="36"/>
        <v>5</v>
      </c>
      <c r="X70" s="12">
        <f t="shared" si="23"/>
        <v>6.4014828721091645E-7</v>
      </c>
      <c r="Y70" s="2">
        <f t="shared" si="37"/>
        <v>98682.980284857593</v>
      </c>
      <c r="Z70" s="12">
        <f t="shared" si="38"/>
        <v>3.4423479092687091E-14</v>
      </c>
      <c r="AA70" s="12">
        <f t="shared" si="39"/>
        <v>20729819109.616165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1">
        <v>207</v>
      </c>
      <c r="B71" s="1">
        <f t="shared" si="24"/>
        <v>3.45</v>
      </c>
      <c r="C71" s="1">
        <v>20</v>
      </c>
      <c r="D71" s="1">
        <f t="shared" si="21"/>
        <v>29.146000000000001</v>
      </c>
      <c r="E71" s="1">
        <f t="shared" si="25"/>
        <v>4.8576666666666667E-7</v>
      </c>
      <c r="F71" s="1">
        <v>21.1</v>
      </c>
      <c r="G71" s="1">
        <f t="shared" si="26"/>
        <v>294.10000000000002</v>
      </c>
      <c r="H71" s="1">
        <v>101.3</v>
      </c>
      <c r="I71" s="1">
        <f t="shared" si="27"/>
        <v>101300</v>
      </c>
      <c r="J71" s="1">
        <f t="shared" si="28"/>
        <v>2.0124824921938581E-5</v>
      </c>
      <c r="K71" s="28">
        <v>132.59405940594061</v>
      </c>
      <c r="L71" s="2">
        <f t="shared" si="29"/>
        <v>1.325940594059406E-4</v>
      </c>
      <c r="M71" s="3">
        <f t="shared" si="30"/>
        <v>4.7762865441819992E-3</v>
      </c>
      <c r="N71" s="64">
        <f t="shared" si="31"/>
        <v>5.5868344718222541E-7</v>
      </c>
      <c r="O71" s="29">
        <f t="shared" si="32"/>
        <v>2.032E-3</v>
      </c>
      <c r="P71" s="29">
        <v>1.5574793265181801E-10</v>
      </c>
      <c r="Q71" s="16">
        <v>0.04</v>
      </c>
      <c r="R71" s="16">
        <f t="shared" si="33"/>
        <v>104000</v>
      </c>
      <c r="S71" s="16">
        <f t="shared" si="34"/>
        <v>5.3058450282772E-3</v>
      </c>
      <c r="T71" s="16">
        <v>0.13</v>
      </c>
      <c r="U71" s="16">
        <f t="shared" si="35"/>
        <v>112999.99999999999</v>
      </c>
      <c r="V71" s="16">
        <f t="shared" si="22"/>
        <v>14.983128712871286</v>
      </c>
      <c r="W71" s="2">
        <f t="shared" si="36"/>
        <v>5</v>
      </c>
      <c r="X71" s="12">
        <f t="shared" si="23"/>
        <v>6.8398209810201623E-7</v>
      </c>
      <c r="Y71" s="2">
        <f t="shared" si="37"/>
        <v>98324.003576299205</v>
      </c>
      <c r="Z71" s="12">
        <f t="shared" si="38"/>
        <v>3.6915259638662102E-14</v>
      </c>
      <c r="AA71" s="12">
        <f t="shared" si="39"/>
        <v>22230369354.402317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4" customFormat="1" x14ac:dyDescent="0.25">
      <c r="A72" s="1">
        <v>210</v>
      </c>
      <c r="B72" s="1">
        <f t="shared" si="24"/>
        <v>3.5</v>
      </c>
      <c r="C72" s="1">
        <v>20</v>
      </c>
      <c r="D72" s="1">
        <f t="shared" si="21"/>
        <v>29.146000000000001</v>
      </c>
      <c r="E72" s="1">
        <f t="shared" si="25"/>
        <v>4.8576666666666667E-7</v>
      </c>
      <c r="F72" s="1">
        <v>21.1</v>
      </c>
      <c r="G72" s="1">
        <f t="shared" si="26"/>
        <v>294.10000000000002</v>
      </c>
      <c r="H72" s="1">
        <v>101.3</v>
      </c>
      <c r="I72" s="1">
        <f t="shared" si="27"/>
        <v>101300</v>
      </c>
      <c r="J72" s="1">
        <f t="shared" si="28"/>
        <v>2.0124824921938581E-5</v>
      </c>
      <c r="K72" s="28">
        <v>121.62871287128714</v>
      </c>
      <c r="L72" s="2">
        <f t="shared" si="29"/>
        <v>1.2162871287128713E-4</v>
      </c>
      <c r="M72" s="3">
        <f t="shared" si="30"/>
        <v>4.7762865441819992E-3</v>
      </c>
      <c r="N72" s="64">
        <f t="shared" si="31"/>
        <v>5.1248109370594753E-7</v>
      </c>
      <c r="O72" s="29">
        <f t="shared" si="32"/>
        <v>2.032E-3</v>
      </c>
      <c r="P72" s="29">
        <v>1.5574793265181801E-10</v>
      </c>
      <c r="Q72" s="16">
        <v>0.04</v>
      </c>
      <c r="R72" s="16">
        <f t="shared" si="33"/>
        <v>104000</v>
      </c>
      <c r="S72" s="16">
        <f t="shared" si="34"/>
        <v>5.3058450282772E-3</v>
      </c>
      <c r="T72" s="16">
        <v>0.13</v>
      </c>
      <c r="U72" s="16">
        <f t="shared" si="35"/>
        <v>112999.99999999999</v>
      </c>
      <c r="V72" s="16">
        <f t="shared" si="22"/>
        <v>13.744044554455444</v>
      </c>
      <c r="W72" s="2">
        <f t="shared" si="36"/>
        <v>5</v>
      </c>
      <c r="X72" s="12">
        <f t="shared" si="23"/>
        <v>6.252472070664906E-7</v>
      </c>
      <c r="Y72" s="2">
        <f t="shared" si="37"/>
        <v>98805.161559715489</v>
      </c>
      <c r="Z72" s="12">
        <f t="shared" si="38"/>
        <v>3.3580495841643626E-14</v>
      </c>
      <c r="AA72" s="12">
        <f t="shared" si="39"/>
        <v>20222174595.837791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4" customFormat="1" x14ac:dyDescent="0.25">
      <c r="A73" s="1">
        <v>213</v>
      </c>
      <c r="B73" s="1">
        <f t="shared" si="24"/>
        <v>3.55</v>
      </c>
      <c r="C73" s="1">
        <v>20</v>
      </c>
      <c r="D73" s="1">
        <f t="shared" si="21"/>
        <v>29.146000000000001</v>
      </c>
      <c r="E73" s="1">
        <f t="shared" si="25"/>
        <v>4.8576666666666667E-7</v>
      </c>
      <c r="F73" s="1">
        <v>21.1</v>
      </c>
      <c r="G73" s="1">
        <f t="shared" si="26"/>
        <v>294.10000000000002</v>
      </c>
      <c r="H73" s="1">
        <v>101.3</v>
      </c>
      <c r="I73" s="1">
        <f t="shared" si="27"/>
        <v>101300</v>
      </c>
      <c r="J73" s="1">
        <f t="shared" si="28"/>
        <v>2.0124824921938581E-5</v>
      </c>
      <c r="K73" s="28">
        <v>125.31683168316833</v>
      </c>
      <c r="L73" s="2">
        <f t="shared" si="29"/>
        <v>1.2531683168316834E-4</v>
      </c>
      <c r="M73" s="3">
        <f t="shared" si="30"/>
        <v>4.7762865441819992E-3</v>
      </c>
      <c r="N73" s="64">
        <f t="shared" si="31"/>
        <v>5.280209372002262E-7</v>
      </c>
      <c r="O73" s="29">
        <f t="shared" si="32"/>
        <v>2.032E-3</v>
      </c>
      <c r="P73" s="29">
        <v>1.5574793265181801E-10</v>
      </c>
      <c r="Q73" s="16">
        <v>0.04</v>
      </c>
      <c r="R73" s="16">
        <f t="shared" si="33"/>
        <v>104000</v>
      </c>
      <c r="S73" s="16">
        <f t="shared" si="34"/>
        <v>5.3058450282772E-3</v>
      </c>
      <c r="T73" s="16">
        <v>0.13</v>
      </c>
      <c r="U73" s="16">
        <f t="shared" si="35"/>
        <v>112999.99999999999</v>
      </c>
      <c r="V73" s="16">
        <f t="shared" si="22"/>
        <v>14.160801980198022</v>
      </c>
      <c r="W73" s="2">
        <f t="shared" si="36"/>
        <v>5</v>
      </c>
      <c r="X73" s="12">
        <f t="shared" si="23"/>
        <v>6.4506306562604442E-7</v>
      </c>
      <c r="Y73" s="2">
        <f t="shared" si="37"/>
        <v>98642.698180233274</v>
      </c>
      <c r="Z73" s="12">
        <f t="shared" si="38"/>
        <v>3.4701971160244116E-14</v>
      </c>
      <c r="AA73" s="12">
        <f t="shared" si="39"/>
        <v>20897527032.699009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2"/>
      <c r="L74" s="3"/>
      <c r="M74" s="3"/>
      <c r="N74" s="29"/>
      <c r="O74" s="29"/>
      <c r="P74" s="29"/>
      <c r="Q74" s="16"/>
      <c r="R74" s="16"/>
      <c r="S74" s="16"/>
      <c r="T74" s="16"/>
      <c r="U74" s="16"/>
      <c r="V74" s="16"/>
      <c r="W74" s="13"/>
      <c r="X74" s="13"/>
      <c r="Y74" s="13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2"/>
      <c r="L75" s="3"/>
      <c r="M75" s="3"/>
      <c r="N75" s="29"/>
      <c r="O75" s="29"/>
      <c r="P75" s="29"/>
      <c r="Q75" s="16"/>
      <c r="R75" s="16"/>
      <c r="S75" s="16"/>
      <c r="T75" s="16"/>
      <c r="U75" s="16"/>
      <c r="V75" s="16"/>
      <c r="W75" s="13"/>
      <c r="X75" s="13"/>
      <c r="Y75" s="13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2"/>
      <c r="L76" s="3"/>
      <c r="M76" s="3"/>
      <c r="N76" s="29"/>
      <c r="O76" s="29"/>
      <c r="P76" s="29"/>
      <c r="Q76" s="16"/>
      <c r="R76" s="16"/>
      <c r="S76" s="16"/>
      <c r="T76" s="16"/>
      <c r="U76" s="16"/>
      <c r="V76" s="16"/>
      <c r="W76" s="13"/>
      <c r="X76" s="13"/>
      <c r="Y76" s="13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s="4" customFormat="1" x14ac:dyDescent="0.25">
      <c r="N77" s="29"/>
      <c r="O77" s="5"/>
      <c r="P77" s="5"/>
      <c r="Q77" s="5"/>
      <c r="R77" s="5"/>
      <c r="S77" s="5"/>
      <c r="T77" s="5"/>
      <c r="U77" s="5"/>
      <c r="V77" s="5"/>
      <c r="W77" s="13"/>
      <c r="X77" s="13"/>
      <c r="Y77" s="13"/>
      <c r="Z77" s="45">
        <f>AVERAGE(Z44:Z73)</f>
        <v>3.4244371292197187E-14</v>
      </c>
      <c r="AA77" s="45">
        <f>AVERAGE(AA44:AA73)</f>
        <v>20621960392.161148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2"/>
      <c r="L78" s="3"/>
      <c r="M78" s="3"/>
      <c r="N78" s="29"/>
      <c r="O78" s="29"/>
      <c r="P78" s="29"/>
      <c r="Q78" s="16"/>
      <c r="R78" s="16"/>
      <c r="S78" s="16"/>
      <c r="T78" s="16"/>
      <c r="U78" s="16"/>
      <c r="V78" s="16"/>
      <c r="W78" s="13"/>
      <c r="X78" s="13"/>
      <c r="Y78" s="13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2"/>
      <c r="L79" s="3"/>
      <c r="M79" s="3"/>
      <c r="N79" s="29"/>
      <c r="O79" s="29"/>
      <c r="P79" s="29"/>
      <c r="Q79" s="16"/>
      <c r="R79" s="16"/>
      <c r="S79" s="16"/>
      <c r="T79" s="16"/>
      <c r="U79" s="16"/>
      <c r="V79" s="16"/>
      <c r="W79" s="13"/>
      <c r="X79" s="13"/>
      <c r="Y79" s="13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2"/>
      <c r="L80" s="3"/>
      <c r="M80" s="3"/>
      <c r="N80" s="29"/>
      <c r="O80" s="29"/>
      <c r="P80" s="29"/>
      <c r="Q80" s="16"/>
      <c r="R80" s="16"/>
      <c r="S80" s="16"/>
      <c r="T80" s="16"/>
      <c r="U80" s="16"/>
      <c r="V80" s="16"/>
      <c r="W80" s="13"/>
      <c r="X80" s="13"/>
      <c r="Y80" s="13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2"/>
      <c r="L81" s="3"/>
      <c r="M81" s="3"/>
      <c r="N81" s="29"/>
      <c r="O81" s="29"/>
      <c r="P81" s="29"/>
      <c r="Q81" s="16"/>
      <c r="R81" s="16"/>
      <c r="S81" s="16"/>
      <c r="T81" s="16"/>
      <c r="U81" s="16"/>
      <c r="V81" s="16"/>
      <c r="W81" s="13"/>
      <c r="X81" s="13"/>
      <c r="Y81" s="13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2"/>
      <c r="L82" s="3"/>
      <c r="M82" s="3"/>
      <c r="N82" s="29"/>
      <c r="O82" s="29"/>
      <c r="P82" s="29"/>
      <c r="Q82" s="16"/>
      <c r="R82" s="16"/>
      <c r="S82" s="16"/>
      <c r="T82" s="16"/>
      <c r="U82" s="16"/>
      <c r="V82" s="16"/>
      <c r="W82" s="13"/>
      <c r="X82" s="13"/>
      <c r="Y82" s="13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2"/>
      <c r="L83" s="3"/>
      <c r="M83" s="3"/>
      <c r="N83" s="29"/>
      <c r="O83" s="29"/>
      <c r="P83" s="29"/>
      <c r="Q83" s="16"/>
      <c r="R83" s="16"/>
      <c r="S83" s="16"/>
      <c r="T83" s="16"/>
      <c r="U83" s="16"/>
      <c r="V83" s="16"/>
      <c r="W83" s="13"/>
      <c r="X83" s="13"/>
      <c r="Y83" s="13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2"/>
      <c r="L84" s="3"/>
      <c r="M84" s="3"/>
      <c r="N84" s="29"/>
      <c r="O84" s="29"/>
      <c r="P84" s="29"/>
      <c r="Q84" s="16"/>
      <c r="R84" s="16"/>
      <c r="S84" s="16"/>
      <c r="T84" s="16"/>
      <c r="U84" s="16"/>
      <c r="V84" s="16"/>
      <c r="W84" s="13"/>
      <c r="X84" s="13"/>
      <c r="Y84" s="13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2"/>
      <c r="L85" s="3"/>
      <c r="M85" s="3"/>
      <c r="N85" s="29"/>
      <c r="O85" s="29"/>
      <c r="P85" s="29"/>
      <c r="Q85" s="16"/>
      <c r="R85" s="16"/>
      <c r="S85" s="16"/>
      <c r="T85" s="16"/>
      <c r="U85" s="16"/>
      <c r="V85" s="16"/>
      <c r="W85" s="13"/>
      <c r="X85" s="13"/>
      <c r="Y85" s="13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2"/>
      <c r="L86" s="3"/>
      <c r="M86" s="3"/>
      <c r="N86" s="29"/>
      <c r="O86" s="29"/>
      <c r="P86" s="29"/>
      <c r="Q86" s="16"/>
      <c r="R86" s="16"/>
      <c r="S86" s="16"/>
      <c r="T86" s="16"/>
      <c r="U86" s="16"/>
      <c r="V86" s="16"/>
      <c r="W86" s="13"/>
      <c r="X86" s="13"/>
      <c r="Y86" s="13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2"/>
      <c r="L87" s="3"/>
      <c r="M87" s="3"/>
      <c r="N87" s="29"/>
      <c r="O87" s="29"/>
      <c r="P87" s="29"/>
      <c r="Q87" s="16"/>
      <c r="R87" s="16"/>
      <c r="S87" s="16"/>
      <c r="T87" s="16"/>
      <c r="U87" s="16"/>
      <c r="V87" s="16"/>
      <c r="W87" s="13"/>
      <c r="X87" s="13"/>
      <c r="Y87" s="13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2"/>
      <c r="L88" s="3"/>
      <c r="M88" s="3"/>
      <c r="N88" s="29"/>
      <c r="O88" s="29"/>
      <c r="P88" s="29"/>
      <c r="Q88" s="16"/>
      <c r="R88" s="16"/>
      <c r="S88" s="16"/>
      <c r="T88" s="16"/>
      <c r="U88" s="16"/>
      <c r="V88" s="16"/>
      <c r="W88" s="13"/>
      <c r="X88" s="13"/>
      <c r="Y88" s="13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2"/>
      <c r="L89" s="3"/>
      <c r="M89" s="3"/>
      <c r="N89" s="29"/>
      <c r="O89" s="29"/>
      <c r="P89" s="29"/>
      <c r="Q89" s="16"/>
      <c r="R89" s="16"/>
      <c r="S89" s="16"/>
      <c r="T89" s="16"/>
      <c r="U89" s="16"/>
      <c r="V89" s="16"/>
      <c r="W89" s="13"/>
      <c r="X89" s="13"/>
      <c r="Y89" s="13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2"/>
      <c r="L90" s="3"/>
      <c r="M90" s="3"/>
      <c r="N90" s="29"/>
      <c r="O90" s="29"/>
      <c r="P90" s="29"/>
      <c r="Q90" s="16"/>
      <c r="R90" s="16"/>
      <c r="S90" s="16"/>
      <c r="T90" s="16"/>
      <c r="U90" s="16"/>
      <c r="V90" s="16"/>
      <c r="W90" s="13"/>
      <c r="X90" s="13"/>
      <c r="Y90" s="13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2"/>
      <c r="L91" s="3"/>
      <c r="M91" s="3"/>
      <c r="N91" s="29"/>
      <c r="O91" s="29"/>
      <c r="P91" s="29"/>
      <c r="Q91" s="16"/>
      <c r="R91" s="16"/>
      <c r="S91" s="16"/>
      <c r="T91" s="16"/>
      <c r="U91" s="16"/>
      <c r="V91" s="16"/>
      <c r="W91" s="13"/>
      <c r="X91" s="13"/>
      <c r="Y91" s="13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2"/>
      <c r="L92" s="3"/>
      <c r="M92" s="3"/>
      <c r="N92" s="29"/>
      <c r="O92" s="29"/>
      <c r="P92" s="29"/>
      <c r="Q92" s="16"/>
      <c r="R92" s="16"/>
      <c r="S92" s="16"/>
      <c r="T92" s="16"/>
      <c r="U92" s="16"/>
      <c r="V92" s="16"/>
      <c r="W92" s="13"/>
      <c r="X92" s="13"/>
      <c r="Y92" s="13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2"/>
      <c r="L93" s="3"/>
      <c r="M93" s="3"/>
      <c r="N93" s="29"/>
      <c r="O93" s="29"/>
      <c r="P93" s="29"/>
      <c r="Q93" s="16"/>
      <c r="R93" s="16"/>
      <c r="S93" s="16"/>
      <c r="T93" s="16"/>
      <c r="U93" s="16"/>
      <c r="V93" s="16"/>
      <c r="W93" s="13"/>
      <c r="X93" s="13"/>
      <c r="Y93" s="13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2"/>
      <c r="L94" s="3"/>
      <c r="M94" s="3"/>
      <c r="N94" s="29"/>
      <c r="O94" s="29"/>
      <c r="P94" s="29"/>
      <c r="Q94" s="16"/>
      <c r="R94" s="16"/>
      <c r="S94" s="16"/>
      <c r="T94" s="16"/>
      <c r="U94" s="16"/>
      <c r="V94" s="16"/>
      <c r="W94" s="13"/>
      <c r="X94" s="13"/>
      <c r="Y94" s="13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2"/>
      <c r="L95" s="3"/>
      <c r="M95" s="3"/>
      <c r="N95" s="29"/>
      <c r="O95" s="29"/>
      <c r="P95" s="29"/>
      <c r="Q95" s="16"/>
      <c r="R95" s="16"/>
      <c r="S95" s="16"/>
      <c r="T95" s="16"/>
      <c r="U95" s="16"/>
      <c r="V95" s="16"/>
      <c r="W95" s="13"/>
      <c r="X95" s="13"/>
      <c r="Y95" s="13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2"/>
      <c r="L96" s="3"/>
      <c r="M96" s="3"/>
      <c r="N96" s="29"/>
      <c r="O96" s="29"/>
      <c r="P96" s="29"/>
      <c r="Q96" s="16"/>
      <c r="R96" s="16"/>
      <c r="S96" s="16"/>
      <c r="T96" s="16"/>
      <c r="U96" s="16"/>
      <c r="V96" s="16"/>
      <c r="W96" s="13"/>
      <c r="X96" s="13"/>
      <c r="Y96" s="13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2"/>
      <c r="L97" s="3"/>
      <c r="M97" s="3"/>
      <c r="N97" s="29"/>
      <c r="O97" s="29"/>
      <c r="P97" s="29"/>
      <c r="Q97" s="16"/>
      <c r="R97" s="16"/>
      <c r="S97" s="16"/>
      <c r="T97" s="16"/>
      <c r="U97" s="16"/>
      <c r="V97" s="16"/>
      <c r="W97" s="13"/>
      <c r="X97" s="13"/>
      <c r="Y97" s="13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2"/>
      <c r="L98" s="3"/>
      <c r="M98" s="3"/>
      <c r="N98" s="29"/>
      <c r="O98" s="29"/>
      <c r="P98" s="29"/>
      <c r="Q98" s="16"/>
      <c r="R98" s="16"/>
      <c r="S98" s="16"/>
      <c r="T98" s="16"/>
      <c r="U98" s="16"/>
      <c r="V98" s="16"/>
      <c r="W98" s="13"/>
      <c r="X98" s="13"/>
      <c r="Y98" s="13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2"/>
      <c r="L99" s="3"/>
      <c r="M99" s="3"/>
      <c r="N99" s="29"/>
      <c r="O99" s="29"/>
      <c r="P99" s="29"/>
      <c r="Q99" s="16"/>
      <c r="R99" s="16"/>
      <c r="S99" s="16"/>
      <c r="T99" s="16"/>
      <c r="U99" s="16"/>
      <c r="V99" s="16"/>
      <c r="W99" s="13"/>
      <c r="X99" s="13"/>
      <c r="Y99" s="13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2"/>
      <c r="L100" s="3"/>
      <c r="M100" s="3"/>
      <c r="N100" s="29"/>
      <c r="O100" s="29"/>
      <c r="P100" s="29"/>
      <c r="Q100" s="16"/>
      <c r="R100" s="16"/>
      <c r="S100" s="16"/>
      <c r="T100" s="16"/>
      <c r="U100" s="16"/>
      <c r="V100" s="16"/>
      <c r="W100" s="13"/>
      <c r="X100" s="13"/>
      <c r="Y100" s="13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2"/>
      <c r="L101" s="3"/>
      <c r="M101" s="3"/>
      <c r="N101" s="29"/>
      <c r="O101" s="29"/>
      <c r="P101" s="29"/>
      <c r="Q101" s="16"/>
      <c r="R101" s="16"/>
      <c r="S101" s="16"/>
      <c r="T101" s="16"/>
      <c r="U101" s="16"/>
      <c r="V101" s="16"/>
      <c r="W101" s="13"/>
      <c r="X101" s="13"/>
      <c r="Y101" s="13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2"/>
      <c r="L102" s="3"/>
      <c r="M102" s="3"/>
      <c r="N102" s="29"/>
      <c r="O102" s="29"/>
      <c r="P102" s="29"/>
      <c r="Q102" s="16"/>
      <c r="R102" s="16"/>
      <c r="S102" s="16"/>
      <c r="T102" s="16"/>
      <c r="U102" s="16"/>
      <c r="V102" s="16"/>
      <c r="W102" s="13"/>
      <c r="X102" s="13"/>
      <c r="Y102" s="13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2"/>
      <c r="L103" s="3"/>
      <c r="M103" s="3"/>
      <c r="N103" s="29"/>
      <c r="O103" s="29"/>
      <c r="P103" s="29"/>
      <c r="Q103" s="16"/>
      <c r="R103" s="16"/>
      <c r="S103" s="16"/>
      <c r="T103" s="16"/>
      <c r="U103" s="16"/>
      <c r="V103" s="16"/>
      <c r="W103" s="13"/>
      <c r="X103" s="13"/>
      <c r="Y103" s="13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2"/>
      <c r="L104" s="3"/>
      <c r="M104" s="3"/>
      <c r="N104" s="29"/>
      <c r="O104" s="29"/>
      <c r="P104" s="29"/>
      <c r="Q104" s="16"/>
      <c r="R104" s="16"/>
      <c r="S104" s="16"/>
      <c r="T104" s="16"/>
      <c r="U104" s="16"/>
      <c r="V104" s="16"/>
      <c r="W104" s="13"/>
      <c r="X104" s="13"/>
      <c r="Y104" s="13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2"/>
      <c r="L105" s="3"/>
      <c r="M105" s="3"/>
      <c r="N105" s="29"/>
      <c r="O105" s="29"/>
      <c r="P105" s="29"/>
      <c r="Q105" s="16"/>
      <c r="R105" s="16"/>
      <c r="S105" s="16"/>
      <c r="T105" s="16"/>
      <c r="U105" s="16"/>
      <c r="V105" s="16"/>
      <c r="W105" s="13"/>
      <c r="X105" s="13"/>
      <c r="Y105" s="13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2"/>
      <c r="L106" s="3"/>
      <c r="M106" s="3"/>
      <c r="N106" s="29"/>
      <c r="O106" s="29"/>
      <c r="P106" s="29"/>
      <c r="Q106" s="16"/>
      <c r="R106" s="16"/>
      <c r="S106" s="16"/>
      <c r="T106" s="16"/>
      <c r="U106" s="16"/>
      <c r="V106" s="16"/>
      <c r="W106" s="13"/>
      <c r="X106" s="13"/>
      <c r="Y106" s="13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2"/>
      <c r="L107" s="3"/>
      <c r="M107" s="3"/>
      <c r="N107" s="29"/>
      <c r="O107" s="29"/>
      <c r="P107" s="29"/>
      <c r="Q107" s="16"/>
      <c r="R107" s="16"/>
      <c r="S107" s="16"/>
      <c r="T107" s="16"/>
      <c r="U107" s="16"/>
      <c r="V107" s="16"/>
      <c r="W107" s="13"/>
      <c r="X107" s="13"/>
      <c r="Y107" s="13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2"/>
      <c r="L108" s="3"/>
      <c r="M108" s="3"/>
      <c r="N108" s="29"/>
      <c r="O108" s="29"/>
      <c r="P108" s="29"/>
      <c r="Q108" s="16"/>
      <c r="R108" s="16"/>
      <c r="S108" s="16"/>
      <c r="T108" s="16"/>
      <c r="U108" s="16"/>
      <c r="V108" s="16"/>
      <c r="W108" s="13"/>
      <c r="X108" s="13"/>
      <c r="Y108" s="13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2"/>
      <c r="L109" s="3"/>
      <c r="M109" s="3"/>
      <c r="N109" s="29"/>
      <c r="O109" s="29"/>
      <c r="P109" s="29"/>
      <c r="Q109" s="16"/>
      <c r="R109" s="16"/>
      <c r="S109" s="16"/>
      <c r="T109" s="16"/>
      <c r="U109" s="16"/>
      <c r="V109" s="16"/>
      <c r="W109" s="13"/>
      <c r="X109" s="13"/>
      <c r="Y109" s="13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2"/>
      <c r="L110" s="3"/>
      <c r="M110" s="3"/>
      <c r="N110" s="29"/>
      <c r="O110" s="29"/>
      <c r="P110" s="29"/>
      <c r="Q110" s="16"/>
      <c r="R110" s="16"/>
      <c r="S110" s="16"/>
      <c r="T110" s="16"/>
      <c r="U110" s="16"/>
      <c r="V110" s="16"/>
      <c r="W110" s="13"/>
      <c r="X110" s="13"/>
      <c r="Y110" s="13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2"/>
      <c r="L111" s="3"/>
      <c r="M111" s="3"/>
      <c r="N111" s="29"/>
      <c r="O111" s="29"/>
      <c r="P111" s="29"/>
      <c r="Q111" s="16"/>
      <c r="R111" s="16"/>
      <c r="S111" s="16"/>
      <c r="T111" s="16"/>
      <c r="U111" s="16"/>
      <c r="V111" s="16"/>
      <c r="W111" s="13"/>
      <c r="X111" s="13"/>
      <c r="Y111" s="13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2"/>
      <c r="L112" s="3"/>
      <c r="M112" s="3"/>
      <c r="N112" s="29"/>
      <c r="O112" s="29"/>
      <c r="P112" s="29"/>
      <c r="Q112" s="16"/>
      <c r="R112" s="16"/>
      <c r="S112" s="16"/>
      <c r="T112" s="16"/>
      <c r="U112" s="16"/>
      <c r="V112" s="16"/>
      <c r="W112" s="13"/>
      <c r="X112" s="13"/>
      <c r="Y112" s="13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2"/>
      <c r="L113" s="3"/>
      <c r="M113" s="3"/>
      <c r="N113" s="29"/>
      <c r="O113" s="29"/>
      <c r="P113" s="29"/>
      <c r="Q113" s="16"/>
      <c r="R113" s="16"/>
      <c r="S113" s="16"/>
      <c r="T113" s="16"/>
      <c r="U113" s="16"/>
      <c r="V113" s="16"/>
      <c r="W113" s="13"/>
      <c r="X113" s="13"/>
      <c r="Y113" s="13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2"/>
      <c r="L114" s="3"/>
      <c r="M114" s="3"/>
      <c r="N114" s="29"/>
      <c r="O114" s="29"/>
      <c r="P114" s="29"/>
      <c r="Q114" s="16"/>
      <c r="R114" s="16"/>
      <c r="S114" s="16"/>
      <c r="T114" s="16"/>
      <c r="U114" s="16"/>
      <c r="V114" s="16"/>
      <c r="W114" s="13"/>
      <c r="X114" s="13"/>
      <c r="Y114" s="13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2"/>
      <c r="L115" s="3"/>
      <c r="M115" s="3"/>
      <c r="N115" s="29"/>
      <c r="O115" s="29"/>
      <c r="P115" s="29"/>
      <c r="Q115" s="16"/>
      <c r="R115" s="16"/>
      <c r="S115" s="16"/>
      <c r="T115" s="16"/>
      <c r="U115" s="16"/>
      <c r="V115" s="16"/>
      <c r="W115" s="13"/>
      <c r="X115" s="13"/>
      <c r="Y115" s="13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2"/>
      <c r="L116" s="3"/>
      <c r="M116" s="3"/>
      <c r="N116" s="29"/>
      <c r="O116" s="29"/>
      <c r="P116" s="29"/>
      <c r="Q116" s="16"/>
      <c r="R116" s="16"/>
      <c r="S116" s="16"/>
      <c r="T116" s="16"/>
      <c r="U116" s="16"/>
      <c r="V116" s="16"/>
      <c r="W116" s="13"/>
      <c r="X116" s="13"/>
      <c r="Y116" s="13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2"/>
      <c r="L117" s="3"/>
      <c r="M117" s="3"/>
      <c r="N117" s="29"/>
      <c r="O117" s="29"/>
      <c r="P117" s="29"/>
      <c r="Q117" s="16"/>
      <c r="R117" s="16"/>
      <c r="S117" s="16"/>
      <c r="T117" s="16"/>
      <c r="U117" s="16"/>
      <c r="V117" s="16"/>
      <c r="W117" s="13"/>
      <c r="X117" s="13"/>
      <c r="Y117" s="13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2"/>
      <c r="L118" s="3"/>
      <c r="M118" s="3"/>
      <c r="N118" s="29"/>
      <c r="O118" s="29"/>
      <c r="P118" s="29"/>
      <c r="Q118" s="16"/>
      <c r="R118" s="16"/>
      <c r="S118" s="16"/>
      <c r="T118" s="16"/>
      <c r="U118" s="16"/>
      <c r="V118" s="16"/>
      <c r="W118" s="13"/>
      <c r="X118" s="13"/>
      <c r="Y118" s="13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2"/>
      <c r="L119" s="3"/>
      <c r="M119" s="3"/>
      <c r="N119" s="29"/>
      <c r="O119" s="29"/>
      <c r="P119" s="29"/>
      <c r="Q119" s="16"/>
      <c r="R119" s="16"/>
      <c r="S119" s="16"/>
      <c r="T119" s="16"/>
      <c r="U119" s="16"/>
      <c r="V119" s="16"/>
      <c r="W119" s="13"/>
      <c r="X119" s="13"/>
      <c r="Y119" s="13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2"/>
      <c r="L120" s="3"/>
      <c r="M120" s="3"/>
      <c r="N120" s="29"/>
      <c r="O120" s="29"/>
      <c r="P120" s="29"/>
      <c r="Q120" s="16"/>
      <c r="R120" s="16"/>
      <c r="S120" s="16"/>
      <c r="T120" s="16"/>
      <c r="U120" s="16"/>
      <c r="V120" s="16"/>
      <c r="W120" s="13"/>
      <c r="X120" s="13"/>
      <c r="Y120" s="13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2"/>
      <c r="L121" s="3"/>
      <c r="M121" s="3"/>
      <c r="N121" s="29"/>
      <c r="O121" s="29"/>
      <c r="P121" s="29"/>
      <c r="Q121" s="16"/>
      <c r="R121" s="16"/>
      <c r="S121" s="16"/>
      <c r="T121" s="16"/>
      <c r="U121" s="16"/>
      <c r="V121" s="16"/>
      <c r="W121" s="13"/>
      <c r="X121" s="13"/>
      <c r="Y121" s="13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2"/>
      <c r="L122" s="3"/>
      <c r="M122" s="3"/>
      <c r="N122" s="29"/>
      <c r="O122" s="29"/>
      <c r="P122" s="29"/>
      <c r="Q122" s="16"/>
      <c r="R122" s="16"/>
      <c r="S122" s="16"/>
      <c r="T122" s="16"/>
      <c r="U122" s="16"/>
      <c r="V122" s="16"/>
      <c r="W122" s="13"/>
      <c r="X122" s="13"/>
      <c r="Y122" s="13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2"/>
      <c r="L123" s="3"/>
      <c r="M123" s="3"/>
      <c r="N123" s="29"/>
      <c r="O123" s="29"/>
      <c r="P123" s="29"/>
      <c r="Q123" s="16"/>
      <c r="R123" s="16"/>
      <c r="S123" s="16"/>
      <c r="T123" s="16"/>
      <c r="U123" s="16"/>
      <c r="V123" s="16"/>
      <c r="W123" s="13"/>
      <c r="X123" s="13"/>
      <c r="Y123" s="13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2"/>
      <c r="L124" s="3"/>
      <c r="M124" s="3"/>
      <c r="N124" s="29"/>
      <c r="O124" s="29"/>
      <c r="P124" s="29"/>
      <c r="Q124" s="16"/>
      <c r="R124" s="16"/>
      <c r="S124" s="16"/>
      <c r="T124" s="16"/>
      <c r="U124" s="16"/>
      <c r="V124" s="16"/>
      <c r="W124" s="13"/>
      <c r="X124" s="13"/>
      <c r="Y124" s="13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2"/>
      <c r="L125" s="3"/>
      <c r="M125" s="3"/>
      <c r="N125" s="29"/>
      <c r="O125" s="29"/>
      <c r="P125" s="29"/>
      <c r="Q125" s="16"/>
      <c r="R125" s="16"/>
      <c r="S125" s="16"/>
      <c r="T125" s="16"/>
      <c r="U125" s="16"/>
      <c r="V125" s="16"/>
      <c r="W125" s="13"/>
      <c r="X125" s="13"/>
      <c r="Y125" s="13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</row>
    <row r="126" spans="1:74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2"/>
      <c r="L126" s="3"/>
      <c r="M126" s="3"/>
      <c r="N126" s="29"/>
      <c r="O126" s="29"/>
      <c r="P126" s="29"/>
      <c r="Q126" s="16"/>
      <c r="R126" s="16"/>
      <c r="S126" s="16"/>
      <c r="T126" s="16"/>
      <c r="U126" s="16"/>
      <c r="V126" s="16"/>
      <c r="W126" s="13"/>
      <c r="X126" s="13"/>
      <c r="Y126" s="13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</row>
    <row r="127" spans="1:74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2"/>
      <c r="L127" s="3"/>
      <c r="M127" s="3"/>
      <c r="N127" s="29"/>
      <c r="O127" s="29"/>
      <c r="P127" s="29"/>
      <c r="Q127" s="16"/>
      <c r="R127" s="16"/>
      <c r="S127" s="16"/>
      <c r="T127" s="16"/>
      <c r="U127" s="16"/>
      <c r="V127" s="16"/>
      <c r="W127" s="13"/>
      <c r="X127" s="13"/>
      <c r="Y127" s="13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</row>
    <row r="128" spans="1:74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2"/>
      <c r="L128" s="3"/>
      <c r="M128" s="3"/>
      <c r="N128" s="29"/>
      <c r="O128" s="29"/>
      <c r="P128" s="29"/>
      <c r="Q128" s="16"/>
      <c r="R128" s="16"/>
      <c r="S128" s="16"/>
      <c r="T128" s="16"/>
      <c r="U128" s="16"/>
      <c r="V128" s="16"/>
      <c r="W128" s="13"/>
      <c r="X128" s="13"/>
      <c r="Y128" s="13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</row>
    <row r="129" spans="1:74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2"/>
      <c r="L129" s="3"/>
      <c r="M129" s="3"/>
      <c r="N129" s="29"/>
      <c r="O129" s="29"/>
      <c r="P129" s="29"/>
      <c r="Q129" s="16"/>
      <c r="R129" s="16"/>
      <c r="S129" s="16"/>
      <c r="T129" s="16"/>
      <c r="U129" s="16"/>
      <c r="V129" s="16"/>
      <c r="W129" s="13"/>
      <c r="X129" s="13"/>
      <c r="Y129" s="13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</row>
    <row r="130" spans="1:74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2"/>
      <c r="L130" s="3"/>
      <c r="M130" s="3"/>
      <c r="N130" s="29"/>
      <c r="O130" s="29"/>
      <c r="P130" s="29"/>
      <c r="Q130" s="16"/>
      <c r="R130" s="16"/>
      <c r="S130" s="16"/>
      <c r="T130" s="16"/>
      <c r="U130" s="16"/>
      <c r="V130" s="16"/>
      <c r="W130" s="13"/>
      <c r="X130" s="13"/>
      <c r="Y130" s="13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</row>
    <row r="131" spans="1:74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2"/>
      <c r="L131" s="3"/>
      <c r="M131" s="3"/>
      <c r="N131" s="29"/>
      <c r="O131" s="29"/>
      <c r="P131" s="29"/>
      <c r="Q131" s="16"/>
      <c r="R131" s="16"/>
      <c r="S131" s="16"/>
      <c r="T131" s="16"/>
      <c r="U131" s="16"/>
      <c r="V131" s="16"/>
      <c r="W131" s="13"/>
      <c r="X131" s="13"/>
      <c r="Y131" s="13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</row>
    <row r="132" spans="1:74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2"/>
      <c r="L132" s="3"/>
      <c r="M132" s="3"/>
      <c r="N132" s="29"/>
      <c r="O132" s="29"/>
      <c r="P132" s="29"/>
      <c r="Q132" s="16"/>
      <c r="R132" s="16"/>
      <c r="S132" s="16"/>
      <c r="T132" s="16"/>
      <c r="U132" s="16"/>
      <c r="V132" s="16"/>
      <c r="W132" s="13"/>
      <c r="X132" s="13"/>
      <c r="Y132" s="13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</row>
    <row r="133" spans="1:74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2"/>
      <c r="L133" s="3"/>
      <c r="M133" s="3"/>
      <c r="N133" s="29"/>
      <c r="O133" s="29"/>
      <c r="P133" s="29"/>
      <c r="Q133" s="16"/>
      <c r="R133" s="16"/>
      <c r="S133" s="16"/>
      <c r="T133" s="16"/>
      <c r="U133" s="16"/>
      <c r="V133" s="16"/>
      <c r="W133" s="13"/>
      <c r="X133" s="13"/>
      <c r="Y133" s="13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</row>
    <row r="134" spans="1:74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2"/>
      <c r="L134" s="3"/>
      <c r="M134" s="3"/>
      <c r="N134" s="29"/>
      <c r="O134" s="29"/>
      <c r="P134" s="29"/>
      <c r="Q134" s="16"/>
      <c r="R134" s="16"/>
      <c r="S134" s="16"/>
      <c r="T134" s="16"/>
      <c r="U134" s="16"/>
      <c r="V134" s="16"/>
      <c r="W134" s="13"/>
      <c r="X134" s="13"/>
      <c r="Y134" s="13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</row>
    <row r="135" spans="1:74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2"/>
      <c r="L135" s="3"/>
      <c r="M135" s="3"/>
      <c r="N135" s="29"/>
      <c r="O135" s="29"/>
      <c r="P135" s="29"/>
      <c r="Q135" s="16"/>
      <c r="R135" s="16"/>
      <c r="S135" s="16"/>
      <c r="T135" s="16"/>
      <c r="U135" s="16"/>
      <c r="V135" s="16"/>
      <c r="W135" s="13"/>
      <c r="X135" s="13"/>
      <c r="Y135" s="13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</row>
    <row r="136" spans="1:74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2"/>
      <c r="L136" s="3"/>
      <c r="M136" s="3"/>
      <c r="N136" s="29"/>
      <c r="O136" s="29"/>
      <c r="P136" s="29"/>
      <c r="Q136" s="16"/>
      <c r="R136" s="16"/>
      <c r="S136" s="16"/>
      <c r="T136" s="16"/>
      <c r="U136" s="16"/>
      <c r="V136" s="16"/>
      <c r="W136" s="13"/>
      <c r="X136" s="13"/>
      <c r="Y136" s="13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</row>
    <row r="137" spans="1:74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2"/>
      <c r="L137" s="3"/>
      <c r="M137" s="3"/>
      <c r="N137" s="29"/>
      <c r="O137" s="29"/>
      <c r="P137" s="29"/>
      <c r="Q137" s="16"/>
      <c r="R137" s="16"/>
      <c r="S137" s="16"/>
      <c r="T137" s="16"/>
      <c r="U137" s="16"/>
      <c r="V137" s="16"/>
      <c r="W137" s="13"/>
      <c r="X137" s="13"/>
      <c r="Y137" s="13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</row>
    <row r="138" spans="1:74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2"/>
      <c r="L138" s="3"/>
      <c r="M138" s="3"/>
      <c r="N138" s="29"/>
      <c r="O138" s="29"/>
      <c r="P138" s="29"/>
      <c r="Q138" s="16"/>
      <c r="R138" s="16"/>
      <c r="S138" s="16"/>
      <c r="T138" s="16"/>
      <c r="U138" s="16"/>
      <c r="V138" s="16"/>
      <c r="W138" s="13"/>
      <c r="X138" s="13"/>
      <c r="Y138" s="13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</row>
    <row r="139" spans="1:74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2"/>
      <c r="L139" s="3"/>
      <c r="M139" s="3"/>
      <c r="N139" s="29"/>
      <c r="O139" s="29"/>
      <c r="P139" s="29"/>
      <c r="Q139" s="16"/>
      <c r="R139" s="16"/>
      <c r="S139" s="16"/>
      <c r="T139" s="16"/>
      <c r="U139" s="16"/>
      <c r="V139" s="16"/>
      <c r="W139" s="13"/>
      <c r="X139" s="13"/>
      <c r="Y139" s="13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</row>
    <row r="140" spans="1:74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2"/>
      <c r="L140" s="3"/>
      <c r="M140" s="3"/>
      <c r="N140" s="29"/>
      <c r="O140" s="29"/>
      <c r="P140" s="29"/>
      <c r="Q140" s="16"/>
      <c r="R140" s="16"/>
      <c r="S140" s="16"/>
      <c r="T140" s="16"/>
      <c r="U140" s="16"/>
      <c r="V140" s="16"/>
      <c r="W140" s="13"/>
      <c r="X140" s="13"/>
      <c r="Y140" s="13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</row>
    <row r="141" spans="1:74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2"/>
      <c r="L141" s="3"/>
      <c r="M141" s="3"/>
      <c r="N141" s="29"/>
      <c r="O141" s="29"/>
      <c r="P141" s="29"/>
      <c r="Q141" s="16"/>
      <c r="R141" s="16"/>
      <c r="S141" s="16"/>
      <c r="T141" s="16"/>
      <c r="U141" s="16"/>
      <c r="V141" s="16"/>
      <c r="W141" s="13"/>
      <c r="X141" s="13"/>
      <c r="Y141" s="13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</row>
    <row r="142" spans="1:74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2"/>
      <c r="L142" s="3"/>
      <c r="M142" s="3"/>
      <c r="N142" s="29"/>
      <c r="O142" s="29"/>
      <c r="P142" s="29"/>
      <c r="Q142" s="16"/>
      <c r="R142" s="16"/>
      <c r="S142" s="16"/>
      <c r="T142" s="16"/>
      <c r="U142" s="16"/>
      <c r="V142" s="16"/>
      <c r="W142" s="13"/>
      <c r="X142" s="13"/>
      <c r="Y142" s="13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</row>
    <row r="143" spans="1:74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2"/>
      <c r="L143" s="3"/>
      <c r="M143" s="3"/>
      <c r="N143" s="29"/>
      <c r="O143" s="29"/>
      <c r="P143" s="29"/>
      <c r="Q143" s="16"/>
      <c r="R143" s="16"/>
      <c r="S143" s="16"/>
      <c r="T143" s="16"/>
      <c r="U143" s="16"/>
      <c r="V143" s="16"/>
      <c r="W143" s="13"/>
      <c r="X143" s="13"/>
      <c r="Y143" s="13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</row>
    <row r="144" spans="1:74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2"/>
      <c r="L144" s="3"/>
      <c r="M144" s="3"/>
      <c r="N144" s="29"/>
      <c r="O144" s="29"/>
      <c r="P144" s="29"/>
      <c r="Q144" s="16"/>
      <c r="R144" s="16"/>
      <c r="S144" s="16"/>
      <c r="T144" s="16"/>
      <c r="U144" s="16"/>
      <c r="V144" s="16"/>
      <c r="W144" s="13"/>
      <c r="X144" s="13"/>
      <c r="Y144" s="13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</row>
    <row r="145" spans="1:74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2"/>
      <c r="L145" s="3"/>
      <c r="M145" s="3"/>
      <c r="N145" s="29"/>
      <c r="O145" s="29"/>
      <c r="P145" s="29"/>
      <c r="Q145" s="16"/>
      <c r="R145" s="16"/>
      <c r="S145" s="16"/>
      <c r="T145" s="16"/>
      <c r="U145" s="16"/>
      <c r="V145" s="16"/>
      <c r="W145" s="13"/>
      <c r="X145" s="13"/>
      <c r="Y145" s="13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</row>
    <row r="146" spans="1:74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2"/>
      <c r="L146" s="3"/>
      <c r="M146" s="3"/>
      <c r="N146" s="29"/>
      <c r="O146" s="29"/>
      <c r="P146" s="29"/>
      <c r="Q146" s="16"/>
      <c r="R146" s="16"/>
      <c r="S146" s="16"/>
      <c r="T146" s="16"/>
      <c r="U146" s="16"/>
      <c r="V146" s="16"/>
      <c r="W146" s="13"/>
      <c r="X146" s="13"/>
      <c r="Y146" s="13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</row>
    <row r="147" spans="1:74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2"/>
      <c r="L147" s="3"/>
      <c r="M147" s="3"/>
      <c r="N147" s="29"/>
      <c r="O147" s="29"/>
      <c r="P147" s="29"/>
      <c r="Q147" s="16"/>
      <c r="R147" s="16"/>
      <c r="S147" s="16"/>
      <c r="T147" s="16"/>
      <c r="U147" s="16"/>
      <c r="V147" s="16"/>
      <c r="W147" s="13"/>
      <c r="X147" s="13"/>
      <c r="Y147" s="13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</row>
    <row r="148" spans="1:74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2"/>
      <c r="L148" s="3"/>
      <c r="M148" s="3"/>
      <c r="N148" s="29"/>
      <c r="O148" s="29"/>
      <c r="P148" s="29"/>
      <c r="Q148" s="16"/>
      <c r="R148" s="16"/>
      <c r="S148" s="16"/>
      <c r="T148" s="16"/>
      <c r="U148" s="16"/>
      <c r="V148" s="16"/>
      <c r="W148" s="13"/>
      <c r="X148" s="13"/>
      <c r="Y148" s="13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</row>
    <row r="149" spans="1:74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2"/>
      <c r="L149" s="3"/>
      <c r="M149" s="3"/>
      <c r="N149" s="29"/>
      <c r="O149" s="29"/>
      <c r="P149" s="29"/>
      <c r="Q149" s="16"/>
      <c r="R149" s="16"/>
      <c r="S149" s="16"/>
      <c r="T149" s="16"/>
      <c r="U149" s="16"/>
      <c r="V149" s="16"/>
      <c r="W149" s="13"/>
      <c r="X149" s="13"/>
      <c r="Y149" s="13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</row>
    <row r="150" spans="1:74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2"/>
      <c r="L150" s="3"/>
      <c r="M150" s="3"/>
      <c r="N150" s="29"/>
      <c r="O150" s="29"/>
      <c r="P150" s="29"/>
      <c r="Q150" s="16"/>
      <c r="R150" s="16"/>
      <c r="S150" s="16"/>
      <c r="T150" s="16"/>
      <c r="U150" s="16"/>
      <c r="V150" s="16"/>
      <c r="W150" s="13"/>
      <c r="X150" s="13"/>
      <c r="Y150" s="13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</row>
    <row r="151" spans="1:74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2"/>
      <c r="L151" s="3"/>
      <c r="M151" s="3"/>
      <c r="N151" s="29"/>
      <c r="O151" s="29"/>
      <c r="P151" s="29"/>
      <c r="Q151" s="16"/>
      <c r="R151" s="16"/>
      <c r="S151" s="16"/>
      <c r="T151" s="16"/>
      <c r="U151" s="16"/>
      <c r="V151" s="16"/>
      <c r="W151" s="13"/>
      <c r="X151" s="13"/>
      <c r="Y151" s="13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</row>
    <row r="152" spans="1:74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2"/>
      <c r="L152" s="3"/>
      <c r="M152" s="3"/>
      <c r="N152" s="29"/>
      <c r="O152" s="29"/>
      <c r="P152" s="29"/>
      <c r="Q152" s="16"/>
      <c r="R152" s="16"/>
      <c r="S152" s="16"/>
      <c r="T152" s="16"/>
      <c r="U152" s="16"/>
      <c r="V152" s="16"/>
      <c r="W152" s="13"/>
      <c r="X152" s="13"/>
      <c r="Y152" s="13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</row>
    <row r="153" spans="1:74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2"/>
      <c r="L153" s="3"/>
      <c r="M153" s="3"/>
      <c r="N153" s="29"/>
      <c r="O153" s="29"/>
      <c r="P153" s="29"/>
      <c r="Q153" s="16"/>
      <c r="R153" s="16"/>
      <c r="S153" s="16"/>
      <c r="T153" s="16"/>
      <c r="U153" s="16"/>
      <c r="V153" s="16"/>
      <c r="W153" s="13"/>
      <c r="X153" s="13"/>
      <c r="Y153" s="13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</row>
    <row r="154" spans="1:74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2"/>
      <c r="L154" s="3"/>
      <c r="M154" s="3"/>
      <c r="N154" s="29"/>
      <c r="O154" s="29"/>
      <c r="P154" s="29"/>
      <c r="Q154" s="16"/>
      <c r="R154" s="16"/>
      <c r="S154" s="16"/>
      <c r="T154" s="16"/>
      <c r="U154" s="16"/>
      <c r="V154" s="16"/>
      <c r="W154" s="13"/>
      <c r="X154" s="13"/>
      <c r="Y154" s="13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</row>
    <row r="155" spans="1:74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2"/>
      <c r="L155" s="3"/>
      <c r="M155" s="3"/>
      <c r="N155" s="29"/>
      <c r="O155" s="29"/>
      <c r="P155" s="29"/>
      <c r="Q155" s="16"/>
      <c r="R155" s="16"/>
      <c r="S155" s="16"/>
      <c r="T155" s="16"/>
      <c r="U155" s="16"/>
      <c r="V155" s="16"/>
      <c r="W155" s="13"/>
      <c r="X155" s="13"/>
      <c r="Y155" s="13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</row>
    <row r="156" spans="1:74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2"/>
      <c r="L156" s="3"/>
      <c r="M156" s="3"/>
      <c r="N156" s="29"/>
      <c r="O156" s="29"/>
      <c r="P156" s="29"/>
      <c r="Q156" s="16"/>
      <c r="R156" s="16"/>
      <c r="S156" s="16"/>
      <c r="T156" s="16"/>
      <c r="U156" s="16"/>
      <c r="V156" s="16"/>
      <c r="W156" s="13"/>
      <c r="X156" s="13"/>
      <c r="Y156" s="13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</row>
    <row r="157" spans="1:74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2"/>
      <c r="L157" s="3"/>
      <c r="M157" s="3"/>
      <c r="N157" s="29"/>
      <c r="O157" s="29"/>
      <c r="P157" s="29"/>
      <c r="Q157" s="16"/>
      <c r="R157" s="16"/>
      <c r="S157" s="16"/>
      <c r="T157" s="16"/>
      <c r="U157" s="16"/>
      <c r="V157" s="16"/>
      <c r="W157" s="13"/>
      <c r="X157" s="13"/>
      <c r="Y157" s="13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</row>
    <row r="158" spans="1:74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2"/>
      <c r="L158" s="3"/>
      <c r="M158" s="3"/>
      <c r="N158" s="29"/>
      <c r="O158" s="29"/>
      <c r="P158" s="29"/>
      <c r="Q158" s="16"/>
      <c r="R158" s="16"/>
      <c r="S158" s="16"/>
      <c r="T158" s="16"/>
      <c r="U158" s="16"/>
      <c r="V158" s="16"/>
      <c r="W158" s="13"/>
      <c r="X158" s="13"/>
      <c r="Y158" s="13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</row>
    <row r="159" spans="1:74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2"/>
      <c r="L159" s="3"/>
      <c r="M159" s="3"/>
      <c r="N159" s="29"/>
      <c r="O159" s="29"/>
      <c r="P159" s="29"/>
      <c r="Q159" s="16"/>
      <c r="R159" s="16"/>
      <c r="S159" s="16"/>
      <c r="T159" s="16"/>
      <c r="U159" s="16"/>
      <c r="V159" s="16"/>
      <c r="W159" s="13"/>
      <c r="X159" s="13"/>
      <c r="Y159" s="13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</row>
    <row r="160" spans="1:74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2"/>
      <c r="L160" s="3"/>
      <c r="M160" s="3"/>
      <c r="N160" s="29"/>
      <c r="O160" s="29"/>
      <c r="P160" s="29"/>
      <c r="Q160" s="16"/>
      <c r="R160" s="16"/>
      <c r="S160" s="16"/>
      <c r="T160" s="16"/>
      <c r="U160" s="16"/>
      <c r="V160" s="16"/>
      <c r="W160" s="13"/>
      <c r="X160" s="13"/>
      <c r="Y160" s="13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</row>
    <row r="161" spans="1:74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2"/>
      <c r="L161" s="3"/>
      <c r="M161" s="3"/>
      <c r="N161" s="29"/>
      <c r="O161" s="29"/>
      <c r="P161" s="29"/>
      <c r="Q161" s="16"/>
      <c r="R161" s="16"/>
      <c r="S161" s="16"/>
      <c r="T161" s="16"/>
      <c r="U161" s="16"/>
      <c r="V161" s="16"/>
      <c r="W161" s="13"/>
      <c r="X161" s="13"/>
      <c r="Y161" s="13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</row>
    <row r="162" spans="1:74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2"/>
      <c r="L162" s="3"/>
      <c r="M162" s="3"/>
      <c r="N162" s="29"/>
      <c r="O162" s="29"/>
      <c r="P162" s="29"/>
      <c r="Q162" s="16"/>
      <c r="R162" s="16"/>
      <c r="S162" s="16"/>
      <c r="T162" s="16"/>
      <c r="U162" s="16"/>
      <c r="V162" s="16"/>
      <c r="W162" s="13"/>
      <c r="X162" s="13"/>
      <c r="Y162" s="13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</row>
    <row r="163" spans="1:74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2"/>
      <c r="L163" s="3"/>
      <c r="M163" s="3"/>
      <c r="N163" s="29"/>
      <c r="O163" s="29"/>
      <c r="P163" s="29"/>
      <c r="Q163" s="16"/>
      <c r="R163" s="16"/>
      <c r="S163" s="16"/>
      <c r="T163" s="16"/>
      <c r="U163" s="16"/>
      <c r="V163" s="16"/>
      <c r="W163" s="13"/>
      <c r="X163" s="13"/>
      <c r="Y163" s="13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</row>
    <row r="164" spans="1:74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2"/>
      <c r="L164" s="3"/>
      <c r="M164" s="3"/>
      <c r="N164" s="29"/>
      <c r="O164" s="29"/>
      <c r="P164" s="29"/>
      <c r="Q164" s="16"/>
      <c r="R164" s="16"/>
      <c r="S164" s="16"/>
      <c r="T164" s="16"/>
      <c r="U164" s="16"/>
      <c r="V164" s="16"/>
      <c r="W164" s="13"/>
      <c r="X164" s="13"/>
      <c r="Y164" s="13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</row>
    <row r="165" spans="1:74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2"/>
      <c r="L165" s="3"/>
      <c r="M165" s="3"/>
      <c r="N165" s="29"/>
      <c r="O165" s="29"/>
      <c r="P165" s="29"/>
      <c r="Q165" s="16"/>
      <c r="R165" s="16"/>
      <c r="S165" s="16"/>
      <c r="T165" s="16"/>
      <c r="U165" s="16"/>
      <c r="V165" s="16"/>
      <c r="W165" s="13"/>
      <c r="X165" s="13"/>
      <c r="Y165" s="13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</row>
    <row r="166" spans="1:74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2"/>
      <c r="L166" s="3"/>
      <c r="M166" s="3"/>
      <c r="N166" s="29"/>
      <c r="O166" s="29"/>
      <c r="P166" s="29"/>
      <c r="Q166" s="16"/>
      <c r="R166" s="16"/>
      <c r="S166" s="16"/>
      <c r="T166" s="16"/>
      <c r="U166" s="16"/>
      <c r="V166" s="16"/>
      <c r="W166" s="13"/>
      <c r="X166" s="13"/>
      <c r="Y166" s="13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</row>
    <row r="167" spans="1:74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2"/>
      <c r="L167" s="3"/>
      <c r="M167" s="3"/>
      <c r="N167" s="29"/>
      <c r="O167" s="29"/>
      <c r="P167" s="29"/>
      <c r="Q167" s="16"/>
      <c r="R167" s="16"/>
      <c r="S167" s="16"/>
      <c r="T167" s="16"/>
      <c r="U167" s="16"/>
      <c r="V167" s="16"/>
      <c r="W167" s="13"/>
      <c r="X167" s="13"/>
      <c r="Y167" s="13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</row>
    <row r="168" spans="1:74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2"/>
      <c r="L168" s="3"/>
      <c r="M168" s="3"/>
      <c r="N168" s="29"/>
      <c r="O168" s="29"/>
      <c r="P168" s="29"/>
      <c r="Q168" s="16"/>
      <c r="R168" s="16"/>
      <c r="S168" s="16"/>
      <c r="T168" s="16"/>
      <c r="U168" s="16"/>
      <c r="V168" s="16"/>
      <c r="W168" s="13"/>
      <c r="X168" s="13"/>
      <c r="Y168" s="13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</row>
    <row r="169" spans="1:74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2"/>
      <c r="L169" s="3"/>
      <c r="M169" s="3"/>
      <c r="N169" s="29"/>
      <c r="O169" s="29"/>
      <c r="P169" s="29"/>
      <c r="Q169" s="16"/>
      <c r="R169" s="16"/>
      <c r="S169" s="16"/>
      <c r="T169" s="16"/>
      <c r="U169" s="16"/>
      <c r="V169" s="16"/>
      <c r="W169" s="13"/>
      <c r="X169" s="13"/>
      <c r="Y169" s="13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</row>
    <row r="170" spans="1:74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2"/>
      <c r="L170" s="3"/>
      <c r="M170" s="3"/>
      <c r="N170" s="29"/>
      <c r="O170" s="29"/>
      <c r="P170" s="29"/>
      <c r="Q170" s="16"/>
      <c r="R170" s="16"/>
      <c r="S170" s="16"/>
      <c r="T170" s="16"/>
      <c r="U170" s="16"/>
      <c r="V170" s="16"/>
      <c r="W170" s="13"/>
      <c r="X170" s="13"/>
      <c r="Y170" s="13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</row>
    <row r="171" spans="1:74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2"/>
      <c r="L171" s="3"/>
      <c r="M171" s="3"/>
      <c r="N171" s="29"/>
      <c r="O171" s="29"/>
      <c r="P171" s="29"/>
      <c r="Q171" s="16"/>
      <c r="R171" s="16"/>
      <c r="S171" s="16"/>
      <c r="T171" s="16"/>
      <c r="U171" s="16"/>
      <c r="V171" s="16"/>
      <c r="W171" s="13"/>
      <c r="X171" s="13"/>
      <c r="Y171" s="13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</row>
    <row r="172" spans="1:74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2"/>
      <c r="L172" s="3"/>
      <c r="M172" s="3"/>
      <c r="N172" s="29"/>
      <c r="O172" s="29"/>
      <c r="P172" s="29"/>
      <c r="Q172" s="16"/>
      <c r="R172" s="16"/>
      <c r="S172" s="16"/>
      <c r="T172" s="16"/>
      <c r="U172" s="16"/>
      <c r="V172" s="16"/>
      <c r="W172" s="13"/>
      <c r="X172" s="13"/>
      <c r="Y172" s="13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</row>
    <row r="173" spans="1:74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2"/>
      <c r="L173" s="3"/>
      <c r="M173" s="3"/>
      <c r="N173" s="29"/>
      <c r="O173" s="29"/>
      <c r="P173" s="29"/>
      <c r="Q173" s="16"/>
      <c r="R173" s="16"/>
      <c r="S173" s="16"/>
      <c r="T173" s="16"/>
      <c r="U173" s="16"/>
      <c r="V173" s="16"/>
      <c r="W173" s="13"/>
      <c r="X173" s="13"/>
      <c r="Y173" s="13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</row>
    <row r="174" spans="1:74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2"/>
      <c r="L174" s="3"/>
      <c r="M174" s="3"/>
      <c r="N174" s="29"/>
      <c r="O174" s="29"/>
      <c r="P174" s="29"/>
      <c r="Q174" s="16"/>
      <c r="R174" s="16"/>
      <c r="S174" s="16"/>
      <c r="T174" s="16"/>
      <c r="U174" s="16"/>
      <c r="V174" s="16"/>
      <c r="W174" s="13"/>
      <c r="X174" s="13"/>
      <c r="Y174" s="13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</row>
    <row r="175" spans="1:74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2"/>
      <c r="L175" s="3"/>
      <c r="M175" s="3"/>
      <c r="N175" s="29"/>
      <c r="O175" s="29"/>
      <c r="P175" s="29"/>
      <c r="Q175" s="16"/>
      <c r="R175" s="16"/>
      <c r="S175" s="16"/>
      <c r="T175" s="16"/>
      <c r="U175" s="16"/>
      <c r="V175" s="16"/>
      <c r="W175" s="13"/>
      <c r="X175" s="13"/>
      <c r="Y175" s="13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</row>
    <row r="176" spans="1:74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2"/>
      <c r="L176" s="3"/>
      <c r="M176" s="3"/>
      <c r="N176" s="29"/>
      <c r="O176" s="29"/>
      <c r="P176" s="29"/>
      <c r="Q176" s="16"/>
      <c r="R176" s="16"/>
      <c r="S176" s="16"/>
      <c r="T176" s="16"/>
      <c r="U176" s="16"/>
      <c r="V176" s="16"/>
      <c r="W176" s="13"/>
      <c r="X176" s="13"/>
      <c r="Y176" s="13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</row>
    <row r="177" spans="1:74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2"/>
      <c r="L177" s="3"/>
      <c r="M177" s="3"/>
      <c r="N177" s="29"/>
      <c r="O177" s="29"/>
      <c r="P177" s="29"/>
      <c r="Q177" s="16"/>
      <c r="R177" s="16"/>
      <c r="S177" s="16"/>
      <c r="T177" s="16"/>
      <c r="U177" s="16"/>
      <c r="V177" s="16"/>
      <c r="W177" s="13"/>
      <c r="X177" s="13"/>
      <c r="Y177" s="13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</row>
    <row r="178" spans="1:74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2"/>
      <c r="L178" s="3"/>
      <c r="M178" s="3"/>
      <c r="N178" s="29"/>
      <c r="O178" s="29"/>
      <c r="P178" s="29"/>
      <c r="Q178" s="16"/>
      <c r="R178" s="16"/>
      <c r="S178" s="16"/>
      <c r="T178" s="16"/>
      <c r="U178" s="16"/>
      <c r="V178" s="16"/>
      <c r="W178" s="13"/>
      <c r="X178" s="13"/>
      <c r="Y178" s="13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</row>
    <row r="179" spans="1:74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2"/>
      <c r="L179" s="3"/>
      <c r="M179" s="3"/>
      <c r="N179" s="29"/>
      <c r="O179" s="29"/>
      <c r="P179" s="29"/>
      <c r="Q179" s="16"/>
      <c r="R179" s="16"/>
      <c r="S179" s="16"/>
      <c r="T179" s="16"/>
      <c r="U179" s="16"/>
      <c r="V179" s="16"/>
      <c r="W179" s="13"/>
      <c r="X179" s="13"/>
      <c r="Y179" s="13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</row>
    <row r="180" spans="1:74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2"/>
      <c r="L180" s="3"/>
      <c r="M180" s="3"/>
      <c r="N180" s="29"/>
      <c r="O180" s="29"/>
      <c r="P180" s="29"/>
      <c r="Q180" s="16"/>
      <c r="R180" s="16"/>
      <c r="S180" s="16"/>
      <c r="T180" s="16"/>
      <c r="U180" s="16"/>
      <c r="V180" s="16"/>
      <c r="W180" s="13"/>
      <c r="X180" s="13"/>
      <c r="Y180" s="13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</row>
    <row r="181" spans="1:74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2"/>
      <c r="L181" s="3"/>
      <c r="M181" s="3"/>
      <c r="N181" s="29"/>
      <c r="O181" s="29"/>
      <c r="P181" s="29"/>
      <c r="Q181" s="16"/>
      <c r="R181" s="16"/>
      <c r="S181" s="16"/>
      <c r="T181" s="16"/>
      <c r="U181" s="16"/>
      <c r="V181" s="16"/>
      <c r="W181" s="13"/>
      <c r="X181" s="13"/>
      <c r="Y181" s="13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</row>
    <row r="182" spans="1:74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2"/>
      <c r="L182" s="3"/>
      <c r="M182" s="3"/>
      <c r="N182" s="29"/>
      <c r="O182" s="29"/>
      <c r="P182" s="29"/>
      <c r="Q182" s="16"/>
      <c r="R182" s="16"/>
      <c r="S182" s="16"/>
      <c r="T182" s="16"/>
      <c r="U182" s="16"/>
      <c r="V182" s="16"/>
      <c r="W182" s="13"/>
      <c r="X182" s="13"/>
      <c r="Y182" s="13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</row>
    <row r="183" spans="1:74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2"/>
      <c r="L183" s="3"/>
      <c r="M183" s="3"/>
      <c r="N183" s="29"/>
      <c r="O183" s="29"/>
      <c r="P183" s="29"/>
      <c r="Q183" s="16"/>
      <c r="R183" s="16"/>
      <c r="S183" s="16"/>
      <c r="T183" s="16"/>
      <c r="U183" s="16"/>
      <c r="V183" s="16"/>
      <c r="W183" s="13"/>
      <c r="X183" s="13"/>
      <c r="Y183" s="13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</row>
    <row r="184" spans="1:74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2"/>
      <c r="L184" s="3"/>
      <c r="M184" s="3"/>
      <c r="N184" s="29"/>
      <c r="O184" s="29"/>
      <c r="P184" s="29"/>
      <c r="Q184" s="16"/>
      <c r="R184" s="16"/>
      <c r="S184" s="16"/>
      <c r="T184" s="16"/>
      <c r="U184" s="16"/>
      <c r="V184" s="16"/>
      <c r="W184" s="13"/>
      <c r="X184" s="13"/>
      <c r="Y184" s="13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</row>
    <row r="185" spans="1:74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2"/>
      <c r="L185" s="3"/>
      <c r="M185" s="3"/>
      <c r="N185" s="29"/>
      <c r="O185" s="29"/>
      <c r="P185" s="29"/>
      <c r="Q185" s="16"/>
      <c r="R185" s="16"/>
      <c r="S185" s="16"/>
      <c r="T185" s="16"/>
      <c r="U185" s="16"/>
      <c r="V185" s="16"/>
      <c r="W185" s="13"/>
      <c r="X185" s="13"/>
      <c r="Y185" s="13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</row>
    <row r="186" spans="1:74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2"/>
      <c r="L186" s="3"/>
      <c r="M186" s="3"/>
      <c r="N186" s="29"/>
      <c r="O186" s="29"/>
      <c r="P186" s="29"/>
      <c r="Q186" s="16"/>
      <c r="R186" s="16"/>
      <c r="S186" s="16"/>
      <c r="T186" s="16"/>
      <c r="U186" s="16"/>
      <c r="V186" s="16"/>
      <c r="W186" s="13"/>
      <c r="X186" s="13"/>
      <c r="Y186" s="13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</row>
    <row r="187" spans="1:74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2"/>
      <c r="L187" s="3"/>
      <c r="M187" s="3"/>
      <c r="N187" s="29"/>
      <c r="O187" s="29"/>
      <c r="P187" s="29"/>
      <c r="Q187" s="16"/>
      <c r="R187" s="16"/>
      <c r="S187" s="16"/>
      <c r="T187" s="16"/>
      <c r="U187" s="16"/>
      <c r="V187" s="16"/>
      <c r="W187" s="13"/>
      <c r="X187" s="13"/>
      <c r="Y187" s="13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</row>
    <row r="188" spans="1:74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2"/>
      <c r="L188" s="3"/>
      <c r="M188" s="3"/>
      <c r="N188" s="29"/>
      <c r="O188" s="29"/>
      <c r="P188" s="29"/>
      <c r="Q188" s="16"/>
      <c r="R188" s="16"/>
      <c r="S188" s="16"/>
      <c r="T188" s="16"/>
      <c r="U188" s="16"/>
      <c r="V188" s="16"/>
      <c r="W188" s="13"/>
      <c r="X188" s="13"/>
      <c r="Y188" s="13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</row>
    <row r="189" spans="1:74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2"/>
      <c r="L189" s="3"/>
      <c r="M189" s="3"/>
      <c r="N189" s="29"/>
      <c r="O189" s="29"/>
      <c r="P189" s="29"/>
      <c r="Q189" s="16"/>
      <c r="R189" s="16"/>
      <c r="S189" s="16"/>
      <c r="T189" s="16"/>
      <c r="U189" s="16"/>
      <c r="V189" s="16"/>
      <c r="W189" s="13"/>
      <c r="X189" s="13"/>
      <c r="Y189" s="13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</row>
    <row r="190" spans="1:74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2"/>
      <c r="L190" s="3"/>
      <c r="M190" s="3"/>
      <c r="N190" s="29"/>
      <c r="O190" s="29"/>
      <c r="P190" s="29"/>
      <c r="Q190" s="16"/>
      <c r="R190" s="16"/>
      <c r="S190" s="16"/>
      <c r="T190" s="16"/>
      <c r="U190" s="16"/>
      <c r="V190" s="16"/>
      <c r="W190" s="13"/>
      <c r="X190" s="13"/>
      <c r="Y190" s="13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</row>
    <row r="191" spans="1:74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2"/>
      <c r="L191" s="3"/>
      <c r="M191" s="3"/>
      <c r="N191" s="29"/>
      <c r="O191" s="29"/>
      <c r="P191" s="29"/>
      <c r="Q191" s="16"/>
      <c r="R191" s="16"/>
      <c r="S191" s="16"/>
      <c r="T191" s="16"/>
      <c r="U191" s="16"/>
      <c r="V191" s="16"/>
      <c r="W191" s="13"/>
      <c r="X191" s="13"/>
      <c r="Y191" s="13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</row>
    <row r="192" spans="1:74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2"/>
      <c r="L192" s="3"/>
      <c r="M192" s="3"/>
      <c r="N192" s="29"/>
      <c r="O192" s="29"/>
      <c r="P192" s="29"/>
      <c r="Q192" s="16"/>
      <c r="R192" s="16"/>
      <c r="S192" s="16"/>
      <c r="T192" s="16"/>
      <c r="U192" s="16"/>
      <c r="V192" s="16"/>
      <c r="W192" s="13"/>
      <c r="X192" s="13"/>
      <c r="Y192" s="13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</row>
    <row r="193" spans="1:74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2"/>
      <c r="L193" s="3"/>
      <c r="M193" s="3"/>
      <c r="N193" s="29"/>
      <c r="O193" s="29"/>
      <c r="P193" s="29"/>
      <c r="Q193" s="16"/>
      <c r="R193" s="16"/>
      <c r="S193" s="16"/>
      <c r="T193" s="16"/>
      <c r="U193" s="16"/>
      <c r="V193" s="16"/>
      <c r="W193" s="13"/>
      <c r="X193" s="13"/>
      <c r="Y193" s="13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</row>
    <row r="194" spans="1:74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2"/>
      <c r="L194" s="3"/>
      <c r="M194" s="3"/>
      <c r="N194" s="29"/>
      <c r="O194" s="29"/>
      <c r="P194" s="29"/>
      <c r="Q194" s="16"/>
      <c r="R194" s="16"/>
      <c r="S194" s="16"/>
      <c r="T194" s="16"/>
      <c r="U194" s="16"/>
      <c r="V194" s="16"/>
      <c r="W194" s="13"/>
      <c r="X194" s="13"/>
      <c r="Y194" s="13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</row>
    <row r="195" spans="1:74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2"/>
      <c r="L195" s="3"/>
      <c r="M195" s="3"/>
      <c r="N195" s="29"/>
      <c r="O195" s="29"/>
      <c r="P195" s="29"/>
      <c r="Q195" s="16"/>
      <c r="R195" s="16"/>
      <c r="S195" s="16"/>
      <c r="T195" s="16"/>
      <c r="U195" s="16"/>
      <c r="V195" s="16"/>
      <c r="W195" s="13"/>
      <c r="X195" s="13"/>
      <c r="Y195" s="13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</row>
    <row r="196" spans="1:74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2"/>
      <c r="L196" s="3"/>
      <c r="M196" s="3"/>
      <c r="N196" s="29"/>
      <c r="O196" s="29"/>
      <c r="P196" s="29"/>
      <c r="Q196" s="16"/>
      <c r="R196" s="16"/>
      <c r="S196" s="16"/>
      <c r="T196" s="16"/>
      <c r="U196" s="16"/>
      <c r="V196" s="16"/>
      <c r="W196" s="13"/>
      <c r="X196" s="13"/>
      <c r="Y196" s="13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</row>
    <row r="197" spans="1:74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2"/>
      <c r="L197" s="3"/>
      <c r="M197" s="3"/>
      <c r="N197" s="29"/>
      <c r="O197" s="29"/>
      <c r="P197" s="29"/>
      <c r="Q197" s="16"/>
      <c r="R197" s="16"/>
      <c r="S197" s="16"/>
      <c r="T197" s="16"/>
      <c r="U197" s="16"/>
      <c r="V197" s="16"/>
      <c r="W197" s="13"/>
      <c r="X197" s="13"/>
      <c r="Y197" s="13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</row>
    <row r="198" spans="1:74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2"/>
      <c r="L198" s="3"/>
      <c r="M198" s="3"/>
      <c r="N198" s="29"/>
      <c r="O198" s="29"/>
      <c r="P198" s="29"/>
      <c r="Q198" s="16"/>
      <c r="R198" s="16"/>
      <c r="S198" s="16"/>
      <c r="T198" s="16"/>
      <c r="U198" s="16"/>
      <c r="V198" s="16"/>
      <c r="W198" s="13"/>
      <c r="X198" s="13"/>
      <c r="Y198" s="13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</row>
    <row r="199" spans="1:74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2"/>
      <c r="L199" s="3"/>
      <c r="M199" s="3"/>
      <c r="N199" s="29"/>
      <c r="O199" s="29"/>
      <c r="P199" s="29"/>
      <c r="Q199" s="16"/>
      <c r="R199" s="16"/>
      <c r="S199" s="16"/>
      <c r="T199" s="16"/>
      <c r="U199" s="16"/>
      <c r="V199" s="16"/>
      <c r="W199" s="13"/>
      <c r="X199" s="13"/>
      <c r="Y199" s="13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</row>
    <row r="200" spans="1:74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2"/>
      <c r="L200" s="3"/>
      <c r="M200" s="3"/>
      <c r="N200" s="29"/>
      <c r="O200" s="29"/>
      <c r="P200" s="29"/>
      <c r="Q200" s="16"/>
      <c r="R200" s="16"/>
      <c r="S200" s="16"/>
      <c r="T200" s="16"/>
      <c r="U200" s="16"/>
      <c r="V200" s="16"/>
      <c r="W200" s="13"/>
      <c r="X200" s="13"/>
      <c r="Y200" s="13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</row>
    <row r="201" spans="1:74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2"/>
      <c r="L201" s="3"/>
      <c r="M201" s="3"/>
      <c r="N201" s="29"/>
      <c r="O201" s="29"/>
      <c r="P201" s="29"/>
      <c r="Q201" s="16"/>
      <c r="R201" s="16"/>
      <c r="S201" s="16"/>
      <c r="T201" s="16"/>
      <c r="U201" s="16"/>
      <c r="V201" s="16"/>
      <c r="W201" s="13"/>
      <c r="X201" s="13"/>
      <c r="Y201" s="13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</row>
    <row r="202" spans="1:74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2"/>
      <c r="L202" s="3"/>
      <c r="M202" s="3"/>
      <c r="N202" s="29"/>
      <c r="O202" s="29"/>
      <c r="P202" s="29"/>
      <c r="Q202" s="16"/>
      <c r="R202" s="16"/>
      <c r="S202" s="16"/>
      <c r="T202" s="16"/>
      <c r="U202" s="16"/>
      <c r="V202" s="16"/>
      <c r="W202" s="13"/>
      <c r="X202" s="13"/>
      <c r="Y202" s="13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</row>
    <row r="203" spans="1:74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2"/>
      <c r="L203" s="3"/>
      <c r="M203" s="3"/>
      <c r="N203" s="29"/>
      <c r="O203" s="29"/>
      <c r="P203" s="29"/>
      <c r="Q203" s="16"/>
      <c r="R203" s="16"/>
      <c r="S203" s="16"/>
      <c r="T203" s="16"/>
      <c r="U203" s="16"/>
      <c r="V203" s="16"/>
      <c r="W203" s="13"/>
      <c r="X203" s="13"/>
      <c r="Y203" s="13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</row>
    <row r="204" spans="1:74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2"/>
      <c r="L204" s="3"/>
      <c r="M204" s="3"/>
      <c r="N204" s="29"/>
      <c r="O204" s="29"/>
      <c r="P204" s="29"/>
      <c r="Q204" s="16"/>
      <c r="R204" s="16"/>
      <c r="S204" s="16"/>
      <c r="T204" s="16"/>
      <c r="U204" s="16"/>
      <c r="V204" s="16"/>
      <c r="W204" s="13"/>
      <c r="X204" s="13"/>
      <c r="Y204" s="13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</row>
    <row r="205" spans="1:74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2"/>
      <c r="L205" s="3"/>
      <c r="M205" s="3"/>
      <c r="N205" s="29"/>
      <c r="O205" s="29"/>
      <c r="P205" s="29"/>
      <c r="Q205" s="16"/>
      <c r="R205" s="16"/>
      <c r="S205" s="16"/>
      <c r="T205" s="16"/>
      <c r="U205" s="16"/>
      <c r="V205" s="16"/>
      <c r="W205" s="13"/>
      <c r="X205" s="13"/>
      <c r="Y205" s="13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</row>
    <row r="206" spans="1:74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2"/>
      <c r="L206" s="3"/>
      <c r="M206" s="3"/>
      <c r="N206" s="29"/>
      <c r="O206" s="29"/>
      <c r="P206" s="29"/>
      <c r="Q206" s="16"/>
      <c r="R206" s="16"/>
      <c r="S206" s="16"/>
      <c r="T206" s="16"/>
      <c r="U206" s="16"/>
      <c r="V206" s="16"/>
      <c r="W206" s="13"/>
      <c r="X206" s="13"/>
      <c r="Y206" s="13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</row>
    <row r="207" spans="1:74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2"/>
      <c r="L207" s="3"/>
      <c r="M207" s="3"/>
      <c r="N207" s="29"/>
      <c r="O207" s="29"/>
      <c r="P207" s="29"/>
      <c r="Q207" s="16"/>
      <c r="R207" s="16"/>
      <c r="S207" s="16"/>
      <c r="T207" s="16"/>
      <c r="U207" s="16"/>
      <c r="V207" s="16"/>
      <c r="W207" s="13"/>
      <c r="X207" s="13"/>
      <c r="Y207" s="13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</row>
    <row r="208" spans="1:74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2"/>
      <c r="L208" s="3"/>
      <c r="M208" s="3"/>
      <c r="N208" s="29"/>
      <c r="O208" s="29"/>
      <c r="P208" s="29"/>
      <c r="Q208" s="16"/>
      <c r="R208" s="16"/>
      <c r="S208" s="16"/>
      <c r="T208" s="16"/>
      <c r="U208" s="16"/>
      <c r="V208" s="16"/>
      <c r="W208" s="13"/>
      <c r="X208" s="13"/>
      <c r="Y208" s="13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</row>
    <row r="209" spans="1:74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2"/>
      <c r="L209" s="3"/>
      <c r="M209" s="3"/>
      <c r="N209" s="29"/>
      <c r="O209" s="29"/>
      <c r="P209" s="29"/>
      <c r="Q209" s="16"/>
      <c r="R209" s="16"/>
      <c r="S209" s="16"/>
      <c r="T209" s="16"/>
      <c r="U209" s="16"/>
      <c r="V209" s="16"/>
      <c r="W209" s="13"/>
      <c r="X209" s="13"/>
      <c r="Y209" s="13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</row>
    <row r="210" spans="1:74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2"/>
      <c r="L210" s="3"/>
      <c r="M210" s="3"/>
      <c r="N210" s="29"/>
      <c r="O210" s="29"/>
      <c r="P210" s="29"/>
      <c r="Q210" s="16"/>
      <c r="R210" s="16"/>
      <c r="S210" s="16"/>
      <c r="T210" s="16"/>
      <c r="U210" s="16"/>
      <c r="V210" s="16"/>
      <c r="W210" s="13"/>
      <c r="X210" s="13"/>
      <c r="Y210" s="13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</row>
    <row r="211" spans="1:74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2"/>
      <c r="L211" s="3"/>
      <c r="M211" s="3"/>
      <c r="N211" s="29"/>
      <c r="O211" s="29"/>
      <c r="P211" s="29"/>
      <c r="Q211" s="16"/>
      <c r="R211" s="16"/>
      <c r="S211" s="16"/>
      <c r="T211" s="16"/>
      <c r="U211" s="16"/>
      <c r="V211" s="16"/>
      <c r="W211" s="13"/>
      <c r="X211" s="13"/>
      <c r="Y211" s="13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</row>
    <row r="212" spans="1:74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2"/>
      <c r="L212" s="3"/>
      <c r="M212" s="3"/>
      <c r="N212" s="29"/>
      <c r="O212" s="29"/>
      <c r="P212" s="29"/>
      <c r="Q212" s="16"/>
      <c r="R212" s="16"/>
      <c r="S212" s="16"/>
      <c r="T212" s="16"/>
      <c r="U212" s="16"/>
      <c r="V212" s="16"/>
      <c r="W212" s="13"/>
      <c r="X212" s="13"/>
      <c r="Y212" s="13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</row>
    <row r="213" spans="1:74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2"/>
      <c r="L213" s="3"/>
      <c r="M213" s="3"/>
      <c r="N213" s="29"/>
      <c r="O213" s="29"/>
      <c r="P213" s="29"/>
      <c r="Q213" s="16"/>
      <c r="R213" s="16"/>
      <c r="S213" s="16"/>
      <c r="T213" s="16"/>
      <c r="U213" s="16"/>
      <c r="V213" s="16"/>
      <c r="W213" s="13"/>
      <c r="X213" s="13"/>
      <c r="Y213" s="13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</row>
    <row r="214" spans="1:74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2"/>
      <c r="L214" s="3"/>
      <c r="M214" s="3"/>
      <c r="N214" s="29"/>
      <c r="O214" s="29"/>
      <c r="P214" s="29"/>
      <c r="Q214" s="16"/>
      <c r="R214" s="16"/>
      <c r="S214" s="16"/>
      <c r="T214" s="16"/>
      <c r="U214" s="16"/>
      <c r="V214" s="16"/>
      <c r="W214" s="13"/>
      <c r="X214" s="13"/>
      <c r="Y214" s="13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</row>
    <row r="215" spans="1:74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2"/>
      <c r="L215" s="3"/>
      <c r="M215" s="3"/>
      <c r="N215" s="29"/>
      <c r="O215" s="29"/>
      <c r="P215" s="29"/>
      <c r="Q215" s="16"/>
      <c r="R215" s="16"/>
      <c r="S215" s="16"/>
      <c r="T215" s="16"/>
      <c r="U215" s="16"/>
      <c r="V215" s="16"/>
      <c r="W215" s="13"/>
      <c r="X215" s="13"/>
      <c r="Y215" s="13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</row>
    <row r="216" spans="1:74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2"/>
      <c r="L216" s="3"/>
      <c r="M216" s="3"/>
      <c r="N216" s="33"/>
      <c r="O216" s="33"/>
      <c r="P216" s="33"/>
      <c r="Q216" s="19"/>
      <c r="R216" s="19"/>
      <c r="S216" s="19"/>
      <c r="T216" s="19"/>
      <c r="U216" s="19"/>
      <c r="V216" s="19"/>
      <c r="W216" s="13"/>
      <c r="X216" s="13"/>
      <c r="Y216" s="13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</row>
    <row r="217" spans="1:74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2"/>
      <c r="L217" s="3"/>
      <c r="M217" s="3"/>
      <c r="N217" s="33"/>
      <c r="O217" s="33"/>
      <c r="P217" s="33"/>
      <c r="Q217" s="19"/>
      <c r="R217" s="19"/>
      <c r="S217" s="19"/>
      <c r="T217" s="19"/>
      <c r="U217" s="19"/>
      <c r="V217" s="19"/>
      <c r="W217" s="13"/>
      <c r="X217" s="13"/>
      <c r="Y217" s="13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</row>
    <row r="218" spans="1:74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2"/>
      <c r="L218" s="3"/>
      <c r="M218" s="3"/>
      <c r="N218" s="33"/>
      <c r="O218" s="33"/>
      <c r="P218" s="33"/>
      <c r="Q218" s="19"/>
      <c r="R218" s="19"/>
      <c r="S218" s="19"/>
      <c r="T218" s="19"/>
      <c r="U218" s="19"/>
      <c r="V218" s="19"/>
      <c r="W218" s="13"/>
      <c r="X218" s="13"/>
      <c r="Y218" s="13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</row>
    <row r="219" spans="1:74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2"/>
      <c r="L219" s="3"/>
      <c r="M219" s="3"/>
      <c r="N219" s="33"/>
      <c r="O219" s="33"/>
      <c r="P219" s="33"/>
      <c r="Q219" s="19"/>
      <c r="R219" s="19"/>
      <c r="S219" s="19"/>
      <c r="T219" s="19"/>
      <c r="U219" s="19"/>
      <c r="V219" s="19"/>
      <c r="W219" s="13"/>
      <c r="X219" s="13"/>
      <c r="Y219" s="13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</row>
    <row r="220" spans="1:74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2"/>
      <c r="L220" s="3"/>
      <c r="M220" s="3"/>
      <c r="N220" s="33"/>
      <c r="O220" s="33"/>
      <c r="P220" s="33"/>
      <c r="Q220" s="19"/>
      <c r="R220" s="19"/>
      <c r="S220" s="19"/>
      <c r="T220" s="19"/>
      <c r="U220" s="19"/>
      <c r="V220" s="19"/>
      <c r="W220" s="13"/>
      <c r="X220" s="13"/>
      <c r="Y220" s="13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</row>
    <row r="221" spans="1:74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2"/>
      <c r="L221" s="3"/>
      <c r="M221" s="3"/>
      <c r="N221" s="33"/>
      <c r="O221" s="33"/>
      <c r="P221" s="33"/>
      <c r="Q221" s="19"/>
      <c r="R221" s="19"/>
      <c r="S221" s="19"/>
      <c r="T221" s="19"/>
      <c r="U221" s="19"/>
      <c r="V221" s="19"/>
      <c r="W221" s="13"/>
      <c r="X221" s="13"/>
      <c r="Y221" s="13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</row>
    <row r="222" spans="1:74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2"/>
      <c r="L222" s="3"/>
      <c r="M222" s="3"/>
      <c r="N222" s="33"/>
      <c r="O222" s="33"/>
      <c r="P222" s="33"/>
      <c r="Q222" s="19"/>
      <c r="R222" s="19"/>
      <c r="S222" s="19"/>
      <c r="T222" s="19"/>
      <c r="U222" s="19"/>
      <c r="V222" s="19"/>
      <c r="W222" s="13"/>
      <c r="X222" s="13"/>
      <c r="Y222" s="13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</row>
    <row r="223" spans="1:74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2"/>
      <c r="L223" s="3"/>
      <c r="M223" s="3"/>
      <c r="N223" s="33"/>
      <c r="O223" s="33"/>
      <c r="P223" s="33"/>
      <c r="Q223" s="19"/>
      <c r="R223" s="19"/>
      <c r="S223" s="19"/>
      <c r="T223" s="19"/>
      <c r="U223" s="19"/>
      <c r="V223" s="19"/>
      <c r="W223" s="13"/>
      <c r="X223" s="13"/>
      <c r="Y223" s="13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</row>
    <row r="224" spans="1:74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2"/>
      <c r="L224" s="3"/>
      <c r="M224" s="3"/>
      <c r="N224" s="33"/>
      <c r="O224" s="33"/>
      <c r="P224" s="33"/>
      <c r="Q224" s="19"/>
      <c r="R224" s="19"/>
      <c r="S224" s="19"/>
      <c r="T224" s="19"/>
      <c r="U224" s="19"/>
      <c r="V224" s="19"/>
      <c r="W224" s="13"/>
      <c r="X224" s="13"/>
      <c r="Y224" s="13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</row>
    <row r="225" spans="1:74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2"/>
      <c r="L225" s="3"/>
      <c r="M225" s="3"/>
      <c r="N225" s="33"/>
      <c r="O225" s="33"/>
      <c r="P225" s="33"/>
      <c r="Q225" s="19"/>
      <c r="R225" s="19"/>
      <c r="S225" s="19"/>
      <c r="T225" s="19"/>
      <c r="U225" s="19"/>
      <c r="V225" s="19"/>
      <c r="W225" s="13"/>
      <c r="X225" s="13"/>
      <c r="Y225" s="13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</row>
    <row r="226" spans="1:74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2"/>
      <c r="L226" s="3"/>
      <c r="M226" s="3"/>
      <c r="N226" s="33"/>
      <c r="O226" s="33"/>
      <c r="P226" s="33"/>
      <c r="Q226" s="19"/>
      <c r="R226" s="19"/>
      <c r="S226" s="19"/>
      <c r="T226" s="19"/>
      <c r="U226" s="19"/>
      <c r="V226" s="19"/>
      <c r="W226" s="13"/>
      <c r="X226" s="13"/>
      <c r="Y226" s="13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</row>
    <row r="227" spans="1:74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2"/>
      <c r="L227" s="3"/>
      <c r="M227" s="3"/>
      <c r="N227" s="33"/>
      <c r="O227" s="33"/>
      <c r="P227" s="33"/>
      <c r="Q227" s="19"/>
      <c r="R227" s="19"/>
      <c r="S227" s="19"/>
      <c r="T227" s="19"/>
      <c r="U227" s="19"/>
      <c r="V227" s="19"/>
      <c r="W227" s="13"/>
      <c r="X227" s="13"/>
      <c r="Y227" s="13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</row>
    <row r="228" spans="1:74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2"/>
      <c r="L228" s="3"/>
      <c r="M228" s="3"/>
      <c r="N228" s="33"/>
      <c r="O228" s="33"/>
      <c r="P228" s="33"/>
      <c r="Q228" s="19"/>
      <c r="R228" s="19"/>
      <c r="S228" s="19"/>
      <c r="T228" s="19"/>
      <c r="U228" s="19"/>
      <c r="V228" s="19"/>
      <c r="W228" s="13"/>
      <c r="X228" s="13"/>
      <c r="Y228" s="13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</row>
    <row r="229" spans="1:74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2"/>
      <c r="L229" s="3"/>
      <c r="M229" s="3"/>
      <c r="N229" s="33"/>
      <c r="O229" s="33"/>
      <c r="P229" s="33"/>
      <c r="Q229" s="19"/>
      <c r="R229" s="19"/>
      <c r="S229" s="19"/>
      <c r="T229" s="19"/>
      <c r="U229" s="19"/>
      <c r="V229" s="19"/>
      <c r="W229" s="13"/>
      <c r="X229" s="13"/>
      <c r="Y229" s="13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</row>
    <row r="230" spans="1:74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2"/>
      <c r="L230" s="3"/>
      <c r="M230" s="3"/>
      <c r="N230" s="33"/>
      <c r="O230" s="33"/>
      <c r="P230" s="33"/>
      <c r="Q230" s="19"/>
      <c r="R230" s="19"/>
      <c r="S230" s="19"/>
      <c r="T230" s="19"/>
      <c r="U230" s="19"/>
      <c r="V230" s="19"/>
      <c r="W230" s="13"/>
      <c r="X230" s="13"/>
      <c r="Y230" s="13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</row>
    <row r="231" spans="1:74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2"/>
      <c r="L231" s="3"/>
      <c r="M231" s="3"/>
      <c r="N231" s="33"/>
      <c r="O231" s="33"/>
      <c r="P231" s="33"/>
      <c r="Q231" s="19"/>
      <c r="R231" s="19"/>
      <c r="S231" s="19"/>
      <c r="T231" s="19"/>
      <c r="U231" s="19"/>
      <c r="V231" s="19"/>
      <c r="W231" s="13"/>
      <c r="X231" s="13"/>
      <c r="Y231" s="13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</row>
    <row r="232" spans="1:74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2"/>
      <c r="L232" s="3"/>
      <c r="M232" s="3"/>
      <c r="N232" s="33"/>
      <c r="O232" s="33"/>
      <c r="P232" s="33"/>
      <c r="Q232" s="19"/>
      <c r="R232" s="19"/>
      <c r="S232" s="19"/>
      <c r="T232" s="19"/>
      <c r="U232" s="19"/>
      <c r="V232" s="19"/>
      <c r="W232" s="13"/>
      <c r="X232" s="13"/>
      <c r="Y232" s="13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</row>
    <row r="233" spans="1:74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2"/>
      <c r="L233" s="3"/>
      <c r="M233" s="3"/>
      <c r="N233" s="33"/>
      <c r="O233" s="33"/>
      <c r="P233" s="33"/>
      <c r="Q233" s="19"/>
      <c r="R233" s="19"/>
      <c r="S233" s="19"/>
      <c r="T233" s="19"/>
      <c r="U233" s="19"/>
      <c r="V233" s="19"/>
      <c r="W233" s="13"/>
      <c r="X233" s="13"/>
      <c r="Y233" s="13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</row>
    <row r="234" spans="1:74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2"/>
      <c r="L234" s="3"/>
      <c r="M234" s="3"/>
      <c r="N234" s="33"/>
      <c r="O234" s="33"/>
      <c r="P234" s="33"/>
      <c r="Q234" s="19"/>
      <c r="R234" s="19"/>
      <c r="S234" s="19"/>
      <c r="T234" s="19"/>
      <c r="U234" s="19"/>
      <c r="V234" s="19"/>
      <c r="W234" s="13"/>
      <c r="X234" s="13"/>
      <c r="Y234" s="13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</row>
    <row r="235" spans="1:74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2"/>
      <c r="L235" s="3"/>
      <c r="M235" s="3"/>
      <c r="N235" s="33"/>
      <c r="O235" s="33"/>
      <c r="P235" s="33"/>
      <c r="Q235" s="19"/>
      <c r="R235" s="19"/>
      <c r="S235" s="19"/>
      <c r="T235" s="19"/>
      <c r="U235" s="19"/>
      <c r="V235" s="19"/>
      <c r="W235" s="13"/>
      <c r="X235" s="13"/>
      <c r="Y235" s="13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</row>
    <row r="236" spans="1:74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2"/>
      <c r="L236" s="3"/>
      <c r="M236" s="3"/>
      <c r="N236" s="33"/>
      <c r="O236" s="33"/>
      <c r="P236" s="33"/>
      <c r="Q236" s="19"/>
      <c r="R236" s="19"/>
      <c r="S236" s="19"/>
      <c r="T236" s="19"/>
      <c r="U236" s="19"/>
      <c r="V236" s="19"/>
      <c r="W236" s="13"/>
      <c r="X236" s="13"/>
      <c r="Y236" s="13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</row>
    <row r="237" spans="1:74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2"/>
      <c r="L237" s="3"/>
      <c r="M237" s="3"/>
      <c r="N237" s="33"/>
      <c r="O237" s="33"/>
      <c r="P237" s="33"/>
      <c r="Q237" s="19"/>
      <c r="R237" s="19"/>
      <c r="S237" s="19"/>
      <c r="T237" s="19"/>
      <c r="U237" s="19"/>
      <c r="V237" s="19"/>
      <c r="W237" s="13"/>
      <c r="X237" s="13"/>
      <c r="Y237" s="13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</row>
    <row r="238" spans="1:74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2"/>
      <c r="L238" s="3"/>
      <c r="M238" s="3"/>
      <c r="N238" s="33"/>
      <c r="O238" s="33"/>
      <c r="P238" s="33"/>
      <c r="Q238" s="19"/>
      <c r="R238" s="19"/>
      <c r="S238" s="19"/>
      <c r="T238" s="19"/>
      <c r="U238" s="19"/>
      <c r="V238" s="19"/>
      <c r="W238" s="13"/>
      <c r="X238" s="13"/>
      <c r="Y238" s="13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</row>
    <row r="239" spans="1:74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2"/>
      <c r="L239" s="3"/>
      <c r="M239" s="3"/>
      <c r="N239" s="33"/>
      <c r="O239" s="33"/>
      <c r="P239" s="33"/>
      <c r="Q239" s="19"/>
      <c r="R239" s="19"/>
      <c r="S239" s="19"/>
      <c r="T239" s="19"/>
      <c r="U239" s="19"/>
      <c r="V239" s="19"/>
      <c r="W239" s="13"/>
      <c r="X239" s="13"/>
      <c r="Y239" s="13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</row>
    <row r="240" spans="1:74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2"/>
      <c r="L240" s="3"/>
      <c r="M240" s="3"/>
      <c r="N240" s="33"/>
      <c r="O240" s="33"/>
      <c r="P240" s="33"/>
      <c r="Q240" s="19"/>
      <c r="R240" s="19"/>
      <c r="S240" s="19"/>
      <c r="T240" s="19"/>
      <c r="U240" s="19"/>
      <c r="V240" s="19"/>
      <c r="W240" s="13"/>
      <c r="X240" s="13"/>
      <c r="Y240" s="13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</row>
    <row r="241" spans="1:74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2"/>
      <c r="L241" s="3"/>
      <c r="M241" s="3"/>
      <c r="N241" s="33"/>
      <c r="O241" s="33"/>
      <c r="P241" s="33"/>
      <c r="Q241" s="19"/>
      <c r="R241" s="19"/>
      <c r="S241" s="19"/>
      <c r="T241" s="19"/>
      <c r="U241" s="19"/>
      <c r="V241" s="19"/>
      <c r="W241" s="13"/>
      <c r="X241" s="13"/>
      <c r="Y241" s="13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</row>
    <row r="242" spans="1:74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2"/>
      <c r="L242" s="3"/>
      <c r="M242" s="3"/>
      <c r="N242" s="33"/>
      <c r="O242" s="33"/>
      <c r="P242" s="33"/>
      <c r="Q242" s="19"/>
      <c r="R242" s="19"/>
      <c r="S242" s="19"/>
      <c r="T242" s="19"/>
      <c r="U242" s="19"/>
      <c r="V242" s="19"/>
      <c r="W242" s="13"/>
      <c r="X242" s="13"/>
      <c r="Y242" s="13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</row>
    <row r="243" spans="1:74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2"/>
      <c r="L243" s="3"/>
      <c r="M243" s="3"/>
      <c r="N243" s="33"/>
      <c r="O243" s="33"/>
      <c r="P243" s="33"/>
      <c r="Q243" s="19"/>
      <c r="R243" s="19"/>
      <c r="S243" s="19"/>
      <c r="T243" s="19"/>
      <c r="U243" s="19"/>
      <c r="V243" s="19"/>
      <c r="W243" s="13"/>
      <c r="X243" s="13"/>
      <c r="Y243" s="13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</row>
    <row r="244" spans="1:74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2"/>
      <c r="L244" s="3"/>
      <c r="M244" s="3"/>
      <c r="N244" s="33"/>
      <c r="O244" s="33"/>
      <c r="P244" s="33"/>
      <c r="Q244" s="19"/>
      <c r="R244" s="19"/>
      <c r="S244" s="19"/>
      <c r="T244" s="19"/>
      <c r="U244" s="19"/>
      <c r="V244" s="19"/>
      <c r="W244" s="13"/>
      <c r="X244" s="13"/>
      <c r="Y244" s="13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</row>
    <row r="245" spans="1:74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2"/>
      <c r="L245" s="3"/>
      <c r="M245" s="3"/>
      <c r="N245" s="33"/>
      <c r="O245" s="33"/>
      <c r="P245" s="33"/>
      <c r="Q245" s="19"/>
      <c r="R245" s="19"/>
      <c r="S245" s="19"/>
      <c r="T245" s="19"/>
      <c r="U245" s="19"/>
      <c r="V245" s="19"/>
      <c r="W245" s="13"/>
      <c r="X245" s="13"/>
      <c r="Y245" s="13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</row>
    <row r="246" spans="1:74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2"/>
      <c r="L246" s="3"/>
      <c r="M246" s="3"/>
      <c r="N246" s="33"/>
      <c r="O246" s="33"/>
      <c r="P246" s="33"/>
      <c r="Q246" s="19"/>
      <c r="R246" s="19"/>
      <c r="S246" s="19"/>
      <c r="T246" s="19"/>
      <c r="U246" s="19"/>
      <c r="V246" s="19"/>
      <c r="W246" s="13"/>
      <c r="X246" s="13"/>
      <c r="Y246" s="13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</row>
    <row r="247" spans="1:74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2"/>
      <c r="L247" s="3"/>
      <c r="M247" s="3"/>
      <c r="N247" s="33"/>
      <c r="O247" s="33"/>
      <c r="P247" s="33"/>
      <c r="Q247" s="19"/>
      <c r="R247" s="19"/>
      <c r="S247" s="19"/>
      <c r="T247" s="19"/>
      <c r="U247" s="19"/>
      <c r="V247" s="19"/>
      <c r="W247" s="13"/>
      <c r="X247" s="13"/>
      <c r="Y247" s="13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</row>
    <row r="248" spans="1:74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2"/>
      <c r="L248" s="3"/>
      <c r="M248" s="3"/>
      <c r="N248" s="33"/>
      <c r="O248" s="33"/>
      <c r="P248" s="33"/>
      <c r="Q248" s="19"/>
      <c r="R248" s="19"/>
      <c r="S248" s="19"/>
      <c r="T248" s="19"/>
      <c r="U248" s="19"/>
      <c r="V248" s="19"/>
      <c r="W248" s="13"/>
      <c r="X248" s="13"/>
      <c r="Y248" s="13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</row>
    <row r="249" spans="1:74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2"/>
      <c r="L249" s="3"/>
      <c r="M249" s="3"/>
      <c r="N249" s="33"/>
      <c r="O249" s="33"/>
      <c r="P249" s="33"/>
      <c r="Q249" s="19"/>
      <c r="R249" s="19"/>
      <c r="S249" s="19"/>
      <c r="T249" s="19"/>
      <c r="U249" s="19"/>
      <c r="V249" s="19"/>
      <c r="W249" s="13"/>
      <c r="X249" s="13"/>
      <c r="Y249" s="13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</row>
    <row r="250" spans="1:74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2"/>
      <c r="L250" s="3"/>
      <c r="M250" s="3"/>
      <c r="N250" s="33"/>
      <c r="O250" s="33"/>
      <c r="P250" s="33"/>
      <c r="Q250" s="19"/>
      <c r="R250" s="19"/>
      <c r="S250" s="19"/>
      <c r="T250" s="19"/>
      <c r="U250" s="19"/>
      <c r="V250" s="19"/>
      <c r="W250" s="13"/>
      <c r="X250" s="13"/>
      <c r="Y250" s="13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</row>
    <row r="251" spans="1:74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2"/>
      <c r="L251" s="3"/>
      <c r="M251" s="3"/>
      <c r="N251" s="33"/>
      <c r="O251" s="33"/>
      <c r="P251" s="33"/>
      <c r="Q251" s="19"/>
      <c r="R251" s="19"/>
      <c r="S251" s="19"/>
      <c r="T251" s="19"/>
      <c r="U251" s="19"/>
      <c r="V251" s="19"/>
      <c r="W251" s="13"/>
      <c r="X251" s="13"/>
      <c r="Y251" s="13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</row>
    <row r="252" spans="1:74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2"/>
      <c r="L252" s="3"/>
      <c r="M252" s="3"/>
      <c r="N252" s="33"/>
      <c r="O252" s="33"/>
      <c r="P252" s="33"/>
      <c r="Q252" s="19"/>
      <c r="R252" s="19"/>
      <c r="S252" s="19"/>
      <c r="T252" s="19"/>
      <c r="U252" s="19"/>
      <c r="V252" s="19"/>
      <c r="W252" s="13"/>
      <c r="X252" s="13"/>
      <c r="Y252" s="13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</row>
    <row r="253" spans="1:74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2"/>
      <c r="L253" s="3"/>
      <c r="M253" s="3"/>
      <c r="N253" s="33"/>
      <c r="O253" s="33"/>
      <c r="P253" s="33"/>
      <c r="Q253" s="19"/>
      <c r="R253" s="19"/>
      <c r="S253" s="19"/>
      <c r="T253" s="19"/>
      <c r="U253" s="19"/>
      <c r="V253" s="19"/>
      <c r="W253" s="13"/>
      <c r="X253" s="13"/>
      <c r="Y253" s="13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</row>
    <row r="254" spans="1:74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2"/>
      <c r="L254" s="3"/>
      <c r="M254" s="3"/>
      <c r="N254" s="33"/>
      <c r="O254" s="33"/>
      <c r="P254" s="33"/>
      <c r="Q254" s="19"/>
      <c r="R254" s="19"/>
      <c r="S254" s="19"/>
      <c r="T254" s="19"/>
      <c r="U254" s="19"/>
      <c r="V254" s="19"/>
      <c r="W254" s="13"/>
      <c r="X254" s="13"/>
      <c r="Y254" s="13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</row>
    <row r="255" spans="1:74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2"/>
      <c r="L255" s="3"/>
      <c r="M255" s="3"/>
      <c r="N255" s="33"/>
      <c r="O255" s="33"/>
      <c r="P255" s="33"/>
      <c r="Q255" s="19"/>
      <c r="R255" s="19"/>
      <c r="S255" s="19"/>
      <c r="T255" s="19"/>
      <c r="U255" s="19"/>
      <c r="V255" s="19"/>
      <c r="W255" s="13"/>
      <c r="X255" s="13"/>
      <c r="Y255" s="13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</row>
    <row r="256" spans="1:74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2"/>
      <c r="L256" s="3"/>
      <c r="M256" s="3"/>
      <c r="N256" s="33"/>
      <c r="O256" s="33"/>
      <c r="P256" s="33"/>
      <c r="Q256" s="19"/>
      <c r="R256" s="19"/>
      <c r="S256" s="19"/>
      <c r="T256" s="19"/>
      <c r="U256" s="19"/>
      <c r="V256" s="19"/>
      <c r="W256" s="13"/>
      <c r="X256" s="13"/>
      <c r="Y256" s="13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</row>
    <row r="257" spans="1:74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2"/>
      <c r="L257" s="3"/>
      <c r="M257" s="3"/>
      <c r="N257" s="33"/>
      <c r="O257" s="33"/>
      <c r="P257" s="33"/>
      <c r="Q257" s="19"/>
      <c r="R257" s="19"/>
      <c r="S257" s="19"/>
      <c r="T257" s="19"/>
      <c r="U257" s="19"/>
      <c r="V257" s="19"/>
      <c r="W257" s="13"/>
      <c r="X257" s="13"/>
      <c r="Y257" s="13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</row>
    <row r="258" spans="1:74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2"/>
      <c r="L258" s="3"/>
      <c r="M258" s="3"/>
      <c r="N258" s="33"/>
      <c r="O258" s="33"/>
      <c r="P258" s="33"/>
      <c r="Q258" s="19"/>
      <c r="R258" s="19"/>
      <c r="S258" s="19"/>
      <c r="T258" s="19"/>
      <c r="U258" s="19"/>
      <c r="V258" s="19"/>
      <c r="W258" s="13"/>
      <c r="X258" s="13"/>
      <c r="Y258" s="13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</row>
    <row r="259" spans="1:74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2"/>
      <c r="L259" s="3"/>
      <c r="M259" s="3"/>
      <c r="N259" s="33"/>
      <c r="O259" s="33"/>
      <c r="P259" s="33"/>
      <c r="Q259" s="19"/>
      <c r="R259" s="19"/>
      <c r="S259" s="19"/>
      <c r="T259" s="19"/>
      <c r="U259" s="19"/>
      <c r="V259" s="19"/>
      <c r="W259" s="13"/>
      <c r="X259" s="13"/>
      <c r="Y259" s="13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</row>
    <row r="260" spans="1:74" s="4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2"/>
      <c r="L260" s="3"/>
      <c r="M260" s="3"/>
      <c r="N260" s="33"/>
      <c r="O260" s="33"/>
      <c r="P260" s="33"/>
      <c r="Q260" s="19"/>
      <c r="R260" s="19"/>
      <c r="S260" s="19"/>
      <c r="T260" s="19"/>
      <c r="U260" s="19"/>
      <c r="V260" s="19"/>
      <c r="W260" s="13"/>
      <c r="X260" s="13"/>
      <c r="Y260" s="13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7590-8D59-4DD3-8A03-2627B781B6E4}">
  <dimension ref="A1:BV246"/>
  <sheetViews>
    <sheetView topLeftCell="X57" zoomScale="120" zoomScaleNormal="120" workbookViewId="0">
      <selection activeCell="Z64" sqref="Z64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2" customWidth="1"/>
    <col min="12" max="12" width="20.88671875" style="3" customWidth="1"/>
    <col min="13" max="13" width="26.88671875" style="3" customWidth="1"/>
    <col min="14" max="15" width="20.6640625" style="33" customWidth="1"/>
    <col min="16" max="16" width="36.33203125" style="33" customWidth="1"/>
    <col min="17" max="17" width="23.21875" style="19" customWidth="1"/>
    <col min="18" max="18" width="30.88671875" style="19" customWidth="1"/>
    <col min="19" max="22" width="20.6640625" style="19" customWidth="1"/>
    <col min="23" max="24" width="21.88671875" style="47" customWidth="1"/>
    <col min="25" max="25" width="30.88671875" style="47" customWidth="1"/>
    <col min="26" max="26" width="55.44140625" style="51" customWidth="1"/>
    <col min="27" max="27" width="53.88671875" style="51" customWidth="1"/>
    <col min="28" max="16384" width="8.88671875" style="7"/>
  </cols>
  <sheetData>
    <row r="1" spans="1:27" s="43" customFormat="1" ht="53.4" customHeight="1" x14ac:dyDescent="0.3">
      <c r="A1" s="14" t="s">
        <v>7</v>
      </c>
      <c r="B1" s="15" t="s">
        <v>6</v>
      </c>
      <c r="C1" s="14" t="s">
        <v>2</v>
      </c>
      <c r="D1" s="14" t="s">
        <v>1</v>
      </c>
      <c r="E1" s="15" t="s">
        <v>0</v>
      </c>
      <c r="F1" s="14" t="s">
        <v>3</v>
      </c>
      <c r="G1" s="15" t="s">
        <v>11</v>
      </c>
      <c r="H1" s="14" t="s">
        <v>4</v>
      </c>
      <c r="I1" s="15" t="s">
        <v>12</v>
      </c>
      <c r="J1" s="15" t="s">
        <v>8</v>
      </c>
      <c r="K1" s="21" t="s">
        <v>5</v>
      </c>
      <c r="L1" s="24" t="s">
        <v>10</v>
      </c>
      <c r="M1" s="24" t="s">
        <v>40</v>
      </c>
      <c r="N1" s="66" t="s">
        <v>9</v>
      </c>
      <c r="O1" s="32" t="s">
        <v>31</v>
      </c>
      <c r="P1" s="32" t="s">
        <v>46</v>
      </c>
      <c r="Q1" s="20" t="s">
        <v>13</v>
      </c>
      <c r="R1" s="17" t="s">
        <v>22</v>
      </c>
      <c r="S1" s="17" t="s">
        <v>47</v>
      </c>
      <c r="T1" s="17" t="s">
        <v>14</v>
      </c>
      <c r="U1" s="17" t="s">
        <v>15</v>
      </c>
      <c r="V1" s="17" t="s">
        <v>23</v>
      </c>
      <c r="W1" s="48" t="s">
        <v>33</v>
      </c>
      <c r="X1" s="48" t="s">
        <v>48</v>
      </c>
      <c r="Y1" s="25" t="s">
        <v>52</v>
      </c>
      <c r="Z1" s="49" t="s">
        <v>49</v>
      </c>
      <c r="AA1" s="49" t="s">
        <v>50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59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16.10891089108911</v>
      </c>
      <c r="L2" s="2">
        <f>(K2/1000000)</f>
        <v>1.6108910891089111E-5</v>
      </c>
      <c r="M2" s="3">
        <f>(3.142*3.07*3.07*25.4*25.4)/(4*1000000)</f>
        <v>4.7762865441819992E-3</v>
      </c>
      <c r="N2" s="29">
        <f>(L2*J2)/M2</f>
        <v>6.7874698966956461E-8</v>
      </c>
      <c r="O2" s="29">
        <f>(2.032/1000)</f>
        <v>2.032E-3</v>
      </c>
      <c r="P2" s="29">
        <v>2.1048357489809849E-10</v>
      </c>
      <c r="Q2" s="16">
        <v>0.03</v>
      </c>
      <c r="R2" s="16">
        <f>(1+Q2)*100000*1</f>
        <v>103000</v>
      </c>
      <c r="S2" s="16">
        <f>(5.36358238306597/1000)</f>
        <v>5.36358238306597E-3</v>
      </c>
      <c r="T2" s="16">
        <v>0.1</v>
      </c>
      <c r="U2" s="16">
        <f>(1+T2)*100000</f>
        <v>110000.00000000001</v>
      </c>
      <c r="V2" s="16">
        <f t="shared" ref="V2:V33" si="1">(L2*U2)</f>
        <v>1.7719801980198024</v>
      </c>
      <c r="W2" s="16">
        <f>(70/1000000)*100000</f>
        <v>6.9999999999999991</v>
      </c>
      <c r="X2" s="16">
        <f t="shared" ref="X2:X33" si="2">(N2+((P2/O2)*(SQRT(V2)-SQRT(W2))))</f>
        <v>-6.8296763704529692E-8</v>
      </c>
      <c r="Y2" s="2">
        <f>(SQRT(R2)-(X2*O2/P2))^2</f>
        <v>103423.64306896421</v>
      </c>
      <c r="Z2" s="2">
        <f>(X2*S2)/(Y2-V2)</f>
        <v>-3.541952149672763E-15</v>
      </c>
      <c r="AA2" s="16">
        <f>(Z2*6.022E+23)</f>
        <v>-2132963584.532938</v>
      </c>
    </row>
    <row r="3" spans="1:27" x14ac:dyDescent="0.25">
      <c r="A3" s="1">
        <v>3</v>
      </c>
      <c r="B3" s="1">
        <f t="shared" ref="B3:B59" si="3">(A3/60)</f>
        <v>0.05</v>
      </c>
      <c r="C3" s="1">
        <v>20</v>
      </c>
      <c r="D3" s="1">
        <f t="shared" si="0"/>
        <v>29.146000000000001</v>
      </c>
      <c r="E3" s="1">
        <f t="shared" ref="E3:E59" si="4">(D3/(1000000*60))</f>
        <v>4.8576666666666667E-7</v>
      </c>
      <c r="F3" s="1">
        <v>21.1</v>
      </c>
      <c r="G3" s="1">
        <f t="shared" ref="G3:G59" si="5">(273+F3)</f>
        <v>294.10000000000002</v>
      </c>
      <c r="H3" s="1">
        <v>101.3</v>
      </c>
      <c r="I3" s="1">
        <f t="shared" ref="I3:I59" si="6">(H3*1000)</f>
        <v>101300</v>
      </c>
      <c r="J3" s="1">
        <f t="shared" ref="J3:J59" si="7">((I3*E3)/(8.314*G3))</f>
        <v>2.0124824921938581E-5</v>
      </c>
      <c r="K3" s="22">
        <v>14.64851485148515</v>
      </c>
      <c r="L3" s="2">
        <f t="shared" ref="L3:L59" si="8">(K3/1000000)</f>
        <v>1.4648514851485149E-5</v>
      </c>
      <c r="M3" s="3">
        <f t="shared" ref="M3:M59" si="9">(3.142*3.07*3.07*25.4*25.4)/(4*1000000)</f>
        <v>4.7762865441819992E-3</v>
      </c>
      <c r="N3" s="29">
        <f t="shared" ref="N3:N59" si="10">(L3*J3)/M3</f>
        <v>6.1721338120228686E-8</v>
      </c>
      <c r="O3" s="29">
        <f t="shared" ref="O3:O59" si="11">(2.032/1000)</f>
        <v>2.032E-3</v>
      </c>
      <c r="P3" s="29">
        <v>2.1048357489809849E-10</v>
      </c>
      <c r="Q3" s="16">
        <v>0.03</v>
      </c>
      <c r="R3" s="16">
        <f t="shared" ref="R3:R59" si="12">(1+Q3)*100000*1</f>
        <v>103000</v>
      </c>
      <c r="S3" s="16">
        <f t="shared" ref="S3:S59" si="13">(5.36358238306597/1000)</f>
        <v>5.36358238306597E-3</v>
      </c>
      <c r="T3" s="16">
        <v>0.1</v>
      </c>
      <c r="U3" s="16">
        <f t="shared" ref="U3:U59" si="14">(1+T3)*100000</f>
        <v>110000.00000000001</v>
      </c>
      <c r="V3" s="16">
        <f t="shared" si="1"/>
        <v>1.6113366336633665</v>
      </c>
      <c r="W3" s="16">
        <f t="shared" ref="W3:W59" si="15">(70/1000000)*100000</f>
        <v>6.9999999999999991</v>
      </c>
      <c r="X3" s="16">
        <f t="shared" si="2"/>
        <v>-8.084885768146238E-8</v>
      </c>
      <c r="Y3" s="2">
        <f t="shared" ref="Y3:Y59" si="16">(SQRT(R3)-(X3*O3/P3))^2</f>
        <v>103501.59796549805</v>
      </c>
      <c r="Z3" s="2">
        <f t="shared" ref="Z3:Z59" si="17">(X3*S3)/(Y3-V3)</f>
        <v>-4.189754249015186E-15</v>
      </c>
      <c r="AA3" s="16">
        <f t="shared" ref="AA3:AA59" si="18">(Z3*6.022E+23)</f>
        <v>-2523070008.7569451</v>
      </c>
    </row>
    <row r="4" spans="1:27" x14ac:dyDescent="0.25">
      <c r="A4" s="1">
        <v>6</v>
      </c>
      <c r="B4" s="1">
        <f t="shared" si="3"/>
        <v>0.1</v>
      </c>
      <c r="C4" s="1">
        <v>20</v>
      </c>
      <c r="D4" s="1">
        <f t="shared" si="0"/>
        <v>29.146000000000001</v>
      </c>
      <c r="E4" s="1">
        <f t="shared" si="4"/>
        <v>4.8576666666666667E-7</v>
      </c>
      <c r="F4" s="1">
        <v>21.1</v>
      </c>
      <c r="G4" s="1">
        <f t="shared" si="5"/>
        <v>294.10000000000002</v>
      </c>
      <c r="H4" s="1">
        <v>101.3</v>
      </c>
      <c r="I4" s="1">
        <f t="shared" si="6"/>
        <v>101300</v>
      </c>
      <c r="J4" s="1">
        <f t="shared" si="7"/>
        <v>2.0124824921938581E-5</v>
      </c>
      <c r="K4" s="22">
        <v>12.816831683168319</v>
      </c>
      <c r="L4" s="2">
        <f t="shared" si="8"/>
        <v>1.2816831683168319E-5</v>
      </c>
      <c r="M4" s="3">
        <f t="shared" si="9"/>
        <v>4.7762865441819992E-3</v>
      </c>
      <c r="N4" s="29">
        <f t="shared" si="10"/>
        <v>5.4003563498909124E-8</v>
      </c>
      <c r="O4" s="29">
        <f t="shared" si="11"/>
        <v>2.032E-3</v>
      </c>
      <c r="P4" s="29">
        <v>2.1048357489809849E-10</v>
      </c>
      <c r="Q4" s="16">
        <v>0.03</v>
      </c>
      <c r="R4" s="16">
        <f t="shared" si="12"/>
        <v>103000</v>
      </c>
      <c r="S4" s="16">
        <f t="shared" si="13"/>
        <v>5.36358238306597E-3</v>
      </c>
      <c r="T4" s="16">
        <v>0.1</v>
      </c>
      <c r="U4" s="16">
        <f t="shared" si="14"/>
        <v>110000.00000000001</v>
      </c>
      <c r="V4" s="16">
        <f t="shared" si="1"/>
        <v>1.4098514851485153</v>
      </c>
      <c r="W4" s="16">
        <f t="shared" si="15"/>
        <v>6.9999999999999991</v>
      </c>
      <c r="X4" s="16">
        <f t="shared" si="2"/>
        <v>-9.7061869667678459E-8</v>
      </c>
      <c r="Y4" s="2">
        <f t="shared" si="16"/>
        <v>103602.33249251884</v>
      </c>
      <c r="Z4" s="2">
        <f t="shared" si="17"/>
        <v>-5.025045346563441E-15</v>
      </c>
      <c r="AA4" s="16">
        <f t="shared" si="18"/>
        <v>-3026082307.7005043</v>
      </c>
    </row>
    <row r="5" spans="1:27" x14ac:dyDescent="0.25">
      <c r="A5" s="1">
        <v>9</v>
      </c>
      <c r="B5" s="1">
        <f t="shared" si="3"/>
        <v>0.15</v>
      </c>
      <c r="C5" s="1">
        <v>20</v>
      </c>
      <c r="D5" s="1">
        <f t="shared" si="0"/>
        <v>29.146000000000001</v>
      </c>
      <c r="E5" s="1">
        <f t="shared" si="4"/>
        <v>4.8576666666666667E-7</v>
      </c>
      <c r="F5" s="1">
        <v>21.1</v>
      </c>
      <c r="G5" s="1">
        <f t="shared" si="5"/>
        <v>294.10000000000002</v>
      </c>
      <c r="H5" s="1">
        <v>101.3</v>
      </c>
      <c r="I5" s="1">
        <f t="shared" si="6"/>
        <v>101300</v>
      </c>
      <c r="J5" s="1">
        <f t="shared" si="7"/>
        <v>2.0124824921938581E-5</v>
      </c>
      <c r="K5" s="22">
        <v>7.3712871287128721</v>
      </c>
      <c r="L5" s="2">
        <f t="shared" si="8"/>
        <v>7.3712871287128722E-6</v>
      </c>
      <c r="M5" s="3">
        <f t="shared" si="9"/>
        <v>4.7762865441819992E-3</v>
      </c>
      <c r="N5" s="29">
        <f t="shared" si="10"/>
        <v>3.1058828138229304E-8</v>
      </c>
      <c r="O5" s="29">
        <f t="shared" si="11"/>
        <v>2.032E-3</v>
      </c>
      <c r="P5" s="29">
        <v>2.1048357489809849E-10</v>
      </c>
      <c r="Q5" s="16">
        <v>0.03</v>
      </c>
      <c r="R5" s="16">
        <f t="shared" si="12"/>
        <v>103000</v>
      </c>
      <c r="S5" s="16">
        <f t="shared" si="13"/>
        <v>5.36358238306597E-3</v>
      </c>
      <c r="T5" s="16">
        <v>0.1</v>
      </c>
      <c r="U5" s="16">
        <f t="shared" si="14"/>
        <v>110000.00000000001</v>
      </c>
      <c r="V5" s="16">
        <f t="shared" si="1"/>
        <v>0.81084158415841601</v>
      </c>
      <c r="W5" s="16">
        <f t="shared" si="15"/>
        <v>6.9999999999999991</v>
      </c>
      <c r="X5" s="16">
        <f t="shared" si="2"/>
        <v>-1.4972541963359527E-7</v>
      </c>
      <c r="Y5" s="2">
        <f t="shared" si="16"/>
        <v>103929.87920358751</v>
      </c>
      <c r="Z5" s="2">
        <f t="shared" si="17"/>
        <v>-7.7270453367935037E-15</v>
      </c>
      <c r="AA5" s="16">
        <f t="shared" si="18"/>
        <v>-4653226701.8170481</v>
      </c>
    </row>
    <row r="6" spans="1:27" x14ac:dyDescent="0.25">
      <c r="A6" s="1">
        <v>12</v>
      </c>
      <c r="B6" s="1">
        <f t="shared" si="3"/>
        <v>0.2</v>
      </c>
      <c r="C6" s="1">
        <v>20</v>
      </c>
      <c r="D6" s="1">
        <f t="shared" si="0"/>
        <v>29.146000000000001</v>
      </c>
      <c r="E6" s="1">
        <f t="shared" si="4"/>
        <v>4.8576666666666667E-7</v>
      </c>
      <c r="F6" s="1">
        <v>21.1</v>
      </c>
      <c r="G6" s="1">
        <f t="shared" si="5"/>
        <v>294.10000000000002</v>
      </c>
      <c r="H6" s="1">
        <v>101.3</v>
      </c>
      <c r="I6" s="1">
        <f t="shared" si="6"/>
        <v>101300</v>
      </c>
      <c r="J6" s="1">
        <f t="shared" si="7"/>
        <v>2.0124824921938581E-5</v>
      </c>
      <c r="K6" s="22">
        <v>15.415841584158416</v>
      </c>
      <c r="L6" s="2">
        <f t="shared" si="8"/>
        <v>1.5415841584158415E-5</v>
      </c>
      <c r="M6" s="3">
        <f t="shared" si="9"/>
        <v>4.7762865441819992E-3</v>
      </c>
      <c r="N6" s="29">
        <f t="shared" si="10"/>
        <v>6.495445992105174E-8</v>
      </c>
      <c r="O6" s="29">
        <f t="shared" si="11"/>
        <v>2.032E-3</v>
      </c>
      <c r="P6" s="29">
        <v>2.1048357489809849E-10</v>
      </c>
      <c r="Q6" s="16">
        <v>0.03</v>
      </c>
      <c r="R6" s="16">
        <f t="shared" si="12"/>
        <v>103000</v>
      </c>
      <c r="S6" s="16">
        <f t="shared" si="13"/>
        <v>5.36358238306597E-3</v>
      </c>
      <c r="T6" s="16">
        <v>0.1</v>
      </c>
      <c r="U6" s="16">
        <f t="shared" si="14"/>
        <v>110000.00000000001</v>
      </c>
      <c r="V6" s="16">
        <f t="shared" si="1"/>
        <v>1.6957425742574259</v>
      </c>
      <c r="W6" s="16">
        <f t="shared" si="15"/>
        <v>6.9999999999999991</v>
      </c>
      <c r="X6" s="16">
        <f t="shared" si="2"/>
        <v>-7.4215840157898558E-8</v>
      </c>
      <c r="Y6" s="2">
        <f t="shared" si="16"/>
        <v>103460.39988928346</v>
      </c>
      <c r="Z6" s="2">
        <f t="shared" si="17"/>
        <v>-3.8475522779685439E-15</v>
      </c>
      <c r="AA6" s="16">
        <f t="shared" si="18"/>
        <v>-2316995981.7926574</v>
      </c>
    </row>
    <row r="7" spans="1:27" x14ac:dyDescent="0.25">
      <c r="A7" s="1">
        <v>15</v>
      </c>
      <c r="B7" s="1">
        <f t="shared" si="3"/>
        <v>0.25</v>
      </c>
      <c r="C7" s="1">
        <v>20</v>
      </c>
      <c r="D7" s="1">
        <f t="shared" si="0"/>
        <v>29.146000000000001</v>
      </c>
      <c r="E7" s="1">
        <f t="shared" si="4"/>
        <v>4.8576666666666667E-7</v>
      </c>
      <c r="F7" s="1">
        <v>21.1</v>
      </c>
      <c r="G7" s="1">
        <f t="shared" si="5"/>
        <v>294.10000000000002</v>
      </c>
      <c r="H7" s="1">
        <v>101.3</v>
      </c>
      <c r="I7" s="1">
        <f t="shared" si="6"/>
        <v>101300</v>
      </c>
      <c r="J7" s="1">
        <f t="shared" si="7"/>
        <v>2.0124824921938581E-5</v>
      </c>
      <c r="K7" s="22">
        <v>18.212871287128714</v>
      </c>
      <c r="L7" s="2">
        <f t="shared" si="8"/>
        <v>1.8212871287128713E-5</v>
      </c>
      <c r="M7" s="3">
        <f t="shared" si="9"/>
        <v>4.7762865441819992E-3</v>
      </c>
      <c r="N7" s="29">
        <f t="shared" si="10"/>
        <v>7.6739710356310012E-8</v>
      </c>
      <c r="O7" s="29">
        <f t="shared" si="11"/>
        <v>2.032E-3</v>
      </c>
      <c r="P7" s="29">
        <v>2.1048357489809849E-10</v>
      </c>
      <c r="Q7" s="16">
        <v>0.03</v>
      </c>
      <c r="R7" s="16">
        <f t="shared" si="12"/>
        <v>103000</v>
      </c>
      <c r="S7" s="16">
        <f t="shared" si="13"/>
        <v>5.36358238306597E-3</v>
      </c>
      <c r="T7" s="16">
        <v>0.1</v>
      </c>
      <c r="U7" s="16">
        <f t="shared" si="14"/>
        <v>110000.00000000001</v>
      </c>
      <c r="V7" s="16">
        <f t="shared" si="1"/>
        <v>2.0034158415841588</v>
      </c>
      <c r="W7" s="16">
        <f t="shared" si="15"/>
        <v>6.9999999999999991</v>
      </c>
      <c r="X7" s="16">
        <f t="shared" si="2"/>
        <v>-5.0703389598310334E-8</v>
      </c>
      <c r="Y7" s="2">
        <f t="shared" si="16"/>
        <v>103314.42868427852</v>
      </c>
      <c r="Z7" s="2">
        <f t="shared" si="17"/>
        <v>-2.6323242969528064E-15</v>
      </c>
      <c r="AA7" s="16">
        <f t="shared" si="18"/>
        <v>-1585185691.62498</v>
      </c>
    </row>
    <row r="8" spans="1:27" x14ac:dyDescent="0.25">
      <c r="A8" s="1">
        <v>18</v>
      </c>
      <c r="B8" s="1">
        <f t="shared" si="3"/>
        <v>0.3</v>
      </c>
      <c r="C8" s="1">
        <v>20</v>
      </c>
      <c r="D8" s="1">
        <f t="shared" si="0"/>
        <v>29.146000000000001</v>
      </c>
      <c r="E8" s="1">
        <f t="shared" si="4"/>
        <v>4.8576666666666667E-7</v>
      </c>
      <c r="F8" s="1">
        <v>21.1</v>
      </c>
      <c r="G8" s="1">
        <f t="shared" si="5"/>
        <v>294.10000000000002</v>
      </c>
      <c r="H8" s="1">
        <v>101.3</v>
      </c>
      <c r="I8" s="1">
        <f t="shared" si="6"/>
        <v>101300</v>
      </c>
      <c r="J8" s="1">
        <f t="shared" si="7"/>
        <v>2.0124824921938581E-5</v>
      </c>
      <c r="K8" s="22">
        <v>7.7178217821782171</v>
      </c>
      <c r="L8" s="2">
        <f t="shared" si="8"/>
        <v>7.7178217821782179E-6</v>
      </c>
      <c r="M8" s="3">
        <f t="shared" si="9"/>
        <v>4.7762865441819992E-3</v>
      </c>
      <c r="N8" s="29">
        <f t="shared" si="10"/>
        <v>3.2518947661181658E-8</v>
      </c>
      <c r="O8" s="29">
        <f t="shared" si="11"/>
        <v>2.032E-3</v>
      </c>
      <c r="P8" s="29">
        <v>2.1048357489809849E-10</v>
      </c>
      <c r="Q8" s="16">
        <v>0.03</v>
      </c>
      <c r="R8" s="16">
        <f t="shared" si="12"/>
        <v>103000</v>
      </c>
      <c r="S8" s="16">
        <f t="shared" si="13"/>
        <v>5.36358238306597E-3</v>
      </c>
      <c r="T8" s="16">
        <v>0.1</v>
      </c>
      <c r="U8" s="16">
        <f t="shared" si="14"/>
        <v>110000.00000000001</v>
      </c>
      <c r="V8" s="16">
        <f t="shared" si="1"/>
        <v>0.84896039603960405</v>
      </c>
      <c r="W8" s="16">
        <f t="shared" si="15"/>
        <v>6.9999999999999991</v>
      </c>
      <c r="X8" s="16">
        <f t="shared" si="2"/>
        <v>-1.4609799844566266E-7</v>
      </c>
      <c r="Y8" s="2">
        <f t="shared" si="16"/>
        <v>103907.30148289037</v>
      </c>
      <c r="Z8" s="2">
        <f t="shared" si="17"/>
        <v>-7.541482089331412E-15</v>
      </c>
      <c r="AA8" s="16">
        <f t="shared" si="18"/>
        <v>-4541480514.1953764</v>
      </c>
    </row>
    <row r="9" spans="1:27" x14ac:dyDescent="0.25">
      <c r="A9" s="1">
        <v>21</v>
      </c>
      <c r="B9" s="1">
        <f t="shared" si="3"/>
        <v>0.35</v>
      </c>
      <c r="C9" s="1">
        <v>20</v>
      </c>
      <c r="D9" s="1">
        <f t="shared" si="0"/>
        <v>29.146000000000001</v>
      </c>
      <c r="E9" s="1">
        <f t="shared" si="4"/>
        <v>4.8576666666666667E-7</v>
      </c>
      <c r="F9" s="1">
        <v>21.1</v>
      </c>
      <c r="G9" s="1">
        <f t="shared" si="5"/>
        <v>294.10000000000002</v>
      </c>
      <c r="H9" s="1">
        <v>101.3</v>
      </c>
      <c r="I9" s="1">
        <f t="shared" si="6"/>
        <v>101300</v>
      </c>
      <c r="J9" s="1">
        <f t="shared" si="7"/>
        <v>2.0124824921938581E-5</v>
      </c>
      <c r="K9" s="22">
        <v>26.282178217821784</v>
      </c>
      <c r="L9" s="2">
        <f t="shared" si="8"/>
        <v>2.6282178217821784E-5</v>
      </c>
      <c r="M9" s="3">
        <f t="shared" si="9"/>
        <v>4.7762865441819992E-3</v>
      </c>
      <c r="N9" s="29">
        <f t="shared" si="10"/>
        <v>1.1073963639077191E-7</v>
      </c>
      <c r="O9" s="29">
        <f t="shared" si="11"/>
        <v>2.032E-3</v>
      </c>
      <c r="P9" s="29">
        <v>2.1048357489809849E-10</v>
      </c>
      <c r="Q9" s="16">
        <v>0.03</v>
      </c>
      <c r="R9" s="16">
        <f t="shared" si="12"/>
        <v>103000</v>
      </c>
      <c r="S9" s="16">
        <f t="shared" si="13"/>
        <v>5.36358238306597E-3</v>
      </c>
      <c r="T9" s="16">
        <v>0.1</v>
      </c>
      <c r="U9" s="16">
        <f t="shared" si="14"/>
        <v>110000.00000000001</v>
      </c>
      <c r="V9" s="16">
        <f t="shared" si="1"/>
        <v>2.8910396039603965</v>
      </c>
      <c r="W9" s="16">
        <f t="shared" si="15"/>
        <v>6.9999999999999991</v>
      </c>
      <c r="X9" s="16">
        <f t="shared" si="2"/>
        <v>1.2806189535112191E-8</v>
      </c>
      <c r="Y9" s="2">
        <f t="shared" si="16"/>
        <v>102920.66033389924</v>
      </c>
      <c r="Z9" s="2">
        <f t="shared" si="17"/>
        <v>6.6739740917158455E-16</v>
      </c>
      <c r="AA9" s="16">
        <f t="shared" si="18"/>
        <v>401906719.80312824</v>
      </c>
    </row>
    <row r="10" spans="1:27" x14ac:dyDescent="0.25">
      <c r="A10" s="1">
        <v>24</v>
      </c>
      <c r="B10" s="1">
        <f t="shared" si="3"/>
        <v>0.4</v>
      </c>
      <c r="C10" s="1">
        <v>20</v>
      </c>
      <c r="D10" s="1">
        <f t="shared" si="0"/>
        <v>29.146000000000001</v>
      </c>
      <c r="E10" s="1">
        <f t="shared" si="4"/>
        <v>4.8576666666666667E-7</v>
      </c>
      <c r="F10" s="1">
        <v>21.1</v>
      </c>
      <c r="G10" s="1">
        <f t="shared" si="5"/>
        <v>294.10000000000002</v>
      </c>
      <c r="H10" s="1">
        <v>101.3</v>
      </c>
      <c r="I10" s="1">
        <f t="shared" si="6"/>
        <v>101300</v>
      </c>
      <c r="J10" s="1">
        <f t="shared" si="7"/>
        <v>2.0124824921938581E-5</v>
      </c>
      <c r="K10" s="22">
        <v>42.866336633663366</v>
      </c>
      <c r="L10" s="2">
        <f t="shared" si="8"/>
        <v>4.2866336633663367E-5</v>
      </c>
      <c r="M10" s="3">
        <f t="shared" si="9"/>
        <v>4.7762865441819992E-3</v>
      </c>
      <c r="N10" s="29">
        <f t="shared" si="10"/>
        <v>1.8061678498920588E-7</v>
      </c>
      <c r="O10" s="29">
        <f t="shared" si="11"/>
        <v>2.032E-3</v>
      </c>
      <c r="P10" s="29">
        <v>2.1048357489809849E-10</v>
      </c>
      <c r="Q10" s="16">
        <v>0.03</v>
      </c>
      <c r="R10" s="16">
        <f t="shared" si="12"/>
        <v>103000</v>
      </c>
      <c r="S10" s="16">
        <f t="shared" si="13"/>
        <v>5.36358238306597E-3</v>
      </c>
      <c r="T10" s="16">
        <v>0.1</v>
      </c>
      <c r="U10" s="16">
        <f t="shared" si="14"/>
        <v>110000.00000000001</v>
      </c>
      <c r="V10" s="16">
        <f t="shared" si="1"/>
        <v>4.7152970297029713</v>
      </c>
      <c r="W10" s="16">
        <f t="shared" si="15"/>
        <v>6.9999999999999991</v>
      </c>
      <c r="X10" s="16">
        <f t="shared" si="2"/>
        <v>1.3148898206552838E-7</v>
      </c>
      <c r="Y10" s="2">
        <f t="shared" si="16"/>
        <v>102186.82552677979</v>
      </c>
      <c r="Z10" s="2">
        <f t="shared" si="17"/>
        <v>6.9019125381950938E-15</v>
      </c>
      <c r="AA10" s="16">
        <f t="shared" si="18"/>
        <v>4156331730.5010858</v>
      </c>
    </row>
    <row r="11" spans="1:27" x14ac:dyDescent="0.25">
      <c r="A11" s="1">
        <v>27</v>
      </c>
      <c r="B11" s="1">
        <f t="shared" si="3"/>
        <v>0.45</v>
      </c>
      <c r="C11" s="1">
        <v>20</v>
      </c>
      <c r="D11" s="1">
        <f t="shared" si="0"/>
        <v>29.146000000000001</v>
      </c>
      <c r="E11" s="1">
        <f t="shared" si="4"/>
        <v>4.8576666666666667E-7</v>
      </c>
      <c r="F11" s="1">
        <v>21.1</v>
      </c>
      <c r="G11" s="1">
        <f t="shared" si="5"/>
        <v>294.10000000000002</v>
      </c>
      <c r="H11" s="1">
        <v>101.3</v>
      </c>
      <c r="I11" s="1">
        <f t="shared" si="6"/>
        <v>101300</v>
      </c>
      <c r="J11" s="1">
        <f t="shared" si="7"/>
        <v>2.0124824921938581E-5</v>
      </c>
      <c r="K11" s="22">
        <v>78.237623762376245</v>
      </c>
      <c r="L11" s="2">
        <f t="shared" si="8"/>
        <v>7.823762376237624E-5</v>
      </c>
      <c r="M11" s="3">
        <f t="shared" si="9"/>
        <v>4.7762865441819992E-3</v>
      </c>
      <c r="N11" s="29">
        <f t="shared" si="10"/>
        <v>3.2965327058198521E-7</v>
      </c>
      <c r="O11" s="29">
        <f t="shared" si="11"/>
        <v>2.032E-3</v>
      </c>
      <c r="P11" s="29">
        <v>2.1048357489809849E-10</v>
      </c>
      <c r="Q11" s="16">
        <v>0.03</v>
      </c>
      <c r="R11" s="16">
        <f t="shared" si="12"/>
        <v>103000</v>
      </c>
      <c r="S11" s="16">
        <f t="shared" si="13"/>
        <v>5.36358238306597E-3</v>
      </c>
      <c r="T11" s="16">
        <v>0.1</v>
      </c>
      <c r="U11" s="16">
        <f t="shared" si="14"/>
        <v>110000.00000000001</v>
      </c>
      <c r="V11" s="16">
        <f t="shared" si="1"/>
        <v>8.606138613861388</v>
      </c>
      <c r="W11" s="16">
        <f t="shared" si="15"/>
        <v>6.9999999999999991</v>
      </c>
      <c r="X11" s="16">
        <f t="shared" si="2"/>
        <v>3.5947220382137703E-7</v>
      </c>
      <c r="Y11" s="2">
        <f t="shared" si="16"/>
        <v>100784.53446332765</v>
      </c>
      <c r="Z11" s="2">
        <f t="shared" si="17"/>
        <v>1.9132136132805137E-14</v>
      </c>
      <c r="AA11" s="16">
        <f t="shared" si="18"/>
        <v>11521372379.175255</v>
      </c>
    </row>
    <row r="12" spans="1:27" x14ac:dyDescent="0.25">
      <c r="A12" s="1">
        <v>30</v>
      </c>
      <c r="B12" s="1">
        <f t="shared" si="3"/>
        <v>0.5</v>
      </c>
      <c r="C12" s="1">
        <v>20</v>
      </c>
      <c r="D12" s="1">
        <f t="shared" si="0"/>
        <v>29.146000000000001</v>
      </c>
      <c r="E12" s="1">
        <f t="shared" si="4"/>
        <v>4.8576666666666667E-7</v>
      </c>
      <c r="F12" s="1">
        <v>21.1</v>
      </c>
      <c r="G12" s="1">
        <f t="shared" si="5"/>
        <v>294.10000000000002</v>
      </c>
      <c r="H12" s="1">
        <v>101.3</v>
      </c>
      <c r="I12" s="1">
        <f t="shared" si="6"/>
        <v>101300</v>
      </c>
      <c r="J12" s="1">
        <f t="shared" si="7"/>
        <v>2.0124824921938581E-5</v>
      </c>
      <c r="K12" s="22">
        <v>97.346534653465341</v>
      </c>
      <c r="L12" s="2">
        <f t="shared" si="8"/>
        <v>9.7346534653465339E-5</v>
      </c>
      <c r="M12" s="3">
        <f t="shared" si="9"/>
        <v>4.7762865441819992E-3</v>
      </c>
      <c r="N12" s="29">
        <f t="shared" si="10"/>
        <v>4.101684328476434E-7</v>
      </c>
      <c r="O12" s="29">
        <f t="shared" si="11"/>
        <v>2.032E-3</v>
      </c>
      <c r="P12" s="29">
        <v>2.1048357489809849E-10</v>
      </c>
      <c r="Q12" s="16">
        <v>0.03</v>
      </c>
      <c r="R12" s="16">
        <f t="shared" si="12"/>
        <v>103000</v>
      </c>
      <c r="S12" s="16">
        <f t="shared" si="13"/>
        <v>5.36358238306597E-3</v>
      </c>
      <c r="T12" s="16">
        <v>0.1</v>
      </c>
      <c r="U12" s="16">
        <f t="shared" si="14"/>
        <v>110000.00000000001</v>
      </c>
      <c r="V12" s="16">
        <f t="shared" si="1"/>
        <v>10.708118811881189</v>
      </c>
      <c r="W12" s="16">
        <f t="shared" si="15"/>
        <v>6.9999999999999991</v>
      </c>
      <c r="X12" s="16">
        <f t="shared" si="2"/>
        <v>4.7507184045521465E-7</v>
      </c>
      <c r="Y12" s="2">
        <f t="shared" si="16"/>
        <v>100077.19988370141</v>
      </c>
      <c r="Z12" s="2">
        <f t="shared" si="17"/>
        <v>2.5463938119696999E-14</v>
      </c>
      <c r="AA12" s="16">
        <f t="shared" si="18"/>
        <v>15334383535.681534</v>
      </c>
    </row>
    <row r="13" spans="1:27" x14ac:dyDescent="0.25">
      <c r="A13" s="1">
        <v>33</v>
      </c>
      <c r="B13" s="1">
        <f t="shared" si="3"/>
        <v>0.55000000000000004</v>
      </c>
      <c r="C13" s="1">
        <v>20</v>
      </c>
      <c r="D13" s="1">
        <f t="shared" si="0"/>
        <v>29.146000000000001</v>
      </c>
      <c r="E13" s="1">
        <f t="shared" si="4"/>
        <v>4.8576666666666667E-7</v>
      </c>
      <c r="F13" s="1">
        <v>21.1</v>
      </c>
      <c r="G13" s="1">
        <f t="shared" si="5"/>
        <v>294.10000000000002</v>
      </c>
      <c r="H13" s="1">
        <v>101.3</v>
      </c>
      <c r="I13" s="1">
        <f t="shared" si="6"/>
        <v>101300</v>
      </c>
      <c r="J13" s="1">
        <f t="shared" si="7"/>
        <v>2.0124824921938581E-5</v>
      </c>
      <c r="K13" s="22">
        <v>116.35643564356437</v>
      </c>
      <c r="L13" s="2">
        <f t="shared" si="8"/>
        <v>1.1635643564356436E-4</v>
      </c>
      <c r="M13" s="3">
        <f t="shared" si="9"/>
        <v>4.7762865441819992E-3</v>
      </c>
      <c r="N13" s="29">
        <f t="shared" si="10"/>
        <v>4.9026641810674387E-7</v>
      </c>
      <c r="O13" s="29">
        <f t="shared" si="11"/>
        <v>2.032E-3</v>
      </c>
      <c r="P13" s="29">
        <v>2.1048357489809849E-10</v>
      </c>
      <c r="Q13" s="16">
        <v>0.03</v>
      </c>
      <c r="R13" s="16">
        <f t="shared" si="12"/>
        <v>103000</v>
      </c>
      <c r="S13" s="16">
        <f t="shared" si="13"/>
        <v>5.36358238306597E-3</v>
      </c>
      <c r="T13" s="16">
        <v>0.1</v>
      </c>
      <c r="U13" s="16">
        <f t="shared" si="14"/>
        <v>110000.00000000001</v>
      </c>
      <c r="V13" s="16">
        <f t="shared" si="1"/>
        <v>12.799207920792082</v>
      </c>
      <c r="W13" s="16">
        <f t="shared" si="15"/>
        <v>6.9999999999999991</v>
      </c>
      <c r="X13" s="16">
        <f t="shared" si="2"/>
        <v>5.867912390737551E-7</v>
      </c>
      <c r="Y13" s="2">
        <f t="shared" si="16"/>
        <v>99395.974697999802</v>
      </c>
      <c r="Z13" s="2">
        <f t="shared" si="17"/>
        <v>3.1668369791098357E-14</v>
      </c>
      <c r="AA13" s="16">
        <f t="shared" si="18"/>
        <v>19070692288.199432</v>
      </c>
    </row>
    <row r="14" spans="1:27" x14ac:dyDescent="0.25">
      <c r="A14" s="1">
        <v>36</v>
      </c>
      <c r="B14" s="1">
        <f t="shared" si="3"/>
        <v>0.6</v>
      </c>
      <c r="C14" s="1">
        <v>20</v>
      </c>
      <c r="D14" s="1">
        <f t="shared" si="0"/>
        <v>29.146000000000001</v>
      </c>
      <c r="E14" s="1">
        <f t="shared" si="4"/>
        <v>4.8576666666666667E-7</v>
      </c>
      <c r="F14" s="1">
        <v>21.1</v>
      </c>
      <c r="G14" s="1">
        <f t="shared" si="5"/>
        <v>294.10000000000002</v>
      </c>
      <c r="H14" s="1">
        <v>101.3</v>
      </c>
      <c r="I14" s="1">
        <f t="shared" si="6"/>
        <v>101300</v>
      </c>
      <c r="J14" s="1">
        <f t="shared" si="7"/>
        <v>2.0124824921938581E-5</v>
      </c>
      <c r="K14" s="22">
        <v>131.62871287128715</v>
      </c>
      <c r="L14" s="2">
        <f t="shared" si="8"/>
        <v>1.3162871287128715E-4</v>
      </c>
      <c r="M14" s="3">
        <f t="shared" si="9"/>
        <v>4.7762865441819992E-3</v>
      </c>
      <c r="N14" s="29">
        <f t="shared" si="10"/>
        <v>5.5461597136828682E-7</v>
      </c>
      <c r="O14" s="29">
        <f t="shared" si="11"/>
        <v>2.032E-3</v>
      </c>
      <c r="P14" s="29">
        <v>2.1048357489809849E-10</v>
      </c>
      <c r="Q14" s="16">
        <v>0.03</v>
      </c>
      <c r="R14" s="16">
        <f t="shared" si="12"/>
        <v>103000</v>
      </c>
      <c r="S14" s="16">
        <f t="shared" si="13"/>
        <v>5.36358238306597E-3</v>
      </c>
      <c r="T14" s="16">
        <v>0.1</v>
      </c>
      <c r="U14" s="16">
        <f t="shared" si="14"/>
        <v>110000.00000000001</v>
      </c>
      <c r="V14" s="16">
        <f t="shared" si="1"/>
        <v>14.479158415841589</v>
      </c>
      <c r="W14" s="16">
        <f t="shared" si="15"/>
        <v>6.9999999999999991</v>
      </c>
      <c r="X14" s="16">
        <f t="shared" si="2"/>
        <v>6.7471152086018816E-7</v>
      </c>
      <c r="Y14" s="2">
        <f t="shared" si="16"/>
        <v>98861.503931079176</v>
      </c>
      <c r="Z14" s="2">
        <f t="shared" si="17"/>
        <v>3.6610821977296077E-14</v>
      </c>
      <c r="AA14" s="16">
        <f t="shared" si="18"/>
        <v>22047036994.727699</v>
      </c>
    </row>
    <row r="15" spans="1:27" x14ac:dyDescent="0.25">
      <c r="A15" s="1">
        <v>39</v>
      </c>
      <c r="B15" s="1">
        <f t="shared" si="3"/>
        <v>0.65</v>
      </c>
      <c r="C15" s="1">
        <v>20</v>
      </c>
      <c r="D15" s="1">
        <f t="shared" si="0"/>
        <v>29.146000000000001</v>
      </c>
      <c r="E15" s="1">
        <f t="shared" si="4"/>
        <v>4.8576666666666667E-7</v>
      </c>
      <c r="F15" s="1">
        <v>21.1</v>
      </c>
      <c r="G15" s="1">
        <f t="shared" si="5"/>
        <v>294.10000000000002</v>
      </c>
      <c r="H15" s="1">
        <v>101.3</v>
      </c>
      <c r="I15" s="1">
        <f t="shared" si="6"/>
        <v>101300</v>
      </c>
      <c r="J15" s="1">
        <f t="shared" si="7"/>
        <v>2.0124824921938581E-5</v>
      </c>
      <c r="K15" s="22">
        <v>138.46039603960398</v>
      </c>
      <c r="L15" s="2">
        <f t="shared" si="8"/>
        <v>1.3846039603960397E-4</v>
      </c>
      <c r="M15" s="3">
        <f t="shared" si="9"/>
        <v>4.7762865441819992E-3</v>
      </c>
      <c r="N15" s="29">
        <f t="shared" si="10"/>
        <v>5.8340118482077593E-7</v>
      </c>
      <c r="O15" s="29">
        <f t="shared" si="11"/>
        <v>2.032E-3</v>
      </c>
      <c r="P15" s="29">
        <v>2.1048357489809849E-10</v>
      </c>
      <c r="Q15" s="16">
        <v>0.03</v>
      </c>
      <c r="R15" s="16">
        <f t="shared" si="12"/>
        <v>103000</v>
      </c>
      <c r="S15" s="16">
        <f t="shared" si="13"/>
        <v>5.36358238306597E-3</v>
      </c>
      <c r="T15" s="16">
        <v>0.1</v>
      </c>
      <c r="U15" s="16">
        <f t="shared" si="14"/>
        <v>110000.00000000001</v>
      </c>
      <c r="V15" s="16">
        <f t="shared" si="1"/>
        <v>15.23064356435644</v>
      </c>
      <c r="W15" s="16">
        <f t="shared" si="15"/>
        <v>6.9999999999999991</v>
      </c>
      <c r="X15" s="16">
        <f t="shared" si="2"/>
        <v>7.1359588318394764E-7</v>
      </c>
      <c r="Y15" s="2">
        <f t="shared" si="16"/>
        <v>98625.583938003489</v>
      </c>
      <c r="Z15" s="2">
        <f t="shared" si="17"/>
        <v>3.8813676047235711E-14</v>
      </c>
      <c r="AA15" s="16">
        <f t="shared" si="18"/>
        <v>23373595715.645348</v>
      </c>
    </row>
    <row r="16" spans="1:27" x14ac:dyDescent="0.25">
      <c r="A16" s="1">
        <v>42</v>
      </c>
      <c r="B16" s="1">
        <f t="shared" si="3"/>
        <v>0.7</v>
      </c>
      <c r="C16" s="1">
        <v>20</v>
      </c>
      <c r="D16" s="1">
        <f t="shared" si="0"/>
        <v>29.146000000000001</v>
      </c>
      <c r="E16" s="1">
        <f t="shared" si="4"/>
        <v>4.8576666666666667E-7</v>
      </c>
      <c r="F16" s="1">
        <v>21.1</v>
      </c>
      <c r="G16" s="1">
        <f t="shared" si="5"/>
        <v>294.10000000000002</v>
      </c>
      <c r="H16" s="1">
        <v>101.3</v>
      </c>
      <c r="I16" s="1">
        <f t="shared" si="6"/>
        <v>101300</v>
      </c>
      <c r="J16" s="1">
        <f t="shared" si="7"/>
        <v>2.0124824921938581E-5</v>
      </c>
      <c r="K16" s="22">
        <v>147.71782178217825</v>
      </c>
      <c r="L16" s="2">
        <f t="shared" si="8"/>
        <v>1.4771782178217826E-4</v>
      </c>
      <c r="M16" s="3">
        <f t="shared" si="9"/>
        <v>4.7762865441819992E-3</v>
      </c>
      <c r="N16" s="29">
        <f t="shared" si="10"/>
        <v>6.224072349339318E-7</v>
      </c>
      <c r="O16" s="29">
        <f t="shared" si="11"/>
        <v>2.032E-3</v>
      </c>
      <c r="P16" s="29">
        <v>2.1048357489809849E-10</v>
      </c>
      <c r="Q16" s="16">
        <v>0.03</v>
      </c>
      <c r="R16" s="16">
        <f t="shared" si="12"/>
        <v>103000</v>
      </c>
      <c r="S16" s="16">
        <f t="shared" si="13"/>
        <v>5.36358238306597E-3</v>
      </c>
      <c r="T16" s="16">
        <v>0.1</v>
      </c>
      <c r="U16" s="16">
        <f t="shared" si="14"/>
        <v>110000.00000000001</v>
      </c>
      <c r="V16" s="16">
        <f t="shared" si="1"/>
        <v>16.24896039603961</v>
      </c>
      <c r="W16" s="16">
        <f t="shared" si="15"/>
        <v>6.9999999999999991</v>
      </c>
      <c r="X16" s="16">
        <f t="shared" si="2"/>
        <v>7.6589743198204454E-7</v>
      </c>
      <c r="Y16" s="2">
        <f t="shared" si="16"/>
        <v>98308.703399640537</v>
      </c>
      <c r="Z16" s="2">
        <f t="shared" si="17"/>
        <v>4.179317727744327E-14</v>
      </c>
      <c r="AA16" s="16">
        <f t="shared" si="18"/>
        <v>25167851356.476337</v>
      </c>
    </row>
    <row r="17" spans="1:74" s="4" customFormat="1" x14ac:dyDescent="0.25">
      <c r="A17" s="1">
        <v>45</v>
      </c>
      <c r="B17" s="1">
        <f t="shared" si="3"/>
        <v>0.75</v>
      </c>
      <c r="C17" s="1">
        <v>20</v>
      </c>
      <c r="D17" s="1">
        <f t="shared" si="0"/>
        <v>29.146000000000001</v>
      </c>
      <c r="E17" s="1">
        <f t="shared" si="4"/>
        <v>4.8576666666666667E-7</v>
      </c>
      <c r="F17" s="1">
        <v>21.1</v>
      </c>
      <c r="G17" s="1">
        <f t="shared" si="5"/>
        <v>294.10000000000002</v>
      </c>
      <c r="H17" s="1">
        <v>101.3</v>
      </c>
      <c r="I17" s="1">
        <f t="shared" si="6"/>
        <v>101300</v>
      </c>
      <c r="J17" s="1">
        <f t="shared" si="7"/>
        <v>2.0124824921938581E-5</v>
      </c>
      <c r="K17" s="22">
        <v>149.94554455445547</v>
      </c>
      <c r="L17" s="2">
        <f t="shared" si="8"/>
        <v>1.4994554455445547E-4</v>
      </c>
      <c r="M17" s="3">
        <f t="shared" si="9"/>
        <v>4.7762865441819992E-3</v>
      </c>
      <c r="N17" s="29">
        <f t="shared" si="10"/>
        <v>6.3179371758148262E-7</v>
      </c>
      <c r="O17" s="29">
        <f t="shared" si="11"/>
        <v>2.032E-3</v>
      </c>
      <c r="P17" s="29">
        <v>2.1048357489809849E-10</v>
      </c>
      <c r="Q17" s="16">
        <v>0.03</v>
      </c>
      <c r="R17" s="16">
        <f t="shared" si="12"/>
        <v>103000</v>
      </c>
      <c r="S17" s="16">
        <f t="shared" si="13"/>
        <v>5.36358238306597E-3</v>
      </c>
      <c r="T17" s="16">
        <v>0.1</v>
      </c>
      <c r="U17" s="16">
        <f t="shared" si="14"/>
        <v>110000.00000000001</v>
      </c>
      <c r="V17" s="16">
        <f t="shared" si="1"/>
        <v>16.494009900990104</v>
      </c>
      <c r="W17" s="16">
        <f t="shared" si="15"/>
        <v>6.9999999999999991</v>
      </c>
      <c r="X17" s="16">
        <f t="shared" si="2"/>
        <v>7.7842064611307474E-7</v>
      </c>
      <c r="Y17" s="2">
        <f t="shared" si="16"/>
        <v>98232.904388347044</v>
      </c>
      <c r="Z17" s="2">
        <f t="shared" si="17"/>
        <v>4.2509426357768447E-14</v>
      </c>
      <c r="AA17" s="16">
        <f t="shared" si="18"/>
        <v>25599176552.648159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1">
        <v>48</v>
      </c>
      <c r="B18" s="1">
        <f t="shared" si="3"/>
        <v>0.8</v>
      </c>
      <c r="C18" s="1">
        <v>20</v>
      </c>
      <c r="D18" s="1">
        <f t="shared" si="0"/>
        <v>29.146000000000001</v>
      </c>
      <c r="E18" s="1">
        <f t="shared" si="4"/>
        <v>4.8576666666666667E-7</v>
      </c>
      <c r="F18" s="1">
        <v>21.1</v>
      </c>
      <c r="G18" s="1">
        <f t="shared" si="5"/>
        <v>294.10000000000002</v>
      </c>
      <c r="H18" s="1">
        <v>101.3</v>
      </c>
      <c r="I18" s="1">
        <f t="shared" si="6"/>
        <v>101300</v>
      </c>
      <c r="J18" s="1">
        <f t="shared" si="7"/>
        <v>2.0124824921938581E-5</v>
      </c>
      <c r="K18" s="22">
        <v>166.55445544554456</v>
      </c>
      <c r="L18" s="2">
        <f t="shared" si="8"/>
        <v>1.6655445544554455E-4</v>
      </c>
      <c r="M18" s="3">
        <f t="shared" si="9"/>
        <v>4.7762865441819992E-3</v>
      </c>
      <c r="N18" s="29">
        <f t="shared" si="10"/>
        <v>7.0177516043155587E-7</v>
      </c>
      <c r="O18" s="29">
        <f t="shared" si="11"/>
        <v>2.032E-3</v>
      </c>
      <c r="P18" s="29">
        <v>2.1048357489809849E-10</v>
      </c>
      <c r="Q18" s="16">
        <v>0.03</v>
      </c>
      <c r="R18" s="16">
        <f t="shared" si="12"/>
        <v>103000</v>
      </c>
      <c r="S18" s="16">
        <f t="shared" si="13"/>
        <v>5.36358238306597E-3</v>
      </c>
      <c r="T18" s="16">
        <v>0.1</v>
      </c>
      <c r="U18" s="16">
        <f t="shared" si="14"/>
        <v>110000.00000000001</v>
      </c>
      <c r="V18" s="16">
        <f t="shared" si="1"/>
        <v>18.320990099009904</v>
      </c>
      <c r="W18" s="16">
        <f t="shared" si="15"/>
        <v>6.9999999999999991</v>
      </c>
      <c r="X18" s="16">
        <f t="shared" si="2"/>
        <v>8.7108923156247955E-7</v>
      </c>
      <c r="Y18" s="2">
        <f t="shared" si="16"/>
        <v>97672.919569013509</v>
      </c>
      <c r="Z18" s="2">
        <f t="shared" si="17"/>
        <v>4.7843715754065849E-14</v>
      </c>
      <c r="AA18" s="16">
        <f t="shared" si="18"/>
        <v>28811485627.098454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1">
        <v>51</v>
      </c>
      <c r="B19" s="1">
        <f t="shared" si="3"/>
        <v>0.85</v>
      </c>
      <c r="C19" s="1">
        <v>20</v>
      </c>
      <c r="D19" s="1">
        <f t="shared" si="0"/>
        <v>29.146000000000001</v>
      </c>
      <c r="E19" s="1">
        <f t="shared" si="4"/>
        <v>4.8576666666666667E-7</v>
      </c>
      <c r="F19" s="1">
        <v>21.1</v>
      </c>
      <c r="G19" s="1">
        <f t="shared" si="5"/>
        <v>294.10000000000002</v>
      </c>
      <c r="H19" s="1">
        <v>101.3</v>
      </c>
      <c r="I19" s="1">
        <f t="shared" si="6"/>
        <v>101300</v>
      </c>
      <c r="J19" s="1">
        <f t="shared" si="7"/>
        <v>2.0124824921938581E-5</v>
      </c>
      <c r="K19" s="22">
        <v>161.55445544554456</v>
      </c>
      <c r="L19" s="2">
        <f t="shared" si="8"/>
        <v>1.6155445544554456E-4</v>
      </c>
      <c r="M19" s="3">
        <f t="shared" si="9"/>
        <v>4.7762865441819992E-3</v>
      </c>
      <c r="N19" s="29">
        <f t="shared" si="10"/>
        <v>6.8070772160038622E-7</v>
      </c>
      <c r="O19" s="29">
        <f t="shared" si="11"/>
        <v>2.032E-3</v>
      </c>
      <c r="P19" s="29">
        <v>2.1048357489809849E-10</v>
      </c>
      <c r="Q19" s="16">
        <v>0.03</v>
      </c>
      <c r="R19" s="16">
        <f t="shared" si="12"/>
        <v>103000</v>
      </c>
      <c r="S19" s="16">
        <f t="shared" si="13"/>
        <v>5.36358238306597E-3</v>
      </c>
      <c r="T19" s="16">
        <v>0.1</v>
      </c>
      <c r="U19" s="16">
        <f t="shared" si="14"/>
        <v>110000.00000000001</v>
      </c>
      <c r="V19" s="16">
        <f t="shared" si="1"/>
        <v>17.770990099009904</v>
      </c>
      <c r="W19" s="16">
        <f t="shared" si="15"/>
        <v>6.9999999999999991</v>
      </c>
      <c r="X19" s="16">
        <f t="shared" si="2"/>
        <v>8.433160104053889E-7</v>
      </c>
      <c r="Y19" s="2">
        <f t="shared" si="16"/>
        <v>97840.581737660294</v>
      </c>
      <c r="Z19" s="2">
        <f t="shared" si="17"/>
        <v>4.6238651927925563E-14</v>
      </c>
      <c r="AA19" s="16">
        <f t="shared" si="18"/>
        <v>27844916190.996777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1">
        <v>54</v>
      </c>
      <c r="B20" s="1">
        <f t="shared" si="3"/>
        <v>0.9</v>
      </c>
      <c r="C20" s="1">
        <v>20</v>
      </c>
      <c r="D20" s="1">
        <f t="shared" si="0"/>
        <v>29.146000000000001</v>
      </c>
      <c r="E20" s="1">
        <f t="shared" si="4"/>
        <v>4.8576666666666667E-7</v>
      </c>
      <c r="F20" s="1">
        <v>21.1</v>
      </c>
      <c r="G20" s="1">
        <f t="shared" si="5"/>
        <v>294.10000000000002</v>
      </c>
      <c r="H20" s="1">
        <v>101.3</v>
      </c>
      <c r="I20" s="1">
        <f t="shared" si="6"/>
        <v>101300</v>
      </c>
      <c r="J20" s="1">
        <f t="shared" si="7"/>
        <v>2.0124824921938581E-5</v>
      </c>
      <c r="K20" s="22">
        <v>154.02970297029705</v>
      </c>
      <c r="L20" s="2">
        <f t="shared" si="8"/>
        <v>1.5402970297029704E-4</v>
      </c>
      <c r="M20" s="3">
        <f t="shared" si="9"/>
        <v>4.7762865441819992E-3</v>
      </c>
      <c r="N20" s="29">
        <f t="shared" si="10"/>
        <v>6.4900226910199232E-7</v>
      </c>
      <c r="O20" s="29">
        <f t="shared" si="11"/>
        <v>2.032E-3</v>
      </c>
      <c r="P20" s="29">
        <v>2.1048357489809849E-10</v>
      </c>
      <c r="Q20" s="16">
        <v>0.03</v>
      </c>
      <c r="R20" s="16">
        <f t="shared" si="12"/>
        <v>103000</v>
      </c>
      <c r="S20" s="16">
        <f t="shared" si="13"/>
        <v>5.36358238306597E-3</v>
      </c>
      <c r="T20" s="16">
        <v>0.1</v>
      </c>
      <c r="U20" s="16">
        <f t="shared" si="14"/>
        <v>110000.00000000001</v>
      </c>
      <c r="V20" s="16">
        <f t="shared" si="1"/>
        <v>16.943267326732677</v>
      </c>
      <c r="W20" s="16">
        <f t="shared" si="15"/>
        <v>6.9999999999999991</v>
      </c>
      <c r="X20" s="16">
        <f t="shared" si="2"/>
        <v>8.0131994258448988E-7</v>
      </c>
      <c r="Y20" s="2">
        <f t="shared" si="16"/>
        <v>98094.377866397102</v>
      </c>
      <c r="Z20" s="2">
        <f t="shared" si="17"/>
        <v>4.3821961135251215E-14</v>
      </c>
      <c r="AA20" s="16">
        <f t="shared" si="18"/>
        <v>26389584995.648281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1">
        <v>57</v>
      </c>
      <c r="B21" s="1">
        <f t="shared" si="3"/>
        <v>0.95</v>
      </c>
      <c r="C21" s="1">
        <v>20</v>
      </c>
      <c r="D21" s="1">
        <f t="shared" si="0"/>
        <v>29.146000000000001</v>
      </c>
      <c r="E21" s="1">
        <f t="shared" si="4"/>
        <v>4.8576666666666667E-7</v>
      </c>
      <c r="F21" s="1">
        <v>21.1</v>
      </c>
      <c r="G21" s="1">
        <f t="shared" si="5"/>
        <v>294.10000000000002</v>
      </c>
      <c r="H21" s="1">
        <v>101.3</v>
      </c>
      <c r="I21" s="1">
        <f t="shared" si="6"/>
        <v>101300</v>
      </c>
      <c r="J21" s="1">
        <f t="shared" si="7"/>
        <v>2.0124824921938581E-5</v>
      </c>
      <c r="K21" s="22">
        <v>161.75247524752479</v>
      </c>
      <c r="L21" s="2">
        <f t="shared" si="8"/>
        <v>1.617524752475248E-4</v>
      </c>
      <c r="M21" s="3">
        <f t="shared" si="9"/>
        <v>4.7762865441819992E-3</v>
      </c>
      <c r="N21" s="29">
        <f t="shared" si="10"/>
        <v>6.8154207561350206E-7</v>
      </c>
      <c r="O21" s="29">
        <f t="shared" si="11"/>
        <v>2.032E-3</v>
      </c>
      <c r="P21" s="29">
        <v>2.1048357489809849E-10</v>
      </c>
      <c r="Q21" s="16">
        <v>0.03</v>
      </c>
      <c r="R21" s="16">
        <f t="shared" si="12"/>
        <v>103000</v>
      </c>
      <c r="S21" s="16">
        <f t="shared" si="13"/>
        <v>5.36358238306597E-3</v>
      </c>
      <c r="T21" s="16">
        <v>0.1</v>
      </c>
      <c r="U21" s="16">
        <f t="shared" si="14"/>
        <v>110000.00000000001</v>
      </c>
      <c r="V21" s="16">
        <f t="shared" si="1"/>
        <v>17.79277227722773</v>
      </c>
      <c r="W21" s="16">
        <f t="shared" si="15"/>
        <v>6.9999999999999991</v>
      </c>
      <c r="X21" s="16">
        <f t="shared" si="2"/>
        <v>8.4441789718921587E-7</v>
      </c>
      <c r="Y21" s="2">
        <f t="shared" si="16"/>
        <v>97833.92709728911</v>
      </c>
      <c r="Z21" s="2">
        <f t="shared" si="17"/>
        <v>4.6302228037972916E-14</v>
      </c>
      <c r="AA21" s="16">
        <f t="shared" si="18"/>
        <v>27883201724.467293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1">
        <v>60</v>
      </c>
      <c r="B22" s="1">
        <f t="shared" si="3"/>
        <v>1</v>
      </c>
      <c r="C22" s="1">
        <v>20</v>
      </c>
      <c r="D22" s="1">
        <f t="shared" si="0"/>
        <v>29.146000000000001</v>
      </c>
      <c r="E22" s="1">
        <f t="shared" si="4"/>
        <v>4.8576666666666667E-7</v>
      </c>
      <c r="F22" s="1">
        <v>21.1</v>
      </c>
      <c r="G22" s="1">
        <f t="shared" si="5"/>
        <v>294.10000000000002</v>
      </c>
      <c r="H22" s="1">
        <v>101.3</v>
      </c>
      <c r="I22" s="1">
        <f t="shared" si="6"/>
        <v>101300</v>
      </c>
      <c r="J22" s="1">
        <f t="shared" si="7"/>
        <v>2.0124824921938581E-5</v>
      </c>
      <c r="K22" s="22">
        <v>173.31188118811883</v>
      </c>
      <c r="L22" s="2">
        <f t="shared" si="8"/>
        <v>1.7331188118811883E-4</v>
      </c>
      <c r="M22" s="3">
        <f t="shared" si="9"/>
        <v>4.7762865441819992E-3</v>
      </c>
      <c r="N22" s="29">
        <f t="shared" si="10"/>
        <v>7.3024749112912681E-7</v>
      </c>
      <c r="O22" s="29">
        <f t="shared" si="11"/>
        <v>2.032E-3</v>
      </c>
      <c r="P22" s="29">
        <v>2.1048357489809849E-10</v>
      </c>
      <c r="Q22" s="16">
        <v>0.03</v>
      </c>
      <c r="R22" s="16">
        <f t="shared" si="12"/>
        <v>103000</v>
      </c>
      <c r="S22" s="16">
        <f t="shared" si="13"/>
        <v>5.36358238306597E-3</v>
      </c>
      <c r="T22" s="16">
        <v>0.1</v>
      </c>
      <c r="U22" s="16">
        <f t="shared" si="14"/>
        <v>110000.00000000001</v>
      </c>
      <c r="V22" s="16">
        <f t="shared" si="1"/>
        <v>19.064306930693075</v>
      </c>
      <c r="W22" s="16">
        <f t="shared" si="15"/>
        <v>6.9999999999999991</v>
      </c>
      <c r="X22" s="16">
        <f t="shared" si="2"/>
        <v>9.0846636950122798E-7</v>
      </c>
      <c r="Y22" s="2">
        <f t="shared" si="16"/>
        <v>97447.507155248924</v>
      </c>
      <c r="Z22" s="2">
        <f t="shared" si="17"/>
        <v>5.0012440644778259E-14</v>
      </c>
      <c r="AA22" s="16">
        <f t="shared" si="18"/>
        <v>30117491756.285469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1">
        <v>63</v>
      </c>
      <c r="B23" s="1">
        <f t="shared" si="3"/>
        <v>1.05</v>
      </c>
      <c r="C23" s="1">
        <v>20</v>
      </c>
      <c r="D23" s="1">
        <f t="shared" si="0"/>
        <v>29.146000000000001</v>
      </c>
      <c r="E23" s="1">
        <f t="shared" si="4"/>
        <v>4.8576666666666667E-7</v>
      </c>
      <c r="F23" s="1">
        <v>21.1</v>
      </c>
      <c r="G23" s="1">
        <f t="shared" si="5"/>
        <v>294.10000000000002</v>
      </c>
      <c r="H23" s="1">
        <v>101.3</v>
      </c>
      <c r="I23" s="1">
        <f t="shared" si="6"/>
        <v>101300</v>
      </c>
      <c r="J23" s="1">
        <f t="shared" si="7"/>
        <v>2.0124824921938581E-5</v>
      </c>
      <c r="K23" s="22">
        <v>164.64851485148517</v>
      </c>
      <c r="L23" s="2">
        <f t="shared" si="8"/>
        <v>1.6464851485148516E-4</v>
      </c>
      <c r="M23" s="3">
        <f t="shared" si="9"/>
        <v>4.7762865441819992E-3</v>
      </c>
      <c r="N23" s="29">
        <f t="shared" si="10"/>
        <v>6.9374450305531802E-7</v>
      </c>
      <c r="O23" s="29">
        <f t="shared" si="11"/>
        <v>2.032E-3</v>
      </c>
      <c r="P23" s="29">
        <v>2.1048357489809849E-10</v>
      </c>
      <c r="Q23" s="16">
        <v>0.03</v>
      </c>
      <c r="R23" s="16">
        <f t="shared" si="12"/>
        <v>103000</v>
      </c>
      <c r="S23" s="16">
        <f t="shared" si="13"/>
        <v>5.36358238306597E-3</v>
      </c>
      <c r="T23" s="16">
        <v>0.1</v>
      </c>
      <c r="U23" s="16">
        <f t="shared" si="14"/>
        <v>110000.00000000001</v>
      </c>
      <c r="V23" s="16">
        <f t="shared" si="1"/>
        <v>18.11133663366337</v>
      </c>
      <c r="W23" s="16">
        <f t="shared" si="15"/>
        <v>6.9999999999999991</v>
      </c>
      <c r="X23" s="16">
        <f t="shared" si="2"/>
        <v>8.6051444067359938E-7</v>
      </c>
      <c r="Y23" s="2">
        <f t="shared" si="16"/>
        <v>97736.740816295307</v>
      </c>
      <c r="Z23" s="2">
        <f t="shared" si="17"/>
        <v>4.7231936417317481E-14</v>
      </c>
      <c r="AA23" s="16">
        <f t="shared" si="18"/>
        <v>28443072110.508587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1">
        <v>66</v>
      </c>
      <c r="B24" s="1">
        <f t="shared" si="3"/>
        <v>1.1000000000000001</v>
      </c>
      <c r="C24" s="1">
        <v>20</v>
      </c>
      <c r="D24" s="1">
        <f t="shared" si="0"/>
        <v>29.146000000000001</v>
      </c>
      <c r="E24" s="1">
        <f t="shared" si="4"/>
        <v>4.8576666666666667E-7</v>
      </c>
      <c r="F24" s="1">
        <v>21.1</v>
      </c>
      <c r="G24" s="1">
        <f t="shared" si="5"/>
        <v>294.10000000000002</v>
      </c>
      <c r="H24" s="1">
        <v>101.3</v>
      </c>
      <c r="I24" s="1">
        <f t="shared" si="6"/>
        <v>101300</v>
      </c>
      <c r="J24" s="1">
        <f t="shared" si="7"/>
        <v>2.0124824921938581E-5</v>
      </c>
      <c r="K24" s="22">
        <v>171.5792079207921</v>
      </c>
      <c r="L24" s="2">
        <f t="shared" si="8"/>
        <v>1.7157920792079209E-4</v>
      </c>
      <c r="M24" s="3">
        <f t="shared" si="9"/>
        <v>4.7762865441819992E-3</v>
      </c>
      <c r="N24" s="29">
        <f t="shared" si="10"/>
        <v>7.2294689351436505E-7</v>
      </c>
      <c r="O24" s="29">
        <f t="shared" si="11"/>
        <v>2.032E-3</v>
      </c>
      <c r="P24" s="29">
        <v>2.1048357489809849E-10</v>
      </c>
      <c r="Q24" s="16">
        <v>0.03</v>
      </c>
      <c r="R24" s="16">
        <f t="shared" si="12"/>
        <v>103000</v>
      </c>
      <c r="S24" s="16">
        <f t="shared" si="13"/>
        <v>5.36358238306597E-3</v>
      </c>
      <c r="T24" s="16">
        <v>0.1</v>
      </c>
      <c r="U24" s="16">
        <f t="shared" si="14"/>
        <v>110000.00000000001</v>
      </c>
      <c r="V24" s="16">
        <f t="shared" si="1"/>
        <v>18.873712871287132</v>
      </c>
      <c r="W24" s="16">
        <f t="shared" si="15"/>
        <v>6.9999999999999991</v>
      </c>
      <c r="X24" s="16">
        <f t="shared" si="2"/>
        <v>8.9889928656576289E-7</v>
      </c>
      <c r="Y24" s="2">
        <f t="shared" si="16"/>
        <v>97505.179105259143</v>
      </c>
      <c r="Z24" s="2">
        <f t="shared" si="17"/>
        <v>4.9456386291065281E-14</v>
      </c>
      <c r="AA24" s="16">
        <f t="shared" si="18"/>
        <v>29782635824.479515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1">
        <v>69</v>
      </c>
      <c r="B25" s="1">
        <f t="shared" si="3"/>
        <v>1.1499999999999999</v>
      </c>
      <c r="C25" s="1">
        <v>20</v>
      </c>
      <c r="D25" s="1">
        <f t="shared" si="0"/>
        <v>29.146000000000001</v>
      </c>
      <c r="E25" s="1">
        <f t="shared" si="4"/>
        <v>4.8576666666666667E-7</v>
      </c>
      <c r="F25" s="1">
        <v>21.1</v>
      </c>
      <c r="G25" s="1">
        <f t="shared" si="5"/>
        <v>294.10000000000002</v>
      </c>
      <c r="H25" s="1">
        <v>101.3</v>
      </c>
      <c r="I25" s="1">
        <f t="shared" si="6"/>
        <v>101300</v>
      </c>
      <c r="J25" s="1">
        <f t="shared" si="7"/>
        <v>2.0124824921938581E-5</v>
      </c>
      <c r="K25" s="22">
        <v>173.95544554455446</v>
      </c>
      <c r="L25" s="2">
        <f t="shared" si="8"/>
        <v>1.7395544554455445E-4</v>
      </c>
      <c r="M25" s="3">
        <f t="shared" si="9"/>
        <v>4.7762865441819992E-3</v>
      </c>
      <c r="N25" s="29">
        <f t="shared" si="10"/>
        <v>7.3295914167175253E-7</v>
      </c>
      <c r="O25" s="29">
        <f t="shared" si="11"/>
        <v>2.032E-3</v>
      </c>
      <c r="P25" s="29">
        <v>2.1048357489809849E-10</v>
      </c>
      <c r="Q25" s="16">
        <v>0.03</v>
      </c>
      <c r="R25" s="16">
        <f t="shared" si="12"/>
        <v>103000</v>
      </c>
      <c r="S25" s="16">
        <f t="shared" si="13"/>
        <v>5.36358238306597E-3</v>
      </c>
      <c r="T25" s="16">
        <v>0.1</v>
      </c>
      <c r="U25" s="16">
        <f t="shared" si="14"/>
        <v>110000.00000000001</v>
      </c>
      <c r="V25" s="16">
        <f t="shared" si="1"/>
        <v>19.135099009900994</v>
      </c>
      <c r="W25" s="16">
        <f t="shared" si="15"/>
        <v>6.9999999999999991</v>
      </c>
      <c r="X25" s="16">
        <f t="shared" si="2"/>
        <v>9.1201697000795655E-7</v>
      </c>
      <c r="Y25" s="2">
        <f t="shared" si="16"/>
        <v>97426.107892014581</v>
      </c>
      <c r="Z25" s="2">
        <f t="shared" si="17"/>
        <v>5.0218973171324945E-14</v>
      </c>
      <c r="AA25" s="16">
        <f t="shared" si="18"/>
        <v>30241865643.771885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1">
        <v>72</v>
      </c>
      <c r="B26" s="1">
        <f t="shared" si="3"/>
        <v>1.2</v>
      </c>
      <c r="C26" s="1">
        <v>20</v>
      </c>
      <c r="D26" s="1">
        <f t="shared" si="0"/>
        <v>29.146000000000001</v>
      </c>
      <c r="E26" s="1">
        <f t="shared" si="4"/>
        <v>4.8576666666666667E-7</v>
      </c>
      <c r="F26" s="1">
        <v>21.1</v>
      </c>
      <c r="G26" s="1">
        <f t="shared" si="5"/>
        <v>294.10000000000002</v>
      </c>
      <c r="H26" s="1">
        <v>101.3</v>
      </c>
      <c r="I26" s="1">
        <f t="shared" si="6"/>
        <v>101300</v>
      </c>
      <c r="J26" s="1">
        <f t="shared" si="7"/>
        <v>2.0124824921938581E-5</v>
      </c>
      <c r="K26" s="22">
        <v>173.93069306930695</v>
      </c>
      <c r="L26" s="2">
        <f t="shared" si="8"/>
        <v>1.7393069306930695E-4</v>
      </c>
      <c r="M26" s="3">
        <f t="shared" si="9"/>
        <v>4.7762865441819992E-3</v>
      </c>
      <c r="N26" s="29">
        <f t="shared" si="10"/>
        <v>7.3285484742011321E-7</v>
      </c>
      <c r="O26" s="29">
        <f t="shared" si="11"/>
        <v>2.032E-3</v>
      </c>
      <c r="P26" s="29">
        <v>2.1048357489809849E-10</v>
      </c>
      <c r="Q26" s="16">
        <v>0.03</v>
      </c>
      <c r="R26" s="16">
        <f t="shared" si="12"/>
        <v>103000</v>
      </c>
      <c r="S26" s="16">
        <f t="shared" si="13"/>
        <v>5.36358238306597E-3</v>
      </c>
      <c r="T26" s="16">
        <v>0.1</v>
      </c>
      <c r="U26" s="16">
        <f t="shared" si="14"/>
        <v>110000.00000000001</v>
      </c>
      <c r="V26" s="16">
        <f t="shared" si="1"/>
        <v>19.132376237623767</v>
      </c>
      <c r="W26" s="16">
        <f t="shared" si="15"/>
        <v>6.9999999999999991</v>
      </c>
      <c r="X26" s="16">
        <f t="shared" si="2"/>
        <v>9.1188043717477083E-7</v>
      </c>
      <c r="Y26" s="2">
        <f t="shared" si="16"/>
        <v>97426.930724034974</v>
      </c>
      <c r="Z26" s="2">
        <f t="shared" si="17"/>
        <v>5.0211029622390535E-14</v>
      </c>
      <c r="AA26" s="16">
        <f t="shared" si="18"/>
        <v>30237082038.60358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1">
        <v>75</v>
      </c>
      <c r="B27" s="1">
        <f t="shared" si="3"/>
        <v>1.25</v>
      </c>
      <c r="C27" s="1">
        <v>20</v>
      </c>
      <c r="D27" s="1">
        <f t="shared" si="0"/>
        <v>29.146000000000001</v>
      </c>
      <c r="E27" s="1">
        <f t="shared" si="4"/>
        <v>4.8576666666666667E-7</v>
      </c>
      <c r="F27" s="1">
        <v>21.1</v>
      </c>
      <c r="G27" s="1">
        <f t="shared" si="5"/>
        <v>294.10000000000002</v>
      </c>
      <c r="H27" s="1">
        <v>101.3</v>
      </c>
      <c r="I27" s="1">
        <f t="shared" si="6"/>
        <v>101300</v>
      </c>
      <c r="J27" s="1">
        <f t="shared" si="7"/>
        <v>2.0124824921938581E-5</v>
      </c>
      <c r="K27" s="22">
        <v>163.31188118811883</v>
      </c>
      <c r="L27" s="2">
        <f t="shared" si="8"/>
        <v>1.6331188118811883E-4</v>
      </c>
      <c r="M27" s="3">
        <f t="shared" si="9"/>
        <v>4.7762865441819992E-3</v>
      </c>
      <c r="N27" s="29">
        <f t="shared" si="10"/>
        <v>6.8811261346678751E-7</v>
      </c>
      <c r="O27" s="29">
        <f t="shared" si="11"/>
        <v>2.032E-3</v>
      </c>
      <c r="P27" s="29">
        <v>2.1048357489809849E-10</v>
      </c>
      <c r="Q27" s="16">
        <v>0.03</v>
      </c>
      <c r="R27" s="16">
        <f t="shared" si="12"/>
        <v>103000</v>
      </c>
      <c r="S27" s="16">
        <f t="shared" si="13"/>
        <v>5.36358238306597E-3</v>
      </c>
      <c r="T27" s="16">
        <v>0.1</v>
      </c>
      <c r="U27" s="16">
        <f t="shared" si="14"/>
        <v>110000.00000000001</v>
      </c>
      <c r="V27" s="16">
        <f t="shared" si="1"/>
        <v>17.964306930693073</v>
      </c>
      <c r="W27" s="16">
        <f t="shared" si="15"/>
        <v>6.9999999999999991</v>
      </c>
      <c r="X27" s="16">
        <f t="shared" si="2"/>
        <v>8.5308955868891599E-7</v>
      </c>
      <c r="Y27" s="2">
        <f t="shared" si="16"/>
        <v>97781.56410875381</v>
      </c>
      <c r="Z27" s="2">
        <f t="shared" si="17"/>
        <v>4.6802860547654115E-14</v>
      </c>
      <c r="AA27" s="16">
        <f t="shared" si="18"/>
        <v>28184682621.79731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1">
        <v>78</v>
      </c>
      <c r="B28" s="1">
        <f t="shared" si="3"/>
        <v>1.3</v>
      </c>
      <c r="C28" s="1">
        <v>20</v>
      </c>
      <c r="D28" s="1">
        <f t="shared" si="0"/>
        <v>29.146000000000001</v>
      </c>
      <c r="E28" s="1">
        <f t="shared" si="4"/>
        <v>4.8576666666666667E-7</v>
      </c>
      <c r="F28" s="1">
        <v>21.1</v>
      </c>
      <c r="G28" s="1">
        <f t="shared" si="5"/>
        <v>294.10000000000002</v>
      </c>
      <c r="H28" s="1">
        <v>101.3</v>
      </c>
      <c r="I28" s="1">
        <f t="shared" si="6"/>
        <v>101300</v>
      </c>
      <c r="J28" s="1">
        <f t="shared" si="7"/>
        <v>2.0124824921938581E-5</v>
      </c>
      <c r="K28" s="22">
        <v>181.35643564356437</v>
      </c>
      <c r="L28" s="2">
        <f t="shared" si="8"/>
        <v>1.8135643564356436E-4</v>
      </c>
      <c r="M28" s="3">
        <f t="shared" si="9"/>
        <v>4.7762865441819992E-3</v>
      </c>
      <c r="N28" s="29">
        <f t="shared" si="10"/>
        <v>7.6414312291194919E-7</v>
      </c>
      <c r="O28" s="29">
        <f t="shared" si="11"/>
        <v>2.032E-3</v>
      </c>
      <c r="P28" s="29">
        <v>2.1048357489809849E-10</v>
      </c>
      <c r="Q28" s="16">
        <v>0.03</v>
      </c>
      <c r="R28" s="16">
        <f t="shared" si="12"/>
        <v>103000</v>
      </c>
      <c r="S28" s="16">
        <f t="shared" si="13"/>
        <v>5.36358238306597E-3</v>
      </c>
      <c r="T28" s="16">
        <v>0.1</v>
      </c>
      <c r="U28" s="16">
        <f t="shared" si="14"/>
        <v>110000.00000000001</v>
      </c>
      <c r="V28" s="16">
        <f t="shared" si="1"/>
        <v>19.94920792079208</v>
      </c>
      <c r="W28" s="16">
        <f t="shared" si="15"/>
        <v>6.9999999999999991</v>
      </c>
      <c r="X28" s="16">
        <f t="shared" si="2"/>
        <v>9.5273954533641765E-7</v>
      </c>
      <c r="Y28" s="2">
        <f t="shared" si="16"/>
        <v>97180.843323419278</v>
      </c>
      <c r="Z28" s="2">
        <f t="shared" si="17"/>
        <v>5.2594174719534212E-14</v>
      </c>
      <c r="AA28" s="16">
        <f t="shared" si="18"/>
        <v>31672212016.103504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1">
        <v>81</v>
      </c>
      <c r="B29" s="1">
        <f t="shared" si="3"/>
        <v>1.35</v>
      </c>
      <c r="C29" s="1">
        <v>20</v>
      </c>
      <c r="D29" s="1">
        <f t="shared" si="0"/>
        <v>29.146000000000001</v>
      </c>
      <c r="E29" s="1">
        <f t="shared" si="4"/>
        <v>4.8576666666666667E-7</v>
      </c>
      <c r="F29" s="1">
        <v>21.1</v>
      </c>
      <c r="G29" s="1">
        <f t="shared" si="5"/>
        <v>294.10000000000002</v>
      </c>
      <c r="H29" s="1">
        <v>101.3</v>
      </c>
      <c r="I29" s="1">
        <f t="shared" si="6"/>
        <v>101300</v>
      </c>
      <c r="J29" s="1">
        <f t="shared" si="7"/>
        <v>2.0124824921938581E-5</v>
      </c>
      <c r="K29" s="22">
        <v>178.55940594059408</v>
      </c>
      <c r="L29" s="2">
        <f t="shared" si="8"/>
        <v>1.7855940594059408E-4</v>
      </c>
      <c r="M29" s="3">
        <f t="shared" si="9"/>
        <v>4.7762865441819992E-3</v>
      </c>
      <c r="N29" s="29">
        <f t="shared" si="10"/>
        <v>7.5235787247669104E-7</v>
      </c>
      <c r="O29" s="29">
        <f t="shared" si="11"/>
        <v>2.032E-3</v>
      </c>
      <c r="P29" s="29">
        <v>2.1048357489809849E-10</v>
      </c>
      <c r="Q29" s="16">
        <v>0.03</v>
      </c>
      <c r="R29" s="16">
        <f t="shared" si="12"/>
        <v>103000</v>
      </c>
      <c r="S29" s="16">
        <f t="shared" si="13"/>
        <v>5.36358238306597E-3</v>
      </c>
      <c r="T29" s="16">
        <v>0.1</v>
      </c>
      <c r="U29" s="16">
        <f t="shared" si="14"/>
        <v>110000.00000000001</v>
      </c>
      <c r="V29" s="16">
        <f t="shared" si="1"/>
        <v>19.641534653465353</v>
      </c>
      <c r="W29" s="16">
        <f t="shared" si="15"/>
        <v>6.9999999999999991</v>
      </c>
      <c r="X29" s="16">
        <f t="shared" si="2"/>
        <v>9.3737270606025465E-7</v>
      </c>
      <c r="Y29" s="2">
        <f t="shared" si="16"/>
        <v>97273.358651433242</v>
      </c>
      <c r="Z29" s="2">
        <f t="shared" si="17"/>
        <v>5.1696489158913616E-14</v>
      </c>
      <c r="AA29" s="16">
        <f t="shared" si="18"/>
        <v>31131625771.49778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1">
        <v>84</v>
      </c>
      <c r="B30" s="1">
        <f t="shared" si="3"/>
        <v>1.4</v>
      </c>
      <c r="C30" s="1">
        <v>20</v>
      </c>
      <c r="D30" s="1">
        <f t="shared" si="0"/>
        <v>29.146000000000001</v>
      </c>
      <c r="E30" s="1">
        <f t="shared" si="4"/>
        <v>4.8576666666666667E-7</v>
      </c>
      <c r="F30" s="1">
        <v>21.1</v>
      </c>
      <c r="G30" s="1">
        <f t="shared" si="5"/>
        <v>294.10000000000002</v>
      </c>
      <c r="H30" s="1">
        <v>101.3</v>
      </c>
      <c r="I30" s="1">
        <f t="shared" si="6"/>
        <v>101300</v>
      </c>
      <c r="J30" s="1">
        <f t="shared" si="7"/>
        <v>2.0124824921938581E-5</v>
      </c>
      <c r="K30" s="22">
        <v>177.17326732673271</v>
      </c>
      <c r="L30" s="2">
        <f t="shared" si="8"/>
        <v>1.7717326732673272E-4</v>
      </c>
      <c r="M30" s="3">
        <f t="shared" si="9"/>
        <v>4.7762865441819992E-3</v>
      </c>
      <c r="N30" s="29">
        <f t="shared" si="10"/>
        <v>7.4651739438488167E-7</v>
      </c>
      <c r="O30" s="29">
        <f t="shared" si="11"/>
        <v>2.032E-3</v>
      </c>
      <c r="P30" s="29">
        <v>2.1048357489809849E-10</v>
      </c>
      <c r="Q30" s="16">
        <v>0.03</v>
      </c>
      <c r="R30" s="16">
        <f t="shared" si="12"/>
        <v>103000</v>
      </c>
      <c r="S30" s="16">
        <f t="shared" si="13"/>
        <v>5.36358238306597E-3</v>
      </c>
      <c r="T30" s="16">
        <v>0.1</v>
      </c>
      <c r="U30" s="16">
        <f t="shared" si="14"/>
        <v>110000.00000000001</v>
      </c>
      <c r="V30" s="16">
        <f t="shared" si="1"/>
        <v>19.489059405940601</v>
      </c>
      <c r="W30" s="16">
        <f t="shared" si="15"/>
        <v>6.9999999999999991</v>
      </c>
      <c r="X30" s="16">
        <f t="shared" si="2"/>
        <v>9.2974688580922976E-7</v>
      </c>
      <c r="Y30" s="2">
        <f t="shared" si="16"/>
        <v>97319.285882364449</v>
      </c>
      <c r="Z30" s="2">
        <f t="shared" si="17"/>
        <v>5.1251638546691921E-14</v>
      </c>
      <c r="AA30" s="16">
        <f t="shared" si="18"/>
        <v>30863736732.817875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1">
        <v>87</v>
      </c>
      <c r="B31" s="1">
        <f t="shared" si="3"/>
        <v>1.45</v>
      </c>
      <c r="C31" s="1">
        <v>20</v>
      </c>
      <c r="D31" s="1">
        <f t="shared" si="0"/>
        <v>29.146000000000001</v>
      </c>
      <c r="E31" s="1">
        <f t="shared" si="4"/>
        <v>4.8576666666666667E-7</v>
      </c>
      <c r="F31" s="1">
        <v>21.1</v>
      </c>
      <c r="G31" s="1">
        <f t="shared" si="5"/>
        <v>294.10000000000002</v>
      </c>
      <c r="H31" s="1">
        <v>101.3</v>
      </c>
      <c r="I31" s="1">
        <f t="shared" si="6"/>
        <v>101300</v>
      </c>
      <c r="J31" s="1">
        <f t="shared" si="7"/>
        <v>2.0124824921938581E-5</v>
      </c>
      <c r="K31" s="22">
        <v>167.74257425742576</v>
      </c>
      <c r="L31" s="2">
        <f t="shared" si="8"/>
        <v>1.6774257425742576E-4</v>
      </c>
      <c r="M31" s="3">
        <f t="shared" si="9"/>
        <v>4.7762865441819992E-3</v>
      </c>
      <c r="N31" s="29">
        <f t="shared" si="10"/>
        <v>7.0678128451024971E-7</v>
      </c>
      <c r="O31" s="29">
        <f t="shared" si="11"/>
        <v>2.032E-3</v>
      </c>
      <c r="P31" s="29">
        <v>2.1048357489809849E-10</v>
      </c>
      <c r="Q31" s="16">
        <v>0.03</v>
      </c>
      <c r="R31" s="16">
        <f t="shared" si="12"/>
        <v>103000</v>
      </c>
      <c r="S31" s="16">
        <f t="shared" si="13"/>
        <v>5.36358238306597E-3</v>
      </c>
      <c r="T31" s="16">
        <v>0.1</v>
      </c>
      <c r="U31" s="16">
        <f t="shared" si="14"/>
        <v>110000.00000000001</v>
      </c>
      <c r="V31" s="16">
        <f t="shared" si="1"/>
        <v>18.451683168316837</v>
      </c>
      <c r="W31" s="16">
        <f t="shared" si="15"/>
        <v>6.9999999999999991</v>
      </c>
      <c r="X31" s="16">
        <f t="shared" si="2"/>
        <v>8.7767394856426383E-7</v>
      </c>
      <c r="Y31" s="2">
        <f t="shared" si="16"/>
        <v>97633.189847866117</v>
      </c>
      <c r="Z31" s="2">
        <f t="shared" si="17"/>
        <v>4.8225059218544151E-14</v>
      </c>
      <c r="AA31" s="16">
        <f t="shared" si="18"/>
        <v>29041130661.407288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1">
        <v>90</v>
      </c>
      <c r="B32" s="1">
        <f t="shared" si="3"/>
        <v>1.5</v>
      </c>
      <c r="C32" s="1">
        <v>20</v>
      </c>
      <c r="D32" s="1">
        <f t="shared" si="0"/>
        <v>29.146000000000001</v>
      </c>
      <c r="E32" s="1">
        <f t="shared" si="4"/>
        <v>4.8576666666666667E-7</v>
      </c>
      <c r="F32" s="1">
        <v>21.1</v>
      </c>
      <c r="G32" s="1">
        <f t="shared" si="5"/>
        <v>294.10000000000002</v>
      </c>
      <c r="H32" s="1">
        <v>101.3</v>
      </c>
      <c r="I32" s="1">
        <f t="shared" si="6"/>
        <v>101300</v>
      </c>
      <c r="J32" s="1">
        <f t="shared" si="7"/>
        <v>2.0124824921938581E-5</v>
      </c>
      <c r="K32" s="22">
        <v>178.980198019802</v>
      </c>
      <c r="L32" s="2">
        <f t="shared" si="8"/>
        <v>1.78980198019802E-4</v>
      </c>
      <c r="M32" s="3">
        <f t="shared" si="9"/>
        <v>4.7762865441819992E-3</v>
      </c>
      <c r="N32" s="29">
        <f t="shared" si="10"/>
        <v>7.5413087475456171E-7</v>
      </c>
      <c r="O32" s="29">
        <f t="shared" si="11"/>
        <v>2.032E-3</v>
      </c>
      <c r="P32" s="29">
        <v>2.1048357489809849E-10</v>
      </c>
      <c r="Q32" s="16">
        <v>0.03</v>
      </c>
      <c r="R32" s="16">
        <f t="shared" si="12"/>
        <v>103000</v>
      </c>
      <c r="S32" s="16">
        <f t="shared" si="13"/>
        <v>5.36358238306597E-3</v>
      </c>
      <c r="T32" s="16">
        <v>0.1</v>
      </c>
      <c r="U32" s="16">
        <f t="shared" si="14"/>
        <v>110000.00000000001</v>
      </c>
      <c r="V32" s="16">
        <f t="shared" si="1"/>
        <v>19.687821782178222</v>
      </c>
      <c r="W32" s="16">
        <f t="shared" si="15"/>
        <v>6.9999999999999991</v>
      </c>
      <c r="X32" s="16">
        <f t="shared" si="2"/>
        <v>9.3968631501658458E-7</v>
      </c>
      <c r="Y32" s="2">
        <f t="shared" si="16"/>
        <v>97259.426863680768</v>
      </c>
      <c r="Z32" s="2">
        <f t="shared" si="17"/>
        <v>5.1831535280647598E-14</v>
      </c>
      <c r="AA32" s="16">
        <f t="shared" si="18"/>
        <v>31212950546.005985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1">
        <v>93</v>
      </c>
      <c r="B33" s="1">
        <f t="shared" si="3"/>
        <v>1.55</v>
      </c>
      <c r="C33" s="1">
        <v>20</v>
      </c>
      <c r="D33" s="1">
        <f t="shared" si="0"/>
        <v>29.146000000000001</v>
      </c>
      <c r="E33" s="1">
        <f t="shared" si="4"/>
        <v>4.8576666666666667E-7</v>
      </c>
      <c r="F33" s="1">
        <v>21.1</v>
      </c>
      <c r="G33" s="1">
        <f t="shared" si="5"/>
        <v>294.10000000000002</v>
      </c>
      <c r="H33" s="1">
        <v>101.3</v>
      </c>
      <c r="I33" s="1">
        <f t="shared" si="6"/>
        <v>101300</v>
      </c>
      <c r="J33" s="1">
        <f t="shared" si="7"/>
        <v>2.0124824921938581E-5</v>
      </c>
      <c r="K33" s="28">
        <v>184.00495049504954</v>
      </c>
      <c r="L33" s="2">
        <f t="shared" si="8"/>
        <v>1.8400495049504954E-4</v>
      </c>
      <c r="M33" s="3">
        <f t="shared" si="9"/>
        <v>4.7762865441819992E-3</v>
      </c>
      <c r="N33" s="64">
        <f t="shared" si="10"/>
        <v>7.7530260783737078E-7</v>
      </c>
      <c r="O33" s="29">
        <f t="shared" si="11"/>
        <v>2.032E-3</v>
      </c>
      <c r="P33" s="29">
        <v>2.1048357489809849E-10</v>
      </c>
      <c r="Q33" s="16">
        <v>0.03</v>
      </c>
      <c r="R33" s="16">
        <f t="shared" si="12"/>
        <v>103000</v>
      </c>
      <c r="S33" s="16">
        <f t="shared" si="13"/>
        <v>5.36358238306597E-3</v>
      </c>
      <c r="T33" s="16">
        <v>0.1</v>
      </c>
      <c r="U33" s="16">
        <f t="shared" si="14"/>
        <v>110000.00000000001</v>
      </c>
      <c r="V33" s="16">
        <f t="shared" si="1"/>
        <v>20.24054455445545</v>
      </c>
      <c r="W33" s="16">
        <f t="shared" si="15"/>
        <v>6.9999999999999991</v>
      </c>
      <c r="X33" s="18">
        <f t="shared" si="2"/>
        <v>9.6726507430799323E-7</v>
      </c>
      <c r="Y33" s="2">
        <f t="shared" si="16"/>
        <v>97093.433531455739</v>
      </c>
      <c r="Z33" s="12">
        <f t="shared" si="17"/>
        <v>5.3444269758525403E-14</v>
      </c>
      <c r="AA33" s="18">
        <f t="shared" si="18"/>
        <v>32184139248.584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1">
        <v>96</v>
      </c>
      <c r="B34" s="1">
        <f t="shared" si="3"/>
        <v>1.6</v>
      </c>
      <c r="C34" s="1">
        <v>20</v>
      </c>
      <c r="D34" s="1">
        <f t="shared" si="0"/>
        <v>29.146000000000001</v>
      </c>
      <c r="E34" s="1">
        <f t="shared" si="4"/>
        <v>4.8576666666666667E-7</v>
      </c>
      <c r="F34" s="1">
        <v>21.1</v>
      </c>
      <c r="G34" s="1">
        <f t="shared" si="5"/>
        <v>294.10000000000002</v>
      </c>
      <c r="H34" s="1">
        <v>101.3</v>
      </c>
      <c r="I34" s="1">
        <f t="shared" si="6"/>
        <v>101300</v>
      </c>
      <c r="J34" s="1">
        <f t="shared" si="7"/>
        <v>2.0124824921938581E-5</v>
      </c>
      <c r="K34" s="28">
        <v>175.76237623762378</v>
      </c>
      <c r="L34" s="2">
        <f t="shared" si="8"/>
        <v>1.7576237623762378E-4</v>
      </c>
      <c r="M34" s="3">
        <f t="shared" si="9"/>
        <v>4.7762865441819992E-3</v>
      </c>
      <c r="N34" s="64">
        <f t="shared" si="10"/>
        <v>7.4057262204143267E-7</v>
      </c>
      <c r="O34" s="29">
        <f t="shared" si="11"/>
        <v>2.032E-3</v>
      </c>
      <c r="P34" s="29">
        <v>2.1048357489809849E-10</v>
      </c>
      <c r="Q34" s="16">
        <v>0.03</v>
      </c>
      <c r="R34" s="16">
        <f t="shared" si="12"/>
        <v>103000</v>
      </c>
      <c r="S34" s="16">
        <f t="shared" si="13"/>
        <v>5.36358238306597E-3</v>
      </c>
      <c r="T34" s="16">
        <v>0.1</v>
      </c>
      <c r="U34" s="16">
        <f t="shared" si="14"/>
        <v>110000.00000000001</v>
      </c>
      <c r="V34" s="16">
        <f t="shared" ref="V34:V59" si="19">(L34*U34)</f>
        <v>19.333861386138619</v>
      </c>
      <c r="W34" s="16">
        <f t="shared" si="15"/>
        <v>6.9999999999999991</v>
      </c>
      <c r="X34" s="18">
        <f t="shared" ref="X34:X59" si="20">(N34+((P34/O34)*(SQRT(V34)-SQRT(W34))))</f>
        <v>9.219777034399824E-7</v>
      </c>
      <c r="Y34" s="2">
        <f t="shared" si="16"/>
        <v>97366.087672554597</v>
      </c>
      <c r="Z34" s="12">
        <f t="shared" si="17"/>
        <v>5.0798852289853826E-14</v>
      </c>
      <c r="AA34" s="18">
        <f t="shared" si="18"/>
        <v>30591068848.949974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1">
        <v>99</v>
      </c>
      <c r="B35" s="1">
        <f t="shared" si="3"/>
        <v>1.65</v>
      </c>
      <c r="C35" s="1">
        <v>20</v>
      </c>
      <c r="D35" s="1">
        <f t="shared" si="0"/>
        <v>29.146000000000001</v>
      </c>
      <c r="E35" s="1">
        <f t="shared" si="4"/>
        <v>4.8576666666666667E-7</v>
      </c>
      <c r="F35" s="1">
        <v>21.1</v>
      </c>
      <c r="G35" s="1">
        <f t="shared" si="5"/>
        <v>294.10000000000002</v>
      </c>
      <c r="H35" s="1">
        <v>101.3</v>
      </c>
      <c r="I35" s="1">
        <f t="shared" si="6"/>
        <v>101300</v>
      </c>
      <c r="J35" s="1">
        <f t="shared" si="7"/>
        <v>2.0124824921938581E-5</v>
      </c>
      <c r="K35" s="28">
        <v>179.77227722772278</v>
      </c>
      <c r="L35" s="2">
        <f t="shared" si="8"/>
        <v>1.7977227722772279E-4</v>
      </c>
      <c r="M35" s="3">
        <f t="shared" si="9"/>
        <v>4.7762865441819992E-3</v>
      </c>
      <c r="N35" s="64">
        <f t="shared" si="10"/>
        <v>7.574682908070242E-7</v>
      </c>
      <c r="O35" s="29">
        <f t="shared" si="11"/>
        <v>2.032E-3</v>
      </c>
      <c r="P35" s="29">
        <v>2.1048357489809849E-10</v>
      </c>
      <c r="Q35" s="16">
        <v>0.03</v>
      </c>
      <c r="R35" s="16">
        <f t="shared" si="12"/>
        <v>103000</v>
      </c>
      <c r="S35" s="16">
        <f t="shared" si="13"/>
        <v>5.36358238306597E-3</v>
      </c>
      <c r="T35" s="16">
        <v>0.1</v>
      </c>
      <c r="U35" s="16">
        <f t="shared" si="14"/>
        <v>110000.00000000001</v>
      </c>
      <c r="V35" s="16">
        <f t="shared" si="19"/>
        <v>19.774950495049509</v>
      </c>
      <c r="W35" s="16">
        <f t="shared" si="15"/>
        <v>6.9999999999999991</v>
      </c>
      <c r="X35" s="18">
        <f t="shared" si="20"/>
        <v>9.440396224534462E-7</v>
      </c>
      <c r="Y35" s="2">
        <f t="shared" si="16"/>
        <v>97233.215391372345</v>
      </c>
      <c r="Z35" s="12">
        <f t="shared" si="17"/>
        <v>5.2085743133296501E-14</v>
      </c>
      <c r="AA35" s="18">
        <f t="shared" si="18"/>
        <v>31366034514.871155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1">
        <v>102</v>
      </c>
      <c r="B36" s="1">
        <f t="shared" si="3"/>
        <v>1.7</v>
      </c>
      <c r="C36" s="1">
        <v>20</v>
      </c>
      <c r="D36" s="1">
        <f t="shared" si="0"/>
        <v>29.146000000000001</v>
      </c>
      <c r="E36" s="1">
        <f t="shared" si="4"/>
        <v>4.8576666666666667E-7</v>
      </c>
      <c r="F36" s="1">
        <v>21.1</v>
      </c>
      <c r="G36" s="1">
        <f t="shared" si="5"/>
        <v>294.10000000000002</v>
      </c>
      <c r="H36" s="1">
        <v>101.3</v>
      </c>
      <c r="I36" s="1">
        <f t="shared" si="6"/>
        <v>101300</v>
      </c>
      <c r="J36" s="1">
        <f t="shared" si="7"/>
        <v>2.0124824921938581E-5</v>
      </c>
      <c r="K36" s="28">
        <v>174.02970297029705</v>
      </c>
      <c r="L36" s="2">
        <f t="shared" si="8"/>
        <v>1.7402970297029704E-4</v>
      </c>
      <c r="M36" s="3">
        <f t="shared" si="9"/>
        <v>4.7762865441819992E-3</v>
      </c>
      <c r="N36" s="64">
        <f t="shared" si="10"/>
        <v>7.3327202442667091E-7</v>
      </c>
      <c r="O36" s="29">
        <f t="shared" si="11"/>
        <v>2.032E-3</v>
      </c>
      <c r="P36" s="29">
        <v>2.1048357489809849E-10</v>
      </c>
      <c r="Q36" s="16">
        <v>0.03</v>
      </c>
      <c r="R36" s="16">
        <f t="shared" si="12"/>
        <v>103000</v>
      </c>
      <c r="S36" s="16">
        <f t="shared" si="13"/>
        <v>5.36358238306597E-3</v>
      </c>
      <c r="T36" s="16">
        <v>0.1</v>
      </c>
      <c r="U36" s="16">
        <f t="shared" si="14"/>
        <v>110000.00000000001</v>
      </c>
      <c r="V36" s="16">
        <f t="shared" si="19"/>
        <v>19.143267326732676</v>
      </c>
      <c r="W36" s="16">
        <f t="shared" si="15"/>
        <v>6.9999999999999991</v>
      </c>
      <c r="X36" s="18">
        <f t="shared" si="20"/>
        <v>9.1242655474808099E-7</v>
      </c>
      <c r="Y36" s="2">
        <f t="shared" si="16"/>
        <v>97423.639499723155</v>
      </c>
      <c r="Z36" s="12">
        <f t="shared" si="17"/>
        <v>5.0242803814847898E-14</v>
      </c>
      <c r="AA36" s="18">
        <f t="shared" si="18"/>
        <v>30256216457.301407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1">
        <v>105</v>
      </c>
      <c r="B37" s="1">
        <f t="shared" si="3"/>
        <v>1.75</v>
      </c>
      <c r="C37" s="1">
        <v>20</v>
      </c>
      <c r="D37" s="1">
        <f t="shared" si="0"/>
        <v>29.146000000000001</v>
      </c>
      <c r="E37" s="1">
        <f t="shared" si="4"/>
        <v>4.8576666666666667E-7</v>
      </c>
      <c r="F37" s="1">
        <v>21.1</v>
      </c>
      <c r="G37" s="1">
        <f t="shared" si="5"/>
        <v>294.10000000000002</v>
      </c>
      <c r="H37" s="1">
        <v>101.3</v>
      </c>
      <c r="I37" s="1">
        <f t="shared" si="6"/>
        <v>101300</v>
      </c>
      <c r="J37" s="1">
        <f t="shared" si="7"/>
        <v>2.0124824921938581E-5</v>
      </c>
      <c r="K37" s="28">
        <v>182.32178217821783</v>
      </c>
      <c r="L37" s="2">
        <f t="shared" si="8"/>
        <v>1.8232178217821783E-4</v>
      </c>
      <c r="M37" s="3">
        <f t="shared" si="9"/>
        <v>4.7762865441819992E-3</v>
      </c>
      <c r="N37" s="64">
        <f t="shared" si="10"/>
        <v>7.6821059872588788E-7</v>
      </c>
      <c r="O37" s="29">
        <f t="shared" si="11"/>
        <v>2.032E-3</v>
      </c>
      <c r="P37" s="29">
        <v>2.1048357489809849E-10</v>
      </c>
      <c r="Q37" s="16">
        <v>0.03</v>
      </c>
      <c r="R37" s="16">
        <f t="shared" si="12"/>
        <v>103000</v>
      </c>
      <c r="S37" s="16">
        <f t="shared" si="13"/>
        <v>5.36358238306597E-3</v>
      </c>
      <c r="T37" s="16">
        <v>0.1</v>
      </c>
      <c r="U37" s="16">
        <f t="shared" si="14"/>
        <v>110000.00000000001</v>
      </c>
      <c r="V37" s="16">
        <f t="shared" si="19"/>
        <v>20.055396039603963</v>
      </c>
      <c r="W37" s="16">
        <f t="shared" si="15"/>
        <v>6.9999999999999991</v>
      </c>
      <c r="X37" s="18">
        <f t="shared" si="20"/>
        <v>9.5803672584702119E-7</v>
      </c>
      <c r="Y37" s="2">
        <f t="shared" si="16"/>
        <v>97148.962100708843</v>
      </c>
      <c r="Z37" s="12">
        <f t="shared" si="17"/>
        <v>5.2904012609834758E-14</v>
      </c>
      <c r="AA37" s="18">
        <f t="shared" si="18"/>
        <v>31858796393.642494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1">
        <v>108</v>
      </c>
      <c r="B38" s="1">
        <f t="shared" si="3"/>
        <v>1.8</v>
      </c>
      <c r="C38" s="1">
        <v>20</v>
      </c>
      <c r="D38" s="1">
        <f t="shared" si="0"/>
        <v>29.146000000000001</v>
      </c>
      <c r="E38" s="1">
        <f t="shared" si="4"/>
        <v>4.8576666666666667E-7</v>
      </c>
      <c r="F38" s="1">
        <v>21.1</v>
      </c>
      <c r="G38" s="1">
        <f t="shared" si="5"/>
        <v>294.10000000000002</v>
      </c>
      <c r="H38" s="1">
        <v>101.3</v>
      </c>
      <c r="I38" s="1">
        <f t="shared" si="6"/>
        <v>101300</v>
      </c>
      <c r="J38" s="1">
        <f t="shared" si="7"/>
        <v>2.0124824921938581E-5</v>
      </c>
      <c r="K38" s="28">
        <v>169.45049504950498</v>
      </c>
      <c r="L38" s="2">
        <f t="shared" si="8"/>
        <v>1.6945049504950497E-4</v>
      </c>
      <c r="M38" s="3">
        <f t="shared" si="9"/>
        <v>4.7762865441819992E-3</v>
      </c>
      <c r="N38" s="64">
        <f t="shared" si="10"/>
        <v>7.1397758787337205E-7</v>
      </c>
      <c r="O38" s="29">
        <f t="shared" si="11"/>
        <v>2.032E-3</v>
      </c>
      <c r="P38" s="29">
        <v>2.1048357489809849E-10</v>
      </c>
      <c r="Q38" s="16">
        <v>0.03</v>
      </c>
      <c r="R38" s="16">
        <f t="shared" si="12"/>
        <v>103000</v>
      </c>
      <c r="S38" s="16">
        <f t="shared" si="13"/>
        <v>5.36358238306597E-3</v>
      </c>
      <c r="T38" s="16">
        <v>0.1</v>
      </c>
      <c r="U38" s="16">
        <f t="shared" si="14"/>
        <v>110000.00000000001</v>
      </c>
      <c r="V38" s="16">
        <f t="shared" si="19"/>
        <v>18.639554455445548</v>
      </c>
      <c r="W38" s="16">
        <f t="shared" si="15"/>
        <v>6.9999999999999991</v>
      </c>
      <c r="X38" s="18">
        <f t="shared" si="20"/>
        <v>8.8712971709764666E-7</v>
      </c>
      <c r="Y38" s="2">
        <f t="shared" si="16"/>
        <v>97576.151410881896</v>
      </c>
      <c r="Z38" s="12">
        <f t="shared" si="17"/>
        <v>4.8773213170112192E-14</v>
      </c>
      <c r="AA38" s="18">
        <f t="shared" si="18"/>
        <v>29371228971.041565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1">
        <v>111</v>
      </c>
      <c r="B39" s="1">
        <f t="shared" si="3"/>
        <v>1.85</v>
      </c>
      <c r="C39" s="1">
        <v>20</v>
      </c>
      <c r="D39" s="1">
        <f t="shared" si="0"/>
        <v>29.146000000000001</v>
      </c>
      <c r="E39" s="1">
        <f t="shared" si="4"/>
        <v>4.8576666666666667E-7</v>
      </c>
      <c r="F39" s="1">
        <v>21.1</v>
      </c>
      <c r="G39" s="1">
        <f t="shared" si="5"/>
        <v>294.10000000000002</v>
      </c>
      <c r="H39" s="1">
        <v>101.3</v>
      </c>
      <c r="I39" s="1">
        <f t="shared" si="6"/>
        <v>101300</v>
      </c>
      <c r="J39" s="1">
        <f t="shared" si="7"/>
        <v>2.0124824921938581E-5</v>
      </c>
      <c r="K39" s="28">
        <v>179.74752475247524</v>
      </c>
      <c r="L39" s="2">
        <f t="shared" si="8"/>
        <v>1.7974752475247524E-4</v>
      </c>
      <c r="M39" s="3">
        <f t="shared" si="9"/>
        <v>4.7762865441819992E-3</v>
      </c>
      <c r="N39" s="64">
        <f t="shared" si="10"/>
        <v>7.5736399655538467E-7</v>
      </c>
      <c r="O39" s="29">
        <f t="shared" si="11"/>
        <v>2.032E-3</v>
      </c>
      <c r="P39" s="29">
        <v>2.1048357489809849E-10</v>
      </c>
      <c r="Q39" s="16">
        <v>0.03</v>
      </c>
      <c r="R39" s="16">
        <f t="shared" si="12"/>
        <v>103000</v>
      </c>
      <c r="S39" s="16">
        <f t="shared" si="13"/>
        <v>5.36358238306597E-3</v>
      </c>
      <c r="T39" s="16">
        <v>0.1</v>
      </c>
      <c r="U39" s="16">
        <f t="shared" si="14"/>
        <v>110000.00000000001</v>
      </c>
      <c r="V39" s="16">
        <f t="shared" si="19"/>
        <v>19.772227722772278</v>
      </c>
      <c r="W39" s="16">
        <f t="shared" si="15"/>
        <v>6.9999999999999991</v>
      </c>
      <c r="X39" s="18">
        <f t="shared" si="20"/>
        <v>9.4390361551199538E-7</v>
      </c>
      <c r="Y39" s="2">
        <f t="shared" si="16"/>
        <v>97234.034242215173</v>
      </c>
      <c r="Z39" s="12">
        <f t="shared" si="17"/>
        <v>5.2077799065302583E-14</v>
      </c>
      <c r="AA39" s="18">
        <f t="shared" si="18"/>
        <v>31361250597.125217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1">
        <v>114</v>
      </c>
      <c r="B40" s="1">
        <f t="shared" si="3"/>
        <v>1.9</v>
      </c>
      <c r="C40" s="1">
        <v>20</v>
      </c>
      <c r="D40" s="1">
        <f t="shared" si="0"/>
        <v>29.146000000000001</v>
      </c>
      <c r="E40" s="1">
        <f t="shared" si="4"/>
        <v>4.8576666666666667E-7</v>
      </c>
      <c r="F40" s="1">
        <v>21.1</v>
      </c>
      <c r="G40" s="1">
        <f t="shared" si="5"/>
        <v>294.10000000000002</v>
      </c>
      <c r="H40" s="1">
        <v>101.3</v>
      </c>
      <c r="I40" s="1">
        <f t="shared" si="6"/>
        <v>101300</v>
      </c>
      <c r="J40" s="1">
        <f t="shared" si="7"/>
        <v>2.0124824921938581E-5</v>
      </c>
      <c r="K40" s="28">
        <v>173.88118811881191</v>
      </c>
      <c r="L40" s="2">
        <f t="shared" si="8"/>
        <v>1.7388118811881189E-4</v>
      </c>
      <c r="M40" s="3">
        <f t="shared" si="9"/>
        <v>4.7762865441819992E-3</v>
      </c>
      <c r="N40" s="64">
        <f t="shared" si="10"/>
        <v>7.3264625891683425E-7</v>
      </c>
      <c r="O40" s="29">
        <f t="shared" si="11"/>
        <v>2.032E-3</v>
      </c>
      <c r="P40" s="29">
        <v>2.1048357489809849E-10</v>
      </c>
      <c r="Q40" s="16">
        <v>0.03</v>
      </c>
      <c r="R40" s="16">
        <f t="shared" si="12"/>
        <v>103000</v>
      </c>
      <c r="S40" s="16">
        <f t="shared" si="13"/>
        <v>5.36358238306597E-3</v>
      </c>
      <c r="T40" s="16">
        <v>0.1</v>
      </c>
      <c r="U40" s="16">
        <f t="shared" si="14"/>
        <v>110000.00000000001</v>
      </c>
      <c r="V40" s="16">
        <f t="shared" si="19"/>
        <v>19.126930693069312</v>
      </c>
      <c r="W40" s="16">
        <f t="shared" si="15"/>
        <v>6.9999999999999991</v>
      </c>
      <c r="X40" s="18">
        <f t="shared" si="20"/>
        <v>9.1160736462574455E-7</v>
      </c>
      <c r="Y40" s="2">
        <f t="shared" si="16"/>
        <v>97428.576439979443</v>
      </c>
      <c r="Z40" s="12">
        <f t="shared" si="17"/>
        <v>5.0195142522735518E-14</v>
      </c>
      <c r="AA40" s="18">
        <f t="shared" si="18"/>
        <v>30227514827.19133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1">
        <v>117</v>
      </c>
      <c r="B41" s="1">
        <f t="shared" si="3"/>
        <v>1.95</v>
      </c>
      <c r="C41" s="1">
        <v>20</v>
      </c>
      <c r="D41" s="1">
        <f t="shared" si="0"/>
        <v>29.146000000000001</v>
      </c>
      <c r="E41" s="1">
        <f t="shared" si="4"/>
        <v>4.8576666666666667E-7</v>
      </c>
      <c r="F41" s="1">
        <v>21.1</v>
      </c>
      <c r="G41" s="1">
        <f t="shared" si="5"/>
        <v>294.10000000000002</v>
      </c>
      <c r="H41" s="1">
        <v>101.3</v>
      </c>
      <c r="I41" s="1">
        <f t="shared" si="6"/>
        <v>101300</v>
      </c>
      <c r="J41" s="1">
        <f t="shared" si="7"/>
        <v>2.0124824921938581E-5</v>
      </c>
      <c r="K41" s="28">
        <v>178.80693069306932</v>
      </c>
      <c r="L41" s="2">
        <f t="shared" si="8"/>
        <v>1.7880693069306932E-4</v>
      </c>
      <c r="M41" s="3">
        <f t="shared" si="9"/>
        <v>4.7762865441819992E-3</v>
      </c>
      <c r="N41" s="64">
        <f t="shared" si="10"/>
        <v>7.5340081499308551E-7</v>
      </c>
      <c r="O41" s="29">
        <f t="shared" si="11"/>
        <v>2.032E-3</v>
      </c>
      <c r="P41" s="29">
        <v>2.1048357489809849E-10</v>
      </c>
      <c r="Q41" s="16">
        <v>0.03</v>
      </c>
      <c r="R41" s="16">
        <f t="shared" si="12"/>
        <v>103000</v>
      </c>
      <c r="S41" s="16">
        <f t="shared" si="13"/>
        <v>5.36358238306597E-3</v>
      </c>
      <c r="T41" s="16">
        <v>0.1</v>
      </c>
      <c r="U41" s="16">
        <f t="shared" si="14"/>
        <v>110000.00000000001</v>
      </c>
      <c r="V41" s="16">
        <f t="shared" si="19"/>
        <v>19.668762376237627</v>
      </c>
      <c r="W41" s="16">
        <f t="shared" si="15"/>
        <v>6.9999999999999991</v>
      </c>
      <c r="X41" s="18">
        <f t="shared" si="20"/>
        <v>9.3873372955114217E-7</v>
      </c>
      <c r="Y41" s="2">
        <f t="shared" si="16"/>
        <v>97265.162897390022</v>
      </c>
      <c r="Z41" s="12">
        <f t="shared" si="17"/>
        <v>5.1775927913121173E-14</v>
      </c>
      <c r="AA41" s="18">
        <f t="shared" si="18"/>
        <v>31179463789.28157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1">
        <v>120</v>
      </c>
      <c r="B42" s="1">
        <f t="shared" si="3"/>
        <v>2</v>
      </c>
      <c r="C42" s="1">
        <v>20</v>
      </c>
      <c r="D42" s="1">
        <f t="shared" si="0"/>
        <v>29.146000000000001</v>
      </c>
      <c r="E42" s="1">
        <f t="shared" si="4"/>
        <v>4.8576666666666667E-7</v>
      </c>
      <c r="F42" s="1">
        <v>21.1</v>
      </c>
      <c r="G42" s="1">
        <f t="shared" si="5"/>
        <v>294.10000000000002</v>
      </c>
      <c r="H42" s="1">
        <v>101.3</v>
      </c>
      <c r="I42" s="1">
        <f t="shared" si="6"/>
        <v>101300</v>
      </c>
      <c r="J42" s="1">
        <f t="shared" si="7"/>
        <v>2.0124824921938581E-5</v>
      </c>
      <c r="K42" s="28">
        <v>180.78712871287132</v>
      </c>
      <c r="L42" s="2">
        <f t="shared" si="8"/>
        <v>1.8078712871287132E-4</v>
      </c>
      <c r="M42" s="3">
        <f t="shared" si="9"/>
        <v>4.7762865441819992E-3</v>
      </c>
      <c r="N42" s="64">
        <f t="shared" si="10"/>
        <v>7.6174435512424185E-7</v>
      </c>
      <c r="O42" s="29">
        <f t="shared" si="11"/>
        <v>2.032E-3</v>
      </c>
      <c r="P42" s="29">
        <v>2.1048357489809849E-10</v>
      </c>
      <c r="Q42" s="16">
        <v>0.03</v>
      </c>
      <c r="R42" s="16">
        <f t="shared" si="12"/>
        <v>103000</v>
      </c>
      <c r="S42" s="16">
        <f t="shared" si="13"/>
        <v>5.36358238306597E-3</v>
      </c>
      <c r="T42" s="16">
        <v>0.1</v>
      </c>
      <c r="U42" s="16">
        <f t="shared" si="14"/>
        <v>110000.00000000001</v>
      </c>
      <c r="V42" s="16">
        <f t="shared" si="19"/>
        <v>19.886584158415847</v>
      </c>
      <c r="W42" s="16">
        <f t="shared" si="15"/>
        <v>6.9999999999999991</v>
      </c>
      <c r="X42" s="18">
        <f t="shared" si="20"/>
        <v>9.4961403251675019E-7</v>
      </c>
      <c r="Y42" s="2">
        <f t="shared" si="16"/>
        <v>97199.656759479665</v>
      </c>
      <c r="Z42" s="12">
        <f t="shared" si="17"/>
        <v>5.2411454424416057E-14</v>
      </c>
      <c r="AA42" s="18">
        <f t="shared" si="18"/>
        <v>31562177854.38335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1">
        <v>123</v>
      </c>
      <c r="B43" s="1">
        <f t="shared" si="3"/>
        <v>2.0499999999999998</v>
      </c>
      <c r="C43" s="1">
        <v>20</v>
      </c>
      <c r="D43" s="1">
        <f t="shared" si="0"/>
        <v>29.146000000000001</v>
      </c>
      <c r="E43" s="1">
        <f t="shared" si="4"/>
        <v>4.8576666666666667E-7</v>
      </c>
      <c r="F43" s="1">
        <v>21.1</v>
      </c>
      <c r="G43" s="1">
        <f t="shared" si="5"/>
        <v>294.10000000000002</v>
      </c>
      <c r="H43" s="1">
        <v>101.3</v>
      </c>
      <c r="I43" s="1">
        <f t="shared" si="6"/>
        <v>101300</v>
      </c>
      <c r="J43" s="1">
        <f t="shared" si="7"/>
        <v>2.0124824921938581E-5</v>
      </c>
      <c r="K43" s="28">
        <v>173.60891089108912</v>
      </c>
      <c r="L43" s="2">
        <f t="shared" si="8"/>
        <v>1.7360891089108913E-4</v>
      </c>
      <c r="M43" s="3">
        <f t="shared" si="9"/>
        <v>4.7762865441819992E-3</v>
      </c>
      <c r="N43" s="64">
        <f t="shared" si="10"/>
        <v>7.3149902214880024E-7</v>
      </c>
      <c r="O43" s="29">
        <f t="shared" si="11"/>
        <v>2.032E-3</v>
      </c>
      <c r="P43" s="29">
        <v>2.1048357489809849E-10</v>
      </c>
      <c r="Q43" s="16">
        <v>0.03</v>
      </c>
      <c r="R43" s="16">
        <f t="shared" si="12"/>
        <v>103000</v>
      </c>
      <c r="S43" s="16">
        <f t="shared" si="13"/>
        <v>5.36358238306597E-3</v>
      </c>
      <c r="T43" s="16">
        <v>0.1</v>
      </c>
      <c r="U43" s="16">
        <f t="shared" si="14"/>
        <v>110000.00000000001</v>
      </c>
      <c r="V43" s="16">
        <f t="shared" si="19"/>
        <v>19.096980198019807</v>
      </c>
      <c r="W43" s="16">
        <f t="shared" si="15"/>
        <v>6.9999999999999991</v>
      </c>
      <c r="X43" s="18">
        <f t="shared" si="20"/>
        <v>9.1010530140590511E-7</v>
      </c>
      <c r="Y43" s="2">
        <f t="shared" si="16"/>
        <v>97437.629115755553</v>
      </c>
      <c r="Z43" s="12">
        <f t="shared" si="17"/>
        <v>5.0107763423936349E-14</v>
      </c>
      <c r="AA43" s="18">
        <f t="shared" si="18"/>
        <v>30174895133.89447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1">
        <v>126</v>
      </c>
      <c r="B44" s="1">
        <f t="shared" si="3"/>
        <v>2.1</v>
      </c>
      <c r="C44" s="1">
        <v>20</v>
      </c>
      <c r="D44" s="1">
        <f t="shared" si="0"/>
        <v>29.146000000000001</v>
      </c>
      <c r="E44" s="1">
        <f t="shared" si="4"/>
        <v>4.8576666666666667E-7</v>
      </c>
      <c r="F44" s="1">
        <v>21.1</v>
      </c>
      <c r="G44" s="1">
        <f t="shared" si="5"/>
        <v>294.10000000000002</v>
      </c>
      <c r="H44" s="1">
        <v>101.3</v>
      </c>
      <c r="I44" s="1">
        <f t="shared" si="6"/>
        <v>101300</v>
      </c>
      <c r="J44" s="1">
        <f t="shared" si="7"/>
        <v>2.0124824921938581E-5</v>
      </c>
      <c r="K44" s="28">
        <v>174.99504950495052</v>
      </c>
      <c r="L44" s="2">
        <f t="shared" si="8"/>
        <v>1.7499504950495051E-4</v>
      </c>
      <c r="M44" s="3">
        <f t="shared" si="9"/>
        <v>4.7762865441819992E-3</v>
      </c>
      <c r="N44" s="64">
        <f t="shared" si="10"/>
        <v>7.3733950024060971E-7</v>
      </c>
      <c r="O44" s="29">
        <f t="shared" si="11"/>
        <v>2.032E-3</v>
      </c>
      <c r="P44" s="29">
        <v>2.1048357489809849E-10</v>
      </c>
      <c r="Q44" s="16">
        <v>0.03</v>
      </c>
      <c r="R44" s="16">
        <f t="shared" si="12"/>
        <v>103000</v>
      </c>
      <c r="S44" s="16">
        <f t="shared" si="13"/>
        <v>5.36358238306597E-3</v>
      </c>
      <c r="T44" s="16">
        <v>0.1</v>
      </c>
      <c r="U44" s="16">
        <f t="shared" si="14"/>
        <v>110000.00000000001</v>
      </c>
      <c r="V44" s="16">
        <f t="shared" si="19"/>
        <v>19.249455445544559</v>
      </c>
      <c r="W44" s="16">
        <f t="shared" si="15"/>
        <v>6.9999999999999991</v>
      </c>
      <c r="X44" s="18">
        <f t="shared" si="20"/>
        <v>9.177492839312697E-7</v>
      </c>
      <c r="Y44" s="2">
        <f t="shared" si="16"/>
        <v>97391.56452796614</v>
      </c>
      <c r="Z44" s="12">
        <f t="shared" si="17"/>
        <v>5.0552602017309156E-14</v>
      </c>
      <c r="AA44" s="18">
        <f t="shared" si="18"/>
        <v>30442776934.823574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1">
        <v>129</v>
      </c>
      <c r="B45" s="1">
        <f t="shared" si="3"/>
        <v>2.15</v>
      </c>
      <c r="C45" s="1">
        <v>20</v>
      </c>
      <c r="D45" s="1">
        <f t="shared" si="0"/>
        <v>29.146000000000001</v>
      </c>
      <c r="E45" s="1">
        <f t="shared" si="4"/>
        <v>4.8576666666666667E-7</v>
      </c>
      <c r="F45" s="1">
        <v>21.1</v>
      </c>
      <c r="G45" s="1">
        <f t="shared" si="5"/>
        <v>294.10000000000002</v>
      </c>
      <c r="H45" s="1">
        <v>101.3</v>
      </c>
      <c r="I45" s="1">
        <f t="shared" si="6"/>
        <v>101300</v>
      </c>
      <c r="J45" s="1">
        <f t="shared" si="7"/>
        <v>2.0124824921938581E-5</v>
      </c>
      <c r="K45" s="28">
        <v>174.47524752475249</v>
      </c>
      <c r="L45" s="2">
        <f t="shared" si="8"/>
        <v>1.7447524752475248E-4</v>
      </c>
      <c r="M45" s="3">
        <f t="shared" si="9"/>
        <v>4.7762865441819992E-3</v>
      </c>
      <c r="N45" s="64">
        <f t="shared" si="10"/>
        <v>7.3514932095618101E-7</v>
      </c>
      <c r="O45" s="29">
        <f t="shared" si="11"/>
        <v>2.032E-3</v>
      </c>
      <c r="P45" s="29">
        <v>2.1048357489809849E-10</v>
      </c>
      <c r="Q45" s="16">
        <v>0.03</v>
      </c>
      <c r="R45" s="16">
        <f t="shared" si="12"/>
        <v>103000</v>
      </c>
      <c r="S45" s="16">
        <f t="shared" si="13"/>
        <v>5.36358238306597E-3</v>
      </c>
      <c r="T45" s="16">
        <v>0.1</v>
      </c>
      <c r="U45" s="16">
        <f t="shared" si="14"/>
        <v>110000.00000000001</v>
      </c>
      <c r="V45" s="16">
        <f t="shared" si="19"/>
        <v>19.192277227722776</v>
      </c>
      <c r="W45" s="16">
        <f t="shared" si="15"/>
        <v>6.9999999999999991</v>
      </c>
      <c r="X45" s="18">
        <f t="shared" si="20"/>
        <v>9.148836304437805E-7</v>
      </c>
      <c r="Y45" s="2">
        <f t="shared" si="16"/>
        <v>97408.832410400501</v>
      </c>
      <c r="Z45" s="12">
        <f t="shared" si="17"/>
        <v>5.038578760629655E-14</v>
      </c>
      <c r="AA45" s="18">
        <f t="shared" si="18"/>
        <v>30342321296.511784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1">
        <v>132</v>
      </c>
      <c r="B46" s="1">
        <f t="shared" si="3"/>
        <v>2.2000000000000002</v>
      </c>
      <c r="C46" s="1">
        <v>20</v>
      </c>
      <c r="D46" s="1">
        <f t="shared" si="0"/>
        <v>29.146000000000001</v>
      </c>
      <c r="E46" s="1">
        <f t="shared" si="4"/>
        <v>4.8576666666666667E-7</v>
      </c>
      <c r="F46" s="1">
        <v>21.1</v>
      </c>
      <c r="G46" s="1">
        <f t="shared" si="5"/>
        <v>294.10000000000002</v>
      </c>
      <c r="H46" s="1">
        <v>101.3</v>
      </c>
      <c r="I46" s="1">
        <f t="shared" si="6"/>
        <v>101300</v>
      </c>
      <c r="J46" s="1">
        <f t="shared" si="7"/>
        <v>2.0124824921938581E-5</v>
      </c>
      <c r="K46" s="28">
        <v>189.89603960396042</v>
      </c>
      <c r="L46" s="2">
        <f t="shared" si="8"/>
        <v>1.8989603960396041E-4</v>
      </c>
      <c r="M46" s="3">
        <f t="shared" si="9"/>
        <v>4.7762865441819992E-3</v>
      </c>
      <c r="N46" s="64">
        <f t="shared" si="10"/>
        <v>8.0012463972756084E-7</v>
      </c>
      <c r="O46" s="29">
        <f t="shared" si="11"/>
        <v>2.032E-3</v>
      </c>
      <c r="P46" s="29">
        <v>2.1048357489809849E-10</v>
      </c>
      <c r="Q46" s="16">
        <v>0.03</v>
      </c>
      <c r="R46" s="16">
        <f t="shared" si="12"/>
        <v>103000</v>
      </c>
      <c r="S46" s="16">
        <f t="shared" si="13"/>
        <v>5.36358238306597E-3</v>
      </c>
      <c r="T46" s="16">
        <v>0.1</v>
      </c>
      <c r="U46" s="16">
        <f t="shared" si="14"/>
        <v>110000.00000000001</v>
      </c>
      <c r="V46" s="16">
        <f t="shared" si="19"/>
        <v>20.888564356435648</v>
      </c>
      <c r="W46" s="16">
        <f t="shared" si="15"/>
        <v>6.9999999999999991</v>
      </c>
      <c r="X46" s="18">
        <f t="shared" si="20"/>
        <v>9.9948838244798886E-7</v>
      </c>
      <c r="Y46" s="2">
        <f t="shared" si="16"/>
        <v>96899.664798251761</v>
      </c>
      <c r="Z46" s="12">
        <f t="shared" si="17"/>
        <v>5.5335528467395326E-14</v>
      </c>
      <c r="AA46" s="18">
        <f t="shared" si="18"/>
        <v>33323055243.065468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1">
        <v>135</v>
      </c>
      <c r="B47" s="1">
        <f t="shared" si="3"/>
        <v>2.25</v>
      </c>
      <c r="C47" s="1">
        <v>20</v>
      </c>
      <c r="D47" s="1">
        <f t="shared" si="0"/>
        <v>29.146000000000001</v>
      </c>
      <c r="E47" s="1">
        <f t="shared" si="4"/>
        <v>4.8576666666666667E-7</v>
      </c>
      <c r="F47" s="1">
        <v>21.1</v>
      </c>
      <c r="G47" s="1">
        <f t="shared" si="5"/>
        <v>294.10000000000002</v>
      </c>
      <c r="H47" s="1">
        <v>101.3</v>
      </c>
      <c r="I47" s="1">
        <f t="shared" si="6"/>
        <v>101300</v>
      </c>
      <c r="J47" s="1">
        <f t="shared" si="7"/>
        <v>2.0124824921938581E-5</v>
      </c>
      <c r="K47" s="28">
        <v>179.00495049504954</v>
      </c>
      <c r="L47" s="2">
        <f t="shared" si="8"/>
        <v>1.7900495049504955E-4</v>
      </c>
      <c r="M47" s="3">
        <f t="shared" si="9"/>
        <v>4.7762865441819992E-3</v>
      </c>
      <c r="N47" s="64">
        <f t="shared" si="10"/>
        <v>7.5423516900620124E-7</v>
      </c>
      <c r="O47" s="29">
        <f t="shared" si="11"/>
        <v>2.032E-3</v>
      </c>
      <c r="P47" s="29">
        <v>2.1048357489809849E-10</v>
      </c>
      <c r="Q47" s="16">
        <v>0.03</v>
      </c>
      <c r="R47" s="16">
        <f t="shared" si="12"/>
        <v>103000</v>
      </c>
      <c r="S47" s="16">
        <f t="shared" si="13"/>
        <v>5.36358238306597E-3</v>
      </c>
      <c r="T47" s="16">
        <v>0.1</v>
      </c>
      <c r="U47" s="16">
        <f t="shared" si="14"/>
        <v>110000.00000000001</v>
      </c>
      <c r="V47" s="16">
        <f t="shared" si="19"/>
        <v>19.690544554455453</v>
      </c>
      <c r="W47" s="16">
        <f t="shared" si="15"/>
        <v>6.9999999999999991</v>
      </c>
      <c r="X47" s="18">
        <f t="shared" si="20"/>
        <v>9.3982238986021267E-7</v>
      </c>
      <c r="Y47" s="2">
        <f t="shared" si="16"/>
        <v>97258.60749705536</v>
      </c>
      <c r="Z47" s="12">
        <f t="shared" si="17"/>
        <v>5.1839479206946768E-14</v>
      </c>
      <c r="AA47" s="18">
        <f t="shared" si="18"/>
        <v>31217734378.423344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1">
        <v>138</v>
      </c>
      <c r="B48" s="1">
        <f t="shared" si="3"/>
        <v>2.2999999999999998</v>
      </c>
      <c r="C48" s="1">
        <v>20</v>
      </c>
      <c r="D48" s="1">
        <f t="shared" si="0"/>
        <v>29.146000000000001</v>
      </c>
      <c r="E48" s="1">
        <f t="shared" si="4"/>
        <v>4.8576666666666667E-7</v>
      </c>
      <c r="F48" s="1">
        <v>21.1</v>
      </c>
      <c r="G48" s="1">
        <f t="shared" si="5"/>
        <v>294.10000000000002</v>
      </c>
      <c r="H48" s="1">
        <v>101.3</v>
      </c>
      <c r="I48" s="1">
        <f t="shared" si="6"/>
        <v>101300</v>
      </c>
      <c r="J48" s="1">
        <f t="shared" si="7"/>
        <v>2.0124824921938581E-5</v>
      </c>
      <c r="K48" s="28">
        <v>185.63861386138615</v>
      </c>
      <c r="L48" s="2">
        <f t="shared" si="8"/>
        <v>1.8563861386138613E-4</v>
      </c>
      <c r="M48" s="3">
        <f t="shared" si="9"/>
        <v>4.7762865441819992E-3</v>
      </c>
      <c r="N48" s="64">
        <f t="shared" si="10"/>
        <v>7.8218602844557473E-7</v>
      </c>
      <c r="O48" s="29">
        <f t="shared" si="11"/>
        <v>2.032E-3</v>
      </c>
      <c r="P48" s="29">
        <v>2.1048357489809849E-10</v>
      </c>
      <c r="Q48" s="16">
        <v>0.03</v>
      </c>
      <c r="R48" s="16">
        <f t="shared" si="12"/>
        <v>103000</v>
      </c>
      <c r="S48" s="16">
        <f t="shared" si="13"/>
        <v>5.36358238306597E-3</v>
      </c>
      <c r="T48" s="16">
        <v>0.1</v>
      </c>
      <c r="U48" s="16">
        <f t="shared" si="14"/>
        <v>110000.00000000001</v>
      </c>
      <c r="V48" s="16">
        <f t="shared" si="19"/>
        <v>20.420247524752476</v>
      </c>
      <c r="W48" s="16">
        <f t="shared" si="15"/>
        <v>6.9999999999999991</v>
      </c>
      <c r="X48" s="18">
        <f t="shared" si="20"/>
        <v>9.7621267654514521E-7</v>
      </c>
      <c r="Y48" s="2">
        <f t="shared" si="16"/>
        <v>97039.609417855972</v>
      </c>
      <c r="Z48" s="12">
        <f t="shared" si="17"/>
        <v>5.3968675257125357E-14</v>
      </c>
      <c r="AA48" s="18">
        <f t="shared" si="18"/>
        <v>32499936239.840893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1">
        <v>141</v>
      </c>
      <c r="B49" s="1">
        <f t="shared" si="3"/>
        <v>2.35</v>
      </c>
      <c r="C49" s="1">
        <v>20</v>
      </c>
      <c r="D49" s="1">
        <f t="shared" si="0"/>
        <v>29.146000000000001</v>
      </c>
      <c r="E49" s="1">
        <f t="shared" si="4"/>
        <v>4.8576666666666667E-7</v>
      </c>
      <c r="F49" s="1">
        <v>21.1</v>
      </c>
      <c r="G49" s="1">
        <f t="shared" si="5"/>
        <v>294.10000000000002</v>
      </c>
      <c r="H49" s="1">
        <v>101.3</v>
      </c>
      <c r="I49" s="1">
        <f t="shared" si="6"/>
        <v>101300</v>
      </c>
      <c r="J49" s="1">
        <f t="shared" si="7"/>
        <v>2.0124824921938581E-5</v>
      </c>
      <c r="K49" s="28">
        <v>179.99504950495052</v>
      </c>
      <c r="L49" s="2">
        <f t="shared" si="8"/>
        <v>1.7999504950495053E-4</v>
      </c>
      <c r="M49" s="3">
        <f t="shared" si="9"/>
        <v>4.7762865441819992E-3</v>
      </c>
      <c r="N49" s="64">
        <f t="shared" si="10"/>
        <v>7.5840693907177936E-7</v>
      </c>
      <c r="O49" s="29">
        <f t="shared" si="11"/>
        <v>2.032E-3</v>
      </c>
      <c r="P49" s="29">
        <v>2.1048357489809849E-10</v>
      </c>
      <c r="Q49" s="16">
        <v>0.03</v>
      </c>
      <c r="R49" s="16">
        <f t="shared" si="12"/>
        <v>103000</v>
      </c>
      <c r="S49" s="16">
        <f t="shared" si="13"/>
        <v>5.36358238306597E-3</v>
      </c>
      <c r="T49" s="16">
        <v>0.1</v>
      </c>
      <c r="U49" s="16">
        <f t="shared" si="14"/>
        <v>110000.00000000001</v>
      </c>
      <c r="V49" s="16">
        <f t="shared" si="19"/>
        <v>19.799455445544559</v>
      </c>
      <c r="W49" s="16">
        <f t="shared" si="15"/>
        <v>6.9999999999999991</v>
      </c>
      <c r="X49" s="18">
        <f t="shared" si="20"/>
        <v>9.4526358673870984E-7</v>
      </c>
      <c r="Y49" s="2">
        <f t="shared" si="16"/>
        <v>97225.846480076623</v>
      </c>
      <c r="Z49" s="12">
        <f t="shared" si="17"/>
        <v>5.2157239969863261E-14</v>
      </c>
      <c r="AA49" s="18">
        <f t="shared" si="18"/>
        <v>31409089909.851658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1">
        <v>144</v>
      </c>
      <c r="B50" s="1">
        <f t="shared" si="3"/>
        <v>2.4</v>
      </c>
      <c r="C50" s="1">
        <v>20</v>
      </c>
      <c r="D50" s="1">
        <f t="shared" si="0"/>
        <v>29.146000000000001</v>
      </c>
      <c r="E50" s="1">
        <f t="shared" si="4"/>
        <v>4.8576666666666667E-7</v>
      </c>
      <c r="F50" s="1">
        <v>21.1</v>
      </c>
      <c r="G50" s="1">
        <f t="shared" si="5"/>
        <v>294.10000000000002</v>
      </c>
      <c r="H50" s="1">
        <v>101.3</v>
      </c>
      <c r="I50" s="1">
        <f t="shared" si="6"/>
        <v>101300</v>
      </c>
      <c r="J50" s="1">
        <f t="shared" si="7"/>
        <v>2.0124824921938581E-5</v>
      </c>
      <c r="K50" s="28">
        <v>178.06435643564359</v>
      </c>
      <c r="L50" s="2">
        <f t="shared" si="8"/>
        <v>1.7806435643564358E-4</v>
      </c>
      <c r="M50" s="3">
        <f t="shared" si="9"/>
        <v>4.7762865441819992E-3</v>
      </c>
      <c r="N50" s="64">
        <f t="shared" si="10"/>
        <v>7.5027198744390187E-7</v>
      </c>
      <c r="O50" s="29">
        <f t="shared" si="11"/>
        <v>2.032E-3</v>
      </c>
      <c r="P50" s="29">
        <v>2.1048357489809849E-10</v>
      </c>
      <c r="Q50" s="16">
        <v>0.03</v>
      </c>
      <c r="R50" s="16">
        <f t="shared" si="12"/>
        <v>103000</v>
      </c>
      <c r="S50" s="16">
        <f t="shared" si="13"/>
        <v>5.36358238306597E-3</v>
      </c>
      <c r="T50" s="16">
        <v>0.1</v>
      </c>
      <c r="U50" s="16">
        <f t="shared" si="14"/>
        <v>110000.00000000001</v>
      </c>
      <c r="V50" s="16">
        <f t="shared" si="19"/>
        <v>19.587079207920798</v>
      </c>
      <c r="W50" s="16">
        <f t="shared" si="15"/>
        <v>6.9999999999999991</v>
      </c>
      <c r="X50" s="18">
        <f t="shared" si="20"/>
        <v>9.34649996988553E-7</v>
      </c>
      <c r="Y50" s="2">
        <f t="shared" si="16"/>
        <v>97289.755182726833</v>
      </c>
      <c r="Z50" s="12">
        <f t="shared" si="17"/>
        <v>5.1537612773994047E-14</v>
      </c>
      <c r="AA50" s="18">
        <f t="shared" si="18"/>
        <v>31035950412.499218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1">
        <v>147</v>
      </c>
      <c r="B51" s="1">
        <f t="shared" si="3"/>
        <v>2.4500000000000002</v>
      </c>
      <c r="C51" s="1">
        <v>20</v>
      </c>
      <c r="D51" s="1">
        <f t="shared" si="0"/>
        <v>29.146000000000001</v>
      </c>
      <c r="E51" s="1">
        <f t="shared" si="4"/>
        <v>4.8576666666666667E-7</v>
      </c>
      <c r="F51" s="1">
        <v>21.1</v>
      </c>
      <c r="G51" s="1">
        <f t="shared" si="5"/>
        <v>294.10000000000002</v>
      </c>
      <c r="H51" s="1">
        <v>101.3</v>
      </c>
      <c r="I51" s="1">
        <f t="shared" si="6"/>
        <v>101300</v>
      </c>
      <c r="J51" s="1">
        <f t="shared" si="7"/>
        <v>2.0124824921938581E-5</v>
      </c>
      <c r="K51" s="28">
        <v>179.99504950495052</v>
      </c>
      <c r="L51" s="2">
        <f t="shared" si="8"/>
        <v>1.7999504950495053E-4</v>
      </c>
      <c r="M51" s="3">
        <f t="shared" si="9"/>
        <v>4.7762865441819992E-3</v>
      </c>
      <c r="N51" s="64">
        <f t="shared" si="10"/>
        <v>7.5840693907177936E-7</v>
      </c>
      <c r="O51" s="29">
        <f t="shared" si="11"/>
        <v>2.032E-3</v>
      </c>
      <c r="P51" s="29">
        <v>2.1048357489809849E-10</v>
      </c>
      <c r="Q51" s="16">
        <v>0.03</v>
      </c>
      <c r="R51" s="16">
        <f t="shared" si="12"/>
        <v>103000</v>
      </c>
      <c r="S51" s="16">
        <f t="shared" si="13"/>
        <v>5.36358238306597E-3</v>
      </c>
      <c r="T51" s="16">
        <v>0.1</v>
      </c>
      <c r="U51" s="16">
        <f t="shared" si="14"/>
        <v>110000.00000000001</v>
      </c>
      <c r="V51" s="16">
        <f t="shared" si="19"/>
        <v>19.799455445544559</v>
      </c>
      <c r="W51" s="16">
        <f t="shared" si="15"/>
        <v>6.9999999999999991</v>
      </c>
      <c r="X51" s="18">
        <f t="shared" si="20"/>
        <v>9.4526358673870984E-7</v>
      </c>
      <c r="Y51" s="2">
        <f t="shared" si="16"/>
        <v>97225.846480076623</v>
      </c>
      <c r="Z51" s="12">
        <f t="shared" si="17"/>
        <v>5.2157239969863261E-14</v>
      </c>
      <c r="AA51" s="18">
        <f t="shared" si="18"/>
        <v>31409089909.851658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1">
        <v>150</v>
      </c>
      <c r="B52" s="1">
        <f t="shared" si="3"/>
        <v>2.5</v>
      </c>
      <c r="C52" s="1">
        <v>20</v>
      </c>
      <c r="D52" s="1">
        <f t="shared" si="0"/>
        <v>29.146000000000001</v>
      </c>
      <c r="E52" s="1">
        <f t="shared" si="4"/>
        <v>4.8576666666666667E-7</v>
      </c>
      <c r="F52" s="1">
        <v>21.1</v>
      </c>
      <c r="G52" s="1">
        <f t="shared" si="5"/>
        <v>294.10000000000002</v>
      </c>
      <c r="H52" s="1">
        <v>101.3</v>
      </c>
      <c r="I52" s="1">
        <f t="shared" si="6"/>
        <v>101300</v>
      </c>
      <c r="J52" s="1">
        <f t="shared" si="7"/>
        <v>2.0124824921938581E-5</v>
      </c>
      <c r="K52" s="28">
        <v>174.72277227722773</v>
      </c>
      <c r="L52" s="2">
        <f t="shared" si="8"/>
        <v>1.7472277227722772E-4</v>
      </c>
      <c r="M52" s="3">
        <f t="shared" si="9"/>
        <v>4.7762865441819992E-3</v>
      </c>
      <c r="N52" s="64">
        <f t="shared" si="10"/>
        <v>7.361922634725756E-7</v>
      </c>
      <c r="O52" s="29">
        <f t="shared" si="11"/>
        <v>2.032E-3</v>
      </c>
      <c r="P52" s="29">
        <v>2.1048357489809849E-10</v>
      </c>
      <c r="Q52" s="16">
        <v>0.03</v>
      </c>
      <c r="R52" s="16">
        <f t="shared" si="12"/>
        <v>103000</v>
      </c>
      <c r="S52" s="16">
        <f t="shared" si="13"/>
        <v>5.36358238306597E-3</v>
      </c>
      <c r="T52" s="16">
        <v>0.1</v>
      </c>
      <c r="U52" s="16">
        <f t="shared" si="14"/>
        <v>110000.00000000001</v>
      </c>
      <c r="V52" s="16">
        <f t="shared" si="19"/>
        <v>19.21950495049505</v>
      </c>
      <c r="W52" s="16">
        <f t="shared" si="15"/>
        <v>6.9999999999999991</v>
      </c>
      <c r="X52" s="18">
        <f t="shared" si="20"/>
        <v>9.1624835264980299E-7</v>
      </c>
      <c r="Y52" s="2">
        <f t="shared" si="16"/>
        <v>97400.60866325938</v>
      </c>
      <c r="Z52" s="12">
        <f t="shared" si="17"/>
        <v>5.0465223029388155E-14</v>
      </c>
      <c r="AA52" s="18">
        <f t="shared" si="18"/>
        <v>30390157308.29755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1">
        <v>153</v>
      </c>
      <c r="B53" s="1">
        <f t="shared" si="3"/>
        <v>2.5499999999999998</v>
      </c>
      <c r="C53" s="1">
        <v>20</v>
      </c>
      <c r="D53" s="1">
        <f t="shared" si="0"/>
        <v>29.146000000000001</v>
      </c>
      <c r="E53" s="1">
        <f t="shared" si="4"/>
        <v>4.8576666666666667E-7</v>
      </c>
      <c r="F53" s="1">
        <v>21.1</v>
      </c>
      <c r="G53" s="1">
        <f t="shared" si="5"/>
        <v>294.10000000000002</v>
      </c>
      <c r="H53" s="1">
        <v>101.3</v>
      </c>
      <c r="I53" s="1">
        <f t="shared" si="6"/>
        <v>101300</v>
      </c>
      <c r="J53" s="1">
        <f t="shared" si="7"/>
        <v>2.0124824921938581E-5</v>
      </c>
      <c r="K53" s="28">
        <v>180.29207920792081</v>
      </c>
      <c r="L53" s="2">
        <f t="shared" si="8"/>
        <v>1.802920792079208E-4</v>
      </c>
      <c r="M53" s="3">
        <f t="shared" si="9"/>
        <v>4.7762865441819992E-3</v>
      </c>
      <c r="N53" s="64">
        <f t="shared" si="10"/>
        <v>7.5965847009145269E-7</v>
      </c>
      <c r="O53" s="29">
        <f t="shared" si="11"/>
        <v>2.032E-3</v>
      </c>
      <c r="P53" s="29">
        <v>2.1048357489809849E-10</v>
      </c>
      <c r="Q53" s="16">
        <v>0.03</v>
      </c>
      <c r="R53" s="16">
        <f t="shared" si="12"/>
        <v>103000</v>
      </c>
      <c r="S53" s="16">
        <f t="shared" si="13"/>
        <v>5.36358238306597E-3</v>
      </c>
      <c r="T53" s="16">
        <v>0.1</v>
      </c>
      <c r="U53" s="16">
        <f t="shared" si="14"/>
        <v>110000.00000000001</v>
      </c>
      <c r="V53" s="16">
        <f t="shared" si="19"/>
        <v>19.832128712871292</v>
      </c>
      <c r="W53" s="16">
        <f t="shared" si="15"/>
        <v>6.9999999999999991</v>
      </c>
      <c r="X53" s="18">
        <f t="shared" si="20"/>
        <v>9.4689526460882776E-7</v>
      </c>
      <c r="Y53" s="2">
        <f t="shared" si="16"/>
        <v>97216.02335197154</v>
      </c>
      <c r="Z53" s="12">
        <f t="shared" si="17"/>
        <v>5.2252569734946304E-14</v>
      </c>
      <c r="AA53" s="18">
        <f t="shared" si="18"/>
        <v>31466497494.384666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1">
        <v>156</v>
      </c>
      <c r="B54" s="1">
        <f t="shared" si="3"/>
        <v>2.6</v>
      </c>
      <c r="C54" s="1">
        <v>20</v>
      </c>
      <c r="D54" s="1">
        <f t="shared" si="0"/>
        <v>29.146000000000001</v>
      </c>
      <c r="E54" s="1">
        <f t="shared" si="4"/>
        <v>4.8576666666666667E-7</v>
      </c>
      <c r="F54" s="1">
        <v>21.1</v>
      </c>
      <c r="G54" s="1">
        <f t="shared" si="5"/>
        <v>294.10000000000002</v>
      </c>
      <c r="H54" s="1">
        <v>101.3</v>
      </c>
      <c r="I54" s="1">
        <f t="shared" si="6"/>
        <v>101300</v>
      </c>
      <c r="J54" s="1">
        <f t="shared" si="7"/>
        <v>2.0124824921938581E-5</v>
      </c>
      <c r="K54" s="28">
        <v>177.49504950495052</v>
      </c>
      <c r="L54" s="2">
        <f t="shared" si="8"/>
        <v>1.7749504950495052E-4</v>
      </c>
      <c r="M54" s="3">
        <f t="shared" si="9"/>
        <v>4.7762865441819992E-3</v>
      </c>
      <c r="N54" s="64">
        <f t="shared" si="10"/>
        <v>7.4787321965619453E-7</v>
      </c>
      <c r="O54" s="29">
        <f t="shared" si="11"/>
        <v>2.032E-3</v>
      </c>
      <c r="P54" s="29">
        <v>2.1048357489809849E-10</v>
      </c>
      <c r="Q54" s="16">
        <v>0.03</v>
      </c>
      <c r="R54" s="16">
        <f t="shared" si="12"/>
        <v>103000</v>
      </c>
      <c r="S54" s="16">
        <f t="shared" si="13"/>
        <v>5.36358238306597E-3</v>
      </c>
      <c r="T54" s="16">
        <v>0.1</v>
      </c>
      <c r="U54" s="16">
        <f t="shared" si="14"/>
        <v>110000.00000000001</v>
      </c>
      <c r="V54" s="16">
        <f t="shared" si="19"/>
        <v>19.524455445544561</v>
      </c>
      <c r="W54" s="16">
        <f t="shared" si="15"/>
        <v>6.9999999999999991</v>
      </c>
      <c r="X54" s="18">
        <f t="shared" si="20"/>
        <v>9.3151778618642997E-7</v>
      </c>
      <c r="Y54" s="2">
        <f t="shared" si="16"/>
        <v>97308.619499343142</v>
      </c>
      <c r="Z54" s="12">
        <f t="shared" si="17"/>
        <v>5.1354906582775712E-14</v>
      </c>
      <c r="AA54" s="18">
        <f t="shared" si="18"/>
        <v>30925924744.147533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1">
        <v>159</v>
      </c>
      <c r="B55" s="1">
        <f t="shared" si="3"/>
        <v>2.65</v>
      </c>
      <c r="C55" s="1">
        <v>20</v>
      </c>
      <c r="D55" s="1">
        <f t="shared" si="0"/>
        <v>29.146000000000001</v>
      </c>
      <c r="E55" s="1">
        <f t="shared" si="4"/>
        <v>4.8576666666666667E-7</v>
      </c>
      <c r="F55" s="1">
        <v>21.1</v>
      </c>
      <c r="G55" s="1">
        <f t="shared" si="5"/>
        <v>294.10000000000002</v>
      </c>
      <c r="H55" s="1">
        <v>101.3</v>
      </c>
      <c r="I55" s="1">
        <f t="shared" si="6"/>
        <v>101300</v>
      </c>
      <c r="J55" s="1">
        <f t="shared" si="7"/>
        <v>2.0124824921938581E-5</v>
      </c>
      <c r="K55" s="28">
        <v>179.57425742574259</v>
      </c>
      <c r="L55" s="2">
        <f t="shared" si="8"/>
        <v>1.7957425742574259E-4</v>
      </c>
      <c r="M55" s="3">
        <f t="shared" si="9"/>
        <v>4.7762865441819992E-3</v>
      </c>
      <c r="N55" s="64">
        <f t="shared" si="10"/>
        <v>7.5663393679390858E-7</v>
      </c>
      <c r="O55" s="29">
        <f t="shared" si="11"/>
        <v>2.032E-3</v>
      </c>
      <c r="P55" s="29">
        <v>2.1048357489809849E-10</v>
      </c>
      <c r="Q55" s="16">
        <v>0.03</v>
      </c>
      <c r="R55" s="16">
        <f t="shared" si="12"/>
        <v>103000</v>
      </c>
      <c r="S55" s="16">
        <f t="shared" si="13"/>
        <v>5.36358238306597E-3</v>
      </c>
      <c r="T55" s="16">
        <v>0.1</v>
      </c>
      <c r="U55" s="16">
        <f t="shared" si="14"/>
        <v>110000.00000000001</v>
      </c>
      <c r="V55" s="16">
        <f t="shared" si="19"/>
        <v>19.753168316831687</v>
      </c>
      <c r="W55" s="16">
        <f t="shared" si="15"/>
        <v>6.9999999999999991</v>
      </c>
      <c r="X55" s="18">
        <f t="shared" si="20"/>
        <v>9.4295150575567289E-7</v>
      </c>
      <c r="Y55" s="2">
        <f t="shared" si="16"/>
        <v>97239.766662930037</v>
      </c>
      <c r="Z55" s="12">
        <f t="shared" si="17"/>
        <v>5.2022190725543255E-14</v>
      </c>
      <c r="AA55" s="18">
        <f t="shared" si="18"/>
        <v>31327763254.92215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1">
        <v>162</v>
      </c>
      <c r="B56" s="1">
        <f t="shared" si="3"/>
        <v>2.7</v>
      </c>
      <c r="C56" s="1">
        <v>20</v>
      </c>
      <c r="D56" s="1">
        <f t="shared" si="0"/>
        <v>29.146000000000001</v>
      </c>
      <c r="E56" s="1">
        <f t="shared" si="4"/>
        <v>4.8576666666666667E-7</v>
      </c>
      <c r="F56" s="1">
        <v>21.1</v>
      </c>
      <c r="G56" s="1">
        <f t="shared" si="5"/>
        <v>294.10000000000002</v>
      </c>
      <c r="H56" s="1">
        <v>101.3</v>
      </c>
      <c r="I56" s="1">
        <f t="shared" si="6"/>
        <v>101300</v>
      </c>
      <c r="J56" s="1">
        <f t="shared" si="7"/>
        <v>2.0124824921938581E-5</v>
      </c>
      <c r="K56" s="28">
        <v>178.26237623762378</v>
      </c>
      <c r="L56" s="2">
        <f t="shared" si="8"/>
        <v>1.7826237623762379E-4</v>
      </c>
      <c r="M56" s="3">
        <f t="shared" si="9"/>
        <v>4.7762865441819992E-3</v>
      </c>
      <c r="N56" s="64">
        <f t="shared" si="10"/>
        <v>7.511063414570176E-7</v>
      </c>
      <c r="O56" s="29">
        <f t="shared" si="11"/>
        <v>2.032E-3</v>
      </c>
      <c r="P56" s="29">
        <v>2.1048357489809849E-10</v>
      </c>
      <c r="Q56" s="16">
        <v>0.03</v>
      </c>
      <c r="R56" s="16">
        <f t="shared" si="12"/>
        <v>103000</v>
      </c>
      <c r="S56" s="16">
        <f t="shared" si="13"/>
        <v>5.36358238306597E-3</v>
      </c>
      <c r="T56" s="16">
        <v>0.1</v>
      </c>
      <c r="U56" s="16">
        <f t="shared" si="14"/>
        <v>110000.00000000001</v>
      </c>
      <c r="V56" s="16">
        <f t="shared" si="19"/>
        <v>19.608861386138621</v>
      </c>
      <c r="W56" s="16">
        <f t="shared" si="15"/>
        <v>6.9999999999999991</v>
      </c>
      <c r="X56" s="18">
        <f t="shared" si="20"/>
        <v>9.3573918671335288E-7</v>
      </c>
      <c r="Y56" s="2">
        <f t="shared" si="16"/>
        <v>97283.195765463141</v>
      </c>
      <c r="Z56" s="12">
        <f t="shared" si="17"/>
        <v>5.1601163156258629E-14</v>
      </c>
      <c r="AA56" s="18">
        <f t="shared" si="18"/>
        <v>31074220452.698948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1">
        <v>165</v>
      </c>
      <c r="B57" s="1">
        <f t="shared" si="3"/>
        <v>2.75</v>
      </c>
      <c r="C57" s="1">
        <v>20</v>
      </c>
      <c r="D57" s="1">
        <f t="shared" si="0"/>
        <v>29.146000000000001</v>
      </c>
      <c r="E57" s="1">
        <f t="shared" si="4"/>
        <v>4.8576666666666667E-7</v>
      </c>
      <c r="F57" s="1">
        <v>21.1</v>
      </c>
      <c r="G57" s="1">
        <f t="shared" si="5"/>
        <v>294.10000000000002</v>
      </c>
      <c r="H57" s="1">
        <v>101.3</v>
      </c>
      <c r="I57" s="1">
        <f t="shared" si="6"/>
        <v>101300</v>
      </c>
      <c r="J57" s="1">
        <f t="shared" si="7"/>
        <v>2.0124824921938581E-5</v>
      </c>
      <c r="K57" s="28">
        <v>184.77227722772278</v>
      </c>
      <c r="L57" s="2">
        <f t="shared" si="8"/>
        <v>1.8477227722772278E-4</v>
      </c>
      <c r="M57" s="3">
        <f t="shared" si="9"/>
        <v>4.7762865441819992E-3</v>
      </c>
      <c r="N57" s="64">
        <f t="shared" si="10"/>
        <v>7.7853572963819385E-7</v>
      </c>
      <c r="O57" s="29">
        <f t="shared" si="11"/>
        <v>2.032E-3</v>
      </c>
      <c r="P57" s="29">
        <v>2.1048357489809849E-10</v>
      </c>
      <c r="Q57" s="16">
        <v>0.03</v>
      </c>
      <c r="R57" s="16">
        <f t="shared" si="12"/>
        <v>103000</v>
      </c>
      <c r="S57" s="16">
        <f t="shared" si="13"/>
        <v>5.36358238306597E-3</v>
      </c>
      <c r="T57" s="16">
        <v>0.1</v>
      </c>
      <c r="U57" s="16">
        <f t="shared" si="14"/>
        <v>110000.00000000001</v>
      </c>
      <c r="V57" s="16">
        <f t="shared" si="19"/>
        <v>20.324950495049507</v>
      </c>
      <c r="W57" s="16">
        <f t="shared" si="15"/>
        <v>6.9999999999999991</v>
      </c>
      <c r="X57" s="18">
        <f t="shared" si="20"/>
        <v>9.7146887228041649E-7</v>
      </c>
      <c r="Y57" s="2">
        <f t="shared" si="16"/>
        <v>97068.143814345938</v>
      </c>
      <c r="Z57" s="12">
        <f t="shared" si="17"/>
        <v>5.3690576357724546E-14</v>
      </c>
      <c r="AA57" s="18">
        <f t="shared" si="18"/>
        <v>32332465082.621723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1">
        <v>168</v>
      </c>
      <c r="B58" s="1">
        <f t="shared" si="3"/>
        <v>2.8</v>
      </c>
      <c r="C58" s="1">
        <v>20</v>
      </c>
      <c r="D58" s="1">
        <f t="shared" si="0"/>
        <v>29.146000000000001</v>
      </c>
      <c r="E58" s="1">
        <f t="shared" si="4"/>
        <v>4.8576666666666667E-7</v>
      </c>
      <c r="F58" s="1">
        <v>21.1</v>
      </c>
      <c r="G58" s="1">
        <f t="shared" si="5"/>
        <v>294.10000000000002</v>
      </c>
      <c r="H58" s="1">
        <v>101.3</v>
      </c>
      <c r="I58" s="1">
        <f t="shared" si="6"/>
        <v>101300</v>
      </c>
      <c r="J58" s="1">
        <f t="shared" si="7"/>
        <v>2.0124824921938581E-5</v>
      </c>
      <c r="K58" s="28">
        <v>178.33663366336637</v>
      </c>
      <c r="L58" s="2">
        <f t="shared" si="8"/>
        <v>1.7833663366336637E-4</v>
      </c>
      <c r="M58" s="3">
        <f t="shared" si="9"/>
        <v>4.7762865441819992E-3</v>
      </c>
      <c r="N58" s="64">
        <f t="shared" si="10"/>
        <v>7.5141922421193599E-7</v>
      </c>
      <c r="O58" s="29">
        <f t="shared" si="11"/>
        <v>2.032E-3</v>
      </c>
      <c r="P58" s="29">
        <v>2.1048357489809849E-10</v>
      </c>
      <c r="Q58" s="16">
        <v>0.03</v>
      </c>
      <c r="R58" s="16">
        <f t="shared" si="12"/>
        <v>103000</v>
      </c>
      <c r="S58" s="16">
        <f t="shared" si="13"/>
        <v>5.36358238306597E-3</v>
      </c>
      <c r="T58" s="16">
        <v>0.1</v>
      </c>
      <c r="U58" s="16">
        <f t="shared" si="14"/>
        <v>110000.00000000001</v>
      </c>
      <c r="V58" s="16">
        <f t="shared" si="19"/>
        <v>19.617029702970303</v>
      </c>
      <c r="W58" s="16">
        <f t="shared" si="15"/>
        <v>6.9999999999999991</v>
      </c>
      <c r="X58" s="18">
        <f t="shared" si="20"/>
        <v>9.361475963668309E-7</v>
      </c>
      <c r="Y58" s="2">
        <f t="shared" si="16"/>
        <v>97280.736260766309</v>
      </c>
      <c r="Z58" s="12">
        <f t="shared" si="17"/>
        <v>5.1624994607496168E-14</v>
      </c>
      <c r="AA58" s="18">
        <f t="shared" si="18"/>
        <v>31088571752.634193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1">
        <v>171</v>
      </c>
      <c r="B59" s="1">
        <f t="shared" si="3"/>
        <v>2.85</v>
      </c>
      <c r="C59" s="1">
        <v>20</v>
      </c>
      <c r="D59" s="1">
        <f t="shared" si="0"/>
        <v>29.146000000000001</v>
      </c>
      <c r="E59" s="1">
        <f t="shared" si="4"/>
        <v>4.8576666666666667E-7</v>
      </c>
      <c r="F59" s="1">
        <v>21.1</v>
      </c>
      <c r="G59" s="1">
        <f t="shared" si="5"/>
        <v>294.10000000000002</v>
      </c>
      <c r="H59" s="1">
        <v>101.3</v>
      </c>
      <c r="I59" s="1">
        <f t="shared" si="6"/>
        <v>101300</v>
      </c>
      <c r="J59" s="1">
        <f t="shared" si="7"/>
        <v>2.0124824921938581E-5</v>
      </c>
      <c r="K59" s="28">
        <v>186.35643564356437</v>
      </c>
      <c r="L59" s="2">
        <f t="shared" si="8"/>
        <v>1.8635643564356437E-4</v>
      </c>
      <c r="M59" s="3">
        <f t="shared" si="9"/>
        <v>4.7762865441819992E-3</v>
      </c>
      <c r="N59" s="64">
        <f t="shared" si="10"/>
        <v>7.8521056174311884E-7</v>
      </c>
      <c r="O59" s="29">
        <f t="shared" si="11"/>
        <v>2.032E-3</v>
      </c>
      <c r="P59" s="29">
        <v>2.1048357489809849E-10</v>
      </c>
      <c r="Q59" s="16">
        <v>0.03</v>
      </c>
      <c r="R59" s="16">
        <f t="shared" si="12"/>
        <v>103000</v>
      </c>
      <c r="S59" s="16">
        <f t="shared" si="13"/>
        <v>5.36358238306597E-3</v>
      </c>
      <c r="T59" s="16">
        <v>0.1</v>
      </c>
      <c r="U59" s="16">
        <f t="shared" si="14"/>
        <v>110000.00000000001</v>
      </c>
      <c r="V59" s="16">
        <f t="shared" si="19"/>
        <v>20.499207920792085</v>
      </c>
      <c r="W59" s="16">
        <f t="shared" si="15"/>
        <v>6.9999999999999991</v>
      </c>
      <c r="X59" s="18">
        <f t="shared" si="20"/>
        <v>9.8014132574323819E-7</v>
      </c>
      <c r="Y59" s="2">
        <f t="shared" si="16"/>
        <v>97015.981425587626</v>
      </c>
      <c r="Z59" s="12">
        <f t="shared" si="17"/>
        <v>5.4199109355155405E-14</v>
      </c>
      <c r="AA59" s="18">
        <f t="shared" si="18"/>
        <v>32638703653.674587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22"/>
      <c r="L60" s="3"/>
      <c r="M60" s="3"/>
      <c r="N60" s="29"/>
      <c r="O60" s="29"/>
      <c r="P60" s="29"/>
      <c r="Q60" s="16"/>
      <c r="R60" s="16"/>
      <c r="S60" s="16"/>
      <c r="T60" s="16"/>
      <c r="U60" s="16"/>
      <c r="V60" s="16"/>
      <c r="W60" s="13"/>
      <c r="X60" s="13"/>
      <c r="Y60" s="13"/>
      <c r="Z60" s="30"/>
      <c r="AA60" s="30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22"/>
      <c r="L61" s="3"/>
      <c r="M61" s="3"/>
      <c r="N61" s="29"/>
      <c r="O61" s="29"/>
      <c r="P61" s="29"/>
      <c r="Q61" s="16"/>
      <c r="R61" s="16"/>
      <c r="S61" s="16"/>
      <c r="T61" s="16"/>
      <c r="U61" s="16"/>
      <c r="V61" s="16"/>
      <c r="W61" s="13"/>
      <c r="X61" s="13"/>
      <c r="Y61" s="13"/>
      <c r="Z61" s="30"/>
      <c r="AA61" s="30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22"/>
      <c r="L62" s="3"/>
      <c r="M62" s="3"/>
      <c r="N62" s="29"/>
      <c r="O62" s="29"/>
      <c r="P62" s="29"/>
      <c r="Q62" s="16"/>
      <c r="R62" s="16"/>
      <c r="S62" s="16"/>
      <c r="T62" s="16"/>
      <c r="U62" s="16"/>
      <c r="V62" s="16"/>
      <c r="W62" s="13"/>
      <c r="X62" s="13"/>
      <c r="Y62" s="13"/>
      <c r="Z62" s="30"/>
      <c r="AA62" s="30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2"/>
      <c r="L63" s="3"/>
      <c r="M63" s="3"/>
      <c r="N63" s="29"/>
      <c r="O63" s="29"/>
      <c r="P63" s="29"/>
      <c r="Q63" s="16"/>
      <c r="R63" s="16"/>
      <c r="S63" s="16"/>
      <c r="T63" s="16"/>
      <c r="U63" s="16"/>
      <c r="V63" s="16"/>
      <c r="W63" s="13"/>
      <c r="X63" s="13"/>
      <c r="Y63" s="13"/>
      <c r="Z63" s="50">
        <f>AVERAGE(Z33:Z59)</f>
        <v>5.1850440034965342E-14</v>
      </c>
      <c r="AA63" s="50">
        <f>AVERAGE(AA33:AA59)</f>
        <v>31224334989.056129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2"/>
      <c r="L64" s="3"/>
      <c r="M64" s="3"/>
      <c r="N64" s="29"/>
      <c r="O64" s="29"/>
      <c r="P64" s="29"/>
      <c r="Q64" s="16"/>
      <c r="R64" s="16"/>
      <c r="S64" s="16"/>
      <c r="T64" s="16"/>
      <c r="U64" s="16"/>
      <c r="V64" s="16"/>
      <c r="W64" s="13"/>
      <c r="X64" s="13"/>
      <c r="Y64" s="13"/>
      <c r="Z64" s="30"/>
      <c r="AA64" s="30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2"/>
      <c r="L65" s="3"/>
      <c r="M65" s="3"/>
      <c r="N65" s="29"/>
      <c r="O65" s="29"/>
      <c r="P65" s="29"/>
      <c r="Q65" s="16"/>
      <c r="R65" s="16"/>
      <c r="S65" s="16"/>
      <c r="T65" s="16"/>
      <c r="U65" s="16"/>
      <c r="V65" s="16"/>
      <c r="W65" s="13"/>
      <c r="X65" s="13"/>
      <c r="Y65" s="13"/>
      <c r="Z65" s="30"/>
      <c r="AA65" s="30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2"/>
      <c r="L66" s="3"/>
      <c r="M66" s="3"/>
      <c r="N66" s="29"/>
      <c r="O66" s="29"/>
      <c r="P66" s="29"/>
      <c r="Q66" s="16"/>
      <c r="R66" s="16"/>
      <c r="S66" s="16"/>
      <c r="T66" s="16"/>
      <c r="U66" s="16"/>
      <c r="V66" s="16"/>
      <c r="W66" s="13"/>
      <c r="X66" s="13"/>
      <c r="Y66" s="13"/>
      <c r="Z66" s="30"/>
      <c r="AA66" s="30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2"/>
      <c r="L67" s="3"/>
      <c r="M67" s="3"/>
      <c r="N67" s="29"/>
      <c r="O67" s="29"/>
      <c r="P67" s="29"/>
      <c r="Q67" s="16"/>
      <c r="R67" s="16"/>
      <c r="S67" s="16"/>
      <c r="T67" s="16"/>
      <c r="U67" s="16"/>
      <c r="V67" s="16"/>
      <c r="W67" s="13"/>
      <c r="X67" s="13"/>
      <c r="Y67" s="13"/>
      <c r="Z67" s="30"/>
      <c r="AA67" s="30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2"/>
      <c r="L68" s="3"/>
      <c r="M68" s="3"/>
      <c r="N68" s="29"/>
      <c r="O68" s="29"/>
      <c r="P68" s="29"/>
      <c r="Q68" s="16"/>
      <c r="R68" s="16"/>
      <c r="S68" s="16"/>
      <c r="T68" s="16"/>
      <c r="U68" s="16"/>
      <c r="V68" s="16"/>
      <c r="W68" s="13"/>
      <c r="X68" s="13"/>
      <c r="Y68" s="13"/>
      <c r="Z68" s="30"/>
      <c r="AA68" s="30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2"/>
      <c r="L69" s="3"/>
      <c r="M69" s="3"/>
      <c r="N69" s="29"/>
      <c r="O69" s="29"/>
      <c r="P69" s="29"/>
      <c r="Q69" s="16"/>
      <c r="R69" s="16"/>
      <c r="S69" s="16"/>
      <c r="T69" s="16"/>
      <c r="U69" s="16"/>
      <c r="V69" s="16"/>
      <c r="W69" s="13"/>
      <c r="X69" s="13"/>
      <c r="Y69" s="13"/>
      <c r="Z69" s="30"/>
      <c r="AA69" s="30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2"/>
      <c r="L70" s="3"/>
      <c r="M70" s="3"/>
      <c r="N70" s="29"/>
      <c r="O70" s="29"/>
      <c r="P70" s="29"/>
      <c r="Q70" s="16"/>
      <c r="R70" s="16"/>
      <c r="S70" s="16"/>
      <c r="T70" s="16"/>
      <c r="U70" s="16"/>
      <c r="V70" s="16"/>
      <c r="W70" s="13"/>
      <c r="X70" s="13"/>
      <c r="Y70" s="13"/>
      <c r="Z70" s="30"/>
      <c r="AA70" s="30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2"/>
      <c r="L71" s="3"/>
      <c r="M71" s="3"/>
      <c r="N71" s="29"/>
      <c r="O71" s="29"/>
      <c r="P71" s="29"/>
      <c r="Q71" s="16"/>
      <c r="R71" s="16"/>
      <c r="S71" s="16"/>
      <c r="T71" s="16"/>
      <c r="U71" s="16"/>
      <c r="V71" s="16"/>
      <c r="W71" s="13"/>
      <c r="X71" s="13"/>
      <c r="Y71" s="13"/>
      <c r="Z71" s="30"/>
      <c r="AA71" s="30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22"/>
      <c r="L72" s="3"/>
      <c r="M72" s="3"/>
      <c r="N72" s="29"/>
      <c r="O72" s="29"/>
      <c r="P72" s="29"/>
      <c r="Q72" s="16"/>
      <c r="R72" s="16"/>
      <c r="S72" s="16"/>
      <c r="T72" s="16"/>
      <c r="U72" s="16"/>
      <c r="V72" s="16"/>
      <c r="W72" s="13"/>
      <c r="X72" s="13"/>
      <c r="Y72" s="13"/>
      <c r="Z72" s="30"/>
      <c r="AA72" s="30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2"/>
      <c r="L73" s="3"/>
      <c r="M73" s="3"/>
      <c r="N73" s="29"/>
      <c r="O73" s="29"/>
      <c r="P73" s="29"/>
      <c r="Q73" s="16"/>
      <c r="R73" s="16"/>
      <c r="S73" s="16"/>
      <c r="T73" s="16"/>
      <c r="U73" s="16"/>
      <c r="V73" s="16"/>
      <c r="W73" s="13"/>
      <c r="X73" s="13"/>
      <c r="Y73" s="13"/>
      <c r="Z73" s="30"/>
      <c r="AA73" s="30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2"/>
      <c r="L74" s="3"/>
      <c r="M74" s="3"/>
      <c r="N74" s="29"/>
      <c r="O74" s="29"/>
      <c r="P74" s="29"/>
      <c r="Q74" s="16"/>
      <c r="R74" s="16"/>
      <c r="S74" s="16"/>
      <c r="T74" s="16"/>
      <c r="U74" s="16"/>
      <c r="V74" s="16"/>
      <c r="W74" s="13"/>
      <c r="X74" s="13"/>
      <c r="Y74" s="13"/>
      <c r="Z74" s="30"/>
      <c r="AA74" s="30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2"/>
      <c r="L75" s="3"/>
      <c r="M75" s="3"/>
      <c r="N75" s="29"/>
      <c r="O75" s="29"/>
      <c r="P75" s="29"/>
      <c r="Q75" s="16"/>
      <c r="R75" s="16"/>
      <c r="S75" s="16"/>
      <c r="T75" s="16"/>
      <c r="U75" s="16"/>
      <c r="V75" s="16"/>
      <c r="W75" s="13"/>
      <c r="X75" s="13"/>
      <c r="Y75" s="13"/>
      <c r="Z75" s="30"/>
      <c r="AA75" s="30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2"/>
      <c r="L76" s="3"/>
      <c r="M76" s="3"/>
      <c r="N76" s="29"/>
      <c r="O76" s="29"/>
      <c r="P76" s="29"/>
      <c r="Q76" s="16"/>
      <c r="R76" s="16"/>
      <c r="S76" s="16"/>
      <c r="T76" s="16"/>
      <c r="U76" s="16"/>
      <c r="V76" s="16"/>
      <c r="W76" s="13"/>
      <c r="X76" s="13"/>
      <c r="Y76" s="13"/>
      <c r="Z76" s="30"/>
      <c r="AA76" s="30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2"/>
      <c r="L77" s="3"/>
      <c r="M77" s="3"/>
      <c r="N77" s="29"/>
      <c r="O77" s="29"/>
      <c r="P77" s="29"/>
      <c r="Q77" s="16"/>
      <c r="R77" s="16"/>
      <c r="S77" s="16"/>
      <c r="T77" s="16"/>
      <c r="U77" s="16"/>
      <c r="V77" s="16"/>
      <c r="W77" s="13"/>
      <c r="X77" s="13"/>
      <c r="Y77" s="13"/>
      <c r="Z77" s="30"/>
      <c r="AA77" s="30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2"/>
      <c r="L78" s="3"/>
      <c r="M78" s="3"/>
      <c r="N78" s="29"/>
      <c r="O78" s="29"/>
      <c r="P78" s="29"/>
      <c r="Q78" s="16"/>
      <c r="R78" s="16"/>
      <c r="S78" s="16"/>
      <c r="T78" s="16"/>
      <c r="U78" s="16"/>
      <c r="V78" s="16"/>
      <c r="W78" s="13"/>
      <c r="X78" s="13"/>
      <c r="Y78" s="13"/>
      <c r="Z78" s="30"/>
      <c r="AA78" s="30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2"/>
      <c r="L79" s="3"/>
      <c r="M79" s="3"/>
      <c r="N79" s="29"/>
      <c r="O79" s="29"/>
      <c r="P79" s="29"/>
      <c r="Q79" s="16"/>
      <c r="R79" s="16"/>
      <c r="S79" s="16"/>
      <c r="T79" s="16"/>
      <c r="U79" s="16"/>
      <c r="V79" s="16"/>
      <c r="W79" s="13"/>
      <c r="X79" s="13"/>
      <c r="Y79" s="13"/>
      <c r="Z79" s="30"/>
      <c r="AA79" s="30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2"/>
      <c r="L80" s="3"/>
      <c r="M80" s="3"/>
      <c r="N80" s="29"/>
      <c r="O80" s="29"/>
      <c r="P80" s="29"/>
      <c r="Q80" s="16"/>
      <c r="R80" s="16"/>
      <c r="S80" s="16"/>
      <c r="T80" s="16"/>
      <c r="U80" s="16"/>
      <c r="V80" s="16"/>
      <c r="W80" s="13"/>
      <c r="X80" s="13"/>
      <c r="Y80" s="13"/>
      <c r="Z80" s="30"/>
      <c r="AA80" s="30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2"/>
      <c r="L81" s="3"/>
      <c r="M81" s="3"/>
      <c r="N81" s="29"/>
      <c r="O81" s="29"/>
      <c r="P81" s="29"/>
      <c r="Q81" s="16"/>
      <c r="R81" s="16"/>
      <c r="S81" s="16"/>
      <c r="T81" s="16"/>
      <c r="U81" s="16"/>
      <c r="V81" s="16"/>
      <c r="W81" s="13"/>
      <c r="X81" s="13"/>
      <c r="Y81" s="13"/>
      <c r="Z81" s="30"/>
      <c r="AA81" s="30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2"/>
      <c r="L82" s="3"/>
      <c r="M82" s="3"/>
      <c r="N82" s="29"/>
      <c r="O82" s="29"/>
      <c r="P82" s="29"/>
      <c r="Q82" s="16"/>
      <c r="R82" s="16"/>
      <c r="S82" s="16"/>
      <c r="T82" s="16"/>
      <c r="U82" s="16"/>
      <c r="V82" s="16"/>
      <c r="W82" s="13"/>
      <c r="X82" s="13"/>
      <c r="Y82" s="13"/>
      <c r="Z82" s="30"/>
      <c r="AA82" s="30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2"/>
      <c r="L83" s="3"/>
      <c r="M83" s="3"/>
      <c r="N83" s="29"/>
      <c r="O83" s="29"/>
      <c r="P83" s="29"/>
      <c r="Q83" s="16"/>
      <c r="R83" s="16"/>
      <c r="S83" s="16"/>
      <c r="T83" s="16"/>
      <c r="U83" s="16"/>
      <c r="V83" s="16"/>
      <c r="W83" s="13"/>
      <c r="X83" s="13"/>
      <c r="Y83" s="13"/>
      <c r="Z83" s="30"/>
      <c r="AA83" s="30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2"/>
      <c r="L84" s="3"/>
      <c r="M84" s="3"/>
      <c r="N84" s="29"/>
      <c r="O84" s="29"/>
      <c r="P84" s="29"/>
      <c r="Q84" s="16"/>
      <c r="R84" s="16"/>
      <c r="S84" s="16"/>
      <c r="T84" s="16"/>
      <c r="U84" s="16"/>
      <c r="V84" s="16"/>
      <c r="W84" s="13"/>
      <c r="X84" s="13"/>
      <c r="Y84" s="13"/>
      <c r="Z84" s="30"/>
      <c r="AA84" s="30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2"/>
      <c r="L85" s="3"/>
      <c r="M85" s="3"/>
      <c r="N85" s="29"/>
      <c r="O85" s="29"/>
      <c r="P85" s="29"/>
      <c r="Q85" s="16"/>
      <c r="R85" s="16"/>
      <c r="S85" s="16"/>
      <c r="T85" s="16"/>
      <c r="U85" s="16"/>
      <c r="V85" s="16"/>
      <c r="W85" s="13"/>
      <c r="X85" s="13"/>
      <c r="Y85" s="13"/>
      <c r="Z85" s="30"/>
      <c r="AA85" s="30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2"/>
      <c r="L86" s="3"/>
      <c r="M86" s="3"/>
      <c r="N86" s="29"/>
      <c r="O86" s="29"/>
      <c r="P86" s="29"/>
      <c r="Q86" s="16"/>
      <c r="R86" s="16"/>
      <c r="S86" s="16"/>
      <c r="T86" s="16"/>
      <c r="U86" s="16"/>
      <c r="V86" s="16"/>
      <c r="W86" s="13"/>
      <c r="X86" s="13"/>
      <c r="Y86" s="13"/>
      <c r="Z86" s="30"/>
      <c r="AA86" s="30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2"/>
      <c r="L87" s="3"/>
      <c r="M87" s="3"/>
      <c r="N87" s="29"/>
      <c r="O87" s="29"/>
      <c r="P87" s="29"/>
      <c r="Q87" s="16"/>
      <c r="R87" s="16"/>
      <c r="S87" s="16"/>
      <c r="T87" s="16"/>
      <c r="U87" s="16"/>
      <c r="V87" s="16"/>
      <c r="W87" s="13"/>
      <c r="X87" s="13"/>
      <c r="Y87" s="13"/>
      <c r="Z87" s="30"/>
      <c r="AA87" s="30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2"/>
      <c r="L88" s="3"/>
      <c r="M88" s="3"/>
      <c r="N88" s="29"/>
      <c r="O88" s="29"/>
      <c r="P88" s="29"/>
      <c r="Q88" s="16"/>
      <c r="R88" s="16"/>
      <c r="S88" s="16"/>
      <c r="T88" s="16"/>
      <c r="U88" s="16"/>
      <c r="V88" s="16"/>
      <c r="W88" s="13"/>
      <c r="X88" s="13"/>
      <c r="Y88" s="13"/>
      <c r="Z88" s="30"/>
      <c r="AA88" s="30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2"/>
      <c r="L89" s="3"/>
      <c r="M89" s="3"/>
      <c r="N89" s="29"/>
      <c r="O89" s="29"/>
      <c r="P89" s="29"/>
      <c r="Q89" s="16"/>
      <c r="R89" s="16"/>
      <c r="S89" s="16"/>
      <c r="T89" s="16"/>
      <c r="U89" s="16"/>
      <c r="V89" s="16"/>
      <c r="W89" s="13"/>
      <c r="X89" s="13"/>
      <c r="Y89" s="13"/>
      <c r="Z89" s="30"/>
      <c r="AA89" s="30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2"/>
      <c r="L90" s="3"/>
      <c r="M90" s="3"/>
      <c r="N90" s="29"/>
      <c r="O90" s="29"/>
      <c r="P90" s="29"/>
      <c r="Q90" s="16"/>
      <c r="R90" s="16"/>
      <c r="S90" s="16"/>
      <c r="T90" s="16"/>
      <c r="U90" s="16"/>
      <c r="V90" s="16"/>
      <c r="W90" s="13"/>
      <c r="X90" s="13"/>
      <c r="Y90" s="13"/>
      <c r="Z90" s="30"/>
      <c r="AA90" s="30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2"/>
      <c r="L91" s="3"/>
      <c r="M91" s="3"/>
      <c r="N91" s="29"/>
      <c r="O91" s="29"/>
      <c r="P91" s="29"/>
      <c r="Q91" s="16"/>
      <c r="R91" s="16"/>
      <c r="S91" s="16"/>
      <c r="T91" s="16"/>
      <c r="U91" s="16"/>
      <c r="V91" s="16"/>
      <c r="W91" s="13"/>
      <c r="X91" s="13"/>
      <c r="Y91" s="13"/>
      <c r="Z91" s="30"/>
      <c r="AA91" s="30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2"/>
      <c r="L92" s="3"/>
      <c r="M92" s="3"/>
      <c r="N92" s="29"/>
      <c r="O92" s="29"/>
      <c r="P92" s="29"/>
      <c r="Q92" s="16"/>
      <c r="R92" s="16"/>
      <c r="S92" s="16"/>
      <c r="T92" s="16"/>
      <c r="U92" s="16"/>
      <c r="V92" s="16"/>
      <c r="W92" s="13"/>
      <c r="X92" s="13"/>
      <c r="Y92" s="13"/>
      <c r="Z92" s="30"/>
      <c r="AA92" s="30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2"/>
      <c r="L93" s="3"/>
      <c r="M93" s="3"/>
      <c r="N93" s="29"/>
      <c r="O93" s="29"/>
      <c r="P93" s="29"/>
      <c r="Q93" s="16"/>
      <c r="R93" s="16"/>
      <c r="S93" s="16"/>
      <c r="T93" s="16"/>
      <c r="U93" s="16"/>
      <c r="V93" s="16"/>
      <c r="W93" s="13"/>
      <c r="X93" s="13"/>
      <c r="Y93" s="13"/>
      <c r="Z93" s="30"/>
      <c r="AA93" s="30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2"/>
      <c r="L94" s="3"/>
      <c r="M94" s="3"/>
      <c r="N94" s="29"/>
      <c r="O94" s="29"/>
      <c r="P94" s="29"/>
      <c r="Q94" s="16"/>
      <c r="R94" s="16"/>
      <c r="S94" s="16"/>
      <c r="T94" s="16"/>
      <c r="U94" s="16"/>
      <c r="V94" s="16"/>
      <c r="W94" s="13"/>
      <c r="X94" s="13"/>
      <c r="Y94" s="13"/>
      <c r="Z94" s="30"/>
      <c r="AA94" s="30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2"/>
      <c r="L95" s="3"/>
      <c r="M95" s="3"/>
      <c r="N95" s="29"/>
      <c r="O95" s="29"/>
      <c r="P95" s="29"/>
      <c r="Q95" s="16"/>
      <c r="R95" s="16"/>
      <c r="S95" s="16"/>
      <c r="T95" s="16"/>
      <c r="U95" s="16"/>
      <c r="V95" s="16"/>
      <c r="W95" s="13"/>
      <c r="X95" s="13"/>
      <c r="Y95" s="13"/>
      <c r="Z95" s="30"/>
      <c r="AA95" s="30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2"/>
      <c r="L96" s="3"/>
      <c r="M96" s="3"/>
      <c r="N96" s="29"/>
      <c r="O96" s="29"/>
      <c r="P96" s="29"/>
      <c r="Q96" s="16"/>
      <c r="R96" s="16"/>
      <c r="S96" s="16"/>
      <c r="T96" s="16"/>
      <c r="U96" s="16"/>
      <c r="V96" s="16"/>
      <c r="W96" s="13"/>
      <c r="X96" s="13"/>
      <c r="Y96" s="13"/>
      <c r="Z96" s="30"/>
      <c r="AA96" s="30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2"/>
      <c r="L97" s="3"/>
      <c r="M97" s="3"/>
      <c r="N97" s="29"/>
      <c r="O97" s="29"/>
      <c r="P97" s="29"/>
      <c r="Q97" s="16"/>
      <c r="R97" s="16"/>
      <c r="S97" s="16"/>
      <c r="T97" s="16"/>
      <c r="U97" s="16"/>
      <c r="V97" s="16"/>
      <c r="W97" s="13"/>
      <c r="X97" s="13"/>
      <c r="Y97" s="13"/>
      <c r="Z97" s="30"/>
      <c r="AA97" s="30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2"/>
      <c r="L98" s="3"/>
      <c r="M98" s="3"/>
      <c r="N98" s="29"/>
      <c r="O98" s="29"/>
      <c r="P98" s="29"/>
      <c r="Q98" s="16"/>
      <c r="R98" s="16"/>
      <c r="S98" s="16"/>
      <c r="T98" s="16"/>
      <c r="U98" s="16"/>
      <c r="V98" s="16"/>
      <c r="W98" s="13"/>
      <c r="X98" s="13"/>
      <c r="Y98" s="13"/>
      <c r="Z98" s="30"/>
      <c r="AA98" s="30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2"/>
      <c r="L99" s="3"/>
      <c r="M99" s="3"/>
      <c r="N99" s="29"/>
      <c r="O99" s="29"/>
      <c r="P99" s="29"/>
      <c r="Q99" s="16"/>
      <c r="R99" s="16"/>
      <c r="S99" s="16"/>
      <c r="T99" s="16"/>
      <c r="U99" s="16"/>
      <c r="V99" s="16"/>
      <c r="W99" s="13"/>
      <c r="X99" s="13"/>
      <c r="Y99" s="13"/>
      <c r="Z99" s="30"/>
      <c r="AA99" s="30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2"/>
      <c r="L100" s="3"/>
      <c r="M100" s="3"/>
      <c r="N100" s="29"/>
      <c r="O100" s="29"/>
      <c r="P100" s="29"/>
      <c r="Q100" s="16"/>
      <c r="R100" s="16"/>
      <c r="S100" s="16"/>
      <c r="T100" s="16"/>
      <c r="U100" s="16"/>
      <c r="V100" s="16"/>
      <c r="W100" s="13"/>
      <c r="X100" s="13"/>
      <c r="Y100" s="13"/>
      <c r="Z100" s="30"/>
      <c r="AA100" s="30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2"/>
      <c r="L101" s="3"/>
      <c r="M101" s="3"/>
      <c r="N101" s="29"/>
      <c r="O101" s="29"/>
      <c r="P101" s="29"/>
      <c r="Q101" s="16"/>
      <c r="R101" s="16"/>
      <c r="S101" s="16"/>
      <c r="T101" s="16"/>
      <c r="U101" s="16"/>
      <c r="V101" s="16"/>
      <c r="W101" s="13"/>
      <c r="X101" s="13"/>
      <c r="Y101" s="13"/>
      <c r="Z101" s="30"/>
      <c r="AA101" s="30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2"/>
      <c r="L102" s="3"/>
      <c r="M102" s="3"/>
      <c r="N102" s="29"/>
      <c r="O102" s="29"/>
      <c r="P102" s="29"/>
      <c r="Q102" s="16"/>
      <c r="R102" s="16"/>
      <c r="S102" s="16"/>
      <c r="T102" s="16"/>
      <c r="U102" s="16"/>
      <c r="V102" s="16"/>
      <c r="W102" s="13"/>
      <c r="X102" s="13"/>
      <c r="Y102" s="13"/>
      <c r="Z102" s="30"/>
      <c r="AA102" s="30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2"/>
      <c r="L103" s="3"/>
      <c r="M103" s="3"/>
      <c r="N103" s="29"/>
      <c r="O103" s="29"/>
      <c r="P103" s="29"/>
      <c r="Q103" s="16"/>
      <c r="R103" s="16"/>
      <c r="S103" s="16"/>
      <c r="T103" s="16"/>
      <c r="U103" s="16"/>
      <c r="V103" s="16"/>
      <c r="W103" s="13"/>
      <c r="X103" s="13"/>
      <c r="Y103" s="13"/>
      <c r="Z103" s="30"/>
      <c r="AA103" s="30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2"/>
      <c r="L104" s="3"/>
      <c r="M104" s="3"/>
      <c r="N104" s="29"/>
      <c r="O104" s="29"/>
      <c r="P104" s="29"/>
      <c r="Q104" s="16"/>
      <c r="R104" s="16"/>
      <c r="S104" s="16"/>
      <c r="T104" s="16"/>
      <c r="U104" s="16"/>
      <c r="V104" s="16"/>
      <c r="W104" s="13"/>
      <c r="X104" s="13"/>
      <c r="Y104" s="13"/>
      <c r="Z104" s="30"/>
      <c r="AA104" s="30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2"/>
      <c r="L105" s="3"/>
      <c r="M105" s="3"/>
      <c r="N105" s="29"/>
      <c r="O105" s="29"/>
      <c r="P105" s="29"/>
      <c r="Q105" s="16"/>
      <c r="R105" s="16"/>
      <c r="S105" s="16"/>
      <c r="T105" s="16"/>
      <c r="U105" s="16"/>
      <c r="V105" s="16"/>
      <c r="W105" s="13"/>
      <c r="X105" s="13"/>
      <c r="Y105" s="13"/>
      <c r="Z105" s="30"/>
      <c r="AA105" s="30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2"/>
      <c r="L106" s="3"/>
      <c r="M106" s="3"/>
      <c r="N106" s="29"/>
      <c r="O106" s="29"/>
      <c r="P106" s="29"/>
      <c r="Q106" s="16"/>
      <c r="R106" s="16"/>
      <c r="S106" s="16"/>
      <c r="T106" s="16"/>
      <c r="U106" s="16"/>
      <c r="V106" s="16"/>
      <c r="W106" s="13"/>
      <c r="X106" s="13"/>
      <c r="Y106" s="13"/>
      <c r="Z106" s="30"/>
      <c r="AA106" s="30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2"/>
      <c r="L107" s="3"/>
      <c r="M107" s="3"/>
      <c r="N107" s="29"/>
      <c r="O107" s="29"/>
      <c r="P107" s="29"/>
      <c r="Q107" s="16"/>
      <c r="R107" s="16"/>
      <c r="S107" s="16"/>
      <c r="T107" s="16"/>
      <c r="U107" s="16"/>
      <c r="V107" s="16"/>
      <c r="W107" s="13"/>
      <c r="X107" s="13"/>
      <c r="Y107" s="13"/>
      <c r="Z107" s="30"/>
      <c r="AA107" s="30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2"/>
      <c r="L108" s="3"/>
      <c r="M108" s="3"/>
      <c r="N108" s="29"/>
      <c r="O108" s="29"/>
      <c r="P108" s="29"/>
      <c r="Q108" s="16"/>
      <c r="R108" s="16"/>
      <c r="S108" s="16"/>
      <c r="T108" s="16"/>
      <c r="U108" s="16"/>
      <c r="V108" s="16"/>
      <c r="W108" s="13"/>
      <c r="X108" s="13"/>
      <c r="Y108" s="13"/>
      <c r="Z108" s="30"/>
      <c r="AA108" s="30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2"/>
      <c r="L109" s="3"/>
      <c r="M109" s="3"/>
      <c r="N109" s="29"/>
      <c r="O109" s="29"/>
      <c r="P109" s="29"/>
      <c r="Q109" s="16"/>
      <c r="R109" s="16"/>
      <c r="S109" s="16"/>
      <c r="T109" s="16"/>
      <c r="U109" s="16"/>
      <c r="V109" s="16"/>
      <c r="W109" s="13"/>
      <c r="X109" s="13"/>
      <c r="Y109" s="13"/>
      <c r="Z109" s="30"/>
      <c r="AA109" s="30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2"/>
      <c r="L110" s="3"/>
      <c r="M110" s="3"/>
      <c r="N110" s="29"/>
      <c r="O110" s="29"/>
      <c r="P110" s="29"/>
      <c r="Q110" s="16"/>
      <c r="R110" s="16"/>
      <c r="S110" s="16"/>
      <c r="T110" s="16"/>
      <c r="U110" s="16"/>
      <c r="V110" s="16"/>
      <c r="W110" s="13"/>
      <c r="X110" s="13"/>
      <c r="Y110" s="13"/>
      <c r="Z110" s="30"/>
      <c r="AA110" s="30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2"/>
      <c r="L111" s="3"/>
      <c r="M111" s="3"/>
      <c r="N111" s="29"/>
      <c r="O111" s="29"/>
      <c r="P111" s="29"/>
      <c r="Q111" s="16"/>
      <c r="R111" s="16"/>
      <c r="S111" s="16"/>
      <c r="T111" s="16"/>
      <c r="U111" s="16"/>
      <c r="V111" s="16"/>
      <c r="W111" s="13"/>
      <c r="X111" s="13"/>
      <c r="Y111" s="13"/>
      <c r="Z111" s="30"/>
      <c r="AA111" s="30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2"/>
      <c r="L112" s="3"/>
      <c r="M112" s="3"/>
      <c r="N112" s="29"/>
      <c r="O112" s="29"/>
      <c r="P112" s="29"/>
      <c r="Q112" s="16"/>
      <c r="R112" s="16"/>
      <c r="S112" s="16"/>
      <c r="T112" s="16"/>
      <c r="U112" s="16"/>
      <c r="V112" s="16"/>
      <c r="W112" s="13"/>
      <c r="X112" s="13"/>
      <c r="Y112" s="13"/>
      <c r="Z112" s="30"/>
      <c r="AA112" s="30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2"/>
      <c r="L113" s="3"/>
      <c r="M113" s="3"/>
      <c r="N113" s="29"/>
      <c r="O113" s="29"/>
      <c r="P113" s="29"/>
      <c r="Q113" s="16"/>
      <c r="R113" s="16"/>
      <c r="S113" s="16"/>
      <c r="T113" s="16"/>
      <c r="U113" s="16"/>
      <c r="V113" s="16"/>
      <c r="W113" s="13"/>
      <c r="X113" s="13"/>
      <c r="Y113" s="13"/>
      <c r="Z113" s="30"/>
      <c r="AA113" s="30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2"/>
      <c r="L114" s="3"/>
      <c r="M114" s="3"/>
      <c r="N114" s="29"/>
      <c r="O114" s="29"/>
      <c r="P114" s="29"/>
      <c r="Q114" s="16"/>
      <c r="R114" s="16"/>
      <c r="S114" s="16"/>
      <c r="T114" s="16"/>
      <c r="U114" s="16"/>
      <c r="V114" s="16"/>
      <c r="W114" s="13"/>
      <c r="X114" s="13"/>
      <c r="Y114" s="13"/>
      <c r="Z114" s="30"/>
      <c r="AA114" s="30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2"/>
      <c r="L115" s="3"/>
      <c r="M115" s="3"/>
      <c r="N115" s="29"/>
      <c r="O115" s="29"/>
      <c r="P115" s="29"/>
      <c r="Q115" s="16"/>
      <c r="R115" s="16"/>
      <c r="S115" s="16"/>
      <c r="T115" s="16"/>
      <c r="U115" s="16"/>
      <c r="V115" s="16"/>
      <c r="W115" s="13"/>
      <c r="X115" s="13"/>
      <c r="Y115" s="13"/>
      <c r="Z115" s="30"/>
      <c r="AA115" s="30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2"/>
      <c r="L116" s="3"/>
      <c r="M116" s="3"/>
      <c r="N116" s="29"/>
      <c r="O116" s="29"/>
      <c r="P116" s="29"/>
      <c r="Q116" s="16"/>
      <c r="R116" s="16"/>
      <c r="S116" s="16"/>
      <c r="T116" s="16"/>
      <c r="U116" s="16"/>
      <c r="V116" s="16"/>
      <c r="W116" s="13"/>
      <c r="X116" s="13"/>
      <c r="Y116" s="13"/>
      <c r="Z116" s="30"/>
      <c r="AA116" s="30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2"/>
      <c r="L117" s="3"/>
      <c r="M117" s="3"/>
      <c r="N117" s="29"/>
      <c r="O117" s="29"/>
      <c r="P117" s="29"/>
      <c r="Q117" s="16"/>
      <c r="R117" s="16"/>
      <c r="S117" s="16"/>
      <c r="T117" s="16"/>
      <c r="U117" s="16"/>
      <c r="V117" s="16"/>
      <c r="W117" s="13"/>
      <c r="X117" s="13"/>
      <c r="Y117" s="13"/>
      <c r="Z117" s="30"/>
      <c r="AA117" s="30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2"/>
      <c r="L118" s="3"/>
      <c r="M118" s="3"/>
      <c r="N118" s="29"/>
      <c r="O118" s="29"/>
      <c r="P118" s="29"/>
      <c r="Q118" s="16"/>
      <c r="R118" s="16"/>
      <c r="S118" s="16"/>
      <c r="T118" s="16"/>
      <c r="U118" s="16"/>
      <c r="V118" s="16"/>
      <c r="W118" s="13"/>
      <c r="X118" s="13"/>
      <c r="Y118" s="13"/>
      <c r="Z118" s="30"/>
      <c r="AA118" s="30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2"/>
      <c r="L119" s="3"/>
      <c r="M119" s="3"/>
      <c r="N119" s="29"/>
      <c r="O119" s="29"/>
      <c r="P119" s="29"/>
      <c r="Q119" s="16"/>
      <c r="R119" s="16"/>
      <c r="S119" s="16"/>
      <c r="T119" s="16"/>
      <c r="U119" s="16"/>
      <c r="V119" s="16"/>
      <c r="W119" s="13"/>
      <c r="X119" s="13"/>
      <c r="Y119" s="13"/>
      <c r="Z119" s="30"/>
      <c r="AA119" s="30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2"/>
      <c r="L120" s="3"/>
      <c r="M120" s="3"/>
      <c r="N120" s="29"/>
      <c r="O120" s="29"/>
      <c r="P120" s="29"/>
      <c r="Q120" s="16"/>
      <c r="R120" s="16"/>
      <c r="S120" s="16"/>
      <c r="T120" s="16"/>
      <c r="U120" s="16"/>
      <c r="V120" s="16"/>
      <c r="W120" s="13"/>
      <c r="X120" s="13"/>
      <c r="Y120" s="13"/>
      <c r="Z120" s="30"/>
      <c r="AA120" s="30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2"/>
      <c r="L121" s="3"/>
      <c r="M121" s="3"/>
      <c r="N121" s="29"/>
      <c r="O121" s="29"/>
      <c r="P121" s="29"/>
      <c r="Q121" s="16"/>
      <c r="R121" s="16"/>
      <c r="S121" s="16"/>
      <c r="T121" s="16"/>
      <c r="U121" s="16"/>
      <c r="V121" s="16"/>
      <c r="W121" s="13"/>
      <c r="X121" s="13"/>
      <c r="Y121" s="13"/>
      <c r="Z121" s="30"/>
      <c r="AA121" s="30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2"/>
      <c r="L122" s="3"/>
      <c r="M122" s="3"/>
      <c r="N122" s="29"/>
      <c r="O122" s="29"/>
      <c r="P122" s="29"/>
      <c r="Q122" s="16"/>
      <c r="R122" s="16"/>
      <c r="S122" s="16"/>
      <c r="T122" s="16"/>
      <c r="U122" s="16"/>
      <c r="V122" s="16"/>
      <c r="W122" s="13"/>
      <c r="X122" s="13"/>
      <c r="Y122" s="13"/>
      <c r="Z122" s="30"/>
      <c r="AA122" s="30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2"/>
      <c r="L123" s="3"/>
      <c r="M123" s="3"/>
      <c r="N123" s="29"/>
      <c r="O123" s="29"/>
      <c r="P123" s="29"/>
      <c r="Q123" s="16"/>
      <c r="R123" s="16"/>
      <c r="S123" s="16"/>
      <c r="T123" s="16"/>
      <c r="U123" s="16"/>
      <c r="V123" s="16"/>
      <c r="W123" s="13"/>
      <c r="X123" s="13"/>
      <c r="Y123" s="13"/>
      <c r="Z123" s="30"/>
      <c r="AA123" s="30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2"/>
      <c r="L124" s="3"/>
      <c r="M124" s="3"/>
      <c r="N124" s="29"/>
      <c r="O124" s="29"/>
      <c r="P124" s="29"/>
      <c r="Q124" s="16"/>
      <c r="R124" s="16"/>
      <c r="S124" s="16"/>
      <c r="T124" s="16"/>
      <c r="U124" s="16"/>
      <c r="V124" s="16"/>
      <c r="W124" s="13"/>
      <c r="X124" s="13"/>
      <c r="Y124" s="13"/>
      <c r="Z124" s="30"/>
      <c r="AA124" s="30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2"/>
      <c r="L125" s="3"/>
      <c r="M125" s="3"/>
      <c r="N125" s="29"/>
      <c r="O125" s="29"/>
      <c r="P125" s="29"/>
      <c r="Q125" s="16"/>
      <c r="R125" s="16"/>
      <c r="S125" s="16"/>
      <c r="T125" s="16"/>
      <c r="U125" s="16"/>
      <c r="V125" s="16"/>
      <c r="W125" s="13"/>
      <c r="X125" s="13"/>
      <c r="Y125" s="13"/>
      <c r="Z125" s="30"/>
      <c r="AA125" s="30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</row>
    <row r="126" spans="1:74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2"/>
      <c r="L126" s="3"/>
      <c r="M126" s="3"/>
      <c r="N126" s="29"/>
      <c r="O126" s="29"/>
      <c r="P126" s="29"/>
      <c r="Q126" s="16"/>
      <c r="R126" s="16"/>
      <c r="S126" s="16"/>
      <c r="T126" s="16"/>
      <c r="U126" s="16"/>
      <c r="V126" s="16"/>
      <c r="W126" s="13"/>
      <c r="X126" s="13"/>
      <c r="Y126" s="13"/>
      <c r="Z126" s="30"/>
      <c r="AA126" s="30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</row>
    <row r="127" spans="1:74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2"/>
      <c r="L127" s="3"/>
      <c r="M127" s="3"/>
      <c r="N127" s="29"/>
      <c r="O127" s="29"/>
      <c r="P127" s="29"/>
      <c r="Q127" s="16"/>
      <c r="R127" s="16"/>
      <c r="S127" s="16"/>
      <c r="T127" s="16"/>
      <c r="U127" s="16"/>
      <c r="V127" s="16"/>
      <c r="W127" s="13"/>
      <c r="X127" s="13"/>
      <c r="Y127" s="13"/>
      <c r="Z127" s="30"/>
      <c r="AA127" s="30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</row>
    <row r="128" spans="1:74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2"/>
      <c r="L128" s="3"/>
      <c r="M128" s="3"/>
      <c r="N128" s="29"/>
      <c r="O128" s="29"/>
      <c r="P128" s="29"/>
      <c r="Q128" s="16"/>
      <c r="R128" s="16"/>
      <c r="S128" s="16"/>
      <c r="T128" s="16"/>
      <c r="U128" s="16"/>
      <c r="V128" s="16"/>
      <c r="W128" s="13"/>
      <c r="X128" s="13"/>
      <c r="Y128" s="13"/>
      <c r="Z128" s="30"/>
      <c r="AA128" s="30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</row>
    <row r="129" spans="1:74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2"/>
      <c r="L129" s="3"/>
      <c r="M129" s="3"/>
      <c r="N129" s="29"/>
      <c r="O129" s="29"/>
      <c r="P129" s="29"/>
      <c r="Q129" s="16"/>
      <c r="R129" s="16"/>
      <c r="S129" s="16"/>
      <c r="T129" s="16"/>
      <c r="U129" s="16"/>
      <c r="V129" s="16"/>
      <c r="W129" s="13"/>
      <c r="X129" s="13"/>
      <c r="Y129" s="13"/>
      <c r="Z129" s="30"/>
      <c r="AA129" s="30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</row>
    <row r="130" spans="1:74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2"/>
      <c r="L130" s="3"/>
      <c r="M130" s="3"/>
      <c r="N130" s="29"/>
      <c r="O130" s="29"/>
      <c r="P130" s="29"/>
      <c r="Q130" s="16"/>
      <c r="R130" s="16"/>
      <c r="S130" s="16"/>
      <c r="T130" s="16"/>
      <c r="U130" s="16"/>
      <c r="V130" s="16"/>
      <c r="W130" s="13"/>
      <c r="X130" s="13"/>
      <c r="Y130" s="13"/>
      <c r="Z130" s="30"/>
      <c r="AA130" s="30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</row>
    <row r="131" spans="1:74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2"/>
      <c r="L131" s="3"/>
      <c r="M131" s="3"/>
      <c r="N131" s="29"/>
      <c r="O131" s="29"/>
      <c r="P131" s="29"/>
      <c r="Q131" s="16"/>
      <c r="R131" s="16"/>
      <c r="S131" s="16"/>
      <c r="T131" s="16"/>
      <c r="U131" s="16"/>
      <c r="V131" s="16"/>
      <c r="W131" s="13"/>
      <c r="X131" s="13"/>
      <c r="Y131" s="13"/>
      <c r="Z131" s="30"/>
      <c r="AA131" s="30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</row>
    <row r="132" spans="1:74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2"/>
      <c r="L132" s="3"/>
      <c r="M132" s="3"/>
      <c r="N132" s="29"/>
      <c r="O132" s="29"/>
      <c r="P132" s="29"/>
      <c r="Q132" s="16"/>
      <c r="R132" s="16"/>
      <c r="S132" s="16"/>
      <c r="T132" s="16"/>
      <c r="U132" s="16"/>
      <c r="V132" s="16"/>
      <c r="W132" s="13"/>
      <c r="X132" s="13"/>
      <c r="Y132" s="13"/>
      <c r="Z132" s="30"/>
      <c r="AA132" s="30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</row>
    <row r="133" spans="1:74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2"/>
      <c r="L133" s="3"/>
      <c r="M133" s="3"/>
      <c r="N133" s="29"/>
      <c r="O133" s="29"/>
      <c r="P133" s="29"/>
      <c r="Q133" s="16"/>
      <c r="R133" s="16"/>
      <c r="S133" s="16"/>
      <c r="T133" s="16"/>
      <c r="U133" s="16"/>
      <c r="V133" s="16"/>
      <c r="W133" s="13"/>
      <c r="X133" s="13"/>
      <c r="Y133" s="13"/>
      <c r="Z133" s="30"/>
      <c r="AA133" s="30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</row>
    <row r="134" spans="1:74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2"/>
      <c r="L134" s="3"/>
      <c r="M134" s="3"/>
      <c r="N134" s="29"/>
      <c r="O134" s="29"/>
      <c r="P134" s="29"/>
      <c r="Q134" s="16"/>
      <c r="R134" s="16"/>
      <c r="S134" s="16"/>
      <c r="T134" s="16"/>
      <c r="U134" s="16"/>
      <c r="V134" s="16"/>
      <c r="W134" s="13"/>
      <c r="X134" s="13"/>
      <c r="Y134" s="13"/>
      <c r="Z134" s="30"/>
      <c r="AA134" s="30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</row>
    <row r="135" spans="1:74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2"/>
      <c r="L135" s="3"/>
      <c r="M135" s="3"/>
      <c r="N135" s="29"/>
      <c r="O135" s="29"/>
      <c r="P135" s="29"/>
      <c r="Q135" s="16"/>
      <c r="R135" s="16"/>
      <c r="S135" s="16"/>
      <c r="T135" s="16"/>
      <c r="U135" s="16"/>
      <c r="V135" s="16"/>
      <c r="W135" s="13"/>
      <c r="X135" s="13"/>
      <c r="Y135" s="13"/>
      <c r="Z135" s="30"/>
      <c r="AA135" s="30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</row>
    <row r="136" spans="1:74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2"/>
      <c r="L136" s="3"/>
      <c r="M136" s="3"/>
      <c r="N136" s="29"/>
      <c r="O136" s="29"/>
      <c r="P136" s="29"/>
      <c r="Q136" s="16"/>
      <c r="R136" s="16"/>
      <c r="S136" s="16"/>
      <c r="T136" s="16"/>
      <c r="U136" s="16"/>
      <c r="V136" s="16"/>
      <c r="W136" s="13"/>
      <c r="X136" s="13"/>
      <c r="Y136" s="13"/>
      <c r="Z136" s="30"/>
      <c r="AA136" s="30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</row>
    <row r="137" spans="1:74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2"/>
      <c r="L137" s="3"/>
      <c r="M137" s="3"/>
      <c r="N137" s="29"/>
      <c r="O137" s="29"/>
      <c r="P137" s="29"/>
      <c r="Q137" s="16"/>
      <c r="R137" s="16"/>
      <c r="S137" s="16"/>
      <c r="T137" s="16"/>
      <c r="U137" s="16"/>
      <c r="V137" s="16"/>
      <c r="W137" s="13"/>
      <c r="X137" s="13"/>
      <c r="Y137" s="13"/>
      <c r="Z137" s="30"/>
      <c r="AA137" s="30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</row>
    <row r="138" spans="1:74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2"/>
      <c r="L138" s="3"/>
      <c r="M138" s="3"/>
      <c r="N138" s="29"/>
      <c r="O138" s="29"/>
      <c r="P138" s="29"/>
      <c r="Q138" s="16"/>
      <c r="R138" s="16"/>
      <c r="S138" s="16"/>
      <c r="T138" s="16"/>
      <c r="U138" s="16"/>
      <c r="V138" s="16"/>
      <c r="W138" s="13"/>
      <c r="X138" s="13"/>
      <c r="Y138" s="13"/>
      <c r="Z138" s="30"/>
      <c r="AA138" s="30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</row>
    <row r="139" spans="1:74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2"/>
      <c r="L139" s="3"/>
      <c r="M139" s="3"/>
      <c r="N139" s="29"/>
      <c r="O139" s="29"/>
      <c r="P139" s="29"/>
      <c r="Q139" s="16"/>
      <c r="R139" s="16"/>
      <c r="S139" s="16"/>
      <c r="T139" s="16"/>
      <c r="U139" s="16"/>
      <c r="V139" s="16"/>
      <c r="W139" s="13"/>
      <c r="X139" s="13"/>
      <c r="Y139" s="13"/>
      <c r="Z139" s="30"/>
      <c r="AA139" s="30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</row>
    <row r="140" spans="1:74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2"/>
      <c r="L140" s="3"/>
      <c r="M140" s="3"/>
      <c r="N140" s="29"/>
      <c r="O140" s="29"/>
      <c r="P140" s="29"/>
      <c r="Q140" s="16"/>
      <c r="R140" s="16"/>
      <c r="S140" s="16"/>
      <c r="T140" s="16"/>
      <c r="U140" s="16"/>
      <c r="V140" s="16"/>
      <c r="W140" s="13"/>
      <c r="X140" s="13"/>
      <c r="Y140" s="13"/>
      <c r="Z140" s="30"/>
      <c r="AA140" s="30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</row>
    <row r="141" spans="1:74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2"/>
      <c r="L141" s="3"/>
      <c r="M141" s="3"/>
      <c r="N141" s="29"/>
      <c r="O141" s="29"/>
      <c r="P141" s="29"/>
      <c r="Q141" s="16"/>
      <c r="R141" s="16"/>
      <c r="S141" s="16"/>
      <c r="T141" s="16"/>
      <c r="U141" s="16"/>
      <c r="V141" s="16"/>
      <c r="W141" s="13"/>
      <c r="X141" s="13"/>
      <c r="Y141" s="13"/>
      <c r="Z141" s="30"/>
      <c r="AA141" s="30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</row>
    <row r="142" spans="1:74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2"/>
      <c r="L142" s="3"/>
      <c r="M142" s="3"/>
      <c r="N142" s="29"/>
      <c r="O142" s="29"/>
      <c r="P142" s="29"/>
      <c r="Q142" s="16"/>
      <c r="R142" s="16"/>
      <c r="S142" s="16"/>
      <c r="T142" s="16"/>
      <c r="U142" s="16"/>
      <c r="V142" s="16"/>
      <c r="W142" s="13"/>
      <c r="X142" s="13"/>
      <c r="Y142" s="13"/>
      <c r="Z142" s="30"/>
      <c r="AA142" s="30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</row>
    <row r="143" spans="1:74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2"/>
      <c r="L143" s="3"/>
      <c r="M143" s="3"/>
      <c r="N143" s="29"/>
      <c r="O143" s="29"/>
      <c r="P143" s="29"/>
      <c r="Q143" s="16"/>
      <c r="R143" s="16"/>
      <c r="S143" s="16"/>
      <c r="T143" s="16"/>
      <c r="U143" s="16"/>
      <c r="V143" s="16"/>
      <c r="W143" s="13"/>
      <c r="X143" s="13"/>
      <c r="Y143" s="13"/>
      <c r="Z143" s="30"/>
      <c r="AA143" s="30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</row>
    <row r="144" spans="1:74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2"/>
      <c r="L144" s="3"/>
      <c r="M144" s="3"/>
      <c r="N144" s="29"/>
      <c r="O144" s="29"/>
      <c r="P144" s="29"/>
      <c r="Q144" s="16"/>
      <c r="R144" s="16"/>
      <c r="S144" s="16"/>
      <c r="T144" s="16"/>
      <c r="U144" s="16"/>
      <c r="V144" s="16"/>
      <c r="W144" s="13"/>
      <c r="X144" s="13"/>
      <c r="Y144" s="13"/>
      <c r="Z144" s="30"/>
      <c r="AA144" s="30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</row>
    <row r="145" spans="1:74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2"/>
      <c r="L145" s="3"/>
      <c r="M145" s="3"/>
      <c r="N145" s="29"/>
      <c r="O145" s="29"/>
      <c r="P145" s="29"/>
      <c r="Q145" s="16"/>
      <c r="R145" s="16"/>
      <c r="S145" s="16"/>
      <c r="T145" s="16"/>
      <c r="U145" s="16"/>
      <c r="V145" s="16"/>
      <c r="W145" s="13"/>
      <c r="X145" s="13"/>
      <c r="Y145" s="13"/>
      <c r="Z145" s="30"/>
      <c r="AA145" s="30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</row>
    <row r="146" spans="1:74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2"/>
      <c r="L146" s="3"/>
      <c r="M146" s="3"/>
      <c r="N146" s="29"/>
      <c r="O146" s="29"/>
      <c r="P146" s="29"/>
      <c r="Q146" s="16"/>
      <c r="R146" s="16"/>
      <c r="S146" s="16"/>
      <c r="T146" s="16"/>
      <c r="U146" s="16"/>
      <c r="V146" s="16"/>
      <c r="W146" s="13"/>
      <c r="X146" s="13"/>
      <c r="Y146" s="13"/>
      <c r="Z146" s="30"/>
      <c r="AA146" s="30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</row>
    <row r="147" spans="1:74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2"/>
      <c r="L147" s="3"/>
      <c r="M147" s="3"/>
      <c r="N147" s="29"/>
      <c r="O147" s="29"/>
      <c r="P147" s="29"/>
      <c r="Q147" s="16"/>
      <c r="R147" s="16"/>
      <c r="S147" s="16"/>
      <c r="T147" s="16"/>
      <c r="U147" s="16"/>
      <c r="V147" s="16"/>
      <c r="W147" s="13"/>
      <c r="X147" s="13"/>
      <c r="Y147" s="13"/>
      <c r="Z147" s="30"/>
      <c r="AA147" s="30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</row>
    <row r="148" spans="1:74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2"/>
      <c r="L148" s="3"/>
      <c r="M148" s="3"/>
      <c r="N148" s="29"/>
      <c r="O148" s="29"/>
      <c r="P148" s="29"/>
      <c r="Q148" s="16"/>
      <c r="R148" s="16"/>
      <c r="S148" s="16"/>
      <c r="T148" s="16"/>
      <c r="U148" s="16"/>
      <c r="V148" s="16"/>
      <c r="W148" s="13"/>
      <c r="X148" s="13"/>
      <c r="Y148" s="13"/>
      <c r="Z148" s="30"/>
      <c r="AA148" s="30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</row>
    <row r="149" spans="1:74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2"/>
      <c r="L149" s="3"/>
      <c r="M149" s="3"/>
      <c r="N149" s="29"/>
      <c r="O149" s="29"/>
      <c r="P149" s="29"/>
      <c r="Q149" s="16"/>
      <c r="R149" s="16"/>
      <c r="S149" s="16"/>
      <c r="T149" s="16"/>
      <c r="U149" s="16"/>
      <c r="V149" s="16"/>
      <c r="W149" s="13"/>
      <c r="X149" s="13"/>
      <c r="Y149" s="13"/>
      <c r="Z149" s="30"/>
      <c r="AA149" s="30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</row>
    <row r="150" spans="1:74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2"/>
      <c r="L150" s="3"/>
      <c r="M150" s="3"/>
      <c r="N150" s="29"/>
      <c r="O150" s="29"/>
      <c r="P150" s="29"/>
      <c r="Q150" s="16"/>
      <c r="R150" s="16"/>
      <c r="S150" s="16"/>
      <c r="T150" s="16"/>
      <c r="U150" s="16"/>
      <c r="V150" s="16"/>
      <c r="W150" s="13"/>
      <c r="X150" s="13"/>
      <c r="Y150" s="13"/>
      <c r="Z150" s="30"/>
      <c r="AA150" s="30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</row>
    <row r="151" spans="1:74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2"/>
      <c r="L151" s="3"/>
      <c r="M151" s="3"/>
      <c r="N151" s="29"/>
      <c r="O151" s="29"/>
      <c r="P151" s="29"/>
      <c r="Q151" s="16"/>
      <c r="R151" s="16"/>
      <c r="S151" s="16"/>
      <c r="T151" s="16"/>
      <c r="U151" s="16"/>
      <c r="V151" s="16"/>
      <c r="W151" s="13"/>
      <c r="X151" s="13"/>
      <c r="Y151" s="13"/>
      <c r="Z151" s="30"/>
      <c r="AA151" s="30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</row>
    <row r="152" spans="1:74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2"/>
      <c r="L152" s="3"/>
      <c r="M152" s="3"/>
      <c r="N152" s="29"/>
      <c r="O152" s="29"/>
      <c r="P152" s="29"/>
      <c r="Q152" s="16"/>
      <c r="R152" s="16"/>
      <c r="S152" s="16"/>
      <c r="T152" s="16"/>
      <c r="U152" s="16"/>
      <c r="V152" s="16"/>
      <c r="W152" s="13"/>
      <c r="X152" s="13"/>
      <c r="Y152" s="13"/>
      <c r="Z152" s="30"/>
      <c r="AA152" s="30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</row>
    <row r="153" spans="1:74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2"/>
      <c r="L153" s="3"/>
      <c r="M153" s="3"/>
      <c r="N153" s="29"/>
      <c r="O153" s="29"/>
      <c r="P153" s="29"/>
      <c r="Q153" s="16"/>
      <c r="R153" s="16"/>
      <c r="S153" s="16"/>
      <c r="T153" s="16"/>
      <c r="U153" s="16"/>
      <c r="V153" s="16"/>
      <c r="W153" s="13"/>
      <c r="X153" s="13"/>
      <c r="Y153" s="13"/>
      <c r="Z153" s="30"/>
      <c r="AA153" s="30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</row>
    <row r="154" spans="1:74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2"/>
      <c r="L154" s="3"/>
      <c r="M154" s="3"/>
      <c r="N154" s="29"/>
      <c r="O154" s="29"/>
      <c r="P154" s="29"/>
      <c r="Q154" s="16"/>
      <c r="R154" s="16"/>
      <c r="S154" s="16"/>
      <c r="T154" s="16"/>
      <c r="U154" s="16"/>
      <c r="V154" s="16"/>
      <c r="W154" s="13"/>
      <c r="X154" s="13"/>
      <c r="Y154" s="13"/>
      <c r="Z154" s="30"/>
      <c r="AA154" s="30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</row>
    <row r="155" spans="1:74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2"/>
      <c r="L155" s="3"/>
      <c r="M155" s="3"/>
      <c r="N155" s="29"/>
      <c r="O155" s="29"/>
      <c r="P155" s="29"/>
      <c r="Q155" s="16"/>
      <c r="R155" s="16"/>
      <c r="S155" s="16"/>
      <c r="T155" s="16"/>
      <c r="U155" s="16"/>
      <c r="V155" s="16"/>
      <c r="W155" s="13"/>
      <c r="X155" s="13"/>
      <c r="Y155" s="13"/>
      <c r="Z155" s="30"/>
      <c r="AA155" s="30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</row>
    <row r="156" spans="1:74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2"/>
      <c r="L156" s="3"/>
      <c r="M156" s="3"/>
      <c r="N156" s="29"/>
      <c r="O156" s="29"/>
      <c r="P156" s="29"/>
      <c r="Q156" s="16"/>
      <c r="R156" s="16"/>
      <c r="S156" s="16"/>
      <c r="T156" s="16"/>
      <c r="U156" s="16"/>
      <c r="V156" s="16"/>
      <c r="W156" s="13"/>
      <c r="X156" s="13"/>
      <c r="Y156" s="13"/>
      <c r="Z156" s="30"/>
      <c r="AA156" s="30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</row>
    <row r="157" spans="1:74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2"/>
      <c r="L157" s="3"/>
      <c r="M157" s="3"/>
      <c r="N157" s="29"/>
      <c r="O157" s="29"/>
      <c r="P157" s="29"/>
      <c r="Q157" s="16"/>
      <c r="R157" s="16"/>
      <c r="S157" s="16"/>
      <c r="T157" s="16"/>
      <c r="U157" s="16"/>
      <c r="V157" s="16"/>
      <c r="W157" s="13"/>
      <c r="X157" s="13"/>
      <c r="Y157" s="13"/>
      <c r="Z157" s="30"/>
      <c r="AA157" s="30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</row>
    <row r="158" spans="1:74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2"/>
      <c r="L158" s="3"/>
      <c r="M158" s="3"/>
      <c r="N158" s="29"/>
      <c r="O158" s="29"/>
      <c r="P158" s="29"/>
      <c r="Q158" s="16"/>
      <c r="R158" s="16"/>
      <c r="S158" s="16"/>
      <c r="T158" s="16"/>
      <c r="U158" s="16"/>
      <c r="V158" s="16"/>
      <c r="W158" s="13"/>
      <c r="X158" s="13"/>
      <c r="Y158" s="13"/>
      <c r="Z158" s="30"/>
      <c r="AA158" s="30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</row>
    <row r="159" spans="1:74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2"/>
      <c r="L159" s="3"/>
      <c r="M159" s="3"/>
      <c r="N159" s="29"/>
      <c r="O159" s="29"/>
      <c r="P159" s="29"/>
      <c r="Q159" s="16"/>
      <c r="R159" s="16"/>
      <c r="S159" s="16"/>
      <c r="T159" s="16"/>
      <c r="U159" s="16"/>
      <c r="V159" s="16"/>
      <c r="W159" s="13"/>
      <c r="X159" s="13"/>
      <c r="Y159" s="13"/>
      <c r="Z159" s="30"/>
      <c r="AA159" s="30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</row>
    <row r="160" spans="1:74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2"/>
      <c r="L160" s="3"/>
      <c r="M160" s="3"/>
      <c r="N160" s="29"/>
      <c r="O160" s="29"/>
      <c r="P160" s="29"/>
      <c r="Q160" s="16"/>
      <c r="R160" s="16"/>
      <c r="S160" s="16"/>
      <c r="T160" s="16"/>
      <c r="U160" s="16"/>
      <c r="V160" s="16"/>
      <c r="W160" s="13"/>
      <c r="X160" s="13"/>
      <c r="Y160" s="13"/>
      <c r="Z160" s="30"/>
      <c r="AA160" s="30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</row>
    <row r="161" spans="1:74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2"/>
      <c r="L161" s="3"/>
      <c r="M161" s="3"/>
      <c r="N161" s="29"/>
      <c r="O161" s="29"/>
      <c r="P161" s="29"/>
      <c r="Q161" s="16"/>
      <c r="R161" s="16"/>
      <c r="S161" s="16"/>
      <c r="T161" s="16"/>
      <c r="U161" s="16"/>
      <c r="V161" s="16"/>
      <c r="W161" s="13"/>
      <c r="X161" s="13"/>
      <c r="Y161" s="13"/>
      <c r="Z161" s="30"/>
      <c r="AA161" s="30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</row>
    <row r="162" spans="1:74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2"/>
      <c r="L162" s="3"/>
      <c r="M162" s="3"/>
      <c r="N162" s="29"/>
      <c r="O162" s="29"/>
      <c r="P162" s="29"/>
      <c r="Q162" s="16"/>
      <c r="R162" s="16"/>
      <c r="S162" s="16"/>
      <c r="T162" s="16"/>
      <c r="U162" s="16"/>
      <c r="V162" s="16"/>
      <c r="W162" s="13"/>
      <c r="X162" s="13"/>
      <c r="Y162" s="13"/>
      <c r="Z162" s="30"/>
      <c r="AA162" s="30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</row>
    <row r="163" spans="1:74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2"/>
      <c r="L163" s="3"/>
      <c r="M163" s="3"/>
      <c r="N163" s="29"/>
      <c r="O163" s="29"/>
      <c r="P163" s="29"/>
      <c r="Q163" s="16"/>
      <c r="R163" s="16"/>
      <c r="S163" s="16"/>
      <c r="T163" s="16"/>
      <c r="U163" s="16"/>
      <c r="V163" s="16"/>
      <c r="W163" s="13"/>
      <c r="X163" s="13"/>
      <c r="Y163" s="13"/>
      <c r="Z163" s="30"/>
      <c r="AA163" s="30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</row>
    <row r="164" spans="1:74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2"/>
      <c r="L164" s="3"/>
      <c r="M164" s="3"/>
      <c r="N164" s="29"/>
      <c r="O164" s="29"/>
      <c r="P164" s="29"/>
      <c r="Q164" s="16"/>
      <c r="R164" s="16"/>
      <c r="S164" s="16"/>
      <c r="T164" s="16"/>
      <c r="U164" s="16"/>
      <c r="V164" s="16"/>
      <c r="W164" s="13"/>
      <c r="X164" s="13"/>
      <c r="Y164" s="13"/>
      <c r="Z164" s="30"/>
      <c r="AA164" s="30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</row>
    <row r="165" spans="1:74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2"/>
      <c r="L165" s="3"/>
      <c r="M165" s="3"/>
      <c r="N165" s="29"/>
      <c r="O165" s="29"/>
      <c r="P165" s="29"/>
      <c r="Q165" s="16"/>
      <c r="R165" s="16"/>
      <c r="S165" s="16"/>
      <c r="T165" s="16"/>
      <c r="U165" s="16"/>
      <c r="V165" s="16"/>
      <c r="W165" s="13"/>
      <c r="X165" s="13"/>
      <c r="Y165" s="13"/>
      <c r="Z165" s="30"/>
      <c r="AA165" s="30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</row>
    <row r="166" spans="1:74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2"/>
      <c r="L166" s="3"/>
      <c r="M166" s="3"/>
      <c r="N166" s="29"/>
      <c r="O166" s="29"/>
      <c r="P166" s="29"/>
      <c r="Q166" s="16"/>
      <c r="R166" s="16"/>
      <c r="S166" s="16"/>
      <c r="T166" s="16"/>
      <c r="U166" s="16"/>
      <c r="V166" s="16"/>
      <c r="W166" s="13"/>
      <c r="X166" s="13"/>
      <c r="Y166" s="13"/>
      <c r="Z166" s="30"/>
      <c r="AA166" s="30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</row>
    <row r="167" spans="1:74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2"/>
      <c r="L167" s="3"/>
      <c r="M167" s="3"/>
      <c r="N167" s="29"/>
      <c r="O167" s="29"/>
      <c r="P167" s="29"/>
      <c r="Q167" s="16"/>
      <c r="R167" s="16"/>
      <c r="S167" s="16"/>
      <c r="T167" s="16"/>
      <c r="U167" s="16"/>
      <c r="V167" s="16"/>
      <c r="W167" s="13"/>
      <c r="X167" s="13"/>
      <c r="Y167" s="13"/>
      <c r="Z167" s="30"/>
      <c r="AA167" s="30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</row>
    <row r="168" spans="1:74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2"/>
      <c r="L168" s="3"/>
      <c r="M168" s="3"/>
      <c r="N168" s="29"/>
      <c r="O168" s="29"/>
      <c r="P168" s="29"/>
      <c r="Q168" s="16"/>
      <c r="R168" s="16"/>
      <c r="S168" s="16"/>
      <c r="T168" s="16"/>
      <c r="U168" s="16"/>
      <c r="V168" s="16"/>
      <c r="W168" s="13"/>
      <c r="X168" s="13"/>
      <c r="Y168" s="13"/>
      <c r="Z168" s="30"/>
      <c r="AA168" s="30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</row>
    <row r="169" spans="1:74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2"/>
      <c r="L169" s="3"/>
      <c r="M169" s="3"/>
      <c r="N169" s="29"/>
      <c r="O169" s="29"/>
      <c r="P169" s="29"/>
      <c r="Q169" s="16"/>
      <c r="R169" s="16"/>
      <c r="S169" s="16"/>
      <c r="T169" s="16"/>
      <c r="U169" s="16"/>
      <c r="V169" s="16"/>
      <c r="W169" s="13"/>
      <c r="X169" s="13"/>
      <c r="Y169" s="13"/>
      <c r="Z169" s="30"/>
      <c r="AA169" s="30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</row>
    <row r="170" spans="1:74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2"/>
      <c r="L170" s="3"/>
      <c r="M170" s="3"/>
      <c r="N170" s="29"/>
      <c r="O170" s="29"/>
      <c r="P170" s="29"/>
      <c r="Q170" s="16"/>
      <c r="R170" s="16"/>
      <c r="S170" s="16"/>
      <c r="T170" s="16"/>
      <c r="U170" s="16"/>
      <c r="V170" s="16"/>
      <c r="W170" s="13"/>
      <c r="X170" s="13"/>
      <c r="Y170" s="13"/>
      <c r="Z170" s="30"/>
      <c r="AA170" s="30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</row>
    <row r="171" spans="1:74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2"/>
      <c r="L171" s="3"/>
      <c r="M171" s="3"/>
      <c r="N171" s="29"/>
      <c r="O171" s="29"/>
      <c r="P171" s="29"/>
      <c r="Q171" s="16"/>
      <c r="R171" s="16"/>
      <c r="S171" s="16"/>
      <c r="T171" s="16"/>
      <c r="U171" s="16"/>
      <c r="V171" s="16"/>
      <c r="W171" s="13"/>
      <c r="X171" s="13"/>
      <c r="Y171" s="13"/>
      <c r="Z171" s="30"/>
      <c r="AA171" s="30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</row>
    <row r="172" spans="1:74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2"/>
      <c r="L172" s="3"/>
      <c r="M172" s="3"/>
      <c r="N172" s="29"/>
      <c r="O172" s="29"/>
      <c r="P172" s="29"/>
      <c r="Q172" s="16"/>
      <c r="R172" s="16"/>
      <c r="S172" s="16"/>
      <c r="T172" s="16"/>
      <c r="U172" s="16"/>
      <c r="V172" s="16"/>
      <c r="W172" s="13"/>
      <c r="X172" s="13"/>
      <c r="Y172" s="13"/>
      <c r="Z172" s="30"/>
      <c r="AA172" s="30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</row>
    <row r="173" spans="1:74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2"/>
      <c r="L173" s="3"/>
      <c r="M173" s="3"/>
      <c r="N173" s="29"/>
      <c r="O173" s="29"/>
      <c r="P173" s="29"/>
      <c r="Q173" s="16"/>
      <c r="R173" s="16"/>
      <c r="S173" s="16"/>
      <c r="T173" s="16"/>
      <c r="U173" s="16"/>
      <c r="V173" s="16"/>
      <c r="W173" s="13"/>
      <c r="X173" s="13"/>
      <c r="Y173" s="13"/>
      <c r="Z173" s="30"/>
      <c r="AA173" s="30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</row>
    <row r="174" spans="1:74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2"/>
      <c r="L174" s="3"/>
      <c r="M174" s="3"/>
      <c r="N174" s="29"/>
      <c r="O174" s="29"/>
      <c r="P174" s="29"/>
      <c r="Q174" s="16"/>
      <c r="R174" s="16"/>
      <c r="S174" s="16"/>
      <c r="T174" s="16"/>
      <c r="U174" s="16"/>
      <c r="V174" s="16"/>
      <c r="W174" s="13"/>
      <c r="X174" s="13"/>
      <c r="Y174" s="13"/>
      <c r="Z174" s="30"/>
      <c r="AA174" s="30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</row>
    <row r="175" spans="1:74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2"/>
      <c r="L175" s="3"/>
      <c r="M175" s="3"/>
      <c r="N175" s="29"/>
      <c r="O175" s="29"/>
      <c r="P175" s="29"/>
      <c r="Q175" s="16"/>
      <c r="R175" s="16"/>
      <c r="S175" s="16"/>
      <c r="T175" s="16"/>
      <c r="U175" s="16"/>
      <c r="V175" s="16"/>
      <c r="W175" s="13"/>
      <c r="X175" s="13"/>
      <c r="Y175" s="13"/>
      <c r="Z175" s="30"/>
      <c r="AA175" s="30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</row>
    <row r="176" spans="1:74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2"/>
      <c r="L176" s="3"/>
      <c r="M176" s="3"/>
      <c r="N176" s="29"/>
      <c r="O176" s="29"/>
      <c r="P176" s="29"/>
      <c r="Q176" s="16"/>
      <c r="R176" s="16"/>
      <c r="S176" s="16"/>
      <c r="T176" s="16"/>
      <c r="U176" s="16"/>
      <c r="V176" s="16"/>
      <c r="W176" s="13"/>
      <c r="X176" s="13"/>
      <c r="Y176" s="13"/>
      <c r="Z176" s="30"/>
      <c r="AA176" s="30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</row>
    <row r="177" spans="1:74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2"/>
      <c r="L177" s="3"/>
      <c r="M177" s="3"/>
      <c r="N177" s="29"/>
      <c r="O177" s="29"/>
      <c r="P177" s="29"/>
      <c r="Q177" s="16"/>
      <c r="R177" s="16"/>
      <c r="S177" s="16"/>
      <c r="T177" s="16"/>
      <c r="U177" s="16"/>
      <c r="V177" s="16"/>
      <c r="W177" s="13"/>
      <c r="X177" s="13"/>
      <c r="Y177" s="13"/>
      <c r="Z177" s="30"/>
      <c r="AA177" s="30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</row>
    <row r="178" spans="1:74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2"/>
      <c r="L178" s="3"/>
      <c r="M178" s="3"/>
      <c r="N178" s="29"/>
      <c r="O178" s="29"/>
      <c r="P178" s="29"/>
      <c r="Q178" s="16"/>
      <c r="R178" s="16"/>
      <c r="S178" s="16"/>
      <c r="T178" s="16"/>
      <c r="U178" s="16"/>
      <c r="V178" s="16"/>
      <c r="W178" s="13"/>
      <c r="X178" s="13"/>
      <c r="Y178" s="13"/>
      <c r="Z178" s="30"/>
      <c r="AA178" s="30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</row>
    <row r="179" spans="1:74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2"/>
      <c r="L179" s="3"/>
      <c r="M179" s="3"/>
      <c r="N179" s="29"/>
      <c r="O179" s="29"/>
      <c r="P179" s="29"/>
      <c r="Q179" s="16"/>
      <c r="R179" s="16"/>
      <c r="S179" s="16"/>
      <c r="T179" s="16"/>
      <c r="U179" s="16"/>
      <c r="V179" s="16"/>
      <c r="W179" s="13"/>
      <c r="X179" s="13"/>
      <c r="Y179" s="13"/>
      <c r="Z179" s="30"/>
      <c r="AA179" s="30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</row>
    <row r="180" spans="1:74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2"/>
      <c r="L180" s="3"/>
      <c r="M180" s="3"/>
      <c r="N180" s="29"/>
      <c r="O180" s="29"/>
      <c r="P180" s="29"/>
      <c r="Q180" s="16"/>
      <c r="R180" s="16"/>
      <c r="S180" s="16"/>
      <c r="T180" s="16"/>
      <c r="U180" s="16"/>
      <c r="V180" s="16"/>
      <c r="W180" s="13"/>
      <c r="X180" s="13"/>
      <c r="Y180" s="13"/>
      <c r="Z180" s="30"/>
      <c r="AA180" s="30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</row>
    <row r="181" spans="1:74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2"/>
      <c r="L181" s="3"/>
      <c r="M181" s="3"/>
      <c r="N181" s="29"/>
      <c r="O181" s="29"/>
      <c r="P181" s="29"/>
      <c r="Q181" s="16"/>
      <c r="R181" s="16"/>
      <c r="S181" s="16"/>
      <c r="T181" s="16"/>
      <c r="U181" s="16"/>
      <c r="V181" s="16"/>
      <c r="W181" s="13"/>
      <c r="X181" s="13"/>
      <c r="Y181" s="13"/>
      <c r="Z181" s="30"/>
      <c r="AA181" s="30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</row>
    <row r="182" spans="1:74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2"/>
      <c r="L182" s="3"/>
      <c r="M182" s="3"/>
      <c r="N182" s="29"/>
      <c r="O182" s="29"/>
      <c r="P182" s="29"/>
      <c r="Q182" s="16"/>
      <c r="R182" s="16"/>
      <c r="S182" s="16"/>
      <c r="T182" s="16"/>
      <c r="U182" s="16"/>
      <c r="V182" s="16"/>
      <c r="W182" s="13"/>
      <c r="X182" s="13"/>
      <c r="Y182" s="13"/>
      <c r="Z182" s="30"/>
      <c r="AA182" s="30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</row>
    <row r="183" spans="1:74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2"/>
      <c r="L183" s="3"/>
      <c r="M183" s="3"/>
      <c r="N183" s="29"/>
      <c r="O183" s="29"/>
      <c r="P183" s="29"/>
      <c r="Q183" s="16"/>
      <c r="R183" s="16"/>
      <c r="S183" s="16"/>
      <c r="T183" s="16"/>
      <c r="U183" s="16"/>
      <c r="V183" s="16"/>
      <c r="W183" s="13"/>
      <c r="X183" s="13"/>
      <c r="Y183" s="13"/>
      <c r="Z183" s="30"/>
      <c r="AA183" s="30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</row>
    <row r="184" spans="1:74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2"/>
      <c r="L184" s="3"/>
      <c r="M184" s="3"/>
      <c r="N184" s="29"/>
      <c r="O184" s="29"/>
      <c r="P184" s="29"/>
      <c r="Q184" s="16"/>
      <c r="R184" s="16"/>
      <c r="S184" s="16"/>
      <c r="T184" s="16"/>
      <c r="U184" s="16"/>
      <c r="V184" s="16"/>
      <c r="W184" s="13"/>
      <c r="X184" s="13"/>
      <c r="Y184" s="13"/>
      <c r="Z184" s="30"/>
      <c r="AA184" s="30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</row>
    <row r="185" spans="1:74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2"/>
      <c r="L185" s="3"/>
      <c r="M185" s="3"/>
      <c r="N185" s="29"/>
      <c r="O185" s="29"/>
      <c r="P185" s="29"/>
      <c r="Q185" s="16"/>
      <c r="R185" s="16"/>
      <c r="S185" s="16"/>
      <c r="T185" s="16"/>
      <c r="U185" s="16"/>
      <c r="V185" s="16"/>
      <c r="W185" s="13"/>
      <c r="X185" s="13"/>
      <c r="Y185" s="13"/>
      <c r="Z185" s="30"/>
      <c r="AA185" s="30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</row>
    <row r="186" spans="1:74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2"/>
      <c r="L186" s="3"/>
      <c r="M186" s="3"/>
      <c r="N186" s="29"/>
      <c r="O186" s="29"/>
      <c r="P186" s="29"/>
      <c r="Q186" s="16"/>
      <c r="R186" s="16"/>
      <c r="S186" s="16"/>
      <c r="T186" s="16"/>
      <c r="U186" s="16"/>
      <c r="V186" s="16"/>
      <c r="W186" s="13"/>
      <c r="X186" s="13"/>
      <c r="Y186" s="13"/>
      <c r="Z186" s="30"/>
      <c r="AA186" s="30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</row>
    <row r="187" spans="1:74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2"/>
      <c r="L187" s="3"/>
      <c r="M187" s="3"/>
      <c r="N187" s="29"/>
      <c r="O187" s="29"/>
      <c r="P187" s="29"/>
      <c r="Q187" s="16"/>
      <c r="R187" s="16"/>
      <c r="S187" s="16"/>
      <c r="T187" s="16"/>
      <c r="U187" s="16"/>
      <c r="V187" s="16"/>
      <c r="W187" s="13"/>
      <c r="X187" s="13"/>
      <c r="Y187" s="13"/>
      <c r="Z187" s="30"/>
      <c r="AA187" s="30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</row>
    <row r="188" spans="1:74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2"/>
      <c r="L188" s="3"/>
      <c r="M188" s="3"/>
      <c r="N188" s="29"/>
      <c r="O188" s="29"/>
      <c r="P188" s="29"/>
      <c r="Q188" s="16"/>
      <c r="R188" s="16"/>
      <c r="S188" s="16"/>
      <c r="T188" s="16"/>
      <c r="U188" s="16"/>
      <c r="V188" s="16"/>
      <c r="W188" s="13"/>
      <c r="X188" s="13"/>
      <c r="Y188" s="13"/>
      <c r="Z188" s="30"/>
      <c r="AA188" s="30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</row>
    <row r="189" spans="1:74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2"/>
      <c r="L189" s="3"/>
      <c r="M189" s="3"/>
      <c r="N189" s="29"/>
      <c r="O189" s="29"/>
      <c r="P189" s="29"/>
      <c r="Q189" s="16"/>
      <c r="R189" s="16"/>
      <c r="S189" s="16"/>
      <c r="T189" s="16"/>
      <c r="U189" s="16"/>
      <c r="V189" s="16"/>
      <c r="W189" s="13"/>
      <c r="X189" s="13"/>
      <c r="Y189" s="13"/>
      <c r="Z189" s="30"/>
      <c r="AA189" s="30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</row>
    <row r="190" spans="1:74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2"/>
      <c r="L190" s="3"/>
      <c r="M190" s="3"/>
      <c r="N190" s="29"/>
      <c r="O190" s="29"/>
      <c r="P190" s="29"/>
      <c r="Q190" s="16"/>
      <c r="R190" s="16"/>
      <c r="S190" s="16"/>
      <c r="T190" s="16"/>
      <c r="U190" s="16"/>
      <c r="V190" s="16"/>
      <c r="W190" s="13"/>
      <c r="X190" s="13"/>
      <c r="Y190" s="13"/>
      <c r="Z190" s="30"/>
      <c r="AA190" s="30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</row>
    <row r="191" spans="1:74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2"/>
      <c r="L191" s="3"/>
      <c r="M191" s="3"/>
      <c r="N191" s="29"/>
      <c r="O191" s="29"/>
      <c r="P191" s="29"/>
      <c r="Q191" s="16"/>
      <c r="R191" s="16"/>
      <c r="S191" s="16"/>
      <c r="T191" s="16"/>
      <c r="U191" s="16"/>
      <c r="V191" s="16"/>
      <c r="W191" s="13"/>
      <c r="X191" s="13"/>
      <c r="Y191" s="13"/>
      <c r="Z191" s="30"/>
      <c r="AA191" s="30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</row>
    <row r="192" spans="1:74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2"/>
      <c r="L192" s="3"/>
      <c r="M192" s="3"/>
      <c r="N192" s="29"/>
      <c r="O192" s="29"/>
      <c r="P192" s="29"/>
      <c r="Q192" s="16"/>
      <c r="R192" s="16"/>
      <c r="S192" s="16"/>
      <c r="T192" s="16"/>
      <c r="U192" s="16"/>
      <c r="V192" s="16"/>
      <c r="W192" s="13"/>
      <c r="X192" s="13"/>
      <c r="Y192" s="13"/>
      <c r="Z192" s="30"/>
      <c r="AA192" s="30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</row>
    <row r="193" spans="1:74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2"/>
      <c r="L193" s="3"/>
      <c r="M193" s="3"/>
      <c r="N193" s="29"/>
      <c r="O193" s="29"/>
      <c r="P193" s="29"/>
      <c r="Q193" s="16"/>
      <c r="R193" s="16"/>
      <c r="S193" s="16"/>
      <c r="T193" s="16"/>
      <c r="U193" s="16"/>
      <c r="V193" s="16"/>
      <c r="W193" s="13"/>
      <c r="X193" s="13"/>
      <c r="Y193" s="13"/>
      <c r="Z193" s="30"/>
      <c r="AA193" s="30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</row>
    <row r="194" spans="1:74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2"/>
      <c r="L194" s="3"/>
      <c r="M194" s="3"/>
      <c r="N194" s="29"/>
      <c r="O194" s="29"/>
      <c r="P194" s="29"/>
      <c r="Q194" s="16"/>
      <c r="R194" s="16"/>
      <c r="S194" s="16"/>
      <c r="T194" s="16"/>
      <c r="U194" s="16"/>
      <c r="V194" s="16"/>
      <c r="W194" s="13"/>
      <c r="X194" s="13"/>
      <c r="Y194" s="13"/>
      <c r="Z194" s="30"/>
      <c r="AA194" s="30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</row>
    <row r="195" spans="1:74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2"/>
      <c r="L195" s="3"/>
      <c r="M195" s="3"/>
      <c r="N195" s="29"/>
      <c r="O195" s="29"/>
      <c r="P195" s="29"/>
      <c r="Q195" s="16"/>
      <c r="R195" s="16"/>
      <c r="S195" s="16"/>
      <c r="T195" s="16"/>
      <c r="U195" s="16"/>
      <c r="V195" s="16"/>
      <c r="W195" s="13"/>
      <c r="X195" s="13"/>
      <c r="Y195" s="13"/>
      <c r="Z195" s="30"/>
      <c r="AA195" s="30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</row>
    <row r="196" spans="1:74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2"/>
      <c r="L196" s="3"/>
      <c r="M196" s="3"/>
      <c r="N196" s="29"/>
      <c r="O196" s="29"/>
      <c r="P196" s="29"/>
      <c r="Q196" s="16"/>
      <c r="R196" s="16"/>
      <c r="S196" s="16"/>
      <c r="T196" s="16"/>
      <c r="U196" s="16"/>
      <c r="V196" s="16"/>
      <c r="W196" s="13"/>
      <c r="X196" s="13"/>
      <c r="Y196" s="13"/>
      <c r="Z196" s="30"/>
      <c r="AA196" s="30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</row>
    <row r="197" spans="1:74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2"/>
      <c r="L197" s="3"/>
      <c r="M197" s="3"/>
      <c r="N197" s="29"/>
      <c r="O197" s="29"/>
      <c r="P197" s="29"/>
      <c r="Q197" s="16"/>
      <c r="R197" s="16"/>
      <c r="S197" s="16"/>
      <c r="T197" s="16"/>
      <c r="U197" s="16"/>
      <c r="V197" s="16"/>
      <c r="W197" s="13"/>
      <c r="X197" s="13"/>
      <c r="Y197" s="13"/>
      <c r="Z197" s="30"/>
      <c r="AA197" s="30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</row>
    <row r="198" spans="1:74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2"/>
      <c r="L198" s="3"/>
      <c r="M198" s="3"/>
      <c r="N198" s="29"/>
      <c r="O198" s="29"/>
      <c r="P198" s="29"/>
      <c r="Q198" s="16"/>
      <c r="R198" s="16"/>
      <c r="S198" s="16"/>
      <c r="T198" s="16"/>
      <c r="U198" s="16"/>
      <c r="V198" s="16"/>
      <c r="W198" s="13"/>
      <c r="X198" s="13"/>
      <c r="Y198" s="13"/>
      <c r="Z198" s="30"/>
      <c r="AA198" s="30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</row>
    <row r="199" spans="1:74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2"/>
      <c r="L199" s="3"/>
      <c r="M199" s="3"/>
      <c r="N199" s="29"/>
      <c r="O199" s="29"/>
      <c r="P199" s="29"/>
      <c r="Q199" s="16"/>
      <c r="R199" s="16"/>
      <c r="S199" s="16"/>
      <c r="T199" s="16"/>
      <c r="U199" s="16"/>
      <c r="V199" s="16"/>
      <c r="W199" s="13"/>
      <c r="X199" s="13"/>
      <c r="Y199" s="13"/>
      <c r="Z199" s="30"/>
      <c r="AA199" s="30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</row>
    <row r="200" spans="1:74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2"/>
      <c r="L200" s="3"/>
      <c r="M200" s="3"/>
      <c r="N200" s="29"/>
      <c r="O200" s="29"/>
      <c r="P200" s="29"/>
      <c r="Q200" s="16"/>
      <c r="R200" s="16"/>
      <c r="S200" s="16"/>
      <c r="T200" s="16"/>
      <c r="U200" s="16"/>
      <c r="V200" s="16"/>
      <c r="W200" s="13"/>
      <c r="X200" s="13"/>
      <c r="Y200" s="13"/>
      <c r="Z200" s="30"/>
      <c r="AA200" s="30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</row>
    <row r="201" spans="1:74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2"/>
      <c r="L201" s="3"/>
      <c r="M201" s="3"/>
      <c r="N201" s="29"/>
      <c r="O201" s="29"/>
      <c r="P201" s="29"/>
      <c r="Q201" s="16"/>
      <c r="R201" s="16"/>
      <c r="S201" s="16"/>
      <c r="T201" s="16"/>
      <c r="U201" s="16"/>
      <c r="V201" s="16"/>
      <c r="W201" s="13"/>
      <c r="X201" s="13"/>
      <c r="Y201" s="13"/>
      <c r="Z201" s="30"/>
      <c r="AA201" s="30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</row>
    <row r="202" spans="1:74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2"/>
      <c r="L202" s="3"/>
      <c r="M202" s="3"/>
      <c r="N202" s="33"/>
      <c r="O202" s="33"/>
      <c r="P202" s="33"/>
      <c r="Q202" s="19"/>
      <c r="R202" s="19"/>
      <c r="S202" s="19"/>
      <c r="T202" s="19"/>
      <c r="U202" s="19"/>
      <c r="V202" s="19"/>
      <c r="W202" s="13"/>
      <c r="X202" s="13"/>
      <c r="Y202" s="13"/>
      <c r="Z202" s="30"/>
      <c r="AA202" s="30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</row>
    <row r="203" spans="1:74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2"/>
      <c r="L203" s="3"/>
      <c r="M203" s="3"/>
      <c r="N203" s="33"/>
      <c r="O203" s="33"/>
      <c r="P203" s="33"/>
      <c r="Q203" s="19"/>
      <c r="R203" s="19"/>
      <c r="S203" s="19"/>
      <c r="T203" s="19"/>
      <c r="U203" s="19"/>
      <c r="V203" s="19"/>
      <c r="W203" s="13"/>
      <c r="X203" s="13"/>
      <c r="Y203" s="13"/>
      <c r="Z203" s="30"/>
      <c r="AA203" s="30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</row>
    <row r="204" spans="1:74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2"/>
      <c r="L204" s="3"/>
      <c r="M204" s="3"/>
      <c r="N204" s="33"/>
      <c r="O204" s="33"/>
      <c r="P204" s="33"/>
      <c r="Q204" s="19"/>
      <c r="R204" s="19"/>
      <c r="S204" s="19"/>
      <c r="T204" s="19"/>
      <c r="U204" s="19"/>
      <c r="V204" s="19"/>
      <c r="W204" s="13"/>
      <c r="X204" s="13"/>
      <c r="Y204" s="13"/>
      <c r="Z204" s="30"/>
      <c r="AA204" s="30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</row>
    <row r="205" spans="1:74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2"/>
      <c r="L205" s="3"/>
      <c r="M205" s="3"/>
      <c r="N205" s="33"/>
      <c r="O205" s="33"/>
      <c r="P205" s="33"/>
      <c r="Q205" s="19"/>
      <c r="R205" s="19"/>
      <c r="S205" s="19"/>
      <c r="T205" s="19"/>
      <c r="U205" s="19"/>
      <c r="V205" s="19"/>
      <c r="W205" s="13"/>
      <c r="X205" s="13"/>
      <c r="Y205" s="13"/>
      <c r="Z205" s="30"/>
      <c r="AA205" s="30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</row>
    <row r="206" spans="1:74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2"/>
      <c r="L206" s="3"/>
      <c r="M206" s="3"/>
      <c r="N206" s="33"/>
      <c r="O206" s="33"/>
      <c r="P206" s="33"/>
      <c r="Q206" s="19"/>
      <c r="R206" s="19"/>
      <c r="S206" s="19"/>
      <c r="T206" s="19"/>
      <c r="U206" s="19"/>
      <c r="V206" s="19"/>
      <c r="W206" s="13"/>
      <c r="X206" s="13"/>
      <c r="Y206" s="13"/>
      <c r="Z206" s="30"/>
      <c r="AA206" s="30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</row>
    <row r="207" spans="1:74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2"/>
      <c r="L207" s="3"/>
      <c r="M207" s="3"/>
      <c r="N207" s="33"/>
      <c r="O207" s="33"/>
      <c r="P207" s="33"/>
      <c r="Q207" s="19"/>
      <c r="R207" s="19"/>
      <c r="S207" s="19"/>
      <c r="T207" s="19"/>
      <c r="U207" s="19"/>
      <c r="V207" s="19"/>
      <c r="W207" s="13"/>
      <c r="X207" s="13"/>
      <c r="Y207" s="13"/>
      <c r="Z207" s="30"/>
      <c r="AA207" s="30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</row>
    <row r="208" spans="1:74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2"/>
      <c r="L208" s="3"/>
      <c r="M208" s="3"/>
      <c r="N208" s="33"/>
      <c r="O208" s="33"/>
      <c r="P208" s="33"/>
      <c r="Q208" s="19"/>
      <c r="R208" s="19"/>
      <c r="S208" s="19"/>
      <c r="T208" s="19"/>
      <c r="U208" s="19"/>
      <c r="V208" s="19"/>
      <c r="W208" s="13"/>
      <c r="X208" s="13"/>
      <c r="Y208" s="13"/>
      <c r="Z208" s="30"/>
      <c r="AA208" s="30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</row>
    <row r="209" spans="1:74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2"/>
      <c r="L209" s="3"/>
      <c r="M209" s="3"/>
      <c r="N209" s="33"/>
      <c r="O209" s="33"/>
      <c r="P209" s="33"/>
      <c r="Q209" s="19"/>
      <c r="R209" s="19"/>
      <c r="S209" s="19"/>
      <c r="T209" s="19"/>
      <c r="U209" s="19"/>
      <c r="V209" s="19"/>
      <c r="W209" s="13"/>
      <c r="X209" s="13"/>
      <c r="Y209" s="13"/>
      <c r="Z209" s="30"/>
      <c r="AA209" s="30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</row>
    <row r="210" spans="1:74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2"/>
      <c r="L210" s="3"/>
      <c r="M210" s="3"/>
      <c r="N210" s="33"/>
      <c r="O210" s="33"/>
      <c r="P210" s="33"/>
      <c r="Q210" s="19"/>
      <c r="R210" s="19"/>
      <c r="S210" s="19"/>
      <c r="T210" s="19"/>
      <c r="U210" s="19"/>
      <c r="V210" s="19"/>
      <c r="W210" s="13"/>
      <c r="X210" s="13"/>
      <c r="Y210" s="13"/>
      <c r="Z210" s="30"/>
      <c r="AA210" s="30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</row>
    <row r="211" spans="1:74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2"/>
      <c r="L211" s="3"/>
      <c r="M211" s="3"/>
      <c r="N211" s="33"/>
      <c r="O211" s="33"/>
      <c r="P211" s="33"/>
      <c r="Q211" s="19"/>
      <c r="R211" s="19"/>
      <c r="S211" s="19"/>
      <c r="T211" s="19"/>
      <c r="U211" s="19"/>
      <c r="V211" s="19"/>
      <c r="W211" s="13"/>
      <c r="X211" s="13"/>
      <c r="Y211" s="13"/>
      <c r="Z211" s="30"/>
      <c r="AA211" s="30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</row>
    <row r="212" spans="1:74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2"/>
      <c r="L212" s="3"/>
      <c r="M212" s="3"/>
      <c r="N212" s="33"/>
      <c r="O212" s="33"/>
      <c r="P212" s="33"/>
      <c r="Q212" s="19"/>
      <c r="R212" s="19"/>
      <c r="S212" s="19"/>
      <c r="T212" s="19"/>
      <c r="U212" s="19"/>
      <c r="V212" s="19"/>
      <c r="W212" s="13"/>
      <c r="X212" s="13"/>
      <c r="Y212" s="13"/>
      <c r="Z212" s="30"/>
      <c r="AA212" s="30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</row>
    <row r="213" spans="1:74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2"/>
      <c r="L213" s="3"/>
      <c r="M213" s="3"/>
      <c r="N213" s="33"/>
      <c r="O213" s="33"/>
      <c r="P213" s="33"/>
      <c r="Q213" s="19"/>
      <c r="R213" s="19"/>
      <c r="S213" s="19"/>
      <c r="T213" s="19"/>
      <c r="U213" s="19"/>
      <c r="V213" s="19"/>
      <c r="W213" s="13"/>
      <c r="X213" s="13"/>
      <c r="Y213" s="13"/>
      <c r="Z213" s="30"/>
      <c r="AA213" s="30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</row>
    <row r="214" spans="1:74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2"/>
      <c r="L214" s="3"/>
      <c r="M214" s="3"/>
      <c r="N214" s="33"/>
      <c r="O214" s="33"/>
      <c r="P214" s="33"/>
      <c r="Q214" s="19"/>
      <c r="R214" s="19"/>
      <c r="S214" s="19"/>
      <c r="T214" s="19"/>
      <c r="U214" s="19"/>
      <c r="V214" s="19"/>
      <c r="W214" s="13"/>
      <c r="X214" s="13"/>
      <c r="Y214" s="13"/>
      <c r="Z214" s="30"/>
      <c r="AA214" s="30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</row>
    <row r="215" spans="1:74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2"/>
      <c r="L215" s="3"/>
      <c r="M215" s="3"/>
      <c r="N215" s="33"/>
      <c r="O215" s="33"/>
      <c r="P215" s="33"/>
      <c r="Q215" s="19"/>
      <c r="R215" s="19"/>
      <c r="S215" s="19"/>
      <c r="T215" s="19"/>
      <c r="U215" s="19"/>
      <c r="V215" s="19"/>
      <c r="W215" s="13"/>
      <c r="X215" s="13"/>
      <c r="Y215" s="13"/>
      <c r="Z215" s="30"/>
      <c r="AA215" s="30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</row>
    <row r="216" spans="1:74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2"/>
      <c r="L216" s="3"/>
      <c r="M216" s="3"/>
      <c r="N216" s="33"/>
      <c r="O216" s="33"/>
      <c r="P216" s="33"/>
      <c r="Q216" s="19"/>
      <c r="R216" s="19"/>
      <c r="S216" s="19"/>
      <c r="T216" s="19"/>
      <c r="U216" s="19"/>
      <c r="V216" s="19"/>
      <c r="W216" s="13"/>
      <c r="X216" s="13"/>
      <c r="Y216" s="13"/>
      <c r="Z216" s="30"/>
      <c r="AA216" s="30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</row>
    <row r="217" spans="1:74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2"/>
      <c r="L217" s="3"/>
      <c r="M217" s="3"/>
      <c r="N217" s="33"/>
      <c r="O217" s="33"/>
      <c r="P217" s="33"/>
      <c r="Q217" s="19"/>
      <c r="R217" s="19"/>
      <c r="S217" s="19"/>
      <c r="T217" s="19"/>
      <c r="U217" s="19"/>
      <c r="V217" s="19"/>
      <c r="W217" s="13"/>
      <c r="X217" s="13"/>
      <c r="Y217" s="13"/>
      <c r="Z217" s="30"/>
      <c r="AA217" s="30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</row>
    <row r="218" spans="1:74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2"/>
      <c r="L218" s="3"/>
      <c r="M218" s="3"/>
      <c r="N218" s="33"/>
      <c r="O218" s="33"/>
      <c r="P218" s="33"/>
      <c r="Q218" s="19"/>
      <c r="R218" s="19"/>
      <c r="S218" s="19"/>
      <c r="T218" s="19"/>
      <c r="U218" s="19"/>
      <c r="V218" s="19"/>
      <c r="W218" s="13"/>
      <c r="X218" s="13"/>
      <c r="Y218" s="13"/>
      <c r="Z218" s="30"/>
      <c r="AA218" s="30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</row>
    <row r="219" spans="1:74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2"/>
      <c r="L219" s="3"/>
      <c r="M219" s="3"/>
      <c r="N219" s="33"/>
      <c r="O219" s="33"/>
      <c r="P219" s="33"/>
      <c r="Q219" s="19"/>
      <c r="R219" s="19"/>
      <c r="S219" s="19"/>
      <c r="T219" s="19"/>
      <c r="U219" s="19"/>
      <c r="V219" s="19"/>
      <c r="W219" s="13"/>
      <c r="X219" s="13"/>
      <c r="Y219" s="13"/>
      <c r="Z219" s="30"/>
      <c r="AA219" s="30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</row>
    <row r="220" spans="1:74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2"/>
      <c r="L220" s="3"/>
      <c r="M220" s="3"/>
      <c r="N220" s="33"/>
      <c r="O220" s="33"/>
      <c r="P220" s="33"/>
      <c r="Q220" s="19"/>
      <c r="R220" s="19"/>
      <c r="S220" s="19"/>
      <c r="T220" s="19"/>
      <c r="U220" s="19"/>
      <c r="V220" s="19"/>
      <c r="W220" s="13"/>
      <c r="X220" s="13"/>
      <c r="Y220" s="13"/>
      <c r="Z220" s="30"/>
      <c r="AA220" s="30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</row>
    <row r="221" spans="1:74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2"/>
      <c r="L221" s="3"/>
      <c r="M221" s="3"/>
      <c r="N221" s="33"/>
      <c r="O221" s="33"/>
      <c r="P221" s="33"/>
      <c r="Q221" s="19"/>
      <c r="R221" s="19"/>
      <c r="S221" s="19"/>
      <c r="T221" s="19"/>
      <c r="U221" s="19"/>
      <c r="V221" s="19"/>
      <c r="W221" s="13"/>
      <c r="X221" s="13"/>
      <c r="Y221" s="13"/>
      <c r="Z221" s="30"/>
      <c r="AA221" s="30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</row>
    <row r="222" spans="1:74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2"/>
      <c r="L222" s="3"/>
      <c r="M222" s="3"/>
      <c r="N222" s="33"/>
      <c r="O222" s="33"/>
      <c r="P222" s="33"/>
      <c r="Q222" s="19"/>
      <c r="R222" s="19"/>
      <c r="S222" s="19"/>
      <c r="T222" s="19"/>
      <c r="U222" s="19"/>
      <c r="V222" s="19"/>
      <c r="W222" s="13"/>
      <c r="X222" s="13"/>
      <c r="Y222" s="13"/>
      <c r="Z222" s="30"/>
      <c r="AA222" s="30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</row>
    <row r="223" spans="1:74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2"/>
      <c r="L223" s="3"/>
      <c r="M223" s="3"/>
      <c r="N223" s="33"/>
      <c r="O223" s="33"/>
      <c r="P223" s="33"/>
      <c r="Q223" s="19"/>
      <c r="R223" s="19"/>
      <c r="S223" s="19"/>
      <c r="T223" s="19"/>
      <c r="U223" s="19"/>
      <c r="V223" s="19"/>
      <c r="W223" s="13"/>
      <c r="X223" s="13"/>
      <c r="Y223" s="13"/>
      <c r="Z223" s="30"/>
      <c r="AA223" s="30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</row>
    <row r="224" spans="1:74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2"/>
      <c r="L224" s="3"/>
      <c r="M224" s="3"/>
      <c r="N224" s="33"/>
      <c r="O224" s="33"/>
      <c r="P224" s="33"/>
      <c r="Q224" s="19"/>
      <c r="R224" s="19"/>
      <c r="S224" s="19"/>
      <c r="T224" s="19"/>
      <c r="U224" s="19"/>
      <c r="V224" s="19"/>
      <c r="W224" s="13"/>
      <c r="X224" s="13"/>
      <c r="Y224" s="13"/>
      <c r="Z224" s="30"/>
      <c r="AA224" s="30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</row>
    <row r="225" spans="1:74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2"/>
      <c r="L225" s="3"/>
      <c r="M225" s="3"/>
      <c r="N225" s="33"/>
      <c r="O225" s="33"/>
      <c r="P225" s="33"/>
      <c r="Q225" s="19"/>
      <c r="R225" s="19"/>
      <c r="S225" s="19"/>
      <c r="T225" s="19"/>
      <c r="U225" s="19"/>
      <c r="V225" s="19"/>
      <c r="W225" s="13"/>
      <c r="X225" s="13"/>
      <c r="Y225" s="13"/>
      <c r="Z225" s="30"/>
      <c r="AA225" s="30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</row>
    <row r="226" spans="1:74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2"/>
      <c r="L226" s="3"/>
      <c r="M226" s="3"/>
      <c r="N226" s="33"/>
      <c r="O226" s="33"/>
      <c r="P226" s="33"/>
      <c r="Q226" s="19"/>
      <c r="R226" s="19"/>
      <c r="S226" s="19"/>
      <c r="T226" s="19"/>
      <c r="U226" s="19"/>
      <c r="V226" s="19"/>
      <c r="W226" s="13"/>
      <c r="X226" s="13"/>
      <c r="Y226" s="13"/>
      <c r="Z226" s="30"/>
      <c r="AA226" s="30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</row>
    <row r="227" spans="1:74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2"/>
      <c r="L227" s="3"/>
      <c r="M227" s="3"/>
      <c r="N227" s="33"/>
      <c r="O227" s="33"/>
      <c r="P227" s="33"/>
      <c r="Q227" s="19"/>
      <c r="R227" s="19"/>
      <c r="S227" s="19"/>
      <c r="T227" s="19"/>
      <c r="U227" s="19"/>
      <c r="V227" s="19"/>
      <c r="W227" s="13"/>
      <c r="X227" s="13"/>
      <c r="Y227" s="13"/>
      <c r="Z227" s="30"/>
      <c r="AA227" s="30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</row>
    <row r="228" spans="1:74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2"/>
      <c r="L228" s="3"/>
      <c r="M228" s="3"/>
      <c r="N228" s="33"/>
      <c r="O228" s="33"/>
      <c r="P228" s="33"/>
      <c r="Q228" s="19"/>
      <c r="R228" s="19"/>
      <c r="S228" s="19"/>
      <c r="T228" s="19"/>
      <c r="U228" s="19"/>
      <c r="V228" s="19"/>
      <c r="W228" s="13"/>
      <c r="X228" s="13"/>
      <c r="Y228" s="13"/>
      <c r="Z228" s="30"/>
      <c r="AA228" s="30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</row>
    <row r="229" spans="1:74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2"/>
      <c r="L229" s="3"/>
      <c r="M229" s="3"/>
      <c r="N229" s="33"/>
      <c r="O229" s="33"/>
      <c r="P229" s="33"/>
      <c r="Q229" s="19"/>
      <c r="R229" s="19"/>
      <c r="S229" s="19"/>
      <c r="T229" s="19"/>
      <c r="U229" s="19"/>
      <c r="V229" s="19"/>
      <c r="W229" s="13"/>
      <c r="X229" s="13"/>
      <c r="Y229" s="13"/>
      <c r="Z229" s="30"/>
      <c r="AA229" s="30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</row>
    <row r="230" spans="1:74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2"/>
      <c r="L230" s="3"/>
      <c r="M230" s="3"/>
      <c r="N230" s="33"/>
      <c r="O230" s="33"/>
      <c r="P230" s="33"/>
      <c r="Q230" s="19"/>
      <c r="R230" s="19"/>
      <c r="S230" s="19"/>
      <c r="T230" s="19"/>
      <c r="U230" s="19"/>
      <c r="V230" s="19"/>
      <c r="W230" s="13"/>
      <c r="X230" s="13"/>
      <c r="Y230" s="13"/>
      <c r="Z230" s="30"/>
      <c r="AA230" s="30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</row>
    <row r="231" spans="1:74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2"/>
      <c r="L231" s="3"/>
      <c r="M231" s="3"/>
      <c r="N231" s="33"/>
      <c r="O231" s="33"/>
      <c r="P231" s="33"/>
      <c r="Q231" s="19"/>
      <c r="R231" s="19"/>
      <c r="S231" s="19"/>
      <c r="T231" s="19"/>
      <c r="U231" s="19"/>
      <c r="V231" s="19"/>
      <c r="W231" s="13"/>
      <c r="X231" s="13"/>
      <c r="Y231" s="13"/>
      <c r="Z231" s="30"/>
      <c r="AA231" s="30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</row>
    <row r="232" spans="1:74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2"/>
      <c r="L232" s="3"/>
      <c r="M232" s="3"/>
      <c r="N232" s="33"/>
      <c r="O232" s="33"/>
      <c r="P232" s="33"/>
      <c r="Q232" s="19"/>
      <c r="R232" s="19"/>
      <c r="S232" s="19"/>
      <c r="T232" s="19"/>
      <c r="U232" s="19"/>
      <c r="V232" s="19"/>
      <c r="W232" s="13"/>
      <c r="X232" s="13"/>
      <c r="Y232" s="13"/>
      <c r="Z232" s="30"/>
      <c r="AA232" s="30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</row>
    <row r="233" spans="1:74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2"/>
      <c r="L233" s="3"/>
      <c r="M233" s="3"/>
      <c r="N233" s="33"/>
      <c r="O233" s="33"/>
      <c r="P233" s="33"/>
      <c r="Q233" s="19"/>
      <c r="R233" s="19"/>
      <c r="S233" s="19"/>
      <c r="T233" s="19"/>
      <c r="U233" s="19"/>
      <c r="V233" s="19"/>
      <c r="W233" s="13"/>
      <c r="X233" s="13"/>
      <c r="Y233" s="13"/>
      <c r="Z233" s="30"/>
      <c r="AA233" s="30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</row>
    <row r="234" spans="1:74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2"/>
      <c r="L234" s="3"/>
      <c r="M234" s="3"/>
      <c r="N234" s="33"/>
      <c r="O234" s="33"/>
      <c r="P234" s="33"/>
      <c r="Q234" s="19"/>
      <c r="R234" s="19"/>
      <c r="S234" s="19"/>
      <c r="T234" s="19"/>
      <c r="U234" s="19"/>
      <c r="V234" s="19"/>
      <c r="W234" s="13"/>
      <c r="X234" s="13"/>
      <c r="Y234" s="13"/>
      <c r="Z234" s="30"/>
      <c r="AA234" s="30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</row>
    <row r="235" spans="1:74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2"/>
      <c r="L235" s="3"/>
      <c r="M235" s="3"/>
      <c r="N235" s="33"/>
      <c r="O235" s="33"/>
      <c r="P235" s="33"/>
      <c r="Q235" s="19"/>
      <c r="R235" s="19"/>
      <c r="S235" s="19"/>
      <c r="T235" s="19"/>
      <c r="U235" s="19"/>
      <c r="V235" s="19"/>
      <c r="W235" s="13"/>
      <c r="X235" s="13"/>
      <c r="Y235" s="13"/>
      <c r="Z235" s="30"/>
      <c r="AA235" s="30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</row>
    <row r="236" spans="1:74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2"/>
      <c r="L236" s="3"/>
      <c r="M236" s="3"/>
      <c r="N236" s="33"/>
      <c r="O236" s="33"/>
      <c r="P236" s="33"/>
      <c r="Q236" s="19"/>
      <c r="R236" s="19"/>
      <c r="S236" s="19"/>
      <c r="T236" s="19"/>
      <c r="U236" s="19"/>
      <c r="V236" s="19"/>
      <c r="W236" s="13"/>
      <c r="X236" s="13"/>
      <c r="Y236" s="13"/>
      <c r="Z236" s="30"/>
      <c r="AA236" s="30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</row>
    <row r="237" spans="1:74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2"/>
      <c r="L237" s="3"/>
      <c r="M237" s="3"/>
      <c r="N237" s="33"/>
      <c r="O237" s="33"/>
      <c r="P237" s="33"/>
      <c r="Q237" s="19"/>
      <c r="R237" s="19"/>
      <c r="S237" s="19"/>
      <c r="T237" s="19"/>
      <c r="U237" s="19"/>
      <c r="V237" s="19"/>
      <c r="W237" s="13"/>
      <c r="X237" s="13"/>
      <c r="Y237" s="13"/>
      <c r="Z237" s="30"/>
      <c r="AA237" s="30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</row>
    <row r="238" spans="1:74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2"/>
      <c r="L238" s="3"/>
      <c r="M238" s="3"/>
      <c r="N238" s="33"/>
      <c r="O238" s="33"/>
      <c r="P238" s="33"/>
      <c r="Q238" s="19"/>
      <c r="R238" s="19"/>
      <c r="S238" s="19"/>
      <c r="T238" s="19"/>
      <c r="U238" s="19"/>
      <c r="V238" s="19"/>
      <c r="W238" s="13"/>
      <c r="X238" s="13"/>
      <c r="Y238" s="13"/>
      <c r="Z238" s="30"/>
      <c r="AA238" s="30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</row>
    <row r="239" spans="1:74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2"/>
      <c r="L239" s="3"/>
      <c r="M239" s="3"/>
      <c r="N239" s="33"/>
      <c r="O239" s="33"/>
      <c r="P239" s="33"/>
      <c r="Q239" s="19"/>
      <c r="R239" s="19"/>
      <c r="S239" s="19"/>
      <c r="T239" s="19"/>
      <c r="U239" s="19"/>
      <c r="V239" s="19"/>
      <c r="W239" s="13"/>
      <c r="X239" s="13"/>
      <c r="Y239" s="13"/>
      <c r="Z239" s="30"/>
      <c r="AA239" s="30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</row>
    <row r="240" spans="1:74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2"/>
      <c r="L240" s="3"/>
      <c r="M240" s="3"/>
      <c r="N240" s="33"/>
      <c r="O240" s="33"/>
      <c r="P240" s="33"/>
      <c r="Q240" s="19"/>
      <c r="R240" s="19"/>
      <c r="S240" s="19"/>
      <c r="T240" s="19"/>
      <c r="U240" s="19"/>
      <c r="V240" s="19"/>
      <c r="W240" s="13"/>
      <c r="X240" s="13"/>
      <c r="Y240" s="13"/>
      <c r="Z240" s="30"/>
      <c r="AA240" s="30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</row>
    <row r="241" spans="1:74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2"/>
      <c r="L241" s="3"/>
      <c r="M241" s="3"/>
      <c r="N241" s="33"/>
      <c r="O241" s="33"/>
      <c r="P241" s="33"/>
      <c r="Q241" s="19"/>
      <c r="R241" s="19"/>
      <c r="S241" s="19"/>
      <c r="T241" s="19"/>
      <c r="U241" s="19"/>
      <c r="V241" s="19"/>
      <c r="W241" s="13"/>
      <c r="X241" s="13"/>
      <c r="Y241" s="13"/>
      <c r="Z241" s="30"/>
      <c r="AA241" s="30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</row>
    <row r="242" spans="1:74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2"/>
      <c r="L242" s="3"/>
      <c r="M242" s="3"/>
      <c r="N242" s="33"/>
      <c r="O242" s="33"/>
      <c r="P242" s="33"/>
      <c r="Q242" s="19"/>
      <c r="R242" s="19"/>
      <c r="S242" s="19"/>
      <c r="T242" s="19"/>
      <c r="U242" s="19"/>
      <c r="V242" s="19"/>
      <c r="W242" s="13"/>
      <c r="X242" s="13"/>
      <c r="Y242" s="13"/>
      <c r="Z242" s="30"/>
      <c r="AA242" s="30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</row>
    <row r="243" spans="1:74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2"/>
      <c r="L243" s="3"/>
      <c r="M243" s="3"/>
      <c r="N243" s="33"/>
      <c r="O243" s="33"/>
      <c r="P243" s="33"/>
      <c r="Q243" s="19"/>
      <c r="R243" s="19"/>
      <c r="S243" s="19"/>
      <c r="T243" s="19"/>
      <c r="U243" s="19"/>
      <c r="V243" s="19"/>
      <c r="W243" s="13"/>
      <c r="X243" s="13"/>
      <c r="Y243" s="13"/>
      <c r="Z243" s="30"/>
      <c r="AA243" s="30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</row>
    <row r="244" spans="1:74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2"/>
      <c r="L244" s="3"/>
      <c r="M244" s="3"/>
      <c r="N244" s="33"/>
      <c r="O244" s="33"/>
      <c r="P244" s="33"/>
      <c r="Q244" s="19"/>
      <c r="R244" s="19"/>
      <c r="S244" s="19"/>
      <c r="T244" s="19"/>
      <c r="U244" s="19"/>
      <c r="V244" s="19"/>
      <c r="W244" s="13"/>
      <c r="X244" s="13"/>
      <c r="Y244" s="13"/>
      <c r="Z244" s="30"/>
      <c r="AA244" s="30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</row>
    <row r="245" spans="1:74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2"/>
      <c r="L245" s="3"/>
      <c r="M245" s="3"/>
      <c r="N245" s="33"/>
      <c r="O245" s="33"/>
      <c r="P245" s="33"/>
      <c r="Q245" s="19"/>
      <c r="R245" s="19"/>
      <c r="S245" s="19"/>
      <c r="T245" s="19"/>
      <c r="U245" s="19"/>
      <c r="V245" s="19"/>
      <c r="W245" s="13"/>
      <c r="X245" s="13"/>
      <c r="Y245" s="13"/>
      <c r="Z245" s="30"/>
      <c r="AA245" s="30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</row>
    <row r="246" spans="1:74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2"/>
      <c r="L246" s="3"/>
      <c r="M246" s="3"/>
      <c r="N246" s="33"/>
      <c r="O246" s="33"/>
      <c r="P246" s="33"/>
      <c r="Q246" s="19"/>
      <c r="R246" s="19"/>
      <c r="S246" s="19"/>
      <c r="T246" s="19"/>
      <c r="U246" s="19"/>
      <c r="V246" s="19"/>
      <c r="W246" s="13"/>
      <c r="X246" s="13"/>
      <c r="Y246" s="13"/>
      <c r="Z246" s="30"/>
      <c r="AA246" s="30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B10E-5B7A-4ACE-9B8B-95DB7BA87143}">
  <dimension ref="A1:BV246"/>
  <sheetViews>
    <sheetView topLeftCell="Y82" zoomScale="130" zoomScaleNormal="130" workbookViewId="0">
      <selection activeCell="P7" sqref="P7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2" customWidth="1"/>
    <col min="12" max="12" width="20.88671875" style="3" customWidth="1"/>
    <col min="13" max="13" width="26.88671875" style="3" customWidth="1"/>
    <col min="14" max="15" width="20.6640625" style="33" customWidth="1"/>
    <col min="16" max="16" width="36.33203125" style="33" customWidth="1"/>
    <col min="17" max="17" width="23.21875" style="19" customWidth="1"/>
    <col min="18" max="18" width="30.88671875" style="19" customWidth="1"/>
    <col min="19" max="22" width="20.6640625" style="19" customWidth="1"/>
    <col min="23" max="24" width="21.88671875" style="47" customWidth="1"/>
    <col min="25" max="25" width="34.33203125" style="47" customWidth="1"/>
    <col min="26" max="26" width="55.44140625" style="51" customWidth="1"/>
    <col min="27" max="27" width="53.88671875" style="51" customWidth="1"/>
    <col min="28" max="16384" width="8.88671875" style="7"/>
  </cols>
  <sheetData>
    <row r="1" spans="1:27" s="43" customFormat="1" ht="53.4" customHeight="1" x14ac:dyDescent="0.3">
      <c r="A1" s="14" t="s">
        <v>7</v>
      </c>
      <c r="B1" s="15" t="s">
        <v>6</v>
      </c>
      <c r="C1" s="14" t="s">
        <v>2</v>
      </c>
      <c r="D1" s="14" t="s">
        <v>1</v>
      </c>
      <c r="E1" s="15" t="s">
        <v>0</v>
      </c>
      <c r="F1" s="14" t="s">
        <v>3</v>
      </c>
      <c r="G1" s="15" t="s">
        <v>11</v>
      </c>
      <c r="H1" s="14" t="s">
        <v>4</v>
      </c>
      <c r="I1" s="15" t="s">
        <v>12</v>
      </c>
      <c r="J1" s="15" t="s">
        <v>8</v>
      </c>
      <c r="K1" s="21" t="s">
        <v>5</v>
      </c>
      <c r="L1" s="24" t="s">
        <v>10</v>
      </c>
      <c r="M1" s="24" t="s">
        <v>40</v>
      </c>
      <c r="N1" s="66" t="s">
        <v>9</v>
      </c>
      <c r="O1" s="32" t="s">
        <v>31</v>
      </c>
      <c r="P1" s="32" t="s">
        <v>46</v>
      </c>
      <c r="Q1" s="20" t="s">
        <v>13</v>
      </c>
      <c r="R1" s="17" t="s">
        <v>22</v>
      </c>
      <c r="S1" s="17" t="s">
        <v>47</v>
      </c>
      <c r="T1" s="17" t="s">
        <v>14</v>
      </c>
      <c r="U1" s="17" t="s">
        <v>15</v>
      </c>
      <c r="V1" s="17" t="s">
        <v>23</v>
      </c>
      <c r="W1" s="48" t="s">
        <v>33</v>
      </c>
      <c r="X1" s="48" t="s">
        <v>48</v>
      </c>
      <c r="Y1" s="25" t="s">
        <v>52</v>
      </c>
      <c r="Z1" s="49" t="s">
        <v>49</v>
      </c>
      <c r="AA1" s="49" t="s">
        <v>50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59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2">
        <v>15.143564356435645</v>
      </c>
      <c r="L2" s="2">
        <f>(K2/1000000)</f>
        <v>1.5143564356435645E-5</v>
      </c>
      <c r="M2" s="3">
        <f>(3.142*3.07*3.07*25.4*25.4)/(4*1000000)</f>
        <v>4.7762865441819992E-3</v>
      </c>
      <c r="N2" s="29">
        <f>(L2*J2)/M2</f>
        <v>6.3807223153017758E-8</v>
      </c>
      <c r="O2" s="29">
        <f>(2.032/1000)</f>
        <v>2.032E-3</v>
      </c>
      <c r="P2" s="29">
        <v>2.1048357489809849E-10</v>
      </c>
      <c r="Q2" s="16">
        <v>0.02</v>
      </c>
      <c r="R2" s="16">
        <f>(1+Q2)*100000*1</f>
        <v>102000</v>
      </c>
      <c r="S2" s="16">
        <f>(5.36358238306597/1000)</f>
        <v>5.36358238306597E-3</v>
      </c>
      <c r="T2" s="16">
        <v>0.13</v>
      </c>
      <c r="U2" s="16">
        <f>(1+T2)*100000</f>
        <v>112999.99999999999</v>
      </c>
      <c r="V2" s="16">
        <f t="shared" ref="V2:V33" si="1">(L2*U2)</f>
        <v>1.7112227722772277</v>
      </c>
      <c r="W2" s="16">
        <f>(70/1000000)*100000</f>
        <v>6.9999999999999991</v>
      </c>
      <c r="X2" s="16">
        <f t="shared" ref="X2:X33" si="2">(N2+((P2/O2)*(SQRT(V2)-SQRT(W2))))</f>
        <v>-7.4748787153969558E-8</v>
      </c>
      <c r="Y2" s="2">
        <f>(SQRT(R2)-(X2*O2/P2))^2</f>
        <v>102461.45577805825</v>
      </c>
      <c r="Z2" s="2">
        <f>(X2*S2)/(Y2-V2)</f>
        <v>-3.9129638637567265E-15</v>
      </c>
      <c r="AA2" s="16">
        <f>(Z2*6.022E+23)</f>
        <v>-2356386838.7543006</v>
      </c>
    </row>
    <row r="3" spans="1:27" x14ac:dyDescent="0.25">
      <c r="A3" s="1">
        <v>3</v>
      </c>
      <c r="B3" s="1">
        <f t="shared" ref="B3:B59" si="3">(A3/60)</f>
        <v>0.05</v>
      </c>
      <c r="C3" s="1">
        <v>20</v>
      </c>
      <c r="D3" s="1">
        <f t="shared" si="0"/>
        <v>29.146000000000001</v>
      </c>
      <c r="E3" s="1">
        <f t="shared" ref="E3:E59" si="4">(D3/(1000000*60))</f>
        <v>4.8576666666666667E-7</v>
      </c>
      <c r="F3" s="1">
        <v>21.1</v>
      </c>
      <c r="G3" s="1">
        <f t="shared" ref="G3:G59" si="5">(273+F3)</f>
        <v>294.10000000000002</v>
      </c>
      <c r="H3" s="1">
        <v>101.3</v>
      </c>
      <c r="I3" s="1">
        <f t="shared" ref="I3:I59" si="6">(H3*1000)</f>
        <v>101300</v>
      </c>
      <c r="J3" s="1">
        <f t="shared" ref="J3:J59" si="7">((I3*E3)/(8.314*G3))</f>
        <v>2.0124824921938581E-5</v>
      </c>
      <c r="K3" s="22">
        <v>15.663366336633665</v>
      </c>
      <c r="L3" s="2">
        <f t="shared" ref="L3:L59" si="8">(K3/1000000)</f>
        <v>1.5663366336633665E-5</v>
      </c>
      <c r="M3" s="3">
        <f t="shared" ref="M3:M66" si="9">(3.142*3.07*3.07*25.4*25.4)/(4*1000000)</f>
        <v>4.7762865441819992E-3</v>
      </c>
      <c r="N3" s="29">
        <f t="shared" ref="N3:N59" si="10">(L3*J3)/M3</f>
        <v>6.5997402437446295E-8</v>
      </c>
      <c r="O3" s="29">
        <f t="shared" ref="O3:O66" si="11">(2.032/1000)</f>
        <v>2.032E-3</v>
      </c>
      <c r="P3" s="29">
        <v>2.1048357489809849E-10</v>
      </c>
      <c r="Q3" s="16">
        <v>0.02</v>
      </c>
      <c r="R3" s="16">
        <f t="shared" ref="R3:R59" si="12">(1+Q3)*100000*1</f>
        <v>102000</v>
      </c>
      <c r="S3" s="16">
        <f t="shared" ref="S3:S66" si="13">(5.36358238306597/1000)</f>
        <v>5.36358238306597E-3</v>
      </c>
      <c r="T3" s="16">
        <v>0.13</v>
      </c>
      <c r="U3" s="16">
        <f t="shared" ref="U3:U59" si="14">(1+T3)*100000</f>
        <v>112999.99999999999</v>
      </c>
      <c r="V3" s="16">
        <f t="shared" si="1"/>
        <v>1.769960396039604</v>
      </c>
      <c r="W3" s="16">
        <f t="shared" ref="W3:W66" si="15">(70/1000000)*100000</f>
        <v>6.9999999999999991</v>
      </c>
      <c r="X3" s="16">
        <f t="shared" si="2"/>
        <v>-7.0252668403805131E-8</v>
      </c>
      <c r="Y3" s="2">
        <f t="shared" ref="Y3:Y66" si="16">(SQRT(R3)-(X3*O3/P3))^2</f>
        <v>102433.66990317515</v>
      </c>
      <c r="Z3" s="2">
        <f t="shared" ref="Z3:Z66" si="17">(X3*S3)/(Y3-V3)</f>
        <v>-3.6785998778165516E-15</v>
      </c>
      <c r="AA3" s="16">
        <f t="shared" ref="AA3:AA59" si="18">(Z3*6.022E+23)</f>
        <v>-2215252846.4211273</v>
      </c>
    </row>
    <row r="4" spans="1:27" x14ac:dyDescent="0.25">
      <c r="A4" s="1">
        <v>6</v>
      </c>
      <c r="B4" s="1">
        <f t="shared" si="3"/>
        <v>0.1</v>
      </c>
      <c r="C4" s="1">
        <v>20</v>
      </c>
      <c r="D4" s="1">
        <f t="shared" si="0"/>
        <v>29.146000000000001</v>
      </c>
      <c r="E4" s="1">
        <f t="shared" si="4"/>
        <v>4.8576666666666667E-7</v>
      </c>
      <c r="F4" s="1">
        <v>21.1</v>
      </c>
      <c r="G4" s="1">
        <f t="shared" si="5"/>
        <v>294.10000000000002</v>
      </c>
      <c r="H4" s="1">
        <v>101.3</v>
      </c>
      <c r="I4" s="1">
        <f t="shared" si="6"/>
        <v>101300</v>
      </c>
      <c r="J4" s="1">
        <f t="shared" si="7"/>
        <v>2.0124824921938581E-5</v>
      </c>
      <c r="K4" s="22">
        <v>16.628712871287128</v>
      </c>
      <c r="L4" s="2">
        <f t="shared" si="8"/>
        <v>1.6628712871287128E-5</v>
      </c>
      <c r="M4" s="3">
        <f t="shared" si="9"/>
        <v>4.7762865441819992E-3</v>
      </c>
      <c r="N4" s="29">
        <f t="shared" si="10"/>
        <v>7.0064878251384972E-8</v>
      </c>
      <c r="O4" s="29">
        <f t="shared" si="11"/>
        <v>2.032E-3</v>
      </c>
      <c r="P4" s="29">
        <v>2.1048357489809849E-10</v>
      </c>
      <c r="Q4" s="16">
        <v>0.02</v>
      </c>
      <c r="R4" s="16">
        <f t="shared" si="12"/>
        <v>102000</v>
      </c>
      <c r="S4" s="16">
        <f t="shared" si="13"/>
        <v>5.36358238306597E-3</v>
      </c>
      <c r="T4" s="16">
        <v>0.13</v>
      </c>
      <c r="U4" s="16">
        <f t="shared" si="14"/>
        <v>112999.99999999999</v>
      </c>
      <c r="V4" s="16">
        <f t="shared" si="1"/>
        <v>1.8790445544554453</v>
      </c>
      <c r="W4" s="16">
        <f t="shared" si="15"/>
        <v>6.9999999999999991</v>
      </c>
      <c r="X4" s="16">
        <f t="shared" si="2"/>
        <v>-6.2002051628878739E-8</v>
      </c>
      <c r="Y4" s="2">
        <f t="shared" si="16"/>
        <v>102382.69114815202</v>
      </c>
      <c r="Z4" s="2">
        <f t="shared" si="17"/>
        <v>-3.2481976358430855E-15</v>
      </c>
      <c r="AA4" s="16">
        <f t="shared" si="18"/>
        <v>-1956064616.3047061</v>
      </c>
    </row>
    <row r="5" spans="1:27" x14ac:dyDescent="0.25">
      <c r="A5" s="1">
        <v>9</v>
      </c>
      <c r="B5" s="1">
        <f t="shared" si="3"/>
        <v>0.15</v>
      </c>
      <c r="C5" s="1">
        <v>20</v>
      </c>
      <c r="D5" s="1">
        <f t="shared" si="0"/>
        <v>29.146000000000001</v>
      </c>
      <c r="E5" s="1">
        <f t="shared" si="4"/>
        <v>4.8576666666666667E-7</v>
      </c>
      <c r="F5" s="1">
        <v>21.1</v>
      </c>
      <c r="G5" s="1">
        <f t="shared" si="5"/>
        <v>294.10000000000002</v>
      </c>
      <c r="H5" s="1">
        <v>101.3</v>
      </c>
      <c r="I5" s="1">
        <f t="shared" si="6"/>
        <v>101300</v>
      </c>
      <c r="J5" s="1">
        <f t="shared" si="7"/>
        <v>2.0124824921938581E-5</v>
      </c>
      <c r="K5" s="22">
        <v>14.004950495049505</v>
      </c>
      <c r="L5" s="2">
        <f t="shared" si="8"/>
        <v>1.4004950495049504E-5</v>
      </c>
      <c r="M5" s="3">
        <f t="shared" si="9"/>
        <v>4.7762865441819992E-3</v>
      </c>
      <c r="N5" s="29">
        <f t="shared" si="10"/>
        <v>5.900968757760289E-8</v>
      </c>
      <c r="O5" s="29">
        <f t="shared" si="11"/>
        <v>2.032E-3</v>
      </c>
      <c r="P5" s="29">
        <v>2.1048357489809849E-10</v>
      </c>
      <c r="Q5" s="16">
        <v>0.02</v>
      </c>
      <c r="R5" s="16">
        <f t="shared" si="12"/>
        <v>102000</v>
      </c>
      <c r="S5" s="16">
        <f t="shared" si="13"/>
        <v>5.36358238306597E-3</v>
      </c>
      <c r="T5" s="16">
        <v>0.13</v>
      </c>
      <c r="U5" s="16">
        <f t="shared" si="14"/>
        <v>112999.99999999999</v>
      </c>
      <c r="V5" s="16">
        <f t="shared" si="1"/>
        <v>1.5825594059405939</v>
      </c>
      <c r="W5" s="16">
        <f t="shared" si="15"/>
        <v>6.9999999999999991</v>
      </c>
      <c r="X5" s="16">
        <f t="shared" si="2"/>
        <v>-8.4739939072291026E-8</v>
      </c>
      <c r="Y5" s="2">
        <f t="shared" si="16"/>
        <v>102523.21427808357</v>
      </c>
      <c r="Z5" s="2">
        <f t="shared" si="17"/>
        <v>-4.4333048229022694E-15</v>
      </c>
      <c r="AA5" s="16">
        <f t="shared" si="18"/>
        <v>-2669736164.3517466</v>
      </c>
    </row>
    <row r="6" spans="1:27" x14ac:dyDescent="0.25">
      <c r="A6" s="1">
        <v>12</v>
      </c>
      <c r="B6" s="1">
        <f t="shared" si="3"/>
        <v>0.2</v>
      </c>
      <c r="C6" s="1">
        <v>20</v>
      </c>
      <c r="D6" s="1">
        <f t="shared" si="0"/>
        <v>29.146000000000001</v>
      </c>
      <c r="E6" s="1">
        <f t="shared" si="4"/>
        <v>4.8576666666666667E-7</v>
      </c>
      <c r="F6" s="1">
        <v>21.1</v>
      </c>
      <c r="G6" s="1">
        <f t="shared" si="5"/>
        <v>294.10000000000002</v>
      </c>
      <c r="H6" s="1">
        <v>101.3</v>
      </c>
      <c r="I6" s="1">
        <f t="shared" si="6"/>
        <v>101300</v>
      </c>
      <c r="J6" s="1">
        <f t="shared" si="7"/>
        <v>2.0124824921938581E-5</v>
      </c>
      <c r="K6" s="22">
        <v>8.3118811881188126</v>
      </c>
      <c r="L6" s="2">
        <f t="shared" si="8"/>
        <v>8.3118811881188132E-6</v>
      </c>
      <c r="M6" s="3">
        <f t="shared" si="9"/>
        <v>4.7762865441819992E-3</v>
      </c>
      <c r="N6" s="29">
        <f t="shared" si="10"/>
        <v>3.5022009700528548E-8</v>
      </c>
      <c r="O6" s="29">
        <f t="shared" si="11"/>
        <v>2.032E-3</v>
      </c>
      <c r="P6" s="29">
        <v>2.1048357489809849E-10</v>
      </c>
      <c r="Q6" s="16">
        <v>0.02</v>
      </c>
      <c r="R6" s="16">
        <f t="shared" si="12"/>
        <v>102000</v>
      </c>
      <c r="S6" s="16">
        <f t="shared" si="13"/>
        <v>5.36358238306597E-3</v>
      </c>
      <c r="T6" s="16">
        <v>0.13</v>
      </c>
      <c r="U6" s="16">
        <f t="shared" si="14"/>
        <v>112999.99999999999</v>
      </c>
      <c r="V6" s="16">
        <f t="shared" si="1"/>
        <v>0.93924257425742574</v>
      </c>
      <c r="W6" s="16">
        <f t="shared" si="15"/>
        <v>6.9999999999999991</v>
      </c>
      <c r="X6" s="16">
        <f t="shared" si="2"/>
        <v>-1.386482811748064E-7</v>
      </c>
      <c r="Y6" s="2">
        <f t="shared" si="16"/>
        <v>102856.75999657612</v>
      </c>
      <c r="Z6" s="2">
        <f t="shared" si="17"/>
        <v>-7.2300378617379811E-15</v>
      </c>
      <c r="AA6" s="16">
        <f t="shared" si="18"/>
        <v>-4353928800.3386126</v>
      </c>
    </row>
    <row r="7" spans="1:27" x14ac:dyDescent="0.25">
      <c r="A7" s="1">
        <v>15</v>
      </c>
      <c r="B7" s="1">
        <f t="shared" si="3"/>
        <v>0.25</v>
      </c>
      <c r="C7" s="1">
        <v>20</v>
      </c>
      <c r="D7" s="1">
        <f t="shared" si="0"/>
        <v>29.146000000000001</v>
      </c>
      <c r="E7" s="1">
        <f t="shared" si="4"/>
        <v>4.8576666666666667E-7</v>
      </c>
      <c r="F7" s="1">
        <v>21.1</v>
      </c>
      <c r="G7" s="1">
        <f t="shared" si="5"/>
        <v>294.10000000000002</v>
      </c>
      <c r="H7" s="1">
        <v>101.3</v>
      </c>
      <c r="I7" s="1">
        <f t="shared" si="6"/>
        <v>101300</v>
      </c>
      <c r="J7" s="1">
        <f t="shared" si="7"/>
        <v>2.0124824921938581E-5</v>
      </c>
      <c r="K7" s="22">
        <v>8.782178217821782</v>
      </c>
      <c r="L7" s="2">
        <f t="shared" si="8"/>
        <v>8.7821782178217817E-6</v>
      </c>
      <c r="M7" s="3">
        <f t="shared" si="9"/>
        <v>4.7762865441819992E-3</v>
      </c>
      <c r="N7" s="29">
        <f t="shared" si="10"/>
        <v>3.700360048167816E-8</v>
      </c>
      <c r="O7" s="29">
        <f t="shared" si="11"/>
        <v>2.032E-3</v>
      </c>
      <c r="P7" s="29">
        <v>2.1048357489809849E-10</v>
      </c>
      <c r="Q7" s="16">
        <v>0.02</v>
      </c>
      <c r="R7" s="16">
        <f t="shared" si="12"/>
        <v>102000</v>
      </c>
      <c r="S7" s="16">
        <f t="shared" si="13"/>
        <v>5.36358238306597E-3</v>
      </c>
      <c r="T7" s="16">
        <v>0.13</v>
      </c>
      <c r="U7" s="16">
        <f t="shared" si="14"/>
        <v>112999.99999999999</v>
      </c>
      <c r="V7" s="16">
        <f t="shared" si="1"/>
        <v>0.99238613861386116</v>
      </c>
      <c r="W7" s="16">
        <f t="shared" si="15"/>
        <v>6.9999999999999991</v>
      </c>
      <c r="X7" s="16">
        <f t="shared" si="2"/>
        <v>-1.3386571388935067E-7</v>
      </c>
      <c r="Y7" s="2">
        <f t="shared" si="16"/>
        <v>102827.14704240873</v>
      </c>
      <c r="Z7" s="2">
        <f t="shared" si="17"/>
        <v>-6.9826571567673492E-15</v>
      </c>
      <c r="AA7" s="16">
        <f t="shared" si="18"/>
        <v>-4204956139.8052979</v>
      </c>
    </row>
    <row r="8" spans="1:27" x14ac:dyDescent="0.25">
      <c r="A8" s="1">
        <v>18</v>
      </c>
      <c r="B8" s="1">
        <f t="shared" si="3"/>
        <v>0.3</v>
      </c>
      <c r="C8" s="1">
        <v>20</v>
      </c>
      <c r="D8" s="1">
        <f t="shared" si="0"/>
        <v>29.146000000000001</v>
      </c>
      <c r="E8" s="1">
        <f t="shared" si="4"/>
        <v>4.8576666666666667E-7</v>
      </c>
      <c r="F8" s="1">
        <v>21.1</v>
      </c>
      <c r="G8" s="1">
        <f t="shared" si="5"/>
        <v>294.10000000000002</v>
      </c>
      <c r="H8" s="1">
        <v>101.3</v>
      </c>
      <c r="I8" s="1">
        <f t="shared" si="6"/>
        <v>101300</v>
      </c>
      <c r="J8" s="1">
        <f t="shared" si="7"/>
        <v>2.0124824921938581E-5</v>
      </c>
      <c r="K8" s="22">
        <v>20.490099009900991</v>
      </c>
      <c r="L8" s="2">
        <f t="shared" si="8"/>
        <v>2.0490099009900991E-5</v>
      </c>
      <c r="M8" s="3">
        <f t="shared" si="9"/>
        <v>4.7762865441819992E-3</v>
      </c>
      <c r="N8" s="29">
        <f t="shared" si="10"/>
        <v>8.633478150713976E-8</v>
      </c>
      <c r="O8" s="29">
        <f t="shared" si="11"/>
        <v>2.032E-3</v>
      </c>
      <c r="P8" s="29">
        <v>2.1048357489809849E-10</v>
      </c>
      <c r="Q8" s="16">
        <v>0.02</v>
      </c>
      <c r="R8" s="16">
        <f t="shared" si="12"/>
        <v>102000</v>
      </c>
      <c r="S8" s="16">
        <f t="shared" si="13"/>
        <v>5.36358238306597E-3</v>
      </c>
      <c r="T8" s="16">
        <v>0.13</v>
      </c>
      <c r="U8" s="16">
        <f t="shared" si="14"/>
        <v>112999.99999999999</v>
      </c>
      <c r="V8" s="16">
        <f t="shared" si="1"/>
        <v>2.3153811881188116</v>
      </c>
      <c r="W8" s="16">
        <f t="shared" si="15"/>
        <v>6.9999999999999991</v>
      </c>
      <c r="X8" s="16">
        <f t="shared" si="2"/>
        <v>-3.0105896888128059E-8</v>
      </c>
      <c r="Y8" s="2">
        <f t="shared" si="16"/>
        <v>102185.73113377926</v>
      </c>
      <c r="Z8" s="2">
        <f t="shared" si="17"/>
        <v>-1.5802511296601437E-15</v>
      </c>
      <c r="AA8" s="16">
        <f t="shared" si="18"/>
        <v>-951627230.28133857</v>
      </c>
    </row>
    <row r="9" spans="1:27" x14ac:dyDescent="0.25">
      <c r="A9" s="1">
        <v>21</v>
      </c>
      <c r="B9" s="1">
        <f t="shared" si="3"/>
        <v>0.35</v>
      </c>
      <c r="C9" s="1">
        <v>20</v>
      </c>
      <c r="D9" s="1">
        <f t="shared" si="0"/>
        <v>29.146000000000001</v>
      </c>
      <c r="E9" s="1">
        <f t="shared" si="4"/>
        <v>4.8576666666666667E-7</v>
      </c>
      <c r="F9" s="1">
        <v>21.1</v>
      </c>
      <c r="G9" s="1">
        <f t="shared" si="5"/>
        <v>294.10000000000002</v>
      </c>
      <c r="H9" s="1">
        <v>101.3</v>
      </c>
      <c r="I9" s="1">
        <f t="shared" si="6"/>
        <v>101300</v>
      </c>
      <c r="J9" s="1">
        <f t="shared" si="7"/>
        <v>2.0124824921938581E-5</v>
      </c>
      <c r="K9" s="22">
        <v>26.084158415841586</v>
      </c>
      <c r="L9" s="2">
        <f t="shared" si="8"/>
        <v>2.6084158415841585E-5</v>
      </c>
      <c r="M9" s="3">
        <f t="shared" si="9"/>
        <v>4.7762865441819992E-3</v>
      </c>
      <c r="N9" s="29">
        <f t="shared" si="10"/>
        <v>1.0990528237765629E-7</v>
      </c>
      <c r="O9" s="29">
        <f t="shared" si="11"/>
        <v>2.032E-3</v>
      </c>
      <c r="P9" s="29">
        <v>2.1048357489809849E-10</v>
      </c>
      <c r="Q9" s="16">
        <v>0.02</v>
      </c>
      <c r="R9" s="16">
        <f t="shared" si="12"/>
        <v>102000</v>
      </c>
      <c r="S9" s="16">
        <f t="shared" si="13"/>
        <v>5.36358238306597E-3</v>
      </c>
      <c r="T9" s="16">
        <v>0.13</v>
      </c>
      <c r="U9" s="16">
        <f t="shared" si="14"/>
        <v>112999.99999999999</v>
      </c>
      <c r="V9" s="16">
        <f t="shared" si="1"/>
        <v>2.9475099009900987</v>
      </c>
      <c r="W9" s="16">
        <f t="shared" si="15"/>
        <v>6.9999999999999991</v>
      </c>
      <c r="X9" s="16">
        <f t="shared" si="2"/>
        <v>1.3683632191337815E-8</v>
      </c>
      <c r="Y9" s="2">
        <f t="shared" si="16"/>
        <v>101915.63794717344</v>
      </c>
      <c r="Z9" s="2">
        <f t="shared" si="17"/>
        <v>7.2015848313795303E-16</v>
      </c>
      <c r="AA9" s="16">
        <f t="shared" si="18"/>
        <v>433679438.54567534</v>
      </c>
    </row>
    <row r="10" spans="1:27" x14ac:dyDescent="0.25">
      <c r="A10" s="1">
        <v>24</v>
      </c>
      <c r="B10" s="1">
        <f t="shared" si="3"/>
        <v>0.4</v>
      </c>
      <c r="C10" s="1">
        <v>20</v>
      </c>
      <c r="D10" s="1">
        <f t="shared" si="0"/>
        <v>29.146000000000001</v>
      </c>
      <c r="E10" s="1">
        <f t="shared" si="4"/>
        <v>4.8576666666666667E-7</v>
      </c>
      <c r="F10" s="1">
        <v>21.1</v>
      </c>
      <c r="G10" s="1">
        <f t="shared" si="5"/>
        <v>294.10000000000002</v>
      </c>
      <c r="H10" s="1">
        <v>101.3</v>
      </c>
      <c r="I10" s="1">
        <f t="shared" si="6"/>
        <v>101300</v>
      </c>
      <c r="J10" s="1">
        <f t="shared" si="7"/>
        <v>2.0124824921938581E-5</v>
      </c>
      <c r="K10" s="22">
        <v>42.099009900990104</v>
      </c>
      <c r="L10" s="2">
        <f t="shared" si="8"/>
        <v>4.2099009900990107E-5</v>
      </c>
      <c r="M10" s="3">
        <f t="shared" si="9"/>
        <v>4.7762865441819992E-3</v>
      </c>
      <c r="N10" s="29">
        <f t="shared" si="10"/>
        <v>1.7738366318838284E-7</v>
      </c>
      <c r="O10" s="29">
        <f t="shared" si="11"/>
        <v>2.032E-3</v>
      </c>
      <c r="P10" s="29">
        <v>2.1048357489809849E-10</v>
      </c>
      <c r="Q10" s="16">
        <v>0.02</v>
      </c>
      <c r="R10" s="16">
        <f t="shared" si="12"/>
        <v>102000</v>
      </c>
      <c r="S10" s="16">
        <f t="shared" si="13"/>
        <v>5.36358238306597E-3</v>
      </c>
      <c r="T10" s="16">
        <v>0.13</v>
      </c>
      <c r="U10" s="16">
        <f t="shared" si="14"/>
        <v>112999.99999999999</v>
      </c>
      <c r="V10" s="16">
        <f t="shared" si="1"/>
        <v>4.7571881188118814</v>
      </c>
      <c r="W10" s="16">
        <f t="shared" si="15"/>
        <v>6.9999999999999991</v>
      </c>
      <c r="X10" s="16">
        <f t="shared" si="2"/>
        <v>1.2925280310005915E-7</v>
      </c>
      <c r="Y10" s="2">
        <f t="shared" si="16"/>
        <v>101204.52540094845</v>
      </c>
      <c r="Z10" s="2">
        <f t="shared" si="17"/>
        <v>6.8503917539752209E-15</v>
      </c>
      <c r="AA10" s="16">
        <f t="shared" si="18"/>
        <v>4125305914.2438784</v>
      </c>
    </row>
    <row r="11" spans="1:27" x14ac:dyDescent="0.25">
      <c r="A11" s="1">
        <v>27</v>
      </c>
      <c r="B11" s="1">
        <f t="shared" si="3"/>
        <v>0.45</v>
      </c>
      <c r="C11" s="1">
        <v>20</v>
      </c>
      <c r="D11" s="1">
        <f t="shared" si="0"/>
        <v>29.146000000000001</v>
      </c>
      <c r="E11" s="1">
        <f t="shared" si="4"/>
        <v>4.8576666666666667E-7</v>
      </c>
      <c r="F11" s="1">
        <v>21.1</v>
      </c>
      <c r="G11" s="1">
        <f t="shared" si="5"/>
        <v>294.10000000000002</v>
      </c>
      <c r="H11" s="1">
        <v>101.3</v>
      </c>
      <c r="I11" s="1">
        <f t="shared" si="6"/>
        <v>101300</v>
      </c>
      <c r="J11" s="1">
        <f t="shared" si="7"/>
        <v>2.0124824921938581E-5</v>
      </c>
      <c r="K11" s="22">
        <v>63.85643564356436</v>
      </c>
      <c r="L11" s="2">
        <f t="shared" si="8"/>
        <v>6.3856435643564361E-5</v>
      </c>
      <c r="M11" s="3">
        <f t="shared" si="9"/>
        <v>4.7762865441819992E-3</v>
      </c>
      <c r="N11" s="29">
        <f t="shared" si="10"/>
        <v>2.6905831037946262E-7</v>
      </c>
      <c r="O11" s="29">
        <f t="shared" si="11"/>
        <v>2.032E-3</v>
      </c>
      <c r="P11" s="29">
        <v>2.1048357489809849E-10</v>
      </c>
      <c r="Q11" s="16">
        <v>0.02</v>
      </c>
      <c r="R11" s="16">
        <f t="shared" si="12"/>
        <v>102000</v>
      </c>
      <c r="S11" s="16">
        <f t="shared" si="13"/>
        <v>5.36358238306597E-3</v>
      </c>
      <c r="T11" s="16">
        <v>0.13</v>
      </c>
      <c r="U11" s="16">
        <f t="shared" si="14"/>
        <v>112999.99999999999</v>
      </c>
      <c r="V11" s="16">
        <f t="shared" si="1"/>
        <v>7.2157772277227714</v>
      </c>
      <c r="W11" s="16">
        <f t="shared" si="15"/>
        <v>6.9999999999999991</v>
      </c>
      <c r="X11" s="16">
        <f t="shared" si="2"/>
        <v>2.7325022397901492E-7</v>
      </c>
      <c r="Y11" s="2">
        <f t="shared" si="16"/>
        <v>100321.97352463356</v>
      </c>
      <c r="Z11" s="2">
        <f t="shared" si="17"/>
        <v>1.4610014721792772E-14</v>
      </c>
      <c r="AA11" s="16">
        <f t="shared" si="18"/>
        <v>8798150865.4636078</v>
      </c>
    </row>
    <row r="12" spans="1:27" x14ac:dyDescent="0.25">
      <c r="A12" s="1">
        <v>30</v>
      </c>
      <c r="B12" s="1">
        <f t="shared" si="3"/>
        <v>0.5</v>
      </c>
      <c r="C12" s="1">
        <v>20</v>
      </c>
      <c r="D12" s="1">
        <f t="shared" si="0"/>
        <v>29.146000000000001</v>
      </c>
      <c r="E12" s="1">
        <f t="shared" si="4"/>
        <v>4.8576666666666667E-7</v>
      </c>
      <c r="F12" s="1">
        <v>21.1</v>
      </c>
      <c r="G12" s="1">
        <f t="shared" si="5"/>
        <v>294.10000000000002</v>
      </c>
      <c r="H12" s="1">
        <v>101.3</v>
      </c>
      <c r="I12" s="1">
        <f t="shared" si="6"/>
        <v>101300</v>
      </c>
      <c r="J12" s="1">
        <f t="shared" si="7"/>
        <v>2.0124824921938581E-5</v>
      </c>
      <c r="K12" s="22">
        <v>91.059405940594061</v>
      </c>
      <c r="L12" s="2">
        <f t="shared" si="8"/>
        <v>9.1059405940594056E-5</v>
      </c>
      <c r="M12" s="3">
        <f t="shared" si="9"/>
        <v>4.7762865441819992E-3</v>
      </c>
      <c r="N12" s="29">
        <f t="shared" si="10"/>
        <v>3.8367769293122214E-7</v>
      </c>
      <c r="O12" s="29">
        <f t="shared" si="11"/>
        <v>2.032E-3</v>
      </c>
      <c r="P12" s="29">
        <v>2.1048357489809849E-10</v>
      </c>
      <c r="Q12" s="16">
        <v>0.02</v>
      </c>
      <c r="R12" s="16">
        <f t="shared" si="12"/>
        <v>102000</v>
      </c>
      <c r="S12" s="16">
        <f t="shared" si="13"/>
        <v>5.36358238306597E-3</v>
      </c>
      <c r="T12" s="16">
        <v>0.13</v>
      </c>
      <c r="U12" s="16">
        <f t="shared" si="14"/>
        <v>112999.99999999999</v>
      </c>
      <c r="V12" s="16">
        <f t="shared" si="1"/>
        <v>10.289712871287128</v>
      </c>
      <c r="W12" s="16">
        <f t="shared" si="15"/>
        <v>6.9999999999999991</v>
      </c>
      <c r="X12" s="16">
        <f t="shared" si="2"/>
        <v>4.4189286306672068E-7</v>
      </c>
      <c r="Y12" s="2">
        <f t="shared" si="16"/>
        <v>99293.286391747009</v>
      </c>
      <c r="Z12" s="2">
        <f t="shared" si="17"/>
        <v>2.3872454043800379E-14</v>
      </c>
      <c r="AA12" s="16">
        <f t="shared" si="18"/>
        <v>14375991825.176588</v>
      </c>
    </row>
    <row r="13" spans="1:27" x14ac:dyDescent="0.25">
      <c r="A13" s="1">
        <v>33</v>
      </c>
      <c r="B13" s="1">
        <f t="shared" si="3"/>
        <v>0.55000000000000004</v>
      </c>
      <c r="C13" s="1">
        <v>20</v>
      </c>
      <c r="D13" s="1">
        <f t="shared" si="0"/>
        <v>29.146000000000001</v>
      </c>
      <c r="E13" s="1">
        <f t="shared" si="4"/>
        <v>4.8576666666666667E-7</v>
      </c>
      <c r="F13" s="1">
        <v>21.1</v>
      </c>
      <c r="G13" s="1">
        <f t="shared" si="5"/>
        <v>294.10000000000002</v>
      </c>
      <c r="H13" s="1">
        <v>101.3</v>
      </c>
      <c r="I13" s="1">
        <f t="shared" si="6"/>
        <v>101300</v>
      </c>
      <c r="J13" s="1">
        <f t="shared" si="7"/>
        <v>2.0124824921938581E-5</v>
      </c>
      <c r="K13" s="22">
        <v>116.10891089108912</v>
      </c>
      <c r="L13" s="2">
        <f t="shared" si="8"/>
        <v>1.1610891089108913E-4</v>
      </c>
      <c r="M13" s="3">
        <f t="shared" si="9"/>
        <v>4.7762865441819992E-3</v>
      </c>
      <c r="N13" s="29">
        <f t="shared" si="10"/>
        <v>4.892234755903494E-7</v>
      </c>
      <c r="O13" s="29">
        <f t="shared" si="11"/>
        <v>2.032E-3</v>
      </c>
      <c r="P13" s="29">
        <v>2.1048357489809849E-10</v>
      </c>
      <c r="Q13" s="16">
        <v>0.02</v>
      </c>
      <c r="R13" s="16">
        <f t="shared" si="12"/>
        <v>102000</v>
      </c>
      <c r="S13" s="16">
        <f t="shared" si="13"/>
        <v>5.36358238306597E-3</v>
      </c>
      <c r="T13" s="16">
        <v>0.13</v>
      </c>
      <c r="U13" s="16">
        <f t="shared" si="14"/>
        <v>112999.99999999999</v>
      </c>
      <c r="V13" s="16">
        <f t="shared" si="1"/>
        <v>13.12030693069307</v>
      </c>
      <c r="W13" s="16">
        <f t="shared" si="15"/>
        <v>6.9999999999999991</v>
      </c>
      <c r="X13" s="16">
        <f t="shared" si="2"/>
        <v>5.9036799230551942E-7</v>
      </c>
      <c r="Y13" s="2">
        <f t="shared" si="16"/>
        <v>98392.005315161136</v>
      </c>
      <c r="Z13" s="2">
        <f t="shared" si="17"/>
        <v>3.2186656341866444E-14</v>
      </c>
      <c r="AA13" s="16">
        <f t="shared" si="18"/>
        <v>19382804449.071972</v>
      </c>
    </row>
    <row r="14" spans="1:27" x14ac:dyDescent="0.25">
      <c r="A14" s="1">
        <v>36</v>
      </c>
      <c r="B14" s="1">
        <f t="shared" si="3"/>
        <v>0.6</v>
      </c>
      <c r="C14" s="1">
        <v>20</v>
      </c>
      <c r="D14" s="1">
        <f t="shared" si="0"/>
        <v>29.146000000000001</v>
      </c>
      <c r="E14" s="1">
        <f t="shared" si="4"/>
        <v>4.8576666666666667E-7</v>
      </c>
      <c r="F14" s="1">
        <v>21.1</v>
      </c>
      <c r="G14" s="1">
        <f t="shared" si="5"/>
        <v>294.10000000000002</v>
      </c>
      <c r="H14" s="1">
        <v>101.3</v>
      </c>
      <c r="I14" s="1">
        <f t="shared" si="6"/>
        <v>101300</v>
      </c>
      <c r="J14" s="1">
        <f t="shared" si="7"/>
        <v>2.0124824921938581E-5</v>
      </c>
      <c r="K14" s="22">
        <v>121.72772277227725</v>
      </c>
      <c r="L14" s="2">
        <f t="shared" si="8"/>
        <v>1.2172772277227724E-4</v>
      </c>
      <c r="M14" s="3">
        <f t="shared" si="9"/>
        <v>4.7762865441819992E-3</v>
      </c>
      <c r="N14" s="29">
        <f t="shared" si="10"/>
        <v>5.1289827071250534E-7</v>
      </c>
      <c r="O14" s="29">
        <f t="shared" si="11"/>
        <v>2.032E-3</v>
      </c>
      <c r="P14" s="29">
        <v>2.1048357489809849E-10</v>
      </c>
      <c r="Q14" s="16">
        <v>0.02</v>
      </c>
      <c r="R14" s="16">
        <f t="shared" si="12"/>
        <v>102000</v>
      </c>
      <c r="S14" s="16">
        <f t="shared" si="13"/>
        <v>5.36358238306597E-3</v>
      </c>
      <c r="T14" s="16">
        <v>0.13</v>
      </c>
      <c r="U14" s="16">
        <f t="shared" si="14"/>
        <v>112999.99999999999</v>
      </c>
      <c r="V14" s="16">
        <f t="shared" si="1"/>
        <v>13.755232673267328</v>
      </c>
      <c r="W14" s="16">
        <f t="shared" si="15"/>
        <v>6.9999999999999991</v>
      </c>
      <c r="X14" s="16">
        <f t="shared" si="2"/>
        <v>6.2301406211248681E-7</v>
      </c>
      <c r="Y14" s="2">
        <f t="shared" si="16"/>
        <v>98194.386602364466</v>
      </c>
      <c r="Z14" s="2">
        <f t="shared" si="17"/>
        <v>3.4035096345698026E-14</v>
      </c>
      <c r="AA14" s="16">
        <f t="shared" si="18"/>
        <v>20495935019.379353</v>
      </c>
    </row>
    <row r="15" spans="1:27" x14ac:dyDescent="0.25">
      <c r="A15" s="1">
        <v>39</v>
      </c>
      <c r="B15" s="1">
        <f t="shared" si="3"/>
        <v>0.65</v>
      </c>
      <c r="C15" s="1">
        <v>20</v>
      </c>
      <c r="D15" s="1">
        <f t="shared" si="0"/>
        <v>29.146000000000001</v>
      </c>
      <c r="E15" s="1">
        <f t="shared" si="4"/>
        <v>4.8576666666666667E-7</v>
      </c>
      <c r="F15" s="1">
        <v>21.1</v>
      </c>
      <c r="G15" s="1">
        <f t="shared" si="5"/>
        <v>294.10000000000002</v>
      </c>
      <c r="H15" s="1">
        <v>101.3</v>
      </c>
      <c r="I15" s="1">
        <f t="shared" si="6"/>
        <v>101300</v>
      </c>
      <c r="J15" s="1">
        <f t="shared" si="7"/>
        <v>2.0124824921938581E-5</v>
      </c>
      <c r="K15" s="22">
        <v>133.80693069306932</v>
      </c>
      <c r="L15" s="2">
        <f t="shared" si="8"/>
        <v>1.3380693069306931E-4</v>
      </c>
      <c r="M15" s="3">
        <f t="shared" si="9"/>
        <v>4.7762865441819992E-3</v>
      </c>
      <c r="N15" s="29">
        <f t="shared" si="10"/>
        <v>5.6379386551255868E-7</v>
      </c>
      <c r="O15" s="29">
        <f t="shared" si="11"/>
        <v>2.032E-3</v>
      </c>
      <c r="P15" s="29">
        <v>2.1048357489809849E-10</v>
      </c>
      <c r="Q15" s="16">
        <v>0.02</v>
      </c>
      <c r="R15" s="16">
        <f t="shared" si="12"/>
        <v>102000</v>
      </c>
      <c r="S15" s="16">
        <f t="shared" si="13"/>
        <v>5.36358238306597E-3</v>
      </c>
      <c r="T15" s="16">
        <v>0.13</v>
      </c>
      <c r="U15" s="16">
        <f t="shared" si="14"/>
        <v>112999.99999999999</v>
      </c>
      <c r="V15" s="16">
        <f t="shared" si="1"/>
        <v>15.12018316831683</v>
      </c>
      <c r="W15" s="16">
        <f t="shared" si="15"/>
        <v>6.9999999999999991</v>
      </c>
      <c r="X15" s="16">
        <f t="shared" si="2"/>
        <v>6.9251997050927184E-7</v>
      </c>
      <c r="Y15" s="2">
        <f t="shared" si="16"/>
        <v>97774.303406658582</v>
      </c>
      <c r="Z15" s="2">
        <f t="shared" si="17"/>
        <v>3.7995283831835207E-14</v>
      </c>
      <c r="AA15" s="16">
        <f t="shared" si="18"/>
        <v>22880759923.531162</v>
      </c>
    </row>
    <row r="16" spans="1:27" x14ac:dyDescent="0.25">
      <c r="A16" s="1">
        <v>42</v>
      </c>
      <c r="B16" s="1">
        <f t="shared" si="3"/>
        <v>0.7</v>
      </c>
      <c r="C16" s="1">
        <v>20</v>
      </c>
      <c r="D16" s="1">
        <f t="shared" si="0"/>
        <v>29.146000000000001</v>
      </c>
      <c r="E16" s="1">
        <f t="shared" si="4"/>
        <v>4.8576666666666667E-7</v>
      </c>
      <c r="F16" s="1">
        <v>21.1</v>
      </c>
      <c r="G16" s="1">
        <f t="shared" si="5"/>
        <v>294.10000000000002</v>
      </c>
      <c r="H16" s="1">
        <v>101.3</v>
      </c>
      <c r="I16" s="1">
        <f t="shared" si="6"/>
        <v>101300</v>
      </c>
      <c r="J16" s="1">
        <f t="shared" si="7"/>
        <v>2.0124824921938581E-5</v>
      </c>
      <c r="K16" s="22">
        <v>153.38613861386142</v>
      </c>
      <c r="L16" s="2">
        <f t="shared" si="8"/>
        <v>1.5338613861386142E-4</v>
      </c>
      <c r="M16" s="3">
        <f t="shared" si="9"/>
        <v>4.7762865441819992E-3</v>
      </c>
      <c r="N16" s="29">
        <f t="shared" si="10"/>
        <v>6.4629061855936671E-7</v>
      </c>
      <c r="O16" s="29">
        <f t="shared" si="11"/>
        <v>2.032E-3</v>
      </c>
      <c r="P16" s="29">
        <v>2.1048357489809849E-10</v>
      </c>
      <c r="Q16" s="16">
        <v>0.02</v>
      </c>
      <c r="R16" s="16">
        <f t="shared" si="12"/>
        <v>102000</v>
      </c>
      <c r="S16" s="16">
        <f t="shared" si="13"/>
        <v>5.36358238306597E-3</v>
      </c>
      <c r="T16" s="16">
        <v>0.13</v>
      </c>
      <c r="U16" s="16">
        <f t="shared" si="14"/>
        <v>112999.99999999999</v>
      </c>
      <c r="V16" s="16">
        <f t="shared" si="1"/>
        <v>17.332633663366337</v>
      </c>
      <c r="W16" s="16">
        <f t="shared" si="15"/>
        <v>6.9999999999999991</v>
      </c>
      <c r="X16" s="16">
        <f t="shared" si="2"/>
        <v>8.0347965485911832E-7</v>
      </c>
      <c r="Y16" s="2">
        <f t="shared" si="16"/>
        <v>97105.546113484437</v>
      </c>
      <c r="Z16" s="2">
        <f t="shared" si="17"/>
        <v>4.4387770332698425E-14</v>
      </c>
      <c r="AA16" s="16">
        <f t="shared" si="18"/>
        <v>26730315294.350994</v>
      </c>
    </row>
    <row r="17" spans="1:74" s="4" customFormat="1" x14ac:dyDescent="0.25">
      <c r="A17" s="1">
        <v>45</v>
      </c>
      <c r="B17" s="1">
        <f t="shared" si="3"/>
        <v>0.75</v>
      </c>
      <c r="C17" s="1">
        <v>20</v>
      </c>
      <c r="D17" s="1">
        <f t="shared" si="0"/>
        <v>29.146000000000001</v>
      </c>
      <c r="E17" s="1">
        <f t="shared" si="4"/>
        <v>4.8576666666666667E-7</v>
      </c>
      <c r="F17" s="1">
        <v>21.1</v>
      </c>
      <c r="G17" s="1">
        <f t="shared" si="5"/>
        <v>294.10000000000002</v>
      </c>
      <c r="H17" s="1">
        <v>101.3</v>
      </c>
      <c r="I17" s="1">
        <f t="shared" si="6"/>
        <v>101300</v>
      </c>
      <c r="J17" s="1">
        <f t="shared" si="7"/>
        <v>2.0124824921938581E-5</v>
      </c>
      <c r="K17" s="22">
        <v>150.26732673267327</v>
      </c>
      <c r="L17" s="2">
        <f t="shared" si="8"/>
        <v>1.5026732673267327E-4</v>
      </c>
      <c r="M17" s="3">
        <f t="shared" si="9"/>
        <v>4.7762865441819992E-3</v>
      </c>
      <c r="N17" s="29">
        <f t="shared" si="10"/>
        <v>6.3314954285279537E-7</v>
      </c>
      <c r="O17" s="29">
        <f t="shared" si="11"/>
        <v>2.032E-3</v>
      </c>
      <c r="P17" s="29">
        <v>2.1048357489809849E-10</v>
      </c>
      <c r="Q17" s="16">
        <v>0.02</v>
      </c>
      <c r="R17" s="16">
        <f t="shared" si="12"/>
        <v>102000</v>
      </c>
      <c r="S17" s="16">
        <f t="shared" si="13"/>
        <v>5.36358238306597E-3</v>
      </c>
      <c r="T17" s="16">
        <v>0.13</v>
      </c>
      <c r="U17" s="16">
        <f t="shared" si="14"/>
        <v>112999.99999999999</v>
      </c>
      <c r="V17" s="16">
        <f t="shared" si="1"/>
        <v>16.980207920792076</v>
      </c>
      <c r="W17" s="16">
        <f t="shared" si="15"/>
        <v>6.9999999999999991</v>
      </c>
      <c r="X17" s="16">
        <f t="shared" si="2"/>
        <v>7.8593176720895276E-7</v>
      </c>
      <c r="Y17" s="2">
        <f t="shared" si="16"/>
        <v>97211.154980560445</v>
      </c>
      <c r="Z17" s="2">
        <f t="shared" si="17"/>
        <v>4.3371012622461094E-14</v>
      </c>
      <c r="AA17" s="16">
        <f t="shared" si="18"/>
        <v>26118023801.246071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1">
        <v>48</v>
      </c>
      <c r="B18" s="1">
        <f t="shared" si="3"/>
        <v>0.8</v>
      </c>
      <c r="C18" s="1">
        <v>20</v>
      </c>
      <c r="D18" s="1">
        <f t="shared" si="0"/>
        <v>29.146000000000001</v>
      </c>
      <c r="E18" s="1">
        <f t="shared" si="4"/>
        <v>4.8576666666666667E-7</v>
      </c>
      <c r="F18" s="1">
        <v>21.1</v>
      </c>
      <c r="G18" s="1">
        <f t="shared" si="5"/>
        <v>294.10000000000002</v>
      </c>
      <c r="H18" s="1">
        <v>101.3</v>
      </c>
      <c r="I18" s="1">
        <f t="shared" si="6"/>
        <v>101300</v>
      </c>
      <c r="J18" s="1">
        <f t="shared" si="7"/>
        <v>2.0124824921938581E-5</v>
      </c>
      <c r="K18" s="22">
        <v>153.50990099009903</v>
      </c>
      <c r="L18" s="2">
        <f t="shared" si="8"/>
        <v>1.5350990099009904E-4</v>
      </c>
      <c r="M18" s="3">
        <f t="shared" si="9"/>
        <v>4.7762865441819992E-3</v>
      </c>
      <c r="N18" s="29">
        <f t="shared" si="10"/>
        <v>6.4681208981756394E-7</v>
      </c>
      <c r="O18" s="29">
        <f t="shared" si="11"/>
        <v>2.032E-3</v>
      </c>
      <c r="P18" s="29">
        <v>2.1048357489809849E-10</v>
      </c>
      <c r="Q18" s="16">
        <v>0.02</v>
      </c>
      <c r="R18" s="16">
        <f t="shared" si="12"/>
        <v>102000</v>
      </c>
      <c r="S18" s="16">
        <f t="shared" si="13"/>
        <v>5.36358238306597E-3</v>
      </c>
      <c r="T18" s="16">
        <v>0.13</v>
      </c>
      <c r="U18" s="16">
        <f t="shared" si="14"/>
        <v>112999.99999999999</v>
      </c>
      <c r="V18" s="16">
        <f t="shared" si="1"/>
        <v>17.346618811881189</v>
      </c>
      <c r="W18" s="16">
        <f t="shared" si="15"/>
        <v>6.9999999999999991</v>
      </c>
      <c r="X18" s="16">
        <f t="shared" si="2"/>
        <v>8.0417507103241844E-7</v>
      </c>
      <c r="Y18" s="2">
        <f t="shared" si="16"/>
        <v>97101.362056275015</v>
      </c>
      <c r="Z18" s="2">
        <f t="shared" si="17"/>
        <v>4.4428109245941719E-14</v>
      </c>
      <c r="AA18" s="16">
        <f t="shared" si="18"/>
        <v>26754607387.906105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1">
        <v>51</v>
      </c>
      <c r="B19" s="1">
        <f t="shared" si="3"/>
        <v>0.85</v>
      </c>
      <c r="C19" s="1">
        <v>20</v>
      </c>
      <c r="D19" s="1">
        <f t="shared" si="0"/>
        <v>29.146000000000001</v>
      </c>
      <c r="E19" s="1">
        <f t="shared" si="4"/>
        <v>4.8576666666666667E-7</v>
      </c>
      <c r="F19" s="1">
        <v>21.1</v>
      </c>
      <c r="G19" s="1">
        <f t="shared" si="5"/>
        <v>294.10000000000002</v>
      </c>
      <c r="H19" s="1">
        <v>101.3</v>
      </c>
      <c r="I19" s="1">
        <f t="shared" si="6"/>
        <v>101300</v>
      </c>
      <c r="J19" s="1">
        <f t="shared" si="7"/>
        <v>2.0124824921938581E-5</v>
      </c>
      <c r="K19" s="22">
        <v>156.92574257425744</v>
      </c>
      <c r="L19" s="2">
        <f t="shared" si="8"/>
        <v>1.5692574257425743E-4</v>
      </c>
      <c r="M19" s="3">
        <f t="shared" si="9"/>
        <v>4.7762865441819992E-3</v>
      </c>
      <c r="N19" s="29">
        <f t="shared" si="10"/>
        <v>6.6120469654380839E-7</v>
      </c>
      <c r="O19" s="29">
        <f t="shared" si="11"/>
        <v>2.032E-3</v>
      </c>
      <c r="P19" s="29">
        <v>2.1048357489809849E-10</v>
      </c>
      <c r="Q19" s="16">
        <v>0.02</v>
      </c>
      <c r="R19" s="16">
        <f t="shared" si="12"/>
        <v>102000</v>
      </c>
      <c r="S19" s="16">
        <f t="shared" si="13"/>
        <v>5.36358238306597E-3</v>
      </c>
      <c r="T19" s="16">
        <v>0.13</v>
      </c>
      <c r="U19" s="16">
        <f t="shared" si="14"/>
        <v>112999.99999999999</v>
      </c>
      <c r="V19" s="16">
        <f t="shared" si="1"/>
        <v>17.732608910891088</v>
      </c>
      <c r="W19" s="16">
        <f t="shared" si="15"/>
        <v>6.9999999999999991</v>
      </c>
      <c r="X19" s="16">
        <f t="shared" si="2"/>
        <v>8.233411811539853E-7</v>
      </c>
      <c r="Y19" s="2">
        <f t="shared" si="16"/>
        <v>96986.082267824109</v>
      </c>
      <c r="Z19" s="2">
        <f t="shared" si="17"/>
        <v>4.5541233505816653E-14</v>
      </c>
      <c r="AA19" s="16">
        <f t="shared" si="18"/>
        <v>27424930817.202789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1">
        <v>54</v>
      </c>
      <c r="B20" s="1">
        <f t="shared" si="3"/>
        <v>0.9</v>
      </c>
      <c r="C20" s="1">
        <v>20</v>
      </c>
      <c r="D20" s="1">
        <f t="shared" si="0"/>
        <v>29.146000000000001</v>
      </c>
      <c r="E20" s="1">
        <f t="shared" si="4"/>
        <v>4.8576666666666667E-7</v>
      </c>
      <c r="F20" s="1">
        <v>21.1</v>
      </c>
      <c r="G20" s="1">
        <f t="shared" si="5"/>
        <v>294.10000000000002</v>
      </c>
      <c r="H20" s="1">
        <v>101.3</v>
      </c>
      <c r="I20" s="1">
        <f t="shared" si="6"/>
        <v>101300</v>
      </c>
      <c r="J20" s="1">
        <f t="shared" si="7"/>
        <v>2.0124824921938581E-5</v>
      </c>
      <c r="K20" s="22">
        <v>165.01980198019803</v>
      </c>
      <c r="L20" s="2">
        <f t="shared" si="8"/>
        <v>1.6501980198019802E-4</v>
      </c>
      <c r="M20" s="3">
        <f t="shared" si="9"/>
        <v>4.7762865441819992E-3</v>
      </c>
      <c r="N20" s="29">
        <f t="shared" si="10"/>
        <v>6.9530891682990974E-7</v>
      </c>
      <c r="O20" s="29">
        <f t="shared" si="11"/>
        <v>2.032E-3</v>
      </c>
      <c r="P20" s="29">
        <v>2.1048357489809849E-10</v>
      </c>
      <c r="Q20" s="16">
        <v>0.02</v>
      </c>
      <c r="R20" s="16">
        <f t="shared" si="12"/>
        <v>102000</v>
      </c>
      <c r="S20" s="16">
        <f t="shared" si="13"/>
        <v>5.36358238306597E-3</v>
      </c>
      <c r="T20" s="16">
        <v>0.13</v>
      </c>
      <c r="U20" s="16">
        <f t="shared" si="14"/>
        <v>112999.99999999999</v>
      </c>
      <c r="V20" s="16">
        <f t="shared" si="1"/>
        <v>18.647237623762372</v>
      </c>
      <c r="W20" s="16">
        <f t="shared" si="15"/>
        <v>6.9999999999999991</v>
      </c>
      <c r="X20" s="16">
        <f t="shared" si="2"/>
        <v>8.6855320602936569E-7</v>
      </c>
      <c r="Y20" s="2">
        <f t="shared" si="16"/>
        <v>96714.413503499978</v>
      </c>
      <c r="Z20" s="2">
        <f t="shared" si="17"/>
        <v>4.817746272163905E-14</v>
      </c>
      <c r="AA20" s="16">
        <f t="shared" si="18"/>
        <v>29012468050.971039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1">
        <v>57</v>
      </c>
      <c r="B21" s="1">
        <f t="shared" si="3"/>
        <v>0.95</v>
      </c>
      <c r="C21" s="1">
        <v>20</v>
      </c>
      <c r="D21" s="1">
        <f t="shared" si="0"/>
        <v>29.146000000000001</v>
      </c>
      <c r="E21" s="1">
        <f t="shared" si="4"/>
        <v>4.8576666666666667E-7</v>
      </c>
      <c r="F21" s="1">
        <v>21.1</v>
      </c>
      <c r="G21" s="1">
        <f t="shared" si="5"/>
        <v>294.10000000000002</v>
      </c>
      <c r="H21" s="1">
        <v>101.3</v>
      </c>
      <c r="I21" s="1">
        <f t="shared" si="6"/>
        <v>101300</v>
      </c>
      <c r="J21" s="1">
        <f t="shared" si="7"/>
        <v>2.0124824921938581E-5</v>
      </c>
      <c r="K21" s="22">
        <v>165.73762376237624</v>
      </c>
      <c r="L21" s="2">
        <f t="shared" si="8"/>
        <v>1.6573762376237625E-4</v>
      </c>
      <c r="M21" s="3">
        <f t="shared" si="9"/>
        <v>4.7762865441819992E-3</v>
      </c>
      <c r="N21" s="29">
        <f t="shared" si="10"/>
        <v>6.9833345012745395E-7</v>
      </c>
      <c r="O21" s="29">
        <f t="shared" si="11"/>
        <v>2.032E-3</v>
      </c>
      <c r="P21" s="29">
        <v>2.1048357489809849E-10</v>
      </c>
      <c r="Q21" s="16">
        <v>0.02</v>
      </c>
      <c r="R21" s="16">
        <f t="shared" si="12"/>
        <v>102000</v>
      </c>
      <c r="S21" s="16">
        <f t="shared" si="13"/>
        <v>5.36358238306597E-3</v>
      </c>
      <c r="T21" s="16">
        <v>0.13</v>
      </c>
      <c r="U21" s="16">
        <f t="shared" si="14"/>
        <v>112999.99999999999</v>
      </c>
      <c r="V21" s="16">
        <f t="shared" si="1"/>
        <v>18.728351485148515</v>
      </c>
      <c r="W21" s="16">
        <f t="shared" si="15"/>
        <v>6.9999999999999991</v>
      </c>
      <c r="X21" s="16">
        <f t="shared" si="2"/>
        <v>8.725495481069167E-7</v>
      </c>
      <c r="Y21" s="2">
        <f t="shared" si="16"/>
        <v>96690.418721674549</v>
      </c>
      <c r="Z21" s="2">
        <f t="shared" si="17"/>
        <v>4.8411188080575837E-14</v>
      </c>
      <c r="AA21" s="16">
        <f t="shared" si="18"/>
        <v>29153217462.122768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1">
        <v>60</v>
      </c>
      <c r="B22" s="1">
        <f t="shared" si="3"/>
        <v>1</v>
      </c>
      <c r="C22" s="1">
        <v>20</v>
      </c>
      <c r="D22" s="1">
        <f t="shared" si="0"/>
        <v>29.146000000000001</v>
      </c>
      <c r="E22" s="1">
        <f t="shared" si="4"/>
        <v>4.8576666666666667E-7</v>
      </c>
      <c r="F22" s="1">
        <v>21.1</v>
      </c>
      <c r="G22" s="1">
        <f t="shared" si="5"/>
        <v>294.10000000000002</v>
      </c>
      <c r="H22" s="1">
        <v>101.3</v>
      </c>
      <c r="I22" s="1">
        <f t="shared" si="6"/>
        <v>101300</v>
      </c>
      <c r="J22" s="1">
        <f t="shared" si="7"/>
        <v>2.0124824921938581E-5</v>
      </c>
      <c r="K22" s="22">
        <v>169.42574257425744</v>
      </c>
      <c r="L22" s="2">
        <f t="shared" si="8"/>
        <v>1.6942574257425744E-4</v>
      </c>
      <c r="M22" s="3">
        <f t="shared" si="9"/>
        <v>4.7762865441819992E-3</v>
      </c>
      <c r="N22" s="29">
        <f t="shared" si="10"/>
        <v>7.1387329362173251E-7</v>
      </c>
      <c r="O22" s="29">
        <f t="shared" si="11"/>
        <v>2.032E-3</v>
      </c>
      <c r="P22" s="29">
        <v>2.1048357489809849E-10</v>
      </c>
      <c r="Q22" s="16">
        <v>0.02</v>
      </c>
      <c r="R22" s="16">
        <f t="shared" si="12"/>
        <v>102000</v>
      </c>
      <c r="S22" s="16">
        <f t="shared" si="13"/>
        <v>5.36358238306597E-3</v>
      </c>
      <c r="T22" s="16">
        <v>0.13</v>
      </c>
      <c r="U22" s="16">
        <f t="shared" si="14"/>
        <v>112999.99999999999</v>
      </c>
      <c r="V22" s="16">
        <f t="shared" si="1"/>
        <v>19.145108910891089</v>
      </c>
      <c r="W22" s="16">
        <f t="shared" si="15"/>
        <v>6.9999999999999991</v>
      </c>
      <c r="X22" s="16">
        <f t="shared" si="2"/>
        <v>8.9304962299507342E-7</v>
      </c>
      <c r="Y22" s="2">
        <f t="shared" si="16"/>
        <v>96567.37925807813</v>
      </c>
      <c r="Z22" s="2">
        <f t="shared" si="17"/>
        <v>4.9611940262932263E-14</v>
      </c>
      <c r="AA22" s="16">
        <f t="shared" si="18"/>
        <v>29876310426.337811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1">
        <v>63</v>
      </c>
      <c r="B23" s="1">
        <f t="shared" si="3"/>
        <v>1.05</v>
      </c>
      <c r="C23" s="1">
        <v>20</v>
      </c>
      <c r="D23" s="1">
        <f t="shared" si="0"/>
        <v>29.146000000000001</v>
      </c>
      <c r="E23" s="1">
        <f t="shared" si="4"/>
        <v>4.8576666666666667E-7</v>
      </c>
      <c r="F23" s="1">
        <v>21.1</v>
      </c>
      <c r="G23" s="1">
        <f t="shared" si="5"/>
        <v>294.10000000000002</v>
      </c>
      <c r="H23" s="1">
        <v>101.3</v>
      </c>
      <c r="I23" s="1">
        <f t="shared" si="6"/>
        <v>101300</v>
      </c>
      <c r="J23" s="1">
        <f t="shared" si="7"/>
        <v>2.0124824921938581E-5</v>
      </c>
      <c r="K23" s="22">
        <v>168.80693069306932</v>
      </c>
      <c r="L23" s="2">
        <f t="shared" si="8"/>
        <v>1.6880693069306932E-4</v>
      </c>
      <c r="M23" s="3">
        <f t="shared" si="9"/>
        <v>4.7762865441819992E-3</v>
      </c>
      <c r="N23" s="29">
        <f t="shared" si="10"/>
        <v>7.1126593733074622E-7</v>
      </c>
      <c r="O23" s="29">
        <f t="shared" si="11"/>
        <v>2.032E-3</v>
      </c>
      <c r="P23" s="29">
        <v>2.1048357489809849E-10</v>
      </c>
      <c r="Q23" s="16">
        <v>0.02</v>
      </c>
      <c r="R23" s="16">
        <f t="shared" si="12"/>
        <v>102000</v>
      </c>
      <c r="S23" s="16">
        <f t="shared" si="13"/>
        <v>5.36358238306597E-3</v>
      </c>
      <c r="T23" s="16">
        <v>0.13</v>
      </c>
      <c r="U23" s="16">
        <f t="shared" si="14"/>
        <v>112999.99999999999</v>
      </c>
      <c r="V23" s="16">
        <f t="shared" si="1"/>
        <v>19.07518316831683</v>
      </c>
      <c r="W23" s="16">
        <f t="shared" si="15"/>
        <v>6.9999999999999991</v>
      </c>
      <c r="X23" s="16">
        <f t="shared" si="2"/>
        <v>8.8961381007424036E-7</v>
      </c>
      <c r="Y23" s="2">
        <f t="shared" si="16"/>
        <v>96587.995210177251</v>
      </c>
      <c r="Z23" s="2">
        <f t="shared" si="17"/>
        <v>4.9410482773462381E-14</v>
      </c>
      <c r="AA23" s="16">
        <f t="shared" si="18"/>
        <v>29754992726.179047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1">
        <v>66</v>
      </c>
      <c r="B24" s="1">
        <f t="shared" si="3"/>
        <v>1.1000000000000001</v>
      </c>
      <c r="C24" s="1">
        <v>20</v>
      </c>
      <c r="D24" s="1">
        <f t="shared" si="0"/>
        <v>29.146000000000001</v>
      </c>
      <c r="E24" s="1">
        <f t="shared" si="4"/>
        <v>4.8576666666666667E-7</v>
      </c>
      <c r="F24" s="1">
        <v>21.1</v>
      </c>
      <c r="G24" s="1">
        <f t="shared" si="5"/>
        <v>294.10000000000002</v>
      </c>
      <c r="H24" s="1">
        <v>101.3</v>
      </c>
      <c r="I24" s="1">
        <f t="shared" si="6"/>
        <v>101300</v>
      </c>
      <c r="J24" s="1">
        <f t="shared" si="7"/>
        <v>2.0124824921938581E-5</v>
      </c>
      <c r="K24" s="22">
        <v>162.09900990099013</v>
      </c>
      <c r="L24" s="2">
        <f t="shared" si="8"/>
        <v>1.6209900990099012E-4</v>
      </c>
      <c r="M24" s="3">
        <f t="shared" si="9"/>
        <v>4.7762865441819992E-3</v>
      </c>
      <c r="N24" s="29">
        <f t="shared" si="10"/>
        <v>6.8300219513645434E-7</v>
      </c>
      <c r="O24" s="29">
        <f t="shared" si="11"/>
        <v>2.032E-3</v>
      </c>
      <c r="P24" s="29">
        <v>2.1048357489809849E-10</v>
      </c>
      <c r="Q24" s="16">
        <v>0.02</v>
      </c>
      <c r="R24" s="16">
        <f t="shared" si="12"/>
        <v>102000</v>
      </c>
      <c r="S24" s="16">
        <f t="shared" si="13"/>
        <v>5.36358238306597E-3</v>
      </c>
      <c r="T24" s="16">
        <v>0.13</v>
      </c>
      <c r="U24" s="16">
        <f t="shared" si="14"/>
        <v>112999.99999999999</v>
      </c>
      <c r="V24" s="16">
        <f t="shared" si="1"/>
        <v>18.317188118811881</v>
      </c>
      <c r="W24" s="16">
        <f t="shared" si="15"/>
        <v>6.9999999999999991</v>
      </c>
      <c r="X24" s="16">
        <f t="shared" si="2"/>
        <v>8.5227025942515218E-7</v>
      </c>
      <c r="Y24" s="2">
        <f t="shared" si="16"/>
        <v>96812.210121182143</v>
      </c>
      <c r="Z24" s="2">
        <f t="shared" si="17"/>
        <v>4.722634466437861E-14</v>
      </c>
      <c r="AA24" s="16">
        <f t="shared" si="18"/>
        <v>28439704756.888802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1">
        <v>69</v>
      </c>
      <c r="B25" s="1">
        <f t="shared" si="3"/>
        <v>1.1499999999999999</v>
      </c>
      <c r="C25" s="1">
        <v>20</v>
      </c>
      <c r="D25" s="1">
        <f t="shared" si="0"/>
        <v>29.146000000000001</v>
      </c>
      <c r="E25" s="1">
        <f t="shared" si="4"/>
        <v>4.8576666666666667E-7</v>
      </c>
      <c r="F25" s="1">
        <v>21.1</v>
      </c>
      <c r="G25" s="1">
        <f t="shared" si="5"/>
        <v>294.10000000000002</v>
      </c>
      <c r="H25" s="1">
        <v>101.3</v>
      </c>
      <c r="I25" s="1">
        <f t="shared" si="6"/>
        <v>101300</v>
      </c>
      <c r="J25" s="1">
        <f t="shared" si="7"/>
        <v>2.0124824921938581E-5</v>
      </c>
      <c r="K25" s="22">
        <v>166.70297029702974</v>
      </c>
      <c r="L25" s="2">
        <f t="shared" si="8"/>
        <v>1.6670297029702973E-4</v>
      </c>
      <c r="M25" s="3">
        <f t="shared" si="9"/>
        <v>4.7762865441819992E-3</v>
      </c>
      <c r="N25" s="29">
        <f t="shared" si="10"/>
        <v>7.0240092594139264E-7</v>
      </c>
      <c r="O25" s="29">
        <f t="shared" si="11"/>
        <v>2.032E-3</v>
      </c>
      <c r="P25" s="29">
        <v>2.1048357489809849E-10</v>
      </c>
      <c r="Q25" s="16">
        <v>0.02</v>
      </c>
      <c r="R25" s="16">
        <f t="shared" si="12"/>
        <v>102000</v>
      </c>
      <c r="S25" s="16">
        <f t="shared" si="13"/>
        <v>5.36358238306597E-3</v>
      </c>
      <c r="T25" s="16">
        <v>0.13</v>
      </c>
      <c r="U25" s="16">
        <f t="shared" si="14"/>
        <v>112999.99999999999</v>
      </c>
      <c r="V25" s="16">
        <f t="shared" si="1"/>
        <v>18.837435643564355</v>
      </c>
      <c r="W25" s="16">
        <f t="shared" si="15"/>
        <v>6.9999999999999991</v>
      </c>
      <c r="X25" s="16">
        <f t="shared" si="2"/>
        <v>8.7792062708643999E-7</v>
      </c>
      <c r="Y25" s="2">
        <f t="shared" si="16"/>
        <v>96658.174452690524</v>
      </c>
      <c r="Z25" s="2">
        <f t="shared" si="17"/>
        <v>4.8725495792054506E-14</v>
      </c>
      <c r="AA25" s="16">
        <f t="shared" si="18"/>
        <v>29342493565.975224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1">
        <v>72</v>
      </c>
      <c r="B26" s="1">
        <f t="shared" si="3"/>
        <v>1.2</v>
      </c>
      <c r="C26" s="1">
        <v>20</v>
      </c>
      <c r="D26" s="1">
        <f t="shared" si="0"/>
        <v>29.146000000000001</v>
      </c>
      <c r="E26" s="1">
        <f t="shared" si="4"/>
        <v>4.8576666666666667E-7</v>
      </c>
      <c r="F26" s="1">
        <v>21.1</v>
      </c>
      <c r="G26" s="1">
        <f t="shared" si="5"/>
        <v>294.10000000000002</v>
      </c>
      <c r="H26" s="1">
        <v>101.3</v>
      </c>
      <c r="I26" s="1">
        <f t="shared" si="6"/>
        <v>101300</v>
      </c>
      <c r="J26" s="1">
        <f t="shared" si="7"/>
        <v>2.0124824921938581E-5</v>
      </c>
      <c r="K26" s="22">
        <v>175.19306930693071</v>
      </c>
      <c r="L26" s="2">
        <f t="shared" si="8"/>
        <v>1.7519306930693072E-4</v>
      </c>
      <c r="M26" s="3">
        <f t="shared" si="9"/>
        <v>4.7762865441819992E-3</v>
      </c>
      <c r="N26" s="29">
        <f t="shared" si="10"/>
        <v>7.3817385425372533E-7</v>
      </c>
      <c r="O26" s="29">
        <f t="shared" si="11"/>
        <v>2.032E-3</v>
      </c>
      <c r="P26" s="29">
        <v>2.1048357489809849E-10</v>
      </c>
      <c r="Q26" s="16">
        <v>0.02</v>
      </c>
      <c r="R26" s="16">
        <f t="shared" si="12"/>
        <v>102000</v>
      </c>
      <c r="S26" s="16">
        <f t="shared" si="13"/>
        <v>5.36358238306597E-3</v>
      </c>
      <c r="T26" s="16">
        <v>0.13</v>
      </c>
      <c r="U26" s="16">
        <f t="shared" si="14"/>
        <v>112999.99999999999</v>
      </c>
      <c r="V26" s="16">
        <f t="shared" si="1"/>
        <v>19.79681683168317</v>
      </c>
      <c r="W26" s="16">
        <f t="shared" si="15"/>
        <v>6.9999999999999991</v>
      </c>
      <c r="X26" s="16">
        <f t="shared" si="2"/>
        <v>9.2499978849924059E-7</v>
      </c>
      <c r="Y26" s="2">
        <f t="shared" si="16"/>
        <v>96375.77364201282</v>
      </c>
      <c r="Z26" s="2">
        <f t="shared" si="17"/>
        <v>5.1489411797833733E-14</v>
      </c>
      <c r="AA26" s="16">
        <f t="shared" si="18"/>
        <v>31006923784.655476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1">
        <v>75</v>
      </c>
      <c r="B27" s="1">
        <f t="shared" si="3"/>
        <v>1.25</v>
      </c>
      <c r="C27" s="1">
        <v>20</v>
      </c>
      <c r="D27" s="1">
        <f t="shared" si="0"/>
        <v>29.146000000000001</v>
      </c>
      <c r="E27" s="1">
        <f t="shared" si="4"/>
        <v>4.8576666666666667E-7</v>
      </c>
      <c r="F27" s="1">
        <v>21.1</v>
      </c>
      <c r="G27" s="1">
        <f t="shared" si="5"/>
        <v>294.10000000000002</v>
      </c>
      <c r="H27" s="1">
        <v>101.3</v>
      </c>
      <c r="I27" s="1">
        <f t="shared" si="6"/>
        <v>101300</v>
      </c>
      <c r="J27" s="1">
        <f t="shared" si="7"/>
        <v>2.0124824921938581E-5</v>
      </c>
      <c r="K27" s="22">
        <v>181.23267326732676</v>
      </c>
      <c r="L27" s="2">
        <f t="shared" si="8"/>
        <v>1.8123267326732677E-4</v>
      </c>
      <c r="M27" s="3">
        <f t="shared" si="9"/>
        <v>4.7762865441819992E-3</v>
      </c>
      <c r="N27" s="29">
        <f t="shared" si="10"/>
        <v>7.6362165165375206E-7</v>
      </c>
      <c r="O27" s="29">
        <f t="shared" si="11"/>
        <v>2.032E-3</v>
      </c>
      <c r="P27" s="29">
        <v>2.1048357489809849E-10</v>
      </c>
      <c r="Q27" s="16">
        <v>0.02</v>
      </c>
      <c r="R27" s="16">
        <f t="shared" si="12"/>
        <v>102000</v>
      </c>
      <c r="S27" s="16">
        <f t="shared" si="13"/>
        <v>5.36358238306597E-3</v>
      </c>
      <c r="T27" s="16">
        <v>0.13</v>
      </c>
      <c r="U27" s="16">
        <f t="shared" si="14"/>
        <v>112999.99999999999</v>
      </c>
      <c r="V27" s="16">
        <f t="shared" si="1"/>
        <v>20.479292079207923</v>
      </c>
      <c r="W27" s="16">
        <f t="shared" si="15"/>
        <v>6.9999999999999991</v>
      </c>
      <c r="X27" s="16">
        <f t="shared" si="2"/>
        <v>9.5832453883024673E-7</v>
      </c>
      <c r="Y27" s="2">
        <f t="shared" si="16"/>
        <v>96176.127353257238</v>
      </c>
      <c r="Z27" s="2">
        <f t="shared" si="17"/>
        <v>5.345554543462103E-14</v>
      </c>
      <c r="AA27" s="16">
        <f t="shared" si="18"/>
        <v>32190929460.728786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1">
        <v>78</v>
      </c>
      <c r="B28" s="1">
        <f t="shared" si="3"/>
        <v>1.3</v>
      </c>
      <c r="C28" s="1">
        <v>20</v>
      </c>
      <c r="D28" s="1">
        <f t="shared" si="0"/>
        <v>29.146000000000001</v>
      </c>
      <c r="E28" s="1">
        <f t="shared" si="4"/>
        <v>4.8576666666666667E-7</v>
      </c>
      <c r="F28" s="1">
        <v>21.1</v>
      </c>
      <c r="G28" s="1">
        <f t="shared" si="5"/>
        <v>294.10000000000002</v>
      </c>
      <c r="H28" s="1">
        <v>101.3</v>
      </c>
      <c r="I28" s="1">
        <f t="shared" si="6"/>
        <v>101300</v>
      </c>
      <c r="J28" s="1">
        <f t="shared" si="7"/>
        <v>2.0124824921938581E-5</v>
      </c>
      <c r="K28" s="22">
        <v>174.2772277227723</v>
      </c>
      <c r="L28" s="2">
        <f t="shared" si="8"/>
        <v>1.7427722772277231E-4</v>
      </c>
      <c r="M28" s="3">
        <f t="shared" si="9"/>
        <v>4.7762865441819992E-3</v>
      </c>
      <c r="N28" s="29">
        <f t="shared" si="10"/>
        <v>7.343149669430655E-7</v>
      </c>
      <c r="O28" s="29">
        <f t="shared" si="11"/>
        <v>2.032E-3</v>
      </c>
      <c r="P28" s="29">
        <v>2.1048357489809849E-10</v>
      </c>
      <c r="Q28" s="16">
        <v>0.02</v>
      </c>
      <c r="R28" s="16">
        <f t="shared" si="12"/>
        <v>102000</v>
      </c>
      <c r="S28" s="16">
        <f t="shared" si="13"/>
        <v>5.36358238306597E-3</v>
      </c>
      <c r="T28" s="16">
        <v>0.13</v>
      </c>
      <c r="U28" s="16">
        <f t="shared" si="14"/>
        <v>112999.99999999999</v>
      </c>
      <c r="V28" s="16">
        <f t="shared" si="1"/>
        <v>19.693326732673267</v>
      </c>
      <c r="W28" s="16">
        <f t="shared" si="15"/>
        <v>6.9999999999999991</v>
      </c>
      <c r="X28" s="16">
        <f t="shared" si="2"/>
        <v>9.1993465951416649E-7</v>
      </c>
      <c r="Y28" s="2">
        <f t="shared" si="16"/>
        <v>96406.136604131389</v>
      </c>
      <c r="Z28" s="2">
        <f t="shared" si="17"/>
        <v>5.1191279245999146E-14</v>
      </c>
      <c r="AA28" s="16">
        <f t="shared" si="18"/>
        <v>30827388361.940685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1">
        <v>81</v>
      </c>
      <c r="B29" s="1">
        <f t="shared" si="3"/>
        <v>1.35</v>
      </c>
      <c r="C29" s="1">
        <v>20</v>
      </c>
      <c r="D29" s="1">
        <f t="shared" si="0"/>
        <v>29.146000000000001</v>
      </c>
      <c r="E29" s="1">
        <f t="shared" si="4"/>
        <v>4.8576666666666667E-7</v>
      </c>
      <c r="F29" s="1">
        <v>21.1</v>
      </c>
      <c r="G29" s="1">
        <f t="shared" si="5"/>
        <v>294.10000000000002</v>
      </c>
      <c r="H29" s="1">
        <v>101.3</v>
      </c>
      <c r="I29" s="1">
        <f t="shared" si="6"/>
        <v>101300</v>
      </c>
      <c r="J29" s="1">
        <f t="shared" si="7"/>
        <v>2.0124824921938581E-5</v>
      </c>
      <c r="K29" s="22">
        <v>177.7673267326733</v>
      </c>
      <c r="L29" s="2">
        <f t="shared" si="8"/>
        <v>1.7776732673267329E-4</v>
      </c>
      <c r="M29" s="3">
        <f t="shared" si="9"/>
        <v>4.7762865441819992E-3</v>
      </c>
      <c r="N29" s="29">
        <f t="shared" si="10"/>
        <v>7.4902045642422854E-7</v>
      </c>
      <c r="O29" s="29">
        <f t="shared" si="11"/>
        <v>2.032E-3</v>
      </c>
      <c r="P29" s="29">
        <v>2.1048357489809849E-10</v>
      </c>
      <c r="Q29" s="16">
        <v>0.02</v>
      </c>
      <c r="R29" s="16">
        <f t="shared" si="12"/>
        <v>102000</v>
      </c>
      <c r="S29" s="16">
        <f t="shared" si="13"/>
        <v>5.36358238306597E-3</v>
      </c>
      <c r="T29" s="16">
        <v>0.13</v>
      </c>
      <c r="U29" s="16">
        <f t="shared" si="14"/>
        <v>112999.99999999999</v>
      </c>
      <c r="V29" s="16">
        <f t="shared" si="1"/>
        <v>20.087707920792077</v>
      </c>
      <c r="W29" s="16">
        <f t="shared" si="15"/>
        <v>6.9999999999999991</v>
      </c>
      <c r="X29" s="16">
        <f t="shared" si="2"/>
        <v>9.3922012285620344E-7</v>
      </c>
      <c r="Y29" s="2">
        <f t="shared" si="16"/>
        <v>96290.555276805651</v>
      </c>
      <c r="Z29" s="2">
        <f t="shared" si="17"/>
        <v>5.2327412881505142E-14</v>
      </c>
      <c r="AA29" s="16">
        <f t="shared" si="18"/>
        <v>31511568037.242397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1">
        <v>84</v>
      </c>
      <c r="B30" s="1">
        <f t="shared" si="3"/>
        <v>1.4</v>
      </c>
      <c r="C30" s="1">
        <v>20</v>
      </c>
      <c r="D30" s="1">
        <f t="shared" si="0"/>
        <v>29.146000000000001</v>
      </c>
      <c r="E30" s="1">
        <f t="shared" si="4"/>
        <v>4.8576666666666667E-7</v>
      </c>
      <c r="F30" s="1">
        <v>21.1</v>
      </c>
      <c r="G30" s="1">
        <f t="shared" si="5"/>
        <v>294.10000000000002</v>
      </c>
      <c r="H30" s="1">
        <v>101.3</v>
      </c>
      <c r="I30" s="1">
        <f t="shared" si="6"/>
        <v>101300</v>
      </c>
      <c r="J30" s="1">
        <f t="shared" si="7"/>
        <v>2.0124824921938581E-5</v>
      </c>
      <c r="K30" s="22">
        <v>184.20297029702974</v>
      </c>
      <c r="L30" s="2">
        <f t="shared" si="8"/>
        <v>1.8420297029702974E-4</v>
      </c>
      <c r="M30" s="3">
        <f t="shared" si="9"/>
        <v>4.7762865441819992E-3</v>
      </c>
      <c r="N30" s="29">
        <f t="shared" si="10"/>
        <v>7.7613696185048651E-7</v>
      </c>
      <c r="O30" s="29">
        <f t="shared" si="11"/>
        <v>2.032E-3</v>
      </c>
      <c r="P30" s="29">
        <v>2.1048357489809849E-10</v>
      </c>
      <c r="Q30" s="16">
        <v>0.02</v>
      </c>
      <c r="R30" s="16">
        <f t="shared" si="12"/>
        <v>102000</v>
      </c>
      <c r="S30" s="16">
        <f t="shared" si="13"/>
        <v>5.36358238306597E-3</v>
      </c>
      <c r="T30" s="16">
        <v>0.13</v>
      </c>
      <c r="U30" s="16">
        <f t="shared" si="14"/>
        <v>112999.99999999999</v>
      </c>
      <c r="V30" s="16">
        <f t="shared" si="1"/>
        <v>20.814935643564358</v>
      </c>
      <c r="W30" s="16">
        <f t="shared" si="15"/>
        <v>6.9999999999999991</v>
      </c>
      <c r="X30" s="16">
        <f t="shared" si="2"/>
        <v>9.7466560043407358E-7</v>
      </c>
      <c r="Y30" s="2">
        <f t="shared" si="16"/>
        <v>96078.304815867697</v>
      </c>
      <c r="Z30" s="2">
        <f t="shared" si="17"/>
        <v>5.4422609318514651E-14</v>
      </c>
      <c r="AA30" s="16">
        <f t="shared" si="18"/>
        <v>32773295331.609524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1">
        <v>87</v>
      </c>
      <c r="B31" s="1">
        <f t="shared" si="3"/>
        <v>1.45</v>
      </c>
      <c r="C31" s="1">
        <v>20</v>
      </c>
      <c r="D31" s="1">
        <f t="shared" si="0"/>
        <v>29.146000000000001</v>
      </c>
      <c r="E31" s="1">
        <f t="shared" si="4"/>
        <v>4.8576666666666667E-7</v>
      </c>
      <c r="F31" s="1">
        <v>21.1</v>
      </c>
      <c r="G31" s="1">
        <f t="shared" si="5"/>
        <v>294.10000000000002</v>
      </c>
      <c r="H31" s="1">
        <v>101.3</v>
      </c>
      <c r="I31" s="1">
        <f t="shared" si="6"/>
        <v>101300</v>
      </c>
      <c r="J31" s="1">
        <f t="shared" si="7"/>
        <v>2.0124824921938581E-5</v>
      </c>
      <c r="K31" s="22">
        <v>174.89603960396042</v>
      </c>
      <c r="L31" s="2">
        <f t="shared" si="8"/>
        <v>1.7489603960396042E-4</v>
      </c>
      <c r="M31" s="3">
        <f t="shared" si="9"/>
        <v>4.7762865441819992E-3</v>
      </c>
      <c r="N31" s="29">
        <f t="shared" si="10"/>
        <v>7.369223232340519E-7</v>
      </c>
      <c r="O31" s="29">
        <f t="shared" si="11"/>
        <v>2.032E-3</v>
      </c>
      <c r="P31" s="29">
        <v>2.1048357489809849E-10</v>
      </c>
      <c r="Q31" s="16">
        <v>0.02</v>
      </c>
      <c r="R31" s="16">
        <f t="shared" si="12"/>
        <v>102000</v>
      </c>
      <c r="S31" s="16">
        <f t="shared" si="13"/>
        <v>5.36358238306597E-3</v>
      </c>
      <c r="T31" s="16">
        <v>0.13</v>
      </c>
      <c r="U31" s="16">
        <f t="shared" si="14"/>
        <v>112999.99999999999</v>
      </c>
      <c r="V31" s="16">
        <f t="shared" si="1"/>
        <v>19.763252475247526</v>
      </c>
      <c r="W31" s="16">
        <f t="shared" si="15"/>
        <v>6.9999999999999991</v>
      </c>
      <c r="X31" s="16">
        <f t="shared" si="2"/>
        <v>9.2335739016820522E-7</v>
      </c>
      <c r="Y31" s="2">
        <f t="shared" si="16"/>
        <v>96385.618489942717</v>
      </c>
      <c r="Z31" s="2">
        <f t="shared" si="17"/>
        <v>5.1392720159810306E-14</v>
      </c>
      <c r="AA31" s="16">
        <f t="shared" si="18"/>
        <v>30948696080.237766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1">
        <v>90</v>
      </c>
      <c r="B32" s="1">
        <f t="shared" si="3"/>
        <v>1.5</v>
      </c>
      <c r="C32" s="1">
        <v>20</v>
      </c>
      <c r="D32" s="1">
        <f t="shared" si="0"/>
        <v>29.146000000000001</v>
      </c>
      <c r="E32" s="1">
        <f t="shared" si="4"/>
        <v>4.8576666666666667E-7</v>
      </c>
      <c r="F32" s="1">
        <v>21.1</v>
      </c>
      <c r="G32" s="1">
        <f t="shared" si="5"/>
        <v>294.10000000000002</v>
      </c>
      <c r="H32" s="1">
        <v>101.3</v>
      </c>
      <c r="I32" s="1">
        <f t="shared" si="6"/>
        <v>101300</v>
      </c>
      <c r="J32" s="1">
        <f t="shared" si="7"/>
        <v>2.0124824921938581E-5</v>
      </c>
      <c r="K32" s="22">
        <v>170.6881188118812</v>
      </c>
      <c r="L32" s="2">
        <f t="shared" si="8"/>
        <v>1.7068811881188121E-4</v>
      </c>
      <c r="M32" s="3">
        <f t="shared" si="9"/>
        <v>4.7762865441819992E-3</v>
      </c>
      <c r="N32" s="29">
        <f t="shared" si="10"/>
        <v>7.1919230045534474E-7</v>
      </c>
      <c r="O32" s="29">
        <f t="shared" si="11"/>
        <v>2.032E-3</v>
      </c>
      <c r="P32" s="29">
        <v>2.1048357489809849E-10</v>
      </c>
      <c r="Q32" s="16">
        <v>0.02</v>
      </c>
      <c r="R32" s="16">
        <f t="shared" si="12"/>
        <v>102000</v>
      </c>
      <c r="S32" s="16">
        <f t="shared" si="13"/>
        <v>5.36358238306597E-3</v>
      </c>
      <c r="T32" s="16">
        <v>0.13</v>
      </c>
      <c r="U32" s="16">
        <f t="shared" si="14"/>
        <v>112999.99999999999</v>
      </c>
      <c r="V32" s="16">
        <f t="shared" si="1"/>
        <v>19.287757425742573</v>
      </c>
      <c r="W32" s="16">
        <f t="shared" si="15"/>
        <v>6.9999999999999991</v>
      </c>
      <c r="X32" s="16">
        <f t="shared" si="2"/>
        <v>9.0005400318677276E-7</v>
      </c>
      <c r="Y32" s="2">
        <f t="shared" si="16"/>
        <v>96525.357601626587</v>
      </c>
      <c r="Z32" s="2">
        <f t="shared" si="17"/>
        <v>5.002290325462536E-14</v>
      </c>
      <c r="AA32" s="16">
        <f t="shared" si="18"/>
        <v>30123792339.935394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1">
        <v>93</v>
      </c>
      <c r="B33" s="1">
        <f t="shared" si="3"/>
        <v>1.55</v>
      </c>
      <c r="C33" s="1">
        <v>20</v>
      </c>
      <c r="D33" s="1">
        <f t="shared" si="0"/>
        <v>29.146000000000001</v>
      </c>
      <c r="E33" s="1">
        <f t="shared" si="4"/>
        <v>4.8576666666666667E-7</v>
      </c>
      <c r="F33" s="1">
        <v>21.1</v>
      </c>
      <c r="G33" s="1">
        <f t="shared" si="5"/>
        <v>294.10000000000002</v>
      </c>
      <c r="H33" s="1">
        <v>101.3</v>
      </c>
      <c r="I33" s="1">
        <f t="shared" si="6"/>
        <v>101300</v>
      </c>
      <c r="J33" s="1">
        <f t="shared" si="7"/>
        <v>2.0124824921938581E-5</v>
      </c>
      <c r="K33" s="22">
        <v>172.91584158415841</v>
      </c>
      <c r="L33" s="2">
        <f t="shared" si="8"/>
        <v>1.7291584158415842E-4</v>
      </c>
      <c r="M33" s="3">
        <f t="shared" si="9"/>
        <v>4.7762865441819992E-3</v>
      </c>
      <c r="N33" s="29">
        <f t="shared" si="10"/>
        <v>7.2857878310289556E-7</v>
      </c>
      <c r="O33" s="29">
        <f t="shared" si="11"/>
        <v>2.032E-3</v>
      </c>
      <c r="P33" s="29">
        <v>2.1048357489809849E-10</v>
      </c>
      <c r="Q33" s="16">
        <v>0.02</v>
      </c>
      <c r="R33" s="16">
        <f t="shared" si="12"/>
        <v>102000</v>
      </c>
      <c r="S33" s="16">
        <f t="shared" si="13"/>
        <v>5.36358238306597E-3</v>
      </c>
      <c r="T33" s="16">
        <v>0.13</v>
      </c>
      <c r="U33" s="16">
        <f t="shared" si="14"/>
        <v>112999.99999999999</v>
      </c>
      <c r="V33" s="16">
        <f t="shared" si="1"/>
        <v>19.5394900990099</v>
      </c>
      <c r="W33" s="16">
        <f t="shared" si="15"/>
        <v>6.9999999999999991</v>
      </c>
      <c r="X33" s="16">
        <f t="shared" si="2"/>
        <v>9.1239954110655692E-7</v>
      </c>
      <c r="Y33" s="2">
        <f t="shared" si="16"/>
        <v>96451.314789192213</v>
      </c>
      <c r="Z33" s="2">
        <f t="shared" si="17"/>
        <v>5.0748107559133804E-14</v>
      </c>
      <c r="AA33" s="16">
        <f t="shared" si="18"/>
        <v>30560510372.110378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1">
        <v>96</v>
      </c>
      <c r="B34" s="1">
        <f t="shared" si="3"/>
        <v>1.6</v>
      </c>
      <c r="C34" s="1">
        <v>20</v>
      </c>
      <c r="D34" s="1">
        <f t="shared" si="0"/>
        <v>29.146000000000001</v>
      </c>
      <c r="E34" s="1">
        <f t="shared" si="4"/>
        <v>4.8576666666666667E-7</v>
      </c>
      <c r="F34" s="1">
        <v>21.1</v>
      </c>
      <c r="G34" s="1">
        <f t="shared" si="5"/>
        <v>294.10000000000002</v>
      </c>
      <c r="H34" s="1">
        <v>101.3</v>
      </c>
      <c r="I34" s="1">
        <f t="shared" si="6"/>
        <v>101300</v>
      </c>
      <c r="J34" s="1">
        <f t="shared" si="7"/>
        <v>2.0124824921938581E-5</v>
      </c>
      <c r="K34" s="22">
        <v>167.00000000000003</v>
      </c>
      <c r="L34" s="2">
        <f t="shared" si="8"/>
        <v>1.6700000000000002E-4</v>
      </c>
      <c r="M34" s="3">
        <f t="shared" si="9"/>
        <v>4.7762865441819992E-3</v>
      </c>
      <c r="N34" s="29">
        <f t="shared" si="10"/>
        <v>7.0365245696106618E-7</v>
      </c>
      <c r="O34" s="29">
        <f t="shared" si="11"/>
        <v>2.032E-3</v>
      </c>
      <c r="P34" s="29">
        <v>2.1048357489809849E-10</v>
      </c>
      <c r="Q34" s="16">
        <v>0.02</v>
      </c>
      <c r="R34" s="16">
        <f t="shared" si="12"/>
        <v>102000</v>
      </c>
      <c r="S34" s="16">
        <f t="shared" si="13"/>
        <v>5.36358238306597E-3</v>
      </c>
      <c r="T34" s="16">
        <v>0.13</v>
      </c>
      <c r="U34" s="16">
        <f t="shared" si="14"/>
        <v>112999.99999999999</v>
      </c>
      <c r="V34" s="16">
        <f t="shared" ref="V34:V65" si="19">(L34*U34)</f>
        <v>18.870999999999999</v>
      </c>
      <c r="W34" s="16">
        <f t="shared" si="15"/>
        <v>6.9999999999999991</v>
      </c>
      <c r="X34" s="16">
        <f t="shared" ref="X34:X65" si="20">(N34+((P34/O34)*(SQRT(V34)-SQRT(W34))))</f>
        <v>8.7957250698748511E-7</v>
      </c>
      <c r="Y34" s="2">
        <f t="shared" si="16"/>
        <v>96648.258781592827</v>
      </c>
      <c r="Z34" s="2">
        <f t="shared" si="17"/>
        <v>4.8822203176639842E-14</v>
      </c>
      <c r="AA34" s="16">
        <f t="shared" si="18"/>
        <v>29400730752.972515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1">
        <v>99</v>
      </c>
      <c r="B35" s="1">
        <f t="shared" si="3"/>
        <v>1.65</v>
      </c>
      <c r="C35" s="1">
        <v>20</v>
      </c>
      <c r="D35" s="1">
        <f t="shared" si="0"/>
        <v>29.146000000000001</v>
      </c>
      <c r="E35" s="1">
        <f t="shared" si="4"/>
        <v>4.8576666666666667E-7</v>
      </c>
      <c r="F35" s="1">
        <v>21.1</v>
      </c>
      <c r="G35" s="1">
        <f t="shared" si="5"/>
        <v>294.10000000000002</v>
      </c>
      <c r="H35" s="1">
        <v>101.3</v>
      </c>
      <c r="I35" s="1">
        <f t="shared" si="6"/>
        <v>101300</v>
      </c>
      <c r="J35" s="1">
        <f t="shared" si="7"/>
        <v>2.0124824921938581E-5</v>
      </c>
      <c r="K35" s="22">
        <v>176.43069306930695</v>
      </c>
      <c r="L35" s="2">
        <f t="shared" si="8"/>
        <v>1.7643069306930696E-4</v>
      </c>
      <c r="M35" s="3">
        <f t="shared" si="9"/>
        <v>4.7762865441819992E-3</v>
      </c>
      <c r="N35" s="29">
        <f t="shared" si="10"/>
        <v>7.4338856683569793E-7</v>
      </c>
      <c r="O35" s="29">
        <f t="shared" si="11"/>
        <v>2.032E-3</v>
      </c>
      <c r="P35" s="29">
        <v>2.1048357489809849E-10</v>
      </c>
      <c r="Q35" s="16">
        <v>0.02</v>
      </c>
      <c r="R35" s="16">
        <f t="shared" si="12"/>
        <v>102000</v>
      </c>
      <c r="S35" s="16">
        <f t="shared" si="13"/>
        <v>5.36358238306597E-3</v>
      </c>
      <c r="T35" s="16">
        <v>0.13</v>
      </c>
      <c r="U35" s="16">
        <f t="shared" si="14"/>
        <v>112999.99999999999</v>
      </c>
      <c r="V35" s="16">
        <f t="shared" si="19"/>
        <v>19.936668316831685</v>
      </c>
      <c r="W35" s="16">
        <f t="shared" si="15"/>
        <v>6.9999999999999991</v>
      </c>
      <c r="X35" s="16">
        <f t="shared" si="20"/>
        <v>9.3183955933960775E-7</v>
      </c>
      <c r="Y35" s="2">
        <f t="shared" si="16"/>
        <v>96334.780161920105</v>
      </c>
      <c r="Z35" s="2">
        <f t="shared" si="17"/>
        <v>5.1892294718309102E-14</v>
      </c>
      <c r="AA35" s="16">
        <f t="shared" si="18"/>
        <v>31249539879.365742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1">
        <v>102</v>
      </c>
      <c r="B36" s="1">
        <f t="shared" si="3"/>
        <v>1.7</v>
      </c>
      <c r="C36" s="1">
        <v>20</v>
      </c>
      <c r="D36" s="1">
        <f t="shared" si="0"/>
        <v>29.146000000000001</v>
      </c>
      <c r="E36" s="1">
        <f t="shared" si="4"/>
        <v>4.8576666666666667E-7</v>
      </c>
      <c r="F36" s="1">
        <v>21.1</v>
      </c>
      <c r="G36" s="1">
        <f t="shared" si="5"/>
        <v>294.10000000000002</v>
      </c>
      <c r="H36" s="1">
        <v>101.3</v>
      </c>
      <c r="I36" s="1">
        <f t="shared" si="6"/>
        <v>101300</v>
      </c>
      <c r="J36" s="1">
        <f t="shared" si="7"/>
        <v>2.0124824921938581E-5</v>
      </c>
      <c r="K36" s="22">
        <v>175.53960396039605</v>
      </c>
      <c r="L36" s="2">
        <f t="shared" si="8"/>
        <v>1.7553960396039605E-4</v>
      </c>
      <c r="M36" s="3">
        <f t="shared" si="9"/>
        <v>4.7762865441819992E-3</v>
      </c>
      <c r="N36" s="29">
        <f t="shared" si="10"/>
        <v>7.3963397377667762E-7</v>
      </c>
      <c r="O36" s="29">
        <f t="shared" si="11"/>
        <v>2.032E-3</v>
      </c>
      <c r="P36" s="29">
        <v>2.1048357489809849E-10</v>
      </c>
      <c r="Q36" s="16">
        <v>0.02</v>
      </c>
      <c r="R36" s="16">
        <f t="shared" si="12"/>
        <v>102000</v>
      </c>
      <c r="S36" s="16">
        <f t="shared" si="13"/>
        <v>5.36358238306597E-3</v>
      </c>
      <c r="T36" s="16">
        <v>0.13</v>
      </c>
      <c r="U36" s="16">
        <f t="shared" si="14"/>
        <v>112999.99999999999</v>
      </c>
      <c r="V36" s="16">
        <f t="shared" si="19"/>
        <v>19.83597524752475</v>
      </c>
      <c r="W36" s="16">
        <f t="shared" si="15"/>
        <v>6.9999999999999991</v>
      </c>
      <c r="X36" s="16">
        <f t="shared" si="20"/>
        <v>9.2691550133663469E-7</v>
      </c>
      <c r="Y36" s="2">
        <f t="shared" si="16"/>
        <v>96364.291130229554</v>
      </c>
      <c r="Z36" s="2">
        <f t="shared" si="17"/>
        <v>5.1602218784283108E-14</v>
      </c>
      <c r="AA36" s="16">
        <f t="shared" si="18"/>
        <v>31074856151.89529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1">
        <v>105</v>
      </c>
      <c r="B37" s="1">
        <f t="shared" si="3"/>
        <v>1.75</v>
      </c>
      <c r="C37" s="1">
        <v>20</v>
      </c>
      <c r="D37" s="1">
        <f t="shared" si="0"/>
        <v>29.146000000000001</v>
      </c>
      <c r="E37" s="1">
        <f t="shared" si="4"/>
        <v>4.8576666666666667E-7</v>
      </c>
      <c r="F37" s="1">
        <v>21.1</v>
      </c>
      <c r="G37" s="1">
        <f t="shared" si="5"/>
        <v>294.10000000000002</v>
      </c>
      <c r="H37" s="1">
        <v>101.3</v>
      </c>
      <c r="I37" s="1">
        <f t="shared" si="6"/>
        <v>101300</v>
      </c>
      <c r="J37" s="1">
        <f t="shared" si="7"/>
        <v>2.0124824921938581E-5</v>
      </c>
      <c r="K37" s="22">
        <v>178.93069306930695</v>
      </c>
      <c r="L37" s="2">
        <f t="shared" si="8"/>
        <v>1.7893069306930697E-4</v>
      </c>
      <c r="M37" s="3">
        <f t="shared" si="9"/>
        <v>4.7762865441819992E-3</v>
      </c>
      <c r="N37" s="29">
        <f t="shared" si="10"/>
        <v>7.5392228625128286E-7</v>
      </c>
      <c r="O37" s="29">
        <f t="shared" si="11"/>
        <v>2.032E-3</v>
      </c>
      <c r="P37" s="29">
        <v>2.1048357489809849E-10</v>
      </c>
      <c r="Q37" s="16">
        <v>0.02</v>
      </c>
      <c r="R37" s="16">
        <f t="shared" si="12"/>
        <v>102000</v>
      </c>
      <c r="S37" s="16">
        <f t="shared" si="13"/>
        <v>5.36358238306597E-3</v>
      </c>
      <c r="T37" s="16">
        <v>0.13</v>
      </c>
      <c r="U37" s="16">
        <f t="shared" si="14"/>
        <v>112999.99999999999</v>
      </c>
      <c r="V37" s="16">
        <f t="shared" si="19"/>
        <v>20.219168316831684</v>
      </c>
      <c r="W37" s="16">
        <f t="shared" si="15"/>
        <v>6.9999999999999991</v>
      </c>
      <c r="X37" s="16">
        <f t="shared" si="20"/>
        <v>9.4563860297398683E-7</v>
      </c>
      <c r="Y37" s="2">
        <f t="shared" si="16"/>
        <v>96252.103521445504</v>
      </c>
      <c r="Z37" s="2">
        <f t="shared" si="17"/>
        <v>5.2706133582985285E-14</v>
      </c>
      <c r="AA37" s="16">
        <f t="shared" si="18"/>
        <v>31739633643.67374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1">
        <v>108</v>
      </c>
      <c r="B38" s="1">
        <f t="shared" si="3"/>
        <v>1.8</v>
      </c>
      <c r="C38" s="1">
        <v>20</v>
      </c>
      <c r="D38" s="1">
        <f t="shared" si="0"/>
        <v>29.146000000000001</v>
      </c>
      <c r="E38" s="1">
        <f t="shared" si="4"/>
        <v>4.8576666666666667E-7</v>
      </c>
      <c r="F38" s="1">
        <v>21.1</v>
      </c>
      <c r="G38" s="1">
        <f t="shared" si="5"/>
        <v>294.10000000000002</v>
      </c>
      <c r="H38" s="1">
        <v>101.3</v>
      </c>
      <c r="I38" s="1">
        <f t="shared" si="6"/>
        <v>101300</v>
      </c>
      <c r="J38" s="1">
        <f t="shared" si="7"/>
        <v>2.0124824921938581E-5</v>
      </c>
      <c r="K38" s="22">
        <v>169.50000000000003</v>
      </c>
      <c r="L38" s="2">
        <f t="shared" si="8"/>
        <v>1.6950000000000003E-4</v>
      </c>
      <c r="M38" s="3">
        <f t="shared" si="9"/>
        <v>4.7762865441819992E-3</v>
      </c>
      <c r="N38" s="29">
        <f t="shared" si="10"/>
        <v>7.14186176376651E-7</v>
      </c>
      <c r="O38" s="29">
        <f t="shared" si="11"/>
        <v>2.032E-3</v>
      </c>
      <c r="P38" s="29">
        <v>2.1048357489809849E-10</v>
      </c>
      <c r="Q38" s="16">
        <v>0.02</v>
      </c>
      <c r="R38" s="16">
        <f t="shared" si="12"/>
        <v>102000</v>
      </c>
      <c r="S38" s="16">
        <f t="shared" si="13"/>
        <v>5.36358238306597E-3</v>
      </c>
      <c r="T38" s="16">
        <v>0.13</v>
      </c>
      <c r="U38" s="16">
        <f t="shared" si="14"/>
        <v>112999.99999999999</v>
      </c>
      <c r="V38" s="16">
        <f t="shared" si="19"/>
        <v>19.153500000000001</v>
      </c>
      <c r="W38" s="16">
        <f t="shared" si="15"/>
        <v>6.9999999999999991</v>
      </c>
      <c r="X38" s="16">
        <f t="shared" si="20"/>
        <v>8.9346181880593288E-7</v>
      </c>
      <c r="Y38" s="2">
        <f t="shared" si="16"/>
        <v>96564.906102121822</v>
      </c>
      <c r="Z38" s="2">
        <f t="shared" si="17"/>
        <v>4.9636114920960923E-14</v>
      </c>
      <c r="AA38" s="16">
        <f t="shared" si="18"/>
        <v>29890868405.402668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1">
        <v>111</v>
      </c>
      <c r="B39" s="1">
        <f t="shared" si="3"/>
        <v>1.85</v>
      </c>
      <c r="C39" s="1">
        <v>20</v>
      </c>
      <c r="D39" s="1">
        <f t="shared" si="0"/>
        <v>29.146000000000001</v>
      </c>
      <c r="E39" s="1">
        <f t="shared" si="4"/>
        <v>4.8576666666666667E-7</v>
      </c>
      <c r="F39" s="1">
        <v>21.1</v>
      </c>
      <c r="G39" s="1">
        <f t="shared" si="5"/>
        <v>294.10000000000002</v>
      </c>
      <c r="H39" s="1">
        <v>101.3</v>
      </c>
      <c r="I39" s="1">
        <f t="shared" si="6"/>
        <v>101300</v>
      </c>
      <c r="J39" s="1">
        <f t="shared" si="7"/>
        <v>2.0124824921938581E-5</v>
      </c>
      <c r="K39" s="22">
        <v>175.88613861386139</v>
      </c>
      <c r="L39" s="2">
        <f t="shared" si="8"/>
        <v>1.758861386138614E-4</v>
      </c>
      <c r="M39" s="3">
        <f t="shared" si="9"/>
        <v>4.7762865441819992E-3</v>
      </c>
      <c r="N39" s="29">
        <f t="shared" si="10"/>
        <v>7.4109409329962991E-7</v>
      </c>
      <c r="O39" s="29">
        <f t="shared" si="11"/>
        <v>2.032E-3</v>
      </c>
      <c r="P39" s="29">
        <v>2.1048357489809849E-10</v>
      </c>
      <c r="Q39" s="16">
        <v>0.02</v>
      </c>
      <c r="R39" s="16">
        <f t="shared" si="12"/>
        <v>102000</v>
      </c>
      <c r="S39" s="16">
        <f t="shared" si="13"/>
        <v>5.36358238306597E-3</v>
      </c>
      <c r="T39" s="16">
        <v>0.13</v>
      </c>
      <c r="U39" s="16">
        <f t="shared" si="14"/>
        <v>112999.99999999999</v>
      </c>
      <c r="V39" s="16">
        <f t="shared" si="19"/>
        <v>19.875133663366334</v>
      </c>
      <c r="W39" s="16">
        <f t="shared" si="15"/>
        <v>6.9999999999999991</v>
      </c>
      <c r="X39" s="16">
        <f t="shared" si="20"/>
        <v>9.288307646996542E-7</v>
      </c>
      <c r="Y39" s="2">
        <f t="shared" si="16"/>
        <v>96352.811996363336</v>
      </c>
      <c r="Z39" s="2">
        <f t="shared" si="17"/>
        <v>5.1715025915728424E-14</v>
      </c>
      <c r="AA39" s="16">
        <f t="shared" si="18"/>
        <v>31142788606.45166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1">
        <v>114</v>
      </c>
      <c r="B40" s="1">
        <f t="shared" si="3"/>
        <v>1.9</v>
      </c>
      <c r="C40" s="1">
        <v>20</v>
      </c>
      <c r="D40" s="1">
        <f t="shared" si="0"/>
        <v>29.146000000000001</v>
      </c>
      <c r="E40" s="1">
        <f t="shared" si="4"/>
        <v>4.8576666666666667E-7</v>
      </c>
      <c r="F40" s="1">
        <v>21.1</v>
      </c>
      <c r="G40" s="1">
        <f t="shared" si="5"/>
        <v>294.10000000000002</v>
      </c>
      <c r="H40" s="1">
        <v>101.3</v>
      </c>
      <c r="I40" s="1">
        <f t="shared" si="6"/>
        <v>101300</v>
      </c>
      <c r="J40" s="1">
        <f t="shared" si="7"/>
        <v>2.0124824921938581E-5</v>
      </c>
      <c r="K40" s="28">
        <v>182.27227722772278</v>
      </c>
      <c r="L40" s="2">
        <f t="shared" si="8"/>
        <v>1.8227227722772277E-4</v>
      </c>
      <c r="M40" s="3">
        <f t="shared" si="9"/>
        <v>4.7762865441819992E-3</v>
      </c>
      <c r="N40" s="64">
        <f t="shared" si="10"/>
        <v>7.6800201022260903E-7</v>
      </c>
      <c r="O40" s="29">
        <f t="shared" si="11"/>
        <v>2.032E-3</v>
      </c>
      <c r="P40" s="29">
        <v>2.1048357489809849E-10</v>
      </c>
      <c r="Q40" s="16">
        <v>0.02</v>
      </c>
      <c r="R40" s="16">
        <f t="shared" si="12"/>
        <v>102000</v>
      </c>
      <c r="S40" s="16">
        <f t="shared" si="13"/>
        <v>5.36358238306597E-3</v>
      </c>
      <c r="T40" s="16">
        <v>0.13</v>
      </c>
      <c r="U40" s="16">
        <f t="shared" si="14"/>
        <v>112999.99999999999</v>
      </c>
      <c r="V40" s="16">
        <f t="shared" si="19"/>
        <v>20.596767326732671</v>
      </c>
      <c r="W40" s="16">
        <f t="shared" si="15"/>
        <v>6.9999999999999991</v>
      </c>
      <c r="X40" s="18">
        <f t="shared" si="20"/>
        <v>9.6404745193439156E-7</v>
      </c>
      <c r="Y40" s="2">
        <f t="shared" si="16"/>
        <v>96141.862601028464</v>
      </c>
      <c r="Z40" s="12">
        <f t="shared" si="17"/>
        <v>5.3794005777876354E-14</v>
      </c>
      <c r="AA40" s="18">
        <f t="shared" si="18"/>
        <v>32394750279.437141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1">
        <v>117</v>
      </c>
      <c r="B41" s="1">
        <f t="shared" si="3"/>
        <v>1.95</v>
      </c>
      <c r="C41" s="1">
        <v>20</v>
      </c>
      <c r="D41" s="1">
        <f t="shared" si="0"/>
        <v>29.146000000000001</v>
      </c>
      <c r="E41" s="1">
        <f t="shared" si="4"/>
        <v>4.8576666666666667E-7</v>
      </c>
      <c r="F41" s="1">
        <v>21.1</v>
      </c>
      <c r="G41" s="1">
        <f t="shared" si="5"/>
        <v>294.10000000000002</v>
      </c>
      <c r="H41" s="1">
        <v>101.3</v>
      </c>
      <c r="I41" s="1">
        <f t="shared" si="6"/>
        <v>101300</v>
      </c>
      <c r="J41" s="1">
        <f t="shared" si="7"/>
        <v>2.0124824921938581E-5</v>
      </c>
      <c r="K41" s="28">
        <v>180.19306930693071</v>
      </c>
      <c r="L41" s="2">
        <f t="shared" si="8"/>
        <v>1.8019306930693071E-4</v>
      </c>
      <c r="M41" s="3">
        <f t="shared" si="9"/>
        <v>4.7762865441819992E-3</v>
      </c>
      <c r="N41" s="64">
        <f t="shared" si="10"/>
        <v>7.5924129308489488E-7</v>
      </c>
      <c r="O41" s="29">
        <f t="shared" si="11"/>
        <v>2.032E-3</v>
      </c>
      <c r="P41" s="29">
        <v>2.1048357489809849E-10</v>
      </c>
      <c r="Q41" s="16">
        <v>0.02</v>
      </c>
      <c r="R41" s="16">
        <f t="shared" si="12"/>
        <v>102000</v>
      </c>
      <c r="S41" s="16">
        <f t="shared" si="13"/>
        <v>5.36358238306597E-3</v>
      </c>
      <c r="T41" s="16">
        <v>0.13</v>
      </c>
      <c r="U41" s="16">
        <f t="shared" si="14"/>
        <v>112999.99999999999</v>
      </c>
      <c r="V41" s="16">
        <f t="shared" si="19"/>
        <v>20.361816831683168</v>
      </c>
      <c r="W41" s="16">
        <f t="shared" si="15"/>
        <v>6.9999999999999991</v>
      </c>
      <c r="X41" s="18">
        <f t="shared" si="20"/>
        <v>9.5259776952823807E-7</v>
      </c>
      <c r="Y41" s="2">
        <f t="shared" si="16"/>
        <v>96210.421304694682</v>
      </c>
      <c r="Z41" s="12">
        <f t="shared" si="17"/>
        <v>5.3117095903597787E-14</v>
      </c>
      <c r="AA41" s="18">
        <f t="shared" si="18"/>
        <v>31987115153.146587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1">
        <v>120</v>
      </c>
      <c r="B42" s="1">
        <f t="shared" si="3"/>
        <v>2</v>
      </c>
      <c r="C42" s="1">
        <v>20</v>
      </c>
      <c r="D42" s="1">
        <f t="shared" si="0"/>
        <v>29.146000000000001</v>
      </c>
      <c r="E42" s="1">
        <f t="shared" si="4"/>
        <v>4.8576666666666667E-7</v>
      </c>
      <c r="F42" s="1">
        <v>21.1</v>
      </c>
      <c r="G42" s="1">
        <f t="shared" si="5"/>
        <v>294.10000000000002</v>
      </c>
      <c r="H42" s="1">
        <v>101.3</v>
      </c>
      <c r="I42" s="1">
        <f t="shared" si="6"/>
        <v>101300</v>
      </c>
      <c r="J42" s="1">
        <f t="shared" si="7"/>
        <v>2.0124824921938581E-5</v>
      </c>
      <c r="K42" s="28">
        <v>175.76237623762378</v>
      </c>
      <c r="L42" s="2">
        <f t="shared" si="8"/>
        <v>1.7576237623762378E-4</v>
      </c>
      <c r="M42" s="3">
        <f t="shared" si="9"/>
        <v>4.7762865441819992E-3</v>
      </c>
      <c r="N42" s="64">
        <f t="shared" si="10"/>
        <v>7.4057262204143267E-7</v>
      </c>
      <c r="O42" s="29">
        <f t="shared" si="11"/>
        <v>2.032E-3</v>
      </c>
      <c r="P42" s="29">
        <v>2.1048357489809849E-10</v>
      </c>
      <c r="Q42" s="16">
        <v>0.02</v>
      </c>
      <c r="R42" s="16">
        <f t="shared" si="12"/>
        <v>102000</v>
      </c>
      <c r="S42" s="16">
        <f t="shared" si="13"/>
        <v>5.36358238306597E-3</v>
      </c>
      <c r="T42" s="16">
        <v>0.13</v>
      </c>
      <c r="U42" s="16">
        <f t="shared" si="14"/>
        <v>112999.99999999999</v>
      </c>
      <c r="V42" s="16">
        <f t="shared" si="19"/>
        <v>19.861148514851486</v>
      </c>
      <c r="W42" s="16">
        <f t="shared" si="15"/>
        <v>6.9999999999999991</v>
      </c>
      <c r="X42" s="18">
        <f t="shared" si="20"/>
        <v>9.2814679358422379E-7</v>
      </c>
      <c r="Y42" s="2">
        <f t="shared" si="16"/>
        <v>96356.91129979011</v>
      </c>
      <c r="Z42" s="12">
        <f t="shared" si="17"/>
        <v>5.1674737633656013E-14</v>
      </c>
      <c r="AA42" s="18">
        <f t="shared" si="18"/>
        <v>31118527002.987652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1">
        <v>123</v>
      </c>
      <c r="B43" s="1">
        <f t="shared" si="3"/>
        <v>2.0499999999999998</v>
      </c>
      <c r="C43" s="1">
        <v>20</v>
      </c>
      <c r="D43" s="1">
        <f t="shared" si="0"/>
        <v>29.146000000000001</v>
      </c>
      <c r="E43" s="1">
        <f t="shared" si="4"/>
        <v>4.8576666666666667E-7</v>
      </c>
      <c r="F43" s="1">
        <v>21.1</v>
      </c>
      <c r="G43" s="1">
        <f t="shared" si="5"/>
        <v>294.10000000000002</v>
      </c>
      <c r="H43" s="1">
        <v>101.3</v>
      </c>
      <c r="I43" s="1">
        <f t="shared" si="6"/>
        <v>101300</v>
      </c>
      <c r="J43" s="1">
        <f t="shared" si="7"/>
        <v>2.0124824921938581E-5</v>
      </c>
      <c r="K43" s="28">
        <v>180.490099009901</v>
      </c>
      <c r="L43" s="2">
        <f t="shared" si="8"/>
        <v>1.80490099009901E-4</v>
      </c>
      <c r="M43" s="3">
        <f t="shared" si="9"/>
        <v>4.7762865441819992E-3</v>
      </c>
      <c r="N43" s="64">
        <f t="shared" si="10"/>
        <v>7.6049282410456842E-7</v>
      </c>
      <c r="O43" s="29">
        <f t="shared" si="11"/>
        <v>2.032E-3</v>
      </c>
      <c r="P43" s="29">
        <v>2.1048357489809849E-10</v>
      </c>
      <c r="Q43" s="16">
        <v>0.02</v>
      </c>
      <c r="R43" s="16">
        <f t="shared" si="12"/>
        <v>102000</v>
      </c>
      <c r="S43" s="16">
        <f t="shared" si="13"/>
        <v>5.36358238306597E-3</v>
      </c>
      <c r="T43" s="16">
        <v>0.13</v>
      </c>
      <c r="U43" s="16">
        <f t="shared" si="14"/>
        <v>112999.99999999999</v>
      </c>
      <c r="V43" s="16">
        <f t="shared" si="19"/>
        <v>20.395381188118812</v>
      </c>
      <c r="W43" s="16">
        <f t="shared" si="15"/>
        <v>6.9999999999999991</v>
      </c>
      <c r="X43" s="18">
        <f t="shared" si="20"/>
        <v>9.542343847580855E-7</v>
      </c>
      <c r="Y43" s="2">
        <f t="shared" si="16"/>
        <v>96200.620041008369</v>
      </c>
      <c r="Z43" s="12">
        <f t="shared" si="17"/>
        <v>5.3213794764012222E-14</v>
      </c>
      <c r="AA43" s="18">
        <f t="shared" si="18"/>
        <v>32045347206.888161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1">
        <v>126</v>
      </c>
      <c r="B44" s="1">
        <f t="shared" si="3"/>
        <v>2.1</v>
      </c>
      <c r="C44" s="1">
        <v>20</v>
      </c>
      <c r="D44" s="1">
        <f t="shared" si="0"/>
        <v>29.146000000000001</v>
      </c>
      <c r="E44" s="1">
        <f t="shared" si="4"/>
        <v>4.8576666666666667E-7</v>
      </c>
      <c r="F44" s="1">
        <v>21.1</v>
      </c>
      <c r="G44" s="1">
        <f t="shared" si="5"/>
        <v>294.10000000000002</v>
      </c>
      <c r="H44" s="1">
        <v>101.3</v>
      </c>
      <c r="I44" s="1">
        <f t="shared" si="6"/>
        <v>101300</v>
      </c>
      <c r="J44" s="1">
        <f t="shared" si="7"/>
        <v>2.0124824921938581E-5</v>
      </c>
      <c r="K44" s="28">
        <v>179.69801980198022</v>
      </c>
      <c r="L44" s="2">
        <f t="shared" si="8"/>
        <v>1.7969801980198023E-4</v>
      </c>
      <c r="M44" s="3">
        <f t="shared" si="9"/>
        <v>4.7762865441819992E-3</v>
      </c>
      <c r="N44" s="64">
        <f t="shared" si="10"/>
        <v>7.5715540805210592E-7</v>
      </c>
      <c r="O44" s="29">
        <f t="shared" si="11"/>
        <v>2.032E-3</v>
      </c>
      <c r="P44" s="29">
        <v>2.1048357489809849E-10</v>
      </c>
      <c r="Q44" s="16">
        <v>0.02</v>
      </c>
      <c r="R44" s="16">
        <f t="shared" si="12"/>
        <v>102000</v>
      </c>
      <c r="S44" s="16">
        <f t="shared" si="13"/>
        <v>5.36358238306597E-3</v>
      </c>
      <c r="T44" s="16">
        <v>0.13</v>
      </c>
      <c r="U44" s="16">
        <f t="shared" si="14"/>
        <v>112999.99999999999</v>
      </c>
      <c r="V44" s="16">
        <f t="shared" si="19"/>
        <v>20.305876237623764</v>
      </c>
      <c r="W44" s="16">
        <f t="shared" si="15"/>
        <v>6.9999999999999991</v>
      </c>
      <c r="X44" s="18">
        <f t="shared" si="20"/>
        <v>9.4986937149717972E-7</v>
      </c>
      <c r="Y44" s="2">
        <f t="shared" si="16"/>
        <v>96226.762082062807</v>
      </c>
      <c r="Z44" s="12">
        <f t="shared" si="17"/>
        <v>5.2955932773124427E-14</v>
      </c>
      <c r="AA44" s="18">
        <f t="shared" si="18"/>
        <v>31890062715.975533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1">
        <v>129</v>
      </c>
      <c r="B45" s="1">
        <f t="shared" si="3"/>
        <v>2.15</v>
      </c>
      <c r="C45" s="1">
        <v>20</v>
      </c>
      <c r="D45" s="1">
        <f t="shared" si="0"/>
        <v>29.146000000000001</v>
      </c>
      <c r="E45" s="1">
        <f t="shared" si="4"/>
        <v>4.8576666666666667E-7</v>
      </c>
      <c r="F45" s="1">
        <v>21.1</v>
      </c>
      <c r="G45" s="1">
        <f t="shared" si="5"/>
        <v>294.10000000000002</v>
      </c>
      <c r="H45" s="1">
        <v>101.3</v>
      </c>
      <c r="I45" s="1">
        <f t="shared" si="6"/>
        <v>101300</v>
      </c>
      <c r="J45" s="1">
        <f t="shared" si="7"/>
        <v>2.0124824921938581E-5</v>
      </c>
      <c r="K45" s="28">
        <v>178.33663366336637</v>
      </c>
      <c r="L45" s="2">
        <f t="shared" si="8"/>
        <v>1.7833663366336637E-4</v>
      </c>
      <c r="M45" s="3">
        <f t="shared" si="9"/>
        <v>4.7762865441819992E-3</v>
      </c>
      <c r="N45" s="64">
        <f t="shared" si="10"/>
        <v>7.5141922421193599E-7</v>
      </c>
      <c r="O45" s="29">
        <f t="shared" si="11"/>
        <v>2.032E-3</v>
      </c>
      <c r="P45" s="29">
        <v>2.1048357489809849E-10</v>
      </c>
      <c r="Q45" s="16">
        <v>0.02</v>
      </c>
      <c r="R45" s="16">
        <f t="shared" si="12"/>
        <v>102000</v>
      </c>
      <c r="S45" s="16">
        <f t="shared" si="13"/>
        <v>5.36358238306597E-3</v>
      </c>
      <c r="T45" s="16">
        <v>0.13</v>
      </c>
      <c r="U45" s="16">
        <f t="shared" si="14"/>
        <v>112999.99999999999</v>
      </c>
      <c r="V45" s="16">
        <f t="shared" si="19"/>
        <v>20.152039603960397</v>
      </c>
      <c r="W45" s="16">
        <f t="shared" si="15"/>
        <v>6.9999999999999991</v>
      </c>
      <c r="X45" s="18">
        <f t="shared" si="20"/>
        <v>9.4236169927158782E-7</v>
      </c>
      <c r="Y45" s="2">
        <f t="shared" si="16"/>
        <v>96271.733798237095</v>
      </c>
      <c r="Z45" s="12">
        <f t="shared" si="17"/>
        <v>5.2512743337185215E-14</v>
      </c>
      <c r="AA45" s="18">
        <f t="shared" si="18"/>
        <v>31623174037.652939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1">
        <v>132</v>
      </c>
      <c r="B46" s="1">
        <f t="shared" si="3"/>
        <v>2.2000000000000002</v>
      </c>
      <c r="C46" s="1">
        <v>20</v>
      </c>
      <c r="D46" s="1">
        <f t="shared" si="0"/>
        <v>29.146000000000001</v>
      </c>
      <c r="E46" s="1">
        <f t="shared" si="4"/>
        <v>4.8576666666666667E-7</v>
      </c>
      <c r="F46" s="1">
        <v>21.1</v>
      </c>
      <c r="G46" s="1">
        <f t="shared" si="5"/>
        <v>294.10000000000002</v>
      </c>
      <c r="H46" s="1">
        <v>101.3</v>
      </c>
      <c r="I46" s="1">
        <f t="shared" si="6"/>
        <v>101300</v>
      </c>
      <c r="J46" s="1">
        <f t="shared" si="7"/>
        <v>2.0124824921938581E-5</v>
      </c>
      <c r="K46" s="28">
        <v>173.70792079207922</v>
      </c>
      <c r="L46" s="2">
        <f t="shared" si="8"/>
        <v>1.7370792079207922E-4</v>
      </c>
      <c r="M46" s="3">
        <f t="shared" si="9"/>
        <v>4.7762865441819992E-3</v>
      </c>
      <c r="N46" s="64">
        <f t="shared" si="10"/>
        <v>7.3191619915535805E-7</v>
      </c>
      <c r="O46" s="29">
        <f t="shared" si="11"/>
        <v>2.032E-3</v>
      </c>
      <c r="P46" s="29">
        <v>2.1048357489809849E-10</v>
      </c>
      <c r="Q46" s="16">
        <v>0.02</v>
      </c>
      <c r="R46" s="16">
        <f t="shared" si="12"/>
        <v>102000</v>
      </c>
      <c r="S46" s="16">
        <f t="shared" si="13"/>
        <v>5.36358238306597E-3</v>
      </c>
      <c r="T46" s="16">
        <v>0.13</v>
      </c>
      <c r="U46" s="16">
        <f t="shared" si="14"/>
        <v>112999.99999999999</v>
      </c>
      <c r="V46" s="16">
        <f t="shared" si="19"/>
        <v>19.628995049504947</v>
      </c>
      <c r="W46" s="16">
        <f t="shared" si="15"/>
        <v>6.9999999999999991</v>
      </c>
      <c r="X46" s="18">
        <f t="shared" si="20"/>
        <v>9.1678446784565687E-7</v>
      </c>
      <c r="Y46" s="2">
        <f t="shared" si="16"/>
        <v>96425.02286893026</v>
      </c>
      <c r="Z46" s="12">
        <f t="shared" si="17"/>
        <v>5.1005953331182985E-14</v>
      </c>
      <c r="AA46" s="18">
        <f t="shared" si="18"/>
        <v>30715785096.038395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1">
        <v>135</v>
      </c>
      <c r="B47" s="1">
        <f t="shared" si="3"/>
        <v>2.25</v>
      </c>
      <c r="C47" s="1">
        <v>20</v>
      </c>
      <c r="D47" s="1">
        <f t="shared" si="0"/>
        <v>29.146000000000001</v>
      </c>
      <c r="E47" s="1">
        <f t="shared" si="4"/>
        <v>4.8576666666666667E-7</v>
      </c>
      <c r="F47" s="1">
        <v>21.1</v>
      </c>
      <c r="G47" s="1">
        <f t="shared" si="5"/>
        <v>294.10000000000002</v>
      </c>
      <c r="H47" s="1">
        <v>101.3</v>
      </c>
      <c r="I47" s="1">
        <f t="shared" si="6"/>
        <v>101300</v>
      </c>
      <c r="J47" s="1">
        <f t="shared" si="7"/>
        <v>2.0124824921938581E-5</v>
      </c>
      <c r="K47" s="28">
        <v>175.14356435643566</v>
      </c>
      <c r="L47" s="2">
        <f t="shared" si="8"/>
        <v>1.7514356435643566E-4</v>
      </c>
      <c r="M47" s="3">
        <f t="shared" si="9"/>
        <v>4.7762865441819992E-3</v>
      </c>
      <c r="N47" s="64">
        <f t="shared" si="10"/>
        <v>7.3796526575044638E-7</v>
      </c>
      <c r="O47" s="29">
        <f t="shared" si="11"/>
        <v>2.032E-3</v>
      </c>
      <c r="P47" s="29">
        <v>2.1048357489809849E-10</v>
      </c>
      <c r="Q47" s="16">
        <v>0.02</v>
      </c>
      <c r="R47" s="16">
        <f t="shared" si="12"/>
        <v>102000</v>
      </c>
      <c r="S47" s="16">
        <f t="shared" si="13"/>
        <v>5.36358238306597E-3</v>
      </c>
      <c r="T47" s="16">
        <v>0.13</v>
      </c>
      <c r="U47" s="16">
        <f t="shared" si="14"/>
        <v>112999.99999999999</v>
      </c>
      <c r="V47" s="16">
        <f t="shared" si="19"/>
        <v>19.791222772277226</v>
      </c>
      <c r="W47" s="16">
        <f t="shared" si="15"/>
        <v>6.9999999999999991</v>
      </c>
      <c r="X47" s="18">
        <f t="shared" si="20"/>
        <v>9.2472607846725276E-7</v>
      </c>
      <c r="Y47" s="2">
        <f t="shared" si="16"/>
        <v>96377.414277081261</v>
      </c>
      <c r="Z47" s="12">
        <f t="shared" si="17"/>
        <v>5.1473296521990517E-14</v>
      </c>
      <c r="AA47" s="18">
        <f t="shared" si="18"/>
        <v>30997219165.54269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1">
        <v>138</v>
      </c>
      <c r="B48" s="1">
        <f t="shared" si="3"/>
        <v>2.2999999999999998</v>
      </c>
      <c r="C48" s="1">
        <v>20</v>
      </c>
      <c r="D48" s="1">
        <f t="shared" si="0"/>
        <v>29.146000000000001</v>
      </c>
      <c r="E48" s="1">
        <f t="shared" si="4"/>
        <v>4.8576666666666667E-7</v>
      </c>
      <c r="F48" s="1">
        <v>21.1</v>
      </c>
      <c r="G48" s="1">
        <f t="shared" si="5"/>
        <v>294.10000000000002</v>
      </c>
      <c r="H48" s="1">
        <v>101.3</v>
      </c>
      <c r="I48" s="1">
        <f t="shared" si="6"/>
        <v>101300</v>
      </c>
      <c r="J48" s="1">
        <f t="shared" si="7"/>
        <v>2.0124824921938581E-5</v>
      </c>
      <c r="K48" s="28">
        <v>181.85148514851485</v>
      </c>
      <c r="L48" s="2">
        <f t="shared" si="8"/>
        <v>1.8185148514851486E-4</v>
      </c>
      <c r="M48" s="3">
        <f t="shared" si="9"/>
        <v>4.7762865441819992E-3</v>
      </c>
      <c r="N48" s="64">
        <f t="shared" si="10"/>
        <v>7.6622900794473825E-7</v>
      </c>
      <c r="O48" s="29">
        <f t="shared" si="11"/>
        <v>2.032E-3</v>
      </c>
      <c r="P48" s="29">
        <v>2.1048357489809849E-10</v>
      </c>
      <c r="Q48" s="16">
        <v>0.02</v>
      </c>
      <c r="R48" s="16">
        <f t="shared" si="12"/>
        <v>102000</v>
      </c>
      <c r="S48" s="16">
        <f t="shared" si="13"/>
        <v>5.36358238306597E-3</v>
      </c>
      <c r="T48" s="16">
        <v>0.13</v>
      </c>
      <c r="U48" s="16">
        <f t="shared" si="14"/>
        <v>112999.99999999999</v>
      </c>
      <c r="V48" s="16">
        <f t="shared" si="19"/>
        <v>20.549217821782175</v>
      </c>
      <c r="W48" s="16">
        <f t="shared" si="15"/>
        <v>6.9999999999999991</v>
      </c>
      <c r="X48" s="18">
        <f t="shared" si="20"/>
        <v>9.6173149714096539E-7</v>
      </c>
      <c r="Y48" s="2">
        <f t="shared" si="16"/>
        <v>96155.728163417429</v>
      </c>
      <c r="Z48" s="12">
        <f t="shared" si="17"/>
        <v>5.3657008515312763E-14</v>
      </c>
      <c r="AA48" s="18">
        <f t="shared" si="18"/>
        <v>32312250527.921349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1">
        <v>141</v>
      </c>
      <c r="B49" s="1">
        <f t="shared" si="3"/>
        <v>2.35</v>
      </c>
      <c r="C49" s="1">
        <v>20</v>
      </c>
      <c r="D49" s="1">
        <f t="shared" si="0"/>
        <v>29.146000000000001</v>
      </c>
      <c r="E49" s="1">
        <f t="shared" si="4"/>
        <v>4.8576666666666667E-7</v>
      </c>
      <c r="F49" s="1">
        <v>21.1</v>
      </c>
      <c r="G49" s="1">
        <f t="shared" si="5"/>
        <v>294.10000000000002</v>
      </c>
      <c r="H49" s="1">
        <v>101.3</v>
      </c>
      <c r="I49" s="1">
        <f t="shared" si="6"/>
        <v>101300</v>
      </c>
      <c r="J49" s="1">
        <f t="shared" si="7"/>
        <v>2.0124824921938581E-5</v>
      </c>
      <c r="K49" s="28">
        <v>183.95544554455449</v>
      </c>
      <c r="L49" s="2">
        <f t="shared" si="8"/>
        <v>1.8395544554455448E-4</v>
      </c>
      <c r="M49" s="3">
        <f t="shared" si="9"/>
        <v>4.7762865441819992E-3</v>
      </c>
      <c r="N49" s="64">
        <f t="shared" si="10"/>
        <v>7.7509401933409193E-7</v>
      </c>
      <c r="O49" s="29">
        <f t="shared" si="11"/>
        <v>2.032E-3</v>
      </c>
      <c r="P49" s="29">
        <v>2.1048357489809849E-10</v>
      </c>
      <c r="Q49" s="16">
        <v>0.02</v>
      </c>
      <c r="R49" s="16">
        <f t="shared" si="12"/>
        <v>102000</v>
      </c>
      <c r="S49" s="16">
        <f t="shared" si="13"/>
        <v>5.36358238306597E-3</v>
      </c>
      <c r="T49" s="16">
        <v>0.13</v>
      </c>
      <c r="U49" s="16">
        <f t="shared" si="14"/>
        <v>112999.99999999999</v>
      </c>
      <c r="V49" s="16">
        <f t="shared" si="19"/>
        <v>20.786965346534654</v>
      </c>
      <c r="W49" s="16">
        <f t="shared" si="15"/>
        <v>6.9999999999999991</v>
      </c>
      <c r="X49" s="18">
        <f t="shared" si="20"/>
        <v>9.7330502900732704E-7</v>
      </c>
      <c r="Y49" s="2">
        <f t="shared" si="16"/>
        <v>96086.447708372565</v>
      </c>
      <c r="Z49" s="12">
        <f t="shared" si="17"/>
        <v>5.4342016351687787E-14</v>
      </c>
      <c r="AA49" s="18">
        <f t="shared" si="18"/>
        <v>32724762246.986385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1">
        <v>144</v>
      </c>
      <c r="B50" s="1">
        <f t="shared" si="3"/>
        <v>2.4</v>
      </c>
      <c r="C50" s="1">
        <v>20</v>
      </c>
      <c r="D50" s="1">
        <f t="shared" si="0"/>
        <v>29.146000000000001</v>
      </c>
      <c r="E50" s="1">
        <f t="shared" si="4"/>
        <v>4.8576666666666667E-7</v>
      </c>
      <c r="F50" s="1">
        <v>21.1</v>
      </c>
      <c r="G50" s="1">
        <f t="shared" si="5"/>
        <v>294.10000000000002</v>
      </c>
      <c r="H50" s="1">
        <v>101.3</v>
      </c>
      <c r="I50" s="1">
        <f t="shared" si="6"/>
        <v>101300</v>
      </c>
      <c r="J50" s="1">
        <f t="shared" si="7"/>
        <v>2.0124824921938581E-5</v>
      </c>
      <c r="K50" s="28">
        <v>179.77227722772278</v>
      </c>
      <c r="L50" s="2">
        <f t="shared" si="8"/>
        <v>1.7977227722772279E-4</v>
      </c>
      <c r="M50" s="3">
        <f t="shared" si="9"/>
        <v>4.7762865441819992E-3</v>
      </c>
      <c r="N50" s="64">
        <f t="shared" si="10"/>
        <v>7.574682908070242E-7</v>
      </c>
      <c r="O50" s="29">
        <f t="shared" si="11"/>
        <v>2.032E-3</v>
      </c>
      <c r="P50" s="29">
        <v>2.1048357489809849E-10</v>
      </c>
      <c r="Q50" s="16">
        <v>0.02</v>
      </c>
      <c r="R50" s="16">
        <f t="shared" si="12"/>
        <v>102000</v>
      </c>
      <c r="S50" s="16">
        <f t="shared" si="13"/>
        <v>5.36358238306597E-3</v>
      </c>
      <c r="T50" s="16">
        <v>0.13</v>
      </c>
      <c r="U50" s="16">
        <f t="shared" si="14"/>
        <v>112999.99999999999</v>
      </c>
      <c r="V50" s="16">
        <f t="shared" si="19"/>
        <v>20.314267326732672</v>
      </c>
      <c r="W50" s="16">
        <f t="shared" si="15"/>
        <v>6.9999999999999991</v>
      </c>
      <c r="X50" s="18">
        <f t="shared" si="20"/>
        <v>9.5027868757195869E-7</v>
      </c>
      <c r="Y50" s="2">
        <f t="shared" si="16"/>
        <v>96224.310539380691</v>
      </c>
      <c r="Z50" s="12">
        <f t="shared" si="17"/>
        <v>5.2980107117905579E-14</v>
      </c>
      <c r="AA50" s="18">
        <f t="shared" si="18"/>
        <v>31904620506.40274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1">
        <v>147</v>
      </c>
      <c r="B51" s="1">
        <f t="shared" si="3"/>
        <v>2.4500000000000002</v>
      </c>
      <c r="C51" s="1">
        <v>20</v>
      </c>
      <c r="D51" s="1">
        <f t="shared" si="0"/>
        <v>29.146000000000001</v>
      </c>
      <c r="E51" s="1">
        <f t="shared" si="4"/>
        <v>4.8576666666666667E-7</v>
      </c>
      <c r="F51" s="1">
        <v>21.1</v>
      </c>
      <c r="G51" s="1">
        <f t="shared" si="5"/>
        <v>294.10000000000002</v>
      </c>
      <c r="H51" s="1">
        <v>101.3</v>
      </c>
      <c r="I51" s="1">
        <f t="shared" si="6"/>
        <v>101300</v>
      </c>
      <c r="J51" s="1">
        <f t="shared" si="7"/>
        <v>2.0124824921938581E-5</v>
      </c>
      <c r="K51" s="28">
        <v>188.46039603960398</v>
      </c>
      <c r="L51" s="2">
        <f t="shared" si="8"/>
        <v>1.8846039603960397E-4</v>
      </c>
      <c r="M51" s="3">
        <f t="shared" si="9"/>
        <v>4.7762865441819992E-3</v>
      </c>
      <c r="N51" s="64">
        <f t="shared" si="10"/>
        <v>7.9407557313247231E-7</v>
      </c>
      <c r="O51" s="29">
        <f t="shared" si="11"/>
        <v>2.032E-3</v>
      </c>
      <c r="P51" s="29">
        <v>2.1048357489809849E-10</v>
      </c>
      <c r="Q51" s="16">
        <v>0.02</v>
      </c>
      <c r="R51" s="16">
        <f t="shared" si="12"/>
        <v>102000</v>
      </c>
      <c r="S51" s="16">
        <f t="shared" si="13"/>
        <v>5.36358238306597E-3</v>
      </c>
      <c r="T51" s="16">
        <v>0.13</v>
      </c>
      <c r="U51" s="16">
        <f t="shared" si="14"/>
        <v>112999.99999999999</v>
      </c>
      <c r="V51" s="16">
        <f t="shared" si="19"/>
        <v>21.296024752475244</v>
      </c>
      <c r="W51" s="16">
        <f t="shared" si="15"/>
        <v>6.9999999999999991</v>
      </c>
      <c r="X51" s="18">
        <f t="shared" si="20"/>
        <v>9.9803439573934642E-7</v>
      </c>
      <c r="Y51" s="2">
        <f t="shared" si="16"/>
        <v>95938.498624849119</v>
      </c>
      <c r="Z51" s="12">
        <f t="shared" si="17"/>
        <v>5.5808963956128303E-14</v>
      </c>
      <c r="AA51" s="18">
        <f t="shared" si="18"/>
        <v>33608158094.380466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1">
        <v>150</v>
      </c>
      <c r="B52" s="1">
        <f t="shared" si="3"/>
        <v>2.5</v>
      </c>
      <c r="C52" s="1">
        <v>20</v>
      </c>
      <c r="D52" s="1">
        <f t="shared" si="0"/>
        <v>29.146000000000001</v>
      </c>
      <c r="E52" s="1">
        <f t="shared" si="4"/>
        <v>4.8576666666666667E-7</v>
      </c>
      <c r="F52" s="1">
        <v>21.1</v>
      </c>
      <c r="G52" s="1">
        <f t="shared" si="5"/>
        <v>294.10000000000002</v>
      </c>
      <c r="H52" s="1">
        <v>101.3</v>
      </c>
      <c r="I52" s="1">
        <f t="shared" si="6"/>
        <v>101300</v>
      </c>
      <c r="J52" s="1">
        <f t="shared" si="7"/>
        <v>2.0124824921938581E-5</v>
      </c>
      <c r="K52" s="28">
        <v>180.36633663366339</v>
      </c>
      <c r="L52" s="2">
        <f t="shared" si="8"/>
        <v>1.8036633663366338E-4</v>
      </c>
      <c r="M52" s="3">
        <f t="shared" si="9"/>
        <v>4.7762865441819992E-3</v>
      </c>
      <c r="N52" s="64">
        <f t="shared" si="10"/>
        <v>7.5997135284637107E-7</v>
      </c>
      <c r="O52" s="29">
        <f t="shared" si="11"/>
        <v>2.032E-3</v>
      </c>
      <c r="P52" s="29">
        <v>2.1048357489809849E-10</v>
      </c>
      <c r="Q52" s="16">
        <v>0.02</v>
      </c>
      <c r="R52" s="16">
        <f t="shared" si="12"/>
        <v>102000</v>
      </c>
      <c r="S52" s="16">
        <f t="shared" si="13"/>
        <v>5.36358238306597E-3</v>
      </c>
      <c r="T52" s="16">
        <v>0.13</v>
      </c>
      <c r="U52" s="16">
        <f t="shared" si="14"/>
        <v>112999.99999999999</v>
      </c>
      <c r="V52" s="16">
        <f t="shared" si="19"/>
        <v>20.38139603960396</v>
      </c>
      <c r="W52" s="16">
        <f t="shared" si="15"/>
        <v>6.9999999999999991</v>
      </c>
      <c r="X52" s="18">
        <f t="shared" si="20"/>
        <v>9.5355250028243808E-7</v>
      </c>
      <c r="Y52" s="2">
        <f t="shared" si="16"/>
        <v>96204.703609416829</v>
      </c>
      <c r="Z52" s="12">
        <f t="shared" si="17"/>
        <v>5.3173503479053262E-14</v>
      </c>
      <c r="AA52" s="18">
        <f t="shared" si="18"/>
        <v>32021083795.085876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1">
        <v>153</v>
      </c>
      <c r="B53" s="1">
        <f t="shared" si="3"/>
        <v>2.5499999999999998</v>
      </c>
      <c r="C53" s="1">
        <v>20</v>
      </c>
      <c r="D53" s="1">
        <f t="shared" si="0"/>
        <v>29.146000000000001</v>
      </c>
      <c r="E53" s="1">
        <f t="shared" si="4"/>
        <v>4.8576666666666667E-7</v>
      </c>
      <c r="F53" s="1">
        <v>21.1</v>
      </c>
      <c r="G53" s="1">
        <f t="shared" si="5"/>
        <v>294.10000000000002</v>
      </c>
      <c r="H53" s="1">
        <v>101.3</v>
      </c>
      <c r="I53" s="1">
        <f t="shared" si="6"/>
        <v>101300</v>
      </c>
      <c r="J53" s="1">
        <f t="shared" si="7"/>
        <v>2.0124824921938581E-5</v>
      </c>
      <c r="K53" s="28">
        <v>174.25247524752479</v>
      </c>
      <c r="L53" s="2">
        <f t="shared" si="8"/>
        <v>1.7425247524752478E-4</v>
      </c>
      <c r="M53" s="3">
        <f t="shared" si="9"/>
        <v>4.7762865441819992E-3</v>
      </c>
      <c r="N53" s="64">
        <f t="shared" si="10"/>
        <v>7.3421067269142607E-7</v>
      </c>
      <c r="O53" s="29">
        <f t="shared" si="11"/>
        <v>2.032E-3</v>
      </c>
      <c r="P53" s="29">
        <v>2.1048357489809849E-10</v>
      </c>
      <c r="Q53" s="16">
        <v>0.02</v>
      </c>
      <c r="R53" s="16">
        <f t="shared" si="12"/>
        <v>102000</v>
      </c>
      <c r="S53" s="16">
        <f t="shared" si="13"/>
        <v>5.36358238306597E-3</v>
      </c>
      <c r="T53" s="16">
        <v>0.13</v>
      </c>
      <c r="U53" s="16">
        <f t="shared" si="14"/>
        <v>112999.99999999999</v>
      </c>
      <c r="V53" s="16">
        <f t="shared" si="19"/>
        <v>19.690529702970299</v>
      </c>
      <c r="W53" s="16">
        <f t="shared" si="15"/>
        <v>6.9999999999999991</v>
      </c>
      <c r="X53" s="18">
        <f t="shared" si="20"/>
        <v>9.1979772020271389E-7</v>
      </c>
      <c r="Y53" s="2">
        <f t="shared" si="16"/>
        <v>96406.957554480716</v>
      </c>
      <c r="Z53" s="12">
        <f t="shared" si="17"/>
        <v>5.1183221605352854E-14</v>
      </c>
      <c r="AA53" s="18">
        <f t="shared" si="18"/>
        <v>30822536050.743488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1">
        <v>156</v>
      </c>
      <c r="B54" s="1">
        <f t="shared" si="3"/>
        <v>2.6</v>
      </c>
      <c r="C54" s="1">
        <v>20</v>
      </c>
      <c r="D54" s="1">
        <f t="shared" si="0"/>
        <v>29.146000000000001</v>
      </c>
      <c r="E54" s="1">
        <f t="shared" si="4"/>
        <v>4.8576666666666667E-7</v>
      </c>
      <c r="F54" s="1">
        <v>21.1</v>
      </c>
      <c r="G54" s="1">
        <f t="shared" si="5"/>
        <v>294.10000000000002</v>
      </c>
      <c r="H54" s="1">
        <v>101.3</v>
      </c>
      <c r="I54" s="1">
        <f t="shared" si="6"/>
        <v>101300</v>
      </c>
      <c r="J54" s="1">
        <f t="shared" si="7"/>
        <v>2.0124824921938581E-5</v>
      </c>
      <c r="K54" s="28">
        <v>180.36633663366339</v>
      </c>
      <c r="L54" s="2">
        <f t="shared" si="8"/>
        <v>1.8036633663366338E-4</v>
      </c>
      <c r="M54" s="3">
        <f t="shared" si="9"/>
        <v>4.7762865441819992E-3</v>
      </c>
      <c r="N54" s="64">
        <f t="shared" si="10"/>
        <v>7.5997135284637107E-7</v>
      </c>
      <c r="O54" s="29">
        <f t="shared" si="11"/>
        <v>2.032E-3</v>
      </c>
      <c r="P54" s="29">
        <v>2.1048357489809849E-10</v>
      </c>
      <c r="Q54" s="16">
        <v>0.02</v>
      </c>
      <c r="R54" s="16">
        <f t="shared" si="12"/>
        <v>102000</v>
      </c>
      <c r="S54" s="16">
        <f t="shared" si="13"/>
        <v>5.36358238306597E-3</v>
      </c>
      <c r="T54" s="16">
        <v>0.13</v>
      </c>
      <c r="U54" s="16">
        <f t="shared" si="14"/>
        <v>112999.99999999999</v>
      </c>
      <c r="V54" s="16">
        <f t="shared" si="19"/>
        <v>20.38139603960396</v>
      </c>
      <c r="W54" s="16">
        <f t="shared" si="15"/>
        <v>6.9999999999999991</v>
      </c>
      <c r="X54" s="18">
        <f t="shared" si="20"/>
        <v>9.5355250028243808E-7</v>
      </c>
      <c r="Y54" s="2">
        <f t="shared" si="16"/>
        <v>96204.703609416829</v>
      </c>
      <c r="Z54" s="12">
        <f t="shared" si="17"/>
        <v>5.3173503479053262E-14</v>
      </c>
      <c r="AA54" s="18">
        <f t="shared" si="18"/>
        <v>32021083795.085876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1">
        <v>159</v>
      </c>
      <c r="B55" s="1">
        <f t="shared" si="3"/>
        <v>2.65</v>
      </c>
      <c r="C55" s="1">
        <v>20</v>
      </c>
      <c r="D55" s="1">
        <f t="shared" si="0"/>
        <v>29.146000000000001</v>
      </c>
      <c r="E55" s="1">
        <f t="shared" si="4"/>
        <v>4.8576666666666667E-7</v>
      </c>
      <c r="F55" s="1">
        <v>21.1</v>
      </c>
      <c r="G55" s="1">
        <f t="shared" si="5"/>
        <v>294.10000000000002</v>
      </c>
      <c r="H55" s="1">
        <v>101.3</v>
      </c>
      <c r="I55" s="1">
        <f t="shared" si="6"/>
        <v>101300</v>
      </c>
      <c r="J55" s="1">
        <f t="shared" si="7"/>
        <v>2.0124824921938581E-5</v>
      </c>
      <c r="K55" s="28">
        <v>175.91089108910893</v>
      </c>
      <c r="L55" s="2">
        <f t="shared" si="8"/>
        <v>1.7591089108910893E-4</v>
      </c>
      <c r="M55" s="3">
        <f t="shared" si="9"/>
        <v>4.7762865441819992E-3</v>
      </c>
      <c r="N55" s="64">
        <f t="shared" si="10"/>
        <v>7.4119838755126944E-7</v>
      </c>
      <c r="O55" s="29">
        <f t="shared" si="11"/>
        <v>2.032E-3</v>
      </c>
      <c r="P55" s="29">
        <v>2.1048357489809849E-10</v>
      </c>
      <c r="Q55" s="16">
        <v>0.02</v>
      </c>
      <c r="R55" s="16">
        <f t="shared" si="12"/>
        <v>102000</v>
      </c>
      <c r="S55" s="16">
        <f t="shared" si="13"/>
        <v>5.36358238306597E-3</v>
      </c>
      <c r="T55" s="16">
        <v>0.13</v>
      </c>
      <c r="U55" s="16">
        <f t="shared" si="14"/>
        <v>112999.99999999999</v>
      </c>
      <c r="V55" s="16">
        <f t="shared" si="19"/>
        <v>19.877930693069306</v>
      </c>
      <c r="W55" s="16">
        <f t="shared" si="15"/>
        <v>6.9999999999999991</v>
      </c>
      <c r="X55" s="18">
        <f t="shared" si="20"/>
        <v>9.2896755206142932E-7</v>
      </c>
      <c r="Y55" s="2">
        <f t="shared" si="16"/>
        <v>96351.992187263852</v>
      </c>
      <c r="Z55" s="12">
        <f t="shared" si="17"/>
        <v>5.1723083575285909E-14</v>
      </c>
      <c r="AA55" s="18">
        <f t="shared" si="18"/>
        <v>31147640929.037174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1">
        <v>162</v>
      </c>
      <c r="B56" s="1">
        <f t="shared" si="3"/>
        <v>2.7</v>
      </c>
      <c r="C56" s="1">
        <v>20</v>
      </c>
      <c r="D56" s="1">
        <f t="shared" si="0"/>
        <v>29.146000000000001</v>
      </c>
      <c r="E56" s="1">
        <f t="shared" si="4"/>
        <v>4.8576666666666667E-7</v>
      </c>
      <c r="F56" s="1">
        <v>21.1</v>
      </c>
      <c r="G56" s="1">
        <f t="shared" si="5"/>
        <v>294.10000000000002</v>
      </c>
      <c r="H56" s="1">
        <v>101.3</v>
      </c>
      <c r="I56" s="1">
        <f t="shared" si="6"/>
        <v>101300</v>
      </c>
      <c r="J56" s="1">
        <f t="shared" si="7"/>
        <v>2.0124824921938581E-5</v>
      </c>
      <c r="K56" s="28">
        <v>190.61386138613864</v>
      </c>
      <c r="L56" s="2">
        <f t="shared" si="8"/>
        <v>1.9061386138613865E-4</v>
      </c>
      <c r="M56" s="3">
        <f t="shared" si="9"/>
        <v>4.7762865441819992E-3</v>
      </c>
      <c r="N56" s="64">
        <f t="shared" si="10"/>
        <v>8.0314917302510495E-7</v>
      </c>
      <c r="O56" s="29">
        <f t="shared" si="11"/>
        <v>2.032E-3</v>
      </c>
      <c r="P56" s="29">
        <v>2.1048357489809849E-10</v>
      </c>
      <c r="Q56" s="16">
        <v>0.02</v>
      </c>
      <c r="R56" s="16">
        <f t="shared" si="12"/>
        <v>102000</v>
      </c>
      <c r="S56" s="16">
        <f t="shared" si="13"/>
        <v>5.36358238306597E-3</v>
      </c>
      <c r="T56" s="16">
        <v>0.13</v>
      </c>
      <c r="U56" s="16">
        <f t="shared" si="14"/>
        <v>112999.99999999999</v>
      </c>
      <c r="V56" s="16">
        <f t="shared" si="19"/>
        <v>21.539366336633663</v>
      </c>
      <c r="W56" s="16">
        <f t="shared" si="15"/>
        <v>6.9999999999999991</v>
      </c>
      <c r="X56" s="18">
        <f t="shared" si="20"/>
        <v>1.0098313002632105E-6</v>
      </c>
      <c r="Y56" s="2">
        <f t="shared" si="16"/>
        <v>95867.96110880372</v>
      </c>
      <c r="Z56" s="12">
        <f t="shared" si="17"/>
        <v>5.6510334694743514E-14</v>
      </c>
      <c r="AA56" s="18">
        <f t="shared" si="18"/>
        <v>34030523553.174545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1">
        <v>165</v>
      </c>
      <c r="B57" s="1">
        <f t="shared" si="3"/>
        <v>2.75</v>
      </c>
      <c r="C57" s="1">
        <v>20</v>
      </c>
      <c r="D57" s="1">
        <f t="shared" si="0"/>
        <v>29.146000000000001</v>
      </c>
      <c r="E57" s="1">
        <f t="shared" si="4"/>
        <v>4.8576666666666667E-7</v>
      </c>
      <c r="F57" s="1">
        <v>21.1</v>
      </c>
      <c r="G57" s="1">
        <f t="shared" si="5"/>
        <v>294.10000000000002</v>
      </c>
      <c r="H57" s="1">
        <v>101.3</v>
      </c>
      <c r="I57" s="1">
        <f t="shared" si="6"/>
        <v>101300</v>
      </c>
      <c r="J57" s="1">
        <f t="shared" si="7"/>
        <v>2.0124824921938581E-5</v>
      </c>
      <c r="K57" s="28">
        <v>186.6782178217822</v>
      </c>
      <c r="L57" s="2">
        <f t="shared" si="8"/>
        <v>1.8667821782178219E-4</v>
      </c>
      <c r="M57" s="3">
        <f t="shared" si="9"/>
        <v>4.7762865441819992E-3</v>
      </c>
      <c r="N57" s="64">
        <f t="shared" si="10"/>
        <v>7.8656638701443181E-7</v>
      </c>
      <c r="O57" s="29">
        <f t="shared" si="11"/>
        <v>2.032E-3</v>
      </c>
      <c r="P57" s="29">
        <v>2.1048357489809849E-10</v>
      </c>
      <c r="Q57" s="16">
        <v>0.02</v>
      </c>
      <c r="R57" s="16">
        <f t="shared" si="12"/>
        <v>102000</v>
      </c>
      <c r="S57" s="16">
        <f t="shared" si="13"/>
        <v>5.36358238306597E-3</v>
      </c>
      <c r="T57" s="16">
        <v>0.13</v>
      </c>
      <c r="U57" s="16">
        <f t="shared" si="14"/>
        <v>112999.99999999999</v>
      </c>
      <c r="V57" s="16">
        <f t="shared" si="19"/>
        <v>21.094638613861385</v>
      </c>
      <c r="W57" s="16">
        <f t="shared" si="15"/>
        <v>6.9999999999999991</v>
      </c>
      <c r="X57" s="18">
        <f t="shared" si="20"/>
        <v>9.8825965152463165E-7</v>
      </c>
      <c r="Y57" s="2">
        <f t="shared" si="16"/>
        <v>95996.964640616643</v>
      </c>
      <c r="Z57" s="12">
        <f t="shared" si="17"/>
        <v>5.5228590860409166E-14</v>
      </c>
      <c r="AA57" s="18">
        <f t="shared" si="18"/>
        <v>33258657416.138401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1">
        <v>168</v>
      </c>
      <c r="B58" s="1">
        <f t="shared" si="3"/>
        <v>2.8</v>
      </c>
      <c r="C58" s="1">
        <v>20</v>
      </c>
      <c r="D58" s="1">
        <f t="shared" si="0"/>
        <v>29.146000000000001</v>
      </c>
      <c r="E58" s="1">
        <f t="shared" si="4"/>
        <v>4.8576666666666667E-7</v>
      </c>
      <c r="F58" s="1">
        <v>21.1</v>
      </c>
      <c r="G58" s="1">
        <f t="shared" si="5"/>
        <v>294.10000000000002</v>
      </c>
      <c r="H58" s="1">
        <v>101.3</v>
      </c>
      <c r="I58" s="1">
        <f t="shared" si="6"/>
        <v>101300</v>
      </c>
      <c r="J58" s="1">
        <f t="shared" si="7"/>
        <v>2.0124824921938581E-5</v>
      </c>
      <c r="K58" s="28">
        <v>182.71782178217822</v>
      </c>
      <c r="L58" s="2">
        <f t="shared" si="8"/>
        <v>1.8271782178217821E-4</v>
      </c>
      <c r="M58" s="3">
        <f t="shared" si="9"/>
        <v>4.7762865441819992E-3</v>
      </c>
      <c r="N58" s="64">
        <f t="shared" si="10"/>
        <v>7.6987930675211913E-7</v>
      </c>
      <c r="O58" s="29">
        <f t="shared" si="11"/>
        <v>2.032E-3</v>
      </c>
      <c r="P58" s="29">
        <v>2.1048357489809849E-10</v>
      </c>
      <c r="Q58" s="16">
        <v>0.02</v>
      </c>
      <c r="R58" s="16">
        <f t="shared" si="12"/>
        <v>102000</v>
      </c>
      <c r="S58" s="16">
        <f t="shared" si="13"/>
        <v>5.36358238306597E-3</v>
      </c>
      <c r="T58" s="16">
        <v>0.13</v>
      </c>
      <c r="U58" s="16">
        <f t="shared" si="14"/>
        <v>112999.99999999999</v>
      </c>
      <c r="V58" s="16">
        <f t="shared" si="19"/>
        <v>20.647113861386135</v>
      </c>
      <c r="W58" s="16">
        <f t="shared" si="15"/>
        <v>6.9999999999999991</v>
      </c>
      <c r="X58" s="18">
        <f t="shared" si="20"/>
        <v>9.6649895669100694E-7</v>
      </c>
      <c r="Y58" s="2">
        <f t="shared" si="16"/>
        <v>96127.186593718667</v>
      </c>
      <c r="Z58" s="12">
        <f t="shared" si="17"/>
        <v>5.3939063932751463E-14</v>
      </c>
      <c r="AA58" s="18">
        <f t="shared" si="18"/>
        <v>32482104300.302933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1">
        <v>171</v>
      </c>
      <c r="B59" s="1">
        <f t="shared" si="3"/>
        <v>2.85</v>
      </c>
      <c r="C59" s="1">
        <v>20</v>
      </c>
      <c r="D59" s="1">
        <f t="shared" si="0"/>
        <v>29.146000000000001</v>
      </c>
      <c r="E59" s="1">
        <f t="shared" si="4"/>
        <v>4.8576666666666667E-7</v>
      </c>
      <c r="F59" s="1">
        <v>21.1</v>
      </c>
      <c r="G59" s="1">
        <f t="shared" si="5"/>
        <v>294.10000000000002</v>
      </c>
      <c r="H59" s="1">
        <v>101.3</v>
      </c>
      <c r="I59" s="1">
        <f t="shared" si="6"/>
        <v>101300</v>
      </c>
      <c r="J59" s="1">
        <f t="shared" si="7"/>
        <v>2.0124824921938581E-5</v>
      </c>
      <c r="K59" s="28">
        <v>172.44554455445547</v>
      </c>
      <c r="L59" s="2">
        <f t="shared" si="8"/>
        <v>1.7244554455445548E-4</v>
      </c>
      <c r="M59" s="3">
        <f t="shared" si="9"/>
        <v>4.7762865441819992E-3</v>
      </c>
      <c r="N59" s="64">
        <f t="shared" si="10"/>
        <v>7.2659719232174593E-7</v>
      </c>
      <c r="O59" s="29">
        <f t="shared" si="11"/>
        <v>2.032E-3</v>
      </c>
      <c r="P59" s="29">
        <v>2.1048357489809849E-10</v>
      </c>
      <c r="Q59" s="16">
        <v>0.02</v>
      </c>
      <c r="R59" s="16">
        <f t="shared" si="12"/>
        <v>102000</v>
      </c>
      <c r="S59" s="16">
        <f t="shared" si="13"/>
        <v>5.36358238306597E-3</v>
      </c>
      <c r="T59" s="16">
        <v>0.13</v>
      </c>
      <c r="U59" s="16">
        <f t="shared" si="14"/>
        <v>112999.99999999999</v>
      </c>
      <c r="V59" s="16">
        <f t="shared" si="19"/>
        <v>19.486346534653467</v>
      </c>
      <c r="W59" s="16">
        <f t="shared" si="15"/>
        <v>6.9999999999999991</v>
      </c>
      <c r="X59" s="18">
        <f t="shared" si="20"/>
        <v>9.0979485545102856E-7</v>
      </c>
      <c r="Y59" s="2">
        <f t="shared" si="16"/>
        <v>96466.934121461236</v>
      </c>
      <c r="Z59" s="12">
        <f t="shared" si="17"/>
        <v>5.0595010769893871E-14</v>
      </c>
      <c r="AA59" s="18">
        <f t="shared" si="18"/>
        <v>30468315485.630089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1">
        <v>174</v>
      </c>
      <c r="B60" s="1">
        <f t="shared" ref="B60:B82" si="21">(A60/60)</f>
        <v>2.9</v>
      </c>
      <c r="C60" s="1">
        <v>20</v>
      </c>
      <c r="D60" s="1">
        <f t="shared" ref="D60:D82" si="22">(C60*1.4573)</f>
        <v>29.146000000000001</v>
      </c>
      <c r="E60" s="1">
        <f t="shared" ref="E60:E82" si="23">(D60/(1000000*60))</f>
        <v>4.8576666666666667E-7</v>
      </c>
      <c r="F60" s="1">
        <v>21.1</v>
      </c>
      <c r="G60" s="1">
        <f t="shared" ref="G60:G82" si="24">(273+F60)</f>
        <v>294.10000000000002</v>
      </c>
      <c r="H60" s="1">
        <v>101.3</v>
      </c>
      <c r="I60" s="1">
        <f t="shared" ref="I60:I82" si="25">(H60*1000)</f>
        <v>101300</v>
      </c>
      <c r="J60" s="1">
        <f t="shared" ref="J60:J82" si="26">((I60*E60)/(8.314*G60))</f>
        <v>2.0124824921938581E-5</v>
      </c>
      <c r="K60" s="28">
        <v>182.69306930693071</v>
      </c>
      <c r="L60" s="2">
        <f t="shared" ref="L60:L82" si="27">(K60/1000000)</f>
        <v>1.8269306930693071E-4</v>
      </c>
      <c r="M60" s="3">
        <f t="shared" si="9"/>
        <v>4.7762865441819992E-3</v>
      </c>
      <c r="N60" s="64">
        <f t="shared" ref="N60:N82" si="28">(L60*J60)/M60</f>
        <v>7.6977501250047981E-7</v>
      </c>
      <c r="O60" s="29">
        <f t="shared" si="11"/>
        <v>2.032E-3</v>
      </c>
      <c r="P60" s="29">
        <v>2.10483574898098E-10</v>
      </c>
      <c r="Q60" s="16">
        <v>0.02</v>
      </c>
      <c r="R60" s="16">
        <f t="shared" ref="R60:R82" si="29">(1+Q60)*100000*1</f>
        <v>102000</v>
      </c>
      <c r="S60" s="16">
        <f t="shared" si="13"/>
        <v>5.36358238306597E-3</v>
      </c>
      <c r="T60" s="16">
        <v>0.13</v>
      </c>
      <c r="U60" s="16">
        <f t="shared" ref="U60:U82" si="30">(1+T60)*100000</f>
        <v>112999.99999999999</v>
      </c>
      <c r="V60" s="16">
        <f t="shared" si="19"/>
        <v>20.644316831683167</v>
      </c>
      <c r="W60" s="16">
        <f t="shared" si="15"/>
        <v>6.9999999999999991</v>
      </c>
      <c r="X60" s="18">
        <f t="shared" si="20"/>
        <v>9.6636278036114081E-7</v>
      </c>
      <c r="Y60" s="2">
        <f t="shared" si="16"/>
        <v>96128.001788047681</v>
      </c>
      <c r="Z60" s="12">
        <f t="shared" si="17"/>
        <v>5.3931005084059395E-14</v>
      </c>
      <c r="AA60" s="18">
        <f t="shared" ref="AA60:AA82" si="31">(Z60*6.022E+23)</f>
        <v>32477251261.620571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1">
        <v>177</v>
      </c>
      <c r="B61" s="1">
        <f t="shared" si="21"/>
        <v>2.95</v>
      </c>
      <c r="C61" s="1">
        <v>20</v>
      </c>
      <c r="D61" s="1">
        <f t="shared" si="22"/>
        <v>29.146000000000001</v>
      </c>
      <c r="E61" s="1">
        <f t="shared" si="23"/>
        <v>4.8576666666666667E-7</v>
      </c>
      <c r="F61" s="1">
        <v>21.1</v>
      </c>
      <c r="G61" s="1">
        <f t="shared" si="24"/>
        <v>294.10000000000002</v>
      </c>
      <c r="H61" s="1">
        <v>101.3</v>
      </c>
      <c r="I61" s="1">
        <f t="shared" si="25"/>
        <v>101300</v>
      </c>
      <c r="J61" s="1">
        <f t="shared" si="26"/>
        <v>2.0124824921938581E-5</v>
      </c>
      <c r="K61" s="28">
        <v>183.31188118811883</v>
      </c>
      <c r="L61" s="2">
        <f t="shared" si="27"/>
        <v>1.8331188118811883E-4</v>
      </c>
      <c r="M61" s="3">
        <f t="shared" si="9"/>
        <v>4.7762865441819992E-3</v>
      </c>
      <c r="N61" s="64">
        <f t="shared" si="28"/>
        <v>7.723823687914661E-7</v>
      </c>
      <c r="O61" s="29">
        <f t="shared" si="11"/>
        <v>2.032E-3</v>
      </c>
      <c r="P61" s="29">
        <v>2.10483574898098E-10</v>
      </c>
      <c r="Q61" s="16">
        <v>0.02</v>
      </c>
      <c r="R61" s="16">
        <f t="shared" si="29"/>
        <v>102000</v>
      </c>
      <c r="S61" s="16">
        <f t="shared" si="13"/>
        <v>5.36358238306597E-3</v>
      </c>
      <c r="T61" s="16">
        <v>0.13</v>
      </c>
      <c r="U61" s="16">
        <f t="shared" si="30"/>
        <v>112999.99999999999</v>
      </c>
      <c r="V61" s="16">
        <f t="shared" si="19"/>
        <v>20.714242574257426</v>
      </c>
      <c r="W61" s="16">
        <f t="shared" si="15"/>
        <v>6.9999999999999991</v>
      </c>
      <c r="X61" s="18">
        <f t="shared" si="20"/>
        <v>9.6976654178521509E-7</v>
      </c>
      <c r="Y61" s="2">
        <f t="shared" si="16"/>
        <v>96107.626838471682</v>
      </c>
      <c r="Z61" s="12">
        <f t="shared" si="17"/>
        <v>5.4132478593427836E-14</v>
      </c>
      <c r="AA61" s="18">
        <f t="shared" si="31"/>
        <v>32598578608.962246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1">
        <v>180</v>
      </c>
      <c r="B62" s="1">
        <f t="shared" si="21"/>
        <v>3</v>
      </c>
      <c r="C62" s="1">
        <v>20</v>
      </c>
      <c r="D62" s="1">
        <f t="shared" si="22"/>
        <v>29.146000000000001</v>
      </c>
      <c r="E62" s="1">
        <f t="shared" si="23"/>
        <v>4.8576666666666667E-7</v>
      </c>
      <c r="F62" s="1">
        <v>21.1</v>
      </c>
      <c r="G62" s="1">
        <f t="shared" si="24"/>
        <v>294.10000000000002</v>
      </c>
      <c r="H62" s="1">
        <v>101.3</v>
      </c>
      <c r="I62" s="1">
        <f t="shared" si="25"/>
        <v>101300</v>
      </c>
      <c r="J62" s="1">
        <f t="shared" si="26"/>
        <v>2.0124824921938581E-5</v>
      </c>
      <c r="K62" s="28">
        <v>179.00495049504954</v>
      </c>
      <c r="L62" s="2">
        <f t="shared" si="27"/>
        <v>1.7900495049504955E-4</v>
      </c>
      <c r="M62" s="3">
        <f t="shared" si="9"/>
        <v>4.7762865441819992E-3</v>
      </c>
      <c r="N62" s="64">
        <f t="shared" si="28"/>
        <v>7.5423516900620124E-7</v>
      </c>
      <c r="O62" s="29">
        <f t="shared" si="11"/>
        <v>2.032E-3</v>
      </c>
      <c r="P62" s="29">
        <v>2.10483574898098E-10</v>
      </c>
      <c r="Q62" s="16">
        <v>0.02</v>
      </c>
      <c r="R62" s="16">
        <f t="shared" si="29"/>
        <v>102000</v>
      </c>
      <c r="S62" s="16">
        <f t="shared" si="13"/>
        <v>5.36358238306597E-3</v>
      </c>
      <c r="T62" s="16">
        <v>0.13</v>
      </c>
      <c r="U62" s="16">
        <f t="shared" si="30"/>
        <v>112999.99999999999</v>
      </c>
      <c r="V62" s="16">
        <f t="shared" si="19"/>
        <v>20.227559405940596</v>
      </c>
      <c r="W62" s="16">
        <f t="shared" si="15"/>
        <v>6.9999999999999991</v>
      </c>
      <c r="X62" s="18">
        <f t="shared" si="20"/>
        <v>9.4604812555717627E-7</v>
      </c>
      <c r="Y62" s="2">
        <f t="shared" si="16"/>
        <v>96249.650418965277</v>
      </c>
      <c r="Z62" s="12">
        <f t="shared" si="17"/>
        <v>5.2730307519110166E-14</v>
      </c>
      <c r="AA62" s="18">
        <f t="shared" si="31"/>
        <v>31754191188.008144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1">
        <v>183</v>
      </c>
      <c r="B63" s="1">
        <f t="shared" si="21"/>
        <v>3.05</v>
      </c>
      <c r="C63" s="1">
        <v>20</v>
      </c>
      <c r="D63" s="1">
        <f t="shared" si="22"/>
        <v>29.146000000000001</v>
      </c>
      <c r="E63" s="1">
        <f t="shared" si="23"/>
        <v>4.8576666666666667E-7</v>
      </c>
      <c r="F63" s="1">
        <v>21.1</v>
      </c>
      <c r="G63" s="1">
        <f t="shared" si="24"/>
        <v>294.10000000000002</v>
      </c>
      <c r="H63" s="1">
        <v>101.3</v>
      </c>
      <c r="I63" s="1">
        <f t="shared" si="25"/>
        <v>101300</v>
      </c>
      <c r="J63" s="1">
        <f t="shared" si="26"/>
        <v>2.0124824921938581E-5</v>
      </c>
      <c r="K63" s="28">
        <v>178.88118811881191</v>
      </c>
      <c r="L63" s="2">
        <f t="shared" si="27"/>
        <v>1.7888118811881191E-4</v>
      </c>
      <c r="M63" s="3">
        <f t="shared" si="9"/>
        <v>4.7762865441819992E-3</v>
      </c>
      <c r="N63" s="64">
        <f t="shared" si="28"/>
        <v>7.537136977480039E-7</v>
      </c>
      <c r="O63" s="29">
        <f t="shared" si="11"/>
        <v>2.032E-3</v>
      </c>
      <c r="P63" s="29">
        <v>2.10483574898098E-10</v>
      </c>
      <c r="Q63" s="16">
        <v>0.02</v>
      </c>
      <c r="R63" s="16">
        <f t="shared" si="29"/>
        <v>102000</v>
      </c>
      <c r="S63" s="16">
        <f t="shared" si="13"/>
        <v>5.36358238306597E-3</v>
      </c>
      <c r="T63" s="16">
        <v>0.13</v>
      </c>
      <c r="U63" s="16">
        <f t="shared" si="30"/>
        <v>112999.99999999999</v>
      </c>
      <c r="V63" s="16">
        <f t="shared" si="19"/>
        <v>20.213574257425744</v>
      </c>
      <c r="W63" s="16">
        <f t="shared" si="15"/>
        <v>6.9999999999999991</v>
      </c>
      <c r="X63" s="18">
        <f t="shared" si="20"/>
        <v>9.4536557677753818E-7</v>
      </c>
      <c r="Y63" s="2">
        <f t="shared" si="16"/>
        <v>96253.739007203141</v>
      </c>
      <c r="Z63" s="12">
        <f t="shared" si="17"/>
        <v>5.2690017645608287E-14</v>
      </c>
      <c r="AA63" s="18">
        <f t="shared" si="31"/>
        <v>31729928626.18531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1">
        <v>186</v>
      </c>
      <c r="B64" s="1">
        <f t="shared" si="21"/>
        <v>3.1</v>
      </c>
      <c r="C64" s="1">
        <v>20</v>
      </c>
      <c r="D64" s="1">
        <f t="shared" si="22"/>
        <v>29.146000000000001</v>
      </c>
      <c r="E64" s="1">
        <f t="shared" si="23"/>
        <v>4.8576666666666667E-7</v>
      </c>
      <c r="F64" s="1">
        <v>21.1</v>
      </c>
      <c r="G64" s="1">
        <f t="shared" si="24"/>
        <v>294.10000000000002</v>
      </c>
      <c r="H64" s="1">
        <v>101.3</v>
      </c>
      <c r="I64" s="1">
        <f t="shared" si="25"/>
        <v>101300</v>
      </c>
      <c r="J64" s="1">
        <f t="shared" si="26"/>
        <v>2.0124824921938581E-5</v>
      </c>
      <c r="K64" s="28">
        <v>184.87128712871291</v>
      </c>
      <c r="L64" s="2">
        <f t="shared" si="27"/>
        <v>1.8487128712871289E-4</v>
      </c>
      <c r="M64" s="3">
        <f t="shared" si="9"/>
        <v>4.7762865441819992E-3</v>
      </c>
      <c r="N64" s="64">
        <f t="shared" si="28"/>
        <v>7.7895290664475166E-7</v>
      </c>
      <c r="O64" s="29">
        <f t="shared" si="11"/>
        <v>2.032E-3</v>
      </c>
      <c r="P64" s="29">
        <v>2.10483574898098E-10</v>
      </c>
      <c r="Q64" s="16">
        <v>0.02</v>
      </c>
      <c r="R64" s="16">
        <f t="shared" si="29"/>
        <v>102000</v>
      </c>
      <c r="S64" s="16">
        <f t="shared" si="13"/>
        <v>5.36358238306597E-3</v>
      </c>
      <c r="T64" s="16">
        <v>0.13</v>
      </c>
      <c r="U64" s="16">
        <f t="shared" si="30"/>
        <v>112999.99999999999</v>
      </c>
      <c r="V64" s="16">
        <f t="shared" si="19"/>
        <v>20.890455445544553</v>
      </c>
      <c r="W64" s="16">
        <f t="shared" si="15"/>
        <v>6.9999999999999991</v>
      </c>
      <c r="X64" s="18">
        <f t="shared" si="20"/>
        <v>9.7833807888205847E-7</v>
      </c>
      <c r="Y64" s="2">
        <f t="shared" si="16"/>
        <v>96056.327099131653</v>
      </c>
      <c r="Z64" s="12">
        <f t="shared" si="17"/>
        <v>5.464021477867052E-14</v>
      </c>
      <c r="AA64" s="18">
        <f t="shared" si="31"/>
        <v>32904337339.715389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1">
        <v>189</v>
      </c>
      <c r="B65" s="1">
        <f t="shared" si="21"/>
        <v>3.15</v>
      </c>
      <c r="C65" s="1">
        <v>20</v>
      </c>
      <c r="D65" s="1">
        <f t="shared" si="22"/>
        <v>29.146000000000001</v>
      </c>
      <c r="E65" s="1">
        <f t="shared" si="23"/>
        <v>4.8576666666666667E-7</v>
      </c>
      <c r="F65" s="1">
        <v>21.1</v>
      </c>
      <c r="G65" s="1">
        <f t="shared" si="24"/>
        <v>294.10000000000002</v>
      </c>
      <c r="H65" s="1">
        <v>101.3</v>
      </c>
      <c r="I65" s="1">
        <f t="shared" si="25"/>
        <v>101300</v>
      </c>
      <c r="J65" s="1">
        <f t="shared" si="26"/>
        <v>2.0124824921938581E-5</v>
      </c>
      <c r="K65" s="28">
        <v>184.1782178217822</v>
      </c>
      <c r="L65" s="2">
        <f t="shared" si="27"/>
        <v>1.8417821782178219E-4</v>
      </c>
      <c r="M65" s="3">
        <f t="shared" si="9"/>
        <v>4.7762865441819992E-3</v>
      </c>
      <c r="N65" s="64">
        <f t="shared" si="28"/>
        <v>7.7603266759884698E-7</v>
      </c>
      <c r="O65" s="29">
        <f t="shared" si="11"/>
        <v>2.032E-3</v>
      </c>
      <c r="P65" s="29">
        <v>2.10483574898098E-10</v>
      </c>
      <c r="Q65" s="16">
        <v>0.02</v>
      </c>
      <c r="R65" s="16">
        <f t="shared" si="29"/>
        <v>102000</v>
      </c>
      <c r="S65" s="16">
        <f t="shared" si="13"/>
        <v>5.36358238306597E-3</v>
      </c>
      <c r="T65" s="16">
        <v>0.13</v>
      </c>
      <c r="U65" s="16">
        <f t="shared" si="30"/>
        <v>112999.99999999999</v>
      </c>
      <c r="V65" s="16">
        <f t="shared" si="19"/>
        <v>20.812138613861386</v>
      </c>
      <c r="W65" s="16">
        <f t="shared" si="15"/>
        <v>6.9999999999999991</v>
      </c>
      <c r="X65" s="18">
        <f t="shared" si="20"/>
        <v>9.7452955289866214E-7</v>
      </c>
      <c r="Y65" s="2">
        <f t="shared" si="16"/>
        <v>96079.11903209328</v>
      </c>
      <c r="Z65" s="12">
        <f t="shared" si="17"/>
        <v>5.4414549982654703E-14</v>
      </c>
      <c r="AA65" s="18">
        <f t="shared" si="31"/>
        <v>32768441999.554665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1">
        <v>192</v>
      </c>
      <c r="B66" s="1">
        <f t="shared" si="21"/>
        <v>3.2</v>
      </c>
      <c r="C66" s="1">
        <v>20</v>
      </c>
      <c r="D66" s="1">
        <f t="shared" si="22"/>
        <v>29.146000000000001</v>
      </c>
      <c r="E66" s="1">
        <f t="shared" si="23"/>
        <v>4.8576666666666667E-7</v>
      </c>
      <c r="F66" s="1">
        <v>21.1</v>
      </c>
      <c r="G66" s="1">
        <f t="shared" si="24"/>
        <v>294.10000000000002</v>
      </c>
      <c r="H66" s="1">
        <v>101.3</v>
      </c>
      <c r="I66" s="1">
        <f t="shared" si="25"/>
        <v>101300</v>
      </c>
      <c r="J66" s="1">
        <f t="shared" si="26"/>
        <v>2.0124824921938581E-5</v>
      </c>
      <c r="K66" s="28">
        <v>180.76237623762378</v>
      </c>
      <c r="L66" s="2">
        <f t="shared" si="27"/>
        <v>1.8076237623762379E-4</v>
      </c>
      <c r="M66" s="3">
        <f t="shared" si="9"/>
        <v>4.7762865441819992E-3</v>
      </c>
      <c r="N66" s="64">
        <f t="shared" si="28"/>
        <v>7.6164006087260243E-7</v>
      </c>
      <c r="O66" s="29">
        <f t="shared" si="11"/>
        <v>2.032E-3</v>
      </c>
      <c r="P66" s="29">
        <v>2.10483574898098E-10</v>
      </c>
      <c r="Q66" s="16">
        <v>0.02</v>
      </c>
      <c r="R66" s="16">
        <f t="shared" si="29"/>
        <v>102000</v>
      </c>
      <c r="S66" s="16">
        <f t="shared" si="13"/>
        <v>5.36358238306597E-3</v>
      </c>
      <c r="T66" s="16">
        <v>0.13</v>
      </c>
      <c r="U66" s="16">
        <f t="shared" si="30"/>
        <v>112999.99999999999</v>
      </c>
      <c r="V66" s="16">
        <f t="shared" ref="V66:V82" si="32">(L66*U66)</f>
        <v>20.426148514851487</v>
      </c>
      <c r="W66" s="16">
        <f t="shared" si="15"/>
        <v>6.9999999999999991</v>
      </c>
      <c r="X66" s="18">
        <f t="shared" ref="X66:X82" si="33">(N66+((P66/O66)*(SQRT(V66)-SQRT(W66))))</f>
        <v>9.5573433712493541E-7</v>
      </c>
      <c r="Y66" s="2">
        <f t="shared" si="16"/>
        <v>96191.637654199149</v>
      </c>
      <c r="Z66" s="12">
        <f t="shared" si="17"/>
        <v>5.3302436074558022E-14</v>
      </c>
      <c r="AA66" s="18">
        <f t="shared" si="31"/>
        <v>32098727004.098843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1">
        <v>195</v>
      </c>
      <c r="B67" s="1">
        <f t="shared" si="21"/>
        <v>3.25</v>
      </c>
      <c r="C67" s="1">
        <v>20</v>
      </c>
      <c r="D67" s="1">
        <f t="shared" si="22"/>
        <v>29.146000000000001</v>
      </c>
      <c r="E67" s="1">
        <f t="shared" si="23"/>
        <v>4.8576666666666667E-7</v>
      </c>
      <c r="F67" s="1">
        <v>21.1</v>
      </c>
      <c r="G67" s="1">
        <f t="shared" si="24"/>
        <v>294.10000000000002</v>
      </c>
      <c r="H67" s="1">
        <v>101.3</v>
      </c>
      <c r="I67" s="1">
        <f t="shared" si="25"/>
        <v>101300</v>
      </c>
      <c r="J67" s="1">
        <f t="shared" si="26"/>
        <v>2.0124824921938581E-5</v>
      </c>
      <c r="K67" s="28">
        <v>183.70792079207922</v>
      </c>
      <c r="L67" s="2">
        <f t="shared" si="27"/>
        <v>1.8370792079207922E-4</v>
      </c>
      <c r="M67" s="3">
        <f t="shared" ref="M67:M82" si="34">(3.142*3.07*3.07*25.4*25.4)/(4*1000000)</f>
        <v>4.7762865441819992E-3</v>
      </c>
      <c r="N67" s="64">
        <f t="shared" si="28"/>
        <v>7.7405107681769724E-7</v>
      </c>
      <c r="O67" s="29">
        <f t="shared" ref="O67:O82" si="35">(2.032/1000)</f>
        <v>2.032E-3</v>
      </c>
      <c r="P67" s="29">
        <v>2.10483574898098E-10</v>
      </c>
      <c r="Q67" s="16">
        <v>0.02</v>
      </c>
      <c r="R67" s="16">
        <f t="shared" si="29"/>
        <v>102000</v>
      </c>
      <c r="S67" s="16">
        <f t="shared" ref="S67:S82" si="36">(5.36358238306597/1000)</f>
        <v>5.36358238306597E-3</v>
      </c>
      <c r="T67" s="16">
        <v>0.13</v>
      </c>
      <c r="U67" s="16">
        <f t="shared" si="30"/>
        <v>112999.99999999999</v>
      </c>
      <c r="V67" s="16">
        <f t="shared" si="32"/>
        <v>20.75899504950495</v>
      </c>
      <c r="W67" s="16">
        <f t="shared" ref="W67:W82" si="37">(70/1000000)*100000</f>
        <v>6.9999999999999991</v>
      </c>
      <c r="X67" s="18">
        <f t="shared" si="33"/>
        <v>9.7194424381278322E-7</v>
      </c>
      <c r="Y67" s="2">
        <f t="shared" ref="Y67:Y82" si="38">(SQRT(R67)-(X67*O67/P67))^2</f>
        <v>96094.592225390283</v>
      </c>
      <c r="Z67" s="12">
        <f t="shared" ref="Z67:Z82" si="39">(X67*S67)/(Y67-V67)</f>
        <v>5.426142424168713E-14</v>
      </c>
      <c r="AA67" s="18">
        <f t="shared" si="31"/>
        <v>32676229678.34399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1">
        <v>198</v>
      </c>
      <c r="B68" s="1">
        <f t="shared" si="21"/>
        <v>3.3</v>
      </c>
      <c r="C68" s="1">
        <v>20</v>
      </c>
      <c r="D68" s="1">
        <f t="shared" si="22"/>
        <v>29.146000000000001</v>
      </c>
      <c r="E68" s="1">
        <f t="shared" si="23"/>
        <v>4.8576666666666667E-7</v>
      </c>
      <c r="F68" s="1">
        <v>21.1</v>
      </c>
      <c r="G68" s="1">
        <f t="shared" si="24"/>
        <v>294.10000000000002</v>
      </c>
      <c r="H68" s="1">
        <v>101.3</v>
      </c>
      <c r="I68" s="1">
        <f t="shared" si="25"/>
        <v>101300</v>
      </c>
      <c r="J68" s="1">
        <f t="shared" si="26"/>
        <v>2.0124824921938581E-5</v>
      </c>
      <c r="K68" s="28">
        <v>180.11881188118815</v>
      </c>
      <c r="L68" s="2">
        <f t="shared" si="27"/>
        <v>1.8011881188118815E-4</v>
      </c>
      <c r="M68" s="3">
        <f t="shared" si="34"/>
        <v>4.7762865441819992E-3</v>
      </c>
      <c r="N68" s="64">
        <f t="shared" si="28"/>
        <v>7.589284103299766E-7</v>
      </c>
      <c r="O68" s="29">
        <f t="shared" si="35"/>
        <v>2.032E-3</v>
      </c>
      <c r="P68" s="29">
        <v>2.10483574898098E-10</v>
      </c>
      <c r="Q68" s="16">
        <v>0.02</v>
      </c>
      <c r="R68" s="16">
        <f t="shared" si="29"/>
        <v>102000</v>
      </c>
      <c r="S68" s="16">
        <f t="shared" si="36"/>
        <v>5.36358238306597E-3</v>
      </c>
      <c r="T68" s="16">
        <v>0.13</v>
      </c>
      <c r="U68" s="16">
        <f t="shared" si="30"/>
        <v>112999.99999999999</v>
      </c>
      <c r="V68" s="16">
        <f t="shared" si="32"/>
        <v>20.35342574257426</v>
      </c>
      <c r="W68" s="16">
        <f t="shared" si="37"/>
        <v>6.9999999999999991</v>
      </c>
      <c r="X68" s="18">
        <f t="shared" si="33"/>
        <v>9.5218856613944724E-7</v>
      </c>
      <c r="Y68" s="2">
        <f t="shared" si="38"/>
        <v>96212.871995567955</v>
      </c>
      <c r="Z68" s="12">
        <f t="shared" si="39"/>
        <v>5.3092921306506309E-14</v>
      </c>
      <c r="AA68" s="18">
        <f t="shared" si="31"/>
        <v>31972557210.778099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1">
        <v>201</v>
      </c>
      <c r="B69" s="1">
        <f t="shared" si="21"/>
        <v>3.35</v>
      </c>
      <c r="C69" s="1">
        <v>20</v>
      </c>
      <c r="D69" s="1">
        <f t="shared" si="22"/>
        <v>29.146000000000001</v>
      </c>
      <c r="E69" s="1">
        <f t="shared" si="23"/>
        <v>4.8576666666666667E-7</v>
      </c>
      <c r="F69" s="1">
        <v>21.1</v>
      </c>
      <c r="G69" s="1">
        <f t="shared" si="24"/>
        <v>294.10000000000002</v>
      </c>
      <c r="H69" s="1">
        <v>101.3</v>
      </c>
      <c r="I69" s="1">
        <f t="shared" si="25"/>
        <v>101300</v>
      </c>
      <c r="J69" s="1">
        <f t="shared" si="26"/>
        <v>2.0124824921938581E-5</v>
      </c>
      <c r="K69" s="28">
        <v>182.59405940594061</v>
      </c>
      <c r="L69" s="2">
        <f t="shared" si="27"/>
        <v>1.8259405940594062E-4</v>
      </c>
      <c r="M69" s="3">
        <f t="shared" si="34"/>
        <v>4.7762865441819992E-3</v>
      </c>
      <c r="N69" s="64">
        <f t="shared" si="28"/>
        <v>7.6935783549392199E-7</v>
      </c>
      <c r="O69" s="29">
        <f t="shared" si="35"/>
        <v>2.032E-3</v>
      </c>
      <c r="P69" s="29">
        <v>2.10483574898098E-10</v>
      </c>
      <c r="Q69" s="16">
        <v>0.02</v>
      </c>
      <c r="R69" s="16">
        <f t="shared" si="29"/>
        <v>102000</v>
      </c>
      <c r="S69" s="16">
        <f t="shared" si="36"/>
        <v>5.36358238306597E-3</v>
      </c>
      <c r="T69" s="16">
        <v>0.13</v>
      </c>
      <c r="U69" s="16">
        <f t="shared" si="30"/>
        <v>112999.99999999999</v>
      </c>
      <c r="V69" s="16">
        <f t="shared" si="32"/>
        <v>20.633128712871287</v>
      </c>
      <c r="W69" s="16">
        <f t="shared" si="37"/>
        <v>6.9999999999999991</v>
      </c>
      <c r="X69" s="18">
        <f t="shared" si="33"/>
        <v>9.6581805343857215E-7</v>
      </c>
      <c r="Y69" s="2">
        <f t="shared" si="38"/>
        <v>96131.262729254784</v>
      </c>
      <c r="Z69" s="12">
        <f t="shared" si="39"/>
        <v>5.389876976355781E-14</v>
      </c>
      <c r="AA69" s="18">
        <f t="shared" si="31"/>
        <v>32457839151.614513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1">
        <v>204</v>
      </c>
      <c r="B70" s="1">
        <f t="shared" si="21"/>
        <v>3.4</v>
      </c>
      <c r="C70" s="1">
        <v>20</v>
      </c>
      <c r="D70" s="1">
        <f t="shared" si="22"/>
        <v>29.146000000000001</v>
      </c>
      <c r="E70" s="1">
        <f t="shared" si="23"/>
        <v>4.8576666666666667E-7</v>
      </c>
      <c r="F70" s="1">
        <v>21.1</v>
      </c>
      <c r="G70" s="1">
        <f t="shared" si="24"/>
        <v>294.10000000000002</v>
      </c>
      <c r="H70" s="1">
        <v>101.3</v>
      </c>
      <c r="I70" s="1">
        <f t="shared" si="25"/>
        <v>101300</v>
      </c>
      <c r="J70" s="1">
        <f t="shared" si="26"/>
        <v>2.0124824921938581E-5</v>
      </c>
      <c r="K70" s="28">
        <v>175.41584158415841</v>
      </c>
      <c r="L70" s="2">
        <f t="shared" si="27"/>
        <v>1.7541584158415843E-4</v>
      </c>
      <c r="M70" s="3">
        <f t="shared" si="34"/>
        <v>4.7762865441819992E-3</v>
      </c>
      <c r="N70" s="64">
        <f t="shared" si="28"/>
        <v>7.3911250251848038E-7</v>
      </c>
      <c r="O70" s="29">
        <f t="shared" si="35"/>
        <v>2.032E-3</v>
      </c>
      <c r="P70" s="29">
        <v>2.10483574898098E-10</v>
      </c>
      <c r="Q70" s="16">
        <v>0.02</v>
      </c>
      <c r="R70" s="16">
        <f t="shared" si="29"/>
        <v>102000</v>
      </c>
      <c r="S70" s="16">
        <f t="shared" si="36"/>
        <v>5.36358238306597E-3</v>
      </c>
      <c r="T70" s="16">
        <v>0.13</v>
      </c>
      <c r="U70" s="16">
        <f t="shared" si="30"/>
        <v>112999.99999999999</v>
      </c>
      <c r="V70" s="16">
        <f t="shared" si="32"/>
        <v>19.821990099009899</v>
      </c>
      <c r="W70" s="16">
        <f t="shared" si="37"/>
        <v>6.9999999999999991</v>
      </c>
      <c r="X70" s="18">
        <f t="shared" si="33"/>
        <v>9.2623136984739536E-7</v>
      </c>
      <c r="Y70" s="2">
        <f t="shared" si="38"/>
        <v>96368.391639084424</v>
      </c>
      <c r="Z70" s="12">
        <f t="shared" si="39"/>
        <v>5.1561930561663142E-14</v>
      </c>
      <c r="AA70" s="18">
        <f t="shared" si="31"/>
        <v>31050594584.233547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1">
        <v>207</v>
      </c>
      <c r="B71" s="1">
        <f t="shared" si="21"/>
        <v>3.45</v>
      </c>
      <c r="C71" s="1">
        <v>20</v>
      </c>
      <c r="D71" s="1">
        <f t="shared" si="22"/>
        <v>29.146000000000001</v>
      </c>
      <c r="E71" s="1">
        <f t="shared" si="23"/>
        <v>4.8576666666666667E-7</v>
      </c>
      <c r="F71" s="1">
        <v>21.1</v>
      </c>
      <c r="G71" s="1">
        <f t="shared" si="24"/>
        <v>294.10000000000002</v>
      </c>
      <c r="H71" s="1">
        <v>101.3</v>
      </c>
      <c r="I71" s="1">
        <f t="shared" si="25"/>
        <v>101300</v>
      </c>
      <c r="J71" s="1">
        <f t="shared" si="26"/>
        <v>2.0124824921938581E-5</v>
      </c>
      <c r="K71" s="28">
        <v>182.39603960396042</v>
      </c>
      <c r="L71" s="2">
        <f t="shared" si="27"/>
        <v>1.8239603960396042E-4</v>
      </c>
      <c r="M71" s="3">
        <f t="shared" si="34"/>
        <v>4.7762865441819992E-3</v>
      </c>
      <c r="N71" s="64">
        <f t="shared" si="28"/>
        <v>7.6852348148080637E-7</v>
      </c>
      <c r="O71" s="29">
        <f t="shared" si="35"/>
        <v>2.032E-3</v>
      </c>
      <c r="P71" s="29">
        <v>2.10483574898098E-10</v>
      </c>
      <c r="Q71" s="16">
        <v>0.02</v>
      </c>
      <c r="R71" s="16">
        <f t="shared" si="29"/>
        <v>102000</v>
      </c>
      <c r="S71" s="16">
        <f t="shared" si="36"/>
        <v>5.36358238306597E-3</v>
      </c>
      <c r="T71" s="16">
        <v>0.13</v>
      </c>
      <c r="U71" s="16">
        <f t="shared" si="30"/>
        <v>112999.99999999999</v>
      </c>
      <c r="V71" s="16">
        <f t="shared" si="32"/>
        <v>20.610752475247523</v>
      </c>
      <c r="W71" s="16">
        <f t="shared" si="37"/>
        <v>6.9999999999999991</v>
      </c>
      <c r="X71" s="18">
        <f t="shared" si="33"/>
        <v>9.6472849580711099E-7</v>
      </c>
      <c r="Y71" s="2">
        <f t="shared" si="38"/>
        <v>96137.785398927619</v>
      </c>
      <c r="Z71" s="12">
        <f t="shared" si="39"/>
        <v>5.383429947442527E-14</v>
      </c>
      <c r="AA71" s="18">
        <f t="shared" si="31"/>
        <v>32419015143.498898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4" customFormat="1" x14ac:dyDescent="0.25">
      <c r="A72" s="1">
        <v>210</v>
      </c>
      <c r="B72" s="1">
        <f t="shared" si="21"/>
        <v>3.5</v>
      </c>
      <c r="C72" s="1">
        <v>20</v>
      </c>
      <c r="D72" s="1">
        <f t="shared" si="22"/>
        <v>29.146000000000001</v>
      </c>
      <c r="E72" s="1">
        <f t="shared" si="23"/>
        <v>4.8576666666666667E-7</v>
      </c>
      <c r="F72" s="1">
        <v>21.1</v>
      </c>
      <c r="G72" s="1">
        <f t="shared" si="24"/>
        <v>294.10000000000002</v>
      </c>
      <c r="H72" s="1">
        <v>101.3</v>
      </c>
      <c r="I72" s="1">
        <f t="shared" si="25"/>
        <v>101300</v>
      </c>
      <c r="J72" s="1">
        <f t="shared" si="26"/>
        <v>2.0124824921938581E-5</v>
      </c>
      <c r="K72" s="28">
        <v>177.17326732673271</v>
      </c>
      <c r="L72" s="2">
        <f t="shared" si="27"/>
        <v>1.7717326732673272E-4</v>
      </c>
      <c r="M72" s="3">
        <f t="shared" si="34"/>
        <v>4.7762865441819992E-3</v>
      </c>
      <c r="N72" s="64">
        <f t="shared" si="28"/>
        <v>7.4651739438488167E-7</v>
      </c>
      <c r="O72" s="29">
        <f t="shared" si="35"/>
        <v>2.032E-3</v>
      </c>
      <c r="P72" s="29">
        <v>2.10483574898098E-10</v>
      </c>
      <c r="Q72" s="16">
        <v>0.02</v>
      </c>
      <c r="R72" s="16">
        <f t="shared" si="29"/>
        <v>102000</v>
      </c>
      <c r="S72" s="16">
        <f t="shared" si="36"/>
        <v>5.36358238306597E-3</v>
      </c>
      <c r="T72" s="16">
        <v>0.13</v>
      </c>
      <c r="U72" s="16">
        <f t="shared" si="30"/>
        <v>112999.99999999999</v>
      </c>
      <c r="V72" s="16">
        <f t="shared" si="32"/>
        <v>20.020579207920797</v>
      </c>
      <c r="W72" s="16">
        <f t="shared" si="37"/>
        <v>6.9999999999999991</v>
      </c>
      <c r="X72" s="18">
        <f t="shared" si="33"/>
        <v>9.3594068692148238E-7</v>
      </c>
      <c r="Y72" s="2">
        <f t="shared" si="38"/>
        <v>96310.204647185485</v>
      </c>
      <c r="Z72" s="12">
        <f t="shared" si="39"/>
        <v>5.2134026210010994E-14</v>
      </c>
      <c r="AA72" s="18">
        <f t="shared" si="31"/>
        <v>31395110583.668621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4" customFormat="1" x14ac:dyDescent="0.25">
      <c r="A73" s="1">
        <v>213</v>
      </c>
      <c r="B73" s="1">
        <f t="shared" si="21"/>
        <v>3.55</v>
      </c>
      <c r="C73" s="1">
        <v>20</v>
      </c>
      <c r="D73" s="1">
        <f t="shared" si="22"/>
        <v>29.146000000000001</v>
      </c>
      <c r="E73" s="1">
        <f t="shared" si="23"/>
        <v>4.8576666666666667E-7</v>
      </c>
      <c r="F73" s="1">
        <v>21.1</v>
      </c>
      <c r="G73" s="1">
        <f t="shared" si="24"/>
        <v>294.10000000000002</v>
      </c>
      <c r="H73" s="1">
        <v>101.3</v>
      </c>
      <c r="I73" s="1">
        <f t="shared" si="25"/>
        <v>101300</v>
      </c>
      <c r="J73" s="1">
        <f t="shared" si="26"/>
        <v>2.0124824921938581E-5</v>
      </c>
      <c r="K73" s="28">
        <v>188.36138613861388</v>
      </c>
      <c r="L73" s="2">
        <f t="shared" si="27"/>
        <v>1.8836138613861388E-4</v>
      </c>
      <c r="M73" s="3">
        <f t="shared" si="34"/>
        <v>4.7762865441819992E-3</v>
      </c>
      <c r="N73" s="64">
        <f t="shared" si="28"/>
        <v>7.936583961259146E-7</v>
      </c>
      <c r="O73" s="29">
        <f t="shared" si="35"/>
        <v>2.032E-3</v>
      </c>
      <c r="P73" s="29">
        <v>2.10483574898098E-10</v>
      </c>
      <c r="Q73" s="16">
        <v>0.02</v>
      </c>
      <c r="R73" s="16">
        <f t="shared" si="29"/>
        <v>102000</v>
      </c>
      <c r="S73" s="16">
        <f t="shared" si="36"/>
        <v>5.36358238306597E-3</v>
      </c>
      <c r="T73" s="16">
        <v>0.13</v>
      </c>
      <c r="U73" s="16">
        <f t="shared" si="30"/>
        <v>112999.99999999999</v>
      </c>
      <c r="V73" s="16">
        <f t="shared" si="32"/>
        <v>21.284836633663364</v>
      </c>
      <c r="W73" s="16">
        <f t="shared" si="37"/>
        <v>6.9999999999999991</v>
      </c>
      <c r="X73" s="18">
        <f t="shared" si="33"/>
        <v>9.9749163616410366E-7</v>
      </c>
      <c r="Y73" s="2">
        <f t="shared" si="38"/>
        <v>95941.744584479005</v>
      </c>
      <c r="Z73" s="12">
        <f t="shared" si="39"/>
        <v>5.5776719388645509E-14</v>
      </c>
      <c r="AA73" s="18">
        <f t="shared" si="31"/>
        <v>33588740415.842327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s="4" customFormat="1" x14ac:dyDescent="0.25">
      <c r="A74" s="1">
        <v>216</v>
      </c>
      <c r="B74" s="1">
        <f t="shared" si="21"/>
        <v>3.6</v>
      </c>
      <c r="C74" s="1">
        <v>20</v>
      </c>
      <c r="D74" s="1">
        <f t="shared" si="22"/>
        <v>29.146000000000001</v>
      </c>
      <c r="E74" s="1">
        <f t="shared" si="23"/>
        <v>4.8576666666666667E-7</v>
      </c>
      <c r="F74" s="1">
        <v>21.1</v>
      </c>
      <c r="G74" s="1">
        <f t="shared" si="24"/>
        <v>294.10000000000002</v>
      </c>
      <c r="H74" s="1">
        <v>101.3</v>
      </c>
      <c r="I74" s="1">
        <f t="shared" si="25"/>
        <v>101300</v>
      </c>
      <c r="J74" s="1">
        <f t="shared" si="26"/>
        <v>2.0124824921938581E-5</v>
      </c>
      <c r="K74" s="28">
        <v>182.07425742574259</v>
      </c>
      <c r="L74" s="2">
        <f t="shared" si="27"/>
        <v>1.8207425742574259E-4</v>
      </c>
      <c r="M74" s="3">
        <f t="shared" si="34"/>
        <v>4.7762865441819992E-3</v>
      </c>
      <c r="N74" s="64">
        <f t="shared" si="28"/>
        <v>7.671676562094934E-7</v>
      </c>
      <c r="O74" s="29">
        <f t="shared" si="35"/>
        <v>2.032E-3</v>
      </c>
      <c r="P74" s="29">
        <v>2.10483574898098E-10</v>
      </c>
      <c r="Q74" s="16">
        <v>0.02</v>
      </c>
      <c r="R74" s="16">
        <f t="shared" si="29"/>
        <v>102000</v>
      </c>
      <c r="S74" s="16">
        <f t="shared" si="36"/>
        <v>5.36358238306597E-3</v>
      </c>
      <c r="T74" s="16">
        <v>0.13</v>
      </c>
      <c r="U74" s="16">
        <f t="shared" si="30"/>
        <v>112999.99999999999</v>
      </c>
      <c r="V74" s="16">
        <f t="shared" si="32"/>
        <v>20.574391089108911</v>
      </c>
      <c r="W74" s="16">
        <f t="shared" si="37"/>
        <v>6.9999999999999991</v>
      </c>
      <c r="X74" s="18">
        <f t="shared" si="33"/>
        <v>9.6295766901258352E-7</v>
      </c>
      <c r="Y74" s="2">
        <f t="shared" si="38"/>
        <v>96148.38697909964</v>
      </c>
      <c r="Z74" s="12">
        <f t="shared" si="39"/>
        <v>5.372953622995841E-14</v>
      </c>
      <c r="AA74" s="18">
        <f t="shared" si="31"/>
        <v>32355926717.680954</v>
      </c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s="4" customFormat="1" x14ac:dyDescent="0.25">
      <c r="A75" s="1">
        <v>219</v>
      </c>
      <c r="B75" s="1">
        <f t="shared" si="21"/>
        <v>3.65</v>
      </c>
      <c r="C75" s="1">
        <v>20</v>
      </c>
      <c r="D75" s="1">
        <f t="shared" si="22"/>
        <v>29.146000000000001</v>
      </c>
      <c r="E75" s="1">
        <f t="shared" si="23"/>
        <v>4.8576666666666667E-7</v>
      </c>
      <c r="F75" s="1">
        <v>21.1</v>
      </c>
      <c r="G75" s="1">
        <f t="shared" si="24"/>
        <v>294.10000000000002</v>
      </c>
      <c r="H75" s="1">
        <v>101.3</v>
      </c>
      <c r="I75" s="1">
        <f t="shared" si="25"/>
        <v>101300</v>
      </c>
      <c r="J75" s="1">
        <f t="shared" si="26"/>
        <v>2.0124824921938581E-5</v>
      </c>
      <c r="K75" s="28">
        <v>172.37128712871291</v>
      </c>
      <c r="L75" s="2">
        <f t="shared" si="27"/>
        <v>1.7237128712871292E-4</v>
      </c>
      <c r="M75" s="3">
        <f t="shared" si="34"/>
        <v>4.7762865441819992E-3</v>
      </c>
      <c r="N75" s="64">
        <f t="shared" si="28"/>
        <v>7.2628430956682765E-7</v>
      </c>
      <c r="O75" s="29">
        <f t="shared" si="35"/>
        <v>2.032E-3</v>
      </c>
      <c r="P75" s="29">
        <v>2.10483574898098E-10</v>
      </c>
      <c r="Q75" s="16">
        <v>0.02</v>
      </c>
      <c r="R75" s="16">
        <f t="shared" si="29"/>
        <v>102000</v>
      </c>
      <c r="S75" s="16">
        <f t="shared" si="36"/>
        <v>5.36358238306597E-3</v>
      </c>
      <c r="T75" s="16">
        <v>0.13</v>
      </c>
      <c r="U75" s="16">
        <f t="shared" si="30"/>
        <v>112999.99999999999</v>
      </c>
      <c r="V75" s="16">
        <f t="shared" si="32"/>
        <v>19.477955445544556</v>
      </c>
      <c r="W75" s="16">
        <f t="shared" si="37"/>
        <v>6.9999999999999991</v>
      </c>
      <c r="X75" s="18">
        <f t="shared" si="33"/>
        <v>9.0938351166144563E-7</v>
      </c>
      <c r="Y75" s="2">
        <f t="shared" si="38"/>
        <v>96469.400912983372</v>
      </c>
      <c r="Z75" s="12">
        <f t="shared" si="39"/>
        <v>5.0570837518919993E-14</v>
      </c>
      <c r="AA75" s="18">
        <f t="shared" si="31"/>
        <v>30453758353.89362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s="4" customFormat="1" x14ac:dyDescent="0.25">
      <c r="A76" s="1">
        <v>222</v>
      </c>
      <c r="B76" s="1">
        <f t="shared" si="21"/>
        <v>3.7</v>
      </c>
      <c r="C76" s="1">
        <v>20</v>
      </c>
      <c r="D76" s="1">
        <f t="shared" si="22"/>
        <v>29.146000000000001</v>
      </c>
      <c r="E76" s="1">
        <f t="shared" si="23"/>
        <v>4.8576666666666667E-7</v>
      </c>
      <c r="F76" s="1">
        <v>21.1</v>
      </c>
      <c r="G76" s="1">
        <f t="shared" si="24"/>
        <v>294.10000000000002</v>
      </c>
      <c r="H76" s="1">
        <v>101.3</v>
      </c>
      <c r="I76" s="1">
        <f t="shared" si="25"/>
        <v>101300</v>
      </c>
      <c r="J76" s="1">
        <f t="shared" si="26"/>
        <v>2.0124824921938581E-5</v>
      </c>
      <c r="K76" s="28">
        <v>176.25742574257427</v>
      </c>
      <c r="L76" s="2">
        <f t="shared" si="27"/>
        <v>1.7625742574257428E-4</v>
      </c>
      <c r="M76" s="3">
        <f t="shared" si="34"/>
        <v>4.7762865441819992E-3</v>
      </c>
      <c r="N76" s="64">
        <f t="shared" si="28"/>
        <v>7.4265850707422184E-7</v>
      </c>
      <c r="O76" s="29">
        <f t="shared" si="35"/>
        <v>2.032E-3</v>
      </c>
      <c r="P76" s="29">
        <v>2.10483574898098E-10</v>
      </c>
      <c r="Q76" s="16">
        <v>0.02</v>
      </c>
      <c r="R76" s="16">
        <f t="shared" si="29"/>
        <v>102000</v>
      </c>
      <c r="S76" s="16">
        <f t="shared" si="36"/>
        <v>5.36358238306597E-3</v>
      </c>
      <c r="T76" s="16">
        <v>0.13</v>
      </c>
      <c r="U76" s="16">
        <f t="shared" si="30"/>
        <v>112999.99999999999</v>
      </c>
      <c r="V76" s="16">
        <f t="shared" si="32"/>
        <v>19.91708910891089</v>
      </c>
      <c r="W76" s="16">
        <f t="shared" si="37"/>
        <v>6.9999999999999991</v>
      </c>
      <c r="X76" s="18">
        <f t="shared" si="33"/>
        <v>9.3088233531792242E-7</v>
      </c>
      <c r="Y76" s="2">
        <f t="shared" si="38"/>
        <v>96340.516663231785</v>
      </c>
      <c r="Z76" s="12">
        <f t="shared" si="39"/>
        <v>5.1835890936043157E-14</v>
      </c>
      <c r="AA76" s="18">
        <f t="shared" si="31"/>
        <v>31215573521.685192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s="4" customFormat="1" x14ac:dyDescent="0.25">
      <c r="A77" s="1">
        <v>225</v>
      </c>
      <c r="B77" s="1">
        <f t="shared" si="21"/>
        <v>3.75</v>
      </c>
      <c r="C77" s="1">
        <v>20</v>
      </c>
      <c r="D77" s="1">
        <f t="shared" si="22"/>
        <v>29.146000000000001</v>
      </c>
      <c r="E77" s="1">
        <f t="shared" si="23"/>
        <v>4.8576666666666667E-7</v>
      </c>
      <c r="F77" s="1">
        <v>21.1</v>
      </c>
      <c r="G77" s="1">
        <f t="shared" si="24"/>
        <v>294.10000000000002</v>
      </c>
      <c r="H77" s="1">
        <v>101.3</v>
      </c>
      <c r="I77" s="1">
        <f t="shared" si="25"/>
        <v>101300</v>
      </c>
      <c r="J77" s="1">
        <f t="shared" si="26"/>
        <v>2.0124824921938581E-5</v>
      </c>
      <c r="K77" s="28">
        <v>179.2772277227723</v>
      </c>
      <c r="L77" s="2">
        <f t="shared" si="27"/>
        <v>1.7927722772277229E-4</v>
      </c>
      <c r="M77" s="3">
        <f t="shared" si="34"/>
        <v>4.7762865441819992E-3</v>
      </c>
      <c r="N77" s="64">
        <f t="shared" si="28"/>
        <v>7.5538240577423514E-7</v>
      </c>
      <c r="O77" s="29">
        <f t="shared" si="35"/>
        <v>2.032E-3</v>
      </c>
      <c r="P77" s="29">
        <v>2.10483574898098E-10</v>
      </c>
      <c r="Q77" s="16">
        <v>0.02</v>
      </c>
      <c r="R77" s="16">
        <f t="shared" si="29"/>
        <v>102000</v>
      </c>
      <c r="S77" s="16">
        <f t="shared" si="36"/>
        <v>5.36358238306597E-3</v>
      </c>
      <c r="T77" s="16">
        <v>0.13</v>
      </c>
      <c r="U77" s="16">
        <f t="shared" si="30"/>
        <v>112999.99999999999</v>
      </c>
      <c r="V77" s="16">
        <f t="shared" si="32"/>
        <v>20.258326732673265</v>
      </c>
      <c r="W77" s="16">
        <f t="shared" si="37"/>
        <v>6.9999999999999991</v>
      </c>
      <c r="X77" s="18">
        <f t="shared" si="33"/>
        <v>9.4754953698062544E-7</v>
      </c>
      <c r="Y77" s="2">
        <f t="shared" si="38"/>
        <v>96240.657003869797</v>
      </c>
      <c r="Z77" s="12">
        <f t="shared" si="39"/>
        <v>5.281894560305114E-14</v>
      </c>
      <c r="AA77" s="18">
        <f t="shared" si="31"/>
        <v>31807569042.157398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s="4" customFormat="1" x14ac:dyDescent="0.25">
      <c r="A78" s="1">
        <v>228</v>
      </c>
      <c r="B78" s="1">
        <f t="shared" si="21"/>
        <v>3.8</v>
      </c>
      <c r="C78" s="1">
        <v>20</v>
      </c>
      <c r="D78" s="1">
        <f t="shared" si="22"/>
        <v>29.146000000000001</v>
      </c>
      <c r="E78" s="1">
        <f t="shared" si="23"/>
        <v>4.8576666666666667E-7</v>
      </c>
      <c r="F78" s="1">
        <v>21.1</v>
      </c>
      <c r="G78" s="1">
        <f t="shared" si="24"/>
        <v>294.10000000000002</v>
      </c>
      <c r="H78" s="1">
        <v>101.3</v>
      </c>
      <c r="I78" s="1">
        <f t="shared" si="25"/>
        <v>101300</v>
      </c>
      <c r="J78" s="1">
        <f t="shared" si="26"/>
        <v>2.0124824921938581E-5</v>
      </c>
      <c r="K78" s="28">
        <v>186.92574257425744</v>
      </c>
      <c r="L78" s="2">
        <f t="shared" si="27"/>
        <v>1.8692574257425743E-4</v>
      </c>
      <c r="M78" s="3">
        <f t="shared" si="34"/>
        <v>4.7762865441819992E-3</v>
      </c>
      <c r="N78" s="64">
        <f t="shared" si="28"/>
        <v>7.8760932953082628E-7</v>
      </c>
      <c r="O78" s="29">
        <f t="shared" si="35"/>
        <v>2.032E-3</v>
      </c>
      <c r="P78" s="29">
        <v>2.10483574898098E-10</v>
      </c>
      <c r="Q78" s="16">
        <v>0.02</v>
      </c>
      <c r="R78" s="16">
        <f t="shared" si="29"/>
        <v>102000</v>
      </c>
      <c r="S78" s="16">
        <f t="shared" si="36"/>
        <v>5.36358238306597E-3</v>
      </c>
      <c r="T78" s="16">
        <v>0.13</v>
      </c>
      <c r="U78" s="16">
        <f t="shared" si="30"/>
        <v>112999.99999999999</v>
      </c>
      <c r="V78" s="16">
        <f t="shared" si="32"/>
        <v>21.122608910891088</v>
      </c>
      <c r="W78" s="16">
        <f t="shared" si="37"/>
        <v>6.9999999999999991</v>
      </c>
      <c r="X78" s="18">
        <f t="shared" si="33"/>
        <v>9.8961789961962137E-7</v>
      </c>
      <c r="Y78" s="2">
        <f t="shared" si="38"/>
        <v>95988.839438870695</v>
      </c>
      <c r="Z78" s="12">
        <f t="shared" si="39"/>
        <v>5.5309194671905504E-14</v>
      </c>
      <c r="AA78" s="18">
        <f t="shared" si="31"/>
        <v>33307197031.421497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s="4" customFormat="1" x14ac:dyDescent="0.25">
      <c r="A79" s="1">
        <v>231</v>
      </c>
      <c r="B79" s="1">
        <f t="shared" si="21"/>
        <v>3.85</v>
      </c>
      <c r="C79" s="1">
        <v>20</v>
      </c>
      <c r="D79" s="1">
        <f t="shared" si="22"/>
        <v>29.146000000000001</v>
      </c>
      <c r="E79" s="1">
        <f t="shared" si="23"/>
        <v>4.8576666666666667E-7</v>
      </c>
      <c r="F79" s="1">
        <v>21.1</v>
      </c>
      <c r="G79" s="1">
        <f t="shared" si="24"/>
        <v>294.10000000000002</v>
      </c>
      <c r="H79" s="1">
        <v>101.3</v>
      </c>
      <c r="I79" s="1">
        <f t="shared" si="25"/>
        <v>101300</v>
      </c>
      <c r="J79" s="1">
        <f t="shared" si="26"/>
        <v>2.0124824921938581E-5</v>
      </c>
      <c r="K79" s="28">
        <v>187.74257425742576</v>
      </c>
      <c r="L79" s="2">
        <f t="shared" si="27"/>
        <v>1.8774257425742576E-4</v>
      </c>
      <c r="M79" s="3">
        <f t="shared" si="34"/>
        <v>4.7762865441819992E-3</v>
      </c>
      <c r="N79" s="64">
        <f t="shared" si="28"/>
        <v>7.9105103983492841E-7</v>
      </c>
      <c r="O79" s="29">
        <f t="shared" si="35"/>
        <v>2.032E-3</v>
      </c>
      <c r="P79" s="29">
        <v>2.10483574898098E-10</v>
      </c>
      <c r="Q79" s="16">
        <v>0.02</v>
      </c>
      <c r="R79" s="16">
        <f t="shared" si="29"/>
        <v>102000</v>
      </c>
      <c r="S79" s="16">
        <f t="shared" si="36"/>
        <v>5.36358238306597E-3</v>
      </c>
      <c r="T79" s="16">
        <v>0.13</v>
      </c>
      <c r="U79" s="16">
        <f t="shared" si="30"/>
        <v>112999.99999999999</v>
      </c>
      <c r="V79" s="16">
        <f t="shared" si="32"/>
        <v>21.214910891089108</v>
      </c>
      <c r="W79" s="16">
        <f t="shared" si="37"/>
        <v>6.9999999999999991</v>
      </c>
      <c r="X79" s="18">
        <f t="shared" si="33"/>
        <v>9.9409863990596291E-7</v>
      </c>
      <c r="Y79" s="2">
        <f t="shared" si="38"/>
        <v>95962.037555599105</v>
      </c>
      <c r="Z79" s="12">
        <f t="shared" si="39"/>
        <v>5.5575195261509128E-14</v>
      </c>
      <c r="AA79" s="18">
        <f t="shared" si="31"/>
        <v>33467382586.480797</v>
      </c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s="4" customFormat="1" x14ac:dyDescent="0.25">
      <c r="A80" s="1">
        <v>234</v>
      </c>
      <c r="B80" s="1">
        <f t="shared" si="21"/>
        <v>3.9</v>
      </c>
      <c r="C80" s="1">
        <v>20</v>
      </c>
      <c r="D80" s="1">
        <f t="shared" si="22"/>
        <v>29.146000000000001</v>
      </c>
      <c r="E80" s="1">
        <f t="shared" si="23"/>
        <v>4.8576666666666667E-7</v>
      </c>
      <c r="F80" s="1">
        <v>21.1</v>
      </c>
      <c r="G80" s="1">
        <f t="shared" si="24"/>
        <v>294.10000000000002</v>
      </c>
      <c r="H80" s="1">
        <v>101.3</v>
      </c>
      <c r="I80" s="1">
        <f t="shared" si="25"/>
        <v>101300</v>
      </c>
      <c r="J80" s="1">
        <f t="shared" si="26"/>
        <v>2.0124824921938581E-5</v>
      </c>
      <c r="K80" s="28">
        <v>176.65346534653466</v>
      </c>
      <c r="L80" s="2">
        <f t="shared" si="27"/>
        <v>1.7665346534653467E-4</v>
      </c>
      <c r="M80" s="3">
        <f t="shared" si="34"/>
        <v>4.7762865441819992E-3</v>
      </c>
      <c r="N80" s="64">
        <f t="shared" si="28"/>
        <v>7.4432721510045308E-7</v>
      </c>
      <c r="O80" s="29">
        <f t="shared" si="35"/>
        <v>2.032E-3</v>
      </c>
      <c r="P80" s="29">
        <v>2.10483574898098E-10</v>
      </c>
      <c r="Q80" s="16">
        <v>0.02</v>
      </c>
      <c r="R80" s="16">
        <f t="shared" si="29"/>
        <v>102000</v>
      </c>
      <c r="S80" s="16">
        <f t="shared" si="36"/>
        <v>5.36358238306597E-3</v>
      </c>
      <c r="T80" s="16">
        <v>0.13</v>
      </c>
      <c r="U80" s="16">
        <f t="shared" si="30"/>
        <v>112999.99999999999</v>
      </c>
      <c r="V80" s="16">
        <f t="shared" si="32"/>
        <v>19.961841584158414</v>
      </c>
      <c r="W80" s="16">
        <f t="shared" si="37"/>
        <v>6.9999999999999991</v>
      </c>
      <c r="X80" s="18">
        <f t="shared" si="33"/>
        <v>9.3307011209831301E-7</v>
      </c>
      <c r="Y80" s="2">
        <f t="shared" si="38"/>
        <v>96327.405893013856</v>
      </c>
      <c r="Z80" s="12">
        <f t="shared" si="39"/>
        <v>5.1964813984092094E-14</v>
      </c>
      <c r="AA80" s="18">
        <f t="shared" si="31"/>
        <v>31293210981.220261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s="4" customFormat="1" x14ac:dyDescent="0.25">
      <c r="A81" s="1">
        <v>237</v>
      </c>
      <c r="B81" s="1">
        <f t="shared" si="21"/>
        <v>3.95</v>
      </c>
      <c r="C81" s="1">
        <v>20</v>
      </c>
      <c r="D81" s="1">
        <f t="shared" si="22"/>
        <v>29.146000000000001</v>
      </c>
      <c r="E81" s="1">
        <f t="shared" si="23"/>
        <v>4.8576666666666667E-7</v>
      </c>
      <c r="F81" s="1">
        <v>21.1</v>
      </c>
      <c r="G81" s="1">
        <f t="shared" si="24"/>
        <v>294.10000000000002</v>
      </c>
      <c r="H81" s="1">
        <v>101.3</v>
      </c>
      <c r="I81" s="1">
        <f t="shared" si="25"/>
        <v>101300</v>
      </c>
      <c r="J81" s="1">
        <f t="shared" si="26"/>
        <v>2.0124824921938581E-5</v>
      </c>
      <c r="K81" s="28">
        <v>180.63861386138615</v>
      </c>
      <c r="L81" s="2">
        <f t="shared" si="27"/>
        <v>1.8063861386138615E-4</v>
      </c>
      <c r="M81" s="3">
        <f t="shared" si="34"/>
        <v>4.7762865441819992E-3</v>
      </c>
      <c r="N81" s="64">
        <f t="shared" si="28"/>
        <v>7.6111858961440508E-7</v>
      </c>
      <c r="O81" s="29">
        <f t="shared" si="35"/>
        <v>2.032E-3</v>
      </c>
      <c r="P81" s="29">
        <v>2.10483574898098E-10</v>
      </c>
      <c r="Q81" s="16">
        <v>0.02</v>
      </c>
      <c r="R81" s="16">
        <f t="shared" si="29"/>
        <v>102000</v>
      </c>
      <c r="S81" s="16">
        <f t="shared" si="36"/>
        <v>5.36358238306597E-3</v>
      </c>
      <c r="T81" s="16">
        <v>0.13</v>
      </c>
      <c r="U81" s="16">
        <f t="shared" si="30"/>
        <v>112999.99999999999</v>
      </c>
      <c r="V81" s="16">
        <f t="shared" si="32"/>
        <v>20.412163366336632</v>
      </c>
      <c r="W81" s="16">
        <f t="shared" si="37"/>
        <v>6.9999999999999991</v>
      </c>
      <c r="X81" s="18">
        <f t="shared" si="33"/>
        <v>9.5505257354916151E-7</v>
      </c>
      <c r="Y81" s="2">
        <f t="shared" si="38"/>
        <v>96195.72030795984</v>
      </c>
      <c r="Z81" s="12">
        <f t="shared" si="39"/>
        <v>5.3262144486074725E-14</v>
      </c>
      <c r="AA81" s="18">
        <f t="shared" si="31"/>
        <v>32074463409.514202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s="4" customFormat="1" x14ac:dyDescent="0.25">
      <c r="A82" s="1">
        <v>240</v>
      </c>
      <c r="B82" s="1">
        <f t="shared" si="21"/>
        <v>4</v>
      </c>
      <c r="C82" s="1">
        <v>20</v>
      </c>
      <c r="D82" s="1">
        <f t="shared" si="22"/>
        <v>29.146000000000001</v>
      </c>
      <c r="E82" s="1">
        <f t="shared" si="23"/>
        <v>4.8576666666666667E-7</v>
      </c>
      <c r="F82" s="1">
        <v>21.1</v>
      </c>
      <c r="G82" s="1">
        <f t="shared" si="24"/>
        <v>294.10000000000002</v>
      </c>
      <c r="H82" s="1">
        <v>101.3</v>
      </c>
      <c r="I82" s="1">
        <f t="shared" si="25"/>
        <v>101300</v>
      </c>
      <c r="J82" s="1">
        <f t="shared" si="26"/>
        <v>2.0124824921938581E-5</v>
      </c>
      <c r="K82" s="28">
        <v>180.93564356435644</v>
      </c>
      <c r="L82" s="2">
        <f t="shared" si="27"/>
        <v>1.8093564356435644E-4</v>
      </c>
      <c r="M82" s="3">
        <f t="shared" si="34"/>
        <v>4.7762865441819992E-3</v>
      </c>
      <c r="N82" s="64">
        <f t="shared" si="28"/>
        <v>7.6237012063407841E-7</v>
      </c>
      <c r="O82" s="29">
        <f t="shared" si="35"/>
        <v>2.032E-3</v>
      </c>
      <c r="P82" s="29">
        <v>2.10483574898098E-10</v>
      </c>
      <c r="Q82" s="16">
        <v>0.02</v>
      </c>
      <c r="R82" s="16">
        <f t="shared" si="29"/>
        <v>102000</v>
      </c>
      <c r="S82" s="16">
        <f t="shared" si="36"/>
        <v>5.36358238306597E-3</v>
      </c>
      <c r="T82" s="16">
        <v>0.13</v>
      </c>
      <c r="U82" s="16">
        <f t="shared" si="30"/>
        <v>112999.99999999999</v>
      </c>
      <c r="V82" s="16">
        <f t="shared" si="32"/>
        <v>20.445727722772276</v>
      </c>
      <c r="W82" s="16">
        <f t="shared" si="37"/>
        <v>6.9999999999999991</v>
      </c>
      <c r="X82" s="18">
        <f t="shared" si="33"/>
        <v>9.5668871397178323E-7</v>
      </c>
      <c r="Y82" s="2">
        <f t="shared" si="38"/>
        <v>96185.922636347561</v>
      </c>
      <c r="Z82" s="12">
        <f t="shared" si="39"/>
        <v>5.3358844538490369E-14</v>
      </c>
      <c r="AA82" s="18">
        <f t="shared" si="31"/>
        <v>32132696181.078903</v>
      </c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2"/>
      <c r="L83" s="3"/>
      <c r="M83" s="3"/>
      <c r="N83" s="29"/>
      <c r="O83" s="29"/>
      <c r="P83" s="29"/>
      <c r="Q83" s="16"/>
      <c r="R83" s="16"/>
      <c r="S83" s="16"/>
      <c r="T83" s="16"/>
      <c r="U83" s="16"/>
      <c r="V83" s="16"/>
      <c r="W83" s="13"/>
      <c r="X83" s="13"/>
      <c r="Y83" s="13"/>
      <c r="Z83" s="30"/>
      <c r="AA83" s="30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2"/>
      <c r="L84" s="3"/>
      <c r="M84" s="3"/>
      <c r="N84" s="29"/>
      <c r="O84" s="29"/>
      <c r="P84" s="29"/>
      <c r="Q84" s="16"/>
      <c r="R84" s="16"/>
      <c r="S84" s="16"/>
      <c r="T84" s="16"/>
      <c r="U84" s="16"/>
      <c r="V84" s="16"/>
      <c r="W84" s="13"/>
      <c r="X84" s="13"/>
      <c r="Y84" s="13"/>
      <c r="Z84" s="30"/>
      <c r="AA84" s="30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2"/>
      <c r="L85" s="3"/>
      <c r="M85" s="3"/>
      <c r="N85" s="29"/>
      <c r="O85" s="29"/>
      <c r="P85" s="29"/>
      <c r="Q85" s="16"/>
      <c r="R85" s="16"/>
      <c r="S85" s="16"/>
      <c r="T85" s="16"/>
      <c r="U85" s="16"/>
      <c r="V85" s="16"/>
      <c r="W85" s="13"/>
      <c r="X85" s="13"/>
      <c r="Y85" s="13"/>
      <c r="Z85" s="30"/>
      <c r="AA85" s="30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2"/>
      <c r="L86" s="3"/>
      <c r="M86" s="3"/>
      <c r="N86" s="29"/>
      <c r="O86" s="29"/>
      <c r="P86" s="29"/>
      <c r="Q86" s="16"/>
      <c r="R86" s="16"/>
      <c r="S86" s="16"/>
      <c r="T86" s="16"/>
      <c r="U86" s="16"/>
      <c r="V86" s="16"/>
      <c r="W86" s="13"/>
      <c r="X86" s="13"/>
      <c r="Y86" s="13"/>
      <c r="Z86" s="30"/>
      <c r="AA86" s="30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2"/>
      <c r="L87" s="3"/>
      <c r="M87" s="3"/>
      <c r="N87" s="29"/>
      <c r="O87" s="29"/>
      <c r="P87" s="29"/>
      <c r="Q87" s="16"/>
      <c r="R87" s="16"/>
      <c r="S87" s="16"/>
      <c r="T87" s="16"/>
      <c r="U87" s="16"/>
      <c r="V87" s="16"/>
      <c r="W87" s="13"/>
      <c r="X87" s="13"/>
      <c r="Y87" s="13"/>
      <c r="Z87" s="30"/>
      <c r="AA87" s="30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2"/>
      <c r="L88" s="3"/>
      <c r="M88" s="3"/>
      <c r="N88" s="29"/>
      <c r="O88" s="29"/>
      <c r="P88" s="29"/>
      <c r="Q88" s="16"/>
      <c r="R88" s="16"/>
      <c r="S88" s="16"/>
      <c r="T88" s="16"/>
      <c r="U88" s="16"/>
      <c r="V88" s="16"/>
      <c r="W88" s="13"/>
      <c r="X88" s="13"/>
      <c r="Y88" s="13"/>
      <c r="Z88" s="50">
        <f>AVERAGE(Z40:Z82)</f>
        <v>5.3276476098484499E-14</v>
      </c>
      <c r="AA88" s="50">
        <f>AVERAGE(AA40:AA82)</f>
        <v>32083093906.507359</v>
      </c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2"/>
      <c r="L89" s="3"/>
      <c r="M89" s="3"/>
      <c r="N89" s="29"/>
      <c r="O89" s="29"/>
      <c r="P89" s="29"/>
      <c r="Q89" s="16"/>
      <c r="R89" s="16"/>
      <c r="S89" s="16"/>
      <c r="T89" s="16"/>
      <c r="U89" s="16"/>
      <c r="V89" s="16"/>
      <c r="W89" s="13"/>
      <c r="X89" s="13"/>
      <c r="Y89" s="13"/>
      <c r="Z89" s="30"/>
      <c r="AA89" s="30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2"/>
      <c r="L90" s="3"/>
      <c r="M90" s="3"/>
      <c r="N90" s="29"/>
      <c r="O90" s="29"/>
      <c r="P90" s="29"/>
      <c r="Q90" s="16"/>
      <c r="R90" s="16"/>
      <c r="S90" s="16"/>
      <c r="T90" s="16"/>
      <c r="U90" s="16"/>
      <c r="V90" s="16"/>
      <c r="W90" s="13"/>
      <c r="X90" s="13"/>
      <c r="Y90" s="13"/>
      <c r="Z90" s="30"/>
      <c r="AA90" s="30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2"/>
      <c r="L91" s="3"/>
      <c r="M91" s="3"/>
      <c r="N91" s="29"/>
      <c r="O91" s="29"/>
      <c r="P91" s="29"/>
      <c r="Q91" s="16"/>
      <c r="R91" s="16"/>
      <c r="S91" s="16"/>
      <c r="T91" s="16"/>
      <c r="U91" s="16"/>
      <c r="V91" s="16"/>
      <c r="W91" s="13"/>
      <c r="X91" s="13"/>
      <c r="Y91" s="13"/>
      <c r="Z91" s="30"/>
      <c r="AA91" s="30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2"/>
      <c r="L92" s="3"/>
      <c r="M92" s="3"/>
      <c r="N92" s="29"/>
      <c r="O92" s="29"/>
      <c r="P92" s="29"/>
      <c r="Q92" s="16"/>
      <c r="R92" s="16"/>
      <c r="S92" s="16"/>
      <c r="T92" s="16"/>
      <c r="U92" s="16"/>
      <c r="V92" s="16"/>
      <c r="W92" s="13"/>
      <c r="X92" s="13"/>
      <c r="Y92" s="13"/>
      <c r="Z92" s="30"/>
      <c r="AA92" s="30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2"/>
      <c r="L93" s="3"/>
      <c r="M93" s="3"/>
      <c r="N93" s="29"/>
      <c r="O93" s="29"/>
      <c r="P93" s="29"/>
      <c r="Q93" s="16"/>
      <c r="R93" s="16"/>
      <c r="S93" s="16"/>
      <c r="T93" s="16"/>
      <c r="U93" s="16"/>
      <c r="V93" s="16"/>
      <c r="W93" s="13"/>
      <c r="X93" s="13"/>
      <c r="Y93" s="13"/>
      <c r="Z93" s="30"/>
      <c r="AA93" s="30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2"/>
      <c r="L94" s="3"/>
      <c r="M94" s="3"/>
      <c r="N94" s="29"/>
      <c r="O94" s="29"/>
      <c r="P94" s="29"/>
      <c r="Q94" s="16"/>
      <c r="R94" s="16"/>
      <c r="S94" s="16"/>
      <c r="T94" s="16"/>
      <c r="U94" s="16"/>
      <c r="V94" s="16"/>
      <c r="W94" s="13"/>
      <c r="X94" s="13"/>
      <c r="Y94" s="13"/>
      <c r="Z94" s="30"/>
      <c r="AA94" s="30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2"/>
      <c r="L95" s="3"/>
      <c r="M95" s="3"/>
      <c r="N95" s="29"/>
      <c r="O95" s="29"/>
      <c r="P95" s="29"/>
      <c r="Q95" s="16"/>
      <c r="R95" s="16"/>
      <c r="S95" s="16"/>
      <c r="T95" s="16"/>
      <c r="U95" s="16"/>
      <c r="V95" s="16"/>
      <c r="W95" s="13"/>
      <c r="X95" s="13"/>
      <c r="Y95" s="13"/>
      <c r="Z95" s="30"/>
      <c r="AA95" s="30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2"/>
      <c r="L96" s="3"/>
      <c r="M96" s="3"/>
      <c r="N96" s="29"/>
      <c r="O96" s="29"/>
      <c r="P96" s="29"/>
      <c r="Q96" s="16"/>
      <c r="R96" s="16"/>
      <c r="S96" s="16"/>
      <c r="T96" s="16"/>
      <c r="U96" s="16"/>
      <c r="V96" s="16"/>
      <c r="W96" s="13"/>
      <c r="X96" s="13"/>
      <c r="Y96" s="13"/>
      <c r="Z96" s="30"/>
      <c r="AA96" s="30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2"/>
      <c r="L97" s="3"/>
      <c r="M97" s="3"/>
      <c r="N97" s="29"/>
      <c r="O97" s="29"/>
      <c r="P97" s="29"/>
      <c r="Q97" s="16"/>
      <c r="R97" s="16"/>
      <c r="S97" s="16"/>
      <c r="T97" s="16"/>
      <c r="U97" s="16"/>
      <c r="V97" s="16"/>
      <c r="W97" s="13"/>
      <c r="X97" s="13"/>
      <c r="Y97" s="13"/>
      <c r="Z97" s="30"/>
      <c r="AA97" s="30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2"/>
      <c r="L98" s="3"/>
      <c r="M98" s="3"/>
      <c r="N98" s="29"/>
      <c r="O98" s="29"/>
      <c r="P98" s="29"/>
      <c r="Q98" s="16"/>
      <c r="R98" s="16"/>
      <c r="S98" s="16"/>
      <c r="T98" s="16"/>
      <c r="U98" s="16"/>
      <c r="V98" s="16"/>
      <c r="W98" s="13"/>
      <c r="X98" s="13"/>
      <c r="Y98" s="13"/>
      <c r="Z98" s="30"/>
      <c r="AA98" s="30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2"/>
      <c r="L99" s="3"/>
      <c r="M99" s="3"/>
      <c r="N99" s="29"/>
      <c r="O99" s="29"/>
      <c r="P99" s="29"/>
      <c r="Q99" s="16"/>
      <c r="R99" s="16"/>
      <c r="S99" s="16"/>
      <c r="T99" s="16"/>
      <c r="U99" s="16"/>
      <c r="V99" s="16"/>
      <c r="W99" s="13"/>
      <c r="X99" s="13"/>
      <c r="Y99" s="13"/>
      <c r="Z99" s="30"/>
      <c r="AA99" s="30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2"/>
      <c r="L100" s="3"/>
      <c r="M100" s="3"/>
      <c r="N100" s="29"/>
      <c r="O100" s="29"/>
      <c r="P100" s="29"/>
      <c r="Q100" s="16"/>
      <c r="R100" s="16"/>
      <c r="S100" s="16"/>
      <c r="T100" s="16"/>
      <c r="U100" s="16"/>
      <c r="V100" s="16"/>
      <c r="W100" s="13"/>
      <c r="X100" s="13"/>
      <c r="Y100" s="13"/>
      <c r="Z100" s="30"/>
      <c r="AA100" s="30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2"/>
      <c r="L101" s="3"/>
      <c r="M101" s="3"/>
      <c r="N101" s="29"/>
      <c r="O101" s="29"/>
      <c r="P101" s="29"/>
      <c r="Q101" s="16"/>
      <c r="R101" s="16"/>
      <c r="S101" s="16"/>
      <c r="T101" s="16"/>
      <c r="U101" s="16"/>
      <c r="V101" s="16"/>
      <c r="W101" s="13"/>
      <c r="X101" s="13"/>
      <c r="Y101" s="13"/>
      <c r="Z101" s="30"/>
      <c r="AA101" s="30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2"/>
      <c r="L102" s="3"/>
      <c r="M102" s="3"/>
      <c r="N102" s="29"/>
      <c r="O102" s="29"/>
      <c r="P102" s="29"/>
      <c r="Q102" s="16"/>
      <c r="R102" s="16"/>
      <c r="S102" s="16"/>
      <c r="T102" s="16"/>
      <c r="U102" s="16"/>
      <c r="V102" s="16"/>
      <c r="W102" s="13"/>
      <c r="X102" s="13"/>
      <c r="Y102" s="13"/>
      <c r="Z102" s="30"/>
      <c r="AA102" s="30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2"/>
      <c r="L103" s="3"/>
      <c r="M103" s="3"/>
      <c r="N103" s="29"/>
      <c r="O103" s="29"/>
      <c r="P103" s="29"/>
      <c r="Q103" s="16"/>
      <c r="R103" s="16"/>
      <c r="S103" s="16"/>
      <c r="T103" s="16"/>
      <c r="U103" s="16"/>
      <c r="V103" s="16"/>
      <c r="W103" s="13"/>
      <c r="X103" s="13"/>
      <c r="Y103" s="13"/>
      <c r="Z103" s="30"/>
      <c r="AA103" s="30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2"/>
      <c r="L104" s="3"/>
      <c r="M104" s="3"/>
      <c r="N104" s="29"/>
      <c r="O104" s="29"/>
      <c r="P104" s="29"/>
      <c r="Q104" s="16"/>
      <c r="R104" s="16"/>
      <c r="S104" s="16"/>
      <c r="T104" s="16"/>
      <c r="U104" s="16"/>
      <c r="V104" s="16"/>
      <c r="W104" s="13"/>
      <c r="X104" s="13"/>
      <c r="Y104" s="13"/>
      <c r="Z104" s="30"/>
      <c r="AA104" s="30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2"/>
      <c r="L105" s="3"/>
      <c r="M105" s="3"/>
      <c r="N105" s="29"/>
      <c r="O105" s="29"/>
      <c r="P105" s="29"/>
      <c r="Q105" s="16"/>
      <c r="R105" s="16"/>
      <c r="S105" s="16"/>
      <c r="T105" s="16"/>
      <c r="U105" s="16"/>
      <c r="V105" s="16"/>
      <c r="W105" s="13"/>
      <c r="X105" s="13"/>
      <c r="Y105" s="13"/>
      <c r="Z105" s="30"/>
      <c r="AA105" s="30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2"/>
      <c r="L106" s="3"/>
      <c r="M106" s="3"/>
      <c r="N106" s="29"/>
      <c r="O106" s="29"/>
      <c r="P106" s="29"/>
      <c r="Q106" s="16"/>
      <c r="R106" s="16"/>
      <c r="S106" s="16"/>
      <c r="T106" s="16"/>
      <c r="U106" s="16"/>
      <c r="V106" s="16"/>
      <c r="W106" s="13"/>
      <c r="X106" s="13"/>
      <c r="Y106" s="13"/>
      <c r="Z106" s="30"/>
      <c r="AA106" s="30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2"/>
      <c r="L107" s="3"/>
      <c r="M107" s="3"/>
      <c r="N107" s="29"/>
      <c r="O107" s="29"/>
      <c r="P107" s="29"/>
      <c r="Q107" s="16"/>
      <c r="R107" s="16"/>
      <c r="S107" s="16"/>
      <c r="T107" s="16"/>
      <c r="U107" s="16"/>
      <c r="V107" s="16"/>
      <c r="W107" s="13"/>
      <c r="X107" s="13"/>
      <c r="Y107" s="13"/>
      <c r="Z107" s="30"/>
      <c r="AA107" s="30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2"/>
      <c r="L108" s="3"/>
      <c r="M108" s="3"/>
      <c r="N108" s="29"/>
      <c r="O108" s="29"/>
      <c r="P108" s="29"/>
      <c r="Q108" s="16"/>
      <c r="R108" s="16"/>
      <c r="S108" s="16"/>
      <c r="T108" s="16"/>
      <c r="U108" s="16"/>
      <c r="V108" s="16"/>
      <c r="W108" s="13"/>
      <c r="X108" s="13"/>
      <c r="Y108" s="13"/>
      <c r="Z108" s="30"/>
      <c r="AA108" s="30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2"/>
      <c r="L109" s="3"/>
      <c r="M109" s="3"/>
      <c r="N109" s="29"/>
      <c r="O109" s="29"/>
      <c r="P109" s="29"/>
      <c r="Q109" s="16"/>
      <c r="R109" s="16"/>
      <c r="S109" s="16"/>
      <c r="T109" s="16"/>
      <c r="U109" s="16"/>
      <c r="V109" s="16"/>
      <c r="W109" s="13"/>
      <c r="X109" s="13"/>
      <c r="Y109" s="13"/>
      <c r="Z109" s="30"/>
      <c r="AA109" s="30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2"/>
      <c r="L110" s="3"/>
      <c r="M110" s="3"/>
      <c r="N110" s="29"/>
      <c r="O110" s="29"/>
      <c r="P110" s="29"/>
      <c r="Q110" s="16"/>
      <c r="R110" s="16"/>
      <c r="S110" s="16"/>
      <c r="T110" s="16"/>
      <c r="U110" s="16"/>
      <c r="V110" s="16"/>
      <c r="W110" s="13"/>
      <c r="X110" s="13"/>
      <c r="Y110" s="13"/>
      <c r="Z110" s="30"/>
      <c r="AA110" s="30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2"/>
      <c r="L111" s="3"/>
      <c r="M111" s="3"/>
      <c r="N111" s="29"/>
      <c r="O111" s="29"/>
      <c r="P111" s="29"/>
      <c r="Q111" s="16"/>
      <c r="R111" s="16"/>
      <c r="S111" s="16"/>
      <c r="T111" s="16"/>
      <c r="U111" s="16"/>
      <c r="V111" s="16"/>
      <c r="W111" s="13"/>
      <c r="X111" s="13"/>
      <c r="Y111" s="13"/>
      <c r="Z111" s="30"/>
      <c r="AA111" s="30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2"/>
      <c r="L112" s="3"/>
      <c r="M112" s="3"/>
      <c r="N112" s="29"/>
      <c r="O112" s="29"/>
      <c r="P112" s="29"/>
      <c r="Q112" s="16"/>
      <c r="R112" s="16"/>
      <c r="S112" s="16"/>
      <c r="T112" s="16"/>
      <c r="U112" s="16"/>
      <c r="V112" s="16"/>
      <c r="W112" s="13"/>
      <c r="X112" s="13"/>
      <c r="Y112" s="13"/>
      <c r="Z112" s="30"/>
      <c r="AA112" s="30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2"/>
      <c r="L113" s="3"/>
      <c r="M113" s="3"/>
      <c r="N113" s="29"/>
      <c r="O113" s="29"/>
      <c r="P113" s="29"/>
      <c r="Q113" s="16"/>
      <c r="R113" s="16"/>
      <c r="S113" s="16"/>
      <c r="T113" s="16"/>
      <c r="U113" s="16"/>
      <c r="V113" s="16"/>
      <c r="W113" s="13"/>
      <c r="X113" s="13"/>
      <c r="Y113" s="13"/>
      <c r="Z113" s="30"/>
      <c r="AA113" s="30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2"/>
      <c r="L114" s="3"/>
      <c r="M114" s="3"/>
      <c r="N114" s="29"/>
      <c r="O114" s="29"/>
      <c r="P114" s="29"/>
      <c r="Q114" s="16"/>
      <c r="R114" s="16"/>
      <c r="S114" s="16"/>
      <c r="T114" s="16"/>
      <c r="U114" s="16"/>
      <c r="V114" s="16"/>
      <c r="W114" s="13"/>
      <c r="X114" s="13"/>
      <c r="Y114" s="13"/>
      <c r="Z114" s="30"/>
      <c r="AA114" s="30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2"/>
      <c r="L115" s="3"/>
      <c r="M115" s="3"/>
      <c r="N115" s="29"/>
      <c r="O115" s="29"/>
      <c r="P115" s="29"/>
      <c r="Q115" s="16"/>
      <c r="R115" s="16"/>
      <c r="S115" s="16"/>
      <c r="T115" s="16"/>
      <c r="U115" s="16"/>
      <c r="V115" s="16"/>
      <c r="W115" s="13"/>
      <c r="X115" s="13"/>
      <c r="Y115" s="13"/>
      <c r="Z115" s="30"/>
      <c r="AA115" s="30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2"/>
      <c r="L116" s="3"/>
      <c r="M116" s="3"/>
      <c r="N116" s="29"/>
      <c r="O116" s="29"/>
      <c r="P116" s="29"/>
      <c r="Q116" s="16"/>
      <c r="R116" s="16"/>
      <c r="S116" s="16"/>
      <c r="T116" s="16"/>
      <c r="U116" s="16"/>
      <c r="V116" s="16"/>
      <c r="W116" s="13"/>
      <c r="X116" s="13"/>
      <c r="Y116" s="13"/>
      <c r="Z116" s="30"/>
      <c r="AA116" s="30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2"/>
      <c r="L117" s="3"/>
      <c r="M117" s="3"/>
      <c r="N117" s="29"/>
      <c r="O117" s="29"/>
      <c r="P117" s="29"/>
      <c r="Q117" s="16"/>
      <c r="R117" s="16"/>
      <c r="S117" s="16"/>
      <c r="T117" s="16"/>
      <c r="U117" s="16"/>
      <c r="V117" s="16"/>
      <c r="W117" s="13"/>
      <c r="X117" s="13"/>
      <c r="Y117" s="13"/>
      <c r="Z117" s="30"/>
      <c r="AA117" s="30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2"/>
      <c r="L118" s="3"/>
      <c r="M118" s="3"/>
      <c r="N118" s="29"/>
      <c r="O118" s="29"/>
      <c r="P118" s="29"/>
      <c r="Q118" s="16"/>
      <c r="R118" s="16"/>
      <c r="S118" s="16"/>
      <c r="T118" s="16"/>
      <c r="U118" s="16"/>
      <c r="V118" s="16"/>
      <c r="W118" s="13"/>
      <c r="X118" s="13"/>
      <c r="Y118" s="13"/>
      <c r="Z118" s="30"/>
      <c r="AA118" s="30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2"/>
      <c r="L119" s="3"/>
      <c r="M119" s="3"/>
      <c r="N119" s="29"/>
      <c r="O119" s="29"/>
      <c r="P119" s="29"/>
      <c r="Q119" s="16"/>
      <c r="R119" s="16"/>
      <c r="S119" s="16"/>
      <c r="T119" s="16"/>
      <c r="U119" s="16"/>
      <c r="V119" s="16"/>
      <c r="W119" s="13"/>
      <c r="X119" s="13"/>
      <c r="Y119" s="13"/>
      <c r="Z119" s="30"/>
      <c r="AA119" s="30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2"/>
      <c r="L120" s="3"/>
      <c r="M120" s="3"/>
      <c r="N120" s="29"/>
      <c r="O120" s="29"/>
      <c r="P120" s="29"/>
      <c r="Q120" s="16"/>
      <c r="R120" s="16"/>
      <c r="S120" s="16"/>
      <c r="T120" s="16"/>
      <c r="U120" s="16"/>
      <c r="V120" s="16"/>
      <c r="W120" s="13"/>
      <c r="X120" s="13"/>
      <c r="Y120" s="13"/>
      <c r="Z120" s="30"/>
      <c r="AA120" s="30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2"/>
      <c r="L121" s="3"/>
      <c r="M121" s="3"/>
      <c r="N121" s="29"/>
      <c r="O121" s="29"/>
      <c r="P121" s="29"/>
      <c r="Q121" s="16"/>
      <c r="R121" s="16"/>
      <c r="S121" s="16"/>
      <c r="T121" s="16"/>
      <c r="U121" s="16"/>
      <c r="V121" s="16"/>
      <c r="W121" s="13"/>
      <c r="X121" s="13"/>
      <c r="Y121" s="13"/>
      <c r="Z121" s="30"/>
      <c r="AA121" s="30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2"/>
      <c r="L122" s="3"/>
      <c r="M122" s="3"/>
      <c r="N122" s="29"/>
      <c r="O122" s="29"/>
      <c r="P122" s="29"/>
      <c r="Q122" s="16"/>
      <c r="R122" s="16"/>
      <c r="S122" s="16"/>
      <c r="T122" s="16"/>
      <c r="U122" s="16"/>
      <c r="V122" s="16"/>
      <c r="W122" s="13"/>
      <c r="X122" s="13"/>
      <c r="Y122" s="13"/>
      <c r="Z122" s="30"/>
      <c r="AA122" s="30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2"/>
      <c r="L123" s="3"/>
      <c r="M123" s="3"/>
      <c r="N123" s="29"/>
      <c r="O123" s="29"/>
      <c r="P123" s="29"/>
      <c r="Q123" s="16"/>
      <c r="R123" s="16"/>
      <c r="S123" s="16"/>
      <c r="T123" s="16"/>
      <c r="U123" s="16"/>
      <c r="V123" s="16"/>
      <c r="W123" s="13"/>
      <c r="X123" s="13"/>
      <c r="Y123" s="13"/>
      <c r="Z123" s="30"/>
      <c r="AA123" s="30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2"/>
      <c r="L124" s="3"/>
      <c r="M124" s="3"/>
      <c r="N124" s="29"/>
      <c r="O124" s="29"/>
      <c r="P124" s="29"/>
      <c r="Q124" s="16"/>
      <c r="R124" s="16"/>
      <c r="S124" s="16"/>
      <c r="T124" s="16"/>
      <c r="U124" s="16"/>
      <c r="V124" s="16"/>
      <c r="W124" s="13"/>
      <c r="X124" s="13"/>
      <c r="Y124" s="13"/>
      <c r="Z124" s="30"/>
      <c r="AA124" s="30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2"/>
      <c r="L125" s="3"/>
      <c r="M125" s="3"/>
      <c r="N125" s="29"/>
      <c r="O125" s="29"/>
      <c r="P125" s="29"/>
      <c r="Q125" s="16"/>
      <c r="R125" s="16"/>
      <c r="S125" s="16"/>
      <c r="T125" s="16"/>
      <c r="U125" s="16"/>
      <c r="V125" s="16"/>
      <c r="W125" s="13"/>
      <c r="X125" s="13"/>
      <c r="Y125" s="13"/>
      <c r="Z125" s="30"/>
      <c r="AA125" s="30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</row>
    <row r="126" spans="1:74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2"/>
      <c r="L126" s="3"/>
      <c r="M126" s="3"/>
      <c r="N126" s="29"/>
      <c r="O126" s="29"/>
      <c r="P126" s="29"/>
      <c r="Q126" s="16"/>
      <c r="R126" s="16"/>
      <c r="S126" s="16"/>
      <c r="T126" s="16"/>
      <c r="U126" s="16"/>
      <c r="V126" s="16"/>
      <c r="W126" s="13"/>
      <c r="X126" s="13"/>
      <c r="Y126" s="13"/>
      <c r="Z126" s="30"/>
      <c r="AA126" s="30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</row>
    <row r="127" spans="1:74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2"/>
      <c r="L127" s="3"/>
      <c r="M127" s="3"/>
      <c r="N127" s="29"/>
      <c r="O127" s="29"/>
      <c r="P127" s="29"/>
      <c r="Q127" s="16"/>
      <c r="R127" s="16"/>
      <c r="S127" s="16"/>
      <c r="T127" s="16"/>
      <c r="U127" s="16"/>
      <c r="V127" s="16"/>
      <c r="W127" s="13"/>
      <c r="X127" s="13"/>
      <c r="Y127" s="13"/>
      <c r="Z127" s="30"/>
      <c r="AA127" s="30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</row>
    <row r="128" spans="1:74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2"/>
      <c r="L128" s="3"/>
      <c r="M128" s="3"/>
      <c r="N128" s="29"/>
      <c r="O128" s="29"/>
      <c r="P128" s="29"/>
      <c r="Q128" s="16"/>
      <c r="R128" s="16"/>
      <c r="S128" s="16"/>
      <c r="T128" s="16"/>
      <c r="U128" s="16"/>
      <c r="V128" s="16"/>
      <c r="W128" s="13"/>
      <c r="X128" s="13"/>
      <c r="Y128" s="13"/>
      <c r="Z128" s="30"/>
      <c r="AA128" s="30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</row>
    <row r="129" spans="1:74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2"/>
      <c r="L129" s="3"/>
      <c r="M129" s="3"/>
      <c r="N129" s="29"/>
      <c r="O129" s="29"/>
      <c r="P129" s="29"/>
      <c r="Q129" s="16"/>
      <c r="R129" s="16"/>
      <c r="S129" s="16"/>
      <c r="T129" s="16"/>
      <c r="U129" s="16"/>
      <c r="V129" s="16"/>
      <c r="W129" s="13"/>
      <c r="X129" s="13"/>
      <c r="Y129" s="13"/>
      <c r="Z129" s="30"/>
      <c r="AA129" s="30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</row>
    <row r="130" spans="1:74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2"/>
      <c r="L130" s="3"/>
      <c r="M130" s="3"/>
      <c r="N130" s="29"/>
      <c r="O130" s="29"/>
      <c r="P130" s="29"/>
      <c r="Q130" s="16"/>
      <c r="R130" s="16"/>
      <c r="S130" s="16"/>
      <c r="T130" s="16"/>
      <c r="U130" s="16"/>
      <c r="V130" s="16"/>
      <c r="W130" s="13"/>
      <c r="X130" s="13"/>
      <c r="Y130" s="13"/>
      <c r="Z130" s="30"/>
      <c r="AA130" s="30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</row>
    <row r="131" spans="1:74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2"/>
      <c r="L131" s="3"/>
      <c r="M131" s="3"/>
      <c r="N131" s="29"/>
      <c r="O131" s="29"/>
      <c r="P131" s="29"/>
      <c r="Q131" s="16"/>
      <c r="R131" s="16"/>
      <c r="S131" s="16"/>
      <c r="T131" s="16"/>
      <c r="U131" s="16"/>
      <c r="V131" s="16"/>
      <c r="W131" s="13"/>
      <c r="X131" s="13"/>
      <c r="Y131" s="13"/>
      <c r="Z131" s="30"/>
      <c r="AA131" s="30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</row>
    <row r="132" spans="1:74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2"/>
      <c r="L132" s="3"/>
      <c r="M132" s="3"/>
      <c r="N132" s="29"/>
      <c r="O132" s="29"/>
      <c r="P132" s="29"/>
      <c r="Q132" s="16"/>
      <c r="R132" s="16"/>
      <c r="S132" s="16"/>
      <c r="T132" s="16"/>
      <c r="U132" s="16"/>
      <c r="V132" s="16"/>
      <c r="W132" s="13"/>
      <c r="X132" s="13"/>
      <c r="Y132" s="13"/>
      <c r="Z132" s="30"/>
      <c r="AA132" s="30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</row>
    <row r="133" spans="1:74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2"/>
      <c r="L133" s="3"/>
      <c r="M133" s="3"/>
      <c r="N133" s="29"/>
      <c r="O133" s="29"/>
      <c r="P133" s="29"/>
      <c r="Q133" s="16"/>
      <c r="R133" s="16"/>
      <c r="S133" s="16"/>
      <c r="T133" s="16"/>
      <c r="U133" s="16"/>
      <c r="V133" s="16"/>
      <c r="W133" s="13"/>
      <c r="X133" s="13"/>
      <c r="Y133" s="13"/>
      <c r="Z133" s="30"/>
      <c r="AA133" s="30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</row>
    <row r="134" spans="1:74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2"/>
      <c r="L134" s="3"/>
      <c r="M134" s="3"/>
      <c r="N134" s="29"/>
      <c r="O134" s="29"/>
      <c r="P134" s="29"/>
      <c r="Q134" s="16"/>
      <c r="R134" s="16"/>
      <c r="S134" s="16"/>
      <c r="T134" s="16"/>
      <c r="U134" s="16"/>
      <c r="V134" s="16"/>
      <c r="W134" s="13"/>
      <c r="X134" s="13"/>
      <c r="Y134" s="13"/>
      <c r="Z134" s="30"/>
      <c r="AA134" s="30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</row>
    <row r="135" spans="1:74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2"/>
      <c r="L135" s="3"/>
      <c r="M135" s="3"/>
      <c r="N135" s="29"/>
      <c r="O135" s="29"/>
      <c r="P135" s="29"/>
      <c r="Q135" s="16"/>
      <c r="R135" s="16"/>
      <c r="S135" s="16"/>
      <c r="T135" s="16"/>
      <c r="U135" s="16"/>
      <c r="V135" s="16"/>
      <c r="W135" s="13"/>
      <c r="X135" s="13"/>
      <c r="Y135" s="13"/>
      <c r="Z135" s="30"/>
      <c r="AA135" s="30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</row>
    <row r="136" spans="1:74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2"/>
      <c r="L136" s="3"/>
      <c r="M136" s="3"/>
      <c r="N136" s="29"/>
      <c r="O136" s="29"/>
      <c r="P136" s="29"/>
      <c r="Q136" s="16"/>
      <c r="R136" s="16"/>
      <c r="S136" s="16"/>
      <c r="T136" s="16"/>
      <c r="U136" s="16"/>
      <c r="V136" s="16"/>
      <c r="W136" s="13"/>
      <c r="X136" s="13"/>
      <c r="Y136" s="13"/>
      <c r="Z136" s="30"/>
      <c r="AA136" s="30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</row>
    <row r="137" spans="1:74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2"/>
      <c r="L137" s="3"/>
      <c r="M137" s="3"/>
      <c r="N137" s="29"/>
      <c r="O137" s="29"/>
      <c r="P137" s="29"/>
      <c r="Q137" s="16"/>
      <c r="R137" s="16"/>
      <c r="S137" s="16"/>
      <c r="T137" s="16"/>
      <c r="U137" s="16"/>
      <c r="V137" s="16"/>
      <c r="W137" s="13"/>
      <c r="X137" s="13"/>
      <c r="Y137" s="13"/>
      <c r="Z137" s="30"/>
      <c r="AA137" s="30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</row>
    <row r="138" spans="1:74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2"/>
      <c r="L138" s="3"/>
      <c r="M138" s="3"/>
      <c r="N138" s="29"/>
      <c r="O138" s="29"/>
      <c r="P138" s="29"/>
      <c r="Q138" s="16"/>
      <c r="R138" s="16"/>
      <c r="S138" s="16"/>
      <c r="T138" s="16"/>
      <c r="U138" s="16"/>
      <c r="V138" s="16"/>
      <c r="W138" s="13"/>
      <c r="X138" s="13"/>
      <c r="Y138" s="13"/>
      <c r="Z138" s="30"/>
      <c r="AA138" s="30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</row>
    <row r="139" spans="1:74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2"/>
      <c r="L139" s="3"/>
      <c r="M139" s="3"/>
      <c r="N139" s="29"/>
      <c r="O139" s="29"/>
      <c r="P139" s="29"/>
      <c r="Q139" s="16"/>
      <c r="R139" s="16"/>
      <c r="S139" s="16"/>
      <c r="T139" s="16"/>
      <c r="U139" s="16"/>
      <c r="V139" s="16"/>
      <c r="W139" s="13"/>
      <c r="X139" s="13"/>
      <c r="Y139" s="13"/>
      <c r="Z139" s="30"/>
      <c r="AA139" s="30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</row>
    <row r="140" spans="1:74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2"/>
      <c r="L140" s="3"/>
      <c r="M140" s="3"/>
      <c r="N140" s="29"/>
      <c r="O140" s="29"/>
      <c r="P140" s="29"/>
      <c r="Q140" s="16"/>
      <c r="R140" s="16"/>
      <c r="S140" s="16"/>
      <c r="T140" s="16"/>
      <c r="U140" s="16"/>
      <c r="V140" s="16"/>
      <c r="W140" s="13"/>
      <c r="X140" s="13"/>
      <c r="Y140" s="13"/>
      <c r="Z140" s="30"/>
      <c r="AA140" s="30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</row>
    <row r="141" spans="1:74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2"/>
      <c r="L141" s="3"/>
      <c r="M141" s="3"/>
      <c r="N141" s="29"/>
      <c r="O141" s="29"/>
      <c r="P141" s="29"/>
      <c r="Q141" s="16"/>
      <c r="R141" s="16"/>
      <c r="S141" s="16"/>
      <c r="T141" s="16"/>
      <c r="U141" s="16"/>
      <c r="V141" s="16"/>
      <c r="W141" s="13"/>
      <c r="X141" s="13"/>
      <c r="Y141" s="13"/>
      <c r="Z141" s="30"/>
      <c r="AA141" s="30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</row>
    <row r="142" spans="1:74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2"/>
      <c r="L142" s="3"/>
      <c r="M142" s="3"/>
      <c r="N142" s="29"/>
      <c r="O142" s="29"/>
      <c r="P142" s="29"/>
      <c r="Q142" s="16"/>
      <c r="R142" s="16"/>
      <c r="S142" s="16"/>
      <c r="T142" s="16"/>
      <c r="U142" s="16"/>
      <c r="V142" s="16"/>
      <c r="W142" s="13"/>
      <c r="X142" s="13"/>
      <c r="Y142" s="13"/>
      <c r="Z142" s="30"/>
      <c r="AA142" s="30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</row>
    <row r="143" spans="1:74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2"/>
      <c r="L143" s="3"/>
      <c r="M143" s="3"/>
      <c r="N143" s="29"/>
      <c r="O143" s="29"/>
      <c r="P143" s="29"/>
      <c r="Q143" s="16"/>
      <c r="R143" s="16"/>
      <c r="S143" s="16"/>
      <c r="T143" s="16"/>
      <c r="U143" s="16"/>
      <c r="V143" s="16"/>
      <c r="W143" s="13"/>
      <c r="X143" s="13"/>
      <c r="Y143" s="13"/>
      <c r="Z143" s="30"/>
      <c r="AA143" s="30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</row>
    <row r="144" spans="1:74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2"/>
      <c r="L144" s="3"/>
      <c r="M144" s="3"/>
      <c r="N144" s="29"/>
      <c r="O144" s="29"/>
      <c r="P144" s="29"/>
      <c r="Q144" s="16"/>
      <c r="R144" s="16"/>
      <c r="S144" s="16"/>
      <c r="T144" s="16"/>
      <c r="U144" s="16"/>
      <c r="V144" s="16"/>
      <c r="W144" s="13"/>
      <c r="X144" s="13"/>
      <c r="Y144" s="13"/>
      <c r="Z144" s="30"/>
      <c r="AA144" s="30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</row>
    <row r="145" spans="1:74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2"/>
      <c r="L145" s="3"/>
      <c r="M145" s="3"/>
      <c r="N145" s="29"/>
      <c r="O145" s="29"/>
      <c r="P145" s="29"/>
      <c r="Q145" s="16"/>
      <c r="R145" s="16"/>
      <c r="S145" s="16"/>
      <c r="T145" s="16"/>
      <c r="U145" s="16"/>
      <c r="V145" s="16"/>
      <c r="W145" s="13"/>
      <c r="X145" s="13"/>
      <c r="Y145" s="13"/>
      <c r="Z145" s="30"/>
      <c r="AA145" s="30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</row>
    <row r="146" spans="1:74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2"/>
      <c r="L146" s="3"/>
      <c r="M146" s="3"/>
      <c r="N146" s="29"/>
      <c r="O146" s="29"/>
      <c r="P146" s="29"/>
      <c r="Q146" s="16"/>
      <c r="R146" s="16"/>
      <c r="S146" s="16"/>
      <c r="T146" s="16"/>
      <c r="U146" s="16"/>
      <c r="V146" s="16"/>
      <c r="W146" s="13"/>
      <c r="X146" s="13"/>
      <c r="Y146" s="13"/>
      <c r="Z146" s="30"/>
      <c r="AA146" s="30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</row>
    <row r="147" spans="1:74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2"/>
      <c r="L147" s="3"/>
      <c r="M147" s="3"/>
      <c r="N147" s="29"/>
      <c r="O147" s="29"/>
      <c r="P147" s="29"/>
      <c r="Q147" s="16"/>
      <c r="R147" s="16"/>
      <c r="S147" s="16"/>
      <c r="T147" s="16"/>
      <c r="U147" s="16"/>
      <c r="V147" s="16"/>
      <c r="W147" s="13"/>
      <c r="X147" s="13"/>
      <c r="Y147" s="13"/>
      <c r="Z147" s="30"/>
      <c r="AA147" s="30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</row>
    <row r="148" spans="1:74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2"/>
      <c r="L148" s="3"/>
      <c r="M148" s="3"/>
      <c r="N148" s="29"/>
      <c r="O148" s="29"/>
      <c r="P148" s="29"/>
      <c r="Q148" s="16"/>
      <c r="R148" s="16"/>
      <c r="S148" s="16"/>
      <c r="T148" s="16"/>
      <c r="U148" s="16"/>
      <c r="V148" s="16"/>
      <c r="W148" s="13"/>
      <c r="X148" s="13"/>
      <c r="Y148" s="13"/>
      <c r="Z148" s="30"/>
      <c r="AA148" s="30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</row>
    <row r="149" spans="1:74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2"/>
      <c r="L149" s="3"/>
      <c r="M149" s="3"/>
      <c r="N149" s="29"/>
      <c r="O149" s="29"/>
      <c r="P149" s="29"/>
      <c r="Q149" s="16"/>
      <c r="R149" s="16"/>
      <c r="S149" s="16"/>
      <c r="T149" s="16"/>
      <c r="U149" s="16"/>
      <c r="V149" s="16"/>
      <c r="W149" s="13"/>
      <c r="X149" s="13"/>
      <c r="Y149" s="13"/>
      <c r="Z149" s="30"/>
      <c r="AA149" s="30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</row>
    <row r="150" spans="1:74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2"/>
      <c r="L150" s="3"/>
      <c r="M150" s="3"/>
      <c r="N150" s="29"/>
      <c r="O150" s="29"/>
      <c r="P150" s="29"/>
      <c r="Q150" s="16"/>
      <c r="R150" s="16"/>
      <c r="S150" s="16"/>
      <c r="T150" s="16"/>
      <c r="U150" s="16"/>
      <c r="V150" s="16"/>
      <c r="W150" s="13"/>
      <c r="X150" s="13"/>
      <c r="Y150" s="13"/>
      <c r="Z150" s="30"/>
      <c r="AA150" s="30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</row>
    <row r="151" spans="1:74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2"/>
      <c r="L151" s="3"/>
      <c r="M151" s="3"/>
      <c r="N151" s="29"/>
      <c r="O151" s="29"/>
      <c r="P151" s="29"/>
      <c r="Q151" s="16"/>
      <c r="R151" s="16"/>
      <c r="S151" s="16"/>
      <c r="T151" s="16"/>
      <c r="U151" s="16"/>
      <c r="V151" s="16"/>
      <c r="W151" s="13"/>
      <c r="X151" s="13"/>
      <c r="Y151" s="13"/>
      <c r="Z151" s="30"/>
      <c r="AA151" s="30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</row>
    <row r="152" spans="1:74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2"/>
      <c r="L152" s="3"/>
      <c r="M152" s="3"/>
      <c r="N152" s="29"/>
      <c r="O152" s="29"/>
      <c r="P152" s="29"/>
      <c r="Q152" s="16"/>
      <c r="R152" s="16"/>
      <c r="S152" s="16"/>
      <c r="T152" s="16"/>
      <c r="U152" s="16"/>
      <c r="V152" s="16"/>
      <c r="W152" s="13"/>
      <c r="X152" s="13"/>
      <c r="Y152" s="13"/>
      <c r="Z152" s="30"/>
      <c r="AA152" s="30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</row>
    <row r="153" spans="1:74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2"/>
      <c r="L153" s="3"/>
      <c r="M153" s="3"/>
      <c r="N153" s="29"/>
      <c r="O153" s="29"/>
      <c r="P153" s="29"/>
      <c r="Q153" s="16"/>
      <c r="R153" s="16"/>
      <c r="S153" s="16"/>
      <c r="T153" s="16"/>
      <c r="U153" s="16"/>
      <c r="V153" s="16"/>
      <c r="W153" s="13"/>
      <c r="X153" s="13"/>
      <c r="Y153" s="13"/>
      <c r="Z153" s="30"/>
      <c r="AA153" s="30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</row>
    <row r="154" spans="1:74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2"/>
      <c r="L154" s="3"/>
      <c r="M154" s="3"/>
      <c r="N154" s="29"/>
      <c r="O154" s="29"/>
      <c r="P154" s="29"/>
      <c r="Q154" s="16"/>
      <c r="R154" s="16"/>
      <c r="S154" s="16"/>
      <c r="T154" s="16"/>
      <c r="U154" s="16"/>
      <c r="V154" s="16"/>
      <c r="W154" s="13"/>
      <c r="X154" s="13"/>
      <c r="Y154" s="13"/>
      <c r="Z154" s="30"/>
      <c r="AA154" s="30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</row>
    <row r="155" spans="1:74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2"/>
      <c r="L155" s="3"/>
      <c r="M155" s="3"/>
      <c r="N155" s="29"/>
      <c r="O155" s="29"/>
      <c r="P155" s="29"/>
      <c r="Q155" s="16"/>
      <c r="R155" s="16"/>
      <c r="S155" s="16"/>
      <c r="T155" s="16"/>
      <c r="U155" s="16"/>
      <c r="V155" s="16"/>
      <c r="W155" s="13"/>
      <c r="X155" s="13"/>
      <c r="Y155" s="13"/>
      <c r="Z155" s="30"/>
      <c r="AA155" s="30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</row>
    <row r="156" spans="1:74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2"/>
      <c r="L156" s="3"/>
      <c r="M156" s="3"/>
      <c r="N156" s="29"/>
      <c r="O156" s="29"/>
      <c r="P156" s="29"/>
      <c r="Q156" s="16"/>
      <c r="R156" s="16"/>
      <c r="S156" s="16"/>
      <c r="T156" s="16"/>
      <c r="U156" s="16"/>
      <c r="V156" s="16"/>
      <c r="W156" s="13"/>
      <c r="X156" s="13"/>
      <c r="Y156" s="13"/>
      <c r="Z156" s="30"/>
      <c r="AA156" s="30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</row>
    <row r="157" spans="1:74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2"/>
      <c r="L157" s="3"/>
      <c r="M157" s="3"/>
      <c r="N157" s="29"/>
      <c r="O157" s="29"/>
      <c r="P157" s="29"/>
      <c r="Q157" s="16"/>
      <c r="R157" s="16"/>
      <c r="S157" s="16"/>
      <c r="T157" s="16"/>
      <c r="U157" s="16"/>
      <c r="V157" s="16"/>
      <c r="W157" s="13"/>
      <c r="X157" s="13"/>
      <c r="Y157" s="13"/>
      <c r="Z157" s="30"/>
      <c r="AA157" s="30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</row>
    <row r="158" spans="1:74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2"/>
      <c r="L158" s="3"/>
      <c r="M158" s="3"/>
      <c r="N158" s="29"/>
      <c r="O158" s="29"/>
      <c r="P158" s="29"/>
      <c r="Q158" s="16"/>
      <c r="R158" s="16"/>
      <c r="S158" s="16"/>
      <c r="T158" s="16"/>
      <c r="U158" s="16"/>
      <c r="V158" s="16"/>
      <c r="W158" s="13"/>
      <c r="X158" s="13"/>
      <c r="Y158" s="13"/>
      <c r="Z158" s="30"/>
      <c r="AA158" s="30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</row>
    <row r="159" spans="1:74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2"/>
      <c r="L159" s="3"/>
      <c r="M159" s="3"/>
      <c r="N159" s="29"/>
      <c r="O159" s="29"/>
      <c r="P159" s="29"/>
      <c r="Q159" s="16"/>
      <c r="R159" s="16"/>
      <c r="S159" s="16"/>
      <c r="T159" s="16"/>
      <c r="U159" s="16"/>
      <c r="V159" s="16"/>
      <c r="W159" s="13"/>
      <c r="X159" s="13"/>
      <c r="Y159" s="13"/>
      <c r="Z159" s="30"/>
      <c r="AA159" s="30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</row>
    <row r="160" spans="1:74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2"/>
      <c r="L160" s="3"/>
      <c r="M160" s="3"/>
      <c r="N160" s="29"/>
      <c r="O160" s="29"/>
      <c r="P160" s="29"/>
      <c r="Q160" s="16"/>
      <c r="R160" s="16"/>
      <c r="S160" s="16"/>
      <c r="T160" s="16"/>
      <c r="U160" s="16"/>
      <c r="V160" s="16"/>
      <c r="W160" s="13"/>
      <c r="X160" s="13"/>
      <c r="Y160" s="13"/>
      <c r="Z160" s="30"/>
      <c r="AA160" s="30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</row>
    <row r="161" spans="1:74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2"/>
      <c r="L161" s="3"/>
      <c r="M161" s="3"/>
      <c r="N161" s="29"/>
      <c r="O161" s="29"/>
      <c r="P161" s="29"/>
      <c r="Q161" s="16"/>
      <c r="R161" s="16"/>
      <c r="S161" s="16"/>
      <c r="T161" s="16"/>
      <c r="U161" s="16"/>
      <c r="V161" s="16"/>
      <c r="W161" s="13"/>
      <c r="X161" s="13"/>
      <c r="Y161" s="13"/>
      <c r="Z161" s="30"/>
      <c r="AA161" s="30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</row>
    <row r="162" spans="1:74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2"/>
      <c r="L162" s="3"/>
      <c r="M162" s="3"/>
      <c r="N162" s="29"/>
      <c r="O162" s="29"/>
      <c r="P162" s="29"/>
      <c r="Q162" s="16"/>
      <c r="R162" s="16"/>
      <c r="S162" s="16"/>
      <c r="T162" s="16"/>
      <c r="U162" s="16"/>
      <c r="V162" s="16"/>
      <c r="W162" s="13"/>
      <c r="X162" s="13"/>
      <c r="Y162" s="13"/>
      <c r="Z162" s="30"/>
      <c r="AA162" s="30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</row>
    <row r="163" spans="1:74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2"/>
      <c r="L163" s="3"/>
      <c r="M163" s="3"/>
      <c r="N163" s="29"/>
      <c r="O163" s="29"/>
      <c r="P163" s="29"/>
      <c r="Q163" s="16"/>
      <c r="R163" s="16"/>
      <c r="S163" s="16"/>
      <c r="T163" s="16"/>
      <c r="U163" s="16"/>
      <c r="V163" s="16"/>
      <c r="W163" s="13"/>
      <c r="X163" s="13"/>
      <c r="Y163" s="13"/>
      <c r="Z163" s="30"/>
      <c r="AA163" s="30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</row>
    <row r="164" spans="1:74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2"/>
      <c r="L164" s="3"/>
      <c r="M164" s="3"/>
      <c r="N164" s="29"/>
      <c r="O164" s="29"/>
      <c r="P164" s="29"/>
      <c r="Q164" s="16"/>
      <c r="R164" s="16"/>
      <c r="S164" s="16"/>
      <c r="T164" s="16"/>
      <c r="U164" s="16"/>
      <c r="V164" s="16"/>
      <c r="W164" s="13"/>
      <c r="X164" s="13"/>
      <c r="Y164" s="13"/>
      <c r="Z164" s="30"/>
      <c r="AA164" s="30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</row>
    <row r="165" spans="1:74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2"/>
      <c r="L165" s="3"/>
      <c r="M165" s="3"/>
      <c r="N165" s="29"/>
      <c r="O165" s="29"/>
      <c r="P165" s="29"/>
      <c r="Q165" s="16"/>
      <c r="R165" s="16"/>
      <c r="S165" s="16"/>
      <c r="T165" s="16"/>
      <c r="U165" s="16"/>
      <c r="V165" s="16"/>
      <c r="W165" s="13"/>
      <c r="X165" s="13"/>
      <c r="Y165" s="13"/>
      <c r="Z165" s="30"/>
      <c r="AA165" s="30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</row>
    <row r="166" spans="1:74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2"/>
      <c r="L166" s="3"/>
      <c r="M166" s="3"/>
      <c r="N166" s="29"/>
      <c r="O166" s="29"/>
      <c r="P166" s="29"/>
      <c r="Q166" s="16"/>
      <c r="R166" s="16"/>
      <c r="S166" s="16"/>
      <c r="T166" s="16"/>
      <c r="U166" s="16"/>
      <c r="V166" s="16"/>
      <c r="W166" s="13"/>
      <c r="X166" s="13"/>
      <c r="Y166" s="13"/>
      <c r="Z166" s="30"/>
      <c r="AA166" s="30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</row>
    <row r="167" spans="1:74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2"/>
      <c r="L167" s="3"/>
      <c r="M167" s="3"/>
      <c r="N167" s="29"/>
      <c r="O167" s="29"/>
      <c r="P167" s="29"/>
      <c r="Q167" s="16"/>
      <c r="R167" s="16"/>
      <c r="S167" s="16"/>
      <c r="T167" s="16"/>
      <c r="U167" s="16"/>
      <c r="V167" s="16"/>
      <c r="W167" s="13"/>
      <c r="X167" s="13"/>
      <c r="Y167" s="13"/>
      <c r="Z167" s="30"/>
      <c r="AA167" s="30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</row>
    <row r="168" spans="1:74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2"/>
      <c r="L168" s="3"/>
      <c r="M168" s="3"/>
      <c r="N168" s="29"/>
      <c r="O168" s="29"/>
      <c r="P168" s="29"/>
      <c r="Q168" s="16"/>
      <c r="R168" s="16"/>
      <c r="S168" s="16"/>
      <c r="T168" s="16"/>
      <c r="U168" s="16"/>
      <c r="V168" s="16"/>
      <c r="W168" s="13"/>
      <c r="X168" s="13"/>
      <c r="Y168" s="13"/>
      <c r="Z168" s="30"/>
      <c r="AA168" s="30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</row>
    <row r="169" spans="1:74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2"/>
      <c r="L169" s="3"/>
      <c r="M169" s="3"/>
      <c r="N169" s="29"/>
      <c r="O169" s="29"/>
      <c r="P169" s="29"/>
      <c r="Q169" s="16"/>
      <c r="R169" s="16"/>
      <c r="S169" s="16"/>
      <c r="T169" s="16"/>
      <c r="U169" s="16"/>
      <c r="V169" s="16"/>
      <c r="W169" s="13"/>
      <c r="X169" s="13"/>
      <c r="Y169" s="13"/>
      <c r="Z169" s="30"/>
      <c r="AA169" s="30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</row>
    <row r="170" spans="1:74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2"/>
      <c r="L170" s="3"/>
      <c r="M170" s="3"/>
      <c r="N170" s="29"/>
      <c r="O170" s="29"/>
      <c r="P170" s="29"/>
      <c r="Q170" s="16"/>
      <c r="R170" s="16"/>
      <c r="S170" s="16"/>
      <c r="T170" s="16"/>
      <c r="U170" s="16"/>
      <c r="V170" s="16"/>
      <c r="W170" s="13"/>
      <c r="X170" s="13"/>
      <c r="Y170" s="13"/>
      <c r="Z170" s="30"/>
      <c r="AA170" s="30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</row>
    <row r="171" spans="1:74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2"/>
      <c r="L171" s="3"/>
      <c r="M171" s="3"/>
      <c r="N171" s="29"/>
      <c r="O171" s="29"/>
      <c r="P171" s="29"/>
      <c r="Q171" s="16"/>
      <c r="R171" s="16"/>
      <c r="S171" s="16"/>
      <c r="T171" s="16"/>
      <c r="U171" s="16"/>
      <c r="V171" s="16"/>
      <c r="W171" s="13"/>
      <c r="X171" s="13"/>
      <c r="Y171" s="13"/>
      <c r="Z171" s="30"/>
      <c r="AA171" s="30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</row>
    <row r="172" spans="1:74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2"/>
      <c r="L172" s="3"/>
      <c r="M172" s="3"/>
      <c r="N172" s="29"/>
      <c r="O172" s="29"/>
      <c r="P172" s="29"/>
      <c r="Q172" s="16"/>
      <c r="R172" s="16"/>
      <c r="S172" s="16"/>
      <c r="T172" s="16"/>
      <c r="U172" s="16"/>
      <c r="V172" s="16"/>
      <c r="W172" s="13"/>
      <c r="X172" s="13"/>
      <c r="Y172" s="13"/>
      <c r="Z172" s="30"/>
      <c r="AA172" s="30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</row>
    <row r="173" spans="1:74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2"/>
      <c r="L173" s="3"/>
      <c r="M173" s="3"/>
      <c r="N173" s="29"/>
      <c r="O173" s="29"/>
      <c r="P173" s="29"/>
      <c r="Q173" s="16"/>
      <c r="R173" s="16"/>
      <c r="S173" s="16"/>
      <c r="T173" s="16"/>
      <c r="U173" s="16"/>
      <c r="V173" s="16"/>
      <c r="W173" s="13"/>
      <c r="X173" s="13"/>
      <c r="Y173" s="13"/>
      <c r="Z173" s="30"/>
      <c r="AA173" s="30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</row>
    <row r="174" spans="1:74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2"/>
      <c r="L174" s="3"/>
      <c r="M174" s="3"/>
      <c r="N174" s="29"/>
      <c r="O174" s="29"/>
      <c r="P174" s="29"/>
      <c r="Q174" s="16"/>
      <c r="R174" s="16"/>
      <c r="S174" s="16"/>
      <c r="T174" s="16"/>
      <c r="U174" s="16"/>
      <c r="V174" s="16"/>
      <c r="W174" s="13"/>
      <c r="X174" s="13"/>
      <c r="Y174" s="13"/>
      <c r="Z174" s="30"/>
      <c r="AA174" s="30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</row>
    <row r="175" spans="1:74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2"/>
      <c r="L175" s="3"/>
      <c r="M175" s="3"/>
      <c r="N175" s="29"/>
      <c r="O175" s="29"/>
      <c r="P175" s="29"/>
      <c r="Q175" s="16"/>
      <c r="R175" s="16"/>
      <c r="S175" s="16"/>
      <c r="T175" s="16"/>
      <c r="U175" s="16"/>
      <c r="V175" s="16"/>
      <c r="W175" s="13"/>
      <c r="X175" s="13"/>
      <c r="Y175" s="13"/>
      <c r="Z175" s="30"/>
      <c r="AA175" s="30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</row>
    <row r="176" spans="1:74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2"/>
      <c r="L176" s="3"/>
      <c r="M176" s="3"/>
      <c r="N176" s="29"/>
      <c r="O176" s="29"/>
      <c r="P176" s="29"/>
      <c r="Q176" s="16"/>
      <c r="R176" s="16"/>
      <c r="S176" s="16"/>
      <c r="T176" s="16"/>
      <c r="U176" s="16"/>
      <c r="V176" s="16"/>
      <c r="W176" s="13"/>
      <c r="X176" s="13"/>
      <c r="Y176" s="13"/>
      <c r="Z176" s="30"/>
      <c r="AA176" s="30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</row>
    <row r="177" spans="1:74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2"/>
      <c r="L177" s="3"/>
      <c r="M177" s="3"/>
      <c r="N177" s="29"/>
      <c r="O177" s="29"/>
      <c r="P177" s="29"/>
      <c r="Q177" s="16"/>
      <c r="R177" s="16"/>
      <c r="S177" s="16"/>
      <c r="T177" s="16"/>
      <c r="U177" s="16"/>
      <c r="V177" s="16"/>
      <c r="W177" s="13"/>
      <c r="X177" s="13"/>
      <c r="Y177" s="13"/>
      <c r="Z177" s="30"/>
      <c r="AA177" s="30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</row>
    <row r="178" spans="1:74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2"/>
      <c r="L178" s="3"/>
      <c r="M178" s="3"/>
      <c r="N178" s="29"/>
      <c r="O178" s="29"/>
      <c r="P178" s="29"/>
      <c r="Q178" s="16"/>
      <c r="R178" s="16"/>
      <c r="S178" s="16"/>
      <c r="T178" s="16"/>
      <c r="U178" s="16"/>
      <c r="V178" s="16"/>
      <c r="W178" s="13"/>
      <c r="X178" s="13"/>
      <c r="Y178" s="13"/>
      <c r="Z178" s="30"/>
      <c r="AA178" s="30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</row>
    <row r="179" spans="1:74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2"/>
      <c r="L179" s="3"/>
      <c r="M179" s="3"/>
      <c r="N179" s="29"/>
      <c r="O179" s="29"/>
      <c r="P179" s="29"/>
      <c r="Q179" s="16"/>
      <c r="R179" s="16"/>
      <c r="S179" s="16"/>
      <c r="T179" s="16"/>
      <c r="U179" s="16"/>
      <c r="V179" s="16"/>
      <c r="W179" s="13"/>
      <c r="X179" s="13"/>
      <c r="Y179" s="13"/>
      <c r="Z179" s="30"/>
      <c r="AA179" s="30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</row>
    <row r="180" spans="1:74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2"/>
      <c r="L180" s="3"/>
      <c r="M180" s="3"/>
      <c r="N180" s="29"/>
      <c r="O180" s="29"/>
      <c r="P180" s="29"/>
      <c r="Q180" s="16"/>
      <c r="R180" s="16"/>
      <c r="S180" s="16"/>
      <c r="T180" s="16"/>
      <c r="U180" s="16"/>
      <c r="V180" s="16"/>
      <c r="W180" s="13"/>
      <c r="X180" s="13"/>
      <c r="Y180" s="13"/>
      <c r="Z180" s="30"/>
      <c r="AA180" s="30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</row>
    <row r="181" spans="1:74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2"/>
      <c r="L181" s="3"/>
      <c r="M181" s="3"/>
      <c r="N181" s="29"/>
      <c r="O181" s="29"/>
      <c r="P181" s="29"/>
      <c r="Q181" s="16"/>
      <c r="R181" s="16"/>
      <c r="S181" s="16"/>
      <c r="T181" s="16"/>
      <c r="U181" s="16"/>
      <c r="V181" s="16"/>
      <c r="W181" s="13"/>
      <c r="X181" s="13"/>
      <c r="Y181" s="13"/>
      <c r="Z181" s="30"/>
      <c r="AA181" s="30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</row>
    <row r="182" spans="1:74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2"/>
      <c r="L182" s="3"/>
      <c r="M182" s="3"/>
      <c r="N182" s="29"/>
      <c r="O182" s="29"/>
      <c r="P182" s="29"/>
      <c r="Q182" s="16"/>
      <c r="R182" s="16"/>
      <c r="S182" s="16"/>
      <c r="T182" s="16"/>
      <c r="U182" s="16"/>
      <c r="V182" s="16"/>
      <c r="W182" s="13"/>
      <c r="X182" s="13"/>
      <c r="Y182" s="13"/>
      <c r="Z182" s="30"/>
      <c r="AA182" s="30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</row>
    <row r="183" spans="1:74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2"/>
      <c r="L183" s="3"/>
      <c r="M183" s="3"/>
      <c r="N183" s="29"/>
      <c r="O183" s="29"/>
      <c r="P183" s="29"/>
      <c r="Q183" s="16"/>
      <c r="R183" s="16"/>
      <c r="S183" s="16"/>
      <c r="T183" s="16"/>
      <c r="U183" s="16"/>
      <c r="V183" s="16"/>
      <c r="W183" s="13"/>
      <c r="X183" s="13"/>
      <c r="Y183" s="13"/>
      <c r="Z183" s="30"/>
      <c r="AA183" s="30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</row>
    <row r="184" spans="1:74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2"/>
      <c r="L184" s="3"/>
      <c r="M184" s="3"/>
      <c r="N184" s="29"/>
      <c r="O184" s="29"/>
      <c r="P184" s="29"/>
      <c r="Q184" s="16"/>
      <c r="R184" s="16"/>
      <c r="S184" s="16"/>
      <c r="T184" s="16"/>
      <c r="U184" s="16"/>
      <c r="V184" s="16"/>
      <c r="W184" s="13"/>
      <c r="X184" s="13"/>
      <c r="Y184" s="13"/>
      <c r="Z184" s="30"/>
      <c r="AA184" s="30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</row>
    <row r="185" spans="1:74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2"/>
      <c r="L185" s="3"/>
      <c r="M185" s="3"/>
      <c r="N185" s="29"/>
      <c r="O185" s="29"/>
      <c r="P185" s="29"/>
      <c r="Q185" s="16"/>
      <c r="R185" s="16"/>
      <c r="S185" s="16"/>
      <c r="T185" s="16"/>
      <c r="U185" s="16"/>
      <c r="V185" s="16"/>
      <c r="W185" s="13"/>
      <c r="X185" s="13"/>
      <c r="Y185" s="13"/>
      <c r="Z185" s="30"/>
      <c r="AA185" s="30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</row>
    <row r="186" spans="1:74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2"/>
      <c r="L186" s="3"/>
      <c r="M186" s="3"/>
      <c r="N186" s="29"/>
      <c r="O186" s="29"/>
      <c r="P186" s="29"/>
      <c r="Q186" s="16"/>
      <c r="R186" s="16"/>
      <c r="S186" s="16"/>
      <c r="T186" s="16"/>
      <c r="U186" s="16"/>
      <c r="V186" s="16"/>
      <c r="W186" s="13"/>
      <c r="X186" s="13"/>
      <c r="Y186" s="13"/>
      <c r="Z186" s="30"/>
      <c r="AA186" s="30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</row>
    <row r="187" spans="1:74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2"/>
      <c r="L187" s="3"/>
      <c r="M187" s="3"/>
      <c r="N187" s="29"/>
      <c r="O187" s="29"/>
      <c r="P187" s="29"/>
      <c r="Q187" s="16"/>
      <c r="R187" s="16"/>
      <c r="S187" s="16"/>
      <c r="T187" s="16"/>
      <c r="U187" s="16"/>
      <c r="V187" s="16"/>
      <c r="W187" s="13"/>
      <c r="X187" s="13"/>
      <c r="Y187" s="13"/>
      <c r="Z187" s="30"/>
      <c r="AA187" s="30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</row>
    <row r="188" spans="1:74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2"/>
      <c r="L188" s="3"/>
      <c r="M188" s="3"/>
      <c r="N188" s="29"/>
      <c r="O188" s="29"/>
      <c r="P188" s="29"/>
      <c r="Q188" s="16"/>
      <c r="R188" s="16"/>
      <c r="S188" s="16"/>
      <c r="T188" s="16"/>
      <c r="U188" s="16"/>
      <c r="V188" s="16"/>
      <c r="W188" s="13"/>
      <c r="X188" s="13"/>
      <c r="Y188" s="13"/>
      <c r="Z188" s="30"/>
      <c r="AA188" s="30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</row>
    <row r="189" spans="1:74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2"/>
      <c r="L189" s="3"/>
      <c r="M189" s="3"/>
      <c r="N189" s="29"/>
      <c r="O189" s="29"/>
      <c r="P189" s="29"/>
      <c r="Q189" s="16"/>
      <c r="R189" s="16"/>
      <c r="S189" s="16"/>
      <c r="T189" s="16"/>
      <c r="U189" s="16"/>
      <c r="V189" s="16"/>
      <c r="W189" s="13"/>
      <c r="X189" s="13"/>
      <c r="Y189" s="13"/>
      <c r="Z189" s="30"/>
      <c r="AA189" s="30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</row>
    <row r="190" spans="1:74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2"/>
      <c r="L190" s="3"/>
      <c r="M190" s="3"/>
      <c r="N190" s="29"/>
      <c r="O190" s="29"/>
      <c r="P190" s="29"/>
      <c r="Q190" s="16"/>
      <c r="R190" s="16"/>
      <c r="S190" s="16"/>
      <c r="T190" s="16"/>
      <c r="U190" s="16"/>
      <c r="V190" s="16"/>
      <c r="W190" s="13"/>
      <c r="X190" s="13"/>
      <c r="Y190" s="13"/>
      <c r="Z190" s="30"/>
      <c r="AA190" s="30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</row>
    <row r="191" spans="1:74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2"/>
      <c r="L191" s="3"/>
      <c r="M191" s="3"/>
      <c r="N191" s="29"/>
      <c r="O191" s="29"/>
      <c r="P191" s="29"/>
      <c r="Q191" s="16"/>
      <c r="R191" s="16"/>
      <c r="S191" s="16"/>
      <c r="T191" s="16"/>
      <c r="U191" s="16"/>
      <c r="V191" s="16"/>
      <c r="W191" s="13"/>
      <c r="X191" s="13"/>
      <c r="Y191" s="13"/>
      <c r="Z191" s="30"/>
      <c r="AA191" s="30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</row>
    <row r="192" spans="1:74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2"/>
      <c r="L192" s="3"/>
      <c r="M192" s="3"/>
      <c r="N192" s="29"/>
      <c r="O192" s="29"/>
      <c r="P192" s="29"/>
      <c r="Q192" s="16"/>
      <c r="R192" s="16"/>
      <c r="S192" s="16"/>
      <c r="T192" s="16"/>
      <c r="U192" s="16"/>
      <c r="V192" s="16"/>
      <c r="W192" s="13"/>
      <c r="X192" s="13"/>
      <c r="Y192" s="13"/>
      <c r="Z192" s="30"/>
      <c r="AA192" s="30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</row>
    <row r="193" spans="1:74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2"/>
      <c r="L193" s="3"/>
      <c r="M193" s="3"/>
      <c r="N193" s="29"/>
      <c r="O193" s="29"/>
      <c r="P193" s="29"/>
      <c r="Q193" s="16"/>
      <c r="R193" s="16"/>
      <c r="S193" s="16"/>
      <c r="T193" s="16"/>
      <c r="U193" s="16"/>
      <c r="V193" s="16"/>
      <c r="W193" s="13"/>
      <c r="X193" s="13"/>
      <c r="Y193" s="13"/>
      <c r="Z193" s="30"/>
      <c r="AA193" s="30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</row>
    <row r="194" spans="1:74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2"/>
      <c r="L194" s="3"/>
      <c r="M194" s="3"/>
      <c r="N194" s="29"/>
      <c r="O194" s="29"/>
      <c r="P194" s="29"/>
      <c r="Q194" s="16"/>
      <c r="R194" s="16"/>
      <c r="S194" s="16"/>
      <c r="T194" s="16"/>
      <c r="U194" s="16"/>
      <c r="V194" s="16"/>
      <c r="W194" s="13"/>
      <c r="X194" s="13"/>
      <c r="Y194" s="13"/>
      <c r="Z194" s="30"/>
      <c r="AA194" s="30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</row>
    <row r="195" spans="1:74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2"/>
      <c r="L195" s="3"/>
      <c r="M195" s="3"/>
      <c r="N195" s="29"/>
      <c r="O195" s="29"/>
      <c r="P195" s="29"/>
      <c r="Q195" s="16"/>
      <c r="R195" s="16"/>
      <c r="S195" s="16"/>
      <c r="T195" s="16"/>
      <c r="U195" s="16"/>
      <c r="V195" s="16"/>
      <c r="W195" s="13"/>
      <c r="X195" s="13"/>
      <c r="Y195" s="13"/>
      <c r="Z195" s="30"/>
      <c r="AA195" s="30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</row>
    <row r="196" spans="1:74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2"/>
      <c r="L196" s="3"/>
      <c r="M196" s="3"/>
      <c r="N196" s="29"/>
      <c r="O196" s="29"/>
      <c r="P196" s="29"/>
      <c r="Q196" s="16"/>
      <c r="R196" s="16"/>
      <c r="S196" s="16"/>
      <c r="T196" s="16"/>
      <c r="U196" s="16"/>
      <c r="V196" s="16"/>
      <c r="W196" s="13"/>
      <c r="X196" s="13"/>
      <c r="Y196" s="13"/>
      <c r="Z196" s="30"/>
      <c r="AA196" s="30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</row>
    <row r="197" spans="1:74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2"/>
      <c r="L197" s="3"/>
      <c r="M197" s="3"/>
      <c r="N197" s="29"/>
      <c r="O197" s="29"/>
      <c r="P197" s="29"/>
      <c r="Q197" s="16"/>
      <c r="R197" s="16"/>
      <c r="S197" s="16"/>
      <c r="T197" s="16"/>
      <c r="U197" s="16"/>
      <c r="V197" s="16"/>
      <c r="W197" s="13"/>
      <c r="X197" s="13"/>
      <c r="Y197" s="13"/>
      <c r="Z197" s="30"/>
      <c r="AA197" s="30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</row>
    <row r="198" spans="1:74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2"/>
      <c r="L198" s="3"/>
      <c r="M198" s="3"/>
      <c r="N198" s="29"/>
      <c r="O198" s="29"/>
      <c r="P198" s="29"/>
      <c r="Q198" s="16"/>
      <c r="R198" s="16"/>
      <c r="S198" s="16"/>
      <c r="T198" s="16"/>
      <c r="U198" s="16"/>
      <c r="V198" s="16"/>
      <c r="W198" s="13"/>
      <c r="X198" s="13"/>
      <c r="Y198" s="13"/>
      <c r="Z198" s="30"/>
      <c r="AA198" s="30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</row>
    <row r="199" spans="1:74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2"/>
      <c r="L199" s="3"/>
      <c r="M199" s="3"/>
      <c r="N199" s="29"/>
      <c r="O199" s="29"/>
      <c r="P199" s="29"/>
      <c r="Q199" s="16"/>
      <c r="R199" s="16"/>
      <c r="S199" s="16"/>
      <c r="T199" s="16"/>
      <c r="U199" s="16"/>
      <c r="V199" s="16"/>
      <c r="W199" s="13"/>
      <c r="X199" s="13"/>
      <c r="Y199" s="13"/>
      <c r="Z199" s="30"/>
      <c r="AA199" s="30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</row>
    <row r="200" spans="1:74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2"/>
      <c r="L200" s="3"/>
      <c r="M200" s="3"/>
      <c r="N200" s="29"/>
      <c r="O200" s="29"/>
      <c r="P200" s="29"/>
      <c r="Q200" s="16"/>
      <c r="R200" s="16"/>
      <c r="S200" s="16"/>
      <c r="T200" s="16"/>
      <c r="U200" s="16"/>
      <c r="V200" s="16"/>
      <c r="W200" s="13"/>
      <c r="X200" s="13"/>
      <c r="Y200" s="13"/>
      <c r="Z200" s="30"/>
      <c r="AA200" s="30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</row>
    <row r="201" spans="1:74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2"/>
      <c r="L201" s="3"/>
      <c r="M201" s="3"/>
      <c r="N201" s="29"/>
      <c r="O201" s="29"/>
      <c r="P201" s="29"/>
      <c r="Q201" s="16"/>
      <c r="R201" s="16"/>
      <c r="S201" s="16"/>
      <c r="T201" s="16"/>
      <c r="U201" s="16"/>
      <c r="V201" s="16"/>
      <c r="W201" s="13"/>
      <c r="X201" s="13"/>
      <c r="Y201" s="13"/>
      <c r="Z201" s="30"/>
      <c r="AA201" s="30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</row>
    <row r="202" spans="1:74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2"/>
      <c r="L202" s="3"/>
      <c r="M202" s="3"/>
      <c r="N202" s="33"/>
      <c r="O202" s="33"/>
      <c r="P202" s="33"/>
      <c r="Q202" s="19"/>
      <c r="R202" s="19"/>
      <c r="S202" s="19"/>
      <c r="T202" s="19"/>
      <c r="U202" s="19"/>
      <c r="V202" s="19"/>
      <c r="W202" s="13"/>
      <c r="X202" s="13"/>
      <c r="Y202" s="13"/>
      <c r="Z202" s="30"/>
      <c r="AA202" s="30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</row>
    <row r="203" spans="1:74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2"/>
      <c r="L203" s="3"/>
      <c r="M203" s="3"/>
      <c r="N203" s="33"/>
      <c r="O203" s="33"/>
      <c r="P203" s="33"/>
      <c r="Q203" s="19"/>
      <c r="R203" s="19"/>
      <c r="S203" s="19"/>
      <c r="T203" s="19"/>
      <c r="U203" s="19"/>
      <c r="V203" s="19"/>
      <c r="W203" s="13"/>
      <c r="X203" s="13"/>
      <c r="Y203" s="13"/>
      <c r="Z203" s="30"/>
      <c r="AA203" s="30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</row>
    <row r="204" spans="1:74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2"/>
      <c r="L204" s="3"/>
      <c r="M204" s="3"/>
      <c r="N204" s="33"/>
      <c r="O204" s="33"/>
      <c r="P204" s="33"/>
      <c r="Q204" s="19"/>
      <c r="R204" s="19"/>
      <c r="S204" s="19"/>
      <c r="T204" s="19"/>
      <c r="U204" s="19"/>
      <c r="V204" s="19"/>
      <c r="W204" s="13"/>
      <c r="X204" s="13"/>
      <c r="Y204" s="13"/>
      <c r="Z204" s="30"/>
      <c r="AA204" s="30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</row>
    <row r="205" spans="1:74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2"/>
      <c r="L205" s="3"/>
      <c r="M205" s="3"/>
      <c r="N205" s="33"/>
      <c r="O205" s="33"/>
      <c r="P205" s="33"/>
      <c r="Q205" s="19"/>
      <c r="R205" s="19"/>
      <c r="S205" s="19"/>
      <c r="T205" s="19"/>
      <c r="U205" s="19"/>
      <c r="V205" s="19"/>
      <c r="W205" s="13"/>
      <c r="X205" s="13"/>
      <c r="Y205" s="13"/>
      <c r="Z205" s="30"/>
      <c r="AA205" s="30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</row>
    <row r="206" spans="1:74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2"/>
      <c r="L206" s="3"/>
      <c r="M206" s="3"/>
      <c r="N206" s="33"/>
      <c r="O206" s="33"/>
      <c r="P206" s="33"/>
      <c r="Q206" s="19"/>
      <c r="R206" s="19"/>
      <c r="S206" s="19"/>
      <c r="T206" s="19"/>
      <c r="U206" s="19"/>
      <c r="V206" s="19"/>
      <c r="W206" s="13"/>
      <c r="X206" s="13"/>
      <c r="Y206" s="13"/>
      <c r="Z206" s="30"/>
      <c r="AA206" s="30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</row>
    <row r="207" spans="1:74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2"/>
      <c r="L207" s="3"/>
      <c r="M207" s="3"/>
      <c r="N207" s="33"/>
      <c r="O207" s="33"/>
      <c r="P207" s="33"/>
      <c r="Q207" s="19"/>
      <c r="R207" s="19"/>
      <c r="S207" s="19"/>
      <c r="T207" s="19"/>
      <c r="U207" s="19"/>
      <c r="V207" s="19"/>
      <c r="W207" s="13"/>
      <c r="X207" s="13"/>
      <c r="Y207" s="13"/>
      <c r="Z207" s="30"/>
      <c r="AA207" s="30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</row>
    <row r="208" spans="1:74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2"/>
      <c r="L208" s="3"/>
      <c r="M208" s="3"/>
      <c r="N208" s="33"/>
      <c r="O208" s="33"/>
      <c r="P208" s="33"/>
      <c r="Q208" s="19"/>
      <c r="R208" s="19"/>
      <c r="S208" s="19"/>
      <c r="T208" s="19"/>
      <c r="U208" s="19"/>
      <c r="V208" s="19"/>
      <c r="W208" s="13"/>
      <c r="X208" s="13"/>
      <c r="Y208" s="13"/>
      <c r="Z208" s="30"/>
      <c r="AA208" s="30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</row>
    <row r="209" spans="1:74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2"/>
      <c r="L209" s="3"/>
      <c r="M209" s="3"/>
      <c r="N209" s="33"/>
      <c r="O209" s="33"/>
      <c r="P209" s="33"/>
      <c r="Q209" s="19"/>
      <c r="R209" s="19"/>
      <c r="S209" s="19"/>
      <c r="T209" s="19"/>
      <c r="U209" s="19"/>
      <c r="V209" s="19"/>
      <c r="W209" s="13"/>
      <c r="X209" s="13"/>
      <c r="Y209" s="13"/>
      <c r="Z209" s="30"/>
      <c r="AA209" s="30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</row>
    <row r="210" spans="1:74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2"/>
      <c r="L210" s="3"/>
      <c r="M210" s="3"/>
      <c r="N210" s="33"/>
      <c r="O210" s="33"/>
      <c r="P210" s="33"/>
      <c r="Q210" s="19"/>
      <c r="R210" s="19"/>
      <c r="S210" s="19"/>
      <c r="T210" s="19"/>
      <c r="U210" s="19"/>
      <c r="V210" s="19"/>
      <c r="W210" s="13"/>
      <c r="X210" s="13"/>
      <c r="Y210" s="13"/>
      <c r="Z210" s="30"/>
      <c r="AA210" s="30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</row>
    <row r="211" spans="1:74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2"/>
      <c r="L211" s="3"/>
      <c r="M211" s="3"/>
      <c r="N211" s="33"/>
      <c r="O211" s="33"/>
      <c r="P211" s="33"/>
      <c r="Q211" s="19"/>
      <c r="R211" s="19"/>
      <c r="S211" s="19"/>
      <c r="T211" s="19"/>
      <c r="U211" s="19"/>
      <c r="V211" s="19"/>
      <c r="W211" s="13"/>
      <c r="X211" s="13"/>
      <c r="Y211" s="13"/>
      <c r="Z211" s="30"/>
      <c r="AA211" s="30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</row>
    <row r="212" spans="1:74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2"/>
      <c r="L212" s="3"/>
      <c r="M212" s="3"/>
      <c r="N212" s="33"/>
      <c r="O212" s="33"/>
      <c r="P212" s="33"/>
      <c r="Q212" s="19"/>
      <c r="R212" s="19"/>
      <c r="S212" s="19"/>
      <c r="T212" s="19"/>
      <c r="U212" s="19"/>
      <c r="V212" s="19"/>
      <c r="W212" s="13"/>
      <c r="X212" s="13"/>
      <c r="Y212" s="13"/>
      <c r="Z212" s="30"/>
      <c r="AA212" s="30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</row>
    <row r="213" spans="1:74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2"/>
      <c r="L213" s="3"/>
      <c r="M213" s="3"/>
      <c r="N213" s="33"/>
      <c r="O213" s="33"/>
      <c r="P213" s="33"/>
      <c r="Q213" s="19"/>
      <c r="R213" s="19"/>
      <c r="S213" s="19"/>
      <c r="T213" s="19"/>
      <c r="U213" s="19"/>
      <c r="V213" s="19"/>
      <c r="W213" s="13"/>
      <c r="X213" s="13"/>
      <c r="Y213" s="13"/>
      <c r="Z213" s="30"/>
      <c r="AA213" s="30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</row>
    <row r="214" spans="1:74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2"/>
      <c r="L214" s="3"/>
      <c r="M214" s="3"/>
      <c r="N214" s="33"/>
      <c r="O214" s="33"/>
      <c r="P214" s="33"/>
      <c r="Q214" s="19"/>
      <c r="R214" s="19"/>
      <c r="S214" s="19"/>
      <c r="T214" s="19"/>
      <c r="U214" s="19"/>
      <c r="V214" s="19"/>
      <c r="W214" s="13"/>
      <c r="X214" s="13"/>
      <c r="Y214" s="13"/>
      <c r="Z214" s="30"/>
      <c r="AA214" s="30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</row>
    <row r="215" spans="1:74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2"/>
      <c r="L215" s="3"/>
      <c r="M215" s="3"/>
      <c r="N215" s="33"/>
      <c r="O215" s="33"/>
      <c r="P215" s="33"/>
      <c r="Q215" s="19"/>
      <c r="R215" s="19"/>
      <c r="S215" s="19"/>
      <c r="T215" s="19"/>
      <c r="U215" s="19"/>
      <c r="V215" s="19"/>
      <c r="W215" s="13"/>
      <c r="X215" s="13"/>
      <c r="Y215" s="13"/>
      <c r="Z215" s="30"/>
      <c r="AA215" s="30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</row>
    <row r="216" spans="1:74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2"/>
      <c r="L216" s="3"/>
      <c r="M216" s="3"/>
      <c r="N216" s="33"/>
      <c r="O216" s="33"/>
      <c r="P216" s="33"/>
      <c r="Q216" s="19"/>
      <c r="R216" s="19"/>
      <c r="S216" s="19"/>
      <c r="T216" s="19"/>
      <c r="U216" s="19"/>
      <c r="V216" s="19"/>
      <c r="W216" s="13"/>
      <c r="X216" s="13"/>
      <c r="Y216" s="13"/>
      <c r="Z216" s="30"/>
      <c r="AA216" s="30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</row>
    <row r="217" spans="1:74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2"/>
      <c r="L217" s="3"/>
      <c r="M217" s="3"/>
      <c r="N217" s="33"/>
      <c r="O217" s="33"/>
      <c r="P217" s="33"/>
      <c r="Q217" s="19"/>
      <c r="R217" s="19"/>
      <c r="S217" s="19"/>
      <c r="T217" s="19"/>
      <c r="U217" s="19"/>
      <c r="V217" s="19"/>
      <c r="W217" s="13"/>
      <c r="X217" s="13"/>
      <c r="Y217" s="13"/>
      <c r="Z217" s="30"/>
      <c r="AA217" s="30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</row>
    <row r="218" spans="1:74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2"/>
      <c r="L218" s="3"/>
      <c r="M218" s="3"/>
      <c r="N218" s="33"/>
      <c r="O218" s="33"/>
      <c r="P218" s="33"/>
      <c r="Q218" s="19"/>
      <c r="R218" s="19"/>
      <c r="S218" s="19"/>
      <c r="T218" s="19"/>
      <c r="U218" s="19"/>
      <c r="V218" s="19"/>
      <c r="W218" s="13"/>
      <c r="X218" s="13"/>
      <c r="Y218" s="13"/>
      <c r="Z218" s="30"/>
      <c r="AA218" s="30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</row>
    <row r="219" spans="1:74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2"/>
      <c r="L219" s="3"/>
      <c r="M219" s="3"/>
      <c r="N219" s="33"/>
      <c r="O219" s="33"/>
      <c r="P219" s="33"/>
      <c r="Q219" s="19"/>
      <c r="R219" s="19"/>
      <c r="S219" s="19"/>
      <c r="T219" s="19"/>
      <c r="U219" s="19"/>
      <c r="V219" s="19"/>
      <c r="W219" s="13"/>
      <c r="X219" s="13"/>
      <c r="Y219" s="13"/>
      <c r="Z219" s="30"/>
      <c r="AA219" s="30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</row>
    <row r="220" spans="1:74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2"/>
      <c r="L220" s="3"/>
      <c r="M220" s="3"/>
      <c r="N220" s="33"/>
      <c r="O220" s="33"/>
      <c r="P220" s="33"/>
      <c r="Q220" s="19"/>
      <c r="R220" s="19"/>
      <c r="S220" s="19"/>
      <c r="T220" s="19"/>
      <c r="U220" s="19"/>
      <c r="V220" s="19"/>
      <c r="W220" s="13"/>
      <c r="X220" s="13"/>
      <c r="Y220" s="13"/>
      <c r="Z220" s="30"/>
      <c r="AA220" s="30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</row>
    <row r="221" spans="1:74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2"/>
      <c r="L221" s="3"/>
      <c r="M221" s="3"/>
      <c r="N221" s="33"/>
      <c r="O221" s="33"/>
      <c r="P221" s="33"/>
      <c r="Q221" s="19"/>
      <c r="R221" s="19"/>
      <c r="S221" s="19"/>
      <c r="T221" s="19"/>
      <c r="U221" s="19"/>
      <c r="V221" s="19"/>
      <c r="W221" s="13"/>
      <c r="X221" s="13"/>
      <c r="Y221" s="13"/>
      <c r="Z221" s="30"/>
      <c r="AA221" s="30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</row>
    <row r="222" spans="1:74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2"/>
      <c r="L222" s="3"/>
      <c r="M222" s="3"/>
      <c r="N222" s="33"/>
      <c r="O222" s="33"/>
      <c r="P222" s="33"/>
      <c r="Q222" s="19"/>
      <c r="R222" s="19"/>
      <c r="S222" s="19"/>
      <c r="T222" s="19"/>
      <c r="U222" s="19"/>
      <c r="V222" s="19"/>
      <c r="W222" s="13"/>
      <c r="X222" s="13"/>
      <c r="Y222" s="13"/>
      <c r="Z222" s="30"/>
      <c r="AA222" s="30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</row>
    <row r="223" spans="1:74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2"/>
      <c r="L223" s="3"/>
      <c r="M223" s="3"/>
      <c r="N223" s="33"/>
      <c r="O223" s="33"/>
      <c r="P223" s="33"/>
      <c r="Q223" s="19"/>
      <c r="R223" s="19"/>
      <c r="S223" s="19"/>
      <c r="T223" s="19"/>
      <c r="U223" s="19"/>
      <c r="V223" s="19"/>
      <c r="W223" s="13"/>
      <c r="X223" s="13"/>
      <c r="Y223" s="13"/>
      <c r="Z223" s="30"/>
      <c r="AA223" s="30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</row>
    <row r="224" spans="1:74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2"/>
      <c r="L224" s="3"/>
      <c r="M224" s="3"/>
      <c r="N224" s="33"/>
      <c r="O224" s="33"/>
      <c r="P224" s="33"/>
      <c r="Q224" s="19"/>
      <c r="R224" s="19"/>
      <c r="S224" s="19"/>
      <c r="T224" s="19"/>
      <c r="U224" s="19"/>
      <c r="V224" s="19"/>
      <c r="W224" s="13"/>
      <c r="X224" s="13"/>
      <c r="Y224" s="13"/>
      <c r="Z224" s="30"/>
      <c r="AA224" s="30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</row>
    <row r="225" spans="1:74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2"/>
      <c r="L225" s="3"/>
      <c r="M225" s="3"/>
      <c r="N225" s="33"/>
      <c r="O225" s="33"/>
      <c r="P225" s="33"/>
      <c r="Q225" s="19"/>
      <c r="R225" s="19"/>
      <c r="S225" s="19"/>
      <c r="T225" s="19"/>
      <c r="U225" s="19"/>
      <c r="V225" s="19"/>
      <c r="W225" s="13"/>
      <c r="X225" s="13"/>
      <c r="Y225" s="13"/>
      <c r="Z225" s="30"/>
      <c r="AA225" s="30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</row>
    <row r="226" spans="1:74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2"/>
      <c r="L226" s="3"/>
      <c r="M226" s="3"/>
      <c r="N226" s="33"/>
      <c r="O226" s="33"/>
      <c r="P226" s="33"/>
      <c r="Q226" s="19"/>
      <c r="R226" s="19"/>
      <c r="S226" s="19"/>
      <c r="T226" s="19"/>
      <c r="U226" s="19"/>
      <c r="V226" s="19"/>
      <c r="W226" s="13"/>
      <c r="X226" s="13"/>
      <c r="Y226" s="13"/>
      <c r="Z226" s="30"/>
      <c r="AA226" s="30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</row>
    <row r="227" spans="1:74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2"/>
      <c r="L227" s="3"/>
      <c r="M227" s="3"/>
      <c r="N227" s="33"/>
      <c r="O227" s="33"/>
      <c r="P227" s="33"/>
      <c r="Q227" s="19"/>
      <c r="R227" s="19"/>
      <c r="S227" s="19"/>
      <c r="T227" s="19"/>
      <c r="U227" s="19"/>
      <c r="V227" s="19"/>
      <c r="W227" s="13"/>
      <c r="X227" s="13"/>
      <c r="Y227" s="13"/>
      <c r="Z227" s="30"/>
      <c r="AA227" s="30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</row>
    <row r="228" spans="1:74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2"/>
      <c r="L228" s="3"/>
      <c r="M228" s="3"/>
      <c r="N228" s="33"/>
      <c r="O228" s="33"/>
      <c r="P228" s="33"/>
      <c r="Q228" s="19"/>
      <c r="R228" s="19"/>
      <c r="S228" s="19"/>
      <c r="T228" s="19"/>
      <c r="U228" s="19"/>
      <c r="V228" s="19"/>
      <c r="W228" s="13"/>
      <c r="X228" s="13"/>
      <c r="Y228" s="13"/>
      <c r="Z228" s="30"/>
      <c r="AA228" s="30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</row>
    <row r="229" spans="1:74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2"/>
      <c r="L229" s="3"/>
      <c r="M229" s="3"/>
      <c r="N229" s="33"/>
      <c r="O229" s="33"/>
      <c r="P229" s="33"/>
      <c r="Q229" s="19"/>
      <c r="R229" s="19"/>
      <c r="S229" s="19"/>
      <c r="T229" s="19"/>
      <c r="U229" s="19"/>
      <c r="V229" s="19"/>
      <c r="W229" s="13"/>
      <c r="X229" s="13"/>
      <c r="Y229" s="13"/>
      <c r="Z229" s="30"/>
      <c r="AA229" s="30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</row>
    <row r="230" spans="1:74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2"/>
      <c r="L230" s="3"/>
      <c r="M230" s="3"/>
      <c r="N230" s="33"/>
      <c r="O230" s="33"/>
      <c r="P230" s="33"/>
      <c r="Q230" s="19"/>
      <c r="R230" s="19"/>
      <c r="S230" s="19"/>
      <c r="T230" s="19"/>
      <c r="U230" s="19"/>
      <c r="V230" s="19"/>
      <c r="W230" s="13"/>
      <c r="X230" s="13"/>
      <c r="Y230" s="13"/>
      <c r="Z230" s="30"/>
      <c r="AA230" s="30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</row>
    <row r="231" spans="1:74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2"/>
      <c r="L231" s="3"/>
      <c r="M231" s="3"/>
      <c r="N231" s="33"/>
      <c r="O231" s="33"/>
      <c r="P231" s="33"/>
      <c r="Q231" s="19"/>
      <c r="R231" s="19"/>
      <c r="S231" s="19"/>
      <c r="T231" s="19"/>
      <c r="U231" s="19"/>
      <c r="V231" s="19"/>
      <c r="W231" s="13"/>
      <c r="X231" s="13"/>
      <c r="Y231" s="13"/>
      <c r="Z231" s="30"/>
      <c r="AA231" s="30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</row>
    <row r="232" spans="1:74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2"/>
      <c r="L232" s="3"/>
      <c r="M232" s="3"/>
      <c r="N232" s="33"/>
      <c r="O232" s="33"/>
      <c r="P232" s="33"/>
      <c r="Q232" s="19"/>
      <c r="R232" s="19"/>
      <c r="S232" s="19"/>
      <c r="T232" s="19"/>
      <c r="U232" s="19"/>
      <c r="V232" s="19"/>
      <c r="W232" s="13"/>
      <c r="X232" s="13"/>
      <c r="Y232" s="13"/>
      <c r="Z232" s="30"/>
      <c r="AA232" s="30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</row>
    <row r="233" spans="1:74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2"/>
      <c r="L233" s="3"/>
      <c r="M233" s="3"/>
      <c r="N233" s="33"/>
      <c r="O233" s="33"/>
      <c r="P233" s="33"/>
      <c r="Q233" s="19"/>
      <c r="R233" s="19"/>
      <c r="S233" s="19"/>
      <c r="T233" s="19"/>
      <c r="U233" s="19"/>
      <c r="V233" s="19"/>
      <c r="W233" s="13"/>
      <c r="X233" s="13"/>
      <c r="Y233" s="13"/>
      <c r="Z233" s="30"/>
      <c r="AA233" s="30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</row>
    <row r="234" spans="1:74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2"/>
      <c r="L234" s="3"/>
      <c r="M234" s="3"/>
      <c r="N234" s="33"/>
      <c r="O234" s="33"/>
      <c r="P234" s="33"/>
      <c r="Q234" s="19"/>
      <c r="R234" s="19"/>
      <c r="S234" s="19"/>
      <c r="T234" s="19"/>
      <c r="U234" s="19"/>
      <c r="V234" s="19"/>
      <c r="W234" s="13"/>
      <c r="X234" s="13"/>
      <c r="Y234" s="13"/>
      <c r="Z234" s="30"/>
      <c r="AA234" s="30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</row>
    <row r="235" spans="1:74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2"/>
      <c r="L235" s="3"/>
      <c r="M235" s="3"/>
      <c r="N235" s="33"/>
      <c r="O235" s="33"/>
      <c r="P235" s="33"/>
      <c r="Q235" s="19"/>
      <c r="R235" s="19"/>
      <c r="S235" s="19"/>
      <c r="T235" s="19"/>
      <c r="U235" s="19"/>
      <c r="V235" s="19"/>
      <c r="W235" s="13"/>
      <c r="X235" s="13"/>
      <c r="Y235" s="13"/>
      <c r="Z235" s="30"/>
      <c r="AA235" s="30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</row>
    <row r="236" spans="1:74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2"/>
      <c r="L236" s="3"/>
      <c r="M236" s="3"/>
      <c r="N236" s="33"/>
      <c r="O236" s="33"/>
      <c r="P236" s="33"/>
      <c r="Q236" s="19"/>
      <c r="R236" s="19"/>
      <c r="S236" s="19"/>
      <c r="T236" s="19"/>
      <c r="U236" s="19"/>
      <c r="V236" s="19"/>
      <c r="W236" s="13"/>
      <c r="X236" s="13"/>
      <c r="Y236" s="13"/>
      <c r="Z236" s="30"/>
      <c r="AA236" s="30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</row>
    <row r="237" spans="1:74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2"/>
      <c r="L237" s="3"/>
      <c r="M237" s="3"/>
      <c r="N237" s="33"/>
      <c r="O237" s="33"/>
      <c r="P237" s="33"/>
      <c r="Q237" s="19"/>
      <c r="R237" s="19"/>
      <c r="S237" s="19"/>
      <c r="T237" s="19"/>
      <c r="U237" s="19"/>
      <c r="V237" s="19"/>
      <c r="W237" s="13"/>
      <c r="X237" s="13"/>
      <c r="Y237" s="13"/>
      <c r="Z237" s="30"/>
      <c r="AA237" s="30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</row>
    <row r="238" spans="1:74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2"/>
      <c r="L238" s="3"/>
      <c r="M238" s="3"/>
      <c r="N238" s="33"/>
      <c r="O238" s="33"/>
      <c r="P238" s="33"/>
      <c r="Q238" s="19"/>
      <c r="R238" s="19"/>
      <c r="S238" s="19"/>
      <c r="T238" s="19"/>
      <c r="U238" s="19"/>
      <c r="V238" s="19"/>
      <c r="W238" s="13"/>
      <c r="X238" s="13"/>
      <c r="Y238" s="13"/>
      <c r="Z238" s="30"/>
      <c r="AA238" s="30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</row>
    <row r="239" spans="1:74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2"/>
      <c r="L239" s="3"/>
      <c r="M239" s="3"/>
      <c r="N239" s="33"/>
      <c r="O239" s="33"/>
      <c r="P239" s="33"/>
      <c r="Q239" s="19"/>
      <c r="R239" s="19"/>
      <c r="S239" s="19"/>
      <c r="T239" s="19"/>
      <c r="U239" s="19"/>
      <c r="V239" s="19"/>
      <c r="W239" s="13"/>
      <c r="X239" s="13"/>
      <c r="Y239" s="13"/>
      <c r="Z239" s="30"/>
      <c r="AA239" s="30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</row>
    <row r="240" spans="1:74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2"/>
      <c r="L240" s="3"/>
      <c r="M240" s="3"/>
      <c r="N240" s="33"/>
      <c r="O240" s="33"/>
      <c r="P240" s="33"/>
      <c r="Q240" s="19"/>
      <c r="R240" s="19"/>
      <c r="S240" s="19"/>
      <c r="T240" s="19"/>
      <c r="U240" s="19"/>
      <c r="V240" s="19"/>
      <c r="W240" s="13"/>
      <c r="X240" s="13"/>
      <c r="Y240" s="13"/>
      <c r="Z240" s="30"/>
      <c r="AA240" s="30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</row>
    <row r="241" spans="1:74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2"/>
      <c r="L241" s="3"/>
      <c r="M241" s="3"/>
      <c r="N241" s="33"/>
      <c r="O241" s="33"/>
      <c r="P241" s="33"/>
      <c r="Q241" s="19"/>
      <c r="R241" s="19"/>
      <c r="S241" s="19"/>
      <c r="T241" s="19"/>
      <c r="U241" s="19"/>
      <c r="V241" s="19"/>
      <c r="W241" s="13"/>
      <c r="X241" s="13"/>
      <c r="Y241" s="13"/>
      <c r="Z241" s="30"/>
      <c r="AA241" s="30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</row>
    <row r="242" spans="1:74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2"/>
      <c r="L242" s="3"/>
      <c r="M242" s="3"/>
      <c r="N242" s="33"/>
      <c r="O242" s="33"/>
      <c r="P242" s="33"/>
      <c r="Q242" s="19"/>
      <c r="R242" s="19"/>
      <c r="S242" s="19"/>
      <c r="T242" s="19"/>
      <c r="U242" s="19"/>
      <c r="V242" s="19"/>
      <c r="W242" s="13"/>
      <c r="X242" s="13"/>
      <c r="Y242" s="13"/>
      <c r="Z242" s="30"/>
      <c r="AA242" s="30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</row>
    <row r="243" spans="1:74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2"/>
      <c r="L243" s="3"/>
      <c r="M243" s="3"/>
      <c r="N243" s="33"/>
      <c r="O243" s="33"/>
      <c r="P243" s="33"/>
      <c r="Q243" s="19"/>
      <c r="R243" s="19"/>
      <c r="S243" s="19"/>
      <c r="T243" s="19"/>
      <c r="U243" s="19"/>
      <c r="V243" s="19"/>
      <c r="W243" s="13"/>
      <c r="X243" s="13"/>
      <c r="Y243" s="13"/>
      <c r="Z243" s="30"/>
      <c r="AA243" s="30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</row>
    <row r="244" spans="1:74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2"/>
      <c r="L244" s="3"/>
      <c r="M244" s="3"/>
      <c r="N244" s="33"/>
      <c r="O244" s="33"/>
      <c r="P244" s="33"/>
      <c r="Q244" s="19"/>
      <c r="R244" s="19"/>
      <c r="S244" s="19"/>
      <c r="T244" s="19"/>
      <c r="U244" s="19"/>
      <c r="V244" s="19"/>
      <c r="W244" s="13"/>
      <c r="X244" s="13"/>
      <c r="Y244" s="13"/>
      <c r="Z244" s="30"/>
      <c r="AA244" s="30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</row>
    <row r="245" spans="1:74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2"/>
      <c r="L245" s="3"/>
      <c r="M245" s="3"/>
      <c r="N245" s="33"/>
      <c r="O245" s="33"/>
      <c r="P245" s="33"/>
      <c r="Q245" s="19"/>
      <c r="R245" s="19"/>
      <c r="S245" s="19"/>
      <c r="T245" s="19"/>
      <c r="U245" s="19"/>
      <c r="V245" s="19"/>
      <c r="W245" s="13"/>
      <c r="X245" s="13"/>
      <c r="Y245" s="13"/>
      <c r="Z245" s="30"/>
      <c r="AA245" s="30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</row>
    <row r="246" spans="1:74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2"/>
      <c r="L246" s="3"/>
      <c r="M246" s="3"/>
      <c r="N246" s="33"/>
      <c r="O246" s="33"/>
      <c r="P246" s="33"/>
      <c r="Q246" s="19"/>
      <c r="R246" s="19"/>
      <c r="S246" s="19"/>
      <c r="T246" s="19"/>
      <c r="U246" s="19"/>
      <c r="V246" s="19"/>
      <c r="W246" s="13"/>
      <c r="X246" s="13"/>
      <c r="Y246" s="13"/>
      <c r="Z246" s="30"/>
      <c r="AA246" s="30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152D-6214-4DF0-8265-FA335B8AC3F5}">
  <dimension ref="B1:AM12"/>
  <sheetViews>
    <sheetView tabSelected="1" topLeftCell="F1" zoomScale="110" zoomScaleNormal="110" workbookViewId="0">
      <selection activeCell="L6" sqref="L6"/>
    </sheetView>
  </sheetViews>
  <sheetFormatPr defaultRowHeight="14.4" x14ac:dyDescent="0.3"/>
  <cols>
    <col min="1" max="2" width="8.88671875" style="10"/>
    <col min="3" max="3" width="21.109375" style="13" customWidth="1"/>
    <col min="4" max="4" width="17.6640625" style="8" customWidth="1"/>
    <col min="5" max="5" width="23" style="8" customWidth="1"/>
    <col min="6" max="6" width="27.77734375" style="11" customWidth="1"/>
    <col min="7" max="8" width="22" style="10" customWidth="1"/>
    <col min="9" max="9" width="21" style="58" customWidth="1"/>
    <col min="10" max="10" width="15.109375" style="10" customWidth="1"/>
    <col min="11" max="11" width="19.6640625" style="10" customWidth="1"/>
    <col min="12" max="12" width="21.5546875" style="10" customWidth="1"/>
    <col min="13" max="16384" width="8.88671875" style="10"/>
  </cols>
  <sheetData>
    <row r="1" spans="2:39" x14ac:dyDescent="0.3">
      <c r="B1" s="59"/>
      <c r="C1" s="41"/>
      <c r="D1" s="41"/>
      <c r="E1" s="41"/>
      <c r="F1" s="42"/>
      <c r="G1" s="59"/>
      <c r="H1" s="59"/>
      <c r="I1" s="59"/>
      <c r="J1" s="59"/>
      <c r="K1" s="59"/>
      <c r="L1" s="59"/>
      <c r="M1" s="59"/>
    </row>
    <row r="2" spans="2:39" s="58" customFormat="1" x14ac:dyDescent="0.3">
      <c r="B2" s="59"/>
      <c r="C2" s="63" t="s">
        <v>51</v>
      </c>
      <c r="D2" s="63"/>
      <c r="E2" s="63"/>
      <c r="F2" s="63"/>
      <c r="G2" s="59"/>
      <c r="H2" s="59"/>
      <c r="I2" s="63" t="s">
        <v>53</v>
      </c>
      <c r="J2" s="63"/>
      <c r="K2" s="63"/>
      <c r="L2" s="63"/>
      <c r="M2" s="59"/>
    </row>
    <row r="3" spans="2:39" s="58" customFormat="1" x14ac:dyDescent="0.3">
      <c r="B3" s="59"/>
      <c r="C3" s="61" t="s">
        <v>16</v>
      </c>
      <c r="D3" s="61" t="s">
        <v>17</v>
      </c>
      <c r="E3" s="61" t="s">
        <v>18</v>
      </c>
      <c r="F3" s="62" t="s">
        <v>19</v>
      </c>
      <c r="G3" s="59"/>
      <c r="H3" s="59"/>
      <c r="I3" s="61" t="s">
        <v>16</v>
      </c>
      <c r="J3" s="61" t="s">
        <v>17</v>
      </c>
      <c r="K3" s="61" t="s">
        <v>18</v>
      </c>
      <c r="L3" s="61" t="s">
        <v>19</v>
      </c>
      <c r="M3" s="59"/>
    </row>
    <row r="4" spans="2:39" x14ac:dyDescent="0.3">
      <c r="B4" s="59"/>
      <c r="C4" s="60" t="s">
        <v>20</v>
      </c>
      <c r="D4" s="29">
        <v>5207424711.8996754</v>
      </c>
      <c r="E4" s="29">
        <v>6208643505.4083738</v>
      </c>
      <c r="F4" s="52">
        <f>AVERAGE(D4:E4)</f>
        <v>5708034108.6540241</v>
      </c>
      <c r="G4" s="59"/>
      <c r="H4" s="59"/>
      <c r="I4" s="60" t="s">
        <v>20</v>
      </c>
      <c r="J4" s="29">
        <v>8.6473342940878031E-15</v>
      </c>
      <c r="K4" s="29">
        <v>1.0309936076732606E-14</v>
      </c>
      <c r="L4" s="52">
        <f>AVERAGE(J4:K4)</f>
        <v>9.4786351854102043E-15</v>
      </c>
      <c r="M4" s="59"/>
    </row>
    <row r="5" spans="2:39" x14ac:dyDescent="0.3">
      <c r="B5" s="59"/>
      <c r="C5" s="60" t="s">
        <v>28</v>
      </c>
      <c r="D5" s="29">
        <v>8357315727.7256584</v>
      </c>
      <c r="E5" s="29">
        <v>9870451787.3745918</v>
      </c>
      <c r="F5" s="52">
        <f t="shared" ref="F5:F6" si="0">AVERAGE(D5:E5)</f>
        <v>9113883757.5501251</v>
      </c>
      <c r="G5" s="59"/>
      <c r="H5" s="59"/>
      <c r="I5" s="60" t="s">
        <v>28</v>
      </c>
      <c r="J5" s="29">
        <v>1.3877973642852302E-14</v>
      </c>
      <c r="K5" s="29">
        <v>1.6390653914604102E-14</v>
      </c>
      <c r="L5" s="52">
        <f>AVERAGE(J5:K5)</f>
        <v>1.5134313778728202E-14</v>
      </c>
      <c r="M5" s="59"/>
      <c r="AM5" s="59"/>
    </row>
    <row r="6" spans="2:39" x14ac:dyDescent="0.3">
      <c r="B6" s="59"/>
      <c r="C6" s="60" t="s">
        <v>21</v>
      </c>
      <c r="D6" s="29">
        <v>12414646328.159096</v>
      </c>
      <c r="E6" s="29">
        <v>11941473903.474405</v>
      </c>
      <c r="F6" s="52">
        <f t="shared" si="0"/>
        <v>12178060115.81675</v>
      </c>
      <c r="G6" s="59"/>
      <c r="H6" s="59"/>
      <c r="I6" s="60" t="s">
        <v>21</v>
      </c>
      <c r="J6" s="29">
        <v>2.0615487094252896E-14</v>
      </c>
      <c r="K6" s="29">
        <v>1.9829747431873802E-14</v>
      </c>
      <c r="L6" s="52">
        <f>AVERAGE(J6:K6)</f>
        <v>2.0222617263063349E-14</v>
      </c>
      <c r="M6" s="59"/>
    </row>
    <row r="7" spans="2:39" x14ac:dyDescent="0.3">
      <c r="B7" s="59"/>
      <c r="C7" s="60" t="s">
        <v>29</v>
      </c>
      <c r="D7" s="29">
        <v>22603350705.895958</v>
      </c>
      <c r="E7" s="29">
        <v>20621960392.161148</v>
      </c>
      <c r="F7" s="52">
        <f>AVERAGE(D7:E7)</f>
        <v>21612655549.028553</v>
      </c>
      <c r="G7" s="59"/>
      <c r="H7" s="59"/>
      <c r="I7" s="60" t="s">
        <v>29</v>
      </c>
      <c r="J7" s="29">
        <v>3.7534624221016182E-14</v>
      </c>
      <c r="K7" s="29">
        <v>3.4244371292197187E-14</v>
      </c>
      <c r="L7" s="52">
        <f>AVERAGE(J7:K7)</f>
        <v>3.5889497756606688E-14</v>
      </c>
      <c r="M7" s="59"/>
    </row>
    <row r="8" spans="2:39" x14ac:dyDescent="0.3">
      <c r="B8" s="59"/>
      <c r="C8" s="60" t="s">
        <v>43</v>
      </c>
      <c r="D8" s="29">
        <v>31224334989.056129</v>
      </c>
      <c r="E8" s="29">
        <v>32083093906.507359</v>
      </c>
      <c r="F8" s="52">
        <f>AVERAGE(D8:E8)</f>
        <v>31653714447.781746</v>
      </c>
      <c r="G8" s="59"/>
      <c r="H8" s="59"/>
      <c r="I8" s="60" t="s">
        <v>43</v>
      </c>
      <c r="J8" s="29">
        <v>5.1850440034965342E-14</v>
      </c>
      <c r="K8" s="29">
        <v>5.3276476098484499E-14</v>
      </c>
      <c r="L8" s="52">
        <f>AVERAGE(J8:K8)</f>
        <v>5.2563458066724924E-14</v>
      </c>
      <c r="M8" s="59"/>
    </row>
    <row r="9" spans="2:39" x14ac:dyDescent="0.3">
      <c r="B9" s="59"/>
      <c r="C9" s="41"/>
      <c r="D9" s="41"/>
      <c r="E9" s="41"/>
      <c r="F9" s="42"/>
      <c r="G9" s="59"/>
      <c r="H9" s="59"/>
      <c r="I9" s="59"/>
      <c r="J9" s="59"/>
      <c r="K9" s="59"/>
      <c r="L9" s="59"/>
      <c r="M9" s="59"/>
    </row>
    <row r="10" spans="2:39" x14ac:dyDescent="0.3">
      <c r="H10" s="59"/>
      <c r="I10" s="59"/>
      <c r="J10" s="59"/>
      <c r="K10" s="59"/>
      <c r="L10" s="59"/>
      <c r="M10" s="59"/>
    </row>
    <row r="11" spans="2:39" x14ac:dyDescent="0.3">
      <c r="H11" s="59"/>
      <c r="I11" s="59"/>
      <c r="J11" s="59"/>
      <c r="K11" s="59"/>
      <c r="L11" s="59"/>
      <c r="M11" s="59"/>
    </row>
    <row r="12" spans="2:39" x14ac:dyDescent="0.3">
      <c r="H12" s="59"/>
      <c r="I12" s="59"/>
      <c r="J12" s="59"/>
      <c r="K12" s="59"/>
      <c r="L12" s="59"/>
      <c r="M12" s="59"/>
    </row>
  </sheetData>
  <mergeCells count="2">
    <mergeCell ref="C2:F2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500C_5 mm Flibe_coated+dewar_1</vt:lpstr>
      <vt:lpstr>500C_5 mm Flibe_coated+dewar_2</vt:lpstr>
      <vt:lpstr>550C_5 mm Flibe_coated+dewar_1</vt:lpstr>
      <vt:lpstr>550C_5 mm Flibe_coated+dewar_2</vt:lpstr>
      <vt:lpstr>600C_5 mm Flibe_coated+dewar_1</vt:lpstr>
      <vt:lpstr>600C_5 mm Flibe_coated+dewar_2</vt:lpstr>
      <vt:lpstr>650C_5 mm Flibe_coated+dewar_1</vt:lpstr>
      <vt:lpstr>650C_5 mm Flibe_coated+dewar_2</vt:lpstr>
      <vt:lpstr>700C_5 mm Flibe_coated+dewar_1</vt:lpstr>
      <vt:lpstr>700C_5 mm Flibe_coated+dewar_2</vt:lpstr>
      <vt:lpstr>Avg FLiBe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2026-03-24T16:18:47Z</dcterms:modified>
</cp:coreProperties>
</file>