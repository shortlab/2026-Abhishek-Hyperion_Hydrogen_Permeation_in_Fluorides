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4. Permeability estimations_FLiBe_Metal side charging\Transparent coating\"/>
    </mc:Choice>
  </mc:AlternateContent>
  <xr:revisionPtr revIDLastSave="0" documentId="13_ncr:1_{ED8340BB-A5DB-4EC1-A3B4-AB835DFCA85D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FLiBe " sheetId="20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0" l="1"/>
  <c r="D31" i="20" l="1"/>
  <c r="D32" i="20"/>
  <c r="D33" i="20"/>
  <c r="D34" i="20"/>
  <c r="D30" i="20"/>
  <c r="D3" i="20"/>
  <c r="D4" i="20"/>
  <c r="D5" i="20"/>
  <c r="D6" i="20"/>
  <c r="D2" i="20"/>
  <c r="E34" i="20"/>
  <c r="E5" i="20"/>
  <c r="E6" i="20"/>
  <c r="B31" i="20" l="1"/>
  <c r="B32" i="20"/>
  <c r="B33" i="20"/>
  <c r="B34" i="20"/>
  <c r="B30" i="20"/>
  <c r="B5" i="20"/>
  <c r="B6" i="20"/>
  <c r="E33" i="20" l="1"/>
  <c r="E32" i="20"/>
  <c r="E31" i="20"/>
  <c r="M30" i="20"/>
  <c r="M31" i="20" s="1"/>
  <c r="J30" i="20"/>
  <c r="J31" i="20" s="1"/>
  <c r="J32" i="20" s="1"/>
  <c r="E30" i="20"/>
  <c r="E4" i="20"/>
  <c r="B4" i="20"/>
  <c r="E3" i="20"/>
  <c r="B3" i="20"/>
  <c r="M2" i="20"/>
  <c r="M3" i="20" s="1"/>
  <c r="J2" i="20"/>
  <c r="J3" i="20" s="1"/>
  <c r="J4" i="20" s="1"/>
  <c r="E2" i="20"/>
  <c r="B2" i="20"/>
  <c r="K36" i="20" l="1"/>
</calcChain>
</file>

<file path=xl/sharedStrings.xml><?xml version="1.0" encoding="utf-8"?>
<sst xmlns="http://schemas.openxmlformats.org/spreadsheetml/2006/main" count="26" uniqueCount="15">
  <si>
    <t>T</t>
  </si>
  <si>
    <t>1/T (1/K)</t>
  </si>
  <si>
    <t>Slope</t>
  </si>
  <si>
    <t>Y-intercept</t>
  </si>
  <si>
    <t>Value checks and calculations</t>
  </si>
  <si>
    <r>
      <t>(-E</t>
    </r>
    <r>
      <rPr>
        <vertAlign val="subscript"/>
        <sz val="11"/>
        <color rgb="FF00B050"/>
        <rFont val="Times New Roman"/>
        <family val="1"/>
      </rPr>
      <t>Ø</t>
    </r>
    <r>
      <rPr>
        <sz val="11"/>
        <color rgb="FF00B050"/>
        <rFont val="Calibri"/>
        <family val="2"/>
        <scheme val="minor"/>
      </rPr>
      <t>/R)</t>
    </r>
  </si>
  <si>
    <r>
      <t>E</t>
    </r>
    <r>
      <rPr>
        <vertAlign val="subscript"/>
        <sz val="11"/>
        <color rgb="FF00B050"/>
        <rFont val="Calibri"/>
        <family val="2"/>
        <scheme val="minor"/>
      </rPr>
      <t>Ø</t>
    </r>
    <r>
      <rPr>
        <sz val="11"/>
        <color rgb="FF00B050"/>
        <rFont val="Calibri"/>
        <family val="2"/>
        <scheme val="minor"/>
      </rPr>
      <t>/R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</si>
  <si>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</si>
  <si>
    <r>
      <t xml:space="preserve">ln </t>
    </r>
    <r>
      <rPr>
        <sz val="11"/>
        <color rgb="FF00B050"/>
        <rFont val="Times New Roman"/>
        <family val="1"/>
      </rPr>
      <t>Ø</t>
    </r>
    <r>
      <rPr>
        <vertAlign val="subscript"/>
        <sz val="11"/>
        <color rgb="FF00B050"/>
        <rFont val="Calibri"/>
        <family val="2"/>
      </rPr>
      <t>0</t>
    </r>
  </si>
  <si>
    <r>
      <rPr>
        <b/>
        <sz val="11"/>
        <color rgb="FF00B050"/>
        <rFont val="Times New Roman"/>
        <family val="1"/>
      </rPr>
      <t>Ø</t>
    </r>
    <r>
      <rPr>
        <b/>
        <vertAlign val="subscript"/>
        <sz val="11"/>
        <color rgb="FF00B050"/>
        <rFont val="Calibri"/>
        <family val="2"/>
      </rPr>
      <t>0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</si>
  <si>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  <r>
      <rPr>
        <b/>
        <sz val="11"/>
        <color rgb="FF00B050"/>
        <rFont val="Calibri"/>
        <family val="2"/>
        <scheme val="minor"/>
      </rPr>
      <t xml:space="preserve"> (J)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</si>
  <si>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FLiBe</t>
    </r>
    <r>
      <rPr>
        <b/>
        <sz val="11"/>
        <color rgb="FF00B050"/>
        <rFont val="Times New Roman"/>
        <family val="1"/>
      </rPr>
      <t xml:space="preserve"> (H2/m.s.Pa)</t>
    </r>
  </si>
  <si>
    <r>
      <t>ln  Ø</t>
    </r>
    <r>
      <rPr>
        <b/>
        <vertAlign val="subscript"/>
        <sz val="11"/>
        <color rgb="FF00B050"/>
        <rFont val="Times New Roman"/>
        <family val="1"/>
      </rPr>
      <t>FLiBe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</si>
  <si>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FLiBe</t>
    </r>
    <r>
      <rPr>
        <b/>
        <sz val="11"/>
        <color rgb="FF00B050"/>
        <rFont val="Times New Roman"/>
        <family val="1"/>
      </rPr>
      <t xml:space="preserve"> (mol H2/m.s.Pa)</t>
    </r>
  </si>
  <si>
    <r>
      <t>Uncertainty in Ø</t>
    </r>
    <r>
      <rPr>
        <b/>
        <vertAlign val="subscript"/>
        <sz val="11"/>
        <color rgb="FF00B050"/>
        <rFont val="Times New Roman"/>
        <family val="1"/>
      </rPr>
      <t>FLiBe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</si>
</sst>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color rgb="FF00B050"/>
      <name val="Times New Roman"/>
      <family val="1"/>
    </font>
    <font>
      <sz val="11"/>
      <color rgb="FF00B050"/>
      <name val="Calibri"/>
      <family val="2"/>
      <scheme val="minor"/>
    </font>
    <font>
      <vertAlign val="subscript"/>
      <sz val="11"/>
      <color rgb="FF00B050"/>
      <name val="Times New Roman"/>
      <family val="1"/>
    </font>
    <font>
      <vertAlign val="subscript"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vertAlign val="subscript"/>
      <sz val="11"/>
      <color rgb="FF00B050"/>
      <name val="Calibri"/>
      <family val="2"/>
      <scheme val="minor"/>
    </font>
    <font>
      <vertAlign val="subscript"/>
      <sz val="11"/>
      <color rgb="FF00B050"/>
      <name val="Calibri"/>
      <family val="2"/>
    </font>
    <font>
      <b/>
      <sz val="11"/>
      <color rgb="FF00B050"/>
      <name val="Calibri"/>
      <family val="1"/>
    </font>
    <font>
      <b/>
      <vertAlign val="subscript"/>
      <sz val="11"/>
      <color rgb="FF00B050"/>
      <name val="Calibri"/>
      <family val="2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1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1" fontId="10" fillId="0" borderId="1" xfId="0" applyNumberFormat="1" applyFont="1" applyBorder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Arrhenius plot (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for units H2/m.s.Pa)</a:t>
            </a:r>
            <a:endParaRPr lang="en-US" sz="14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'!$E$1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706697513697345E-2"/>
                  <c:y val="-0.35059053107080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'!$B$2:$B$6</c:f>
              <c:numCache>
                <c:formatCode>General</c:formatCode>
                <c:ptCount val="5"/>
                <c:pt idx="0">
                  <c:v>1.29366106080207E-3</c:v>
                </c:pt>
                <c:pt idx="1">
                  <c:v>1.215066828675577E-3</c:v>
                </c:pt>
                <c:pt idx="2">
                  <c:v>1.145475372279496E-3</c:v>
                </c:pt>
                <c:pt idx="3">
                  <c:v>1.0834236186348862E-3</c:v>
                </c:pt>
                <c:pt idx="4">
                  <c:v>1.0277492291880781E-3</c:v>
                </c:pt>
              </c:numCache>
            </c:numRef>
          </c:xVal>
          <c:yVal>
            <c:numRef>
              <c:f>'1D Ø Arrhenius_FLiBe '!$E$2:$E$6</c:f>
              <c:numCache>
                <c:formatCode>General</c:formatCode>
                <c:ptCount val="5"/>
                <c:pt idx="0">
                  <c:v>22.464724707531868</c:v>
                </c:pt>
                <c:pt idx="1">
                  <c:v>22.93327673870542</c:v>
                </c:pt>
                <c:pt idx="2">
                  <c:v>23.224139056394716</c:v>
                </c:pt>
                <c:pt idx="3">
                  <c:v>23.798715699287062</c:v>
                </c:pt>
                <c:pt idx="4">
                  <c:v>24.1805792061106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C7-457A-863E-D03E1B00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0.47513977897440957"/>
              <c:y val="0.88397660818713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  <c:max val="24.5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Ø-FLiBe </a:t>
                </a:r>
              </a:p>
            </c:rich>
          </c:tx>
          <c:layout>
            <c:manualLayout>
              <c:xMode val="edge"/>
              <c:yMode val="edge"/>
              <c:x val="1.1552905791173809E-2"/>
              <c:y val="0.28376810793387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Arrhenius plot (for units mol-H2/m.s.Pa)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'!$E$29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976091318349659E-2"/>
                  <c:y val="-0.359629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'!$B$30:$B$34</c:f>
              <c:numCache>
                <c:formatCode>General</c:formatCode>
                <c:ptCount val="5"/>
                <c:pt idx="0">
                  <c:v>1.29366106080207E-3</c:v>
                </c:pt>
                <c:pt idx="1">
                  <c:v>1.215066828675577E-3</c:v>
                </c:pt>
                <c:pt idx="2">
                  <c:v>1.145475372279496E-3</c:v>
                </c:pt>
                <c:pt idx="3">
                  <c:v>1.0834236186348862E-3</c:v>
                </c:pt>
                <c:pt idx="4">
                  <c:v>1.0277492291880781E-3</c:v>
                </c:pt>
              </c:numCache>
            </c:numRef>
          </c:xVal>
          <c:yVal>
            <c:numRef>
              <c:f>'1D Ø Arrhenius_FLiBe '!$E$30:$E$34</c:f>
              <c:numCache>
                <c:formatCode>General</c:formatCode>
                <c:ptCount val="5"/>
                <c:pt idx="0">
                  <c:v>-32.290151861390726</c:v>
                </c:pt>
                <c:pt idx="1">
                  <c:v>-31.821599830217174</c:v>
                </c:pt>
                <c:pt idx="2">
                  <c:v>-31.530737512527878</c:v>
                </c:pt>
                <c:pt idx="3">
                  <c:v>-30.956160869635532</c:v>
                </c:pt>
                <c:pt idx="4">
                  <c:v>-30.57429736281199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3-4CD9-8B46-45ACBB92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73343"/>
        <c:axId val="1980373823"/>
      </c:scatterChart>
      <c:valAx>
        <c:axId val="198037334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1/T (K</a:t>
                </a:r>
                <a:r>
                  <a:rPr lang="en-IN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7493927284785326"/>
              <c:y val="0.8944444444444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823"/>
        <c:crosses val="autoZero"/>
        <c:crossBetween val="midCat"/>
      </c:valAx>
      <c:valAx>
        <c:axId val="19803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 Ø-FLiBe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8</xdr:row>
      <xdr:rowOff>3810</xdr:rowOff>
    </xdr:from>
    <xdr:to>
      <xdr:col>6</xdr:col>
      <xdr:colOff>502920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CBFDF-B576-44CE-873E-BC7342A00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51954</xdr:colOff>
      <xdr:row>36</xdr:row>
      <xdr:rowOff>72304</xdr:rowOff>
    </xdr:from>
    <xdr:to>
      <xdr:col>6</xdr:col>
      <xdr:colOff>423429</xdr:colOff>
      <xdr:row>51</xdr:row>
      <xdr:rowOff>100880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40BE7-CF54-7B9A-4F2F-C389130A5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00.%20Data%20to%20be%20used%20in%20thesis/5.%20Plots%20for%20&#216;.xlsx" TargetMode="External"/><Relationship Id="rId2" Type="http://schemas.openxmlformats.org/officeDocument/2006/relationships/externalLinkPath" Target="file:///D:\MIT\2.%20SM%20Project\Experimental%20work\100.%20Data%20to%20be%20used%20in%20thesis\5.%20Plots%20for%20&#216;.xlsx" TargetMode="External"/><Relationship Id="rId1" Type="http://schemas.openxmlformats.org/officeDocument/2006/relationships/externalLinkPath" Target="/MIT/2.%20SM%20Project/Experimental%20work/100.%20Data%20to%20be%20used%20in%20thesis/5.%20Plots%20for%20&#2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D Ø Arrhenius_Ni"/>
      <sheetName val="1D Ø Arrhenius_Ni "/>
      <sheetName val="Plots for permeability_Ni"/>
      <sheetName val="1D Ø Arrhenius_FLiBe"/>
      <sheetName val="Plots for permeability_FLiBe"/>
    </sheetNames>
    <sheetDataSet>
      <sheetData sheetId="0"/>
      <sheetData sheetId="1"/>
      <sheetData sheetId="2"/>
      <sheetData sheetId="3"/>
      <sheetData sheetId="4">
        <row r="1">
          <cell r="D1" t="str">
            <v>This work_H2-FLiBe_Coated</v>
          </cell>
          <cell r="F1" t="str">
            <v>Nakamura_H2-FLiBe (2015)</v>
          </cell>
          <cell r="G1" t="str">
            <v>Nakamura_H2-FLiNaK (2015)</v>
          </cell>
          <cell r="H1" t="str">
            <v>Calderoni_T2-FLiBe (2008)</v>
          </cell>
          <cell r="I1" t="str">
            <v>Nishiumi_H2-FLiBe (2016)</v>
          </cell>
          <cell r="J1" t="str">
            <v>Zeng_H2-FLiNaK (2019)</v>
          </cell>
        </row>
        <row r="2">
          <cell r="C2">
            <v>1.2936610608020698</v>
          </cell>
          <cell r="F2">
            <v>14184282676.458065</v>
          </cell>
          <cell r="G2">
            <v>8402390402.7626514</v>
          </cell>
          <cell r="H2">
            <v>276994433877.14514</v>
          </cell>
          <cell r="I2">
            <v>17583878867.889019</v>
          </cell>
          <cell r="J2">
            <v>54241825975.835571</v>
          </cell>
        </row>
        <row r="3">
          <cell r="C3">
            <v>1.2150668286755772</v>
          </cell>
          <cell r="F3">
            <v>48338079436.903862</v>
          </cell>
          <cell r="G3">
            <v>17300643979.015785</v>
          </cell>
          <cell r="H3">
            <v>573579668490.93958</v>
          </cell>
          <cell r="I3">
            <v>110047374103.72444</v>
          </cell>
          <cell r="J3">
            <v>98545552820.201294</v>
          </cell>
        </row>
        <row r="4">
          <cell r="C4">
            <v>1.1454753722794959</v>
          </cell>
          <cell r="F4">
            <v>143145236769.18082</v>
          </cell>
          <cell r="G4">
            <v>32793877385.211208</v>
          </cell>
          <cell r="H4">
            <v>1092711157541.1768</v>
          </cell>
          <cell r="I4">
            <v>558227953969.48962</v>
          </cell>
          <cell r="J4">
            <v>167200383893.23672</v>
          </cell>
        </row>
        <row r="5">
          <cell r="C5">
            <v>1.0834236186348862</v>
          </cell>
          <cell r="F5">
            <v>376861993364.85815</v>
          </cell>
          <cell r="G5">
            <v>58000707301.111702</v>
          </cell>
          <cell r="H5">
            <v>1941291350954.0593</v>
          </cell>
          <cell r="I5">
            <v>2374854394866.6553</v>
          </cell>
          <cell r="J5">
            <v>267893439404.10681</v>
          </cell>
        </row>
        <row r="6">
          <cell r="C6">
            <v>1.0277492291880781</v>
          </cell>
          <cell r="F6">
            <v>898215704392.86182</v>
          </cell>
          <cell r="G6">
            <v>96743673767.602661</v>
          </cell>
          <cell r="H6">
            <v>3251059720398.2646</v>
          </cell>
          <cell r="I6">
            <v>8706325743071.043</v>
          </cell>
          <cell r="J6">
            <v>408927492535.53119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FC1-DA03-4ABF-B745-4C84DDDE7C0A}">
  <dimension ref="A1:X50"/>
  <sheetViews>
    <sheetView tabSelected="1" zoomScaleNormal="100" workbookViewId="0">
      <selection activeCell="J42" sqref="J42"/>
    </sheetView>
  </sheetViews>
  <sheetFormatPr defaultRowHeight="14.4" x14ac:dyDescent="0.3"/>
  <cols>
    <col min="1" max="1" width="8.88671875" style="17"/>
    <col min="2" max="2" width="27.44140625" style="17" customWidth="1"/>
    <col min="3" max="3" width="28.5546875" style="1" customWidth="1"/>
    <col min="4" max="4" width="28.5546875" style="17" customWidth="1"/>
    <col min="5" max="5" width="21.77734375" style="1" customWidth="1"/>
    <col min="6" max="7" width="8.88671875" style="1"/>
    <col min="8" max="8" width="7.21875" style="1" customWidth="1"/>
    <col min="9" max="9" width="6.88671875" style="5" customWidth="1"/>
    <col min="10" max="10" width="26.33203125" style="5" bestFit="1" customWidth="1"/>
    <col min="11" max="11" width="15.5546875" style="1" customWidth="1"/>
    <col min="12" max="12" width="13.5546875" style="1" customWidth="1"/>
    <col min="13" max="13" width="12" style="1" bestFit="1" customWidth="1"/>
    <col min="14" max="16384" width="8.88671875" style="1"/>
  </cols>
  <sheetData>
    <row r="1" spans="1:13" ht="16.2" x14ac:dyDescent="0.35">
      <c r="A1" s="7" t="s">
        <v>0</v>
      </c>
      <c r="B1" s="7" t="s">
        <v>1</v>
      </c>
      <c r="C1" s="7" t="s">
        <v>11</v>
      </c>
      <c r="D1" s="7" t="s">
        <v>14</v>
      </c>
      <c r="E1" s="7" t="s">
        <v>12</v>
      </c>
      <c r="I1" s="11" t="s">
        <v>2</v>
      </c>
      <c r="J1" s="11">
        <v>-6437.4</v>
      </c>
      <c r="L1" s="11" t="s">
        <v>3</v>
      </c>
      <c r="M1" s="11">
        <v>30.742999999999999</v>
      </c>
    </row>
    <row r="2" spans="1:13" ht="16.2" x14ac:dyDescent="0.35">
      <c r="A2" s="9">
        <v>773</v>
      </c>
      <c r="B2" s="9">
        <f>(1/A2)</f>
        <v>1.29366106080207E-3</v>
      </c>
      <c r="C2" s="8">
        <v>5705661175.1935959</v>
      </c>
      <c r="D2" s="8">
        <f>(40.703*C2)/100</f>
        <v>2322375268.1390495</v>
      </c>
      <c r="E2" s="9">
        <f>LN(C2)</f>
        <v>22.464724707531868</v>
      </c>
      <c r="I2" s="11" t="s">
        <v>5</v>
      </c>
      <c r="J2" s="11">
        <f>J1</f>
        <v>-6437.4</v>
      </c>
      <c r="L2" s="11" t="s">
        <v>8</v>
      </c>
      <c r="M2" s="11">
        <f>(M1)</f>
        <v>30.742999999999999</v>
      </c>
    </row>
    <row r="3" spans="1:13" ht="15.6" x14ac:dyDescent="0.35">
      <c r="A3" s="9">
        <v>823</v>
      </c>
      <c r="B3" s="9">
        <f t="shared" ref="B3:B6" si="0">(1/A3)</f>
        <v>1.215066828675577E-3</v>
      </c>
      <c r="C3" s="8">
        <v>9115815770.9253025</v>
      </c>
      <c r="D3" s="8">
        <f t="shared" ref="D3:D6" si="1">(40.703*C3)/100</f>
        <v>3710410493.2397261</v>
      </c>
      <c r="E3" s="9">
        <f t="shared" ref="E3:E6" si="2">LN(C3)</f>
        <v>22.93327673870542</v>
      </c>
      <c r="I3" s="11" t="s">
        <v>6</v>
      </c>
      <c r="J3" s="11">
        <f>(-1)*J2</f>
        <v>6437.4</v>
      </c>
      <c r="L3" s="13" t="s">
        <v>9</v>
      </c>
      <c r="M3" s="12">
        <f>EXP(M2)</f>
        <v>22465456977553.434</v>
      </c>
    </row>
    <row r="4" spans="1:13" ht="15.6" x14ac:dyDescent="0.35">
      <c r="A4" s="9">
        <v>873</v>
      </c>
      <c r="B4" s="9">
        <f t="shared" si="0"/>
        <v>1.145475372279496E-3</v>
      </c>
      <c r="C4" s="8">
        <v>12193136597.361202</v>
      </c>
      <c r="D4" s="8">
        <f t="shared" si="1"/>
        <v>4962972389.2239304</v>
      </c>
      <c r="E4" s="9">
        <f t="shared" si="2"/>
        <v>23.224139056394716</v>
      </c>
      <c r="I4" s="12" t="s">
        <v>7</v>
      </c>
      <c r="J4" s="12">
        <f>(J3*8.314)</f>
        <v>53520.543599999997</v>
      </c>
    </row>
    <row r="5" spans="1:13" x14ac:dyDescent="0.3">
      <c r="A5" s="9">
        <v>923</v>
      </c>
      <c r="B5" s="9">
        <f>(1/A5)</f>
        <v>1.0834236186348862E-3</v>
      </c>
      <c r="C5" s="8">
        <v>21659623569.101738</v>
      </c>
      <c r="D5" s="8">
        <f t="shared" si="1"/>
        <v>8816116581.33148</v>
      </c>
      <c r="E5" s="9">
        <f>LN(C5)</f>
        <v>23.798715699287062</v>
      </c>
      <c r="I5" s="6"/>
      <c r="J5" s="6"/>
    </row>
    <row r="6" spans="1:13" x14ac:dyDescent="0.3">
      <c r="A6" s="9">
        <v>973</v>
      </c>
      <c r="B6" s="9">
        <f t="shared" si="0"/>
        <v>1.0277492291880781E-3</v>
      </c>
      <c r="C6" s="8">
        <v>31731610768.930962</v>
      </c>
      <c r="D6" s="8">
        <f t="shared" si="1"/>
        <v>12915717531.277971</v>
      </c>
      <c r="E6" s="9">
        <f t="shared" si="2"/>
        <v>24.1805792061106</v>
      </c>
    </row>
    <row r="9" spans="1:13" x14ac:dyDescent="0.3">
      <c r="J9" s="14" t="s">
        <v>4</v>
      </c>
      <c r="K9" s="16">
        <f>(M3*(EXP(-J4/(8.314*973))))</f>
        <v>30075210923.256271</v>
      </c>
    </row>
    <row r="11" spans="1:13" x14ac:dyDescent="0.3">
      <c r="K11" s="6"/>
    </row>
    <row r="15" spans="1:13" x14ac:dyDescent="0.3">
      <c r="J15" s="21"/>
      <c r="K15" s="21"/>
      <c r="L15" s="21"/>
      <c r="M15" s="21"/>
    </row>
    <row r="16" spans="1:13" x14ac:dyDescent="0.3">
      <c r="J16" s="15"/>
      <c r="K16" s="15"/>
      <c r="L16" s="21"/>
      <c r="M16" s="21"/>
    </row>
    <row r="17" spans="1:24" x14ac:dyDescent="0.3">
      <c r="J17" s="2"/>
      <c r="K17" s="2"/>
      <c r="L17" s="21"/>
      <c r="M17" s="21"/>
    </row>
    <row r="18" spans="1:24" x14ac:dyDescent="0.3">
      <c r="J18" s="2"/>
      <c r="K18" s="2"/>
      <c r="L18" s="21"/>
      <c r="M18" s="21"/>
    </row>
    <row r="26" spans="1:24" x14ac:dyDescent="0.3">
      <c r="A26" s="18"/>
      <c r="B26" s="18"/>
      <c r="C26" s="3"/>
      <c r="D26" s="18"/>
      <c r="E26" s="3"/>
      <c r="F26" s="3"/>
      <c r="G26" s="3"/>
      <c r="H26" s="3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9" spans="1:24" ht="16.2" x14ac:dyDescent="0.35">
      <c r="A29" s="7" t="s">
        <v>0</v>
      </c>
      <c r="B29" s="7" t="s">
        <v>1</v>
      </c>
      <c r="C29" s="7" t="s">
        <v>13</v>
      </c>
      <c r="D29" s="7" t="s">
        <v>14</v>
      </c>
      <c r="E29" s="7" t="s">
        <v>12</v>
      </c>
      <c r="I29" s="11" t="s">
        <v>2</v>
      </c>
      <c r="J29" s="11">
        <v>-6437.4</v>
      </c>
      <c r="K29" s="17"/>
      <c r="L29" s="11" t="s">
        <v>3</v>
      </c>
      <c r="M29" s="11">
        <v>-24.012</v>
      </c>
      <c r="N29" s="17"/>
    </row>
    <row r="30" spans="1:24" ht="16.2" x14ac:dyDescent="0.35">
      <c r="A30" s="9">
        <v>773</v>
      </c>
      <c r="B30" s="9">
        <f>(1/A30)</f>
        <v>1.29366106080207E-3</v>
      </c>
      <c r="C30" s="8">
        <v>9.4746947445924864E-15</v>
      </c>
      <c r="D30" s="8">
        <f>(40.703*C30)/100</f>
        <v>3.85648500189148E-15</v>
      </c>
      <c r="E30" s="9">
        <f>LN(C30)</f>
        <v>-32.290151861390726</v>
      </c>
      <c r="I30" s="11" t="s">
        <v>5</v>
      </c>
      <c r="J30" s="11">
        <f>J29</f>
        <v>-6437.4</v>
      </c>
      <c r="K30" s="17"/>
      <c r="L30" s="11" t="s">
        <v>8</v>
      </c>
      <c r="M30" s="11">
        <f>(M29)</f>
        <v>-24.012</v>
      </c>
      <c r="N30" s="17"/>
    </row>
    <row r="31" spans="1:24" ht="15.6" x14ac:dyDescent="0.35">
      <c r="A31" s="9">
        <v>823</v>
      </c>
      <c r="B31" s="9">
        <f t="shared" ref="B31:B34" si="3">(1/A31)</f>
        <v>1.215066828675577E-3</v>
      </c>
      <c r="C31" s="8">
        <v>1.5137522037405017E-14</v>
      </c>
      <c r="D31" s="8">
        <f t="shared" ref="D31:D34" si="4">(40.703*C31)/100</f>
        <v>6.161425594884964E-15</v>
      </c>
      <c r="E31" s="9">
        <f t="shared" ref="E31:E33" si="5">LN(C31)</f>
        <v>-31.821599830217174</v>
      </c>
      <c r="I31" s="11" t="s">
        <v>6</v>
      </c>
      <c r="J31" s="11">
        <f>(-1)*J30</f>
        <v>6437.4</v>
      </c>
      <c r="K31" s="17"/>
      <c r="L31" s="13" t="s">
        <v>9</v>
      </c>
      <c r="M31" s="12">
        <f>EXP(M30)</f>
        <v>3.7301036554500899E-11</v>
      </c>
      <c r="N31" s="17"/>
    </row>
    <row r="32" spans="1:24" ht="15.6" x14ac:dyDescent="0.35">
      <c r="A32" s="9">
        <v>873</v>
      </c>
      <c r="B32" s="9">
        <f t="shared" si="3"/>
        <v>1.145475372279496E-3</v>
      </c>
      <c r="C32" s="8">
        <v>2.0247652934840918E-14</v>
      </c>
      <c r="D32" s="8">
        <f t="shared" si="4"/>
        <v>8.241402174068299E-15</v>
      </c>
      <c r="E32" s="9">
        <f t="shared" si="5"/>
        <v>-31.530737512527878</v>
      </c>
      <c r="I32" s="12" t="s">
        <v>10</v>
      </c>
      <c r="J32" s="12">
        <f>(J31*8.314)</f>
        <v>53520.543599999997</v>
      </c>
      <c r="K32" s="17"/>
      <c r="L32" s="17"/>
      <c r="M32" s="17"/>
      <c r="N32" s="17"/>
    </row>
    <row r="33" spans="1:14" x14ac:dyDescent="0.3">
      <c r="A33" s="9">
        <v>923</v>
      </c>
      <c r="B33" s="9">
        <f t="shared" si="3"/>
        <v>1.0834236186348862E-3</v>
      </c>
      <c r="C33" s="8">
        <v>3.596749181185942E-14</v>
      </c>
      <c r="D33" s="8">
        <f t="shared" si="4"/>
        <v>1.4639848192181142E-14</v>
      </c>
      <c r="E33" s="9">
        <f t="shared" si="5"/>
        <v>-30.956160869635532</v>
      </c>
      <c r="I33" s="19"/>
      <c r="J33" s="19"/>
      <c r="K33" s="17"/>
      <c r="L33" s="17"/>
      <c r="M33" s="17"/>
      <c r="N33" s="17"/>
    </row>
    <row r="34" spans="1:14" x14ac:dyDescent="0.3">
      <c r="A34" s="9">
        <v>973</v>
      </c>
      <c r="B34" s="9">
        <f t="shared" si="3"/>
        <v>1.0277492291880781E-3</v>
      </c>
      <c r="C34" s="8">
        <v>5.2692810974644577E-14</v>
      </c>
      <c r="D34" s="8">
        <f t="shared" si="4"/>
        <v>2.1447554851009587E-14</v>
      </c>
      <c r="E34" s="9">
        <f>LN(C34)</f>
        <v>-30.57429736281199</v>
      </c>
    </row>
    <row r="36" spans="1:14" x14ac:dyDescent="0.3">
      <c r="J36" s="14" t="s">
        <v>4</v>
      </c>
      <c r="K36" s="16">
        <f>(M31*(EXP(-J32/(8.314*923))))</f>
        <v>3.4895057222310938E-14</v>
      </c>
    </row>
    <row r="38" spans="1:14" x14ac:dyDescent="0.3">
      <c r="K38" s="6"/>
    </row>
    <row r="41" spans="1:14" x14ac:dyDescent="0.3">
      <c r="J41" s="21"/>
      <c r="K41" s="21"/>
      <c r="L41" s="21"/>
      <c r="M41" s="21"/>
    </row>
    <row r="42" spans="1:14" x14ac:dyDescent="0.3">
      <c r="J42" s="15"/>
      <c r="K42" s="15"/>
      <c r="L42" s="21"/>
      <c r="M42" s="21"/>
    </row>
    <row r="43" spans="1:14" x14ac:dyDescent="0.3">
      <c r="J43" s="2"/>
      <c r="K43" s="2"/>
      <c r="L43" s="20"/>
      <c r="M43" s="20"/>
    </row>
    <row r="44" spans="1:14" x14ac:dyDescent="0.3">
      <c r="J44" s="2"/>
      <c r="K44" s="2"/>
      <c r="L44" s="20"/>
      <c r="M44" s="20"/>
    </row>
    <row r="48" spans="1:14" x14ac:dyDescent="0.3">
      <c r="J48" s="10"/>
    </row>
    <row r="50" spans="10:10" x14ac:dyDescent="0.3">
      <c r="J50" s="10"/>
    </row>
  </sheetData>
  <mergeCells count="8">
    <mergeCell ref="L43:M43"/>
    <mergeCell ref="L44:M44"/>
    <mergeCell ref="J15:M15"/>
    <mergeCell ref="L16:M16"/>
    <mergeCell ref="L17:M17"/>
    <mergeCell ref="L18:M18"/>
    <mergeCell ref="J41:M41"/>
    <mergeCell ref="L42:M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Arrhenius_FLiBe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2026-03-24T16:20:35Z</dcterms:modified>
</cp:coreProperties>
</file>