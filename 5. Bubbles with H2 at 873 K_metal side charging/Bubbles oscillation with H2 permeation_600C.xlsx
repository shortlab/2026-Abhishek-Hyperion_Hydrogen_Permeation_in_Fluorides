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2. SM Project\Experimental work\Paper draft\10. Final comments_Prof. Short\Repo\5. Bubbles with H2 at 873 K\"/>
    </mc:Choice>
  </mc:AlternateContent>
  <xr:revisionPtr revIDLastSave="0" documentId="13_ncr:1_{5F890726-DC19-40C4-B9F9-B49E7D0D824E}" xr6:coauthVersionLast="47" xr6:coauthVersionMax="47" xr10:uidLastSave="{00000000-0000-0000-0000-000000000000}"/>
  <bookViews>
    <workbookView xWindow="-108" yWindow="-108" windowWidth="23256" windowHeight="12456" tabRatio="774" xr2:uid="{00000000-000D-0000-FFFF-FFFF00000000}"/>
  </bookViews>
  <sheets>
    <sheet name="600C_5 mm Flibe_coated+dewar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4" l="1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2" i="14"/>
  <c r="C55" i="14"/>
  <c r="C56" i="14"/>
  <c r="C57" i="14"/>
  <c r="C58" i="14"/>
  <c r="C59" i="14"/>
  <c r="C60" i="14"/>
  <c r="C61" i="14"/>
  <c r="C62" i="14"/>
  <c r="M55" i="14"/>
  <c r="N55" i="14"/>
  <c r="M56" i="14"/>
  <c r="N56" i="14"/>
  <c r="M57" i="14"/>
  <c r="N57" i="14"/>
  <c r="M58" i="14"/>
  <c r="N58" i="14"/>
  <c r="M59" i="14"/>
  <c r="N59" i="14"/>
  <c r="M60" i="14"/>
  <c r="N60" i="14"/>
  <c r="M61" i="14"/>
  <c r="N61" i="14"/>
  <c r="M62" i="14"/>
  <c r="N62" i="14"/>
  <c r="M63" i="14"/>
  <c r="N63" i="14"/>
  <c r="M64" i="14"/>
  <c r="N64" i="14"/>
  <c r="M65" i="14"/>
  <c r="N65" i="14"/>
  <c r="J55" i="14"/>
  <c r="J56" i="14"/>
  <c r="J57" i="14"/>
  <c r="J58" i="14"/>
  <c r="J59" i="14"/>
  <c r="J60" i="14"/>
  <c r="J61" i="14"/>
  <c r="J62" i="14"/>
  <c r="J63" i="14"/>
  <c r="J64" i="14"/>
  <c r="J65" i="14"/>
  <c r="E55" i="14"/>
  <c r="F55" i="14" s="1"/>
  <c r="H55" i="14"/>
  <c r="E56" i="14"/>
  <c r="F56" i="14" s="1"/>
  <c r="H56" i="14"/>
  <c r="E57" i="14"/>
  <c r="F57" i="14" s="1"/>
  <c r="H57" i="14"/>
  <c r="E58" i="14"/>
  <c r="F58" i="14"/>
  <c r="H58" i="14"/>
  <c r="E59" i="14"/>
  <c r="F59" i="14" s="1"/>
  <c r="H59" i="14"/>
  <c r="E60" i="14"/>
  <c r="F60" i="14"/>
  <c r="H60" i="14"/>
  <c r="E61" i="14"/>
  <c r="F61" i="14" s="1"/>
  <c r="H61" i="14"/>
  <c r="E62" i="14"/>
  <c r="F62" i="14" s="1"/>
  <c r="H62" i="14"/>
  <c r="E63" i="14"/>
  <c r="F63" i="14" s="1"/>
  <c r="H63" i="14"/>
  <c r="E64" i="14"/>
  <c r="F64" i="14"/>
  <c r="H64" i="14"/>
  <c r="E65" i="14"/>
  <c r="F65" i="14" s="1"/>
  <c r="H65" i="14"/>
  <c r="B55" i="14"/>
  <c r="B56" i="14"/>
  <c r="B57" i="14"/>
  <c r="B58" i="14"/>
  <c r="B59" i="14"/>
  <c r="B60" i="14"/>
  <c r="B61" i="14"/>
  <c r="B62" i="14"/>
  <c r="B63" i="14"/>
  <c r="C63" i="14" s="1"/>
  <c r="B64" i="14"/>
  <c r="C64" i="14" s="1"/>
  <c r="B65" i="14"/>
  <c r="C65" i="14" s="1"/>
  <c r="K55" i="14" l="1"/>
  <c r="K60" i="14"/>
  <c r="O60" i="14" s="1"/>
  <c r="K65" i="14"/>
  <c r="O65" i="14" s="1"/>
  <c r="K61" i="14"/>
  <c r="K63" i="14"/>
  <c r="O63" i="14" s="1"/>
  <c r="K62" i="14"/>
  <c r="O62" i="14" s="1"/>
  <c r="K59" i="14"/>
  <c r="O59" i="14" s="1"/>
  <c r="K58" i="14"/>
  <c r="O58" i="14" s="1"/>
  <c r="K64" i="14"/>
  <c r="O64" i="14" s="1"/>
  <c r="K56" i="14"/>
  <c r="O56" i="14" s="1"/>
  <c r="O61" i="14"/>
  <c r="O55" i="14"/>
  <c r="K57" i="14"/>
  <c r="O57" i="14" s="1"/>
  <c r="N54" i="14" l="1"/>
  <c r="M54" i="14"/>
  <c r="J54" i="14"/>
  <c r="H54" i="14"/>
  <c r="E54" i="14"/>
  <c r="F54" i="14" s="1"/>
  <c r="B54" i="14"/>
  <c r="C54" i="14" s="1"/>
  <c r="N53" i="14"/>
  <c r="M53" i="14"/>
  <c r="J53" i="14"/>
  <c r="H53" i="14"/>
  <c r="E53" i="14"/>
  <c r="F53" i="14" s="1"/>
  <c r="B53" i="14"/>
  <c r="C53" i="14" s="1"/>
  <c r="N52" i="14"/>
  <c r="M52" i="14"/>
  <c r="J52" i="14"/>
  <c r="H52" i="14"/>
  <c r="E52" i="14"/>
  <c r="F52" i="14" s="1"/>
  <c r="B52" i="14"/>
  <c r="C52" i="14" s="1"/>
  <c r="N51" i="14"/>
  <c r="M51" i="14"/>
  <c r="J51" i="14"/>
  <c r="H51" i="14"/>
  <c r="E51" i="14"/>
  <c r="F51" i="14" s="1"/>
  <c r="B51" i="14"/>
  <c r="C51" i="14" s="1"/>
  <c r="N50" i="14"/>
  <c r="M50" i="14"/>
  <c r="J50" i="14"/>
  <c r="H50" i="14"/>
  <c r="E50" i="14"/>
  <c r="F50" i="14" s="1"/>
  <c r="B50" i="14"/>
  <c r="C50" i="14" s="1"/>
  <c r="N49" i="14"/>
  <c r="M49" i="14"/>
  <c r="J49" i="14"/>
  <c r="H49" i="14"/>
  <c r="E49" i="14"/>
  <c r="F49" i="14" s="1"/>
  <c r="B49" i="14"/>
  <c r="C49" i="14" s="1"/>
  <c r="N48" i="14"/>
  <c r="M48" i="14"/>
  <c r="J48" i="14"/>
  <c r="H48" i="14"/>
  <c r="E48" i="14"/>
  <c r="F48" i="14" s="1"/>
  <c r="B48" i="14"/>
  <c r="C48" i="14" s="1"/>
  <c r="N47" i="14"/>
  <c r="M47" i="14"/>
  <c r="J47" i="14"/>
  <c r="H47" i="14"/>
  <c r="E47" i="14"/>
  <c r="F47" i="14" s="1"/>
  <c r="B47" i="14"/>
  <c r="C47" i="14" s="1"/>
  <c r="N46" i="14"/>
  <c r="M46" i="14"/>
  <c r="J46" i="14"/>
  <c r="H46" i="14"/>
  <c r="E46" i="14"/>
  <c r="F46" i="14" s="1"/>
  <c r="B46" i="14"/>
  <c r="C46" i="14" s="1"/>
  <c r="N45" i="14"/>
  <c r="M45" i="14"/>
  <c r="J45" i="14"/>
  <c r="H45" i="14"/>
  <c r="E45" i="14"/>
  <c r="F45" i="14" s="1"/>
  <c r="B45" i="14"/>
  <c r="C45" i="14" s="1"/>
  <c r="N44" i="14"/>
  <c r="M44" i="14"/>
  <c r="J44" i="14"/>
  <c r="H44" i="14"/>
  <c r="E44" i="14"/>
  <c r="F44" i="14" s="1"/>
  <c r="B44" i="14"/>
  <c r="C44" i="14" s="1"/>
  <c r="N43" i="14"/>
  <c r="M43" i="14"/>
  <c r="J43" i="14"/>
  <c r="H43" i="14"/>
  <c r="E43" i="14"/>
  <c r="F43" i="14" s="1"/>
  <c r="B43" i="14"/>
  <c r="C43" i="14" s="1"/>
  <c r="N42" i="14"/>
  <c r="M42" i="14"/>
  <c r="J42" i="14"/>
  <c r="H42" i="14"/>
  <c r="E42" i="14"/>
  <c r="F42" i="14" s="1"/>
  <c r="K42" i="14" s="1"/>
  <c r="B42" i="14"/>
  <c r="C42" i="14" s="1"/>
  <c r="N41" i="14"/>
  <c r="M41" i="14"/>
  <c r="J41" i="14"/>
  <c r="H41" i="14"/>
  <c r="E41" i="14"/>
  <c r="F41" i="14" s="1"/>
  <c r="B41" i="14"/>
  <c r="C41" i="14" s="1"/>
  <c r="N40" i="14"/>
  <c r="M40" i="14"/>
  <c r="J40" i="14"/>
  <c r="H40" i="14"/>
  <c r="E40" i="14"/>
  <c r="F40" i="14" s="1"/>
  <c r="B40" i="14"/>
  <c r="C40" i="14" s="1"/>
  <c r="N39" i="14"/>
  <c r="M39" i="14"/>
  <c r="J39" i="14"/>
  <c r="H39" i="14"/>
  <c r="E39" i="14"/>
  <c r="F39" i="14" s="1"/>
  <c r="B39" i="14"/>
  <c r="C39" i="14" s="1"/>
  <c r="N38" i="14"/>
  <c r="M38" i="14"/>
  <c r="J38" i="14"/>
  <c r="H38" i="14"/>
  <c r="E38" i="14"/>
  <c r="F38" i="14" s="1"/>
  <c r="B38" i="14"/>
  <c r="C38" i="14" s="1"/>
  <c r="N37" i="14"/>
  <c r="M37" i="14"/>
  <c r="J37" i="14"/>
  <c r="H37" i="14"/>
  <c r="E37" i="14"/>
  <c r="F37" i="14" s="1"/>
  <c r="B37" i="14"/>
  <c r="C37" i="14" s="1"/>
  <c r="N36" i="14"/>
  <c r="M36" i="14"/>
  <c r="J36" i="14"/>
  <c r="H36" i="14"/>
  <c r="E36" i="14"/>
  <c r="F36" i="14" s="1"/>
  <c r="B36" i="14"/>
  <c r="C36" i="14" s="1"/>
  <c r="N35" i="14"/>
  <c r="M35" i="14"/>
  <c r="J35" i="14"/>
  <c r="H35" i="14"/>
  <c r="E35" i="14"/>
  <c r="F35" i="14" s="1"/>
  <c r="B35" i="14"/>
  <c r="C35" i="14" s="1"/>
  <c r="N34" i="14"/>
  <c r="M34" i="14"/>
  <c r="J34" i="14"/>
  <c r="H34" i="14"/>
  <c r="E34" i="14"/>
  <c r="F34" i="14" s="1"/>
  <c r="B34" i="14"/>
  <c r="C34" i="14" s="1"/>
  <c r="N33" i="14"/>
  <c r="M33" i="14"/>
  <c r="J33" i="14"/>
  <c r="H33" i="14"/>
  <c r="E33" i="14"/>
  <c r="F33" i="14" s="1"/>
  <c r="B33" i="14"/>
  <c r="C33" i="14" s="1"/>
  <c r="N32" i="14"/>
  <c r="M32" i="14"/>
  <c r="J32" i="14"/>
  <c r="H32" i="14"/>
  <c r="E32" i="14"/>
  <c r="F32" i="14" s="1"/>
  <c r="B32" i="14"/>
  <c r="C32" i="14" s="1"/>
  <c r="N31" i="14"/>
  <c r="M31" i="14"/>
  <c r="J31" i="14"/>
  <c r="H31" i="14"/>
  <c r="E31" i="14"/>
  <c r="F31" i="14" s="1"/>
  <c r="B31" i="14"/>
  <c r="C31" i="14" s="1"/>
  <c r="N30" i="14"/>
  <c r="M30" i="14"/>
  <c r="J30" i="14"/>
  <c r="H30" i="14"/>
  <c r="E30" i="14"/>
  <c r="F30" i="14" s="1"/>
  <c r="B30" i="14"/>
  <c r="C30" i="14" s="1"/>
  <c r="N29" i="14"/>
  <c r="M29" i="14"/>
  <c r="J29" i="14"/>
  <c r="H29" i="14"/>
  <c r="E29" i="14"/>
  <c r="F29" i="14" s="1"/>
  <c r="B29" i="14"/>
  <c r="C29" i="14" s="1"/>
  <c r="N28" i="14"/>
  <c r="M28" i="14"/>
  <c r="J28" i="14"/>
  <c r="H28" i="14"/>
  <c r="E28" i="14"/>
  <c r="F28" i="14" s="1"/>
  <c r="B28" i="14"/>
  <c r="C28" i="14" s="1"/>
  <c r="N27" i="14"/>
  <c r="M27" i="14"/>
  <c r="J27" i="14"/>
  <c r="H27" i="14"/>
  <c r="E27" i="14"/>
  <c r="F27" i="14" s="1"/>
  <c r="B27" i="14"/>
  <c r="C27" i="14" s="1"/>
  <c r="N26" i="14"/>
  <c r="M26" i="14"/>
  <c r="J26" i="14"/>
  <c r="H26" i="14"/>
  <c r="E26" i="14"/>
  <c r="F26" i="14" s="1"/>
  <c r="B26" i="14"/>
  <c r="C26" i="14" s="1"/>
  <c r="N25" i="14"/>
  <c r="M25" i="14"/>
  <c r="J25" i="14"/>
  <c r="H25" i="14"/>
  <c r="E25" i="14"/>
  <c r="F25" i="14" s="1"/>
  <c r="B25" i="14"/>
  <c r="C25" i="14" s="1"/>
  <c r="N24" i="14"/>
  <c r="M24" i="14"/>
  <c r="J24" i="14"/>
  <c r="H24" i="14"/>
  <c r="E24" i="14"/>
  <c r="F24" i="14" s="1"/>
  <c r="B24" i="14"/>
  <c r="C24" i="14" s="1"/>
  <c r="N23" i="14"/>
  <c r="M23" i="14"/>
  <c r="J23" i="14"/>
  <c r="H23" i="14"/>
  <c r="E23" i="14"/>
  <c r="F23" i="14" s="1"/>
  <c r="B23" i="14"/>
  <c r="C23" i="14" s="1"/>
  <c r="N22" i="14"/>
  <c r="M22" i="14"/>
  <c r="J22" i="14"/>
  <c r="H22" i="14"/>
  <c r="E22" i="14"/>
  <c r="F22" i="14" s="1"/>
  <c r="B22" i="14"/>
  <c r="C22" i="14" s="1"/>
  <c r="N21" i="14"/>
  <c r="M21" i="14"/>
  <c r="J21" i="14"/>
  <c r="H21" i="14"/>
  <c r="E21" i="14"/>
  <c r="F21" i="14" s="1"/>
  <c r="B21" i="14"/>
  <c r="C21" i="14" s="1"/>
  <c r="N20" i="14"/>
  <c r="M20" i="14"/>
  <c r="J20" i="14"/>
  <c r="H20" i="14"/>
  <c r="E20" i="14"/>
  <c r="F20" i="14" s="1"/>
  <c r="B20" i="14"/>
  <c r="C20" i="14" s="1"/>
  <c r="N19" i="14"/>
  <c r="M19" i="14"/>
  <c r="J19" i="14"/>
  <c r="H19" i="14"/>
  <c r="E19" i="14"/>
  <c r="F19" i="14" s="1"/>
  <c r="B19" i="14"/>
  <c r="C19" i="14" s="1"/>
  <c r="N18" i="14"/>
  <c r="M18" i="14"/>
  <c r="J18" i="14"/>
  <c r="H18" i="14"/>
  <c r="E18" i="14"/>
  <c r="F18" i="14" s="1"/>
  <c r="B18" i="14"/>
  <c r="C18" i="14" s="1"/>
  <c r="N17" i="14"/>
  <c r="M17" i="14"/>
  <c r="J17" i="14"/>
  <c r="H17" i="14"/>
  <c r="E17" i="14"/>
  <c r="F17" i="14" s="1"/>
  <c r="B17" i="14"/>
  <c r="C17" i="14" s="1"/>
  <c r="N16" i="14"/>
  <c r="M16" i="14"/>
  <c r="J16" i="14"/>
  <c r="H16" i="14"/>
  <c r="E16" i="14"/>
  <c r="F16" i="14" s="1"/>
  <c r="B16" i="14"/>
  <c r="C16" i="14" s="1"/>
  <c r="N15" i="14"/>
  <c r="M15" i="14"/>
  <c r="J15" i="14"/>
  <c r="H15" i="14"/>
  <c r="E15" i="14"/>
  <c r="F15" i="14" s="1"/>
  <c r="B15" i="14"/>
  <c r="C15" i="14" s="1"/>
  <c r="N14" i="14"/>
  <c r="M14" i="14"/>
  <c r="J14" i="14"/>
  <c r="H14" i="14"/>
  <c r="E14" i="14"/>
  <c r="F14" i="14" s="1"/>
  <c r="B14" i="14"/>
  <c r="C14" i="14" s="1"/>
  <c r="N13" i="14"/>
  <c r="M13" i="14"/>
  <c r="J13" i="14"/>
  <c r="H13" i="14"/>
  <c r="E13" i="14"/>
  <c r="F13" i="14" s="1"/>
  <c r="B13" i="14"/>
  <c r="C13" i="14" s="1"/>
  <c r="N12" i="14"/>
  <c r="M12" i="14"/>
  <c r="J12" i="14"/>
  <c r="H12" i="14"/>
  <c r="E12" i="14"/>
  <c r="F12" i="14" s="1"/>
  <c r="B12" i="14"/>
  <c r="C12" i="14" s="1"/>
  <c r="N11" i="14"/>
  <c r="M11" i="14"/>
  <c r="J11" i="14"/>
  <c r="H11" i="14"/>
  <c r="E11" i="14"/>
  <c r="F11" i="14" s="1"/>
  <c r="B11" i="14"/>
  <c r="C11" i="14" s="1"/>
  <c r="N10" i="14"/>
  <c r="M10" i="14"/>
  <c r="J10" i="14"/>
  <c r="H10" i="14"/>
  <c r="E10" i="14"/>
  <c r="F10" i="14" s="1"/>
  <c r="B10" i="14"/>
  <c r="C10" i="14" s="1"/>
  <c r="N9" i="14"/>
  <c r="M9" i="14"/>
  <c r="J9" i="14"/>
  <c r="H9" i="14"/>
  <c r="E9" i="14"/>
  <c r="F9" i="14" s="1"/>
  <c r="B9" i="14"/>
  <c r="C9" i="14" s="1"/>
  <c r="N8" i="14"/>
  <c r="M8" i="14"/>
  <c r="J8" i="14"/>
  <c r="H8" i="14"/>
  <c r="E8" i="14"/>
  <c r="F8" i="14" s="1"/>
  <c r="B8" i="14"/>
  <c r="C8" i="14" s="1"/>
  <c r="N7" i="14"/>
  <c r="M7" i="14"/>
  <c r="J7" i="14"/>
  <c r="H7" i="14"/>
  <c r="E7" i="14"/>
  <c r="F7" i="14" s="1"/>
  <c r="B7" i="14"/>
  <c r="C7" i="14" s="1"/>
  <c r="N6" i="14"/>
  <c r="M6" i="14"/>
  <c r="J6" i="14"/>
  <c r="H6" i="14"/>
  <c r="E6" i="14"/>
  <c r="F6" i="14" s="1"/>
  <c r="B6" i="14"/>
  <c r="C6" i="14" s="1"/>
  <c r="N5" i="14"/>
  <c r="M5" i="14"/>
  <c r="J5" i="14"/>
  <c r="H5" i="14"/>
  <c r="E5" i="14"/>
  <c r="F5" i="14" s="1"/>
  <c r="B5" i="14"/>
  <c r="C5" i="14" s="1"/>
  <c r="N4" i="14"/>
  <c r="M4" i="14"/>
  <c r="J4" i="14"/>
  <c r="H4" i="14"/>
  <c r="E4" i="14"/>
  <c r="F4" i="14" s="1"/>
  <c r="B4" i="14"/>
  <c r="C4" i="14" s="1"/>
  <c r="N3" i="14"/>
  <c r="M3" i="14"/>
  <c r="J3" i="14"/>
  <c r="H3" i="14"/>
  <c r="E3" i="14"/>
  <c r="F3" i="14" s="1"/>
  <c r="B3" i="14"/>
  <c r="C3" i="14" s="1"/>
  <c r="N2" i="14"/>
  <c r="M2" i="14"/>
  <c r="J2" i="14"/>
  <c r="H2" i="14"/>
  <c r="E2" i="14"/>
  <c r="F2" i="14" s="1"/>
  <c r="B2" i="14"/>
  <c r="C2" i="14" s="1"/>
  <c r="K48" i="14" l="1"/>
  <c r="K39" i="14"/>
  <c r="O39" i="14" s="1"/>
  <c r="K51" i="14"/>
  <c r="O51" i="14" s="1"/>
  <c r="K31" i="14"/>
  <c r="O31" i="14" s="1"/>
  <c r="K37" i="14"/>
  <c r="O37" i="14" s="1"/>
  <c r="K40" i="14"/>
  <c r="K49" i="14"/>
  <c r="O49" i="14" s="1"/>
  <c r="K52" i="14"/>
  <c r="K11" i="14"/>
  <c r="O11" i="14" s="1"/>
  <c r="K20" i="14"/>
  <c r="O20" i="14" s="1"/>
  <c r="K23" i="14"/>
  <c r="O23" i="14" s="1"/>
  <c r="K26" i="14"/>
  <c r="O26" i="14" s="1"/>
  <c r="K32" i="14"/>
  <c r="O32" i="14" s="1"/>
  <c r="K35" i="14"/>
  <c r="O35" i="14" s="1"/>
  <c r="K38" i="14"/>
  <c r="O38" i="14" s="1"/>
  <c r="K44" i="14"/>
  <c r="O44" i="14" s="1"/>
  <c r="K4" i="14"/>
  <c r="O4" i="14" s="1"/>
  <c r="K27" i="14"/>
  <c r="O27" i="14" s="1"/>
  <c r="K7" i="14"/>
  <c r="O7" i="14" s="1"/>
  <c r="K16" i="14"/>
  <c r="O16" i="14" s="1"/>
  <c r="K29" i="14"/>
  <c r="O29" i="14" s="1"/>
  <c r="K47" i="14"/>
  <c r="O47" i="14" s="1"/>
  <c r="K17" i="14"/>
  <c r="O17" i="14" s="1"/>
  <c r="K53" i="14"/>
  <c r="O53" i="14" s="1"/>
  <c r="K45" i="14"/>
  <c r="O45" i="14" s="1"/>
  <c r="K6" i="14"/>
  <c r="O6" i="14" s="1"/>
  <c r="K12" i="14"/>
  <c r="O12" i="14" s="1"/>
  <c r="K15" i="14"/>
  <c r="O15" i="14" s="1"/>
  <c r="K18" i="14"/>
  <c r="O18" i="14" s="1"/>
  <c r="K13" i="14"/>
  <c r="O13" i="14" s="1"/>
  <c r="K2" i="14"/>
  <c r="O2" i="14" s="1"/>
  <c r="K21" i="14"/>
  <c r="O21" i="14" s="1"/>
  <c r="K41" i="14"/>
  <c r="O41" i="14" s="1"/>
  <c r="K34" i="14"/>
  <c r="O34" i="14" s="1"/>
  <c r="K5" i="14"/>
  <c r="O5" i="14" s="1"/>
  <c r="K10" i="14"/>
  <c r="O10" i="14" s="1"/>
  <c r="K43" i="14"/>
  <c r="O43" i="14" s="1"/>
  <c r="K28" i="14"/>
  <c r="O28" i="14" s="1"/>
  <c r="K9" i="14"/>
  <c r="O9" i="14" s="1"/>
  <c r="K3" i="14"/>
  <c r="O3" i="14" s="1"/>
  <c r="K14" i="14"/>
  <c r="O14" i="14" s="1"/>
  <c r="K24" i="14"/>
  <c r="O24" i="14" s="1"/>
  <c r="K46" i="14"/>
  <c r="O46" i="14" s="1"/>
  <c r="K33" i="14"/>
  <c r="O33" i="14" s="1"/>
  <c r="O52" i="14"/>
  <c r="K8" i="14"/>
  <c r="O8" i="14" s="1"/>
  <c r="K19" i="14"/>
  <c r="O19" i="14" s="1"/>
  <c r="K30" i="14"/>
  <c r="O30" i="14" s="1"/>
  <c r="K36" i="14"/>
  <c r="O36" i="14" s="1"/>
  <c r="K54" i="14"/>
  <c r="O54" i="14" s="1"/>
  <c r="K22" i="14"/>
  <c r="O22" i="14" s="1"/>
  <c r="K25" i="14"/>
  <c r="O25" i="14" s="1"/>
  <c r="K50" i="14"/>
  <c r="O50" i="14" s="1"/>
  <c r="O42" i="14"/>
  <c r="O48" i="14"/>
  <c r="O40" i="14"/>
</calcChain>
</file>

<file path=xl/sharedStrings.xml><?xml version="1.0" encoding="utf-8"?>
<sst xmlns="http://schemas.openxmlformats.org/spreadsheetml/2006/main" count="17" uniqueCount="17">
  <si>
    <t>Sweep gas flow rate Q (std. m3/s)</t>
  </si>
  <si>
    <t>Sweep gas flow rate Ar equivalent (std. ml/min)</t>
  </si>
  <si>
    <t>Sweep gas flow rate N2 equivalent (std. ml/min)</t>
  </si>
  <si>
    <t>Temp of sweep gas for standard condition (DegC)</t>
  </si>
  <si>
    <t>Pressure of sweep gas for standard condition (kPa-a)</t>
  </si>
  <si>
    <t xml:space="preserve">Measured PPM by GC </t>
  </si>
  <si>
    <t>Time (h)</t>
  </si>
  <si>
    <t>Time (min)</t>
  </si>
  <si>
    <t>mol/s for sweep gas (n)</t>
  </si>
  <si>
    <t>Permeation flux J (mol/m2-s)</t>
  </si>
  <si>
    <t xml:space="preserve">Mole fraction of H2 in Ar (C) </t>
  </si>
  <si>
    <t>Temp of sweep gas for standard condition, T (K)</t>
  </si>
  <si>
    <t>Pressure of sweep gas for standard condition, P (Pa)</t>
  </si>
  <si>
    <t>Upstream volume total pressure (bar-g)</t>
  </si>
  <si>
    <t>Area of layer, A (m2)</t>
  </si>
  <si>
    <t>Time (s)</t>
  </si>
  <si>
    <t>Permeation flux J (H2/m2-s)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</si>
</sst>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1" fontId="3" fillId="0" borderId="2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1" fontId="2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11" fontId="6" fillId="3" borderId="1" xfId="0" applyNumberFormat="1" applyFont="1" applyFill="1" applyBorder="1" applyAlignment="1">
      <alignment horizontal="center" vertical="center" wrapText="1"/>
    </xf>
    <xf numFmtId="11" fontId="7" fillId="3" borderId="1" xfId="0" applyNumberFormat="1" applyFont="1" applyFill="1" applyBorder="1" applyAlignment="1">
      <alignment horizontal="center"/>
    </xf>
    <xf numFmtId="11" fontId="7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E2C1-C50B-4834-8978-1C45882E2871}">
  <dimension ref="A1:BP268"/>
  <sheetViews>
    <sheetView tabSelected="1" topLeftCell="J4" zoomScale="110" zoomScaleNormal="110" workbookViewId="0">
      <selection activeCell="R2" sqref="R2"/>
    </sheetView>
  </sheetViews>
  <sheetFormatPr defaultRowHeight="13.8" x14ac:dyDescent="0.25"/>
  <cols>
    <col min="1" max="5" width="22.109375" style="1" customWidth="1"/>
    <col min="6" max="6" width="18.77734375" style="1" customWidth="1"/>
    <col min="7" max="7" width="17.33203125" style="1" customWidth="1"/>
    <col min="8" max="8" width="16.6640625" style="1" customWidth="1"/>
    <col min="9" max="9" width="20.88671875" style="1" customWidth="1"/>
    <col min="10" max="10" width="19.21875" style="1" customWidth="1"/>
    <col min="11" max="11" width="23.109375" style="1" customWidth="1"/>
    <col min="12" max="12" width="13.6640625" style="14" customWidth="1"/>
    <col min="13" max="13" width="20.88671875" style="3" customWidth="1"/>
    <col min="14" max="14" width="27.33203125" style="3" customWidth="1"/>
    <col min="15" max="16" width="20.6640625" style="17" customWidth="1"/>
    <col min="17" max="17" width="23.21875" style="7" customWidth="1"/>
    <col min="18" max="16384" width="8.88671875" style="5"/>
  </cols>
  <sheetData>
    <row r="1" spans="1:17" s="12" customFormat="1" ht="53.4" customHeight="1" x14ac:dyDescent="0.3">
      <c r="A1" s="9" t="s">
        <v>7</v>
      </c>
      <c r="B1" s="10" t="s">
        <v>6</v>
      </c>
      <c r="C1" s="10" t="s">
        <v>15</v>
      </c>
      <c r="D1" s="9" t="s">
        <v>2</v>
      </c>
      <c r="E1" s="9" t="s">
        <v>1</v>
      </c>
      <c r="F1" s="10" t="s">
        <v>0</v>
      </c>
      <c r="G1" s="9" t="s">
        <v>3</v>
      </c>
      <c r="H1" s="10" t="s">
        <v>11</v>
      </c>
      <c r="I1" s="9" t="s">
        <v>4</v>
      </c>
      <c r="J1" s="10" t="s">
        <v>12</v>
      </c>
      <c r="K1" s="10" t="s">
        <v>8</v>
      </c>
      <c r="L1" s="13" t="s">
        <v>5</v>
      </c>
      <c r="M1" s="10" t="s">
        <v>10</v>
      </c>
      <c r="N1" s="8" t="s">
        <v>14</v>
      </c>
      <c r="O1" s="15" t="s">
        <v>9</v>
      </c>
      <c r="P1" s="15" t="s">
        <v>16</v>
      </c>
      <c r="Q1" s="11" t="s">
        <v>13</v>
      </c>
    </row>
    <row r="2" spans="1:17" x14ac:dyDescent="0.25">
      <c r="A2" s="1">
        <v>0</v>
      </c>
      <c r="B2" s="1">
        <f>(A2/60)</f>
        <v>0</v>
      </c>
      <c r="C2" s="1">
        <f>(B2*3600)</f>
        <v>0</v>
      </c>
      <c r="D2" s="1">
        <v>20</v>
      </c>
      <c r="E2" s="1">
        <f t="shared" ref="E2:E54" si="0">(D2*1.4573)</f>
        <v>29.146000000000001</v>
      </c>
      <c r="F2" s="1">
        <f>(E2/(1000000*60))</f>
        <v>4.8576666666666667E-7</v>
      </c>
      <c r="G2" s="1">
        <v>21.1</v>
      </c>
      <c r="H2" s="1">
        <f>(273+G2)</f>
        <v>294.10000000000002</v>
      </c>
      <c r="I2" s="1">
        <v>101.3</v>
      </c>
      <c r="J2" s="1">
        <f>(I2*1000)</f>
        <v>101300</v>
      </c>
      <c r="K2" s="1">
        <f>((J2*F2)/(8.314*H2))</f>
        <v>2.0124824921938581E-5</v>
      </c>
      <c r="L2" s="14">
        <v>14.995049504950495</v>
      </c>
      <c r="M2" s="2">
        <f>(L2/1000000)</f>
        <v>1.4995049504950496E-5</v>
      </c>
      <c r="N2" s="3">
        <f>(3.142*3.07*3.07*25.4*25.4)/(4*1000000)</f>
        <v>4.7762865441819992E-3</v>
      </c>
      <c r="O2" s="16">
        <f>(M2*K2)/N2</f>
        <v>6.318145764318104E-8</v>
      </c>
      <c r="P2" s="16">
        <f>(O2*6.022E+23)</f>
        <v>3.8047873792723624E+16</v>
      </c>
      <c r="Q2" s="2">
        <v>0.31</v>
      </c>
    </row>
    <row r="3" spans="1:17" x14ac:dyDescent="0.25">
      <c r="A3" s="1">
        <v>3</v>
      </c>
      <c r="B3" s="1">
        <f t="shared" ref="B3:B65" si="1">(A3/60)</f>
        <v>0.05</v>
      </c>
      <c r="C3" s="1">
        <f t="shared" ref="C3:C65" si="2">(B3*3600)</f>
        <v>180</v>
      </c>
      <c r="D3" s="1">
        <v>20</v>
      </c>
      <c r="E3" s="1">
        <f t="shared" si="0"/>
        <v>29.146000000000001</v>
      </c>
      <c r="F3" s="1">
        <f t="shared" ref="F3:F54" si="3">(E3/(1000000*60))</f>
        <v>4.8576666666666667E-7</v>
      </c>
      <c r="G3" s="1">
        <v>21.1</v>
      </c>
      <c r="H3" s="1">
        <f t="shared" ref="H3:H54" si="4">(273+G3)</f>
        <v>294.10000000000002</v>
      </c>
      <c r="I3" s="1">
        <v>101.3</v>
      </c>
      <c r="J3" s="1">
        <f t="shared" ref="J3:J54" si="5">(I3*1000)</f>
        <v>101300</v>
      </c>
      <c r="K3" s="1">
        <f t="shared" ref="K3:K54" si="6">((J3*F3)/(8.314*H3))</f>
        <v>2.0124824921938581E-5</v>
      </c>
      <c r="L3" s="14">
        <v>14.846534653465348</v>
      </c>
      <c r="M3" s="2">
        <f t="shared" ref="M3:M54" si="7">(L3/1000000)</f>
        <v>1.4846534653465348E-5</v>
      </c>
      <c r="N3" s="3">
        <f t="shared" ref="N3:N65" si="8">(3.142*3.07*3.07*25.4*25.4)/(4*1000000)</f>
        <v>4.7762865441819992E-3</v>
      </c>
      <c r="O3" s="16">
        <f t="shared" ref="O3:O65" si="9">(M3*K3)/N3</f>
        <v>6.2555692133344323E-8</v>
      </c>
      <c r="P3" s="16">
        <f t="shared" ref="P3:P65" si="10">(O3*6.022E+23)</f>
        <v>3.7671037802699952E+16</v>
      </c>
      <c r="Q3" s="2">
        <v>0.31</v>
      </c>
    </row>
    <row r="4" spans="1:17" x14ac:dyDescent="0.25">
      <c r="A4" s="1">
        <v>6</v>
      </c>
      <c r="B4" s="1">
        <f t="shared" si="1"/>
        <v>0.1</v>
      </c>
      <c r="C4" s="1">
        <f t="shared" si="2"/>
        <v>360</v>
      </c>
      <c r="D4" s="1">
        <v>20</v>
      </c>
      <c r="E4" s="1">
        <f t="shared" si="0"/>
        <v>29.146000000000001</v>
      </c>
      <c r="F4" s="1">
        <f t="shared" si="3"/>
        <v>4.8576666666666667E-7</v>
      </c>
      <c r="G4" s="1">
        <v>21.1</v>
      </c>
      <c r="H4" s="1">
        <f t="shared" si="4"/>
        <v>294.10000000000002</v>
      </c>
      <c r="I4" s="1">
        <v>101.3</v>
      </c>
      <c r="J4" s="1">
        <f t="shared" si="5"/>
        <v>101300</v>
      </c>
      <c r="K4" s="1">
        <f t="shared" si="6"/>
        <v>2.0124824921938581E-5</v>
      </c>
      <c r="L4" s="14">
        <v>16.480198019801978</v>
      </c>
      <c r="M4" s="2">
        <f t="shared" si="7"/>
        <v>1.648019801980198E-5</v>
      </c>
      <c r="N4" s="3">
        <f t="shared" si="8"/>
        <v>4.7762865441819992E-3</v>
      </c>
      <c r="O4" s="16">
        <f t="shared" si="9"/>
        <v>6.9439112741548255E-8</v>
      </c>
      <c r="P4" s="16">
        <f t="shared" si="10"/>
        <v>4.181623369296036E+16</v>
      </c>
      <c r="Q4" s="2">
        <v>0.31</v>
      </c>
    </row>
    <row r="5" spans="1:17" x14ac:dyDescent="0.25">
      <c r="A5" s="1">
        <v>9</v>
      </c>
      <c r="B5" s="1">
        <f t="shared" si="1"/>
        <v>0.15</v>
      </c>
      <c r="C5" s="1">
        <f t="shared" si="2"/>
        <v>540</v>
      </c>
      <c r="D5" s="1">
        <v>20</v>
      </c>
      <c r="E5" s="1">
        <f t="shared" si="0"/>
        <v>29.146000000000001</v>
      </c>
      <c r="F5" s="1">
        <f t="shared" si="3"/>
        <v>4.8576666666666667E-7</v>
      </c>
      <c r="G5" s="1">
        <v>21.1</v>
      </c>
      <c r="H5" s="1">
        <f t="shared" si="4"/>
        <v>294.10000000000002</v>
      </c>
      <c r="I5" s="1">
        <v>101.3</v>
      </c>
      <c r="J5" s="1">
        <f t="shared" si="5"/>
        <v>101300</v>
      </c>
      <c r="K5" s="1">
        <f t="shared" si="6"/>
        <v>2.0124824921938581E-5</v>
      </c>
      <c r="L5" s="14">
        <v>11.851485148514852</v>
      </c>
      <c r="M5" s="2">
        <f t="shared" si="7"/>
        <v>1.1851485148514853E-5</v>
      </c>
      <c r="N5" s="3">
        <f t="shared" si="8"/>
        <v>4.7762865441819992E-3</v>
      </c>
      <c r="O5" s="16">
        <f t="shared" si="9"/>
        <v>4.9936087684970427E-8</v>
      </c>
      <c r="P5" s="16">
        <f t="shared" si="10"/>
        <v>3.0071512003889192E+16</v>
      </c>
      <c r="Q5" s="2">
        <v>0.31</v>
      </c>
    </row>
    <row r="6" spans="1:17" x14ac:dyDescent="0.25">
      <c r="A6" s="1">
        <v>12</v>
      </c>
      <c r="B6" s="1">
        <f t="shared" si="1"/>
        <v>0.2</v>
      </c>
      <c r="C6" s="1">
        <f t="shared" si="2"/>
        <v>720</v>
      </c>
      <c r="D6" s="1">
        <v>20</v>
      </c>
      <c r="E6" s="1">
        <f t="shared" si="0"/>
        <v>29.146000000000001</v>
      </c>
      <c r="F6" s="1">
        <f t="shared" si="3"/>
        <v>4.8576666666666667E-7</v>
      </c>
      <c r="G6" s="1">
        <v>21.1</v>
      </c>
      <c r="H6" s="1">
        <f t="shared" si="4"/>
        <v>294.10000000000002</v>
      </c>
      <c r="I6" s="1">
        <v>101.3</v>
      </c>
      <c r="J6" s="1">
        <f t="shared" si="5"/>
        <v>101300</v>
      </c>
      <c r="K6" s="1">
        <f t="shared" si="6"/>
        <v>2.0124824921938581E-5</v>
      </c>
      <c r="L6" s="14">
        <v>19.747524752475247</v>
      </c>
      <c r="M6" s="2">
        <f t="shared" si="7"/>
        <v>1.9747524752475247E-5</v>
      </c>
      <c r="N6" s="3">
        <f t="shared" si="8"/>
        <v>4.7762865441819992E-3</v>
      </c>
      <c r="O6" s="16">
        <f t="shared" si="9"/>
        <v>8.3205953957956133E-8</v>
      </c>
      <c r="P6" s="16">
        <f t="shared" si="10"/>
        <v>5.0106625473481184E+16</v>
      </c>
      <c r="Q6" s="2">
        <v>0.31</v>
      </c>
    </row>
    <row r="7" spans="1:17" x14ac:dyDescent="0.25">
      <c r="A7" s="1">
        <v>15</v>
      </c>
      <c r="B7" s="1">
        <f t="shared" si="1"/>
        <v>0.25</v>
      </c>
      <c r="C7" s="1">
        <f t="shared" si="2"/>
        <v>900</v>
      </c>
      <c r="D7" s="1">
        <v>20</v>
      </c>
      <c r="E7" s="1">
        <f t="shared" si="0"/>
        <v>29.146000000000001</v>
      </c>
      <c r="F7" s="1">
        <f t="shared" si="3"/>
        <v>4.8576666666666667E-7</v>
      </c>
      <c r="G7" s="1">
        <v>21.1</v>
      </c>
      <c r="H7" s="1">
        <f t="shared" si="4"/>
        <v>294.10000000000002</v>
      </c>
      <c r="I7" s="1">
        <v>101.3</v>
      </c>
      <c r="J7" s="1">
        <f t="shared" si="5"/>
        <v>101300</v>
      </c>
      <c r="K7" s="1">
        <f t="shared" si="6"/>
        <v>2.0124824921938581E-5</v>
      </c>
      <c r="L7" s="14">
        <v>18.831683168316832</v>
      </c>
      <c r="M7" s="2">
        <f t="shared" si="7"/>
        <v>1.8831683168316832E-5</v>
      </c>
      <c r="N7" s="3">
        <f t="shared" si="8"/>
        <v>4.7762865441819992E-3</v>
      </c>
      <c r="O7" s="16">
        <f t="shared" si="9"/>
        <v>7.9347066647296348E-8</v>
      </c>
      <c r="P7" s="16">
        <f t="shared" si="10"/>
        <v>4.7782803535001864E+16</v>
      </c>
      <c r="Q7" s="2">
        <v>0.31</v>
      </c>
    </row>
    <row r="8" spans="1:17" x14ac:dyDescent="0.25">
      <c r="A8" s="1">
        <v>18</v>
      </c>
      <c r="B8" s="1">
        <f t="shared" si="1"/>
        <v>0.3</v>
      </c>
      <c r="C8" s="1">
        <f t="shared" si="2"/>
        <v>1080</v>
      </c>
      <c r="D8" s="1">
        <v>20</v>
      </c>
      <c r="E8" s="1">
        <f t="shared" si="0"/>
        <v>29.146000000000001</v>
      </c>
      <c r="F8" s="1">
        <f t="shared" si="3"/>
        <v>4.8576666666666667E-7</v>
      </c>
      <c r="G8" s="1">
        <v>21.1</v>
      </c>
      <c r="H8" s="1">
        <f t="shared" si="4"/>
        <v>294.10000000000002</v>
      </c>
      <c r="I8" s="1">
        <v>101.3</v>
      </c>
      <c r="J8" s="1">
        <f t="shared" si="5"/>
        <v>101300</v>
      </c>
      <c r="K8" s="1">
        <f t="shared" si="6"/>
        <v>2.0124824921938581E-5</v>
      </c>
      <c r="L8" s="14">
        <v>13.782178217821782</v>
      </c>
      <c r="M8" s="2">
        <f t="shared" si="7"/>
        <v>1.3782178217821781E-5</v>
      </c>
      <c r="N8" s="3">
        <f t="shared" si="8"/>
        <v>4.7762865441819992E-3</v>
      </c>
      <c r="O8" s="16">
        <f t="shared" si="9"/>
        <v>5.8071039312847801E-8</v>
      </c>
      <c r="P8" s="16">
        <f t="shared" si="10"/>
        <v>3.4970379874196948E+16</v>
      </c>
      <c r="Q8" s="2">
        <v>0.31</v>
      </c>
    </row>
    <row r="9" spans="1:17" x14ac:dyDescent="0.25">
      <c r="A9" s="1">
        <v>21</v>
      </c>
      <c r="B9" s="1">
        <f t="shared" si="1"/>
        <v>0.35</v>
      </c>
      <c r="C9" s="1">
        <f t="shared" si="2"/>
        <v>1260</v>
      </c>
      <c r="D9" s="1">
        <v>20</v>
      </c>
      <c r="E9" s="1">
        <f t="shared" si="0"/>
        <v>29.146000000000001</v>
      </c>
      <c r="F9" s="1">
        <f t="shared" si="3"/>
        <v>4.8576666666666667E-7</v>
      </c>
      <c r="G9" s="1">
        <v>21.1</v>
      </c>
      <c r="H9" s="1">
        <f t="shared" si="4"/>
        <v>294.10000000000002</v>
      </c>
      <c r="I9" s="1">
        <v>101.3</v>
      </c>
      <c r="J9" s="1">
        <f t="shared" si="5"/>
        <v>101300</v>
      </c>
      <c r="K9" s="1">
        <f t="shared" si="6"/>
        <v>2.0124824921938581E-5</v>
      </c>
      <c r="L9" s="14">
        <v>21.183168316831683</v>
      </c>
      <c r="M9" s="2">
        <f t="shared" si="7"/>
        <v>2.1183168316831684E-5</v>
      </c>
      <c r="N9" s="3">
        <f t="shared" si="8"/>
        <v>4.7762865441819992E-3</v>
      </c>
      <c r="O9" s="16">
        <f t="shared" si="9"/>
        <v>8.9255020553044468E-8</v>
      </c>
      <c r="P9" s="16">
        <f t="shared" si="10"/>
        <v>5.3749373377043384E+16</v>
      </c>
      <c r="Q9" s="2">
        <v>0.31</v>
      </c>
    </row>
    <row r="10" spans="1:17" x14ac:dyDescent="0.25">
      <c r="A10" s="1">
        <v>24</v>
      </c>
      <c r="B10" s="1">
        <f t="shared" si="1"/>
        <v>0.4</v>
      </c>
      <c r="C10" s="1">
        <f t="shared" si="2"/>
        <v>1440</v>
      </c>
      <c r="D10" s="1">
        <v>20</v>
      </c>
      <c r="E10" s="1">
        <f t="shared" si="0"/>
        <v>29.146000000000001</v>
      </c>
      <c r="F10" s="1">
        <f t="shared" si="3"/>
        <v>4.8576666666666667E-7</v>
      </c>
      <c r="G10" s="1">
        <v>21.1</v>
      </c>
      <c r="H10" s="1">
        <f t="shared" si="4"/>
        <v>294.10000000000002</v>
      </c>
      <c r="I10" s="1">
        <v>101.3</v>
      </c>
      <c r="J10" s="1">
        <f t="shared" si="5"/>
        <v>101300</v>
      </c>
      <c r="K10" s="1">
        <f t="shared" si="6"/>
        <v>2.0124824921938581E-5</v>
      </c>
      <c r="L10" s="14">
        <v>26.67821782178218</v>
      </c>
      <c r="M10" s="2">
        <f t="shared" si="7"/>
        <v>2.6678217821782182E-5</v>
      </c>
      <c r="N10" s="3">
        <f t="shared" si="8"/>
        <v>4.7762865441819992E-3</v>
      </c>
      <c r="O10" s="16">
        <f t="shared" si="9"/>
        <v>1.1240834441700319E-7</v>
      </c>
      <c r="P10" s="16">
        <f t="shared" si="10"/>
        <v>6.769230500791932E+16</v>
      </c>
      <c r="Q10" s="2">
        <v>0.31</v>
      </c>
    </row>
    <row r="11" spans="1:17" x14ac:dyDescent="0.25">
      <c r="A11" s="1">
        <v>27</v>
      </c>
      <c r="B11" s="1">
        <f t="shared" si="1"/>
        <v>0.45</v>
      </c>
      <c r="C11" s="1">
        <f t="shared" si="2"/>
        <v>1620</v>
      </c>
      <c r="D11" s="1">
        <v>20</v>
      </c>
      <c r="E11" s="1">
        <f t="shared" si="0"/>
        <v>29.146000000000001</v>
      </c>
      <c r="F11" s="1">
        <f t="shared" si="3"/>
        <v>4.8576666666666667E-7</v>
      </c>
      <c r="G11" s="1">
        <v>21.1</v>
      </c>
      <c r="H11" s="1">
        <f t="shared" si="4"/>
        <v>294.10000000000002</v>
      </c>
      <c r="I11" s="1">
        <v>101.3</v>
      </c>
      <c r="J11" s="1">
        <f t="shared" si="5"/>
        <v>101300</v>
      </c>
      <c r="K11" s="1">
        <f t="shared" si="6"/>
        <v>2.0124824921938581E-5</v>
      </c>
      <c r="L11" s="14">
        <v>32.173267326732677</v>
      </c>
      <c r="M11" s="2">
        <f t="shared" si="7"/>
        <v>3.2173267326732675E-5</v>
      </c>
      <c r="N11" s="3">
        <f t="shared" si="8"/>
        <v>4.7762865441819992E-3</v>
      </c>
      <c r="O11" s="16">
        <f t="shared" si="9"/>
        <v>1.3556166828096191E-7</v>
      </c>
      <c r="P11" s="16">
        <f t="shared" si="10"/>
        <v>8.1635236638795264E+16</v>
      </c>
      <c r="Q11" s="2">
        <v>0.31</v>
      </c>
    </row>
    <row r="12" spans="1:17" x14ac:dyDescent="0.25">
      <c r="A12" s="1">
        <v>30</v>
      </c>
      <c r="B12" s="1">
        <f t="shared" si="1"/>
        <v>0.5</v>
      </c>
      <c r="C12" s="1">
        <f t="shared" si="2"/>
        <v>1800</v>
      </c>
      <c r="D12" s="1">
        <v>20</v>
      </c>
      <c r="E12" s="1">
        <f t="shared" si="0"/>
        <v>29.146000000000001</v>
      </c>
      <c r="F12" s="1">
        <f t="shared" si="3"/>
        <v>4.8576666666666667E-7</v>
      </c>
      <c r="G12" s="1">
        <v>21.1</v>
      </c>
      <c r="H12" s="1">
        <f t="shared" si="4"/>
        <v>294.10000000000002</v>
      </c>
      <c r="I12" s="1">
        <v>101.3</v>
      </c>
      <c r="J12" s="1">
        <f t="shared" si="5"/>
        <v>101300</v>
      </c>
      <c r="K12" s="1">
        <f t="shared" si="6"/>
        <v>2.0124824921938581E-5</v>
      </c>
      <c r="L12" s="14">
        <v>42.89108910891089</v>
      </c>
      <c r="M12" s="2">
        <f t="shared" si="7"/>
        <v>4.289108910891089E-5</v>
      </c>
      <c r="N12" s="3">
        <f t="shared" si="8"/>
        <v>4.7762865441819992E-3</v>
      </c>
      <c r="O12" s="16">
        <f t="shared" si="9"/>
        <v>1.8072107924084534E-7</v>
      </c>
      <c r="P12" s="16">
        <f t="shared" si="10"/>
        <v>1.0883023391883707E+17</v>
      </c>
      <c r="Q12" s="2">
        <v>0.31</v>
      </c>
    </row>
    <row r="13" spans="1:17" x14ac:dyDescent="0.25">
      <c r="A13" s="1">
        <v>33</v>
      </c>
      <c r="B13" s="1">
        <f t="shared" si="1"/>
        <v>0.55000000000000004</v>
      </c>
      <c r="C13" s="1">
        <f t="shared" si="2"/>
        <v>1980.0000000000002</v>
      </c>
      <c r="D13" s="1">
        <v>20</v>
      </c>
      <c r="E13" s="1">
        <f t="shared" si="0"/>
        <v>29.146000000000001</v>
      </c>
      <c r="F13" s="1">
        <f t="shared" si="3"/>
        <v>4.8576666666666667E-7</v>
      </c>
      <c r="G13" s="1">
        <v>21.1</v>
      </c>
      <c r="H13" s="1">
        <f t="shared" si="4"/>
        <v>294.10000000000002</v>
      </c>
      <c r="I13" s="1">
        <v>101.3</v>
      </c>
      <c r="J13" s="1">
        <f t="shared" si="5"/>
        <v>101300</v>
      </c>
      <c r="K13" s="1">
        <f t="shared" si="6"/>
        <v>2.0124824921938581E-5</v>
      </c>
      <c r="L13" s="14">
        <v>50.094059405940598</v>
      </c>
      <c r="M13" s="2">
        <f t="shared" si="7"/>
        <v>5.0094059405940601E-5</v>
      </c>
      <c r="N13" s="3">
        <f t="shared" si="8"/>
        <v>4.7762865441819992E-3</v>
      </c>
      <c r="O13" s="16">
        <f t="shared" si="9"/>
        <v>2.1107070646792637E-7</v>
      </c>
      <c r="P13" s="16">
        <f t="shared" si="10"/>
        <v>1.2710677943498526E+17</v>
      </c>
      <c r="Q13" s="2">
        <v>0.31</v>
      </c>
    </row>
    <row r="14" spans="1:17" x14ac:dyDescent="0.25">
      <c r="A14" s="1">
        <v>36</v>
      </c>
      <c r="B14" s="1">
        <f t="shared" si="1"/>
        <v>0.6</v>
      </c>
      <c r="C14" s="1">
        <f t="shared" si="2"/>
        <v>2160</v>
      </c>
      <c r="D14" s="1">
        <v>20</v>
      </c>
      <c r="E14" s="1">
        <f t="shared" si="0"/>
        <v>29.146000000000001</v>
      </c>
      <c r="F14" s="1">
        <f t="shared" si="3"/>
        <v>4.8576666666666667E-7</v>
      </c>
      <c r="G14" s="1">
        <v>21.1</v>
      </c>
      <c r="H14" s="1">
        <f t="shared" si="4"/>
        <v>294.10000000000002</v>
      </c>
      <c r="I14" s="1">
        <v>101.3</v>
      </c>
      <c r="J14" s="1">
        <f t="shared" si="5"/>
        <v>101300</v>
      </c>
      <c r="K14" s="1">
        <f t="shared" si="6"/>
        <v>2.0124824921938581E-5</v>
      </c>
      <c r="L14" s="14">
        <v>64.004950495049499</v>
      </c>
      <c r="M14" s="2">
        <f t="shared" si="7"/>
        <v>6.4004950495049495E-5</v>
      </c>
      <c r="N14" s="3">
        <f t="shared" si="8"/>
        <v>4.7762865441819992E-3</v>
      </c>
      <c r="O14" s="16">
        <f t="shared" si="9"/>
        <v>2.6968407588929923E-7</v>
      </c>
      <c r="P14" s="16">
        <f t="shared" si="10"/>
        <v>1.62403750500536E+17</v>
      </c>
      <c r="Q14" s="2">
        <v>0.31</v>
      </c>
    </row>
    <row r="15" spans="1:17" x14ac:dyDescent="0.25">
      <c r="A15" s="1">
        <v>39</v>
      </c>
      <c r="B15" s="1">
        <f t="shared" si="1"/>
        <v>0.65</v>
      </c>
      <c r="C15" s="1">
        <f t="shared" si="2"/>
        <v>2340</v>
      </c>
      <c r="D15" s="1">
        <v>20</v>
      </c>
      <c r="E15" s="1">
        <f t="shared" si="0"/>
        <v>29.146000000000001</v>
      </c>
      <c r="F15" s="1">
        <f t="shared" si="3"/>
        <v>4.8576666666666667E-7</v>
      </c>
      <c r="G15" s="1">
        <v>21.1</v>
      </c>
      <c r="H15" s="1">
        <f t="shared" si="4"/>
        <v>294.10000000000002</v>
      </c>
      <c r="I15" s="1">
        <v>101.3</v>
      </c>
      <c r="J15" s="1">
        <f t="shared" si="5"/>
        <v>101300</v>
      </c>
      <c r="K15" s="1">
        <f t="shared" si="6"/>
        <v>2.0124824921938581E-5</v>
      </c>
      <c r="L15" s="14">
        <v>61.975247524752476</v>
      </c>
      <c r="M15" s="2">
        <f t="shared" si="7"/>
        <v>6.1975247524752474E-5</v>
      </c>
      <c r="N15" s="3">
        <f t="shared" si="8"/>
        <v>4.7762865441819992E-3</v>
      </c>
      <c r="O15" s="16">
        <f t="shared" si="9"/>
        <v>2.6113194725486409E-7</v>
      </c>
      <c r="P15" s="16">
        <f t="shared" si="10"/>
        <v>1.5725365863687917E+17</v>
      </c>
      <c r="Q15" s="2">
        <v>0.31</v>
      </c>
    </row>
    <row r="16" spans="1:17" x14ac:dyDescent="0.25">
      <c r="A16" s="1">
        <v>42</v>
      </c>
      <c r="B16" s="1">
        <f t="shared" si="1"/>
        <v>0.7</v>
      </c>
      <c r="C16" s="1">
        <f t="shared" si="2"/>
        <v>2520</v>
      </c>
      <c r="D16" s="1">
        <v>20</v>
      </c>
      <c r="E16" s="1">
        <f t="shared" si="0"/>
        <v>29.146000000000001</v>
      </c>
      <c r="F16" s="1">
        <f t="shared" si="3"/>
        <v>4.8576666666666667E-7</v>
      </c>
      <c r="G16" s="1">
        <v>21.1</v>
      </c>
      <c r="H16" s="1">
        <f t="shared" si="4"/>
        <v>294.10000000000002</v>
      </c>
      <c r="I16" s="1">
        <v>101.3</v>
      </c>
      <c r="J16" s="1">
        <f t="shared" si="5"/>
        <v>101300</v>
      </c>
      <c r="K16" s="1">
        <f t="shared" si="6"/>
        <v>2.0124824921938581E-5</v>
      </c>
      <c r="L16" s="14">
        <v>65.886138613861391</v>
      </c>
      <c r="M16" s="2">
        <f t="shared" si="7"/>
        <v>6.5886138613861396E-5</v>
      </c>
      <c r="N16" s="3">
        <f t="shared" si="8"/>
        <v>4.7762865441819992E-3</v>
      </c>
      <c r="O16" s="16">
        <f t="shared" si="9"/>
        <v>2.7761043901389787E-7</v>
      </c>
      <c r="P16" s="16">
        <f t="shared" si="10"/>
        <v>1.6717700637416931E+17</v>
      </c>
      <c r="Q16" s="2">
        <v>0.31</v>
      </c>
    </row>
    <row r="17" spans="1:68" s="4" customFormat="1" x14ac:dyDescent="0.25">
      <c r="A17" s="1">
        <v>45</v>
      </c>
      <c r="B17" s="1">
        <f t="shared" si="1"/>
        <v>0.75</v>
      </c>
      <c r="C17" s="1">
        <f t="shared" si="2"/>
        <v>2700</v>
      </c>
      <c r="D17" s="1">
        <v>20</v>
      </c>
      <c r="E17" s="1">
        <f t="shared" si="0"/>
        <v>29.146000000000001</v>
      </c>
      <c r="F17" s="1">
        <f t="shared" si="3"/>
        <v>4.8576666666666667E-7</v>
      </c>
      <c r="G17" s="1">
        <v>21.1</v>
      </c>
      <c r="H17" s="1">
        <f t="shared" si="4"/>
        <v>294.10000000000002</v>
      </c>
      <c r="I17" s="1">
        <v>101.3</v>
      </c>
      <c r="J17" s="1">
        <f t="shared" si="5"/>
        <v>101300</v>
      </c>
      <c r="K17" s="1">
        <f t="shared" si="6"/>
        <v>2.0124824921938581E-5</v>
      </c>
      <c r="L17" s="14">
        <v>68.881188118811878</v>
      </c>
      <c r="M17" s="2">
        <f t="shared" si="7"/>
        <v>6.8881188118811876E-5</v>
      </c>
      <c r="N17" s="3">
        <f t="shared" si="8"/>
        <v>4.7762865441819992E-3</v>
      </c>
      <c r="O17" s="16">
        <f t="shared" si="9"/>
        <v>2.9023004346227169E-7</v>
      </c>
      <c r="P17" s="16">
        <f t="shared" si="10"/>
        <v>1.7477653217298003E+17</v>
      </c>
      <c r="Q17" s="2">
        <v>0.31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</row>
    <row r="18" spans="1:68" s="4" customFormat="1" x14ac:dyDescent="0.25">
      <c r="A18" s="1">
        <v>48</v>
      </c>
      <c r="B18" s="1">
        <f t="shared" si="1"/>
        <v>0.8</v>
      </c>
      <c r="C18" s="1">
        <f t="shared" si="2"/>
        <v>2880</v>
      </c>
      <c r="D18" s="1">
        <v>20</v>
      </c>
      <c r="E18" s="1">
        <f t="shared" si="0"/>
        <v>29.146000000000001</v>
      </c>
      <c r="F18" s="1">
        <f t="shared" si="3"/>
        <v>4.8576666666666667E-7</v>
      </c>
      <c r="G18" s="1">
        <v>21.1</v>
      </c>
      <c r="H18" s="1">
        <f t="shared" si="4"/>
        <v>294.10000000000002</v>
      </c>
      <c r="I18" s="1">
        <v>101.3</v>
      </c>
      <c r="J18" s="1">
        <f t="shared" si="5"/>
        <v>101300</v>
      </c>
      <c r="K18" s="1">
        <f t="shared" si="6"/>
        <v>2.0124824921938581E-5</v>
      </c>
      <c r="L18" s="14">
        <v>70.118811881188122</v>
      </c>
      <c r="M18" s="2">
        <f t="shared" si="7"/>
        <v>7.0118811881188128E-5</v>
      </c>
      <c r="N18" s="3">
        <f t="shared" si="8"/>
        <v>4.7762865441819992E-3</v>
      </c>
      <c r="O18" s="16">
        <f t="shared" si="9"/>
        <v>2.9544475604424439E-7</v>
      </c>
      <c r="P18" s="16">
        <f t="shared" si="10"/>
        <v>1.7791683208984397E+17</v>
      </c>
      <c r="Q18" s="2">
        <v>0.31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</row>
    <row r="19" spans="1:68" s="4" customFormat="1" x14ac:dyDescent="0.25">
      <c r="A19" s="1">
        <v>51</v>
      </c>
      <c r="B19" s="1">
        <f t="shared" si="1"/>
        <v>0.85</v>
      </c>
      <c r="C19" s="1">
        <f t="shared" si="2"/>
        <v>3060</v>
      </c>
      <c r="D19" s="1">
        <v>20</v>
      </c>
      <c r="E19" s="1">
        <f t="shared" si="0"/>
        <v>29.146000000000001</v>
      </c>
      <c r="F19" s="1">
        <f t="shared" si="3"/>
        <v>4.8576666666666667E-7</v>
      </c>
      <c r="G19" s="1">
        <v>21.1</v>
      </c>
      <c r="H19" s="1">
        <f t="shared" si="4"/>
        <v>294.10000000000002</v>
      </c>
      <c r="I19" s="1">
        <v>101.3</v>
      </c>
      <c r="J19" s="1">
        <f t="shared" si="5"/>
        <v>101300</v>
      </c>
      <c r="K19" s="1">
        <f t="shared" si="6"/>
        <v>2.0124824921938581E-5</v>
      </c>
      <c r="L19" s="14">
        <v>71.10891089108911</v>
      </c>
      <c r="M19" s="2">
        <f t="shared" si="7"/>
        <v>7.1108910891089116E-5</v>
      </c>
      <c r="N19" s="3">
        <f t="shared" si="8"/>
        <v>4.7762865441819992E-3</v>
      </c>
      <c r="O19" s="16">
        <f t="shared" si="9"/>
        <v>2.9961652610982256E-7</v>
      </c>
      <c r="P19" s="16">
        <f t="shared" si="10"/>
        <v>1.8042907202333517E+17</v>
      </c>
      <c r="Q19" s="2">
        <v>0.31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</row>
    <row r="20" spans="1:68" s="4" customFormat="1" x14ac:dyDescent="0.25">
      <c r="A20" s="1">
        <v>54</v>
      </c>
      <c r="B20" s="1">
        <f t="shared" si="1"/>
        <v>0.9</v>
      </c>
      <c r="C20" s="1">
        <f t="shared" si="2"/>
        <v>3240</v>
      </c>
      <c r="D20" s="1">
        <v>20</v>
      </c>
      <c r="E20" s="1">
        <f t="shared" si="0"/>
        <v>29.146000000000001</v>
      </c>
      <c r="F20" s="1">
        <f t="shared" si="3"/>
        <v>4.8576666666666667E-7</v>
      </c>
      <c r="G20" s="1">
        <v>21.1</v>
      </c>
      <c r="H20" s="1">
        <f t="shared" si="4"/>
        <v>294.10000000000002</v>
      </c>
      <c r="I20" s="1">
        <v>101.3</v>
      </c>
      <c r="J20" s="1">
        <f t="shared" si="5"/>
        <v>101300</v>
      </c>
      <c r="K20" s="1">
        <f t="shared" si="6"/>
        <v>2.0124824921938581E-5</v>
      </c>
      <c r="L20" s="14">
        <v>86.653465346534659</v>
      </c>
      <c r="M20" s="2">
        <f t="shared" si="7"/>
        <v>8.6653465346534661E-5</v>
      </c>
      <c r="N20" s="3">
        <f t="shared" si="8"/>
        <v>4.7762865441819992E-3</v>
      </c>
      <c r="O20" s="16">
        <f t="shared" si="9"/>
        <v>3.6511331613939942E-7</v>
      </c>
      <c r="P20" s="16">
        <f t="shared" si="10"/>
        <v>2.1987123897914634E+17</v>
      </c>
      <c r="Q20" s="2">
        <v>0.31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</row>
    <row r="21" spans="1:68" s="4" customFormat="1" x14ac:dyDescent="0.25">
      <c r="A21" s="1">
        <v>57</v>
      </c>
      <c r="B21" s="1">
        <f t="shared" si="1"/>
        <v>0.95</v>
      </c>
      <c r="C21" s="1">
        <f t="shared" si="2"/>
        <v>3420</v>
      </c>
      <c r="D21" s="1">
        <v>20</v>
      </c>
      <c r="E21" s="1">
        <f t="shared" si="0"/>
        <v>29.146000000000001</v>
      </c>
      <c r="F21" s="1">
        <f t="shared" si="3"/>
        <v>4.8576666666666667E-7</v>
      </c>
      <c r="G21" s="1">
        <v>21.1</v>
      </c>
      <c r="H21" s="1">
        <f t="shared" si="4"/>
        <v>294.10000000000002</v>
      </c>
      <c r="I21" s="1">
        <v>101.3</v>
      </c>
      <c r="J21" s="1">
        <f t="shared" si="5"/>
        <v>101300</v>
      </c>
      <c r="K21" s="1">
        <f t="shared" si="6"/>
        <v>2.0124824921938581E-5</v>
      </c>
      <c r="L21" s="14">
        <v>75.341584158415841</v>
      </c>
      <c r="M21" s="2">
        <f t="shared" si="7"/>
        <v>7.5341584158415836E-5</v>
      </c>
      <c r="N21" s="3">
        <f t="shared" si="8"/>
        <v>4.7762865441819992E-3</v>
      </c>
      <c r="O21" s="16">
        <f t="shared" si="9"/>
        <v>3.1745084314016909E-7</v>
      </c>
      <c r="P21" s="16">
        <f t="shared" si="10"/>
        <v>1.9116889773900982E+17</v>
      </c>
      <c r="Q21" s="2">
        <v>0.31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</row>
    <row r="22" spans="1:68" s="4" customFormat="1" x14ac:dyDescent="0.25">
      <c r="A22" s="1">
        <v>60</v>
      </c>
      <c r="B22" s="1">
        <f t="shared" si="1"/>
        <v>1</v>
      </c>
      <c r="C22" s="1">
        <f t="shared" si="2"/>
        <v>3600</v>
      </c>
      <c r="D22" s="1">
        <v>20</v>
      </c>
      <c r="E22" s="1">
        <f t="shared" si="0"/>
        <v>29.146000000000001</v>
      </c>
      <c r="F22" s="1">
        <f t="shared" si="3"/>
        <v>4.8576666666666667E-7</v>
      </c>
      <c r="G22" s="1">
        <v>21.1</v>
      </c>
      <c r="H22" s="1">
        <f t="shared" si="4"/>
        <v>294.10000000000002</v>
      </c>
      <c r="I22" s="1">
        <v>101.3</v>
      </c>
      <c r="J22" s="1">
        <f t="shared" si="5"/>
        <v>101300</v>
      </c>
      <c r="K22" s="1">
        <f t="shared" si="6"/>
        <v>2.0124824921938581E-5</v>
      </c>
      <c r="L22" s="14">
        <v>76.455445544554465</v>
      </c>
      <c r="M22" s="2">
        <f t="shared" si="7"/>
        <v>7.6455445544554469E-5</v>
      </c>
      <c r="N22" s="3">
        <f t="shared" si="8"/>
        <v>4.7762865441819992E-3</v>
      </c>
      <c r="O22" s="16">
        <f t="shared" si="9"/>
        <v>3.2214408446394455E-7</v>
      </c>
      <c r="P22" s="16">
        <f t="shared" si="10"/>
        <v>1.9399516766418742E+17</v>
      </c>
      <c r="Q22" s="2">
        <v>0.31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</row>
    <row r="23" spans="1:68" s="4" customFormat="1" x14ac:dyDescent="0.25">
      <c r="A23" s="1">
        <v>63</v>
      </c>
      <c r="B23" s="1">
        <f t="shared" si="1"/>
        <v>1.05</v>
      </c>
      <c r="C23" s="1">
        <f t="shared" si="2"/>
        <v>3780</v>
      </c>
      <c r="D23" s="1">
        <v>20</v>
      </c>
      <c r="E23" s="1">
        <f t="shared" si="0"/>
        <v>29.146000000000001</v>
      </c>
      <c r="F23" s="1">
        <f t="shared" si="3"/>
        <v>4.8576666666666667E-7</v>
      </c>
      <c r="G23" s="1">
        <v>21.1</v>
      </c>
      <c r="H23" s="1">
        <f t="shared" si="4"/>
        <v>294.10000000000002</v>
      </c>
      <c r="I23" s="1">
        <v>101.3</v>
      </c>
      <c r="J23" s="1">
        <f t="shared" si="5"/>
        <v>101300</v>
      </c>
      <c r="K23" s="1">
        <f t="shared" si="6"/>
        <v>2.0124824921938581E-5</v>
      </c>
      <c r="L23" s="14">
        <v>81.801980198019805</v>
      </c>
      <c r="M23" s="2">
        <f t="shared" si="7"/>
        <v>8.1801980198019809E-5</v>
      </c>
      <c r="N23" s="3">
        <f t="shared" si="8"/>
        <v>4.7762865441819992E-3</v>
      </c>
      <c r="O23" s="16">
        <f t="shared" si="9"/>
        <v>3.4467164281806654E-7</v>
      </c>
      <c r="P23" s="16">
        <f t="shared" si="10"/>
        <v>2.0756126330503968E+17</v>
      </c>
      <c r="Q23" s="2">
        <v>0.31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</row>
    <row r="24" spans="1:68" s="4" customFormat="1" x14ac:dyDescent="0.25">
      <c r="A24" s="1">
        <v>66</v>
      </c>
      <c r="B24" s="1">
        <f t="shared" si="1"/>
        <v>1.1000000000000001</v>
      </c>
      <c r="C24" s="1">
        <f t="shared" si="2"/>
        <v>3960.0000000000005</v>
      </c>
      <c r="D24" s="1">
        <v>20</v>
      </c>
      <c r="E24" s="1">
        <f t="shared" si="0"/>
        <v>29.146000000000001</v>
      </c>
      <c r="F24" s="1">
        <f t="shared" si="3"/>
        <v>4.8576666666666667E-7</v>
      </c>
      <c r="G24" s="1">
        <v>21.1</v>
      </c>
      <c r="H24" s="1">
        <f t="shared" si="4"/>
        <v>294.10000000000002</v>
      </c>
      <c r="I24" s="1">
        <v>101.3</v>
      </c>
      <c r="J24" s="1">
        <f t="shared" si="5"/>
        <v>101300</v>
      </c>
      <c r="K24" s="1">
        <f t="shared" si="6"/>
        <v>2.0124824921938581E-5</v>
      </c>
      <c r="L24" s="14">
        <v>86.10891089108911</v>
      </c>
      <c r="M24" s="2">
        <f t="shared" si="7"/>
        <v>8.6108910891089115E-5</v>
      </c>
      <c r="N24" s="3">
        <f t="shared" si="8"/>
        <v>4.7762865441819992E-3</v>
      </c>
      <c r="O24" s="16">
        <f t="shared" si="9"/>
        <v>3.6281884260333145E-7</v>
      </c>
      <c r="P24" s="16">
        <f t="shared" si="10"/>
        <v>2.1848950701572621E+17</v>
      </c>
      <c r="Q24" s="2">
        <v>0.31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</row>
    <row r="25" spans="1:68" s="4" customFormat="1" x14ac:dyDescent="0.25">
      <c r="A25" s="1">
        <v>69</v>
      </c>
      <c r="B25" s="1">
        <f t="shared" si="1"/>
        <v>1.1499999999999999</v>
      </c>
      <c r="C25" s="1">
        <f t="shared" si="2"/>
        <v>4140</v>
      </c>
      <c r="D25" s="1">
        <v>20</v>
      </c>
      <c r="E25" s="1">
        <f t="shared" si="0"/>
        <v>29.146000000000001</v>
      </c>
      <c r="F25" s="1">
        <f t="shared" si="3"/>
        <v>4.8576666666666667E-7</v>
      </c>
      <c r="G25" s="1">
        <v>21.1</v>
      </c>
      <c r="H25" s="1">
        <f t="shared" si="4"/>
        <v>294.10000000000002</v>
      </c>
      <c r="I25" s="1">
        <v>101.3</v>
      </c>
      <c r="J25" s="1">
        <f t="shared" si="5"/>
        <v>101300</v>
      </c>
      <c r="K25" s="1">
        <f t="shared" si="6"/>
        <v>2.0124824921938581E-5</v>
      </c>
      <c r="L25" s="14">
        <v>84.648514851485146</v>
      </c>
      <c r="M25" s="2">
        <f t="shared" si="7"/>
        <v>8.4648514851485142E-5</v>
      </c>
      <c r="N25" s="3">
        <f t="shared" si="8"/>
        <v>4.7762865441819992E-3</v>
      </c>
      <c r="O25" s="16">
        <f t="shared" si="9"/>
        <v>3.5666548175660365E-7</v>
      </c>
      <c r="P25" s="16">
        <f t="shared" si="10"/>
        <v>2.1478395311382672E+17</v>
      </c>
      <c r="Q25" s="2">
        <v>0.31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</row>
    <row r="26" spans="1:68" s="4" customFormat="1" x14ac:dyDescent="0.25">
      <c r="A26" s="1">
        <v>72</v>
      </c>
      <c r="B26" s="1">
        <f t="shared" si="1"/>
        <v>1.2</v>
      </c>
      <c r="C26" s="1">
        <f t="shared" si="2"/>
        <v>4320</v>
      </c>
      <c r="D26" s="1">
        <v>20</v>
      </c>
      <c r="E26" s="1">
        <f t="shared" si="0"/>
        <v>29.146000000000001</v>
      </c>
      <c r="F26" s="1">
        <f t="shared" si="3"/>
        <v>4.8576666666666667E-7</v>
      </c>
      <c r="G26" s="1">
        <v>21.1</v>
      </c>
      <c r="H26" s="1">
        <f t="shared" si="4"/>
        <v>294.10000000000002</v>
      </c>
      <c r="I26" s="1">
        <v>101.3</v>
      </c>
      <c r="J26" s="1">
        <f t="shared" si="5"/>
        <v>101300</v>
      </c>
      <c r="K26" s="1">
        <f t="shared" si="6"/>
        <v>2.0124824921938581E-5</v>
      </c>
      <c r="L26" s="14">
        <v>84.450495049504951</v>
      </c>
      <c r="M26" s="2">
        <f t="shared" si="7"/>
        <v>8.4450495049504949E-5</v>
      </c>
      <c r="N26" s="3">
        <f t="shared" si="8"/>
        <v>4.7762865441819992E-3</v>
      </c>
      <c r="O26" s="16">
        <f t="shared" si="9"/>
        <v>3.5583112774348803E-7</v>
      </c>
      <c r="P26" s="16">
        <f t="shared" si="10"/>
        <v>2.1428150512712851E+17</v>
      </c>
      <c r="Q26" s="2">
        <v>0.31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</row>
    <row r="27" spans="1:68" s="4" customFormat="1" x14ac:dyDescent="0.25">
      <c r="A27" s="1">
        <v>75</v>
      </c>
      <c r="B27" s="1">
        <f t="shared" si="1"/>
        <v>1.25</v>
      </c>
      <c r="C27" s="1">
        <f t="shared" si="2"/>
        <v>4500</v>
      </c>
      <c r="D27" s="1">
        <v>20</v>
      </c>
      <c r="E27" s="1">
        <f t="shared" si="0"/>
        <v>29.146000000000001</v>
      </c>
      <c r="F27" s="1">
        <f t="shared" si="3"/>
        <v>4.8576666666666667E-7</v>
      </c>
      <c r="G27" s="1">
        <v>21.1</v>
      </c>
      <c r="H27" s="1">
        <f t="shared" si="4"/>
        <v>294.10000000000002</v>
      </c>
      <c r="I27" s="1">
        <v>101.3</v>
      </c>
      <c r="J27" s="1">
        <f t="shared" si="5"/>
        <v>101300</v>
      </c>
      <c r="K27" s="1">
        <f t="shared" si="6"/>
        <v>2.0124824921938581E-5</v>
      </c>
      <c r="L27" s="14">
        <v>91.133663366336634</v>
      </c>
      <c r="M27" s="2">
        <f t="shared" si="7"/>
        <v>9.113366336633663E-5</v>
      </c>
      <c r="N27" s="3">
        <f t="shared" si="8"/>
        <v>4.7762865441819992E-3</v>
      </c>
      <c r="O27" s="16">
        <f t="shared" si="9"/>
        <v>3.8399057568614053E-7</v>
      </c>
      <c r="P27" s="16">
        <f t="shared" si="10"/>
        <v>2.3123912467819382E+17</v>
      </c>
      <c r="Q27" s="2">
        <v>0.31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</row>
    <row r="28" spans="1:68" s="4" customFormat="1" x14ac:dyDescent="0.25">
      <c r="A28" s="1">
        <v>78</v>
      </c>
      <c r="B28" s="1">
        <f t="shared" si="1"/>
        <v>1.3</v>
      </c>
      <c r="C28" s="1">
        <f t="shared" si="2"/>
        <v>4680</v>
      </c>
      <c r="D28" s="1">
        <v>20</v>
      </c>
      <c r="E28" s="1">
        <f t="shared" si="0"/>
        <v>29.146000000000001</v>
      </c>
      <c r="F28" s="1">
        <f t="shared" si="3"/>
        <v>4.8576666666666667E-7</v>
      </c>
      <c r="G28" s="1">
        <v>21.1</v>
      </c>
      <c r="H28" s="1">
        <f t="shared" si="4"/>
        <v>294.10000000000002</v>
      </c>
      <c r="I28" s="1">
        <v>101.3</v>
      </c>
      <c r="J28" s="1">
        <f t="shared" si="5"/>
        <v>101300</v>
      </c>
      <c r="K28" s="1">
        <f t="shared" si="6"/>
        <v>2.0124824921938581E-5</v>
      </c>
      <c r="L28" s="14">
        <v>89.821782178217831</v>
      </c>
      <c r="M28" s="2">
        <f t="shared" si="7"/>
        <v>8.9821782178217831E-5</v>
      </c>
      <c r="N28" s="3">
        <f t="shared" si="8"/>
        <v>4.7762865441819992E-3</v>
      </c>
      <c r="O28" s="16">
        <f t="shared" si="9"/>
        <v>3.784629803492495E-7</v>
      </c>
      <c r="P28" s="16">
        <f t="shared" si="10"/>
        <v>2.2791040676631805E+17</v>
      </c>
      <c r="Q28" s="2">
        <v>0.31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</row>
    <row r="29" spans="1:68" s="4" customFormat="1" x14ac:dyDescent="0.25">
      <c r="A29" s="1">
        <v>81</v>
      </c>
      <c r="B29" s="1">
        <f t="shared" si="1"/>
        <v>1.35</v>
      </c>
      <c r="C29" s="1">
        <f t="shared" si="2"/>
        <v>4860</v>
      </c>
      <c r="D29" s="1">
        <v>20</v>
      </c>
      <c r="E29" s="1">
        <f t="shared" si="0"/>
        <v>29.146000000000001</v>
      </c>
      <c r="F29" s="1">
        <f t="shared" si="3"/>
        <v>4.8576666666666667E-7</v>
      </c>
      <c r="G29" s="1">
        <v>21.1</v>
      </c>
      <c r="H29" s="1">
        <f t="shared" si="4"/>
        <v>294.10000000000002</v>
      </c>
      <c r="I29" s="1">
        <v>101.3</v>
      </c>
      <c r="J29" s="1">
        <f t="shared" si="5"/>
        <v>101300</v>
      </c>
      <c r="K29" s="1">
        <f t="shared" si="6"/>
        <v>2.0124824921938581E-5</v>
      </c>
      <c r="L29" s="14">
        <v>86.777227722772281</v>
      </c>
      <c r="M29" s="2">
        <f t="shared" si="7"/>
        <v>8.6777227722772279E-5</v>
      </c>
      <c r="N29" s="3">
        <f t="shared" si="8"/>
        <v>4.7762865441819992E-3</v>
      </c>
      <c r="O29" s="16">
        <f t="shared" si="9"/>
        <v>3.6563478739759671E-7</v>
      </c>
      <c r="P29" s="16">
        <f t="shared" si="10"/>
        <v>2.2018526897083274E+17</v>
      </c>
      <c r="Q29" s="2">
        <v>0.31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</row>
    <row r="30" spans="1:68" s="4" customFormat="1" x14ac:dyDescent="0.25">
      <c r="A30" s="1">
        <v>84</v>
      </c>
      <c r="B30" s="1">
        <f t="shared" si="1"/>
        <v>1.4</v>
      </c>
      <c r="C30" s="1">
        <f t="shared" si="2"/>
        <v>5040</v>
      </c>
      <c r="D30" s="1">
        <v>20</v>
      </c>
      <c r="E30" s="1">
        <f t="shared" si="0"/>
        <v>29.146000000000001</v>
      </c>
      <c r="F30" s="1">
        <f t="shared" si="3"/>
        <v>4.8576666666666667E-7</v>
      </c>
      <c r="G30" s="1">
        <v>21.1</v>
      </c>
      <c r="H30" s="1">
        <f t="shared" si="4"/>
        <v>294.10000000000002</v>
      </c>
      <c r="I30" s="1">
        <v>101.3</v>
      </c>
      <c r="J30" s="1">
        <f t="shared" si="5"/>
        <v>101300</v>
      </c>
      <c r="K30" s="1">
        <f t="shared" si="6"/>
        <v>2.0124824921938581E-5</v>
      </c>
      <c r="L30" s="14">
        <v>87.569306930693074</v>
      </c>
      <c r="M30" s="2">
        <f t="shared" si="7"/>
        <v>8.7569306930693075E-5</v>
      </c>
      <c r="N30" s="3">
        <f t="shared" si="8"/>
        <v>4.7762865441819992E-3</v>
      </c>
      <c r="O30" s="16">
        <f t="shared" si="9"/>
        <v>3.689722034500592E-7</v>
      </c>
      <c r="P30" s="16">
        <f t="shared" si="10"/>
        <v>2.2219506091762566E+17</v>
      </c>
      <c r="Q30" s="2">
        <v>0.31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</row>
    <row r="31" spans="1:68" s="4" customFormat="1" x14ac:dyDescent="0.25">
      <c r="A31" s="1">
        <v>87</v>
      </c>
      <c r="B31" s="1">
        <f t="shared" si="1"/>
        <v>1.45</v>
      </c>
      <c r="C31" s="1">
        <f t="shared" si="2"/>
        <v>5220</v>
      </c>
      <c r="D31" s="1">
        <v>20</v>
      </c>
      <c r="E31" s="1">
        <f t="shared" si="0"/>
        <v>29.146000000000001</v>
      </c>
      <c r="F31" s="1">
        <f t="shared" si="3"/>
        <v>4.8576666666666667E-7</v>
      </c>
      <c r="G31" s="1">
        <v>21.1</v>
      </c>
      <c r="H31" s="1">
        <f t="shared" si="4"/>
        <v>294.10000000000002</v>
      </c>
      <c r="I31" s="1">
        <v>101.3</v>
      </c>
      <c r="J31" s="1">
        <f t="shared" si="5"/>
        <v>101300</v>
      </c>
      <c r="K31" s="1">
        <f t="shared" si="6"/>
        <v>2.0124824921938581E-5</v>
      </c>
      <c r="L31" s="14">
        <v>86.009900990099013</v>
      </c>
      <c r="M31" s="2">
        <f t="shared" si="7"/>
        <v>8.6009900990099012E-5</v>
      </c>
      <c r="N31" s="3">
        <f t="shared" si="8"/>
        <v>4.7762865441819992E-3</v>
      </c>
      <c r="O31" s="16">
        <f t="shared" si="9"/>
        <v>3.6240166559677364E-7</v>
      </c>
      <c r="P31" s="16">
        <f t="shared" si="10"/>
        <v>2.1823828302237709E+17</v>
      </c>
      <c r="Q31" s="2">
        <v>0.31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</row>
    <row r="32" spans="1:68" s="4" customFormat="1" x14ac:dyDescent="0.25">
      <c r="A32" s="1">
        <v>90</v>
      </c>
      <c r="B32" s="1">
        <f t="shared" si="1"/>
        <v>1.5</v>
      </c>
      <c r="C32" s="1">
        <f t="shared" si="2"/>
        <v>5400</v>
      </c>
      <c r="D32" s="1">
        <v>20</v>
      </c>
      <c r="E32" s="1">
        <f t="shared" si="0"/>
        <v>29.146000000000001</v>
      </c>
      <c r="F32" s="1">
        <f t="shared" si="3"/>
        <v>4.8576666666666667E-7</v>
      </c>
      <c r="G32" s="1">
        <v>21.1</v>
      </c>
      <c r="H32" s="1">
        <f t="shared" si="4"/>
        <v>294.10000000000002</v>
      </c>
      <c r="I32" s="1">
        <v>101.3</v>
      </c>
      <c r="J32" s="1">
        <f t="shared" si="5"/>
        <v>101300</v>
      </c>
      <c r="K32" s="1">
        <f t="shared" si="6"/>
        <v>2.0124824921938581E-5</v>
      </c>
      <c r="L32" s="14">
        <v>90.811881188118818</v>
      </c>
      <c r="M32" s="2">
        <f t="shared" si="7"/>
        <v>9.081188118811882E-5</v>
      </c>
      <c r="N32" s="3">
        <f t="shared" si="8"/>
        <v>4.7762865441819992E-3</v>
      </c>
      <c r="O32" s="16">
        <f t="shared" si="9"/>
        <v>3.8263475041482767E-7</v>
      </c>
      <c r="P32" s="16">
        <f t="shared" si="10"/>
        <v>2.3042264669980922E+17</v>
      </c>
      <c r="Q32" s="2">
        <v>0.31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</row>
    <row r="33" spans="1:68" s="4" customFormat="1" x14ac:dyDescent="0.25">
      <c r="A33" s="1">
        <v>93</v>
      </c>
      <c r="B33" s="1">
        <f t="shared" si="1"/>
        <v>1.55</v>
      </c>
      <c r="C33" s="1">
        <f t="shared" si="2"/>
        <v>5580</v>
      </c>
      <c r="D33" s="1">
        <v>20</v>
      </c>
      <c r="E33" s="1">
        <f t="shared" si="0"/>
        <v>29.146000000000001</v>
      </c>
      <c r="F33" s="1">
        <f t="shared" si="3"/>
        <v>4.8576666666666667E-7</v>
      </c>
      <c r="G33" s="1">
        <v>21.1</v>
      </c>
      <c r="H33" s="1">
        <f t="shared" si="4"/>
        <v>294.10000000000002</v>
      </c>
      <c r="I33" s="1">
        <v>101.3</v>
      </c>
      <c r="J33" s="1">
        <f t="shared" si="5"/>
        <v>101300</v>
      </c>
      <c r="K33" s="1">
        <f t="shared" si="6"/>
        <v>2.0124824921938581E-5</v>
      </c>
      <c r="L33" s="14">
        <v>93.06435643564356</v>
      </c>
      <c r="M33" s="2">
        <f t="shared" si="7"/>
        <v>9.3064356435643562E-5</v>
      </c>
      <c r="N33" s="3">
        <f t="shared" si="8"/>
        <v>4.7762865441819992E-3</v>
      </c>
      <c r="O33" s="16">
        <f t="shared" si="9"/>
        <v>3.9212552731401791E-7</v>
      </c>
      <c r="P33" s="16">
        <f t="shared" si="10"/>
        <v>2.361379925485016E+17</v>
      </c>
      <c r="Q33" s="2">
        <v>0.31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</row>
    <row r="34" spans="1:68" s="4" customFormat="1" x14ac:dyDescent="0.25">
      <c r="A34" s="1">
        <v>96</v>
      </c>
      <c r="B34" s="1">
        <f t="shared" si="1"/>
        <v>1.6</v>
      </c>
      <c r="C34" s="1">
        <f t="shared" si="2"/>
        <v>5760</v>
      </c>
      <c r="D34" s="1">
        <v>20</v>
      </c>
      <c r="E34" s="1">
        <f t="shared" si="0"/>
        <v>29.146000000000001</v>
      </c>
      <c r="F34" s="1">
        <f t="shared" si="3"/>
        <v>4.8576666666666667E-7</v>
      </c>
      <c r="G34" s="1">
        <v>21.1</v>
      </c>
      <c r="H34" s="1">
        <f t="shared" si="4"/>
        <v>294.10000000000002</v>
      </c>
      <c r="I34" s="1">
        <v>101.3</v>
      </c>
      <c r="J34" s="1">
        <f t="shared" si="5"/>
        <v>101300</v>
      </c>
      <c r="K34" s="1">
        <f t="shared" si="6"/>
        <v>2.0124824921938581E-5</v>
      </c>
      <c r="L34" s="14">
        <v>93.361386138613867</v>
      </c>
      <c r="M34" s="2">
        <f t="shared" si="7"/>
        <v>9.3361386138613871E-5</v>
      </c>
      <c r="N34" s="3">
        <f t="shared" si="8"/>
        <v>4.7762865441819992E-3</v>
      </c>
      <c r="O34" s="16">
        <f t="shared" si="9"/>
        <v>3.9337705833369134E-7</v>
      </c>
      <c r="P34" s="16">
        <f t="shared" si="10"/>
        <v>2.3689166452854893E+17</v>
      </c>
      <c r="Q34" s="2">
        <v>0.31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</row>
    <row r="35" spans="1:68" s="4" customFormat="1" x14ac:dyDescent="0.25">
      <c r="A35" s="1">
        <v>99</v>
      </c>
      <c r="B35" s="1">
        <f t="shared" si="1"/>
        <v>1.65</v>
      </c>
      <c r="C35" s="1">
        <f t="shared" si="2"/>
        <v>5940</v>
      </c>
      <c r="D35" s="1">
        <v>20</v>
      </c>
      <c r="E35" s="1">
        <f t="shared" si="0"/>
        <v>29.146000000000001</v>
      </c>
      <c r="F35" s="1">
        <f t="shared" si="3"/>
        <v>4.8576666666666667E-7</v>
      </c>
      <c r="G35" s="1">
        <v>21.1</v>
      </c>
      <c r="H35" s="1">
        <f t="shared" si="4"/>
        <v>294.10000000000002</v>
      </c>
      <c r="I35" s="1">
        <v>101.3</v>
      </c>
      <c r="J35" s="1">
        <f t="shared" si="5"/>
        <v>101300</v>
      </c>
      <c r="K35" s="1">
        <f t="shared" si="6"/>
        <v>2.0124824921938581E-5</v>
      </c>
      <c r="L35" s="14">
        <v>98.163366336633672</v>
      </c>
      <c r="M35" s="2">
        <f t="shared" si="7"/>
        <v>9.8163366336633678E-5</v>
      </c>
      <c r="N35" s="3">
        <f t="shared" si="8"/>
        <v>4.7762865441819992E-3</v>
      </c>
      <c r="O35" s="16">
        <f t="shared" si="9"/>
        <v>4.1361014315174547E-7</v>
      </c>
      <c r="P35" s="16">
        <f t="shared" si="10"/>
        <v>2.4907602820598115E+17</v>
      </c>
      <c r="Q35" s="2">
        <v>0.31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</row>
    <row r="36" spans="1:68" s="4" customFormat="1" x14ac:dyDescent="0.25">
      <c r="A36" s="1">
        <v>102</v>
      </c>
      <c r="B36" s="1">
        <f t="shared" si="1"/>
        <v>1.7</v>
      </c>
      <c r="C36" s="1">
        <f t="shared" si="2"/>
        <v>6120</v>
      </c>
      <c r="D36" s="1">
        <v>20</v>
      </c>
      <c r="E36" s="1">
        <f t="shared" si="0"/>
        <v>29.146000000000001</v>
      </c>
      <c r="F36" s="1">
        <f t="shared" si="3"/>
        <v>4.8576666666666667E-7</v>
      </c>
      <c r="G36" s="1">
        <v>21.1</v>
      </c>
      <c r="H36" s="1">
        <f t="shared" si="4"/>
        <v>294.10000000000002</v>
      </c>
      <c r="I36" s="1">
        <v>101.3</v>
      </c>
      <c r="J36" s="1">
        <f t="shared" si="5"/>
        <v>101300</v>
      </c>
      <c r="K36" s="1">
        <f t="shared" si="6"/>
        <v>2.0124824921938581E-5</v>
      </c>
      <c r="L36" s="14">
        <v>95.292079207920793</v>
      </c>
      <c r="M36" s="2">
        <f t="shared" si="7"/>
        <v>9.5292079207920789E-5</v>
      </c>
      <c r="N36" s="3">
        <f t="shared" si="8"/>
        <v>4.7762865441819992E-3</v>
      </c>
      <c r="O36" s="16">
        <f t="shared" si="9"/>
        <v>4.0151200996156872E-7</v>
      </c>
      <c r="P36" s="16">
        <f t="shared" si="10"/>
        <v>2.417905323988567E+17</v>
      </c>
      <c r="Q36" s="2">
        <v>0.31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</row>
    <row r="37" spans="1:68" s="4" customFormat="1" x14ac:dyDescent="0.25">
      <c r="A37" s="1">
        <v>105</v>
      </c>
      <c r="B37" s="1">
        <f t="shared" si="1"/>
        <v>1.75</v>
      </c>
      <c r="C37" s="1">
        <f t="shared" si="2"/>
        <v>6300</v>
      </c>
      <c r="D37" s="1">
        <v>20</v>
      </c>
      <c r="E37" s="1">
        <f t="shared" si="0"/>
        <v>29.146000000000001</v>
      </c>
      <c r="F37" s="1">
        <f t="shared" si="3"/>
        <v>4.8576666666666667E-7</v>
      </c>
      <c r="G37" s="1">
        <v>21.1</v>
      </c>
      <c r="H37" s="1">
        <f t="shared" si="4"/>
        <v>294.10000000000002</v>
      </c>
      <c r="I37" s="1">
        <v>101.3</v>
      </c>
      <c r="J37" s="1">
        <f t="shared" si="5"/>
        <v>101300</v>
      </c>
      <c r="K37" s="1">
        <f t="shared" si="6"/>
        <v>2.0124824921938581E-5</v>
      </c>
      <c r="L37" s="14">
        <v>91.579207920792086</v>
      </c>
      <c r="M37" s="2">
        <f t="shared" si="7"/>
        <v>9.1579207920792086E-5</v>
      </c>
      <c r="N37" s="3">
        <f t="shared" si="8"/>
        <v>4.7762865441819992E-3</v>
      </c>
      <c r="O37" s="16">
        <f t="shared" si="9"/>
        <v>3.8586787221565073E-7</v>
      </c>
      <c r="P37" s="16">
        <f t="shared" si="10"/>
        <v>2.323696326482649E+17</v>
      </c>
      <c r="Q37" s="2">
        <v>0.31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</row>
    <row r="38" spans="1:68" s="4" customFormat="1" x14ac:dyDescent="0.25">
      <c r="A38" s="1">
        <v>108</v>
      </c>
      <c r="B38" s="1">
        <f t="shared" si="1"/>
        <v>1.8</v>
      </c>
      <c r="C38" s="1">
        <f t="shared" si="2"/>
        <v>6480</v>
      </c>
      <c r="D38" s="1">
        <v>20</v>
      </c>
      <c r="E38" s="1">
        <f t="shared" si="0"/>
        <v>29.146000000000001</v>
      </c>
      <c r="F38" s="1">
        <f t="shared" si="3"/>
        <v>4.8576666666666667E-7</v>
      </c>
      <c r="G38" s="1">
        <v>21.1</v>
      </c>
      <c r="H38" s="1">
        <f t="shared" si="4"/>
        <v>294.10000000000002</v>
      </c>
      <c r="I38" s="1">
        <v>101.3</v>
      </c>
      <c r="J38" s="1">
        <f t="shared" si="5"/>
        <v>101300</v>
      </c>
      <c r="K38" s="1">
        <f t="shared" si="6"/>
        <v>2.0124824921938581E-5</v>
      </c>
      <c r="L38" s="14">
        <v>88.237623762376245</v>
      </c>
      <c r="M38" s="2">
        <f t="shared" si="7"/>
        <v>8.8237623762376239E-5</v>
      </c>
      <c r="N38" s="3">
        <f t="shared" si="8"/>
        <v>4.7762865441819992E-3</v>
      </c>
      <c r="O38" s="16">
        <f t="shared" si="9"/>
        <v>3.7178814824432446E-7</v>
      </c>
      <c r="P38" s="16">
        <f t="shared" si="10"/>
        <v>2.2389082287273219E+17</v>
      </c>
      <c r="Q38" s="2">
        <v>0.31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</row>
    <row r="39" spans="1:68" s="4" customFormat="1" x14ac:dyDescent="0.25">
      <c r="A39" s="1">
        <v>111</v>
      </c>
      <c r="B39" s="1">
        <f t="shared" si="1"/>
        <v>1.85</v>
      </c>
      <c r="C39" s="1">
        <f t="shared" si="2"/>
        <v>6660</v>
      </c>
      <c r="D39" s="1">
        <v>20</v>
      </c>
      <c r="E39" s="1">
        <f t="shared" si="0"/>
        <v>29.146000000000001</v>
      </c>
      <c r="F39" s="1">
        <f t="shared" si="3"/>
        <v>4.8576666666666667E-7</v>
      </c>
      <c r="G39" s="1">
        <v>21.1</v>
      </c>
      <c r="H39" s="1">
        <f t="shared" si="4"/>
        <v>294.10000000000002</v>
      </c>
      <c r="I39" s="1">
        <v>101.3</v>
      </c>
      <c r="J39" s="1">
        <f t="shared" si="5"/>
        <v>101300</v>
      </c>
      <c r="K39" s="1">
        <f t="shared" si="6"/>
        <v>2.0124824921938581E-5</v>
      </c>
      <c r="L39" s="14">
        <v>98.138613861386133</v>
      </c>
      <c r="M39" s="2">
        <f t="shared" si="7"/>
        <v>9.8138613861386135E-5</v>
      </c>
      <c r="N39" s="3">
        <f t="shared" si="8"/>
        <v>4.7762865441819992E-3</v>
      </c>
      <c r="O39" s="16">
        <f t="shared" si="9"/>
        <v>4.1350584890010589E-7</v>
      </c>
      <c r="P39" s="16">
        <f t="shared" si="10"/>
        <v>2.4901322220764378E+17</v>
      </c>
      <c r="Q39" s="2">
        <v>0.31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</row>
    <row r="40" spans="1:68" s="4" customFormat="1" x14ac:dyDescent="0.25">
      <c r="A40" s="1">
        <v>114</v>
      </c>
      <c r="B40" s="1">
        <f t="shared" si="1"/>
        <v>1.9</v>
      </c>
      <c r="C40" s="1">
        <f t="shared" si="2"/>
        <v>6840</v>
      </c>
      <c r="D40" s="1">
        <v>20</v>
      </c>
      <c r="E40" s="1">
        <f t="shared" si="0"/>
        <v>29.146000000000001</v>
      </c>
      <c r="F40" s="1">
        <f t="shared" si="3"/>
        <v>4.8576666666666667E-7</v>
      </c>
      <c r="G40" s="1">
        <v>21.1</v>
      </c>
      <c r="H40" s="1">
        <f t="shared" si="4"/>
        <v>294.10000000000002</v>
      </c>
      <c r="I40" s="1">
        <v>101.3</v>
      </c>
      <c r="J40" s="1">
        <f t="shared" si="5"/>
        <v>101300</v>
      </c>
      <c r="K40" s="1">
        <f t="shared" si="6"/>
        <v>2.0124824921938581E-5</v>
      </c>
      <c r="L40" s="14">
        <v>100.66336633663369</v>
      </c>
      <c r="M40" s="2">
        <f t="shared" si="7"/>
        <v>1.0066336633663368E-4</v>
      </c>
      <c r="N40" s="3">
        <f t="shared" si="8"/>
        <v>4.7762865441819992E-3</v>
      </c>
      <c r="O40" s="16">
        <f t="shared" si="9"/>
        <v>4.2414386256733025E-7</v>
      </c>
      <c r="P40" s="16">
        <f t="shared" si="10"/>
        <v>2.5541943403804627E+17</v>
      </c>
      <c r="Q40" s="2">
        <v>0.31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</row>
    <row r="41" spans="1:68" s="4" customFormat="1" x14ac:dyDescent="0.25">
      <c r="A41" s="1">
        <v>117</v>
      </c>
      <c r="B41" s="1">
        <f t="shared" si="1"/>
        <v>1.95</v>
      </c>
      <c r="C41" s="1">
        <f t="shared" si="2"/>
        <v>7020</v>
      </c>
      <c r="D41" s="1">
        <v>20</v>
      </c>
      <c r="E41" s="1">
        <f t="shared" si="0"/>
        <v>29.146000000000001</v>
      </c>
      <c r="F41" s="1">
        <f t="shared" si="3"/>
        <v>4.8576666666666667E-7</v>
      </c>
      <c r="G41" s="1">
        <v>21.1</v>
      </c>
      <c r="H41" s="1">
        <f t="shared" si="4"/>
        <v>294.10000000000002</v>
      </c>
      <c r="I41" s="1">
        <v>101.3</v>
      </c>
      <c r="J41" s="1">
        <f t="shared" si="5"/>
        <v>101300</v>
      </c>
      <c r="K41" s="1">
        <f t="shared" si="6"/>
        <v>2.0124824921938581E-5</v>
      </c>
      <c r="L41" s="14">
        <v>91.579207920792086</v>
      </c>
      <c r="M41" s="2">
        <f t="shared" si="7"/>
        <v>9.1579207920792086E-5</v>
      </c>
      <c r="N41" s="3">
        <f t="shared" si="8"/>
        <v>4.7762865441819992E-3</v>
      </c>
      <c r="O41" s="16">
        <f t="shared" si="9"/>
        <v>3.8586787221565073E-7</v>
      </c>
      <c r="P41" s="16">
        <f t="shared" si="10"/>
        <v>2.323696326482649E+17</v>
      </c>
      <c r="Q41" s="2">
        <v>0.31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</row>
    <row r="42" spans="1:68" s="4" customFormat="1" x14ac:dyDescent="0.25">
      <c r="A42" s="1">
        <v>120</v>
      </c>
      <c r="B42" s="1">
        <f t="shared" si="1"/>
        <v>2</v>
      </c>
      <c r="C42" s="1">
        <f t="shared" si="2"/>
        <v>7200</v>
      </c>
      <c r="D42" s="1">
        <v>20</v>
      </c>
      <c r="E42" s="1">
        <f t="shared" si="0"/>
        <v>29.146000000000001</v>
      </c>
      <c r="F42" s="1">
        <f t="shared" si="3"/>
        <v>4.8576666666666667E-7</v>
      </c>
      <c r="G42" s="1">
        <v>21.1</v>
      </c>
      <c r="H42" s="1">
        <f t="shared" si="4"/>
        <v>294.10000000000002</v>
      </c>
      <c r="I42" s="1">
        <v>101.3</v>
      </c>
      <c r="J42" s="1">
        <f t="shared" si="5"/>
        <v>101300</v>
      </c>
      <c r="K42" s="1">
        <f t="shared" si="6"/>
        <v>2.0124824921938581E-5</v>
      </c>
      <c r="L42" s="14">
        <v>88.43564356435644</v>
      </c>
      <c r="M42" s="2">
        <f t="shared" si="7"/>
        <v>8.8435643564356445E-5</v>
      </c>
      <c r="N42" s="3">
        <f t="shared" si="8"/>
        <v>4.7762865441819992E-3</v>
      </c>
      <c r="O42" s="16">
        <f t="shared" si="9"/>
        <v>3.7262250225744013E-7</v>
      </c>
      <c r="P42" s="16">
        <f t="shared" si="10"/>
        <v>2.2439327085943046E+17</v>
      </c>
      <c r="Q42" s="2">
        <v>0.31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</row>
    <row r="43" spans="1:68" s="4" customFormat="1" x14ac:dyDescent="0.25">
      <c r="A43" s="1">
        <v>123</v>
      </c>
      <c r="B43" s="1">
        <f t="shared" si="1"/>
        <v>2.0499999999999998</v>
      </c>
      <c r="C43" s="1">
        <f t="shared" si="2"/>
        <v>7379.9999999999991</v>
      </c>
      <c r="D43" s="1">
        <v>20</v>
      </c>
      <c r="E43" s="1">
        <f t="shared" si="0"/>
        <v>29.146000000000001</v>
      </c>
      <c r="F43" s="1">
        <f t="shared" si="3"/>
        <v>4.8576666666666667E-7</v>
      </c>
      <c r="G43" s="1">
        <v>21.1</v>
      </c>
      <c r="H43" s="1">
        <f t="shared" si="4"/>
        <v>294.10000000000002</v>
      </c>
      <c r="I43" s="1">
        <v>101.3</v>
      </c>
      <c r="J43" s="1">
        <f t="shared" si="5"/>
        <v>101300</v>
      </c>
      <c r="K43" s="1">
        <f t="shared" si="6"/>
        <v>2.0124824921938581E-5</v>
      </c>
      <c r="L43" s="14">
        <v>94.32673267326733</v>
      </c>
      <c r="M43" s="2">
        <f t="shared" si="7"/>
        <v>9.432673267326733E-5</v>
      </c>
      <c r="N43" s="3">
        <f t="shared" si="8"/>
        <v>4.7762865441819992E-3</v>
      </c>
      <c r="O43" s="16">
        <f t="shared" si="9"/>
        <v>3.9744453414763009E-7</v>
      </c>
      <c r="P43" s="16">
        <f t="shared" si="10"/>
        <v>2.3934109846370285E+17</v>
      </c>
      <c r="Q43" s="2">
        <v>0.31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</row>
    <row r="44" spans="1:68" s="4" customFormat="1" x14ac:dyDescent="0.25">
      <c r="A44" s="1">
        <v>126</v>
      </c>
      <c r="B44" s="1">
        <f t="shared" si="1"/>
        <v>2.1</v>
      </c>
      <c r="C44" s="1">
        <f t="shared" si="2"/>
        <v>7560</v>
      </c>
      <c r="D44" s="1">
        <v>20</v>
      </c>
      <c r="E44" s="1">
        <f t="shared" si="0"/>
        <v>29.146000000000001</v>
      </c>
      <c r="F44" s="1">
        <f t="shared" si="3"/>
        <v>4.8576666666666667E-7</v>
      </c>
      <c r="G44" s="1">
        <v>21.1</v>
      </c>
      <c r="H44" s="1">
        <f t="shared" si="4"/>
        <v>294.10000000000002</v>
      </c>
      <c r="I44" s="1">
        <v>101.3</v>
      </c>
      <c r="J44" s="1">
        <f t="shared" si="5"/>
        <v>101300</v>
      </c>
      <c r="K44" s="1">
        <f t="shared" si="6"/>
        <v>2.0124824921938581E-5</v>
      </c>
      <c r="L44" s="14">
        <v>101.72772277227725</v>
      </c>
      <c r="M44" s="2">
        <f t="shared" si="7"/>
        <v>1.0172772277227725E-4</v>
      </c>
      <c r="N44" s="3">
        <f t="shared" si="8"/>
        <v>4.7762865441819992E-3</v>
      </c>
      <c r="O44" s="16">
        <f t="shared" si="9"/>
        <v>4.286285153878268E-7</v>
      </c>
      <c r="P44" s="16">
        <f t="shared" si="10"/>
        <v>2.5812009196654931E+17</v>
      </c>
      <c r="Q44" s="2">
        <v>0.31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</row>
    <row r="45" spans="1:68" s="4" customFormat="1" x14ac:dyDescent="0.25">
      <c r="A45" s="1">
        <v>129</v>
      </c>
      <c r="B45" s="1">
        <f t="shared" si="1"/>
        <v>2.15</v>
      </c>
      <c r="C45" s="1">
        <f t="shared" si="2"/>
        <v>7740</v>
      </c>
      <c r="D45" s="1">
        <v>20</v>
      </c>
      <c r="E45" s="1">
        <f t="shared" si="0"/>
        <v>29.146000000000001</v>
      </c>
      <c r="F45" s="1">
        <f t="shared" si="3"/>
        <v>4.8576666666666667E-7</v>
      </c>
      <c r="G45" s="1">
        <v>21.1</v>
      </c>
      <c r="H45" s="1">
        <f t="shared" si="4"/>
        <v>294.10000000000002</v>
      </c>
      <c r="I45" s="1">
        <v>101.3</v>
      </c>
      <c r="J45" s="1">
        <f t="shared" si="5"/>
        <v>101300</v>
      </c>
      <c r="K45" s="1">
        <f t="shared" si="6"/>
        <v>2.0124824921938581E-5</v>
      </c>
      <c r="L45" s="14">
        <v>102.12376237623765</v>
      </c>
      <c r="M45" s="2">
        <f t="shared" si="7"/>
        <v>1.0212376237623764E-4</v>
      </c>
      <c r="N45" s="3">
        <f t="shared" si="8"/>
        <v>4.7762865441819992E-3</v>
      </c>
      <c r="O45" s="16">
        <f t="shared" si="9"/>
        <v>4.3029722341405805E-7</v>
      </c>
      <c r="P45" s="16">
        <f t="shared" si="10"/>
        <v>2.5912498793994576E+17</v>
      </c>
      <c r="Q45" s="2">
        <v>0.31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</row>
    <row r="46" spans="1:68" s="4" customFormat="1" x14ac:dyDescent="0.25">
      <c r="A46" s="1">
        <v>132</v>
      </c>
      <c r="B46" s="1">
        <f t="shared" si="1"/>
        <v>2.2000000000000002</v>
      </c>
      <c r="C46" s="1">
        <f t="shared" si="2"/>
        <v>7920.0000000000009</v>
      </c>
      <c r="D46" s="1">
        <v>20</v>
      </c>
      <c r="E46" s="1">
        <f t="shared" si="0"/>
        <v>29.146000000000001</v>
      </c>
      <c r="F46" s="1">
        <f t="shared" si="3"/>
        <v>4.8576666666666667E-7</v>
      </c>
      <c r="G46" s="1">
        <v>21.1</v>
      </c>
      <c r="H46" s="1">
        <f t="shared" si="4"/>
        <v>294.10000000000002</v>
      </c>
      <c r="I46" s="1">
        <v>101.3</v>
      </c>
      <c r="J46" s="1">
        <f t="shared" si="5"/>
        <v>101300</v>
      </c>
      <c r="K46" s="1">
        <f t="shared" si="6"/>
        <v>2.0124824921938581E-5</v>
      </c>
      <c r="L46" s="14">
        <v>95.836633663366342</v>
      </c>
      <c r="M46" s="2">
        <f t="shared" si="7"/>
        <v>9.5836633663366348E-5</v>
      </c>
      <c r="N46" s="3">
        <f t="shared" si="8"/>
        <v>4.7762865441819992E-3</v>
      </c>
      <c r="O46" s="16">
        <f t="shared" si="9"/>
        <v>4.0380648349763674E-7</v>
      </c>
      <c r="P46" s="16">
        <f t="shared" si="10"/>
        <v>2.4317226436227686E+17</v>
      </c>
      <c r="Q46" s="2">
        <v>0.31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</row>
    <row r="47" spans="1:68" s="4" customFormat="1" x14ac:dyDescent="0.25">
      <c r="A47" s="1">
        <v>135</v>
      </c>
      <c r="B47" s="1">
        <f t="shared" si="1"/>
        <v>2.25</v>
      </c>
      <c r="C47" s="1">
        <f t="shared" si="2"/>
        <v>8100</v>
      </c>
      <c r="D47" s="1">
        <v>20</v>
      </c>
      <c r="E47" s="1">
        <f t="shared" si="0"/>
        <v>29.146000000000001</v>
      </c>
      <c r="F47" s="1">
        <f t="shared" si="3"/>
        <v>4.8576666666666667E-7</v>
      </c>
      <c r="G47" s="1">
        <v>21.1</v>
      </c>
      <c r="H47" s="1">
        <f t="shared" si="4"/>
        <v>294.10000000000002</v>
      </c>
      <c r="I47" s="1">
        <v>101.3</v>
      </c>
      <c r="J47" s="1">
        <f t="shared" si="5"/>
        <v>101300</v>
      </c>
      <c r="K47" s="1">
        <f t="shared" si="6"/>
        <v>2.0124824921938581E-5</v>
      </c>
      <c r="L47" s="14">
        <v>104.22772277227725</v>
      </c>
      <c r="M47" s="2">
        <f t="shared" si="7"/>
        <v>1.0422772277227725E-4</v>
      </c>
      <c r="N47" s="3">
        <f t="shared" si="8"/>
        <v>4.7762865441819992E-3</v>
      </c>
      <c r="O47" s="16">
        <f t="shared" si="9"/>
        <v>4.3916223480341168E-7</v>
      </c>
      <c r="P47" s="16">
        <f t="shared" si="10"/>
        <v>2.6446349779861453E+17</v>
      </c>
      <c r="Q47" s="2">
        <v>0.31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</row>
    <row r="48" spans="1:68" s="4" customFormat="1" x14ac:dyDescent="0.25">
      <c r="A48" s="1">
        <v>138</v>
      </c>
      <c r="B48" s="1">
        <f t="shared" si="1"/>
        <v>2.2999999999999998</v>
      </c>
      <c r="C48" s="1">
        <f t="shared" si="2"/>
        <v>8280</v>
      </c>
      <c r="D48" s="1">
        <v>20</v>
      </c>
      <c r="E48" s="1">
        <f t="shared" si="0"/>
        <v>29.146000000000001</v>
      </c>
      <c r="F48" s="1">
        <f t="shared" si="3"/>
        <v>4.8576666666666667E-7</v>
      </c>
      <c r="G48" s="1">
        <v>21.1</v>
      </c>
      <c r="H48" s="1">
        <f t="shared" si="4"/>
        <v>294.10000000000002</v>
      </c>
      <c r="I48" s="1">
        <v>101.3</v>
      </c>
      <c r="J48" s="1">
        <f t="shared" si="5"/>
        <v>101300</v>
      </c>
      <c r="K48" s="1">
        <f t="shared" si="6"/>
        <v>2.0124824921938581E-5</v>
      </c>
      <c r="L48" s="14">
        <v>105.86138613861388</v>
      </c>
      <c r="M48" s="2">
        <f t="shared" si="7"/>
        <v>1.0586138613861388E-4</v>
      </c>
      <c r="N48" s="3">
        <f t="shared" si="8"/>
        <v>4.7762865441819992E-3</v>
      </c>
      <c r="O48" s="16">
        <f t="shared" si="9"/>
        <v>4.4604565541161557E-7</v>
      </c>
      <c r="P48" s="16">
        <f t="shared" si="10"/>
        <v>2.6860869368887491E+17</v>
      </c>
      <c r="Q48" s="2">
        <v>0.31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</row>
    <row r="49" spans="1:68" s="4" customFormat="1" x14ac:dyDescent="0.25">
      <c r="A49" s="1">
        <v>141</v>
      </c>
      <c r="B49" s="1">
        <f t="shared" si="1"/>
        <v>2.35</v>
      </c>
      <c r="C49" s="1">
        <f t="shared" si="2"/>
        <v>8460</v>
      </c>
      <c r="D49" s="1">
        <v>20</v>
      </c>
      <c r="E49" s="1">
        <f t="shared" si="0"/>
        <v>29.146000000000001</v>
      </c>
      <c r="F49" s="1">
        <f t="shared" si="3"/>
        <v>4.8576666666666667E-7</v>
      </c>
      <c r="G49" s="1">
        <v>21.1</v>
      </c>
      <c r="H49" s="1">
        <f t="shared" si="4"/>
        <v>294.10000000000002</v>
      </c>
      <c r="I49" s="1">
        <v>101.3</v>
      </c>
      <c r="J49" s="1">
        <f t="shared" si="5"/>
        <v>101300</v>
      </c>
      <c r="K49" s="1">
        <f t="shared" si="6"/>
        <v>2.0124824921938581E-5</v>
      </c>
      <c r="L49" s="14">
        <v>100.61386138613864</v>
      </c>
      <c r="M49" s="2">
        <f t="shared" si="7"/>
        <v>1.0061386138613864E-4</v>
      </c>
      <c r="N49" s="3">
        <f t="shared" si="8"/>
        <v>4.7762865441819992E-3</v>
      </c>
      <c r="O49" s="16">
        <f t="shared" si="9"/>
        <v>4.2393527406405139E-7</v>
      </c>
      <c r="P49" s="16">
        <f t="shared" si="10"/>
        <v>2.5529382204137178E+17</v>
      </c>
      <c r="Q49" s="2">
        <v>0.31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</row>
    <row r="50" spans="1:68" s="4" customFormat="1" x14ac:dyDescent="0.25">
      <c r="A50" s="1">
        <v>144</v>
      </c>
      <c r="B50" s="1">
        <f t="shared" si="1"/>
        <v>2.4</v>
      </c>
      <c r="C50" s="1">
        <f t="shared" si="2"/>
        <v>8640</v>
      </c>
      <c r="D50" s="1">
        <v>20</v>
      </c>
      <c r="E50" s="1">
        <f t="shared" si="0"/>
        <v>29.146000000000001</v>
      </c>
      <c r="F50" s="1">
        <f t="shared" si="3"/>
        <v>4.8576666666666667E-7</v>
      </c>
      <c r="G50" s="1">
        <v>21.1</v>
      </c>
      <c r="H50" s="1">
        <f t="shared" si="4"/>
        <v>294.10000000000002</v>
      </c>
      <c r="I50" s="1">
        <v>101.3</v>
      </c>
      <c r="J50" s="1">
        <f t="shared" si="5"/>
        <v>101300</v>
      </c>
      <c r="K50" s="1">
        <f t="shared" si="6"/>
        <v>2.0124824921938581E-5</v>
      </c>
      <c r="L50" s="14">
        <v>104.15346534653467</v>
      </c>
      <c r="M50" s="2">
        <f t="shared" si="7"/>
        <v>1.0415346534653468E-4</v>
      </c>
      <c r="N50" s="3">
        <f t="shared" si="8"/>
        <v>4.7762865441819992E-3</v>
      </c>
      <c r="O50" s="16">
        <f t="shared" si="9"/>
        <v>4.3884935204849329E-7</v>
      </c>
      <c r="P50" s="16">
        <f t="shared" si="10"/>
        <v>2.6427507980360269E+17</v>
      </c>
      <c r="Q50" s="2">
        <v>0.31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</row>
    <row r="51" spans="1:68" s="4" customFormat="1" x14ac:dyDescent="0.25">
      <c r="A51" s="1">
        <v>147</v>
      </c>
      <c r="B51" s="1">
        <f t="shared" si="1"/>
        <v>2.4500000000000002</v>
      </c>
      <c r="C51" s="1">
        <f t="shared" si="2"/>
        <v>8820</v>
      </c>
      <c r="D51" s="1">
        <v>20</v>
      </c>
      <c r="E51" s="1">
        <f t="shared" si="0"/>
        <v>29.146000000000001</v>
      </c>
      <c r="F51" s="1">
        <f t="shared" si="3"/>
        <v>4.8576666666666667E-7</v>
      </c>
      <c r="G51" s="1">
        <v>21.1</v>
      </c>
      <c r="H51" s="1">
        <f t="shared" si="4"/>
        <v>294.10000000000002</v>
      </c>
      <c r="I51" s="1">
        <v>101.3</v>
      </c>
      <c r="J51" s="1">
        <f t="shared" si="5"/>
        <v>101300</v>
      </c>
      <c r="K51" s="1">
        <f t="shared" si="6"/>
        <v>2.0124824921938581E-5</v>
      </c>
      <c r="L51" s="14">
        <v>106.45544554455448</v>
      </c>
      <c r="M51" s="2">
        <f t="shared" si="7"/>
        <v>1.0645544554455448E-4</v>
      </c>
      <c r="N51" s="3">
        <f t="shared" si="8"/>
        <v>4.7762865441819992E-3</v>
      </c>
      <c r="O51" s="16">
        <f t="shared" si="9"/>
        <v>4.4854871745096249E-7</v>
      </c>
      <c r="P51" s="16">
        <f t="shared" si="10"/>
        <v>2.7011603764896963E+17</v>
      </c>
      <c r="Q51" s="2">
        <v>0.31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</row>
    <row r="52" spans="1:68" s="4" customFormat="1" x14ac:dyDescent="0.25">
      <c r="A52" s="1">
        <v>150</v>
      </c>
      <c r="B52" s="1">
        <f t="shared" si="1"/>
        <v>2.5</v>
      </c>
      <c r="C52" s="1">
        <f t="shared" si="2"/>
        <v>9000</v>
      </c>
      <c r="D52" s="1">
        <v>20</v>
      </c>
      <c r="E52" s="1">
        <f t="shared" si="0"/>
        <v>29.146000000000001</v>
      </c>
      <c r="F52" s="1">
        <f t="shared" si="3"/>
        <v>4.8576666666666667E-7</v>
      </c>
      <c r="G52" s="1">
        <v>21.1</v>
      </c>
      <c r="H52" s="1">
        <f t="shared" si="4"/>
        <v>294.10000000000002</v>
      </c>
      <c r="I52" s="1">
        <v>101.3</v>
      </c>
      <c r="J52" s="1">
        <f t="shared" si="5"/>
        <v>101300</v>
      </c>
      <c r="K52" s="1">
        <f t="shared" si="6"/>
        <v>2.0124824921938581E-5</v>
      </c>
      <c r="L52" s="14">
        <v>96.727722772277232</v>
      </c>
      <c r="M52" s="2">
        <f t="shared" si="7"/>
        <v>9.6727722772277234E-5</v>
      </c>
      <c r="N52" s="3">
        <f t="shared" si="8"/>
        <v>4.7762865441819992E-3</v>
      </c>
      <c r="O52" s="16">
        <f t="shared" si="9"/>
        <v>4.075610765566571E-7</v>
      </c>
      <c r="P52" s="16">
        <f t="shared" si="10"/>
        <v>2.4543328030241891E+17</v>
      </c>
      <c r="Q52" s="2">
        <v>0.31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</row>
    <row r="53" spans="1:68" s="4" customFormat="1" x14ac:dyDescent="0.25">
      <c r="A53" s="1">
        <v>153</v>
      </c>
      <c r="B53" s="1">
        <f t="shared" si="1"/>
        <v>2.5499999999999998</v>
      </c>
      <c r="C53" s="1">
        <f t="shared" si="2"/>
        <v>9180</v>
      </c>
      <c r="D53" s="1">
        <v>20</v>
      </c>
      <c r="E53" s="1">
        <f t="shared" si="0"/>
        <v>29.146000000000001</v>
      </c>
      <c r="F53" s="1">
        <f t="shared" si="3"/>
        <v>4.8576666666666667E-7</v>
      </c>
      <c r="G53" s="1">
        <v>21.1</v>
      </c>
      <c r="H53" s="1">
        <f t="shared" si="4"/>
        <v>294.10000000000002</v>
      </c>
      <c r="I53" s="1">
        <v>101.3</v>
      </c>
      <c r="J53" s="1">
        <f t="shared" si="5"/>
        <v>101300</v>
      </c>
      <c r="K53" s="1">
        <f t="shared" si="6"/>
        <v>2.0124824921938581E-5</v>
      </c>
      <c r="L53" s="14">
        <v>102.32178217821784</v>
      </c>
      <c r="M53" s="2">
        <f t="shared" si="7"/>
        <v>1.0232178217821785E-4</v>
      </c>
      <c r="N53" s="3">
        <f t="shared" si="8"/>
        <v>4.7762865441819992E-3</v>
      </c>
      <c r="O53" s="16">
        <f t="shared" si="9"/>
        <v>4.3113157742717372E-7</v>
      </c>
      <c r="P53" s="16">
        <f t="shared" si="10"/>
        <v>2.5962743592664403E+17</v>
      </c>
      <c r="Q53" s="2">
        <v>0.31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</row>
    <row r="54" spans="1:68" s="4" customFormat="1" x14ac:dyDescent="0.25">
      <c r="A54" s="1">
        <v>156</v>
      </c>
      <c r="B54" s="1">
        <f t="shared" si="1"/>
        <v>2.6</v>
      </c>
      <c r="C54" s="1">
        <f t="shared" si="2"/>
        <v>9360</v>
      </c>
      <c r="D54" s="1">
        <v>20</v>
      </c>
      <c r="E54" s="1">
        <f t="shared" si="0"/>
        <v>29.146000000000001</v>
      </c>
      <c r="F54" s="1">
        <f t="shared" si="3"/>
        <v>4.8576666666666667E-7</v>
      </c>
      <c r="G54" s="1">
        <v>21.1</v>
      </c>
      <c r="H54" s="1">
        <f t="shared" si="4"/>
        <v>294.10000000000002</v>
      </c>
      <c r="I54" s="1">
        <v>101.3</v>
      </c>
      <c r="J54" s="1">
        <f t="shared" si="5"/>
        <v>101300</v>
      </c>
      <c r="K54" s="1">
        <f t="shared" si="6"/>
        <v>2.0124824921938581E-5</v>
      </c>
      <c r="L54" s="14">
        <v>100.71287128712872</v>
      </c>
      <c r="M54" s="2">
        <f t="shared" si="7"/>
        <v>1.0071287128712872E-4</v>
      </c>
      <c r="N54" s="3">
        <f t="shared" si="8"/>
        <v>4.7762865441819992E-3</v>
      </c>
      <c r="O54" s="16">
        <f t="shared" si="9"/>
        <v>4.2435245107060915E-7</v>
      </c>
      <c r="P54" s="16">
        <f t="shared" si="10"/>
        <v>2.5554504603472083E+17</v>
      </c>
      <c r="Q54" s="2">
        <v>0.31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</row>
    <row r="55" spans="1:68" s="4" customFormat="1" x14ac:dyDescent="0.25">
      <c r="A55" s="1">
        <v>159</v>
      </c>
      <c r="B55" s="1">
        <f t="shared" si="1"/>
        <v>2.65</v>
      </c>
      <c r="C55" s="1">
        <f t="shared" si="2"/>
        <v>9540</v>
      </c>
      <c r="D55" s="1">
        <v>20</v>
      </c>
      <c r="E55" s="1">
        <f t="shared" ref="E55:E65" si="11">(D55*1.4573)</f>
        <v>29.146000000000001</v>
      </c>
      <c r="F55" s="1">
        <f t="shared" ref="F55:F65" si="12">(E55/(1000000*60))</f>
        <v>4.8576666666666667E-7</v>
      </c>
      <c r="G55" s="1">
        <v>21.1</v>
      </c>
      <c r="H55" s="1">
        <f t="shared" ref="H55:H65" si="13">(273+G55)</f>
        <v>294.10000000000002</v>
      </c>
      <c r="I55" s="1">
        <v>101.3</v>
      </c>
      <c r="J55" s="1">
        <f t="shared" ref="J55:J65" si="14">(I55*1000)</f>
        <v>101300</v>
      </c>
      <c r="K55" s="1">
        <f t="shared" ref="K55:K65" si="15">((J55*F55)/(8.314*H55))</f>
        <v>2.0124824921938581E-5</v>
      </c>
      <c r="L55" s="14">
        <v>191.43069306930695</v>
      </c>
      <c r="M55" s="2">
        <f t="shared" ref="M55:M65" si="16">(L55/1000000)</f>
        <v>1.9143069306930694E-4</v>
      </c>
      <c r="N55" s="3">
        <f t="shared" si="8"/>
        <v>4.7762865441819992E-3</v>
      </c>
      <c r="O55" s="16">
        <f t="shared" si="9"/>
        <v>8.0659088332920687E-7</v>
      </c>
      <c r="P55" s="16">
        <f t="shared" si="10"/>
        <v>4.8572902994084838E+17</v>
      </c>
      <c r="Q55" s="2">
        <v>0.31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</row>
    <row r="56" spans="1:68" s="4" customFormat="1" x14ac:dyDescent="0.25">
      <c r="A56" s="1">
        <v>162</v>
      </c>
      <c r="B56" s="1">
        <f t="shared" si="1"/>
        <v>2.7</v>
      </c>
      <c r="C56" s="1">
        <f t="shared" si="2"/>
        <v>9720</v>
      </c>
      <c r="D56" s="1">
        <v>20</v>
      </c>
      <c r="E56" s="1">
        <f t="shared" si="11"/>
        <v>29.146000000000001</v>
      </c>
      <c r="F56" s="1">
        <f t="shared" si="12"/>
        <v>4.8576666666666667E-7</v>
      </c>
      <c r="G56" s="1">
        <v>21.1</v>
      </c>
      <c r="H56" s="1">
        <f t="shared" si="13"/>
        <v>294.10000000000002</v>
      </c>
      <c r="I56" s="1">
        <v>101.3</v>
      </c>
      <c r="J56" s="1">
        <f t="shared" si="14"/>
        <v>101300</v>
      </c>
      <c r="K56" s="1">
        <f t="shared" si="15"/>
        <v>2.0124824921938581E-5</v>
      </c>
      <c r="L56" s="14">
        <v>172.44554455445547</v>
      </c>
      <c r="M56" s="2">
        <f t="shared" si="16"/>
        <v>1.7244554455445548E-4</v>
      </c>
      <c r="N56" s="3">
        <f t="shared" si="8"/>
        <v>4.7762865441819992E-3</v>
      </c>
      <c r="O56" s="16">
        <f t="shared" si="9"/>
        <v>7.2659719232174593E-7</v>
      </c>
      <c r="P56" s="16">
        <f t="shared" si="10"/>
        <v>4.3755682921615539E+17</v>
      </c>
      <c r="Q56" s="2">
        <v>0.31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</row>
    <row r="57" spans="1:68" s="4" customFormat="1" x14ac:dyDescent="0.25">
      <c r="A57" s="1">
        <v>165</v>
      </c>
      <c r="B57" s="1">
        <f t="shared" si="1"/>
        <v>2.75</v>
      </c>
      <c r="C57" s="1">
        <f t="shared" si="2"/>
        <v>9900</v>
      </c>
      <c r="D57" s="1">
        <v>20</v>
      </c>
      <c r="E57" s="1">
        <f t="shared" si="11"/>
        <v>29.146000000000001</v>
      </c>
      <c r="F57" s="1">
        <f t="shared" si="12"/>
        <v>4.8576666666666667E-7</v>
      </c>
      <c r="G57" s="1">
        <v>21.1</v>
      </c>
      <c r="H57" s="1">
        <f t="shared" si="13"/>
        <v>294.10000000000002</v>
      </c>
      <c r="I57" s="1">
        <v>101.3</v>
      </c>
      <c r="J57" s="1">
        <f t="shared" si="14"/>
        <v>101300</v>
      </c>
      <c r="K57" s="1">
        <f t="shared" si="15"/>
        <v>2.0124824921938581E-5</v>
      </c>
      <c r="L57" s="14">
        <v>258.26237623762376</v>
      </c>
      <c r="M57" s="2">
        <f t="shared" si="16"/>
        <v>2.5826237623762378E-4</v>
      </c>
      <c r="N57" s="3">
        <f t="shared" si="8"/>
        <v>4.7762865441819992E-3</v>
      </c>
      <c r="O57" s="16">
        <f t="shared" si="9"/>
        <v>1.0881853627557318E-6</v>
      </c>
      <c r="P57" s="16">
        <f t="shared" si="10"/>
        <v>6.553052254515017E+17</v>
      </c>
      <c r="Q57" s="2">
        <v>0.31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</row>
    <row r="58" spans="1:68" s="4" customFormat="1" x14ac:dyDescent="0.25">
      <c r="A58" s="1">
        <v>168</v>
      </c>
      <c r="B58" s="1">
        <f t="shared" si="1"/>
        <v>2.8</v>
      </c>
      <c r="C58" s="1">
        <f t="shared" si="2"/>
        <v>10080</v>
      </c>
      <c r="D58" s="1">
        <v>20</v>
      </c>
      <c r="E58" s="1">
        <f t="shared" si="11"/>
        <v>29.146000000000001</v>
      </c>
      <c r="F58" s="1">
        <f t="shared" si="12"/>
        <v>4.8576666666666667E-7</v>
      </c>
      <c r="G58" s="1">
        <v>21.1</v>
      </c>
      <c r="H58" s="1">
        <f t="shared" si="13"/>
        <v>294.10000000000002</v>
      </c>
      <c r="I58" s="1">
        <v>101.3</v>
      </c>
      <c r="J58" s="1">
        <f t="shared" si="14"/>
        <v>101300</v>
      </c>
      <c r="K58" s="1">
        <f t="shared" si="15"/>
        <v>2.0124824921938581E-5</v>
      </c>
      <c r="L58" s="14">
        <v>188.58415841584159</v>
      </c>
      <c r="M58" s="2">
        <f t="shared" si="16"/>
        <v>1.8858415841584158E-4</v>
      </c>
      <c r="N58" s="3">
        <f t="shared" si="8"/>
        <v>4.7762865441819992E-3</v>
      </c>
      <c r="O58" s="16">
        <f t="shared" si="9"/>
        <v>7.9459704439066955E-7</v>
      </c>
      <c r="P58" s="16">
        <f t="shared" si="10"/>
        <v>4.7850634013206125E+17</v>
      </c>
      <c r="Q58" s="2">
        <v>0.31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</row>
    <row r="59" spans="1:68" s="4" customFormat="1" x14ac:dyDescent="0.25">
      <c r="A59" s="1">
        <v>171</v>
      </c>
      <c r="B59" s="1">
        <f t="shared" si="1"/>
        <v>2.85</v>
      </c>
      <c r="C59" s="1">
        <f t="shared" si="2"/>
        <v>10260</v>
      </c>
      <c r="D59" s="1">
        <v>20</v>
      </c>
      <c r="E59" s="1">
        <f t="shared" si="11"/>
        <v>29.146000000000001</v>
      </c>
      <c r="F59" s="1">
        <f t="shared" si="12"/>
        <v>4.8576666666666667E-7</v>
      </c>
      <c r="G59" s="1">
        <v>21.1</v>
      </c>
      <c r="H59" s="1">
        <f t="shared" si="13"/>
        <v>294.10000000000002</v>
      </c>
      <c r="I59" s="1">
        <v>101.3</v>
      </c>
      <c r="J59" s="1">
        <f t="shared" si="14"/>
        <v>101300</v>
      </c>
      <c r="K59" s="1">
        <f t="shared" si="15"/>
        <v>2.0124824921938581E-5</v>
      </c>
      <c r="L59" s="14">
        <v>195.81188118811883</v>
      </c>
      <c r="M59" s="2">
        <f t="shared" si="16"/>
        <v>1.9581188118811884E-4</v>
      </c>
      <c r="N59" s="3">
        <f t="shared" si="8"/>
        <v>4.7762865441819992E-3</v>
      </c>
      <c r="O59" s="16">
        <f t="shared" si="9"/>
        <v>8.2505096586939022E-7</v>
      </c>
      <c r="P59" s="16">
        <f t="shared" si="10"/>
        <v>4.9684569164654682E+17</v>
      </c>
      <c r="Q59" s="2">
        <v>0.31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</row>
    <row r="60" spans="1:68" s="4" customFormat="1" x14ac:dyDescent="0.25">
      <c r="A60" s="1">
        <v>174</v>
      </c>
      <c r="B60" s="1">
        <f t="shared" si="1"/>
        <v>2.9</v>
      </c>
      <c r="C60" s="1">
        <f t="shared" si="2"/>
        <v>10440</v>
      </c>
      <c r="D60" s="1">
        <v>20</v>
      </c>
      <c r="E60" s="1">
        <f t="shared" si="11"/>
        <v>29.146000000000001</v>
      </c>
      <c r="F60" s="1">
        <f t="shared" si="12"/>
        <v>4.8576666666666667E-7</v>
      </c>
      <c r="G60" s="1">
        <v>21.1</v>
      </c>
      <c r="H60" s="1">
        <f t="shared" si="13"/>
        <v>294.10000000000002</v>
      </c>
      <c r="I60" s="1">
        <v>101.3</v>
      </c>
      <c r="J60" s="1">
        <f t="shared" si="14"/>
        <v>101300</v>
      </c>
      <c r="K60" s="1">
        <f t="shared" si="15"/>
        <v>2.0124824921938581E-5</v>
      </c>
      <c r="L60" s="14">
        <v>256.40594059405942</v>
      </c>
      <c r="M60" s="2">
        <f t="shared" si="16"/>
        <v>2.5640594059405942E-4</v>
      </c>
      <c r="N60" s="3">
        <f t="shared" si="8"/>
        <v>4.7762865441819992E-3</v>
      </c>
      <c r="O60" s="16">
        <f t="shared" si="9"/>
        <v>1.0803632938827729E-6</v>
      </c>
      <c r="P60" s="16">
        <f t="shared" si="10"/>
        <v>6.5059477557620582E+17</v>
      </c>
      <c r="Q60" s="2">
        <v>0.31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</row>
    <row r="61" spans="1:68" s="4" customFormat="1" x14ac:dyDescent="0.25">
      <c r="A61" s="1">
        <v>177</v>
      </c>
      <c r="B61" s="1">
        <f t="shared" si="1"/>
        <v>2.95</v>
      </c>
      <c r="C61" s="1">
        <f t="shared" si="2"/>
        <v>10620</v>
      </c>
      <c r="D61" s="1">
        <v>20</v>
      </c>
      <c r="E61" s="1">
        <f t="shared" si="11"/>
        <v>29.146000000000001</v>
      </c>
      <c r="F61" s="1">
        <f t="shared" si="12"/>
        <v>4.8576666666666667E-7</v>
      </c>
      <c r="G61" s="1">
        <v>21.1</v>
      </c>
      <c r="H61" s="1">
        <f t="shared" si="13"/>
        <v>294.10000000000002</v>
      </c>
      <c r="I61" s="1">
        <v>101.3</v>
      </c>
      <c r="J61" s="1">
        <f t="shared" si="14"/>
        <v>101300</v>
      </c>
      <c r="K61" s="1">
        <f t="shared" si="15"/>
        <v>2.0124824921938581E-5</v>
      </c>
      <c r="L61" s="14">
        <v>194.10396039603961</v>
      </c>
      <c r="M61" s="2">
        <f t="shared" si="16"/>
        <v>1.941039603960396E-4</v>
      </c>
      <c r="N61" s="3">
        <f t="shared" si="8"/>
        <v>4.7762865441819992E-3</v>
      </c>
      <c r="O61" s="16">
        <f t="shared" si="9"/>
        <v>8.1785466250626779E-7</v>
      </c>
      <c r="P61" s="16">
        <f t="shared" si="10"/>
        <v>4.925120777612745E+17</v>
      </c>
      <c r="Q61" s="2">
        <v>0.31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</row>
    <row r="62" spans="1:68" s="4" customFormat="1" x14ac:dyDescent="0.25">
      <c r="A62" s="1">
        <v>180</v>
      </c>
      <c r="B62" s="1">
        <f t="shared" si="1"/>
        <v>3</v>
      </c>
      <c r="C62" s="1">
        <f t="shared" si="2"/>
        <v>10800</v>
      </c>
      <c r="D62" s="1">
        <v>20</v>
      </c>
      <c r="E62" s="1">
        <f t="shared" si="11"/>
        <v>29.146000000000001</v>
      </c>
      <c r="F62" s="1">
        <f t="shared" si="12"/>
        <v>4.8576666666666667E-7</v>
      </c>
      <c r="G62" s="1">
        <v>21.1</v>
      </c>
      <c r="H62" s="1">
        <f t="shared" si="13"/>
        <v>294.10000000000002</v>
      </c>
      <c r="I62" s="1">
        <v>101.3</v>
      </c>
      <c r="J62" s="1">
        <f t="shared" si="14"/>
        <v>101300</v>
      </c>
      <c r="K62" s="1">
        <f t="shared" si="15"/>
        <v>2.0124824921938581E-5</v>
      </c>
      <c r="L62" s="14">
        <v>166.00990099009903</v>
      </c>
      <c r="M62" s="2">
        <f t="shared" si="16"/>
        <v>1.6600990099009902E-4</v>
      </c>
      <c r="N62" s="3">
        <f t="shared" si="8"/>
        <v>4.7762865441819992E-3</v>
      </c>
      <c r="O62" s="16">
        <f t="shared" si="9"/>
        <v>6.9948068689548796E-7</v>
      </c>
      <c r="P62" s="16">
        <f t="shared" si="10"/>
        <v>4.2122726964846285E+17</v>
      </c>
      <c r="Q62" s="2">
        <v>0.31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</row>
    <row r="63" spans="1:68" s="4" customFormat="1" x14ac:dyDescent="0.25">
      <c r="A63" s="1">
        <v>183</v>
      </c>
      <c r="B63" s="1">
        <f t="shared" si="1"/>
        <v>3.05</v>
      </c>
      <c r="C63" s="1">
        <f t="shared" si="2"/>
        <v>10980</v>
      </c>
      <c r="D63" s="1">
        <v>20</v>
      </c>
      <c r="E63" s="1">
        <f t="shared" si="11"/>
        <v>29.146000000000001</v>
      </c>
      <c r="F63" s="1">
        <f t="shared" si="12"/>
        <v>4.8576666666666667E-7</v>
      </c>
      <c r="G63" s="1">
        <v>21.1</v>
      </c>
      <c r="H63" s="1">
        <f t="shared" si="13"/>
        <v>294.10000000000002</v>
      </c>
      <c r="I63" s="1">
        <v>101.3</v>
      </c>
      <c r="J63" s="1">
        <f t="shared" si="14"/>
        <v>101300</v>
      </c>
      <c r="K63" s="1">
        <f t="shared" si="15"/>
        <v>2.0124824921938581E-5</v>
      </c>
      <c r="L63" s="14">
        <v>150.88613861386142</v>
      </c>
      <c r="M63" s="2">
        <f t="shared" si="16"/>
        <v>1.5088613861386142E-4</v>
      </c>
      <c r="N63" s="3">
        <f t="shared" si="8"/>
        <v>4.7762865441819992E-3</v>
      </c>
      <c r="O63" s="16">
        <f t="shared" si="9"/>
        <v>6.3575689914378178E-7</v>
      </c>
      <c r="P63" s="16">
        <f t="shared" si="10"/>
        <v>3.8285280466438541E+17</v>
      </c>
      <c r="Q63" s="2">
        <v>0.31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</row>
    <row r="64" spans="1:68" s="4" customFormat="1" x14ac:dyDescent="0.25">
      <c r="A64" s="1">
        <v>186</v>
      </c>
      <c r="B64" s="1">
        <f t="shared" si="1"/>
        <v>3.1</v>
      </c>
      <c r="C64" s="1">
        <f t="shared" si="2"/>
        <v>11160</v>
      </c>
      <c r="D64" s="1">
        <v>20</v>
      </c>
      <c r="E64" s="1">
        <f t="shared" si="11"/>
        <v>29.146000000000001</v>
      </c>
      <c r="F64" s="1">
        <f t="shared" si="12"/>
        <v>4.8576666666666667E-7</v>
      </c>
      <c r="G64" s="1">
        <v>21.1</v>
      </c>
      <c r="H64" s="1">
        <f t="shared" si="13"/>
        <v>294.10000000000002</v>
      </c>
      <c r="I64" s="1">
        <v>101.3</v>
      </c>
      <c r="J64" s="1">
        <f t="shared" si="14"/>
        <v>101300</v>
      </c>
      <c r="K64" s="1">
        <f t="shared" si="15"/>
        <v>2.0124824921938581E-5</v>
      </c>
      <c r="L64" s="14">
        <v>139.72277227722773</v>
      </c>
      <c r="M64" s="2">
        <f t="shared" si="16"/>
        <v>1.3972277227722774E-4</v>
      </c>
      <c r="N64" s="3">
        <f t="shared" si="8"/>
        <v>4.7762865441819992E-3</v>
      </c>
      <c r="O64" s="16">
        <f t="shared" si="9"/>
        <v>5.8872019165438817E-7</v>
      </c>
      <c r="P64" s="16">
        <f t="shared" si="10"/>
        <v>3.5452729941427258E+17</v>
      </c>
      <c r="Q64" s="2">
        <v>0.31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</row>
    <row r="65" spans="1:68" s="4" customFormat="1" x14ac:dyDescent="0.25">
      <c r="A65" s="1">
        <v>189</v>
      </c>
      <c r="B65" s="1">
        <f t="shared" si="1"/>
        <v>3.15</v>
      </c>
      <c r="C65" s="1">
        <f t="shared" si="2"/>
        <v>11340</v>
      </c>
      <c r="D65" s="1">
        <v>20</v>
      </c>
      <c r="E65" s="1">
        <f t="shared" si="11"/>
        <v>29.146000000000001</v>
      </c>
      <c r="F65" s="1">
        <f t="shared" si="12"/>
        <v>4.8576666666666667E-7</v>
      </c>
      <c r="G65" s="1">
        <v>21.1</v>
      </c>
      <c r="H65" s="1">
        <f t="shared" si="13"/>
        <v>294.10000000000002</v>
      </c>
      <c r="I65" s="1">
        <v>101.3</v>
      </c>
      <c r="J65" s="1">
        <f t="shared" si="14"/>
        <v>101300</v>
      </c>
      <c r="K65" s="1">
        <f t="shared" si="15"/>
        <v>2.0124824921938581E-5</v>
      </c>
      <c r="L65" s="14">
        <v>133.16336633663369</v>
      </c>
      <c r="M65" s="2">
        <f t="shared" si="16"/>
        <v>1.3316336633663369E-4</v>
      </c>
      <c r="N65" s="3">
        <f t="shared" si="8"/>
        <v>4.7762865441819992E-3</v>
      </c>
      <c r="O65" s="16">
        <f t="shared" si="9"/>
        <v>5.6108221496993296E-7</v>
      </c>
      <c r="P65" s="16">
        <f t="shared" si="10"/>
        <v>3.3788370985489363E+17</v>
      </c>
      <c r="Q65" s="2">
        <v>0.31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</row>
    <row r="66" spans="1:68" s="4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4"/>
      <c r="M66" s="2"/>
      <c r="N66" s="3"/>
      <c r="O66" s="16"/>
      <c r="P66" s="16"/>
      <c r="Q66" s="2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</row>
    <row r="67" spans="1:68" s="4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4"/>
      <c r="M67" s="2"/>
      <c r="N67" s="3"/>
      <c r="O67" s="16"/>
      <c r="P67" s="16"/>
      <c r="Q67" s="2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</row>
    <row r="68" spans="1:68" s="4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4"/>
      <c r="M68" s="2"/>
      <c r="N68" s="3"/>
      <c r="O68" s="16"/>
      <c r="P68" s="16"/>
      <c r="Q68" s="2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</row>
    <row r="69" spans="1:68" s="4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4"/>
      <c r="M69" s="2"/>
      <c r="N69" s="3"/>
      <c r="O69" s="16"/>
      <c r="P69" s="16"/>
      <c r="Q69" s="2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</row>
    <row r="70" spans="1:68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4"/>
      <c r="M70" s="2"/>
      <c r="N70" s="3"/>
      <c r="O70" s="16"/>
      <c r="P70" s="16"/>
      <c r="Q70" s="2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</row>
    <row r="71" spans="1:68" s="4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4"/>
      <c r="M71" s="2"/>
      <c r="N71" s="3"/>
      <c r="O71" s="16"/>
      <c r="P71" s="16"/>
      <c r="Q71" s="2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</row>
    <row r="72" spans="1:68" s="4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4"/>
      <c r="M72" s="2"/>
      <c r="N72" s="3"/>
      <c r="O72" s="16"/>
      <c r="P72" s="16"/>
      <c r="Q72" s="2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</row>
    <row r="73" spans="1:68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4"/>
      <c r="M73" s="2"/>
      <c r="N73" s="3"/>
      <c r="O73" s="16"/>
      <c r="P73" s="16"/>
      <c r="Q73" s="2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</row>
    <row r="74" spans="1:68" s="4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4"/>
      <c r="M74" s="2"/>
      <c r="N74" s="3"/>
      <c r="O74" s="16"/>
      <c r="P74" s="16"/>
      <c r="Q74" s="2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</row>
    <row r="75" spans="1:68" s="4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4"/>
      <c r="M75" s="2"/>
      <c r="N75" s="3"/>
      <c r="O75" s="16"/>
      <c r="P75" s="16"/>
      <c r="Q75" s="2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</row>
    <row r="76" spans="1:68" s="4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4"/>
      <c r="M76" s="2"/>
      <c r="N76" s="3"/>
      <c r="O76" s="16"/>
      <c r="P76" s="16"/>
      <c r="Q76" s="2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</row>
    <row r="77" spans="1:68" s="4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4"/>
      <c r="M77" s="2"/>
      <c r="N77" s="3"/>
      <c r="O77" s="16"/>
      <c r="P77" s="16"/>
      <c r="Q77" s="2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</row>
    <row r="78" spans="1:68" s="4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4"/>
      <c r="M78" s="2"/>
      <c r="N78" s="3"/>
      <c r="O78" s="16"/>
      <c r="P78" s="16"/>
      <c r="Q78" s="2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</row>
    <row r="79" spans="1:68" s="4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4"/>
      <c r="M79" s="2"/>
      <c r="N79" s="3"/>
      <c r="O79" s="16"/>
      <c r="P79" s="16"/>
      <c r="Q79" s="2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</row>
    <row r="80" spans="1:68" s="4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4"/>
      <c r="M80" s="2"/>
      <c r="N80" s="3"/>
      <c r="O80" s="16"/>
      <c r="P80" s="16"/>
      <c r="Q80" s="2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</row>
    <row r="81" spans="1:68" s="4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4"/>
      <c r="M81" s="2"/>
      <c r="N81" s="3"/>
      <c r="O81" s="16"/>
      <c r="P81" s="16"/>
      <c r="Q81" s="2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</row>
    <row r="82" spans="1:68" s="4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4"/>
      <c r="M82" s="2"/>
      <c r="N82" s="3"/>
      <c r="O82" s="16"/>
      <c r="P82" s="16"/>
      <c r="Q82" s="2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</row>
    <row r="83" spans="1:68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4"/>
      <c r="M83" s="2"/>
      <c r="N83" s="3"/>
      <c r="O83" s="16"/>
      <c r="P83" s="16"/>
      <c r="Q83" s="2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</row>
    <row r="84" spans="1:68" s="4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4"/>
      <c r="M84" s="3"/>
      <c r="N84" s="3"/>
      <c r="O84" s="16"/>
      <c r="P84" s="16"/>
      <c r="Q84" s="2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</row>
    <row r="85" spans="1:68" s="4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4"/>
      <c r="M85" s="3"/>
      <c r="N85" s="3"/>
      <c r="O85" s="16"/>
      <c r="P85" s="16"/>
      <c r="Q85" s="2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</row>
    <row r="86" spans="1:68" s="4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4"/>
      <c r="M86" s="3"/>
      <c r="N86" s="3"/>
      <c r="O86" s="16"/>
      <c r="P86" s="16"/>
      <c r="Q86" s="2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</row>
    <row r="87" spans="1:68" s="4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4"/>
      <c r="M87" s="3"/>
      <c r="N87" s="3"/>
      <c r="O87" s="16"/>
      <c r="P87" s="16"/>
      <c r="Q87" s="2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</row>
    <row r="88" spans="1:68" s="4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4"/>
      <c r="M88" s="3"/>
      <c r="N88" s="3"/>
      <c r="O88" s="16"/>
      <c r="P88" s="16"/>
      <c r="Q88" s="2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</row>
    <row r="89" spans="1:68" s="4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4"/>
      <c r="M89" s="3"/>
      <c r="N89" s="3"/>
      <c r="O89" s="16"/>
      <c r="P89" s="16"/>
      <c r="Q89" s="2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</row>
    <row r="90" spans="1:68" s="4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4"/>
      <c r="M90" s="3"/>
      <c r="N90" s="3"/>
      <c r="O90" s="16"/>
      <c r="P90" s="16"/>
      <c r="Q90" s="2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</row>
    <row r="91" spans="1:68" s="4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4"/>
      <c r="M91" s="3"/>
      <c r="N91" s="3"/>
      <c r="O91" s="16"/>
      <c r="P91" s="16"/>
      <c r="Q91" s="2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</row>
    <row r="92" spans="1:68" s="4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4"/>
      <c r="M92" s="3"/>
      <c r="N92" s="3"/>
      <c r="O92" s="16"/>
      <c r="P92" s="16"/>
      <c r="Q92" s="2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</row>
    <row r="93" spans="1:68" s="4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4"/>
      <c r="M93" s="3"/>
      <c r="N93" s="3"/>
      <c r="O93" s="16"/>
      <c r="P93" s="16"/>
      <c r="Q93" s="2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</row>
    <row r="94" spans="1:68" s="4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4"/>
      <c r="M94" s="3"/>
      <c r="N94" s="3"/>
      <c r="O94" s="16"/>
      <c r="P94" s="16"/>
      <c r="Q94" s="2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</row>
    <row r="95" spans="1:68" s="4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4"/>
      <c r="M95" s="3"/>
      <c r="N95" s="3"/>
      <c r="O95" s="16"/>
      <c r="P95" s="16"/>
      <c r="Q95" s="2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</row>
    <row r="96" spans="1:68" s="4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4"/>
      <c r="M96" s="3"/>
      <c r="N96" s="3"/>
      <c r="O96" s="16"/>
      <c r="P96" s="16"/>
      <c r="Q96" s="2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</row>
    <row r="97" spans="1:68" s="4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4"/>
      <c r="M97" s="3"/>
      <c r="N97" s="3"/>
      <c r="O97" s="16"/>
      <c r="P97" s="16"/>
      <c r="Q97" s="2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</row>
    <row r="98" spans="1:68" s="4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4"/>
      <c r="M98" s="3"/>
      <c r="N98" s="3"/>
      <c r="O98" s="16"/>
      <c r="P98" s="16"/>
      <c r="Q98" s="2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</row>
    <row r="99" spans="1:68" s="4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4"/>
      <c r="M99" s="3"/>
      <c r="N99" s="3"/>
      <c r="O99" s="16"/>
      <c r="P99" s="16"/>
      <c r="Q99" s="2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</row>
    <row r="100" spans="1:68" s="4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4"/>
      <c r="M100" s="3"/>
      <c r="N100" s="3"/>
      <c r="O100" s="16"/>
      <c r="P100" s="16"/>
      <c r="Q100" s="2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</row>
    <row r="101" spans="1:68" s="4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4"/>
      <c r="M101" s="3"/>
      <c r="N101" s="3"/>
      <c r="O101" s="16"/>
      <c r="P101" s="16"/>
      <c r="Q101" s="2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</row>
    <row r="102" spans="1:68" s="4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4"/>
      <c r="M102" s="3"/>
      <c r="N102" s="3"/>
      <c r="O102" s="16"/>
      <c r="P102" s="16"/>
      <c r="Q102" s="2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</row>
    <row r="103" spans="1:68" s="4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4"/>
      <c r="M103" s="3"/>
      <c r="N103" s="3"/>
      <c r="O103" s="16"/>
      <c r="P103" s="16"/>
      <c r="Q103" s="2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</row>
    <row r="104" spans="1:68" s="4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4"/>
      <c r="M104" s="3"/>
      <c r="N104" s="3"/>
      <c r="O104" s="16"/>
      <c r="P104" s="16"/>
      <c r="Q104" s="2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</row>
    <row r="105" spans="1:68" s="4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4"/>
      <c r="M105" s="3"/>
      <c r="N105" s="3"/>
      <c r="O105" s="16"/>
      <c r="P105" s="16"/>
      <c r="Q105" s="2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</row>
    <row r="106" spans="1:68" s="4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4"/>
      <c r="M106" s="3"/>
      <c r="N106" s="3"/>
      <c r="O106" s="16"/>
      <c r="P106" s="16"/>
      <c r="Q106" s="2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</row>
    <row r="107" spans="1:68" s="4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4"/>
      <c r="M107" s="3"/>
      <c r="N107" s="3"/>
      <c r="O107" s="16"/>
      <c r="P107" s="16"/>
      <c r="Q107" s="2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</row>
    <row r="108" spans="1:68" s="4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4"/>
      <c r="M108" s="3"/>
      <c r="N108" s="3"/>
      <c r="O108" s="16"/>
      <c r="P108" s="16"/>
      <c r="Q108" s="2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</row>
    <row r="109" spans="1:68" s="4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4"/>
      <c r="M109" s="3"/>
      <c r="N109" s="3"/>
      <c r="O109" s="16"/>
      <c r="P109" s="16"/>
      <c r="Q109" s="2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</row>
    <row r="110" spans="1:68" s="4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4"/>
      <c r="M110" s="3"/>
      <c r="N110" s="3"/>
      <c r="O110" s="16"/>
      <c r="P110" s="16"/>
      <c r="Q110" s="2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</row>
    <row r="111" spans="1:68" s="4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4"/>
      <c r="M111" s="3"/>
      <c r="N111" s="3"/>
      <c r="O111" s="16"/>
      <c r="P111" s="16"/>
      <c r="Q111" s="2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</row>
    <row r="112" spans="1:68" s="4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4"/>
      <c r="M112" s="3"/>
      <c r="N112" s="3"/>
      <c r="O112" s="16"/>
      <c r="P112" s="16"/>
      <c r="Q112" s="2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</row>
    <row r="113" spans="1:68" s="4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4"/>
      <c r="M113" s="3"/>
      <c r="N113" s="3"/>
      <c r="O113" s="16"/>
      <c r="P113" s="16"/>
      <c r="Q113" s="2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</row>
    <row r="114" spans="1:68" s="4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4"/>
      <c r="M114" s="3"/>
      <c r="N114" s="3"/>
      <c r="O114" s="16"/>
      <c r="P114" s="16"/>
      <c r="Q114" s="2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</row>
    <row r="115" spans="1:68" s="4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4"/>
      <c r="M115" s="3"/>
      <c r="N115" s="3"/>
      <c r="O115" s="16"/>
      <c r="P115" s="16"/>
      <c r="Q115" s="2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</row>
    <row r="116" spans="1:68" s="4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4"/>
      <c r="M116" s="3"/>
      <c r="N116" s="3"/>
      <c r="O116" s="16"/>
      <c r="P116" s="16"/>
      <c r="Q116" s="2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</row>
    <row r="117" spans="1:68" s="4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4"/>
      <c r="M117" s="3"/>
      <c r="N117" s="3"/>
      <c r="O117" s="16"/>
      <c r="P117" s="16"/>
      <c r="Q117" s="2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</row>
    <row r="118" spans="1:68" s="4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4"/>
      <c r="M118" s="3"/>
      <c r="N118" s="3"/>
      <c r="O118" s="16"/>
      <c r="P118" s="16"/>
      <c r="Q118" s="2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</row>
    <row r="119" spans="1:68" s="4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4"/>
      <c r="M119" s="3"/>
      <c r="N119" s="3"/>
      <c r="O119" s="16"/>
      <c r="P119" s="16"/>
      <c r="Q119" s="2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</row>
    <row r="120" spans="1:68" s="4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4"/>
      <c r="M120" s="3"/>
      <c r="N120" s="3"/>
      <c r="O120" s="16"/>
      <c r="P120" s="16"/>
      <c r="Q120" s="2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</row>
    <row r="121" spans="1:68" s="4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4"/>
      <c r="M121" s="3"/>
      <c r="N121" s="3"/>
      <c r="O121" s="16"/>
      <c r="P121" s="16"/>
      <c r="Q121" s="2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</row>
    <row r="122" spans="1:68" s="4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4"/>
      <c r="M122" s="3"/>
      <c r="N122" s="3"/>
      <c r="O122" s="16"/>
      <c r="P122" s="16"/>
      <c r="Q122" s="2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</row>
    <row r="123" spans="1:68" s="4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4"/>
      <c r="M123" s="3"/>
      <c r="N123" s="3"/>
      <c r="O123" s="16"/>
      <c r="P123" s="16"/>
      <c r="Q123" s="2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</row>
    <row r="124" spans="1:68" s="4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4"/>
      <c r="M124" s="3"/>
      <c r="N124" s="3"/>
      <c r="O124" s="16"/>
      <c r="P124" s="16"/>
      <c r="Q124" s="2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</row>
    <row r="125" spans="1:68" s="4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4"/>
      <c r="M125" s="3"/>
      <c r="N125" s="3"/>
      <c r="O125" s="16"/>
      <c r="P125" s="16"/>
      <c r="Q125" s="2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</row>
    <row r="126" spans="1:68" s="4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4"/>
      <c r="M126" s="3"/>
      <c r="N126" s="3"/>
      <c r="O126" s="16"/>
      <c r="P126" s="16"/>
      <c r="Q126" s="2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</row>
    <row r="127" spans="1:68" s="4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4"/>
      <c r="M127" s="3"/>
      <c r="N127" s="3"/>
      <c r="O127" s="16"/>
      <c r="P127" s="16"/>
      <c r="Q127" s="2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</row>
    <row r="128" spans="1:68" s="4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4"/>
      <c r="M128" s="3"/>
      <c r="N128" s="3"/>
      <c r="O128" s="16"/>
      <c r="P128" s="16"/>
      <c r="Q128" s="2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</row>
    <row r="129" spans="1:68" s="4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4"/>
      <c r="M129" s="3"/>
      <c r="N129" s="3"/>
      <c r="O129" s="16"/>
      <c r="P129" s="16"/>
      <c r="Q129" s="2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</row>
    <row r="130" spans="1:68" s="4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4"/>
      <c r="M130" s="3"/>
      <c r="N130" s="3"/>
      <c r="O130" s="16"/>
      <c r="P130" s="16"/>
      <c r="Q130" s="2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</row>
    <row r="131" spans="1:68" s="4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4"/>
      <c r="M131" s="3"/>
      <c r="N131" s="3"/>
      <c r="O131" s="16"/>
      <c r="P131" s="16"/>
      <c r="Q131" s="2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</row>
    <row r="132" spans="1:68" s="4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4"/>
      <c r="M132" s="3"/>
      <c r="N132" s="3"/>
      <c r="O132" s="16"/>
      <c r="P132" s="16"/>
      <c r="Q132" s="2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</row>
    <row r="133" spans="1:68" s="4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4"/>
      <c r="M133" s="3"/>
      <c r="N133" s="3"/>
      <c r="O133" s="16"/>
      <c r="P133" s="16"/>
      <c r="Q133" s="2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</row>
    <row r="134" spans="1:68" s="4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4"/>
      <c r="M134" s="3"/>
      <c r="N134" s="3"/>
      <c r="O134" s="16"/>
      <c r="P134" s="16"/>
      <c r="Q134" s="2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</row>
    <row r="135" spans="1:68" s="4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4"/>
      <c r="M135" s="3"/>
      <c r="N135" s="3"/>
      <c r="O135" s="16"/>
      <c r="P135" s="16"/>
      <c r="Q135" s="2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</row>
    <row r="136" spans="1:68" s="4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4"/>
      <c r="M136" s="3"/>
      <c r="N136" s="3"/>
      <c r="O136" s="16"/>
      <c r="P136" s="16"/>
      <c r="Q136" s="2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</row>
    <row r="137" spans="1:68" s="4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4"/>
      <c r="M137" s="3"/>
      <c r="N137" s="3"/>
      <c r="O137" s="16"/>
      <c r="P137" s="16"/>
      <c r="Q137" s="2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</row>
    <row r="138" spans="1:68" s="4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4"/>
      <c r="M138" s="3"/>
      <c r="N138" s="3"/>
      <c r="O138" s="16"/>
      <c r="P138" s="16"/>
      <c r="Q138" s="2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</row>
    <row r="139" spans="1:68" s="4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4"/>
      <c r="M139" s="3"/>
      <c r="N139" s="3"/>
      <c r="O139" s="16"/>
      <c r="P139" s="16"/>
      <c r="Q139" s="2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</row>
    <row r="140" spans="1:68" s="4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4"/>
      <c r="M140" s="3"/>
      <c r="N140" s="3"/>
      <c r="O140" s="16"/>
      <c r="P140" s="16"/>
      <c r="Q140" s="2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</row>
    <row r="141" spans="1:68" s="4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4"/>
      <c r="M141" s="3"/>
      <c r="N141" s="3"/>
      <c r="O141" s="16"/>
      <c r="P141" s="16"/>
      <c r="Q141" s="2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</row>
    <row r="142" spans="1:68" s="4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4"/>
      <c r="M142" s="3"/>
      <c r="N142" s="3"/>
      <c r="O142" s="16"/>
      <c r="P142" s="16"/>
      <c r="Q142" s="2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</row>
    <row r="143" spans="1:68" s="4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4"/>
      <c r="M143" s="3"/>
      <c r="N143" s="3"/>
      <c r="O143" s="16"/>
      <c r="P143" s="16"/>
      <c r="Q143" s="2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</row>
    <row r="144" spans="1:68" s="4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4"/>
      <c r="M144" s="3"/>
      <c r="N144" s="3"/>
      <c r="O144" s="16"/>
      <c r="P144" s="16"/>
      <c r="Q144" s="2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</row>
    <row r="145" spans="1:68" s="4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4"/>
      <c r="M145" s="3"/>
      <c r="N145" s="3"/>
      <c r="O145" s="16"/>
      <c r="P145" s="16"/>
      <c r="Q145" s="2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</row>
    <row r="146" spans="1:68" s="4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4"/>
      <c r="M146" s="3"/>
      <c r="N146" s="3"/>
      <c r="O146" s="16"/>
      <c r="P146" s="16"/>
      <c r="Q146" s="2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</row>
    <row r="147" spans="1:68" s="4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4"/>
      <c r="M147" s="3"/>
      <c r="N147" s="3"/>
      <c r="O147" s="16"/>
      <c r="P147" s="16"/>
      <c r="Q147" s="2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</row>
    <row r="148" spans="1:68" s="4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4"/>
      <c r="M148" s="3"/>
      <c r="N148" s="3"/>
      <c r="O148" s="16"/>
      <c r="P148" s="16"/>
      <c r="Q148" s="2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</row>
    <row r="149" spans="1:68" s="4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4"/>
      <c r="M149" s="3"/>
      <c r="N149" s="3"/>
      <c r="O149" s="16"/>
      <c r="P149" s="16"/>
      <c r="Q149" s="2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</row>
    <row r="150" spans="1:68" s="4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4"/>
      <c r="M150" s="3"/>
      <c r="N150" s="3"/>
      <c r="O150" s="16"/>
      <c r="P150" s="16"/>
      <c r="Q150" s="2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</row>
    <row r="151" spans="1:68" s="4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4"/>
      <c r="M151" s="3"/>
      <c r="N151" s="3"/>
      <c r="O151" s="16"/>
      <c r="P151" s="16"/>
      <c r="Q151" s="2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</row>
    <row r="152" spans="1:68" s="4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4"/>
      <c r="M152" s="3"/>
      <c r="N152" s="3"/>
      <c r="O152" s="16"/>
      <c r="P152" s="16"/>
      <c r="Q152" s="2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</row>
    <row r="153" spans="1:68" s="4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4"/>
      <c r="M153" s="3"/>
      <c r="N153" s="3"/>
      <c r="O153" s="16"/>
      <c r="P153" s="16"/>
      <c r="Q153" s="2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</row>
    <row r="154" spans="1:68" s="4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4"/>
      <c r="M154" s="3"/>
      <c r="N154" s="3"/>
      <c r="O154" s="16"/>
      <c r="P154" s="16"/>
      <c r="Q154" s="2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</row>
    <row r="155" spans="1:68" s="4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4"/>
      <c r="M155" s="3"/>
      <c r="N155" s="3"/>
      <c r="O155" s="16"/>
      <c r="P155" s="16"/>
      <c r="Q155" s="2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</row>
    <row r="156" spans="1:68" s="4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4"/>
      <c r="M156" s="3"/>
      <c r="N156" s="3"/>
      <c r="O156" s="16"/>
      <c r="P156" s="16"/>
      <c r="Q156" s="2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</row>
    <row r="157" spans="1:68" s="4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4"/>
      <c r="M157" s="3"/>
      <c r="N157" s="3"/>
      <c r="O157" s="16"/>
      <c r="P157" s="16"/>
      <c r="Q157" s="2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</row>
    <row r="158" spans="1:68" s="4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4"/>
      <c r="M158" s="3"/>
      <c r="N158" s="3"/>
      <c r="O158" s="16"/>
      <c r="P158" s="16"/>
      <c r="Q158" s="2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</row>
    <row r="159" spans="1:68" s="4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4"/>
      <c r="M159" s="3"/>
      <c r="N159" s="3"/>
      <c r="O159" s="16"/>
      <c r="P159" s="16"/>
      <c r="Q159" s="2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</row>
    <row r="160" spans="1:68" s="4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4"/>
      <c r="M160" s="3"/>
      <c r="N160" s="3"/>
      <c r="O160" s="16"/>
      <c r="P160" s="16"/>
      <c r="Q160" s="2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</row>
    <row r="161" spans="1:68" s="4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4"/>
      <c r="M161" s="3"/>
      <c r="N161" s="3"/>
      <c r="O161" s="16"/>
      <c r="P161" s="16"/>
      <c r="Q161" s="2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</row>
    <row r="162" spans="1:68" s="4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4"/>
      <c r="M162" s="3"/>
      <c r="N162" s="3"/>
      <c r="O162" s="16"/>
      <c r="P162" s="16"/>
      <c r="Q162" s="2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</row>
    <row r="163" spans="1:68" s="4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4"/>
      <c r="M163" s="3"/>
      <c r="N163" s="3"/>
      <c r="O163" s="16"/>
      <c r="P163" s="16"/>
      <c r="Q163" s="2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</row>
    <row r="164" spans="1:68" s="4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4"/>
      <c r="M164" s="3"/>
      <c r="N164" s="3"/>
      <c r="O164" s="16"/>
      <c r="P164" s="16"/>
      <c r="Q164" s="2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</row>
    <row r="165" spans="1:68" s="4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4"/>
      <c r="M165" s="3"/>
      <c r="N165" s="3"/>
      <c r="O165" s="16"/>
      <c r="P165" s="16"/>
      <c r="Q165" s="2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</row>
    <row r="166" spans="1:68" s="4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4"/>
      <c r="M166" s="3"/>
      <c r="N166" s="3"/>
      <c r="O166" s="16"/>
      <c r="P166" s="16"/>
      <c r="Q166" s="2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</row>
    <row r="167" spans="1:68" s="4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4"/>
      <c r="M167" s="3"/>
      <c r="N167" s="3"/>
      <c r="O167" s="16"/>
      <c r="P167" s="16"/>
      <c r="Q167" s="2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</row>
    <row r="168" spans="1:68" s="4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4"/>
      <c r="M168" s="3"/>
      <c r="N168" s="3"/>
      <c r="O168" s="16"/>
      <c r="P168" s="16"/>
      <c r="Q168" s="2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</row>
    <row r="169" spans="1:68" s="4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4"/>
      <c r="M169" s="3"/>
      <c r="N169" s="3"/>
      <c r="O169" s="16"/>
      <c r="P169" s="16"/>
      <c r="Q169" s="2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</row>
    <row r="170" spans="1:68" s="4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4"/>
      <c r="M170" s="3"/>
      <c r="N170" s="3"/>
      <c r="O170" s="16"/>
      <c r="P170" s="16"/>
      <c r="Q170" s="2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</row>
    <row r="171" spans="1:68" s="4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4"/>
      <c r="M171" s="3"/>
      <c r="N171" s="3"/>
      <c r="O171" s="16"/>
      <c r="P171" s="16"/>
      <c r="Q171" s="2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</row>
    <row r="172" spans="1:68" s="4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4"/>
      <c r="M172" s="3"/>
      <c r="N172" s="3"/>
      <c r="O172" s="16"/>
      <c r="P172" s="16"/>
      <c r="Q172" s="2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</row>
    <row r="173" spans="1:68" s="4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4"/>
      <c r="M173" s="3"/>
      <c r="N173" s="3"/>
      <c r="O173" s="16"/>
      <c r="P173" s="16"/>
      <c r="Q173" s="2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</row>
    <row r="174" spans="1:68" s="4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4"/>
      <c r="M174" s="3"/>
      <c r="N174" s="3"/>
      <c r="O174" s="16"/>
      <c r="P174" s="16"/>
      <c r="Q174" s="2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</row>
    <row r="175" spans="1:68" s="4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4"/>
      <c r="M175" s="3"/>
      <c r="N175" s="3"/>
      <c r="O175" s="16"/>
      <c r="P175" s="16"/>
      <c r="Q175" s="2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</row>
    <row r="176" spans="1:68" s="4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4"/>
      <c r="M176" s="3"/>
      <c r="N176" s="3"/>
      <c r="O176" s="16"/>
      <c r="P176" s="16"/>
      <c r="Q176" s="2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</row>
    <row r="177" spans="1:68" s="4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4"/>
      <c r="M177" s="3"/>
      <c r="N177" s="3"/>
      <c r="O177" s="16"/>
      <c r="P177" s="16"/>
      <c r="Q177" s="2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</row>
    <row r="178" spans="1:68" s="4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4"/>
      <c r="M178" s="3"/>
      <c r="N178" s="3"/>
      <c r="O178" s="16"/>
      <c r="P178" s="16"/>
      <c r="Q178" s="2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</row>
    <row r="179" spans="1:68" s="4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4"/>
      <c r="M179" s="3"/>
      <c r="N179" s="3"/>
      <c r="O179" s="16"/>
      <c r="P179" s="16"/>
      <c r="Q179" s="2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</row>
    <row r="180" spans="1:68" s="4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4"/>
      <c r="M180" s="3"/>
      <c r="N180" s="3"/>
      <c r="O180" s="16"/>
      <c r="P180" s="16"/>
      <c r="Q180" s="2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</row>
    <row r="181" spans="1:68" s="4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4"/>
      <c r="M181" s="3"/>
      <c r="N181" s="3"/>
      <c r="O181" s="16"/>
      <c r="P181" s="16"/>
      <c r="Q181" s="2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</row>
    <row r="182" spans="1:68" s="4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4"/>
      <c r="M182" s="3"/>
      <c r="N182" s="3"/>
      <c r="O182" s="16"/>
      <c r="P182" s="16"/>
      <c r="Q182" s="2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</row>
    <row r="183" spans="1:68" s="4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4"/>
      <c r="M183" s="3"/>
      <c r="N183" s="3"/>
      <c r="O183" s="16"/>
      <c r="P183" s="16"/>
      <c r="Q183" s="2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</row>
    <row r="184" spans="1:68" s="4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4"/>
      <c r="M184" s="3"/>
      <c r="N184" s="3"/>
      <c r="O184" s="16"/>
      <c r="P184" s="16"/>
      <c r="Q184" s="2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</row>
    <row r="185" spans="1:68" s="4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4"/>
      <c r="M185" s="3"/>
      <c r="N185" s="3"/>
      <c r="O185" s="16"/>
      <c r="P185" s="16"/>
      <c r="Q185" s="2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</row>
    <row r="186" spans="1:68" s="4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4"/>
      <c r="M186" s="3"/>
      <c r="N186" s="3"/>
      <c r="O186" s="16"/>
      <c r="P186" s="16"/>
      <c r="Q186" s="2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</row>
    <row r="187" spans="1:68" s="4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4"/>
      <c r="M187" s="3"/>
      <c r="N187" s="3"/>
      <c r="O187" s="16"/>
      <c r="P187" s="16"/>
      <c r="Q187" s="2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</row>
    <row r="188" spans="1:68" s="4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4"/>
      <c r="M188" s="3"/>
      <c r="N188" s="3"/>
      <c r="O188" s="16"/>
      <c r="P188" s="16"/>
      <c r="Q188" s="2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</row>
    <row r="189" spans="1:68" s="4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4"/>
      <c r="M189" s="3"/>
      <c r="N189" s="3"/>
      <c r="O189" s="16"/>
      <c r="P189" s="16"/>
      <c r="Q189" s="2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</row>
    <row r="190" spans="1:68" s="4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4"/>
      <c r="M190" s="3"/>
      <c r="N190" s="3"/>
      <c r="O190" s="16"/>
      <c r="P190" s="16"/>
      <c r="Q190" s="2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</row>
    <row r="191" spans="1:68" s="4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4"/>
      <c r="M191" s="3"/>
      <c r="N191" s="3"/>
      <c r="O191" s="16"/>
      <c r="P191" s="16"/>
      <c r="Q191" s="2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</row>
    <row r="192" spans="1:68" s="4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4"/>
      <c r="M192" s="3"/>
      <c r="N192" s="3"/>
      <c r="O192" s="16"/>
      <c r="P192" s="16"/>
      <c r="Q192" s="2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</row>
    <row r="193" spans="1:68" s="4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4"/>
      <c r="M193" s="3"/>
      <c r="N193" s="3"/>
      <c r="O193" s="16"/>
      <c r="P193" s="16"/>
      <c r="Q193" s="2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</row>
    <row r="194" spans="1:68" s="4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4"/>
      <c r="M194" s="3"/>
      <c r="N194" s="3"/>
      <c r="O194" s="16"/>
      <c r="P194" s="16"/>
      <c r="Q194" s="2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</row>
    <row r="195" spans="1:68" s="4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4"/>
      <c r="M195" s="3"/>
      <c r="N195" s="3"/>
      <c r="O195" s="16"/>
      <c r="P195" s="16"/>
      <c r="Q195" s="2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</row>
    <row r="196" spans="1:68" s="4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4"/>
      <c r="M196" s="3"/>
      <c r="N196" s="3"/>
      <c r="O196" s="16"/>
      <c r="P196" s="16"/>
      <c r="Q196" s="2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</row>
    <row r="197" spans="1:68" s="4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4"/>
      <c r="M197" s="3"/>
      <c r="N197" s="3"/>
      <c r="O197" s="16"/>
      <c r="P197" s="16"/>
      <c r="Q197" s="2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</row>
    <row r="198" spans="1:68" s="4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4"/>
      <c r="M198" s="3"/>
      <c r="N198" s="3"/>
      <c r="O198" s="16"/>
      <c r="P198" s="16"/>
      <c r="Q198" s="2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</row>
    <row r="199" spans="1:68" s="4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4"/>
      <c r="M199" s="3"/>
      <c r="N199" s="3"/>
      <c r="O199" s="16"/>
      <c r="P199" s="16"/>
      <c r="Q199" s="2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</row>
    <row r="200" spans="1:68" s="4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4"/>
      <c r="M200" s="3"/>
      <c r="N200" s="3"/>
      <c r="O200" s="16"/>
      <c r="P200" s="16"/>
      <c r="Q200" s="2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</row>
    <row r="201" spans="1:68" s="4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4"/>
      <c r="M201" s="3"/>
      <c r="N201" s="3"/>
      <c r="O201" s="16"/>
      <c r="P201" s="16"/>
      <c r="Q201" s="2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</row>
    <row r="202" spans="1:68" s="4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4"/>
      <c r="M202" s="3"/>
      <c r="N202" s="3"/>
      <c r="O202" s="16"/>
      <c r="P202" s="16"/>
      <c r="Q202" s="2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</row>
    <row r="203" spans="1:68" s="4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4"/>
      <c r="M203" s="3"/>
      <c r="N203" s="3"/>
      <c r="O203" s="16"/>
      <c r="P203" s="16"/>
      <c r="Q203" s="2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</row>
    <row r="204" spans="1:68" s="4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4"/>
      <c r="M204" s="3"/>
      <c r="N204" s="3"/>
      <c r="O204" s="16"/>
      <c r="P204" s="16"/>
      <c r="Q204" s="2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</row>
    <row r="205" spans="1:68" s="4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4"/>
      <c r="M205" s="3"/>
      <c r="N205" s="3"/>
      <c r="O205" s="16"/>
      <c r="P205" s="16"/>
      <c r="Q205" s="2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</row>
    <row r="206" spans="1:68" s="4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4"/>
      <c r="M206" s="3"/>
      <c r="N206" s="3"/>
      <c r="O206" s="16"/>
      <c r="P206" s="16"/>
      <c r="Q206" s="2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</row>
    <row r="207" spans="1:68" s="4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4"/>
      <c r="M207" s="3"/>
      <c r="N207" s="3"/>
      <c r="O207" s="16"/>
      <c r="P207" s="16"/>
      <c r="Q207" s="2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</row>
    <row r="208" spans="1:68" s="4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4"/>
      <c r="M208" s="3"/>
      <c r="N208" s="3"/>
      <c r="O208" s="16"/>
      <c r="P208" s="16"/>
      <c r="Q208" s="2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</row>
    <row r="209" spans="1:68" s="4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4"/>
      <c r="M209" s="3"/>
      <c r="N209" s="3"/>
      <c r="O209" s="16"/>
      <c r="P209" s="16"/>
      <c r="Q209" s="2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</row>
    <row r="210" spans="1:68" s="4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4"/>
      <c r="M210" s="3"/>
      <c r="N210" s="3"/>
      <c r="O210" s="16"/>
      <c r="P210" s="16"/>
      <c r="Q210" s="2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</row>
    <row r="211" spans="1:68" s="4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4"/>
      <c r="M211" s="3"/>
      <c r="N211" s="3"/>
      <c r="O211" s="16"/>
      <c r="P211" s="16"/>
      <c r="Q211" s="2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</row>
    <row r="212" spans="1:68" s="4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4"/>
      <c r="M212" s="3"/>
      <c r="N212" s="3"/>
      <c r="O212" s="16"/>
      <c r="P212" s="16"/>
      <c r="Q212" s="2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</row>
    <row r="213" spans="1:68" s="4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4"/>
      <c r="M213" s="3"/>
      <c r="N213" s="3"/>
      <c r="O213" s="16"/>
      <c r="P213" s="16"/>
      <c r="Q213" s="2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</row>
    <row r="214" spans="1:68" s="4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4"/>
      <c r="M214" s="3"/>
      <c r="N214" s="3"/>
      <c r="O214" s="16"/>
      <c r="P214" s="16"/>
      <c r="Q214" s="2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</row>
    <row r="215" spans="1:68" s="4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4"/>
      <c r="M215" s="3"/>
      <c r="N215" s="3"/>
      <c r="O215" s="16"/>
      <c r="P215" s="16"/>
      <c r="Q215" s="2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</row>
    <row r="216" spans="1:68" s="4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4"/>
      <c r="M216" s="3"/>
      <c r="N216" s="3"/>
      <c r="O216" s="16"/>
      <c r="P216" s="16"/>
      <c r="Q216" s="2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</row>
    <row r="217" spans="1:68" s="4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4"/>
      <c r="M217" s="3"/>
      <c r="N217" s="3"/>
      <c r="O217" s="16"/>
      <c r="P217" s="16"/>
      <c r="Q217" s="2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</row>
    <row r="218" spans="1:68" s="4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4"/>
      <c r="M218" s="3"/>
      <c r="N218" s="3"/>
      <c r="O218" s="16"/>
      <c r="P218" s="16"/>
      <c r="Q218" s="2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</row>
    <row r="219" spans="1:68" s="4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4"/>
      <c r="M219" s="3"/>
      <c r="N219" s="3"/>
      <c r="O219" s="16"/>
      <c r="P219" s="16"/>
      <c r="Q219" s="2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</row>
    <row r="220" spans="1:68" s="4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4"/>
      <c r="M220" s="3"/>
      <c r="N220" s="3"/>
      <c r="O220" s="16"/>
      <c r="P220" s="16"/>
      <c r="Q220" s="2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</row>
    <row r="221" spans="1:68" s="4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4"/>
      <c r="M221" s="3"/>
      <c r="N221" s="3"/>
      <c r="O221" s="16"/>
      <c r="P221" s="16"/>
      <c r="Q221" s="2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</row>
    <row r="222" spans="1:68" s="4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4"/>
      <c r="M222" s="3"/>
      <c r="N222" s="3"/>
      <c r="O222" s="16"/>
      <c r="P222" s="16"/>
      <c r="Q222" s="2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</row>
    <row r="223" spans="1:68" s="4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4"/>
      <c r="M223" s="3"/>
      <c r="N223" s="3"/>
      <c r="O223" s="16"/>
      <c r="P223" s="16"/>
      <c r="Q223" s="2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</row>
    <row r="224" spans="1:68" s="4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4"/>
      <c r="M224" s="3"/>
      <c r="N224" s="3"/>
      <c r="O224" s="17"/>
      <c r="P224" s="17"/>
      <c r="Q224" s="7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</row>
    <row r="225" spans="1:68" s="4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4"/>
      <c r="M225" s="3"/>
      <c r="N225" s="3"/>
      <c r="O225" s="17"/>
      <c r="P225" s="17"/>
      <c r="Q225" s="7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</row>
    <row r="226" spans="1:68" s="4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4"/>
      <c r="M226" s="3"/>
      <c r="N226" s="3"/>
      <c r="O226" s="17"/>
      <c r="P226" s="17"/>
      <c r="Q226" s="7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</row>
    <row r="227" spans="1:68" s="4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4"/>
      <c r="M227" s="3"/>
      <c r="N227" s="3"/>
      <c r="O227" s="17"/>
      <c r="P227" s="17"/>
      <c r="Q227" s="7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</row>
    <row r="228" spans="1:68" s="4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4"/>
      <c r="M228" s="3"/>
      <c r="N228" s="3"/>
      <c r="O228" s="17"/>
      <c r="P228" s="17"/>
      <c r="Q228" s="7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</row>
    <row r="229" spans="1:68" s="4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4"/>
      <c r="M229" s="3"/>
      <c r="N229" s="3"/>
      <c r="O229" s="17"/>
      <c r="P229" s="17"/>
      <c r="Q229" s="7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</row>
    <row r="230" spans="1:68" s="4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4"/>
      <c r="M230" s="3"/>
      <c r="N230" s="3"/>
      <c r="O230" s="17"/>
      <c r="P230" s="17"/>
      <c r="Q230" s="7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</row>
    <row r="231" spans="1:68" s="4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4"/>
      <c r="M231" s="3"/>
      <c r="N231" s="3"/>
      <c r="O231" s="17"/>
      <c r="P231" s="17"/>
      <c r="Q231" s="7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</row>
    <row r="232" spans="1:68" s="4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4"/>
      <c r="M232" s="3"/>
      <c r="N232" s="3"/>
      <c r="O232" s="17"/>
      <c r="P232" s="17"/>
      <c r="Q232" s="7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</row>
    <row r="233" spans="1:68" s="4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4"/>
      <c r="M233" s="3"/>
      <c r="N233" s="3"/>
      <c r="O233" s="17"/>
      <c r="P233" s="17"/>
      <c r="Q233" s="7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</row>
    <row r="234" spans="1:68" s="4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4"/>
      <c r="M234" s="3"/>
      <c r="N234" s="3"/>
      <c r="O234" s="17"/>
      <c r="P234" s="17"/>
      <c r="Q234" s="7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</row>
    <row r="235" spans="1:68" s="4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4"/>
      <c r="M235" s="3"/>
      <c r="N235" s="3"/>
      <c r="O235" s="17"/>
      <c r="P235" s="17"/>
      <c r="Q235" s="7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</row>
    <row r="236" spans="1:68" s="4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4"/>
      <c r="M236" s="3"/>
      <c r="N236" s="3"/>
      <c r="O236" s="17"/>
      <c r="P236" s="17"/>
      <c r="Q236" s="7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</row>
    <row r="237" spans="1:68" s="4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4"/>
      <c r="M237" s="3"/>
      <c r="N237" s="3"/>
      <c r="O237" s="17"/>
      <c r="P237" s="17"/>
      <c r="Q237" s="7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</row>
    <row r="238" spans="1:68" s="4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4"/>
      <c r="M238" s="3"/>
      <c r="N238" s="3"/>
      <c r="O238" s="17"/>
      <c r="P238" s="17"/>
      <c r="Q238" s="7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</row>
    <row r="239" spans="1:68" s="4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4"/>
      <c r="M239" s="3"/>
      <c r="N239" s="3"/>
      <c r="O239" s="17"/>
      <c r="P239" s="17"/>
      <c r="Q239" s="7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</row>
    <row r="240" spans="1:68" s="4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4"/>
      <c r="M240" s="3"/>
      <c r="N240" s="3"/>
      <c r="O240" s="17"/>
      <c r="P240" s="17"/>
      <c r="Q240" s="7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</row>
    <row r="241" spans="1:68" s="4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4"/>
      <c r="M241" s="3"/>
      <c r="N241" s="3"/>
      <c r="O241" s="17"/>
      <c r="P241" s="17"/>
      <c r="Q241" s="7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</row>
    <row r="242" spans="1:68" s="4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4"/>
      <c r="M242" s="3"/>
      <c r="N242" s="3"/>
      <c r="O242" s="17"/>
      <c r="P242" s="17"/>
      <c r="Q242" s="7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</row>
    <row r="243" spans="1:68" s="4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4"/>
      <c r="M243" s="3"/>
      <c r="N243" s="3"/>
      <c r="O243" s="17"/>
      <c r="P243" s="17"/>
      <c r="Q243" s="7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</row>
    <row r="244" spans="1:68" s="4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4"/>
      <c r="M244" s="3"/>
      <c r="N244" s="3"/>
      <c r="O244" s="17"/>
      <c r="P244" s="17"/>
      <c r="Q244" s="7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</row>
    <row r="245" spans="1:68" s="4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4"/>
      <c r="M245" s="3"/>
      <c r="N245" s="3"/>
      <c r="O245" s="17"/>
      <c r="P245" s="17"/>
      <c r="Q245" s="7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</row>
    <row r="246" spans="1:68" s="4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4"/>
      <c r="M246" s="3"/>
      <c r="N246" s="3"/>
      <c r="O246" s="17"/>
      <c r="P246" s="17"/>
      <c r="Q246" s="7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</row>
    <row r="247" spans="1:68" s="4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4"/>
      <c r="M247" s="3"/>
      <c r="N247" s="3"/>
      <c r="O247" s="17"/>
      <c r="P247" s="17"/>
      <c r="Q247" s="7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</row>
    <row r="248" spans="1:68" s="4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4"/>
      <c r="M248" s="3"/>
      <c r="N248" s="3"/>
      <c r="O248" s="17"/>
      <c r="P248" s="17"/>
      <c r="Q248" s="7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</row>
    <row r="249" spans="1:68" s="4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4"/>
      <c r="M249" s="3"/>
      <c r="N249" s="3"/>
      <c r="O249" s="17"/>
      <c r="P249" s="17"/>
      <c r="Q249" s="7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</row>
    <row r="250" spans="1:68" s="4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4"/>
      <c r="M250" s="3"/>
      <c r="N250" s="3"/>
      <c r="O250" s="17"/>
      <c r="P250" s="17"/>
      <c r="Q250" s="7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</row>
    <row r="251" spans="1:68" s="4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4"/>
      <c r="M251" s="3"/>
      <c r="N251" s="3"/>
      <c r="O251" s="17"/>
      <c r="P251" s="17"/>
      <c r="Q251" s="7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</row>
    <row r="252" spans="1:68" s="4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4"/>
      <c r="M252" s="3"/>
      <c r="N252" s="3"/>
      <c r="O252" s="17"/>
      <c r="P252" s="17"/>
      <c r="Q252" s="7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</row>
    <row r="253" spans="1:68" s="4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4"/>
      <c r="M253" s="3"/>
      <c r="N253" s="3"/>
      <c r="O253" s="17"/>
      <c r="P253" s="17"/>
      <c r="Q253" s="7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</row>
    <row r="254" spans="1:68" s="4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4"/>
      <c r="M254" s="3"/>
      <c r="N254" s="3"/>
      <c r="O254" s="17"/>
      <c r="P254" s="17"/>
      <c r="Q254" s="7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</row>
    <row r="255" spans="1:68" s="4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4"/>
      <c r="M255" s="3"/>
      <c r="N255" s="3"/>
      <c r="O255" s="17"/>
      <c r="P255" s="17"/>
      <c r="Q255" s="7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</row>
    <row r="256" spans="1:68" s="4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4"/>
      <c r="M256" s="3"/>
      <c r="N256" s="3"/>
      <c r="O256" s="17"/>
      <c r="P256" s="17"/>
      <c r="Q256" s="7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</row>
    <row r="257" spans="1:68" s="4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4"/>
      <c r="M257" s="3"/>
      <c r="N257" s="3"/>
      <c r="O257" s="17"/>
      <c r="P257" s="17"/>
      <c r="Q257" s="7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</row>
    <row r="258" spans="1:68" s="4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4"/>
      <c r="M258" s="3"/>
      <c r="N258" s="3"/>
      <c r="O258" s="17"/>
      <c r="P258" s="17"/>
      <c r="Q258" s="7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</row>
    <row r="259" spans="1:68" s="4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4"/>
      <c r="M259" s="3"/>
      <c r="N259" s="3"/>
      <c r="O259" s="17"/>
      <c r="P259" s="17"/>
      <c r="Q259" s="7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</row>
    <row r="260" spans="1:68" s="4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4"/>
      <c r="M260" s="3"/>
      <c r="N260" s="3"/>
      <c r="O260" s="17"/>
      <c r="P260" s="17"/>
      <c r="Q260" s="7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</row>
    <row r="261" spans="1:68" s="4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4"/>
      <c r="M261" s="3"/>
      <c r="N261" s="3"/>
      <c r="O261" s="17"/>
      <c r="P261" s="17"/>
      <c r="Q261" s="7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</row>
    <row r="262" spans="1:68" s="4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4"/>
      <c r="M262" s="3"/>
      <c r="N262" s="3"/>
      <c r="O262" s="17"/>
      <c r="P262" s="17"/>
      <c r="Q262" s="7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</row>
    <row r="263" spans="1:68" s="4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4"/>
      <c r="M263" s="3"/>
      <c r="N263" s="3"/>
      <c r="O263" s="17"/>
      <c r="P263" s="17"/>
      <c r="Q263" s="7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</row>
    <row r="264" spans="1:68" s="4" customForma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4"/>
      <c r="M264" s="3"/>
      <c r="N264" s="3"/>
      <c r="O264" s="17"/>
      <c r="P264" s="17"/>
      <c r="Q264" s="7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</row>
    <row r="265" spans="1:68" s="4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4"/>
      <c r="M265" s="3"/>
      <c r="N265" s="3"/>
      <c r="O265" s="17"/>
      <c r="P265" s="17"/>
      <c r="Q265" s="7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</row>
    <row r="266" spans="1:68" s="4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4"/>
      <c r="M266" s="3"/>
      <c r="N266" s="3"/>
      <c r="O266" s="17"/>
      <c r="P266" s="17"/>
      <c r="Q266" s="7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</row>
    <row r="267" spans="1:68" s="4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4"/>
      <c r="M267" s="3"/>
      <c r="N267" s="3"/>
      <c r="O267" s="17"/>
      <c r="P267" s="17"/>
      <c r="Q267" s="7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</row>
    <row r="268" spans="1:68" s="4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4"/>
      <c r="M268" s="3"/>
      <c r="N268" s="3"/>
      <c r="O268" s="17"/>
      <c r="P268" s="17"/>
      <c r="Q268" s="7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600C_5 mm Flibe_coated+dewar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Saraswat</cp:lastModifiedBy>
  <dcterms:created xsi:type="dcterms:W3CDTF">2015-06-05T18:17:20Z</dcterms:created>
  <dcterms:modified xsi:type="dcterms:W3CDTF">2026-03-24T16:35:40Z</dcterms:modified>
</cp:coreProperties>
</file>