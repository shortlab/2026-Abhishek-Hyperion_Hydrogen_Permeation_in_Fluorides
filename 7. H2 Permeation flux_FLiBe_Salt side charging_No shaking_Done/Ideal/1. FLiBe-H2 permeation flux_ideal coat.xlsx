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6. H2 Permeation flux_FLiBe_Salt side charging_No shaking_Done\Ideal\"/>
    </mc:Choice>
  </mc:AlternateContent>
  <xr:revisionPtr revIDLastSave="0" documentId="13_ncr:1_{E0E68D25-3655-421F-AA4C-2A6D4D8486F0}" xr6:coauthVersionLast="47" xr6:coauthVersionMax="47" xr10:uidLastSave="{00000000-0000-0000-0000-000000000000}"/>
  <bookViews>
    <workbookView xWindow="-108" yWindow="-108" windowWidth="23256" windowHeight="12456" tabRatio="774" firstSheet="2" activeTab="4" xr2:uid="{00000000-000D-0000-FFFF-FFFF00000000}"/>
  </bookViews>
  <sheets>
    <sheet name="500C_5mm_coated+swapped+dewar_1" sheetId="24" r:id="rId1"/>
    <sheet name="550C_5mm_coated+swapped+dewar_1" sheetId="23" r:id="rId2"/>
    <sheet name="600C_5mm_coated+swapped+dewar_1" sheetId="25" r:id="rId3"/>
    <sheet name="600C_5mm_coated+swapped+dewar_2" sheetId="29" r:id="rId4"/>
    <sheet name="700C_5 mm_coated+swapped+dewar" sheetId="2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5" i="25" l="1"/>
  <c r="X145" i="25"/>
  <c r="X75" i="25" l="1"/>
  <c r="Y75" i="25" s="1"/>
  <c r="X87" i="25"/>
  <c r="Y87" i="25" s="1"/>
  <c r="X96" i="25"/>
  <c r="Y96" i="25" s="1"/>
  <c r="X102" i="25"/>
  <c r="Y102" i="25"/>
  <c r="Y126" i="25"/>
  <c r="X130" i="25"/>
  <c r="Y130" i="25" s="1"/>
  <c r="L63" i="25"/>
  <c r="M63" i="25"/>
  <c r="N63" i="25"/>
  <c r="O63" i="25"/>
  <c r="R63" i="25"/>
  <c r="S63" i="25"/>
  <c r="U63" i="25"/>
  <c r="V63" i="25"/>
  <c r="W63" i="25"/>
  <c r="X63" i="25" s="1"/>
  <c r="Y63" i="25" s="1"/>
  <c r="L64" i="25"/>
  <c r="M64" i="25"/>
  <c r="N64" i="25"/>
  <c r="O64" i="25"/>
  <c r="R64" i="25"/>
  <c r="S64" i="25"/>
  <c r="U64" i="25"/>
  <c r="L65" i="25"/>
  <c r="V65" i="25" s="1"/>
  <c r="M65" i="25"/>
  <c r="N65" i="25"/>
  <c r="O65" i="25"/>
  <c r="R65" i="25"/>
  <c r="S65" i="25"/>
  <c r="U65" i="25"/>
  <c r="L66" i="25"/>
  <c r="M66" i="25"/>
  <c r="N66" i="25"/>
  <c r="O66" i="25"/>
  <c r="R66" i="25"/>
  <c r="S66" i="25"/>
  <c r="U66" i="25"/>
  <c r="V66" i="25" s="1"/>
  <c r="W66" i="25" s="1"/>
  <c r="L67" i="25"/>
  <c r="M67" i="25"/>
  <c r="N67" i="25"/>
  <c r="O67" i="25"/>
  <c r="R67" i="25"/>
  <c r="S67" i="25"/>
  <c r="U67" i="25"/>
  <c r="V67" i="25"/>
  <c r="W67" i="25"/>
  <c r="X67" i="25" s="1"/>
  <c r="Y67" i="25" s="1"/>
  <c r="L68" i="25"/>
  <c r="V68" i="25" s="1"/>
  <c r="M68" i="25"/>
  <c r="N68" i="25"/>
  <c r="O68" i="25"/>
  <c r="R68" i="25"/>
  <c r="S68" i="25"/>
  <c r="U68" i="25"/>
  <c r="L69" i="25"/>
  <c r="V69" i="25" s="1"/>
  <c r="M69" i="25"/>
  <c r="N69" i="25"/>
  <c r="W69" i="25" s="1"/>
  <c r="X69" i="25" s="1"/>
  <c r="Y69" i="25" s="1"/>
  <c r="O69" i="25"/>
  <c r="R69" i="25"/>
  <c r="S69" i="25"/>
  <c r="U69" i="25"/>
  <c r="L70" i="25"/>
  <c r="M70" i="25"/>
  <c r="N70" i="25"/>
  <c r="O70" i="25"/>
  <c r="R70" i="25"/>
  <c r="S70" i="25"/>
  <c r="U70" i="25"/>
  <c r="V70" i="25"/>
  <c r="W70" i="25"/>
  <c r="X70" i="25" s="1"/>
  <c r="Y70" i="25" s="1"/>
  <c r="L71" i="25"/>
  <c r="M71" i="25"/>
  <c r="N71" i="25"/>
  <c r="O71" i="25"/>
  <c r="R71" i="25"/>
  <c r="S71" i="25"/>
  <c r="U71" i="25"/>
  <c r="V71" i="25"/>
  <c r="W71" i="25"/>
  <c r="L72" i="25"/>
  <c r="V72" i="25" s="1"/>
  <c r="M72" i="25"/>
  <c r="N72" i="25"/>
  <c r="W72" i="25" s="1"/>
  <c r="O72" i="25"/>
  <c r="R72" i="25"/>
  <c r="X72" i="25" s="1"/>
  <c r="Y72" i="25" s="1"/>
  <c r="S72" i="25"/>
  <c r="U72" i="25"/>
  <c r="L73" i="25"/>
  <c r="M73" i="25"/>
  <c r="N73" i="25"/>
  <c r="O73" i="25"/>
  <c r="R73" i="25"/>
  <c r="S73" i="25"/>
  <c r="U73" i="25"/>
  <c r="L74" i="25"/>
  <c r="M74" i="25"/>
  <c r="N74" i="25"/>
  <c r="O74" i="25"/>
  <c r="R74" i="25"/>
  <c r="S74" i="25"/>
  <c r="U74" i="25"/>
  <c r="V74" i="25"/>
  <c r="W74" i="25"/>
  <c r="L75" i="25"/>
  <c r="M75" i="25"/>
  <c r="N75" i="25"/>
  <c r="O75" i="25"/>
  <c r="R75" i="25"/>
  <c r="S75" i="25"/>
  <c r="U75" i="25"/>
  <c r="V75" i="25"/>
  <c r="W75" i="25"/>
  <c r="L76" i="25"/>
  <c r="M76" i="25"/>
  <c r="N76" i="25"/>
  <c r="O76" i="25"/>
  <c r="R76" i="25"/>
  <c r="S76" i="25"/>
  <c r="U76" i="25"/>
  <c r="L77" i="25"/>
  <c r="V77" i="25" s="1"/>
  <c r="M77" i="25"/>
  <c r="N77" i="25"/>
  <c r="O77" i="25"/>
  <c r="R77" i="25"/>
  <c r="S77" i="25"/>
  <c r="U77" i="25"/>
  <c r="L78" i="25"/>
  <c r="M78" i="25"/>
  <c r="N78" i="25"/>
  <c r="O78" i="25"/>
  <c r="R78" i="25"/>
  <c r="S78" i="25"/>
  <c r="U78" i="25"/>
  <c r="V78" i="25" s="1"/>
  <c r="W78" i="25" s="1"/>
  <c r="L79" i="25"/>
  <c r="M79" i="25"/>
  <c r="N79" i="25"/>
  <c r="O79" i="25"/>
  <c r="R79" i="25"/>
  <c r="S79" i="25"/>
  <c r="U79" i="25"/>
  <c r="V79" i="25"/>
  <c r="W79" i="25"/>
  <c r="X79" i="25" s="1"/>
  <c r="Y79" i="25" s="1"/>
  <c r="L80" i="25"/>
  <c r="V80" i="25" s="1"/>
  <c r="M80" i="25"/>
  <c r="N80" i="25"/>
  <c r="O80" i="25"/>
  <c r="R80" i="25"/>
  <c r="S80" i="25"/>
  <c r="U80" i="25"/>
  <c r="L81" i="25"/>
  <c r="V81" i="25" s="1"/>
  <c r="M81" i="25"/>
  <c r="N81" i="25"/>
  <c r="W81" i="25" s="1"/>
  <c r="X81" i="25" s="1"/>
  <c r="Y81" i="25" s="1"/>
  <c r="O81" i="25"/>
  <c r="R81" i="25"/>
  <c r="S81" i="25"/>
  <c r="U81" i="25"/>
  <c r="L82" i="25"/>
  <c r="M82" i="25"/>
  <c r="N82" i="25"/>
  <c r="O82" i="25"/>
  <c r="R82" i="25"/>
  <c r="S82" i="25"/>
  <c r="U82" i="25"/>
  <c r="V82" i="25"/>
  <c r="W82" i="25"/>
  <c r="X82" i="25" s="1"/>
  <c r="Y82" i="25" s="1"/>
  <c r="L83" i="25"/>
  <c r="M83" i="25"/>
  <c r="N83" i="25"/>
  <c r="O83" i="25"/>
  <c r="R83" i="25"/>
  <c r="S83" i="25"/>
  <c r="U83" i="25"/>
  <c r="V83" i="25"/>
  <c r="W83" i="25"/>
  <c r="X83" i="25" s="1"/>
  <c r="Y83" i="25" s="1"/>
  <c r="L84" i="25"/>
  <c r="V84" i="25" s="1"/>
  <c r="M84" i="25"/>
  <c r="N84" i="25"/>
  <c r="W84" i="25" s="1"/>
  <c r="O84" i="25"/>
  <c r="R84" i="25"/>
  <c r="X84" i="25" s="1"/>
  <c r="Y84" i="25" s="1"/>
  <c r="S84" i="25"/>
  <c r="U84" i="25"/>
  <c r="L85" i="25"/>
  <c r="M85" i="25"/>
  <c r="N85" i="25"/>
  <c r="O85" i="25"/>
  <c r="R85" i="25"/>
  <c r="S85" i="25"/>
  <c r="U85" i="25"/>
  <c r="L86" i="25"/>
  <c r="M86" i="25"/>
  <c r="N86" i="25"/>
  <c r="O86" i="25"/>
  <c r="R86" i="25"/>
  <c r="S86" i="25"/>
  <c r="U86" i="25"/>
  <c r="V86" i="25"/>
  <c r="W86" i="25"/>
  <c r="L87" i="25"/>
  <c r="M87" i="25"/>
  <c r="N87" i="25"/>
  <c r="O87" i="25"/>
  <c r="R87" i="25"/>
  <c r="S87" i="25"/>
  <c r="U87" i="25"/>
  <c r="V87" i="25"/>
  <c r="W87" i="25"/>
  <c r="L88" i="25"/>
  <c r="M88" i="25"/>
  <c r="N88" i="25"/>
  <c r="O88" i="25"/>
  <c r="R88" i="25"/>
  <c r="S88" i="25"/>
  <c r="U88" i="25"/>
  <c r="L89" i="25"/>
  <c r="V89" i="25" s="1"/>
  <c r="M89" i="25"/>
  <c r="N89" i="25"/>
  <c r="O89" i="25"/>
  <c r="R89" i="25"/>
  <c r="S89" i="25"/>
  <c r="U89" i="25"/>
  <c r="L90" i="25"/>
  <c r="M90" i="25"/>
  <c r="N90" i="25"/>
  <c r="O90" i="25"/>
  <c r="R90" i="25"/>
  <c r="S90" i="25"/>
  <c r="U90" i="25"/>
  <c r="V90" i="25" s="1"/>
  <c r="W90" i="25" s="1"/>
  <c r="L91" i="25"/>
  <c r="M91" i="25"/>
  <c r="N91" i="25"/>
  <c r="O91" i="25"/>
  <c r="R91" i="25"/>
  <c r="S91" i="25"/>
  <c r="U91" i="25"/>
  <c r="V91" i="25"/>
  <c r="W91" i="25"/>
  <c r="X91" i="25" s="1"/>
  <c r="Y91" i="25" s="1"/>
  <c r="L92" i="25"/>
  <c r="M92" i="25"/>
  <c r="N92" i="25"/>
  <c r="O92" i="25"/>
  <c r="R92" i="25"/>
  <c r="S92" i="25"/>
  <c r="U92" i="25"/>
  <c r="L93" i="25"/>
  <c r="V93" i="25" s="1"/>
  <c r="M93" i="25"/>
  <c r="N93" i="25"/>
  <c r="W93" i="25" s="1"/>
  <c r="X93" i="25" s="1"/>
  <c r="Y93" i="25" s="1"/>
  <c r="O93" i="25"/>
  <c r="R93" i="25"/>
  <c r="S93" i="25"/>
  <c r="U93" i="25"/>
  <c r="L94" i="25"/>
  <c r="M94" i="25"/>
  <c r="N94" i="25"/>
  <c r="O94" i="25"/>
  <c r="R94" i="25"/>
  <c r="S94" i="25"/>
  <c r="U94" i="25"/>
  <c r="V94" i="25"/>
  <c r="W94" i="25"/>
  <c r="X94" i="25" s="1"/>
  <c r="Y94" i="25" s="1"/>
  <c r="L95" i="25"/>
  <c r="M95" i="25"/>
  <c r="N95" i="25"/>
  <c r="O95" i="25"/>
  <c r="R95" i="25"/>
  <c r="S95" i="25"/>
  <c r="U95" i="25"/>
  <c r="V95" i="25"/>
  <c r="W95" i="25" s="1"/>
  <c r="L96" i="25"/>
  <c r="V96" i="25" s="1"/>
  <c r="M96" i="25"/>
  <c r="N96" i="25"/>
  <c r="W96" i="25" s="1"/>
  <c r="O96" i="25"/>
  <c r="R96" i="25"/>
  <c r="S96" i="25"/>
  <c r="U96" i="25"/>
  <c r="L97" i="25"/>
  <c r="M97" i="25"/>
  <c r="N97" i="25"/>
  <c r="O97" i="25"/>
  <c r="R97" i="25"/>
  <c r="S97" i="25"/>
  <c r="U97" i="25"/>
  <c r="L98" i="25"/>
  <c r="M98" i="25"/>
  <c r="N98" i="25"/>
  <c r="O98" i="25"/>
  <c r="R98" i="25"/>
  <c r="S98" i="25"/>
  <c r="U98" i="25"/>
  <c r="V98" i="25"/>
  <c r="W98" i="25"/>
  <c r="L99" i="25"/>
  <c r="M99" i="25"/>
  <c r="N99" i="25"/>
  <c r="O99" i="25"/>
  <c r="R99" i="25"/>
  <c r="X99" i="25" s="1"/>
  <c r="Y99" i="25" s="1"/>
  <c r="S99" i="25"/>
  <c r="U99" i="25"/>
  <c r="V99" i="25"/>
  <c r="W99" i="25"/>
  <c r="L100" i="25"/>
  <c r="M100" i="25"/>
  <c r="N100" i="25"/>
  <c r="O100" i="25"/>
  <c r="R100" i="25"/>
  <c r="S100" i="25"/>
  <c r="U100" i="25"/>
  <c r="L101" i="25"/>
  <c r="M101" i="25"/>
  <c r="N101" i="25"/>
  <c r="O101" i="25"/>
  <c r="R101" i="25"/>
  <c r="S101" i="25"/>
  <c r="U101" i="25"/>
  <c r="L102" i="25"/>
  <c r="M102" i="25"/>
  <c r="N102" i="25"/>
  <c r="O102" i="25"/>
  <c r="R102" i="25"/>
  <c r="S102" i="25"/>
  <c r="U102" i="25"/>
  <c r="V102" i="25" s="1"/>
  <c r="W102" i="25" s="1"/>
  <c r="L103" i="25"/>
  <c r="M103" i="25"/>
  <c r="N103" i="25"/>
  <c r="O103" i="25"/>
  <c r="R103" i="25"/>
  <c r="X103" i="25" s="1"/>
  <c r="Y103" i="25" s="1"/>
  <c r="S103" i="25"/>
  <c r="U103" i="25"/>
  <c r="V103" i="25"/>
  <c r="W103" i="25"/>
  <c r="L104" i="25"/>
  <c r="M104" i="25"/>
  <c r="N104" i="25"/>
  <c r="O104" i="25"/>
  <c r="R104" i="25"/>
  <c r="S104" i="25"/>
  <c r="U104" i="25"/>
  <c r="L105" i="25"/>
  <c r="V105" i="25" s="1"/>
  <c r="M105" i="25"/>
  <c r="N105" i="25"/>
  <c r="O105" i="25"/>
  <c r="R105" i="25"/>
  <c r="S105" i="25"/>
  <c r="U105" i="25"/>
  <c r="L106" i="25"/>
  <c r="M106" i="25"/>
  <c r="N106" i="25"/>
  <c r="O106" i="25"/>
  <c r="R106" i="25"/>
  <c r="S106" i="25"/>
  <c r="U106" i="25"/>
  <c r="V106" i="25" s="1"/>
  <c r="W106" i="25" s="1"/>
  <c r="X106" i="25" s="1"/>
  <c r="Y106" i="25" s="1"/>
  <c r="L107" i="25"/>
  <c r="M107" i="25"/>
  <c r="N107" i="25"/>
  <c r="O107" i="25"/>
  <c r="R107" i="25"/>
  <c r="S107" i="25"/>
  <c r="U107" i="25"/>
  <c r="V107" i="25"/>
  <c r="W107" i="25"/>
  <c r="L108" i="25"/>
  <c r="V108" i="25" s="1"/>
  <c r="M108" i="25"/>
  <c r="N108" i="25"/>
  <c r="O108" i="25"/>
  <c r="R108" i="25"/>
  <c r="S108" i="25"/>
  <c r="U108" i="25"/>
  <c r="L109" i="25"/>
  <c r="M109" i="25"/>
  <c r="N109" i="25"/>
  <c r="O109" i="25"/>
  <c r="R109" i="25"/>
  <c r="S109" i="25"/>
  <c r="U109" i="25"/>
  <c r="L110" i="25"/>
  <c r="M110" i="25"/>
  <c r="N110" i="25"/>
  <c r="O110" i="25"/>
  <c r="R110" i="25"/>
  <c r="S110" i="25"/>
  <c r="U110" i="25"/>
  <c r="V110" i="25"/>
  <c r="W110" i="25"/>
  <c r="L111" i="25"/>
  <c r="M111" i="25"/>
  <c r="N111" i="25"/>
  <c r="O111" i="25"/>
  <c r="R111" i="25"/>
  <c r="X111" i="25" s="1"/>
  <c r="Y111" i="25" s="1"/>
  <c r="S111" i="25"/>
  <c r="U111" i="25"/>
  <c r="V111" i="25"/>
  <c r="W111" i="25"/>
  <c r="L112" i="25"/>
  <c r="M112" i="25"/>
  <c r="N112" i="25"/>
  <c r="O112" i="25"/>
  <c r="R112" i="25"/>
  <c r="S112" i="25"/>
  <c r="U112" i="25"/>
  <c r="L113" i="25"/>
  <c r="M113" i="25"/>
  <c r="N113" i="25"/>
  <c r="O113" i="25"/>
  <c r="R113" i="25"/>
  <c r="S113" i="25"/>
  <c r="U113" i="25"/>
  <c r="L114" i="25"/>
  <c r="M114" i="25"/>
  <c r="N114" i="25"/>
  <c r="O114" i="25"/>
  <c r="R114" i="25"/>
  <c r="S114" i="25"/>
  <c r="U114" i="25"/>
  <c r="V114" i="25" s="1"/>
  <c r="W114" i="25" s="1"/>
  <c r="X114" i="25" s="1"/>
  <c r="Y114" i="25" s="1"/>
  <c r="L115" i="25"/>
  <c r="M115" i="25"/>
  <c r="N115" i="25"/>
  <c r="O115" i="25"/>
  <c r="R115" i="25"/>
  <c r="S115" i="25"/>
  <c r="U115" i="25"/>
  <c r="V115" i="25"/>
  <c r="W115" i="25" s="1"/>
  <c r="X115" i="25" s="1"/>
  <c r="Y115" i="25" s="1"/>
  <c r="L116" i="25"/>
  <c r="M116" i="25"/>
  <c r="N116" i="25"/>
  <c r="O116" i="25"/>
  <c r="R116" i="25"/>
  <c r="S116" i="25"/>
  <c r="U116" i="25"/>
  <c r="L117" i="25"/>
  <c r="V117" i="25" s="1"/>
  <c r="M117" i="25"/>
  <c r="N117" i="25"/>
  <c r="W117" i="25" s="1"/>
  <c r="O117" i="25"/>
  <c r="R117" i="25"/>
  <c r="S117" i="25"/>
  <c r="U117" i="25"/>
  <c r="L118" i="25"/>
  <c r="M118" i="25"/>
  <c r="N118" i="25"/>
  <c r="O118" i="25"/>
  <c r="R118" i="25"/>
  <c r="S118" i="25"/>
  <c r="U118" i="25"/>
  <c r="V118" i="25"/>
  <c r="W118" i="25"/>
  <c r="X118" i="25" s="1"/>
  <c r="Y118" i="25" s="1"/>
  <c r="L119" i="25"/>
  <c r="M119" i="25"/>
  <c r="N119" i="25"/>
  <c r="O119" i="25"/>
  <c r="R119" i="25"/>
  <c r="S119" i="25"/>
  <c r="U119" i="25"/>
  <c r="V119" i="25"/>
  <c r="W119" i="25"/>
  <c r="L120" i="25"/>
  <c r="V120" i="25" s="1"/>
  <c r="M120" i="25"/>
  <c r="N120" i="25"/>
  <c r="W120" i="25" s="1"/>
  <c r="X120" i="25" s="1"/>
  <c r="Y120" i="25" s="1"/>
  <c r="O120" i="25"/>
  <c r="R120" i="25"/>
  <c r="S120" i="25"/>
  <c r="U120" i="25"/>
  <c r="L121" i="25"/>
  <c r="M121" i="25"/>
  <c r="N121" i="25"/>
  <c r="O121" i="25"/>
  <c r="R121" i="25"/>
  <c r="S121" i="25"/>
  <c r="U121" i="25"/>
  <c r="L122" i="25"/>
  <c r="M122" i="25"/>
  <c r="N122" i="25"/>
  <c r="O122" i="25"/>
  <c r="R122" i="25"/>
  <c r="S122" i="25"/>
  <c r="U122" i="25"/>
  <c r="V122" i="25"/>
  <c r="W122" i="25"/>
  <c r="X122" i="25" s="1"/>
  <c r="Y122" i="25" s="1"/>
  <c r="L123" i="25"/>
  <c r="M123" i="25"/>
  <c r="N123" i="25"/>
  <c r="O123" i="25"/>
  <c r="R123" i="25"/>
  <c r="X123" i="25" s="1"/>
  <c r="Y123" i="25" s="1"/>
  <c r="S123" i="25"/>
  <c r="U123" i="25"/>
  <c r="V123" i="25"/>
  <c r="W123" i="25"/>
  <c r="L124" i="25"/>
  <c r="M124" i="25"/>
  <c r="N124" i="25"/>
  <c r="O124" i="25"/>
  <c r="R124" i="25"/>
  <c r="S124" i="25"/>
  <c r="U124" i="25"/>
  <c r="L125" i="25"/>
  <c r="M125" i="25"/>
  <c r="N125" i="25"/>
  <c r="O125" i="25"/>
  <c r="R125" i="25"/>
  <c r="S125" i="25"/>
  <c r="U125" i="25"/>
  <c r="L126" i="25"/>
  <c r="M126" i="25"/>
  <c r="N126" i="25"/>
  <c r="O126" i="25"/>
  <c r="R126" i="25"/>
  <c r="S126" i="25"/>
  <c r="U126" i="25"/>
  <c r="V126" i="25" s="1"/>
  <c r="W126" i="25" s="1"/>
  <c r="X126" i="25" s="1"/>
  <c r="L127" i="25"/>
  <c r="M127" i="25"/>
  <c r="N127" i="25"/>
  <c r="O127" i="25"/>
  <c r="R127" i="25"/>
  <c r="S127" i="25"/>
  <c r="U127" i="25"/>
  <c r="V127" i="25"/>
  <c r="W127" i="25"/>
  <c r="X127" i="25" s="1"/>
  <c r="Y127" i="25" s="1"/>
  <c r="L128" i="25"/>
  <c r="V128" i="25" s="1"/>
  <c r="M128" i="25"/>
  <c r="N128" i="25"/>
  <c r="O128" i="25"/>
  <c r="R128" i="25"/>
  <c r="S128" i="25"/>
  <c r="U128" i="25"/>
  <c r="L129" i="25"/>
  <c r="V129" i="25" s="1"/>
  <c r="M129" i="25"/>
  <c r="N129" i="25"/>
  <c r="W129" i="25" s="1"/>
  <c r="O129" i="25"/>
  <c r="R129" i="25"/>
  <c r="X129" i="25" s="1"/>
  <c r="Y129" i="25" s="1"/>
  <c r="S129" i="25"/>
  <c r="U129" i="25"/>
  <c r="L130" i="25"/>
  <c r="M130" i="25"/>
  <c r="N130" i="25"/>
  <c r="O130" i="25"/>
  <c r="R130" i="25"/>
  <c r="S130" i="25"/>
  <c r="U130" i="25"/>
  <c r="V130" i="25"/>
  <c r="W130" i="25"/>
  <c r="L131" i="25"/>
  <c r="M131" i="25"/>
  <c r="N131" i="25"/>
  <c r="O131" i="25"/>
  <c r="R131" i="25"/>
  <c r="S131" i="25"/>
  <c r="U131" i="25"/>
  <c r="V131" i="25"/>
  <c r="W131" i="25"/>
  <c r="L132" i="25"/>
  <c r="V132" i="25" s="1"/>
  <c r="M132" i="25"/>
  <c r="N132" i="25"/>
  <c r="W132" i="25" s="1"/>
  <c r="O132" i="25"/>
  <c r="R132" i="25"/>
  <c r="X132" i="25" s="1"/>
  <c r="Y132" i="25" s="1"/>
  <c r="S132" i="25"/>
  <c r="U132" i="25"/>
  <c r="L133" i="25"/>
  <c r="M133" i="25"/>
  <c r="N133" i="25"/>
  <c r="O133" i="25"/>
  <c r="R133" i="25"/>
  <c r="S133" i="25"/>
  <c r="U133" i="25"/>
  <c r="L134" i="25"/>
  <c r="M134" i="25"/>
  <c r="N134" i="25"/>
  <c r="O134" i="25"/>
  <c r="R134" i="25"/>
  <c r="S134" i="25"/>
  <c r="U134" i="25"/>
  <c r="V134" i="25"/>
  <c r="W134" i="25"/>
  <c r="X134" i="25" s="1"/>
  <c r="Y134" i="25" s="1"/>
  <c r="L135" i="25"/>
  <c r="M135" i="25"/>
  <c r="N135" i="25"/>
  <c r="O135" i="25"/>
  <c r="R135" i="25"/>
  <c r="S135" i="25"/>
  <c r="U135" i="25"/>
  <c r="V135" i="25"/>
  <c r="W135" i="25"/>
  <c r="X135" i="25" s="1"/>
  <c r="Y135" i="25" s="1"/>
  <c r="L136" i="25"/>
  <c r="M136" i="25"/>
  <c r="N136" i="25"/>
  <c r="O136" i="25"/>
  <c r="R136" i="25"/>
  <c r="S136" i="25"/>
  <c r="U136" i="25"/>
  <c r="L137" i="25"/>
  <c r="V137" i="25" s="1"/>
  <c r="M137" i="25"/>
  <c r="N137" i="25"/>
  <c r="O137" i="25"/>
  <c r="R137" i="25"/>
  <c r="S137" i="25"/>
  <c r="U137" i="25"/>
  <c r="L138" i="25"/>
  <c r="M138" i="25"/>
  <c r="N138" i="25"/>
  <c r="O138" i="25"/>
  <c r="R138" i="25"/>
  <c r="S138" i="25"/>
  <c r="U138" i="25"/>
  <c r="V138" i="25" s="1"/>
  <c r="W138" i="25" s="1"/>
  <c r="L139" i="25"/>
  <c r="M139" i="25"/>
  <c r="N139" i="25"/>
  <c r="O139" i="25"/>
  <c r="R139" i="25"/>
  <c r="S139" i="25"/>
  <c r="U139" i="25"/>
  <c r="V139" i="25"/>
  <c r="W139" i="25"/>
  <c r="X139" i="25" s="1"/>
  <c r="Y139" i="25" s="1"/>
  <c r="L140" i="25"/>
  <c r="V140" i="25" s="1"/>
  <c r="M140" i="25"/>
  <c r="N140" i="25"/>
  <c r="O140" i="25"/>
  <c r="R140" i="25"/>
  <c r="S140" i="25"/>
  <c r="U140" i="25"/>
  <c r="L141" i="25"/>
  <c r="V141" i="25" s="1"/>
  <c r="M141" i="25"/>
  <c r="N141" i="25"/>
  <c r="W141" i="25" s="1"/>
  <c r="X141" i="25" s="1"/>
  <c r="Y141" i="25" s="1"/>
  <c r="O141" i="25"/>
  <c r="R141" i="25"/>
  <c r="S141" i="25"/>
  <c r="U141" i="25"/>
  <c r="L142" i="25"/>
  <c r="M142" i="25"/>
  <c r="N142" i="25"/>
  <c r="O142" i="25"/>
  <c r="R142" i="25"/>
  <c r="S142" i="25"/>
  <c r="U142" i="25"/>
  <c r="V142" i="25"/>
  <c r="W142" i="25"/>
  <c r="X142" i="25" s="1"/>
  <c r="Y142" i="25" s="1"/>
  <c r="B63" i="25"/>
  <c r="D63" i="25"/>
  <c r="E63" i="25"/>
  <c r="G63" i="25"/>
  <c r="I63" i="25"/>
  <c r="J63" i="25" s="1"/>
  <c r="B64" i="25"/>
  <c r="D64" i="25"/>
  <c r="E64" i="25"/>
  <c r="G64" i="25"/>
  <c r="I64" i="25"/>
  <c r="J64" i="25"/>
  <c r="B65" i="25"/>
  <c r="D65" i="25"/>
  <c r="E65" i="25"/>
  <c r="G65" i="25"/>
  <c r="I65" i="25"/>
  <c r="J65" i="25"/>
  <c r="B66" i="25"/>
  <c r="D66" i="25"/>
  <c r="E66" i="25"/>
  <c r="G66" i="25"/>
  <c r="I66" i="25"/>
  <c r="J66" i="25"/>
  <c r="B67" i="25"/>
  <c r="D67" i="25"/>
  <c r="E67" i="25"/>
  <c r="G67" i="25"/>
  <c r="I67" i="25"/>
  <c r="J67" i="25"/>
  <c r="B68" i="25"/>
  <c r="D68" i="25"/>
  <c r="E68" i="25"/>
  <c r="G68" i="25"/>
  <c r="I68" i="25"/>
  <c r="J68" i="25"/>
  <c r="B69" i="25"/>
  <c r="D69" i="25"/>
  <c r="E69" i="25"/>
  <c r="G69" i="25"/>
  <c r="I69" i="25"/>
  <c r="J69" i="25"/>
  <c r="B70" i="25"/>
  <c r="D70" i="25"/>
  <c r="E70" i="25"/>
  <c r="G70" i="25"/>
  <c r="I70" i="25"/>
  <c r="J70" i="25"/>
  <c r="B71" i="25"/>
  <c r="D71" i="25"/>
  <c r="E71" i="25"/>
  <c r="G71" i="25"/>
  <c r="I71" i="25"/>
  <c r="J71" i="25"/>
  <c r="B72" i="25"/>
  <c r="D72" i="25"/>
  <c r="E72" i="25"/>
  <c r="G72" i="25"/>
  <c r="I72" i="25"/>
  <c r="J72" i="25"/>
  <c r="B73" i="25"/>
  <c r="D73" i="25"/>
  <c r="E73" i="25"/>
  <c r="G73" i="25"/>
  <c r="I73" i="25"/>
  <c r="J73" i="25"/>
  <c r="B74" i="25"/>
  <c r="D74" i="25"/>
  <c r="E74" i="25"/>
  <c r="G74" i="25"/>
  <c r="I74" i="25"/>
  <c r="J74" i="25"/>
  <c r="B75" i="25"/>
  <c r="D75" i="25"/>
  <c r="E75" i="25"/>
  <c r="G75" i="25"/>
  <c r="I75" i="25"/>
  <c r="J75" i="25"/>
  <c r="B76" i="25"/>
  <c r="D76" i="25"/>
  <c r="E76" i="25"/>
  <c r="G76" i="25"/>
  <c r="I76" i="25"/>
  <c r="J76" i="25"/>
  <c r="B77" i="25"/>
  <c r="D77" i="25"/>
  <c r="E77" i="25"/>
  <c r="G77" i="25"/>
  <c r="I77" i="25"/>
  <c r="J77" i="25"/>
  <c r="B78" i="25"/>
  <c r="D78" i="25"/>
  <c r="E78" i="25"/>
  <c r="G78" i="25"/>
  <c r="I78" i="25"/>
  <c r="J78" i="25"/>
  <c r="B79" i="25"/>
  <c r="D79" i="25"/>
  <c r="E79" i="25"/>
  <c r="G79" i="25"/>
  <c r="I79" i="25"/>
  <c r="J79" i="25"/>
  <c r="B80" i="25"/>
  <c r="D80" i="25"/>
  <c r="E80" i="25"/>
  <c r="G80" i="25"/>
  <c r="I80" i="25"/>
  <c r="J80" i="25"/>
  <c r="B81" i="25"/>
  <c r="D81" i="25"/>
  <c r="E81" i="25"/>
  <c r="G81" i="25"/>
  <c r="I81" i="25"/>
  <c r="J81" i="25"/>
  <c r="B82" i="25"/>
  <c r="D82" i="25"/>
  <c r="E82" i="25"/>
  <c r="G82" i="25"/>
  <c r="I82" i="25"/>
  <c r="J82" i="25"/>
  <c r="B83" i="25"/>
  <c r="D83" i="25"/>
  <c r="E83" i="25"/>
  <c r="G83" i="25"/>
  <c r="I83" i="25"/>
  <c r="J83" i="25"/>
  <c r="B84" i="25"/>
  <c r="D84" i="25"/>
  <c r="E84" i="25"/>
  <c r="G84" i="25"/>
  <c r="I84" i="25"/>
  <c r="J84" i="25"/>
  <c r="B85" i="25"/>
  <c r="D85" i="25"/>
  <c r="E85" i="25"/>
  <c r="G85" i="25"/>
  <c r="I85" i="25"/>
  <c r="J85" i="25"/>
  <c r="B86" i="25"/>
  <c r="D86" i="25"/>
  <c r="E86" i="25"/>
  <c r="G86" i="25"/>
  <c r="I86" i="25"/>
  <c r="J86" i="25"/>
  <c r="B87" i="25"/>
  <c r="D87" i="25"/>
  <c r="E87" i="25"/>
  <c r="G87" i="25"/>
  <c r="I87" i="25"/>
  <c r="J87" i="25"/>
  <c r="B88" i="25"/>
  <c r="D88" i="25"/>
  <c r="E88" i="25"/>
  <c r="G88" i="25"/>
  <c r="I88" i="25"/>
  <c r="J88" i="25"/>
  <c r="B89" i="25"/>
  <c r="D89" i="25"/>
  <c r="E89" i="25"/>
  <c r="G89" i="25"/>
  <c r="I89" i="25"/>
  <c r="J89" i="25"/>
  <c r="B90" i="25"/>
  <c r="D90" i="25"/>
  <c r="E90" i="25"/>
  <c r="G90" i="25"/>
  <c r="I90" i="25"/>
  <c r="J90" i="25"/>
  <c r="B91" i="25"/>
  <c r="D91" i="25"/>
  <c r="E91" i="25"/>
  <c r="G91" i="25"/>
  <c r="I91" i="25"/>
  <c r="J91" i="25"/>
  <c r="B92" i="25"/>
  <c r="D92" i="25"/>
  <c r="E92" i="25"/>
  <c r="G92" i="25"/>
  <c r="I92" i="25"/>
  <c r="J92" i="25"/>
  <c r="B93" i="25"/>
  <c r="D93" i="25"/>
  <c r="E93" i="25"/>
  <c r="G93" i="25"/>
  <c r="I93" i="25"/>
  <c r="J93" i="25"/>
  <c r="B94" i="25"/>
  <c r="D94" i="25"/>
  <c r="E94" i="25"/>
  <c r="G94" i="25"/>
  <c r="I94" i="25"/>
  <c r="J94" i="25"/>
  <c r="B95" i="25"/>
  <c r="D95" i="25"/>
  <c r="E95" i="25"/>
  <c r="G95" i="25"/>
  <c r="I95" i="25"/>
  <c r="J95" i="25"/>
  <c r="B96" i="25"/>
  <c r="D96" i="25"/>
  <c r="E96" i="25"/>
  <c r="G96" i="25"/>
  <c r="I96" i="25"/>
  <c r="J96" i="25"/>
  <c r="B97" i="25"/>
  <c r="D97" i="25"/>
  <c r="E97" i="25"/>
  <c r="G97" i="25"/>
  <c r="I97" i="25"/>
  <c r="J97" i="25"/>
  <c r="B98" i="25"/>
  <c r="D98" i="25"/>
  <c r="E98" i="25"/>
  <c r="G98" i="25"/>
  <c r="I98" i="25"/>
  <c r="J98" i="25"/>
  <c r="B99" i="25"/>
  <c r="D99" i="25"/>
  <c r="E99" i="25"/>
  <c r="G99" i="25"/>
  <c r="I99" i="25"/>
  <c r="J99" i="25"/>
  <c r="B100" i="25"/>
  <c r="D100" i="25"/>
  <c r="E100" i="25"/>
  <c r="G100" i="25"/>
  <c r="I100" i="25"/>
  <c r="J100" i="25"/>
  <c r="B101" i="25"/>
  <c r="D101" i="25"/>
  <c r="E101" i="25"/>
  <c r="G101" i="25"/>
  <c r="I101" i="25"/>
  <c r="J101" i="25"/>
  <c r="B102" i="25"/>
  <c r="D102" i="25"/>
  <c r="E102" i="25"/>
  <c r="G102" i="25"/>
  <c r="I102" i="25"/>
  <c r="J102" i="25"/>
  <c r="B103" i="25"/>
  <c r="D103" i="25"/>
  <c r="E103" i="25"/>
  <c r="G103" i="25"/>
  <c r="I103" i="25"/>
  <c r="J103" i="25"/>
  <c r="B104" i="25"/>
  <c r="D104" i="25"/>
  <c r="E104" i="25"/>
  <c r="G104" i="25"/>
  <c r="I104" i="25"/>
  <c r="J104" i="25"/>
  <c r="B105" i="25"/>
  <c r="D105" i="25"/>
  <c r="E105" i="25"/>
  <c r="G105" i="25"/>
  <c r="I105" i="25"/>
  <c r="J105" i="25"/>
  <c r="B106" i="25"/>
  <c r="D106" i="25"/>
  <c r="E106" i="25"/>
  <c r="G106" i="25"/>
  <c r="I106" i="25"/>
  <c r="J106" i="25"/>
  <c r="B107" i="25"/>
  <c r="D107" i="25"/>
  <c r="E107" i="25"/>
  <c r="G107" i="25"/>
  <c r="I107" i="25"/>
  <c r="J107" i="25"/>
  <c r="B108" i="25"/>
  <c r="D108" i="25"/>
  <c r="E108" i="25"/>
  <c r="G108" i="25"/>
  <c r="I108" i="25"/>
  <c r="J108" i="25"/>
  <c r="B109" i="25"/>
  <c r="D109" i="25"/>
  <c r="E109" i="25"/>
  <c r="G109" i="25"/>
  <c r="I109" i="25"/>
  <c r="J109" i="25"/>
  <c r="B110" i="25"/>
  <c r="D110" i="25"/>
  <c r="E110" i="25"/>
  <c r="G110" i="25"/>
  <c r="I110" i="25"/>
  <c r="J110" i="25"/>
  <c r="B111" i="25"/>
  <c r="D111" i="25"/>
  <c r="E111" i="25"/>
  <c r="G111" i="25"/>
  <c r="I111" i="25"/>
  <c r="J111" i="25"/>
  <c r="B112" i="25"/>
  <c r="D112" i="25"/>
  <c r="E112" i="25"/>
  <c r="G112" i="25"/>
  <c r="I112" i="25"/>
  <c r="J112" i="25"/>
  <c r="B113" i="25"/>
  <c r="D113" i="25"/>
  <c r="E113" i="25"/>
  <c r="G113" i="25"/>
  <c r="I113" i="25"/>
  <c r="J113" i="25"/>
  <c r="B114" i="25"/>
  <c r="D114" i="25"/>
  <c r="E114" i="25"/>
  <c r="G114" i="25"/>
  <c r="I114" i="25"/>
  <c r="J114" i="25"/>
  <c r="B115" i="25"/>
  <c r="D115" i="25"/>
  <c r="E115" i="25"/>
  <c r="G115" i="25"/>
  <c r="I115" i="25"/>
  <c r="J115" i="25"/>
  <c r="B116" i="25"/>
  <c r="D116" i="25"/>
  <c r="E116" i="25"/>
  <c r="G116" i="25"/>
  <c r="I116" i="25"/>
  <c r="J116" i="25"/>
  <c r="B117" i="25"/>
  <c r="D117" i="25"/>
  <c r="E117" i="25"/>
  <c r="G117" i="25"/>
  <c r="I117" i="25"/>
  <c r="J117" i="25"/>
  <c r="B118" i="25"/>
  <c r="D118" i="25"/>
  <c r="E118" i="25"/>
  <c r="G118" i="25"/>
  <c r="I118" i="25"/>
  <c r="J118" i="25"/>
  <c r="B119" i="25"/>
  <c r="D119" i="25"/>
  <c r="E119" i="25"/>
  <c r="G119" i="25"/>
  <c r="I119" i="25"/>
  <c r="J119" i="25"/>
  <c r="B120" i="25"/>
  <c r="D120" i="25"/>
  <c r="E120" i="25"/>
  <c r="G120" i="25"/>
  <c r="I120" i="25"/>
  <c r="J120" i="25"/>
  <c r="B121" i="25"/>
  <c r="D121" i="25"/>
  <c r="E121" i="25"/>
  <c r="G121" i="25"/>
  <c r="I121" i="25"/>
  <c r="J121" i="25"/>
  <c r="B122" i="25"/>
  <c r="D122" i="25"/>
  <c r="E122" i="25"/>
  <c r="G122" i="25"/>
  <c r="I122" i="25"/>
  <c r="J122" i="25"/>
  <c r="B123" i="25"/>
  <c r="D123" i="25"/>
  <c r="E123" i="25"/>
  <c r="G123" i="25"/>
  <c r="I123" i="25"/>
  <c r="J123" i="25"/>
  <c r="B124" i="25"/>
  <c r="D124" i="25"/>
  <c r="E124" i="25"/>
  <c r="G124" i="25"/>
  <c r="I124" i="25"/>
  <c r="J124" i="25"/>
  <c r="B125" i="25"/>
  <c r="D125" i="25"/>
  <c r="E125" i="25"/>
  <c r="G125" i="25"/>
  <c r="I125" i="25"/>
  <c r="J125" i="25"/>
  <c r="B126" i="25"/>
  <c r="D126" i="25"/>
  <c r="E126" i="25"/>
  <c r="G126" i="25"/>
  <c r="I126" i="25"/>
  <c r="J126" i="25"/>
  <c r="B127" i="25"/>
  <c r="D127" i="25"/>
  <c r="E127" i="25"/>
  <c r="G127" i="25"/>
  <c r="I127" i="25"/>
  <c r="J127" i="25"/>
  <c r="B128" i="25"/>
  <c r="D128" i="25"/>
  <c r="E128" i="25"/>
  <c r="G128" i="25"/>
  <c r="I128" i="25"/>
  <c r="J128" i="25"/>
  <c r="B129" i="25"/>
  <c r="D129" i="25"/>
  <c r="E129" i="25"/>
  <c r="G129" i="25"/>
  <c r="I129" i="25"/>
  <c r="J129" i="25"/>
  <c r="B130" i="25"/>
  <c r="D130" i="25"/>
  <c r="E130" i="25"/>
  <c r="G130" i="25"/>
  <c r="I130" i="25"/>
  <c r="J130" i="25"/>
  <c r="B131" i="25"/>
  <c r="D131" i="25"/>
  <c r="E131" i="25"/>
  <c r="G131" i="25"/>
  <c r="I131" i="25"/>
  <c r="J131" i="25"/>
  <c r="B132" i="25"/>
  <c r="D132" i="25"/>
  <c r="E132" i="25"/>
  <c r="G132" i="25"/>
  <c r="I132" i="25"/>
  <c r="J132" i="25"/>
  <c r="B133" i="25"/>
  <c r="D133" i="25"/>
  <c r="E133" i="25"/>
  <c r="G133" i="25"/>
  <c r="I133" i="25"/>
  <c r="J133" i="25"/>
  <c r="B134" i="25"/>
  <c r="D134" i="25"/>
  <c r="E134" i="25"/>
  <c r="G134" i="25"/>
  <c r="I134" i="25"/>
  <c r="J134" i="25"/>
  <c r="B135" i="25"/>
  <c r="D135" i="25"/>
  <c r="E135" i="25"/>
  <c r="G135" i="25"/>
  <c r="I135" i="25"/>
  <c r="J135" i="25"/>
  <c r="B136" i="25"/>
  <c r="D136" i="25"/>
  <c r="E136" i="25"/>
  <c r="G136" i="25"/>
  <c r="I136" i="25"/>
  <c r="J136" i="25"/>
  <c r="B137" i="25"/>
  <c r="D137" i="25"/>
  <c r="E137" i="25"/>
  <c r="G137" i="25"/>
  <c r="I137" i="25"/>
  <c r="J137" i="25"/>
  <c r="B138" i="25"/>
  <c r="D138" i="25"/>
  <c r="E138" i="25"/>
  <c r="G138" i="25"/>
  <c r="I138" i="25"/>
  <c r="J138" i="25"/>
  <c r="B139" i="25"/>
  <c r="D139" i="25"/>
  <c r="E139" i="25"/>
  <c r="G139" i="25"/>
  <c r="I139" i="25"/>
  <c r="J139" i="25"/>
  <c r="B140" i="25"/>
  <c r="D140" i="25"/>
  <c r="E140" i="25"/>
  <c r="G140" i="25"/>
  <c r="I140" i="25"/>
  <c r="J140" i="25"/>
  <c r="B141" i="25"/>
  <c r="D141" i="25"/>
  <c r="E141" i="25"/>
  <c r="G141" i="25"/>
  <c r="I141" i="25"/>
  <c r="J141" i="25"/>
  <c r="B142" i="25"/>
  <c r="D142" i="25"/>
  <c r="E142" i="25"/>
  <c r="G142" i="25"/>
  <c r="I142" i="25"/>
  <c r="J142" i="25"/>
  <c r="U62" i="29"/>
  <c r="S62" i="29"/>
  <c r="R62" i="29"/>
  <c r="O62" i="29"/>
  <c r="M62" i="29"/>
  <c r="L62" i="29"/>
  <c r="N62" i="29" s="1"/>
  <c r="I62" i="29"/>
  <c r="J62" i="29" s="1"/>
  <c r="G62" i="29"/>
  <c r="E62" i="29"/>
  <c r="D62" i="29"/>
  <c r="B62" i="29"/>
  <c r="U61" i="29"/>
  <c r="S61" i="29"/>
  <c r="R61" i="29"/>
  <c r="O61" i="29"/>
  <c r="M61" i="29"/>
  <c r="L61" i="29"/>
  <c r="I61" i="29"/>
  <c r="G61" i="29"/>
  <c r="E61" i="29"/>
  <c r="D61" i="29"/>
  <c r="B61" i="29"/>
  <c r="U60" i="29"/>
  <c r="S60" i="29"/>
  <c r="R60" i="29"/>
  <c r="O60" i="29"/>
  <c r="M60" i="29"/>
  <c r="L60" i="29"/>
  <c r="V60" i="29" s="1"/>
  <c r="J60" i="29"/>
  <c r="I60" i="29"/>
  <c r="G60" i="29"/>
  <c r="D60" i="29"/>
  <c r="E60" i="29" s="1"/>
  <c r="B60" i="29"/>
  <c r="U59" i="29"/>
  <c r="S59" i="29"/>
  <c r="R59" i="29"/>
  <c r="O59" i="29"/>
  <c r="M59" i="29"/>
  <c r="L59" i="29"/>
  <c r="I59" i="29"/>
  <c r="G59" i="29"/>
  <c r="D59" i="29"/>
  <c r="E59" i="29" s="1"/>
  <c r="J59" i="29" s="1"/>
  <c r="B59" i="29"/>
  <c r="U58" i="29"/>
  <c r="S58" i="29"/>
  <c r="R58" i="29"/>
  <c r="O58" i="29"/>
  <c r="M58" i="29"/>
  <c r="L58" i="29"/>
  <c r="I58" i="29"/>
  <c r="J58" i="29" s="1"/>
  <c r="G58" i="29"/>
  <c r="D58" i="29"/>
  <c r="E58" i="29" s="1"/>
  <c r="B58" i="29"/>
  <c r="U57" i="29"/>
  <c r="S57" i="29"/>
  <c r="R57" i="29"/>
  <c r="O57" i="29"/>
  <c r="M57" i="29"/>
  <c r="L57" i="29"/>
  <c r="I57" i="29"/>
  <c r="G57" i="29"/>
  <c r="D57" i="29"/>
  <c r="E57" i="29" s="1"/>
  <c r="B57" i="29"/>
  <c r="U56" i="29"/>
  <c r="S56" i="29"/>
  <c r="R56" i="29"/>
  <c r="O56" i="29"/>
  <c r="M56" i="29"/>
  <c r="L56" i="29"/>
  <c r="I56" i="29"/>
  <c r="G56" i="29"/>
  <c r="D56" i="29"/>
  <c r="E56" i="29" s="1"/>
  <c r="B56" i="29"/>
  <c r="U55" i="29"/>
  <c r="S55" i="29"/>
  <c r="R55" i="29"/>
  <c r="O55" i="29"/>
  <c r="M55" i="29"/>
  <c r="L55" i="29"/>
  <c r="V55" i="29" s="1"/>
  <c r="I55" i="29"/>
  <c r="J55" i="29" s="1"/>
  <c r="G55" i="29"/>
  <c r="D55" i="29"/>
  <c r="E55" i="29" s="1"/>
  <c r="B55" i="29"/>
  <c r="U54" i="29"/>
  <c r="S54" i="29"/>
  <c r="R54" i="29"/>
  <c r="O54" i="29"/>
  <c r="M54" i="29"/>
  <c r="L54" i="29"/>
  <c r="V54" i="29" s="1"/>
  <c r="I54" i="29"/>
  <c r="G54" i="29"/>
  <c r="D54" i="29"/>
  <c r="E54" i="29" s="1"/>
  <c r="B54" i="29"/>
  <c r="U53" i="29"/>
  <c r="S53" i="29"/>
  <c r="R53" i="29"/>
  <c r="O53" i="29"/>
  <c r="M53" i="29"/>
  <c r="L53" i="29"/>
  <c r="J53" i="29"/>
  <c r="I53" i="29"/>
  <c r="G53" i="29"/>
  <c r="D53" i="29"/>
  <c r="E53" i="29" s="1"/>
  <c r="B53" i="29"/>
  <c r="U52" i="29"/>
  <c r="S52" i="29"/>
  <c r="R52" i="29"/>
  <c r="O52" i="29"/>
  <c r="M52" i="29"/>
  <c r="L52" i="29"/>
  <c r="I52" i="29"/>
  <c r="J52" i="29" s="1"/>
  <c r="G52" i="29"/>
  <c r="D52" i="29"/>
  <c r="E52" i="29" s="1"/>
  <c r="B52" i="29"/>
  <c r="U51" i="29"/>
  <c r="S51" i="29"/>
  <c r="R51" i="29"/>
  <c r="O51" i="29"/>
  <c r="M51" i="29"/>
  <c r="L51" i="29"/>
  <c r="J51" i="29"/>
  <c r="I51" i="29"/>
  <c r="G51" i="29"/>
  <c r="E51" i="29"/>
  <c r="D51" i="29"/>
  <c r="B51" i="29"/>
  <c r="U50" i="29"/>
  <c r="S50" i="29"/>
  <c r="R50" i="29"/>
  <c r="O50" i="29"/>
  <c r="M50" i="29"/>
  <c r="L50" i="29"/>
  <c r="I50" i="29"/>
  <c r="J50" i="29" s="1"/>
  <c r="G50" i="29"/>
  <c r="E50" i="29"/>
  <c r="D50" i="29"/>
  <c r="B50" i="29"/>
  <c r="U49" i="29"/>
  <c r="S49" i="29"/>
  <c r="R49" i="29"/>
  <c r="O49" i="29"/>
  <c r="M49" i="29"/>
  <c r="L49" i="29"/>
  <c r="I49" i="29"/>
  <c r="G49" i="29"/>
  <c r="E49" i="29"/>
  <c r="D49" i="29"/>
  <c r="B49" i="29"/>
  <c r="U48" i="29"/>
  <c r="S48" i="29"/>
  <c r="R48" i="29"/>
  <c r="O48" i="29"/>
  <c r="M48" i="29"/>
  <c r="L48" i="29"/>
  <c r="J48" i="29"/>
  <c r="I48" i="29"/>
  <c r="G48" i="29"/>
  <c r="D48" i="29"/>
  <c r="E48" i="29" s="1"/>
  <c r="B48" i="29"/>
  <c r="U47" i="29"/>
  <c r="S47" i="29"/>
  <c r="R47" i="29"/>
  <c r="O47" i="29"/>
  <c r="M47" i="29"/>
  <c r="L47" i="29"/>
  <c r="I47" i="29"/>
  <c r="G47" i="29"/>
  <c r="D47" i="29"/>
  <c r="E47" i="29" s="1"/>
  <c r="J47" i="29" s="1"/>
  <c r="B47" i="29"/>
  <c r="U46" i="29"/>
  <c r="S46" i="29"/>
  <c r="R46" i="29"/>
  <c r="O46" i="29"/>
  <c r="M46" i="29"/>
  <c r="L46" i="29"/>
  <c r="I46" i="29"/>
  <c r="J46" i="29" s="1"/>
  <c r="G46" i="29"/>
  <c r="D46" i="29"/>
  <c r="E46" i="29" s="1"/>
  <c r="B46" i="29"/>
  <c r="U45" i="29"/>
  <c r="S45" i="29"/>
  <c r="R45" i="29"/>
  <c r="O45" i="29"/>
  <c r="M45" i="29"/>
  <c r="L45" i="29"/>
  <c r="I45" i="29"/>
  <c r="G45" i="29"/>
  <c r="D45" i="29"/>
  <c r="E45" i="29" s="1"/>
  <c r="B45" i="29"/>
  <c r="U44" i="29"/>
  <c r="S44" i="29"/>
  <c r="R44" i="29"/>
  <c r="O44" i="29"/>
  <c r="M44" i="29"/>
  <c r="L44" i="29"/>
  <c r="V44" i="29" s="1"/>
  <c r="I44" i="29"/>
  <c r="J44" i="29" s="1"/>
  <c r="N44" i="29" s="1"/>
  <c r="G44" i="29"/>
  <c r="E44" i="29"/>
  <c r="D44" i="29"/>
  <c r="B44" i="29"/>
  <c r="U43" i="29"/>
  <c r="S43" i="29"/>
  <c r="R43" i="29"/>
  <c r="O43" i="29"/>
  <c r="M43" i="29"/>
  <c r="L43" i="29"/>
  <c r="V43" i="29" s="1"/>
  <c r="I43" i="29"/>
  <c r="J43" i="29" s="1"/>
  <c r="G43" i="29"/>
  <c r="D43" i="29"/>
  <c r="E43" i="29" s="1"/>
  <c r="B43" i="29"/>
  <c r="U42" i="29"/>
  <c r="S42" i="29"/>
  <c r="R42" i="29"/>
  <c r="O42" i="29"/>
  <c r="M42" i="29"/>
  <c r="L42" i="29"/>
  <c r="I42" i="29"/>
  <c r="J42" i="29" s="1"/>
  <c r="G42" i="29"/>
  <c r="E42" i="29"/>
  <c r="D42" i="29"/>
  <c r="B42" i="29"/>
  <c r="U41" i="29"/>
  <c r="S41" i="29"/>
  <c r="R41" i="29"/>
  <c r="O41" i="29"/>
  <c r="M41" i="29"/>
  <c r="L41" i="29"/>
  <c r="J41" i="29"/>
  <c r="I41" i="29"/>
  <c r="G41" i="29"/>
  <c r="D41" i="29"/>
  <c r="E41" i="29" s="1"/>
  <c r="B41" i="29"/>
  <c r="U40" i="29"/>
  <c r="S40" i="29"/>
  <c r="R40" i="29"/>
  <c r="O40" i="29"/>
  <c r="M40" i="29"/>
  <c r="L40" i="29"/>
  <c r="I40" i="29"/>
  <c r="J40" i="29" s="1"/>
  <c r="G40" i="29"/>
  <c r="D40" i="29"/>
  <c r="E40" i="29" s="1"/>
  <c r="B40" i="29"/>
  <c r="U39" i="29"/>
  <c r="S39" i="29"/>
  <c r="R39" i="29"/>
  <c r="O39" i="29"/>
  <c r="M39" i="29"/>
  <c r="L39" i="29"/>
  <c r="V39" i="29" s="1"/>
  <c r="J39" i="29"/>
  <c r="I39" i="29"/>
  <c r="G39" i="29"/>
  <c r="E39" i="29"/>
  <c r="D39" i="29"/>
  <c r="B39" i="29"/>
  <c r="U38" i="29"/>
  <c r="S38" i="29"/>
  <c r="R38" i="29"/>
  <c r="O38" i="29"/>
  <c r="M38" i="29"/>
  <c r="L38" i="29"/>
  <c r="I38" i="29"/>
  <c r="J38" i="29" s="1"/>
  <c r="G38" i="29"/>
  <c r="E38" i="29"/>
  <c r="D38" i="29"/>
  <c r="B38" i="29"/>
  <c r="U37" i="29"/>
  <c r="S37" i="29"/>
  <c r="R37" i="29"/>
  <c r="O37" i="29"/>
  <c r="M37" i="29"/>
  <c r="L37" i="29"/>
  <c r="I37" i="29"/>
  <c r="G37" i="29"/>
  <c r="D37" i="29"/>
  <c r="E37" i="29" s="1"/>
  <c r="B37" i="29"/>
  <c r="U36" i="29"/>
  <c r="S36" i="29"/>
  <c r="R36" i="29"/>
  <c r="O36" i="29"/>
  <c r="M36" i="29"/>
  <c r="L36" i="29"/>
  <c r="V36" i="29" s="1"/>
  <c r="I36" i="29"/>
  <c r="G36" i="29"/>
  <c r="D36" i="29"/>
  <c r="E36" i="29" s="1"/>
  <c r="J36" i="29" s="1"/>
  <c r="B36" i="29"/>
  <c r="U35" i="29"/>
  <c r="S35" i="29"/>
  <c r="R35" i="29"/>
  <c r="O35" i="29"/>
  <c r="M35" i="29"/>
  <c r="L35" i="29"/>
  <c r="I35" i="29"/>
  <c r="G35" i="29"/>
  <c r="D35" i="29"/>
  <c r="E35" i="29" s="1"/>
  <c r="J35" i="29" s="1"/>
  <c r="B35" i="29"/>
  <c r="U34" i="29"/>
  <c r="S34" i="29"/>
  <c r="R34" i="29"/>
  <c r="O34" i="29"/>
  <c r="M34" i="29"/>
  <c r="L34" i="29"/>
  <c r="I34" i="29"/>
  <c r="J34" i="29" s="1"/>
  <c r="G34" i="29"/>
  <c r="D34" i="29"/>
  <c r="E34" i="29" s="1"/>
  <c r="B34" i="29"/>
  <c r="U33" i="29"/>
  <c r="S33" i="29"/>
  <c r="R33" i="29"/>
  <c r="O33" i="29"/>
  <c r="M33" i="29"/>
  <c r="L33" i="29"/>
  <c r="I33" i="29"/>
  <c r="G33" i="29"/>
  <c r="D33" i="29"/>
  <c r="E33" i="29" s="1"/>
  <c r="B33" i="29"/>
  <c r="U32" i="29"/>
  <c r="S32" i="29"/>
  <c r="R32" i="29"/>
  <c r="O32" i="29"/>
  <c r="M32" i="29"/>
  <c r="L32" i="29"/>
  <c r="I32" i="29"/>
  <c r="G32" i="29"/>
  <c r="E32" i="29"/>
  <c r="D32" i="29"/>
  <c r="B32" i="29"/>
  <c r="U31" i="29"/>
  <c r="S31" i="29"/>
  <c r="R31" i="29"/>
  <c r="O31" i="29"/>
  <c r="M31" i="29"/>
  <c r="L31" i="29"/>
  <c r="V31" i="29" s="1"/>
  <c r="I31" i="29"/>
  <c r="G31" i="29"/>
  <c r="D31" i="29"/>
  <c r="E31" i="29" s="1"/>
  <c r="B31" i="29"/>
  <c r="U30" i="29"/>
  <c r="S30" i="29"/>
  <c r="R30" i="29"/>
  <c r="O30" i="29"/>
  <c r="M30" i="29"/>
  <c r="L30" i="29"/>
  <c r="I30" i="29"/>
  <c r="G30" i="29"/>
  <c r="E30" i="29"/>
  <c r="D30" i="29"/>
  <c r="B30" i="29"/>
  <c r="U29" i="29"/>
  <c r="S29" i="29"/>
  <c r="R29" i="29"/>
  <c r="O29" i="29"/>
  <c r="M29" i="29"/>
  <c r="L29" i="29"/>
  <c r="I29" i="29"/>
  <c r="J29" i="29" s="1"/>
  <c r="G29" i="29"/>
  <c r="D29" i="29"/>
  <c r="E29" i="29" s="1"/>
  <c r="B29" i="29"/>
  <c r="U28" i="29"/>
  <c r="S28" i="29"/>
  <c r="R28" i="29"/>
  <c r="O28" i="29"/>
  <c r="M28" i="29"/>
  <c r="L28" i="29"/>
  <c r="I28" i="29"/>
  <c r="G28" i="29"/>
  <c r="D28" i="29"/>
  <c r="E28" i="29" s="1"/>
  <c r="B28" i="29"/>
  <c r="U27" i="29"/>
  <c r="S27" i="29"/>
  <c r="R27" i="29"/>
  <c r="O27" i="29"/>
  <c r="M27" i="29"/>
  <c r="L27" i="29"/>
  <c r="I27" i="29"/>
  <c r="J27" i="29" s="1"/>
  <c r="G27" i="29"/>
  <c r="E27" i="29"/>
  <c r="D27" i="29"/>
  <c r="B27" i="29"/>
  <c r="U26" i="29"/>
  <c r="S26" i="29"/>
  <c r="R26" i="29"/>
  <c r="O26" i="29"/>
  <c r="M26" i="29"/>
  <c r="L26" i="29"/>
  <c r="I26" i="29"/>
  <c r="J26" i="29" s="1"/>
  <c r="G26" i="29"/>
  <c r="E26" i="29"/>
  <c r="D26" i="29"/>
  <c r="B26" i="29"/>
  <c r="U25" i="29"/>
  <c r="S25" i="29"/>
  <c r="R25" i="29"/>
  <c r="O25" i="29"/>
  <c r="M25" i="29"/>
  <c r="L25" i="29"/>
  <c r="I25" i="29"/>
  <c r="G25" i="29"/>
  <c r="D25" i="29"/>
  <c r="E25" i="29" s="1"/>
  <c r="B25" i="29"/>
  <c r="U24" i="29"/>
  <c r="S24" i="29"/>
  <c r="R24" i="29"/>
  <c r="O24" i="29"/>
  <c r="M24" i="29"/>
  <c r="L24" i="29"/>
  <c r="I24" i="29"/>
  <c r="G24" i="29"/>
  <c r="D24" i="29"/>
  <c r="E24" i="29" s="1"/>
  <c r="J24" i="29" s="1"/>
  <c r="B24" i="29"/>
  <c r="U23" i="29"/>
  <c r="S23" i="29"/>
  <c r="R23" i="29"/>
  <c r="O23" i="29"/>
  <c r="M23" i="29"/>
  <c r="L23" i="29"/>
  <c r="V23" i="29" s="1"/>
  <c r="I23" i="29"/>
  <c r="G23" i="29"/>
  <c r="D23" i="29"/>
  <c r="E23" i="29" s="1"/>
  <c r="J23" i="29" s="1"/>
  <c r="B23" i="29"/>
  <c r="U22" i="29"/>
  <c r="S22" i="29"/>
  <c r="R22" i="29"/>
  <c r="O22" i="29"/>
  <c r="M22" i="29"/>
  <c r="L22" i="29"/>
  <c r="I22" i="29"/>
  <c r="J22" i="29" s="1"/>
  <c r="G22" i="29"/>
  <c r="D22" i="29"/>
  <c r="E22" i="29" s="1"/>
  <c r="B22" i="29"/>
  <c r="U21" i="29"/>
  <c r="S21" i="29"/>
  <c r="R21" i="29"/>
  <c r="O21" i="29"/>
  <c r="M21" i="29"/>
  <c r="L21" i="29"/>
  <c r="I21" i="29"/>
  <c r="G21" i="29"/>
  <c r="D21" i="29"/>
  <c r="E21" i="29" s="1"/>
  <c r="B21" i="29"/>
  <c r="U20" i="29"/>
  <c r="S20" i="29"/>
  <c r="R20" i="29"/>
  <c r="O20" i="29"/>
  <c r="M20" i="29"/>
  <c r="L20" i="29"/>
  <c r="I20" i="29"/>
  <c r="G20" i="29"/>
  <c r="D20" i="29"/>
  <c r="E20" i="29" s="1"/>
  <c r="B20" i="29"/>
  <c r="U19" i="29"/>
  <c r="S19" i="29"/>
  <c r="R19" i="29"/>
  <c r="O19" i="29"/>
  <c r="M19" i="29"/>
  <c r="L19" i="29"/>
  <c r="I19" i="29"/>
  <c r="G19" i="29"/>
  <c r="D19" i="29"/>
  <c r="E19" i="29" s="1"/>
  <c r="B19" i="29"/>
  <c r="U18" i="29"/>
  <c r="S18" i="29"/>
  <c r="R18" i="29"/>
  <c r="O18" i="29"/>
  <c r="M18" i="29"/>
  <c r="L18" i="29"/>
  <c r="I18" i="29"/>
  <c r="G18" i="29"/>
  <c r="D18" i="29"/>
  <c r="E18" i="29" s="1"/>
  <c r="B18" i="29"/>
  <c r="U17" i="29"/>
  <c r="S17" i="29"/>
  <c r="R17" i="29"/>
  <c r="O17" i="29"/>
  <c r="M17" i="29"/>
  <c r="L17" i="29"/>
  <c r="I17" i="29"/>
  <c r="J17" i="29" s="1"/>
  <c r="G17" i="29"/>
  <c r="D17" i="29"/>
  <c r="E17" i="29" s="1"/>
  <c r="B17" i="29"/>
  <c r="U16" i="29"/>
  <c r="S16" i="29"/>
  <c r="R16" i="29"/>
  <c r="O16" i="29"/>
  <c r="M16" i="29"/>
  <c r="L16" i="29"/>
  <c r="I16" i="29"/>
  <c r="G16" i="29"/>
  <c r="D16" i="29"/>
  <c r="E16" i="29" s="1"/>
  <c r="B16" i="29"/>
  <c r="U15" i="29"/>
  <c r="S15" i="29"/>
  <c r="R15" i="29"/>
  <c r="O15" i="29"/>
  <c r="M15" i="29"/>
  <c r="L15" i="29"/>
  <c r="V15" i="29" s="1"/>
  <c r="I15" i="29"/>
  <c r="J15" i="29" s="1"/>
  <c r="G15" i="29"/>
  <c r="E15" i="29"/>
  <c r="D15" i="29"/>
  <c r="B15" i="29"/>
  <c r="U14" i="29"/>
  <c r="S14" i="29"/>
  <c r="R14" i="29"/>
  <c r="O14" i="29"/>
  <c r="M14" i="29"/>
  <c r="L14" i="29"/>
  <c r="I14" i="29"/>
  <c r="J14" i="29" s="1"/>
  <c r="G14" i="29"/>
  <c r="E14" i="29"/>
  <c r="D14" i="29"/>
  <c r="B14" i="29"/>
  <c r="U13" i="29"/>
  <c r="V13" i="29" s="1"/>
  <c r="S13" i="29"/>
  <c r="R13" i="29"/>
  <c r="O13" i="29"/>
  <c r="M13" i="29"/>
  <c r="L13" i="29"/>
  <c r="I13" i="29"/>
  <c r="G13" i="29"/>
  <c r="D13" i="29"/>
  <c r="E13" i="29" s="1"/>
  <c r="B13" i="29"/>
  <c r="U12" i="29"/>
  <c r="S12" i="29"/>
  <c r="R12" i="29"/>
  <c r="O12" i="29"/>
  <c r="M12" i="29"/>
  <c r="L12" i="29"/>
  <c r="I12" i="29"/>
  <c r="G12" i="29"/>
  <c r="D12" i="29"/>
  <c r="E12" i="29" s="1"/>
  <c r="J12" i="29" s="1"/>
  <c r="B12" i="29"/>
  <c r="U11" i="29"/>
  <c r="S11" i="29"/>
  <c r="R11" i="29"/>
  <c r="O11" i="29"/>
  <c r="M11" i="29"/>
  <c r="L11" i="29"/>
  <c r="I11" i="29"/>
  <c r="G11" i="29"/>
  <c r="D11" i="29"/>
  <c r="E11" i="29" s="1"/>
  <c r="J11" i="29" s="1"/>
  <c r="B11" i="29"/>
  <c r="U10" i="29"/>
  <c r="S10" i="29"/>
  <c r="R10" i="29"/>
  <c r="O10" i="29"/>
  <c r="M10" i="29"/>
  <c r="L10" i="29"/>
  <c r="I10" i="29"/>
  <c r="J10" i="29" s="1"/>
  <c r="G10" i="29"/>
  <c r="D10" i="29"/>
  <c r="E10" i="29" s="1"/>
  <c r="B10" i="29"/>
  <c r="U9" i="29"/>
  <c r="S9" i="29"/>
  <c r="R9" i="29"/>
  <c r="O9" i="29"/>
  <c r="M9" i="29"/>
  <c r="L9" i="29"/>
  <c r="I9" i="29"/>
  <c r="G9" i="29"/>
  <c r="D9" i="29"/>
  <c r="E9" i="29" s="1"/>
  <c r="B9" i="29"/>
  <c r="U8" i="29"/>
  <c r="S8" i="29"/>
  <c r="R8" i="29"/>
  <c r="O8" i="29"/>
  <c r="M8" i="29"/>
  <c r="L8" i="29"/>
  <c r="V8" i="29" s="1"/>
  <c r="I8" i="29"/>
  <c r="G8" i="29"/>
  <c r="D8" i="29"/>
  <c r="E8" i="29" s="1"/>
  <c r="B8" i="29"/>
  <c r="U7" i="29"/>
  <c r="S7" i="29"/>
  <c r="R7" i="29"/>
  <c r="O7" i="29"/>
  <c r="M7" i="29"/>
  <c r="L7" i="29"/>
  <c r="I7" i="29"/>
  <c r="G7" i="29"/>
  <c r="D7" i="29"/>
  <c r="E7" i="29" s="1"/>
  <c r="J7" i="29" s="1"/>
  <c r="N7" i="29" s="1"/>
  <c r="B7" i="29"/>
  <c r="U6" i="29"/>
  <c r="V6" i="29" s="1"/>
  <c r="S6" i="29"/>
  <c r="R6" i="29"/>
  <c r="O6" i="29"/>
  <c r="M6" i="29"/>
  <c r="L6" i="29"/>
  <c r="I6" i="29"/>
  <c r="G6" i="29"/>
  <c r="D6" i="29"/>
  <c r="E6" i="29" s="1"/>
  <c r="B6" i="29"/>
  <c r="U5" i="29"/>
  <c r="S5" i="29"/>
  <c r="R5" i="29"/>
  <c r="O5" i="29"/>
  <c r="M5" i="29"/>
  <c r="L5" i="29"/>
  <c r="I5" i="29"/>
  <c r="G5" i="29"/>
  <c r="D5" i="29"/>
  <c r="E5" i="29" s="1"/>
  <c r="J5" i="29" s="1"/>
  <c r="B5" i="29"/>
  <c r="U4" i="29"/>
  <c r="S4" i="29"/>
  <c r="R4" i="29"/>
  <c r="O4" i="29"/>
  <c r="M4" i="29"/>
  <c r="L4" i="29"/>
  <c r="I4" i="29"/>
  <c r="G4" i="29"/>
  <c r="D4" i="29"/>
  <c r="E4" i="29" s="1"/>
  <c r="B4" i="29"/>
  <c r="U3" i="29"/>
  <c r="S3" i="29"/>
  <c r="R3" i="29"/>
  <c r="O3" i="29"/>
  <c r="M3" i="29"/>
  <c r="L3" i="29"/>
  <c r="V3" i="29" s="1"/>
  <c r="I3" i="29"/>
  <c r="J3" i="29" s="1"/>
  <c r="G3" i="29"/>
  <c r="E3" i="29"/>
  <c r="D3" i="29"/>
  <c r="B3" i="29"/>
  <c r="U2" i="29"/>
  <c r="S2" i="29"/>
  <c r="R2" i="29"/>
  <c r="O2" i="29"/>
  <c r="M2" i="29"/>
  <c r="L2" i="29"/>
  <c r="I2" i="29"/>
  <c r="G2" i="29"/>
  <c r="E2" i="29"/>
  <c r="D2" i="29"/>
  <c r="B2" i="29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2" i="26"/>
  <c r="O2" i="25"/>
  <c r="O2" i="23"/>
  <c r="O2" i="24"/>
  <c r="S3" i="26"/>
  <c r="S4" i="26"/>
  <c r="S5" i="26"/>
  <c r="S6" i="26"/>
  <c r="S7" i="26"/>
  <c r="S8" i="26"/>
  <c r="S9" i="26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54" i="26"/>
  <c r="S55" i="26"/>
  <c r="S56" i="26"/>
  <c r="S57" i="26"/>
  <c r="S58" i="26"/>
  <c r="S59" i="26"/>
  <c r="S60" i="26"/>
  <c r="S61" i="26"/>
  <c r="S62" i="26"/>
  <c r="S63" i="26"/>
  <c r="S64" i="26"/>
  <c r="S65" i="26"/>
  <c r="S66" i="26"/>
  <c r="S2" i="26"/>
  <c r="V7" i="29" l="1"/>
  <c r="V20" i="29"/>
  <c r="V27" i="29"/>
  <c r="V51" i="29"/>
  <c r="V12" i="29"/>
  <c r="V25" i="29"/>
  <c r="V48" i="29"/>
  <c r="V19" i="29"/>
  <c r="V32" i="29"/>
  <c r="V56" i="29"/>
  <c r="V21" i="29"/>
  <c r="V14" i="29"/>
  <c r="W100" i="25"/>
  <c r="X100" i="25" s="1"/>
  <c r="Y100" i="25" s="1"/>
  <c r="X138" i="25"/>
  <c r="Y138" i="25" s="1"/>
  <c r="W112" i="25"/>
  <c r="X112" i="25" s="1"/>
  <c r="Y112" i="25" s="1"/>
  <c r="X66" i="25"/>
  <c r="Y66" i="25" s="1"/>
  <c r="W109" i="25"/>
  <c r="X109" i="25" s="1"/>
  <c r="Y109" i="25" s="1"/>
  <c r="X78" i="25"/>
  <c r="Y78" i="25" s="1"/>
  <c r="W121" i="25"/>
  <c r="X121" i="25" s="1"/>
  <c r="Y121" i="25" s="1"/>
  <c r="V92" i="25"/>
  <c r="X90" i="25"/>
  <c r="Y90" i="25" s="1"/>
  <c r="V101" i="25"/>
  <c r="W101" i="25" s="1"/>
  <c r="X101" i="25" s="1"/>
  <c r="Y101" i="25" s="1"/>
  <c r="V136" i="25"/>
  <c r="W136" i="25" s="1"/>
  <c r="X136" i="25" s="1"/>
  <c r="Y136" i="25" s="1"/>
  <c r="V104" i="25"/>
  <c r="W104" i="25" s="1"/>
  <c r="X104" i="25" s="1"/>
  <c r="Y104" i="25" s="1"/>
  <c r="W76" i="25"/>
  <c r="X76" i="25" s="1"/>
  <c r="Y76" i="25" s="1"/>
  <c r="V113" i="25"/>
  <c r="W113" i="25" s="1"/>
  <c r="X113" i="25" s="1"/>
  <c r="Y113" i="25" s="1"/>
  <c r="X105" i="25"/>
  <c r="Y105" i="25" s="1"/>
  <c r="X140" i="25"/>
  <c r="Y140" i="25" s="1"/>
  <c r="V116" i="25"/>
  <c r="W108" i="25"/>
  <c r="X108" i="25" s="1"/>
  <c r="Y108" i="25" s="1"/>
  <c r="V125" i="25"/>
  <c r="W125" i="25" s="1"/>
  <c r="X125" i="25" s="1"/>
  <c r="Y125" i="25" s="1"/>
  <c r="X117" i="25"/>
  <c r="Y117" i="25" s="1"/>
  <c r="W105" i="25"/>
  <c r="X128" i="25"/>
  <c r="Y128" i="25" s="1"/>
  <c r="V124" i="25"/>
  <c r="W124" i="25" s="1"/>
  <c r="X124" i="25" s="1"/>
  <c r="Y124" i="25" s="1"/>
  <c r="X116" i="25"/>
  <c r="Y116" i="25" s="1"/>
  <c r="V112" i="25"/>
  <c r="V100" i="25"/>
  <c r="V88" i="25"/>
  <c r="W88" i="25" s="1"/>
  <c r="X88" i="25" s="1"/>
  <c r="Y88" i="25" s="1"/>
  <c r="V76" i="25"/>
  <c r="X68" i="25"/>
  <c r="Y68" i="25" s="1"/>
  <c r="V64" i="25"/>
  <c r="W64" i="25" s="1"/>
  <c r="X64" i="25" s="1"/>
  <c r="Y64" i="25" s="1"/>
  <c r="X137" i="25"/>
  <c r="Y137" i="25" s="1"/>
  <c r="V133" i="25"/>
  <c r="W133" i="25" s="1"/>
  <c r="X133" i="25" s="1"/>
  <c r="Y133" i="25" s="1"/>
  <c r="X131" i="25"/>
  <c r="Y131" i="25" s="1"/>
  <c r="V121" i="25"/>
  <c r="X119" i="25"/>
  <c r="Y119" i="25" s="1"/>
  <c r="V109" i="25"/>
  <c r="X107" i="25"/>
  <c r="Y107" i="25" s="1"/>
  <c r="V97" i="25"/>
  <c r="W97" i="25" s="1"/>
  <c r="X97" i="25" s="1"/>
  <c r="Y97" i="25" s="1"/>
  <c r="X95" i="25"/>
  <c r="Y95" i="25" s="1"/>
  <c r="V85" i="25"/>
  <c r="W85" i="25" s="1"/>
  <c r="X85" i="25" s="1"/>
  <c r="Y85" i="25" s="1"/>
  <c r="X77" i="25"/>
  <c r="Y77" i="25" s="1"/>
  <c r="V73" i="25"/>
  <c r="W73" i="25" s="1"/>
  <c r="X73" i="25" s="1"/>
  <c r="Y73" i="25" s="1"/>
  <c r="X71" i="25"/>
  <c r="Y71" i="25" s="1"/>
  <c r="W140" i="25"/>
  <c r="W128" i="25"/>
  <c r="W116" i="25"/>
  <c r="X110" i="25"/>
  <c r="Y110" i="25" s="1"/>
  <c r="X98" i="25"/>
  <c r="Y98" i="25" s="1"/>
  <c r="W92" i="25"/>
  <c r="X92" i="25" s="1"/>
  <c r="Y92" i="25" s="1"/>
  <c r="X86" i="25"/>
  <c r="Y86" i="25" s="1"/>
  <c r="W80" i="25"/>
  <c r="X80" i="25" s="1"/>
  <c r="Y80" i="25" s="1"/>
  <c r="X74" i="25"/>
  <c r="Y74" i="25" s="1"/>
  <c r="W68" i="25"/>
  <c r="W137" i="25"/>
  <c r="W89" i="25"/>
  <c r="X89" i="25" s="1"/>
  <c r="Y89" i="25" s="1"/>
  <c r="W77" i="25"/>
  <c r="W65" i="25"/>
  <c r="X65" i="25" s="1"/>
  <c r="Y65" i="25" s="1"/>
  <c r="V50" i="29"/>
  <c r="V40" i="29"/>
  <c r="N26" i="29"/>
  <c r="V57" i="29"/>
  <c r="V47" i="29"/>
  <c r="V49" i="29"/>
  <c r="V38" i="29"/>
  <c r="W44" i="29"/>
  <c r="X44" i="29" s="1"/>
  <c r="Y44" i="29" s="1"/>
  <c r="N38" i="29"/>
  <c r="V9" i="29"/>
  <c r="V16" i="29"/>
  <c r="V37" i="29"/>
  <c r="N24" i="29"/>
  <c r="N14" i="29"/>
  <c r="V26" i="29"/>
  <c r="W26" i="29" s="1"/>
  <c r="X26" i="29" s="1"/>
  <c r="Y26" i="29" s="1"/>
  <c r="N36" i="29"/>
  <c r="W36" i="29" s="1"/>
  <c r="X36" i="29" s="1"/>
  <c r="Y36" i="29" s="1"/>
  <c r="V61" i="29"/>
  <c r="V62" i="29"/>
  <c r="W62" i="29" s="1"/>
  <c r="X62" i="29" s="1"/>
  <c r="Y62" i="29" s="1"/>
  <c r="V28" i="29"/>
  <c r="V45" i="29"/>
  <c r="V4" i="29"/>
  <c r="V35" i="29"/>
  <c r="V11" i="29"/>
  <c r="N50" i="29"/>
  <c r="V2" i="29"/>
  <c r="V42" i="29"/>
  <c r="N48" i="29"/>
  <c r="W48" i="29" s="1"/>
  <c r="X48" i="29" s="1"/>
  <c r="Y48" i="29" s="1"/>
  <c r="V52" i="29"/>
  <c r="V33" i="29"/>
  <c r="V59" i="29"/>
  <c r="W7" i="29"/>
  <c r="X7" i="29" s="1"/>
  <c r="Y7" i="29" s="1"/>
  <c r="W38" i="29"/>
  <c r="X38" i="29"/>
  <c r="Y38" i="29" s="1"/>
  <c r="J28" i="29"/>
  <c r="N30" i="29"/>
  <c r="N55" i="29"/>
  <c r="V58" i="29"/>
  <c r="N58" i="29"/>
  <c r="N59" i="29"/>
  <c r="J16" i="29"/>
  <c r="N16" i="29" s="1"/>
  <c r="J18" i="29"/>
  <c r="N18" i="29" s="1"/>
  <c r="J19" i="29"/>
  <c r="N19" i="29" s="1"/>
  <c r="N28" i="29"/>
  <c r="J33" i="29"/>
  <c r="N33" i="29" s="1"/>
  <c r="J37" i="29"/>
  <c r="N37" i="29" s="1"/>
  <c r="J4" i="29"/>
  <c r="J6" i="29"/>
  <c r="V17" i="29"/>
  <c r="N17" i="29"/>
  <c r="J20" i="29"/>
  <c r="N20" i="29" s="1"/>
  <c r="N31" i="29"/>
  <c r="V34" i="29"/>
  <c r="N34" i="29"/>
  <c r="N35" i="29"/>
  <c r="N60" i="29"/>
  <c r="V29" i="29"/>
  <c r="N29" i="29"/>
  <c r="N4" i="29"/>
  <c r="V5" i="29"/>
  <c r="N5" i="29"/>
  <c r="N6" i="29"/>
  <c r="J8" i="29"/>
  <c r="N8" i="29" s="1"/>
  <c r="N11" i="29"/>
  <c r="J56" i="29"/>
  <c r="N56" i="29" s="1"/>
  <c r="N54" i="29"/>
  <c r="J2" i="29"/>
  <c r="N2" i="29" s="1"/>
  <c r="J30" i="29"/>
  <c r="J31" i="29"/>
  <c r="J57" i="29"/>
  <c r="N57" i="29" s="1"/>
  <c r="N42" i="29"/>
  <c r="J9" i="29"/>
  <c r="N9" i="29" s="1"/>
  <c r="J45" i="29"/>
  <c r="N45" i="29" s="1"/>
  <c r="V22" i="29"/>
  <c r="N22" i="29"/>
  <c r="J25" i="29"/>
  <c r="N25" i="29" s="1"/>
  <c r="N43" i="29"/>
  <c r="V46" i="29"/>
  <c r="N46" i="29"/>
  <c r="N47" i="29"/>
  <c r="J54" i="29"/>
  <c r="V53" i="29"/>
  <c r="N53" i="29"/>
  <c r="N12" i="29"/>
  <c r="J32" i="29"/>
  <c r="N32" i="29" s="1"/>
  <c r="N52" i="29"/>
  <c r="J61" i="29"/>
  <c r="N61" i="29" s="1"/>
  <c r="J21" i="29"/>
  <c r="N21" i="29" s="1"/>
  <c r="V41" i="29"/>
  <c r="N41" i="29"/>
  <c r="V30" i="29"/>
  <c r="N40" i="29"/>
  <c r="J49" i="29"/>
  <c r="N49" i="29" s="1"/>
  <c r="V10" i="29"/>
  <c r="N10" i="29"/>
  <c r="J13" i="29"/>
  <c r="N13" i="29" s="1"/>
  <c r="V18" i="29"/>
  <c r="N23" i="29"/>
  <c r="V24" i="29"/>
  <c r="N3" i="29"/>
  <c r="N15" i="29"/>
  <c r="N27" i="29"/>
  <c r="N39" i="29"/>
  <c r="N51" i="29"/>
  <c r="L63" i="26"/>
  <c r="M63" i="26"/>
  <c r="N63" i="26"/>
  <c r="R63" i="26"/>
  <c r="U63" i="26"/>
  <c r="V63" i="26"/>
  <c r="W63" i="26"/>
  <c r="X63" i="26" s="1"/>
  <c r="Y63" i="26" s="1"/>
  <c r="L64" i="26"/>
  <c r="N64" i="26" s="1"/>
  <c r="M64" i="26"/>
  <c r="R64" i="26"/>
  <c r="U64" i="26"/>
  <c r="L65" i="26"/>
  <c r="N65" i="26" s="1"/>
  <c r="M65" i="26"/>
  <c r="R65" i="26"/>
  <c r="U65" i="26"/>
  <c r="L66" i="26"/>
  <c r="M66" i="26"/>
  <c r="N66" i="26"/>
  <c r="R66" i="26"/>
  <c r="U66" i="26"/>
  <c r="B63" i="26"/>
  <c r="D63" i="26"/>
  <c r="E63" i="26"/>
  <c r="G63" i="26"/>
  <c r="I63" i="26"/>
  <c r="J63" i="26"/>
  <c r="B64" i="26"/>
  <c r="D64" i="26"/>
  <c r="E64" i="26"/>
  <c r="G64" i="26"/>
  <c r="I64" i="26"/>
  <c r="J64" i="26"/>
  <c r="B65" i="26"/>
  <c r="D65" i="26"/>
  <c r="E65" i="26"/>
  <c r="G65" i="26"/>
  <c r="I65" i="26"/>
  <c r="J65" i="26"/>
  <c r="B66" i="26"/>
  <c r="D66" i="26"/>
  <c r="E66" i="26"/>
  <c r="G66" i="26"/>
  <c r="I66" i="26"/>
  <c r="J66" i="26"/>
  <c r="U62" i="26"/>
  <c r="R62" i="26"/>
  <c r="M62" i="26"/>
  <c r="L62" i="26"/>
  <c r="I62" i="26"/>
  <c r="G62" i="26"/>
  <c r="D62" i="26"/>
  <c r="E62" i="26" s="1"/>
  <c r="J62" i="26" s="1"/>
  <c r="N62" i="26" s="1"/>
  <c r="B62" i="26"/>
  <c r="U61" i="26"/>
  <c r="R61" i="26"/>
  <c r="M61" i="26"/>
  <c r="L61" i="26"/>
  <c r="I61" i="26"/>
  <c r="G61" i="26"/>
  <c r="E61" i="26"/>
  <c r="D61" i="26"/>
  <c r="B61" i="26"/>
  <c r="U60" i="26"/>
  <c r="R60" i="26"/>
  <c r="M60" i="26"/>
  <c r="L60" i="26"/>
  <c r="V60" i="26" s="1"/>
  <c r="J60" i="26"/>
  <c r="I60" i="26"/>
  <c r="G60" i="26"/>
  <c r="E60" i="26"/>
  <c r="D60" i="26"/>
  <c r="B60" i="26"/>
  <c r="U59" i="26"/>
  <c r="V59" i="26" s="1"/>
  <c r="R59" i="26"/>
  <c r="M59" i="26"/>
  <c r="L59" i="26"/>
  <c r="I59" i="26"/>
  <c r="G59" i="26"/>
  <c r="E59" i="26"/>
  <c r="D59" i="26"/>
  <c r="B59" i="26"/>
  <c r="U58" i="26"/>
  <c r="R58" i="26"/>
  <c r="M58" i="26"/>
  <c r="L58" i="26"/>
  <c r="I58" i="26"/>
  <c r="J58" i="26" s="1"/>
  <c r="G58" i="26"/>
  <c r="D58" i="26"/>
  <c r="E58" i="26" s="1"/>
  <c r="B58" i="26"/>
  <c r="U57" i="26"/>
  <c r="V57" i="26" s="1"/>
  <c r="R57" i="26"/>
  <c r="N57" i="26"/>
  <c r="M57" i="26"/>
  <c r="L57" i="26"/>
  <c r="I57" i="26"/>
  <c r="G57" i="26"/>
  <c r="D57" i="26"/>
  <c r="E57" i="26" s="1"/>
  <c r="J57" i="26" s="1"/>
  <c r="B57" i="26"/>
  <c r="V56" i="26"/>
  <c r="U56" i="26"/>
  <c r="R56" i="26"/>
  <c r="M56" i="26"/>
  <c r="L56" i="26"/>
  <c r="I56" i="26"/>
  <c r="G56" i="26"/>
  <c r="D56" i="26"/>
  <c r="E56" i="26" s="1"/>
  <c r="J56" i="26" s="1"/>
  <c r="B56" i="26"/>
  <c r="U55" i="26"/>
  <c r="R55" i="26"/>
  <c r="M55" i="26"/>
  <c r="L55" i="26"/>
  <c r="I55" i="26"/>
  <c r="G55" i="26"/>
  <c r="D55" i="26"/>
  <c r="E55" i="26" s="1"/>
  <c r="B55" i="26"/>
  <c r="U54" i="26"/>
  <c r="R54" i="26"/>
  <c r="M54" i="26"/>
  <c r="L54" i="26"/>
  <c r="I54" i="26"/>
  <c r="G54" i="26"/>
  <c r="D54" i="26"/>
  <c r="E54" i="26" s="1"/>
  <c r="B54" i="26"/>
  <c r="U53" i="26"/>
  <c r="R53" i="26"/>
  <c r="M53" i="26"/>
  <c r="L53" i="26"/>
  <c r="I53" i="26"/>
  <c r="J53" i="26" s="1"/>
  <c r="G53" i="26"/>
  <c r="E53" i="26"/>
  <c r="D53" i="26"/>
  <c r="B53" i="26"/>
  <c r="U52" i="26"/>
  <c r="R52" i="26"/>
  <c r="M52" i="26"/>
  <c r="L52" i="26"/>
  <c r="I52" i="26"/>
  <c r="G52" i="26"/>
  <c r="D52" i="26"/>
  <c r="E52" i="26" s="1"/>
  <c r="B52" i="26"/>
  <c r="U51" i="26"/>
  <c r="R51" i="26"/>
  <c r="M51" i="26"/>
  <c r="L51" i="26"/>
  <c r="I51" i="26"/>
  <c r="G51" i="26"/>
  <c r="E51" i="26"/>
  <c r="D51" i="26"/>
  <c r="B51" i="26"/>
  <c r="U50" i="26"/>
  <c r="V50" i="26" s="1"/>
  <c r="R50" i="26"/>
  <c r="M50" i="26"/>
  <c r="L50" i="26"/>
  <c r="I50" i="26"/>
  <c r="G50" i="26"/>
  <c r="D50" i="26"/>
  <c r="E50" i="26" s="1"/>
  <c r="J50" i="26" s="1"/>
  <c r="N50" i="26" s="1"/>
  <c r="B50" i="26"/>
  <c r="U49" i="26"/>
  <c r="V49" i="26" s="1"/>
  <c r="R49" i="26"/>
  <c r="M49" i="26"/>
  <c r="L49" i="26"/>
  <c r="I49" i="26"/>
  <c r="G49" i="26"/>
  <c r="D49" i="26"/>
  <c r="E49" i="26" s="1"/>
  <c r="B49" i="26"/>
  <c r="U48" i="26"/>
  <c r="R48" i="26"/>
  <c r="M48" i="26"/>
  <c r="L48" i="26"/>
  <c r="I48" i="26"/>
  <c r="G48" i="26"/>
  <c r="D48" i="26"/>
  <c r="E48" i="26" s="1"/>
  <c r="J48" i="26" s="1"/>
  <c r="B48" i="26"/>
  <c r="U47" i="26"/>
  <c r="R47" i="26"/>
  <c r="M47" i="26"/>
  <c r="L47" i="26"/>
  <c r="I47" i="26"/>
  <c r="G47" i="26"/>
  <c r="E47" i="26"/>
  <c r="D47" i="26"/>
  <c r="B47" i="26"/>
  <c r="U46" i="26"/>
  <c r="R46" i="26"/>
  <c r="M46" i="26"/>
  <c r="L46" i="26"/>
  <c r="I46" i="26"/>
  <c r="J46" i="26" s="1"/>
  <c r="G46" i="26"/>
  <c r="D46" i="26"/>
  <c r="E46" i="26" s="1"/>
  <c r="B46" i="26"/>
  <c r="U45" i="26"/>
  <c r="R45" i="26"/>
  <c r="M45" i="26"/>
  <c r="L45" i="26"/>
  <c r="N45" i="26" s="1"/>
  <c r="I45" i="26"/>
  <c r="G45" i="26"/>
  <c r="D45" i="26"/>
  <c r="E45" i="26" s="1"/>
  <c r="J45" i="26" s="1"/>
  <c r="B45" i="26"/>
  <c r="U44" i="26"/>
  <c r="R44" i="26"/>
  <c r="M44" i="26"/>
  <c r="L44" i="26"/>
  <c r="I44" i="26"/>
  <c r="G44" i="26"/>
  <c r="D44" i="26"/>
  <c r="E44" i="26" s="1"/>
  <c r="J44" i="26" s="1"/>
  <c r="B44" i="26"/>
  <c r="U43" i="26"/>
  <c r="R43" i="26"/>
  <c r="M43" i="26"/>
  <c r="L43" i="26"/>
  <c r="V43" i="26" s="1"/>
  <c r="I43" i="26"/>
  <c r="G43" i="26"/>
  <c r="D43" i="26"/>
  <c r="E43" i="26" s="1"/>
  <c r="B43" i="26"/>
  <c r="U42" i="26"/>
  <c r="V42" i="26" s="1"/>
  <c r="R42" i="26"/>
  <c r="M42" i="26"/>
  <c r="L42" i="26"/>
  <c r="I42" i="26"/>
  <c r="G42" i="26"/>
  <c r="D42" i="26"/>
  <c r="E42" i="26" s="1"/>
  <c r="B42" i="26"/>
  <c r="U41" i="26"/>
  <c r="R41" i="26"/>
  <c r="M41" i="26"/>
  <c r="L41" i="26"/>
  <c r="V41" i="26" s="1"/>
  <c r="I41" i="26"/>
  <c r="J41" i="26" s="1"/>
  <c r="G41" i="26"/>
  <c r="E41" i="26"/>
  <c r="D41" i="26"/>
  <c r="B41" i="26"/>
  <c r="U40" i="26"/>
  <c r="R40" i="26"/>
  <c r="M40" i="26"/>
  <c r="L40" i="26"/>
  <c r="V40" i="26" s="1"/>
  <c r="I40" i="26"/>
  <c r="G40" i="26"/>
  <c r="D40" i="26"/>
  <c r="E40" i="26" s="1"/>
  <c r="B40" i="26"/>
  <c r="U39" i="26"/>
  <c r="R39" i="26"/>
  <c r="M39" i="26"/>
  <c r="L39" i="26"/>
  <c r="I39" i="26"/>
  <c r="J39" i="26" s="1"/>
  <c r="G39" i="26"/>
  <c r="E39" i="26"/>
  <c r="D39" i="26"/>
  <c r="B39" i="26"/>
  <c r="U38" i="26"/>
  <c r="R38" i="26"/>
  <c r="M38" i="26"/>
  <c r="L38" i="26"/>
  <c r="I38" i="26"/>
  <c r="G38" i="26"/>
  <c r="D38" i="26"/>
  <c r="E38" i="26" s="1"/>
  <c r="J38" i="26" s="1"/>
  <c r="B38" i="26"/>
  <c r="U37" i="26"/>
  <c r="R37" i="26"/>
  <c r="M37" i="26"/>
  <c r="L37" i="26"/>
  <c r="I37" i="26"/>
  <c r="G37" i="26"/>
  <c r="D37" i="26"/>
  <c r="E37" i="26" s="1"/>
  <c r="B37" i="26"/>
  <c r="U36" i="26"/>
  <c r="R36" i="26"/>
  <c r="M36" i="26"/>
  <c r="L36" i="26"/>
  <c r="J36" i="26"/>
  <c r="I36" i="26"/>
  <c r="G36" i="26"/>
  <c r="D36" i="26"/>
  <c r="E36" i="26" s="1"/>
  <c r="B36" i="26"/>
  <c r="U35" i="26"/>
  <c r="V35" i="26" s="1"/>
  <c r="R35" i="26"/>
  <c r="M35" i="26"/>
  <c r="L35" i="26"/>
  <c r="I35" i="26"/>
  <c r="G35" i="26"/>
  <c r="E35" i="26"/>
  <c r="D35" i="26"/>
  <c r="B35" i="26"/>
  <c r="U34" i="26"/>
  <c r="R34" i="26"/>
  <c r="M34" i="26"/>
  <c r="L34" i="26"/>
  <c r="I34" i="26"/>
  <c r="J34" i="26" s="1"/>
  <c r="G34" i="26"/>
  <c r="D34" i="26"/>
  <c r="E34" i="26" s="1"/>
  <c r="B34" i="26"/>
  <c r="U33" i="26"/>
  <c r="V33" i="26" s="1"/>
  <c r="R33" i="26"/>
  <c r="M33" i="26"/>
  <c r="L33" i="26"/>
  <c r="I33" i="26"/>
  <c r="J33" i="26" s="1"/>
  <c r="G33" i="26"/>
  <c r="D33" i="26"/>
  <c r="E33" i="26" s="1"/>
  <c r="B33" i="26"/>
  <c r="U32" i="26"/>
  <c r="R32" i="26"/>
  <c r="M32" i="26"/>
  <c r="L32" i="26"/>
  <c r="V32" i="26" s="1"/>
  <c r="I32" i="26"/>
  <c r="G32" i="26"/>
  <c r="D32" i="26"/>
  <c r="E32" i="26" s="1"/>
  <c r="J32" i="26" s="1"/>
  <c r="B32" i="26"/>
  <c r="U31" i="26"/>
  <c r="R31" i="26"/>
  <c r="M31" i="26"/>
  <c r="L31" i="26"/>
  <c r="V31" i="26" s="1"/>
  <c r="I31" i="26"/>
  <c r="G31" i="26"/>
  <c r="D31" i="26"/>
  <c r="E31" i="26" s="1"/>
  <c r="B31" i="26"/>
  <c r="U30" i="26"/>
  <c r="R30" i="26"/>
  <c r="M30" i="26"/>
  <c r="L30" i="26"/>
  <c r="I30" i="26"/>
  <c r="G30" i="26"/>
  <c r="D30" i="26"/>
  <c r="E30" i="26" s="1"/>
  <c r="B30" i="26"/>
  <c r="U29" i="26"/>
  <c r="R29" i="26"/>
  <c r="M29" i="26"/>
  <c r="L29" i="26"/>
  <c r="I29" i="26"/>
  <c r="J29" i="26" s="1"/>
  <c r="G29" i="26"/>
  <c r="E29" i="26"/>
  <c r="D29" i="26"/>
  <c r="B29" i="26"/>
  <c r="U28" i="26"/>
  <c r="R28" i="26"/>
  <c r="M28" i="26"/>
  <c r="L28" i="26"/>
  <c r="I28" i="26"/>
  <c r="G28" i="26"/>
  <c r="D28" i="26"/>
  <c r="E28" i="26" s="1"/>
  <c r="B28" i="26"/>
  <c r="U27" i="26"/>
  <c r="R27" i="26"/>
  <c r="M27" i="26"/>
  <c r="L27" i="26"/>
  <c r="I27" i="26"/>
  <c r="G27" i="26"/>
  <c r="E27" i="26"/>
  <c r="D27" i="26"/>
  <c r="B27" i="26"/>
  <c r="U26" i="26"/>
  <c r="V26" i="26" s="1"/>
  <c r="R26" i="26"/>
  <c r="M26" i="26"/>
  <c r="L26" i="26"/>
  <c r="I26" i="26"/>
  <c r="G26" i="26"/>
  <c r="D26" i="26"/>
  <c r="E26" i="26" s="1"/>
  <c r="J26" i="26" s="1"/>
  <c r="B26" i="26"/>
  <c r="U25" i="26"/>
  <c r="R25" i="26"/>
  <c r="M25" i="26"/>
  <c r="L25" i="26"/>
  <c r="I25" i="26"/>
  <c r="G25" i="26"/>
  <c r="D25" i="26"/>
  <c r="E25" i="26" s="1"/>
  <c r="B25" i="26"/>
  <c r="U24" i="26"/>
  <c r="R24" i="26"/>
  <c r="M24" i="26"/>
  <c r="L24" i="26"/>
  <c r="J24" i="26"/>
  <c r="I24" i="26"/>
  <c r="G24" i="26"/>
  <c r="E24" i="26"/>
  <c r="D24" i="26"/>
  <c r="B24" i="26"/>
  <c r="U23" i="26"/>
  <c r="R23" i="26"/>
  <c r="M23" i="26"/>
  <c r="L23" i="26"/>
  <c r="I23" i="26"/>
  <c r="J23" i="26" s="1"/>
  <c r="N23" i="26" s="1"/>
  <c r="G23" i="26"/>
  <c r="E23" i="26"/>
  <c r="D23" i="26"/>
  <c r="B23" i="26"/>
  <c r="U22" i="26"/>
  <c r="R22" i="26"/>
  <c r="M22" i="26"/>
  <c r="L22" i="26"/>
  <c r="J22" i="26"/>
  <c r="I22" i="26"/>
  <c r="G22" i="26"/>
  <c r="D22" i="26"/>
  <c r="E22" i="26" s="1"/>
  <c r="B22" i="26"/>
  <c r="U21" i="26"/>
  <c r="R21" i="26"/>
  <c r="M21" i="26"/>
  <c r="L21" i="26"/>
  <c r="N21" i="26" s="1"/>
  <c r="I21" i="26"/>
  <c r="J21" i="26" s="1"/>
  <c r="G21" i="26"/>
  <c r="D21" i="26"/>
  <c r="E21" i="26" s="1"/>
  <c r="B21" i="26"/>
  <c r="U20" i="26"/>
  <c r="R20" i="26"/>
  <c r="M20" i="26"/>
  <c r="L20" i="26"/>
  <c r="V20" i="26" s="1"/>
  <c r="I20" i="26"/>
  <c r="G20" i="26"/>
  <c r="D20" i="26"/>
  <c r="E20" i="26" s="1"/>
  <c r="B20" i="26"/>
  <c r="U19" i="26"/>
  <c r="R19" i="26"/>
  <c r="M19" i="26"/>
  <c r="L19" i="26"/>
  <c r="I19" i="26"/>
  <c r="G19" i="26"/>
  <c r="D19" i="26"/>
  <c r="E19" i="26" s="1"/>
  <c r="B19" i="26"/>
  <c r="U18" i="26"/>
  <c r="V18" i="26" s="1"/>
  <c r="R18" i="26"/>
  <c r="M18" i="26"/>
  <c r="L18" i="26"/>
  <c r="I18" i="26"/>
  <c r="G18" i="26"/>
  <c r="D18" i="26"/>
  <c r="E18" i="26" s="1"/>
  <c r="B18" i="26"/>
  <c r="U17" i="26"/>
  <c r="R17" i="26"/>
  <c r="M17" i="26"/>
  <c r="L17" i="26"/>
  <c r="V17" i="26" s="1"/>
  <c r="I17" i="26"/>
  <c r="J17" i="26" s="1"/>
  <c r="G17" i="26"/>
  <c r="E17" i="26"/>
  <c r="D17" i="26"/>
  <c r="B17" i="26"/>
  <c r="U16" i="26"/>
  <c r="R16" i="26"/>
  <c r="M16" i="26"/>
  <c r="L16" i="26"/>
  <c r="I16" i="26"/>
  <c r="G16" i="26"/>
  <c r="D16" i="26"/>
  <c r="E16" i="26" s="1"/>
  <c r="B16" i="26"/>
  <c r="U15" i="26"/>
  <c r="R15" i="26"/>
  <c r="M15" i="26"/>
  <c r="L15" i="26"/>
  <c r="I15" i="26"/>
  <c r="J15" i="26" s="1"/>
  <c r="G15" i="26"/>
  <c r="E15" i="26"/>
  <c r="D15" i="26"/>
  <c r="B15" i="26"/>
  <c r="U14" i="26"/>
  <c r="R14" i="26"/>
  <c r="M14" i="26"/>
  <c r="L14" i="26"/>
  <c r="I14" i="26"/>
  <c r="G14" i="26"/>
  <c r="D14" i="26"/>
  <c r="E14" i="26" s="1"/>
  <c r="J14" i="26" s="1"/>
  <c r="B14" i="26"/>
  <c r="U13" i="26"/>
  <c r="R13" i="26"/>
  <c r="M13" i="26"/>
  <c r="L13" i="26"/>
  <c r="I13" i="26"/>
  <c r="G13" i="26"/>
  <c r="E13" i="26"/>
  <c r="D13" i="26"/>
  <c r="B13" i="26"/>
  <c r="U12" i="26"/>
  <c r="R12" i="26"/>
  <c r="M12" i="26"/>
  <c r="L12" i="26"/>
  <c r="J12" i="26"/>
  <c r="I12" i="26"/>
  <c r="G12" i="26"/>
  <c r="E12" i="26"/>
  <c r="D12" i="26"/>
  <c r="B12" i="26"/>
  <c r="U11" i="26"/>
  <c r="R11" i="26"/>
  <c r="M11" i="26"/>
  <c r="L11" i="26"/>
  <c r="I11" i="26"/>
  <c r="G11" i="26"/>
  <c r="D11" i="26"/>
  <c r="E11" i="26" s="1"/>
  <c r="B11" i="26"/>
  <c r="U10" i="26"/>
  <c r="R10" i="26"/>
  <c r="M10" i="26"/>
  <c r="L10" i="26"/>
  <c r="I10" i="26"/>
  <c r="G10" i="26"/>
  <c r="D10" i="26"/>
  <c r="E10" i="26" s="1"/>
  <c r="J10" i="26" s="1"/>
  <c r="B10" i="26"/>
  <c r="U9" i="26"/>
  <c r="V9" i="26" s="1"/>
  <c r="R9" i="26"/>
  <c r="M9" i="26"/>
  <c r="L9" i="26"/>
  <c r="I9" i="26"/>
  <c r="G9" i="26"/>
  <c r="D9" i="26"/>
  <c r="E9" i="26" s="1"/>
  <c r="B9" i="26"/>
  <c r="U8" i="26"/>
  <c r="R8" i="26"/>
  <c r="M8" i="26"/>
  <c r="L8" i="26"/>
  <c r="V8" i="26" s="1"/>
  <c r="I8" i="26"/>
  <c r="G8" i="26"/>
  <c r="D8" i="26"/>
  <c r="E8" i="26" s="1"/>
  <c r="B8" i="26"/>
  <c r="U7" i="26"/>
  <c r="R7" i="26"/>
  <c r="M7" i="26"/>
  <c r="L7" i="26"/>
  <c r="I7" i="26"/>
  <c r="G7" i="26"/>
  <c r="D7" i="26"/>
  <c r="E7" i="26" s="1"/>
  <c r="B7" i="26"/>
  <c r="U6" i="26"/>
  <c r="R6" i="26"/>
  <c r="M6" i="26"/>
  <c r="L6" i="26"/>
  <c r="I6" i="26"/>
  <c r="G6" i="26"/>
  <c r="D6" i="26"/>
  <c r="E6" i="26" s="1"/>
  <c r="B6" i="26"/>
  <c r="U5" i="26"/>
  <c r="R5" i="26"/>
  <c r="M5" i="26"/>
  <c r="L5" i="26"/>
  <c r="I5" i="26"/>
  <c r="J5" i="26" s="1"/>
  <c r="G5" i="26"/>
  <c r="E5" i="26"/>
  <c r="D5" i="26"/>
  <c r="B5" i="26"/>
  <c r="U4" i="26"/>
  <c r="R4" i="26"/>
  <c r="M4" i="26"/>
  <c r="L4" i="26"/>
  <c r="V4" i="26" s="1"/>
  <c r="I4" i="26"/>
  <c r="G4" i="26"/>
  <c r="D4" i="26"/>
  <c r="E4" i="26" s="1"/>
  <c r="B4" i="26"/>
  <c r="U3" i="26"/>
  <c r="R3" i="26"/>
  <c r="M3" i="26"/>
  <c r="L3" i="26"/>
  <c r="I3" i="26"/>
  <c r="J3" i="26" s="1"/>
  <c r="G3" i="26"/>
  <c r="E3" i="26"/>
  <c r="D3" i="26"/>
  <c r="B3" i="26"/>
  <c r="U2" i="26"/>
  <c r="R2" i="26"/>
  <c r="M2" i="26"/>
  <c r="L2" i="26"/>
  <c r="I2" i="26"/>
  <c r="G2" i="26"/>
  <c r="D2" i="26"/>
  <c r="E2" i="26" s="1"/>
  <c r="J2" i="26" s="1"/>
  <c r="N2" i="26" s="1"/>
  <c r="B2" i="26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S33" i="25"/>
  <c r="S34" i="25"/>
  <c r="S35" i="25"/>
  <c r="S36" i="25"/>
  <c r="S37" i="25"/>
  <c r="S38" i="25"/>
  <c r="S39" i="25"/>
  <c r="S40" i="25"/>
  <c r="S41" i="25"/>
  <c r="S42" i="25"/>
  <c r="S43" i="25"/>
  <c r="S44" i="25"/>
  <c r="S45" i="25"/>
  <c r="S46" i="25"/>
  <c r="S47" i="25"/>
  <c r="S48" i="25"/>
  <c r="S49" i="25"/>
  <c r="S50" i="25"/>
  <c r="S51" i="25"/>
  <c r="S52" i="25"/>
  <c r="S53" i="25"/>
  <c r="S54" i="25"/>
  <c r="S55" i="25"/>
  <c r="S56" i="25"/>
  <c r="S57" i="25"/>
  <c r="S58" i="25"/>
  <c r="S59" i="25"/>
  <c r="S60" i="25"/>
  <c r="S61" i="25"/>
  <c r="S62" i="25"/>
  <c r="S2" i="25"/>
  <c r="W14" i="29" l="1"/>
  <c r="X14" i="29" s="1"/>
  <c r="Y14" i="29" s="1"/>
  <c r="W50" i="29"/>
  <c r="X50" i="29" s="1"/>
  <c r="Y50" i="29" s="1"/>
  <c r="W24" i="29"/>
  <c r="X24" i="29" s="1"/>
  <c r="Y24" i="29" s="1"/>
  <c r="W18" i="29"/>
  <c r="X18" i="29" s="1"/>
  <c r="Y18" i="29" s="1"/>
  <c r="W16" i="29"/>
  <c r="X16" i="29" s="1"/>
  <c r="Y16" i="29" s="1"/>
  <c r="W25" i="29"/>
  <c r="X25" i="29" s="1"/>
  <c r="Y25" i="29" s="1"/>
  <c r="W19" i="29"/>
  <c r="X19" i="29" s="1"/>
  <c r="Y19" i="29" s="1"/>
  <c r="W45" i="29"/>
  <c r="X45" i="29" s="1"/>
  <c r="Y45" i="29" s="1"/>
  <c r="W56" i="29"/>
  <c r="X56" i="29" s="1"/>
  <c r="Y56" i="29" s="1"/>
  <c r="W8" i="29"/>
  <c r="X8" i="29" s="1"/>
  <c r="Y8" i="29" s="1"/>
  <c r="W49" i="29"/>
  <c r="X49" i="29" s="1"/>
  <c r="Y49" i="29" s="1"/>
  <c r="W42" i="29"/>
  <c r="X42" i="29" s="1"/>
  <c r="Y42" i="29" s="1"/>
  <c r="W5" i="29"/>
  <c r="X5" i="29" s="1"/>
  <c r="Y5" i="29" s="1"/>
  <c r="W17" i="29"/>
  <c r="X17" i="29" s="1"/>
  <c r="Y17" i="29" s="1"/>
  <c r="W58" i="29"/>
  <c r="X58" i="29"/>
  <c r="Y58" i="29" s="1"/>
  <c r="W51" i="29"/>
  <c r="X51" i="29" s="1"/>
  <c r="Y51" i="29" s="1"/>
  <c r="W40" i="29"/>
  <c r="X40" i="29" s="1"/>
  <c r="Y40" i="29" s="1"/>
  <c r="W52" i="29"/>
  <c r="X52" i="29" s="1"/>
  <c r="Y52" i="29" s="1"/>
  <c r="W54" i="29"/>
  <c r="X54" i="29" s="1"/>
  <c r="Y54" i="29" s="1"/>
  <c r="W28" i="29"/>
  <c r="X28" i="29" s="1"/>
  <c r="Y28" i="29" s="1"/>
  <c r="W32" i="29"/>
  <c r="X32" i="29" s="1"/>
  <c r="Y32" i="29" s="1"/>
  <c r="W22" i="29"/>
  <c r="X22" i="29" s="1"/>
  <c r="Y22" i="29" s="1"/>
  <c r="W12" i="29"/>
  <c r="X12" i="29" s="1"/>
  <c r="Y12" i="29" s="1"/>
  <c r="W20" i="29"/>
  <c r="X20" i="29" s="1"/>
  <c r="Y20" i="29" s="1"/>
  <c r="W55" i="29"/>
  <c r="X55" i="29" s="1"/>
  <c r="Y55" i="29" s="1"/>
  <c r="W30" i="29"/>
  <c r="X30" i="29" s="1"/>
  <c r="Y30" i="29" s="1"/>
  <c r="W15" i="29"/>
  <c r="X15" i="29" s="1"/>
  <c r="Y15" i="29" s="1"/>
  <c r="W46" i="29"/>
  <c r="X46" i="29" s="1"/>
  <c r="Y46" i="29" s="1"/>
  <c r="W23" i="29"/>
  <c r="X23" i="29" s="1"/>
  <c r="Y23" i="29" s="1"/>
  <c r="W13" i="29"/>
  <c r="X13" i="29" s="1"/>
  <c r="Y13" i="29" s="1"/>
  <c r="W11" i="29"/>
  <c r="X11" i="29" s="1"/>
  <c r="Y11" i="29" s="1"/>
  <c r="W10" i="29"/>
  <c r="X10" i="29" s="1"/>
  <c r="Y10" i="29" s="1"/>
  <c r="W53" i="29"/>
  <c r="X53" i="29" s="1"/>
  <c r="Y53" i="29" s="1"/>
  <c r="W9" i="29"/>
  <c r="X9" i="29" s="1"/>
  <c r="Y9" i="29" s="1"/>
  <c r="W6" i="29"/>
  <c r="X6" i="29" s="1"/>
  <c r="Y6" i="29" s="1"/>
  <c r="W59" i="29"/>
  <c r="X59" i="29" s="1"/>
  <c r="Y59" i="29" s="1"/>
  <c r="W39" i="29"/>
  <c r="X39" i="29"/>
  <c r="Y39" i="29" s="1"/>
  <c r="W4" i="29"/>
  <c r="X4" i="29" s="1"/>
  <c r="Y4" i="29" s="1"/>
  <c r="W27" i="29"/>
  <c r="X27" i="29" s="1"/>
  <c r="Y27" i="29" s="1"/>
  <c r="W41" i="29"/>
  <c r="X41" i="29" s="1"/>
  <c r="Y41" i="29" s="1"/>
  <c r="W47" i="29"/>
  <c r="X47" i="29"/>
  <c r="Y47" i="29" s="1"/>
  <c r="W57" i="29"/>
  <c r="X57" i="29" s="1"/>
  <c r="Y57" i="29" s="1"/>
  <c r="W29" i="29"/>
  <c r="X29" i="29" s="1"/>
  <c r="W3" i="29"/>
  <c r="X3" i="29"/>
  <c r="Y3" i="29" s="1"/>
  <c r="W21" i="29"/>
  <c r="X21" i="29" s="1"/>
  <c r="Y21" i="29" s="1"/>
  <c r="W60" i="29"/>
  <c r="X60" i="29" s="1"/>
  <c r="Y60" i="29" s="1"/>
  <c r="W37" i="29"/>
  <c r="X37" i="29" s="1"/>
  <c r="Y37" i="29" s="1"/>
  <c r="W34" i="29"/>
  <c r="X34" i="29" s="1"/>
  <c r="Y34" i="29" s="1"/>
  <c r="W31" i="29"/>
  <c r="X31" i="29" s="1"/>
  <c r="Y31" i="29" s="1"/>
  <c r="W61" i="29"/>
  <c r="X61" i="29" s="1"/>
  <c r="Y61" i="29" s="1"/>
  <c r="W43" i="29"/>
  <c r="X43" i="29" s="1"/>
  <c r="Y43" i="29" s="1"/>
  <c r="W2" i="29"/>
  <c r="X2" i="29" s="1"/>
  <c r="Y2" i="29" s="1"/>
  <c r="W35" i="29"/>
  <c r="X35" i="29" s="1"/>
  <c r="Y35" i="29" s="1"/>
  <c r="W33" i="29"/>
  <c r="X33" i="29" s="1"/>
  <c r="Y33" i="29" s="1"/>
  <c r="V16" i="26"/>
  <c r="V66" i="26"/>
  <c r="V7" i="26"/>
  <c r="V44" i="26"/>
  <c r="V53" i="26"/>
  <c r="V52" i="26"/>
  <c r="V19" i="26"/>
  <c r="V29" i="26"/>
  <c r="V5" i="26"/>
  <c r="V55" i="26"/>
  <c r="V61" i="26"/>
  <c r="W66" i="26"/>
  <c r="X66" i="26" s="1"/>
  <c r="Y66" i="26" s="1"/>
  <c r="V64" i="26"/>
  <c r="W64" i="26" s="1"/>
  <c r="X64" i="26" s="1"/>
  <c r="Y64" i="26" s="1"/>
  <c r="V65" i="26"/>
  <c r="W65" i="26" s="1"/>
  <c r="X65" i="26" s="1"/>
  <c r="Y65" i="26" s="1"/>
  <c r="V25" i="26"/>
  <c r="N26" i="26"/>
  <c r="W26" i="26" s="1"/>
  <c r="N33" i="26"/>
  <c r="V6" i="26"/>
  <c r="V14" i="26"/>
  <c r="V23" i="26"/>
  <c r="V13" i="26"/>
  <c r="V38" i="26"/>
  <c r="W38" i="26" s="1"/>
  <c r="X38" i="26" s="1"/>
  <c r="Y38" i="26" s="1"/>
  <c r="V47" i="26"/>
  <c r="V11" i="26"/>
  <c r="V21" i="26"/>
  <c r="W21" i="26" s="1"/>
  <c r="X21" i="26" s="1"/>
  <c r="Y21" i="26" s="1"/>
  <c r="V30" i="26"/>
  <c r="V54" i="26"/>
  <c r="N14" i="26"/>
  <c r="V37" i="26"/>
  <c r="V2" i="26"/>
  <c r="W2" i="26" s="1"/>
  <c r="X2" i="26" s="1"/>
  <c r="Y2" i="26" s="1"/>
  <c r="V45" i="26"/>
  <c r="W45" i="26" s="1"/>
  <c r="X45" i="26" s="1"/>
  <c r="Y45" i="26" s="1"/>
  <c r="V28" i="26"/>
  <c r="N38" i="26"/>
  <c r="V62" i="26"/>
  <c r="W62" i="26" s="1"/>
  <c r="X62" i="26" s="1"/>
  <c r="Y62" i="26" s="1"/>
  <c r="W33" i="26"/>
  <c r="X33" i="26" s="1"/>
  <c r="Y33" i="26" s="1"/>
  <c r="J13" i="26"/>
  <c r="N13" i="26" s="1"/>
  <c r="V36" i="26"/>
  <c r="N36" i="26"/>
  <c r="J49" i="26"/>
  <c r="V34" i="26"/>
  <c r="N34" i="26"/>
  <c r="V10" i="26"/>
  <c r="N10" i="26"/>
  <c r="N32" i="26"/>
  <c r="J47" i="26"/>
  <c r="N47" i="26" s="1"/>
  <c r="V48" i="26"/>
  <c r="N48" i="26"/>
  <c r="J59" i="26"/>
  <c r="N59" i="26" s="1"/>
  <c r="J8" i="26"/>
  <c r="N8" i="26" s="1"/>
  <c r="J27" i="26"/>
  <c r="N27" i="26" s="1"/>
  <c r="J11" i="26"/>
  <c r="N11" i="26" s="1"/>
  <c r="W50" i="26"/>
  <c r="X50" i="26"/>
  <c r="Y50" i="26" s="1"/>
  <c r="J37" i="26"/>
  <c r="N37" i="26" s="1"/>
  <c r="J51" i="26"/>
  <c r="J35" i="26"/>
  <c r="N35" i="26" s="1"/>
  <c r="V12" i="26"/>
  <c r="N12" i="26"/>
  <c r="N49" i="26"/>
  <c r="J25" i="26"/>
  <c r="N25" i="26" s="1"/>
  <c r="V46" i="26"/>
  <c r="N46" i="26"/>
  <c r="V58" i="26"/>
  <c r="N58" i="26"/>
  <c r="W23" i="26"/>
  <c r="X23" i="26" s="1"/>
  <c r="Y23" i="26" s="1"/>
  <c r="V3" i="26"/>
  <c r="N3" i="26"/>
  <c r="V24" i="26"/>
  <c r="N24" i="26"/>
  <c r="N44" i="26"/>
  <c r="N56" i="26"/>
  <c r="J20" i="26"/>
  <c r="N20" i="26" s="1"/>
  <c r="V22" i="26"/>
  <c r="N22" i="26"/>
  <c r="W57" i="26"/>
  <c r="X57" i="26" s="1"/>
  <c r="Y57" i="26" s="1"/>
  <c r="J61" i="26"/>
  <c r="N61" i="26" s="1"/>
  <c r="V15" i="26"/>
  <c r="N15" i="26"/>
  <c r="J6" i="26"/>
  <c r="V27" i="26"/>
  <c r="J28" i="26"/>
  <c r="V39" i="26"/>
  <c r="N39" i="26"/>
  <c r="N6" i="26"/>
  <c r="J18" i="26"/>
  <c r="N28" i="26"/>
  <c r="N18" i="26"/>
  <c r="J19" i="26"/>
  <c r="N19" i="26" s="1"/>
  <c r="J30" i="26"/>
  <c r="J42" i="26"/>
  <c r="J54" i="26"/>
  <c r="N17" i="26"/>
  <c r="N30" i="26"/>
  <c r="J31" i="26"/>
  <c r="N31" i="26" s="1"/>
  <c r="N42" i="26"/>
  <c r="J43" i="26"/>
  <c r="N43" i="26" s="1"/>
  <c r="N54" i="26"/>
  <c r="J55" i="26"/>
  <c r="N55" i="26" s="1"/>
  <c r="J4" i="26"/>
  <c r="N4" i="26" s="1"/>
  <c r="J16" i="26"/>
  <c r="N16" i="26" s="1"/>
  <c r="J40" i="26"/>
  <c r="N40" i="26" s="1"/>
  <c r="V51" i="26"/>
  <c r="N51" i="26"/>
  <c r="J52" i="26"/>
  <c r="N52" i="26" s="1"/>
  <c r="N60" i="26"/>
  <c r="J7" i="26"/>
  <c r="N5" i="26"/>
  <c r="N7" i="26"/>
  <c r="J9" i="26"/>
  <c r="N9" i="26" s="1"/>
  <c r="N29" i="26"/>
  <c r="N41" i="26"/>
  <c r="N53" i="26"/>
  <c r="U62" i="25"/>
  <c r="R62" i="25"/>
  <c r="M62" i="25"/>
  <c r="L62" i="25"/>
  <c r="I62" i="25"/>
  <c r="G62" i="25"/>
  <c r="D62" i="25"/>
  <c r="E62" i="25" s="1"/>
  <c r="B62" i="25"/>
  <c r="U61" i="25"/>
  <c r="R61" i="25"/>
  <c r="M61" i="25"/>
  <c r="L61" i="25"/>
  <c r="I61" i="25"/>
  <c r="J61" i="25" s="1"/>
  <c r="G61" i="25"/>
  <c r="D61" i="25"/>
  <c r="E61" i="25" s="1"/>
  <c r="B61" i="25"/>
  <c r="U60" i="25"/>
  <c r="R60" i="25"/>
  <c r="M60" i="25"/>
  <c r="L60" i="25"/>
  <c r="I60" i="25"/>
  <c r="G60" i="25"/>
  <c r="D60" i="25"/>
  <c r="E60" i="25" s="1"/>
  <c r="B60" i="25"/>
  <c r="U59" i="25"/>
  <c r="R59" i="25"/>
  <c r="M59" i="25"/>
  <c r="L59" i="25"/>
  <c r="I59" i="25"/>
  <c r="G59" i="25"/>
  <c r="D59" i="25"/>
  <c r="E59" i="25" s="1"/>
  <c r="B59" i="25"/>
  <c r="U58" i="25"/>
  <c r="R58" i="25"/>
  <c r="M58" i="25"/>
  <c r="L58" i="25"/>
  <c r="I58" i="25"/>
  <c r="G58" i="25"/>
  <c r="D58" i="25"/>
  <c r="E58" i="25" s="1"/>
  <c r="B58" i="25"/>
  <c r="U57" i="25"/>
  <c r="R57" i="25"/>
  <c r="M57" i="25"/>
  <c r="L57" i="25"/>
  <c r="I57" i="25"/>
  <c r="G57" i="25"/>
  <c r="D57" i="25"/>
  <c r="E57" i="25" s="1"/>
  <c r="B57" i="25"/>
  <c r="U56" i="25"/>
  <c r="R56" i="25"/>
  <c r="M56" i="25"/>
  <c r="L56" i="25"/>
  <c r="I56" i="25"/>
  <c r="G56" i="25"/>
  <c r="D56" i="25"/>
  <c r="E56" i="25" s="1"/>
  <c r="B56" i="25"/>
  <c r="U55" i="25"/>
  <c r="R55" i="25"/>
  <c r="M55" i="25"/>
  <c r="L55" i="25"/>
  <c r="I55" i="25"/>
  <c r="G55" i="25"/>
  <c r="D55" i="25"/>
  <c r="E55" i="25" s="1"/>
  <c r="B55" i="25"/>
  <c r="U54" i="25"/>
  <c r="R54" i="25"/>
  <c r="M54" i="25"/>
  <c r="L54" i="25"/>
  <c r="I54" i="25"/>
  <c r="G54" i="25"/>
  <c r="D54" i="25"/>
  <c r="E54" i="25" s="1"/>
  <c r="J54" i="25" s="1"/>
  <c r="B54" i="25"/>
  <c r="U53" i="25"/>
  <c r="R53" i="25"/>
  <c r="M53" i="25"/>
  <c r="L53" i="25"/>
  <c r="I53" i="25"/>
  <c r="G53" i="25"/>
  <c r="D53" i="25"/>
  <c r="E53" i="25" s="1"/>
  <c r="B53" i="25"/>
  <c r="U52" i="25"/>
  <c r="R52" i="25"/>
  <c r="M52" i="25"/>
  <c r="L52" i="25"/>
  <c r="J52" i="25"/>
  <c r="I52" i="25"/>
  <c r="G52" i="25"/>
  <c r="D52" i="25"/>
  <c r="E52" i="25" s="1"/>
  <c r="B52" i="25"/>
  <c r="U51" i="25"/>
  <c r="R51" i="25"/>
  <c r="M51" i="25"/>
  <c r="L51" i="25"/>
  <c r="I51" i="25"/>
  <c r="G51" i="25"/>
  <c r="D51" i="25"/>
  <c r="E51" i="25" s="1"/>
  <c r="J51" i="25" s="1"/>
  <c r="B51" i="25"/>
  <c r="U50" i="25"/>
  <c r="R50" i="25"/>
  <c r="M50" i="25"/>
  <c r="L50" i="25"/>
  <c r="I50" i="25"/>
  <c r="G50" i="25"/>
  <c r="D50" i="25"/>
  <c r="E50" i="25" s="1"/>
  <c r="B50" i="25"/>
  <c r="U49" i="25"/>
  <c r="R49" i="25"/>
  <c r="M49" i="25"/>
  <c r="L49" i="25"/>
  <c r="I49" i="25"/>
  <c r="G49" i="25"/>
  <c r="D49" i="25"/>
  <c r="E49" i="25" s="1"/>
  <c r="B49" i="25"/>
  <c r="U48" i="25"/>
  <c r="R48" i="25"/>
  <c r="M48" i="25"/>
  <c r="L48" i="25"/>
  <c r="J48" i="25"/>
  <c r="I48" i="25"/>
  <c r="G48" i="25"/>
  <c r="D48" i="25"/>
  <c r="E48" i="25" s="1"/>
  <c r="B48" i="25"/>
  <c r="U47" i="25"/>
  <c r="R47" i="25"/>
  <c r="M47" i="25"/>
  <c r="L47" i="25"/>
  <c r="I47" i="25"/>
  <c r="G47" i="25"/>
  <c r="D47" i="25"/>
  <c r="E47" i="25" s="1"/>
  <c r="B47" i="25"/>
  <c r="U46" i="25"/>
  <c r="R46" i="25"/>
  <c r="M46" i="25"/>
  <c r="L46" i="25"/>
  <c r="I46" i="25"/>
  <c r="G46" i="25"/>
  <c r="D46" i="25"/>
  <c r="E46" i="25" s="1"/>
  <c r="B46" i="25"/>
  <c r="U45" i="25"/>
  <c r="R45" i="25"/>
  <c r="M45" i="25"/>
  <c r="L45" i="25"/>
  <c r="I45" i="25"/>
  <c r="G45" i="25"/>
  <c r="D45" i="25"/>
  <c r="E45" i="25" s="1"/>
  <c r="B45" i="25"/>
  <c r="U44" i="25"/>
  <c r="V44" i="25" s="1"/>
  <c r="R44" i="25"/>
  <c r="M44" i="25"/>
  <c r="L44" i="25"/>
  <c r="I44" i="25"/>
  <c r="G44" i="25"/>
  <c r="E44" i="25"/>
  <c r="D44" i="25"/>
  <c r="B44" i="25"/>
  <c r="U43" i="25"/>
  <c r="R43" i="25"/>
  <c r="M43" i="25"/>
  <c r="L43" i="25"/>
  <c r="I43" i="25"/>
  <c r="G43" i="25"/>
  <c r="D43" i="25"/>
  <c r="E43" i="25" s="1"/>
  <c r="B43" i="25"/>
  <c r="U42" i="25"/>
  <c r="R42" i="25"/>
  <c r="M42" i="25"/>
  <c r="L42" i="25"/>
  <c r="I42" i="25"/>
  <c r="J42" i="25" s="1"/>
  <c r="G42" i="25"/>
  <c r="E42" i="25"/>
  <c r="D42" i="25"/>
  <c r="B42" i="25"/>
  <c r="U41" i="25"/>
  <c r="R41" i="25"/>
  <c r="M41" i="25"/>
  <c r="L41" i="25"/>
  <c r="I41" i="25"/>
  <c r="G41" i="25"/>
  <c r="D41" i="25"/>
  <c r="E41" i="25" s="1"/>
  <c r="B41" i="25"/>
  <c r="U40" i="25"/>
  <c r="R40" i="25"/>
  <c r="M40" i="25"/>
  <c r="L40" i="25"/>
  <c r="I40" i="25"/>
  <c r="G40" i="25"/>
  <c r="D40" i="25"/>
  <c r="E40" i="25" s="1"/>
  <c r="B40" i="25"/>
  <c r="U39" i="25"/>
  <c r="R39" i="25"/>
  <c r="M39" i="25"/>
  <c r="L39" i="25"/>
  <c r="I39" i="25"/>
  <c r="G39" i="25"/>
  <c r="D39" i="25"/>
  <c r="E39" i="25" s="1"/>
  <c r="B39" i="25"/>
  <c r="U38" i="25"/>
  <c r="R38" i="25"/>
  <c r="M38" i="25"/>
  <c r="L38" i="25"/>
  <c r="I38" i="25"/>
  <c r="G38" i="25"/>
  <c r="D38" i="25"/>
  <c r="E38" i="25" s="1"/>
  <c r="B38" i="25"/>
  <c r="U37" i="25"/>
  <c r="R37" i="25"/>
  <c r="M37" i="25"/>
  <c r="L37" i="25"/>
  <c r="I37" i="25"/>
  <c r="G37" i="25"/>
  <c r="D37" i="25"/>
  <c r="E37" i="25" s="1"/>
  <c r="B37" i="25"/>
  <c r="U36" i="25"/>
  <c r="R36" i="25"/>
  <c r="M36" i="25"/>
  <c r="L36" i="25"/>
  <c r="I36" i="25"/>
  <c r="G36" i="25"/>
  <c r="D36" i="25"/>
  <c r="E36" i="25" s="1"/>
  <c r="B36" i="25"/>
  <c r="U35" i="25"/>
  <c r="R35" i="25"/>
  <c r="M35" i="25"/>
  <c r="L35" i="25"/>
  <c r="V35" i="25" s="1"/>
  <c r="I35" i="25"/>
  <c r="G35" i="25"/>
  <c r="D35" i="25"/>
  <c r="E35" i="25" s="1"/>
  <c r="B35" i="25"/>
  <c r="U34" i="25"/>
  <c r="R34" i="25"/>
  <c r="M34" i="25"/>
  <c r="L34" i="25"/>
  <c r="I34" i="25"/>
  <c r="G34" i="25"/>
  <c r="D34" i="25"/>
  <c r="E34" i="25" s="1"/>
  <c r="B34" i="25"/>
  <c r="U33" i="25"/>
  <c r="R33" i="25"/>
  <c r="M33" i="25"/>
  <c r="L33" i="25"/>
  <c r="I33" i="25"/>
  <c r="G33" i="25"/>
  <c r="E33" i="25"/>
  <c r="D33" i="25"/>
  <c r="B33" i="25"/>
  <c r="U32" i="25"/>
  <c r="R32" i="25"/>
  <c r="M32" i="25"/>
  <c r="L32" i="25"/>
  <c r="I32" i="25"/>
  <c r="G32" i="25"/>
  <c r="D32" i="25"/>
  <c r="E32" i="25" s="1"/>
  <c r="J32" i="25" s="1"/>
  <c r="B32" i="25"/>
  <c r="U31" i="25"/>
  <c r="R31" i="25"/>
  <c r="M31" i="25"/>
  <c r="L31" i="25"/>
  <c r="I31" i="25"/>
  <c r="G31" i="25"/>
  <c r="D31" i="25"/>
  <c r="E31" i="25" s="1"/>
  <c r="B31" i="25"/>
  <c r="U30" i="25"/>
  <c r="R30" i="25"/>
  <c r="M30" i="25"/>
  <c r="L30" i="25"/>
  <c r="I30" i="25"/>
  <c r="G30" i="25"/>
  <c r="D30" i="25"/>
  <c r="E30" i="25" s="1"/>
  <c r="J30" i="25" s="1"/>
  <c r="N30" i="25" s="1"/>
  <c r="B30" i="25"/>
  <c r="U29" i="25"/>
  <c r="R29" i="25"/>
  <c r="M29" i="25"/>
  <c r="L29" i="25"/>
  <c r="I29" i="25"/>
  <c r="G29" i="25"/>
  <c r="D29" i="25"/>
  <c r="E29" i="25" s="1"/>
  <c r="B29" i="25"/>
  <c r="U28" i="25"/>
  <c r="R28" i="25"/>
  <c r="M28" i="25"/>
  <c r="L28" i="25"/>
  <c r="I28" i="25"/>
  <c r="G28" i="25"/>
  <c r="D28" i="25"/>
  <c r="E28" i="25" s="1"/>
  <c r="B28" i="25"/>
  <c r="U27" i="25"/>
  <c r="R27" i="25"/>
  <c r="M27" i="25"/>
  <c r="L27" i="25"/>
  <c r="I27" i="25"/>
  <c r="G27" i="25"/>
  <c r="D27" i="25"/>
  <c r="E27" i="25" s="1"/>
  <c r="B27" i="25"/>
  <c r="U26" i="25"/>
  <c r="R26" i="25"/>
  <c r="M26" i="25"/>
  <c r="L26" i="25"/>
  <c r="I26" i="25"/>
  <c r="G26" i="25"/>
  <c r="D26" i="25"/>
  <c r="E26" i="25" s="1"/>
  <c r="B26" i="25"/>
  <c r="U25" i="25"/>
  <c r="R25" i="25"/>
  <c r="M25" i="25"/>
  <c r="L25" i="25"/>
  <c r="I25" i="25"/>
  <c r="G25" i="25"/>
  <c r="D25" i="25"/>
  <c r="E25" i="25" s="1"/>
  <c r="B25" i="25"/>
  <c r="U24" i="25"/>
  <c r="R24" i="25"/>
  <c r="M24" i="25"/>
  <c r="L24" i="25"/>
  <c r="I24" i="25"/>
  <c r="G24" i="25"/>
  <c r="D24" i="25"/>
  <c r="E24" i="25" s="1"/>
  <c r="J24" i="25" s="1"/>
  <c r="B24" i="25"/>
  <c r="U23" i="25"/>
  <c r="R23" i="25"/>
  <c r="M23" i="25"/>
  <c r="L23" i="25"/>
  <c r="I23" i="25"/>
  <c r="G23" i="25"/>
  <c r="D23" i="25"/>
  <c r="E23" i="25" s="1"/>
  <c r="J23" i="25" s="1"/>
  <c r="B23" i="25"/>
  <c r="U22" i="25"/>
  <c r="V22" i="25" s="1"/>
  <c r="R22" i="25"/>
  <c r="M22" i="25"/>
  <c r="L22" i="25"/>
  <c r="I22" i="25"/>
  <c r="G22" i="25"/>
  <c r="D22" i="25"/>
  <c r="E22" i="25" s="1"/>
  <c r="B22" i="25"/>
  <c r="U21" i="25"/>
  <c r="R21" i="25"/>
  <c r="M21" i="25"/>
  <c r="L21" i="25"/>
  <c r="I21" i="25"/>
  <c r="G21" i="25"/>
  <c r="E21" i="25"/>
  <c r="D21" i="25"/>
  <c r="B21" i="25"/>
  <c r="U20" i="25"/>
  <c r="R20" i="25"/>
  <c r="M20" i="25"/>
  <c r="L20" i="25"/>
  <c r="I20" i="25"/>
  <c r="G20" i="25"/>
  <c r="D20" i="25"/>
  <c r="E20" i="25" s="1"/>
  <c r="B20" i="25"/>
  <c r="U19" i="25"/>
  <c r="R19" i="25"/>
  <c r="M19" i="25"/>
  <c r="L19" i="25"/>
  <c r="I19" i="25"/>
  <c r="G19" i="25"/>
  <c r="E19" i="25"/>
  <c r="D19" i="25"/>
  <c r="B19" i="25"/>
  <c r="U18" i="25"/>
  <c r="R18" i="25"/>
  <c r="M18" i="25"/>
  <c r="L18" i="25"/>
  <c r="I18" i="25"/>
  <c r="G18" i="25"/>
  <c r="E18" i="25"/>
  <c r="D18" i="25"/>
  <c r="B18" i="25"/>
  <c r="U17" i="25"/>
  <c r="R17" i="25"/>
  <c r="M17" i="25"/>
  <c r="L17" i="25"/>
  <c r="I17" i="25"/>
  <c r="G17" i="25"/>
  <c r="D17" i="25"/>
  <c r="E17" i="25" s="1"/>
  <c r="B17" i="25"/>
  <c r="U16" i="25"/>
  <c r="R16" i="25"/>
  <c r="M16" i="25"/>
  <c r="L16" i="25"/>
  <c r="I16" i="25"/>
  <c r="G16" i="25"/>
  <c r="D16" i="25"/>
  <c r="E16" i="25" s="1"/>
  <c r="B16" i="25"/>
  <c r="U15" i="25"/>
  <c r="R15" i="25"/>
  <c r="M15" i="25"/>
  <c r="L15" i="25"/>
  <c r="I15" i="25"/>
  <c r="J15" i="25" s="1"/>
  <c r="G15" i="25"/>
  <c r="D15" i="25"/>
  <c r="E15" i="25" s="1"/>
  <c r="B15" i="25"/>
  <c r="U14" i="25"/>
  <c r="R14" i="25"/>
  <c r="M14" i="25"/>
  <c r="L14" i="25"/>
  <c r="V14" i="25" s="1"/>
  <c r="I14" i="25"/>
  <c r="G14" i="25"/>
  <c r="D14" i="25"/>
  <c r="E14" i="25" s="1"/>
  <c r="B14" i="25"/>
  <c r="U13" i="25"/>
  <c r="R13" i="25"/>
  <c r="M13" i="25"/>
  <c r="L13" i="25"/>
  <c r="I13" i="25"/>
  <c r="G13" i="25"/>
  <c r="D13" i="25"/>
  <c r="E13" i="25" s="1"/>
  <c r="B13" i="25"/>
  <c r="U12" i="25"/>
  <c r="R12" i="25"/>
  <c r="M12" i="25"/>
  <c r="L12" i="25"/>
  <c r="I12" i="25"/>
  <c r="G12" i="25"/>
  <c r="D12" i="25"/>
  <c r="E12" i="25" s="1"/>
  <c r="J12" i="25" s="1"/>
  <c r="B12" i="25"/>
  <c r="U11" i="25"/>
  <c r="R11" i="25"/>
  <c r="M11" i="25"/>
  <c r="L11" i="25"/>
  <c r="I11" i="25"/>
  <c r="G11" i="25"/>
  <c r="E11" i="25"/>
  <c r="D11" i="25"/>
  <c r="B11" i="25"/>
  <c r="U10" i="25"/>
  <c r="R10" i="25"/>
  <c r="M10" i="25"/>
  <c r="L10" i="25"/>
  <c r="I10" i="25"/>
  <c r="G10" i="25"/>
  <c r="D10" i="25"/>
  <c r="E10" i="25" s="1"/>
  <c r="B10" i="25"/>
  <c r="U9" i="25"/>
  <c r="R9" i="25"/>
  <c r="M9" i="25"/>
  <c r="L9" i="25"/>
  <c r="I9" i="25"/>
  <c r="G9" i="25"/>
  <c r="E9" i="25"/>
  <c r="D9" i="25"/>
  <c r="B9" i="25"/>
  <c r="U8" i="25"/>
  <c r="R8" i="25"/>
  <c r="M8" i="25"/>
  <c r="L8" i="25"/>
  <c r="I8" i="25"/>
  <c r="G8" i="25"/>
  <c r="D8" i="25"/>
  <c r="E8" i="25" s="1"/>
  <c r="B8" i="25"/>
  <c r="U7" i="25"/>
  <c r="R7" i="25"/>
  <c r="M7" i="25"/>
  <c r="L7" i="25"/>
  <c r="I7" i="25"/>
  <c r="G7" i="25"/>
  <c r="D7" i="25"/>
  <c r="E7" i="25" s="1"/>
  <c r="J7" i="25" s="1"/>
  <c r="B7" i="25"/>
  <c r="U6" i="25"/>
  <c r="R6" i="25"/>
  <c r="M6" i="25"/>
  <c r="L6" i="25"/>
  <c r="I6" i="25"/>
  <c r="G6" i="25"/>
  <c r="D6" i="25"/>
  <c r="E6" i="25" s="1"/>
  <c r="J6" i="25" s="1"/>
  <c r="B6" i="25"/>
  <c r="U5" i="25"/>
  <c r="R5" i="25"/>
  <c r="M5" i="25"/>
  <c r="L5" i="25"/>
  <c r="V5" i="25" s="1"/>
  <c r="I5" i="25"/>
  <c r="G5" i="25"/>
  <c r="D5" i="25"/>
  <c r="E5" i="25" s="1"/>
  <c r="B5" i="25"/>
  <c r="U4" i="25"/>
  <c r="R4" i="25"/>
  <c r="M4" i="25"/>
  <c r="L4" i="25"/>
  <c r="I4" i="25"/>
  <c r="J4" i="25" s="1"/>
  <c r="G4" i="25"/>
  <c r="D4" i="25"/>
  <c r="E4" i="25" s="1"/>
  <c r="B4" i="25"/>
  <c r="U3" i="25"/>
  <c r="R3" i="25"/>
  <c r="M3" i="25"/>
  <c r="L3" i="25"/>
  <c r="I3" i="25"/>
  <c r="G3" i="25"/>
  <c r="D3" i="25"/>
  <c r="E3" i="25" s="1"/>
  <c r="J3" i="25" s="1"/>
  <c r="B3" i="25"/>
  <c r="U2" i="25"/>
  <c r="R2" i="25"/>
  <c r="M2" i="25"/>
  <c r="L2" i="25"/>
  <c r="I2" i="25"/>
  <c r="G2" i="25"/>
  <c r="D2" i="25"/>
  <c r="E2" i="25" s="1"/>
  <c r="B2" i="25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47" i="24"/>
  <c r="S48" i="24"/>
  <c r="S49" i="24"/>
  <c r="S50" i="24"/>
  <c r="S51" i="24"/>
  <c r="S52" i="24"/>
  <c r="S53" i="24"/>
  <c r="S54" i="24"/>
  <c r="S55" i="24"/>
  <c r="S56" i="24"/>
  <c r="S57" i="24"/>
  <c r="S58" i="24"/>
  <c r="S59" i="24"/>
  <c r="S60" i="24"/>
  <c r="S61" i="24"/>
  <c r="S62" i="24"/>
  <c r="S63" i="24"/>
  <c r="S64" i="24"/>
  <c r="S65" i="24"/>
  <c r="S66" i="24"/>
  <c r="S67" i="24"/>
  <c r="S68" i="24"/>
  <c r="S69" i="24"/>
  <c r="S70" i="24"/>
  <c r="S71" i="24"/>
  <c r="S72" i="24"/>
  <c r="S73" i="24"/>
  <c r="S74" i="24"/>
  <c r="S75" i="24"/>
  <c r="S76" i="24"/>
  <c r="S77" i="24"/>
  <c r="S78" i="24"/>
  <c r="S79" i="24"/>
  <c r="S80" i="24"/>
  <c r="S81" i="24"/>
  <c r="S82" i="24"/>
  <c r="S83" i="24"/>
  <c r="S84" i="24"/>
  <c r="S85" i="24"/>
  <c r="S86" i="24"/>
  <c r="S87" i="24"/>
  <c r="S2" i="24"/>
  <c r="V19" i="25" l="1"/>
  <c r="V29" i="25"/>
  <c r="V13" i="25"/>
  <c r="X66" i="29"/>
  <c r="Y29" i="29"/>
  <c r="Y66" i="29" s="1"/>
  <c r="X26" i="26"/>
  <c r="Y26" i="26" s="1"/>
  <c r="W14" i="26"/>
  <c r="X14" i="26" s="1"/>
  <c r="Y14" i="26" s="1"/>
  <c r="W37" i="26"/>
  <c r="X37" i="26" s="1"/>
  <c r="Y37" i="26" s="1"/>
  <c r="W13" i="26"/>
  <c r="X13" i="26" s="1"/>
  <c r="Y13" i="26" s="1"/>
  <c r="W20" i="26"/>
  <c r="X20" i="26" s="1"/>
  <c r="Y20" i="26" s="1"/>
  <c r="W25" i="26"/>
  <c r="X25" i="26"/>
  <c r="Y25" i="26" s="1"/>
  <c r="W27" i="26"/>
  <c r="X27" i="26"/>
  <c r="Y27" i="26" s="1"/>
  <c r="W8" i="26"/>
  <c r="X8" i="26" s="1"/>
  <c r="Y8" i="26" s="1"/>
  <c r="W16" i="26"/>
  <c r="X16" i="26" s="1"/>
  <c r="Y16" i="26" s="1"/>
  <c r="W61" i="26"/>
  <c r="X61" i="26" s="1"/>
  <c r="Y61" i="26" s="1"/>
  <c r="W9" i="26"/>
  <c r="X9" i="26" s="1"/>
  <c r="Y9" i="26" s="1"/>
  <c r="W55" i="26"/>
  <c r="X55" i="26" s="1"/>
  <c r="Y55" i="26" s="1"/>
  <c r="W18" i="26"/>
  <c r="X18" i="26" s="1"/>
  <c r="Y18" i="26" s="1"/>
  <c r="W46" i="26"/>
  <c r="X46" i="26" s="1"/>
  <c r="Y46" i="26" s="1"/>
  <c r="W47" i="26"/>
  <c r="X47" i="26" s="1"/>
  <c r="Y47" i="26" s="1"/>
  <c r="W7" i="26"/>
  <c r="X7" i="26" s="1"/>
  <c r="Y7" i="26" s="1"/>
  <c r="W54" i="26"/>
  <c r="X54" i="26" s="1"/>
  <c r="Y54" i="26" s="1"/>
  <c r="W28" i="26"/>
  <c r="X28" i="26" s="1"/>
  <c r="Y28" i="26" s="1"/>
  <c r="W56" i="26"/>
  <c r="X56" i="26" s="1"/>
  <c r="Y56" i="26" s="1"/>
  <c r="W32" i="26"/>
  <c r="X32" i="26" s="1"/>
  <c r="W5" i="26"/>
  <c r="X5" i="26" s="1"/>
  <c r="Y5" i="26" s="1"/>
  <c r="W43" i="26"/>
  <c r="X43" i="26" s="1"/>
  <c r="Y43" i="26" s="1"/>
  <c r="W44" i="26"/>
  <c r="X44" i="26" s="1"/>
  <c r="Y44" i="26" s="1"/>
  <c r="W11" i="26"/>
  <c r="X11" i="26" s="1"/>
  <c r="Y11" i="26" s="1"/>
  <c r="W42" i="26"/>
  <c r="X42" i="26" s="1"/>
  <c r="Y42" i="26" s="1"/>
  <c r="W6" i="26"/>
  <c r="X6" i="26" s="1"/>
  <c r="Y6" i="26" s="1"/>
  <c r="W24" i="26"/>
  <c r="X24" i="26" s="1"/>
  <c r="Y24" i="26" s="1"/>
  <c r="W60" i="26"/>
  <c r="X60" i="26" s="1"/>
  <c r="Y60" i="26" s="1"/>
  <c r="W31" i="26"/>
  <c r="X31" i="26" s="1"/>
  <c r="Y31" i="26" s="1"/>
  <c r="W39" i="26"/>
  <c r="X39" i="26" s="1"/>
  <c r="Y39" i="26" s="1"/>
  <c r="W10" i="26"/>
  <c r="X10" i="26" s="1"/>
  <c r="Y10" i="26" s="1"/>
  <c r="W52" i="26"/>
  <c r="X52" i="26"/>
  <c r="Y52" i="26" s="1"/>
  <c r="W30" i="26"/>
  <c r="X30" i="26" s="1"/>
  <c r="Y30" i="26" s="1"/>
  <c r="W3" i="26"/>
  <c r="X3" i="26" s="1"/>
  <c r="Y3" i="26" s="1"/>
  <c r="W49" i="26"/>
  <c r="X49" i="26"/>
  <c r="Y49" i="26" s="1"/>
  <c r="W51" i="26"/>
  <c r="X51" i="26" s="1"/>
  <c r="Y51" i="26" s="1"/>
  <c r="W17" i="26"/>
  <c r="X17" i="26" s="1"/>
  <c r="Y17" i="26" s="1"/>
  <c r="W12" i="26"/>
  <c r="X12" i="26" s="1"/>
  <c r="Y12" i="26" s="1"/>
  <c r="W34" i="26"/>
  <c r="X34" i="26" s="1"/>
  <c r="Y34" i="26" s="1"/>
  <c r="W53" i="26"/>
  <c r="X53" i="26" s="1"/>
  <c r="Y53" i="26" s="1"/>
  <c r="W40" i="26"/>
  <c r="X40" i="26" s="1"/>
  <c r="Y40" i="26" s="1"/>
  <c r="W22" i="26"/>
  <c r="X22" i="26" s="1"/>
  <c r="Y22" i="26" s="1"/>
  <c r="W35" i="26"/>
  <c r="X35" i="26" s="1"/>
  <c r="Y35" i="26" s="1"/>
  <c r="W41" i="26"/>
  <c r="X41" i="26" s="1"/>
  <c r="Y41" i="26" s="1"/>
  <c r="W59" i="26"/>
  <c r="X59" i="26" s="1"/>
  <c r="Y59" i="26" s="1"/>
  <c r="W36" i="26"/>
  <c r="X36" i="26" s="1"/>
  <c r="Y36" i="26" s="1"/>
  <c r="W29" i="26"/>
  <c r="X29" i="26" s="1"/>
  <c r="W58" i="26"/>
  <c r="X58" i="26"/>
  <c r="Y58" i="26" s="1"/>
  <c r="W48" i="26"/>
  <c r="X48" i="26" s="1"/>
  <c r="Y48" i="26" s="1"/>
  <c r="W4" i="26"/>
  <c r="X4" i="26" s="1"/>
  <c r="Y4" i="26" s="1"/>
  <c r="W19" i="26"/>
  <c r="X19" i="26" s="1"/>
  <c r="Y19" i="26" s="1"/>
  <c r="W15" i="26"/>
  <c r="X15" i="26" s="1"/>
  <c r="Y15" i="26" s="1"/>
  <c r="V12" i="25"/>
  <c r="V46" i="25"/>
  <c r="V11" i="25"/>
  <c r="V45" i="25"/>
  <c r="V36" i="25"/>
  <c r="W36" i="25" s="1"/>
  <c r="V27" i="25"/>
  <c r="V2" i="25"/>
  <c r="J57" i="25"/>
  <c r="V30" i="25"/>
  <c r="W30" i="25" s="1"/>
  <c r="X30" i="25" s="1"/>
  <c r="Y30" i="25" s="1"/>
  <c r="V4" i="25"/>
  <c r="J21" i="25"/>
  <c r="N21" i="25" s="1"/>
  <c r="J27" i="25"/>
  <c r="N27" i="25" s="1"/>
  <c r="J28" i="25"/>
  <c r="N28" i="25" s="1"/>
  <c r="V38" i="25"/>
  <c r="V47" i="25"/>
  <c r="V39" i="25"/>
  <c r="V3" i="25"/>
  <c r="W3" i="25" s="1"/>
  <c r="X3" i="25" s="1"/>
  <c r="Y3" i="25" s="1"/>
  <c r="J20" i="25"/>
  <c r="N20" i="25" s="1"/>
  <c r="J35" i="25"/>
  <c r="N35" i="25" s="1"/>
  <c r="W35" i="25" s="1"/>
  <c r="X35" i="25" s="1"/>
  <c r="Y35" i="25" s="1"/>
  <c r="V37" i="25"/>
  <c r="J55" i="25"/>
  <c r="J2" i="25"/>
  <c r="J26" i="25"/>
  <c r="N26" i="25" s="1"/>
  <c r="W26" i="25" s="1"/>
  <c r="X26" i="25" s="1"/>
  <c r="Y26" i="25" s="1"/>
  <c r="J36" i="25"/>
  <c r="J11" i="25"/>
  <c r="N11" i="25" s="1"/>
  <c r="J18" i="25"/>
  <c r="V31" i="25"/>
  <c r="J45" i="25"/>
  <c r="N45" i="25" s="1"/>
  <c r="W45" i="25" s="1"/>
  <c r="X45" i="25" s="1"/>
  <c r="Y45" i="25" s="1"/>
  <c r="J62" i="25"/>
  <c r="J17" i="25"/>
  <c r="N17" i="25" s="1"/>
  <c r="V26" i="25"/>
  <c r="V52" i="25"/>
  <c r="J9" i="25"/>
  <c r="J16" i="25"/>
  <c r="N16" i="25" s="1"/>
  <c r="V43" i="25"/>
  <c r="N51" i="25"/>
  <c r="J60" i="25"/>
  <c r="N60" i="25" s="1"/>
  <c r="V33" i="25"/>
  <c r="V55" i="25"/>
  <c r="V60" i="25"/>
  <c r="J5" i="25"/>
  <c r="N5" i="25" s="1"/>
  <c r="W5" i="25" s="1"/>
  <c r="X5" i="25" s="1"/>
  <c r="Y5" i="25" s="1"/>
  <c r="V61" i="25"/>
  <c r="V8" i="25"/>
  <c r="J29" i="25"/>
  <c r="V42" i="25"/>
  <c r="J59" i="25"/>
  <c r="V7" i="25"/>
  <c r="J14" i="25"/>
  <c r="N14" i="25" s="1"/>
  <c r="V24" i="25"/>
  <c r="J39" i="25"/>
  <c r="N39" i="25" s="1"/>
  <c r="V40" i="25"/>
  <c r="V49" i="25"/>
  <c r="V53" i="25"/>
  <c r="V59" i="25"/>
  <c r="V41" i="25"/>
  <c r="N29" i="25"/>
  <c r="V32" i="25"/>
  <c r="N36" i="25"/>
  <c r="N42" i="25"/>
  <c r="W42" i="25" s="1"/>
  <c r="X42" i="25" s="1"/>
  <c r="N6" i="25"/>
  <c r="N3" i="25"/>
  <c r="N24" i="25"/>
  <c r="W24" i="25" s="1"/>
  <c r="X24" i="25" s="1"/>
  <c r="Y24" i="25" s="1"/>
  <c r="V20" i="25"/>
  <c r="N32" i="25"/>
  <c r="V51" i="25"/>
  <c r="V28" i="25"/>
  <c r="V10" i="25"/>
  <c r="V17" i="25"/>
  <c r="V16" i="25"/>
  <c r="V15" i="25"/>
  <c r="V25" i="25"/>
  <c r="V34" i="25"/>
  <c r="V56" i="25"/>
  <c r="W29" i="25"/>
  <c r="X29" i="25" s="1"/>
  <c r="N15" i="25"/>
  <c r="N43" i="25"/>
  <c r="N4" i="25"/>
  <c r="J31" i="25"/>
  <c r="N31" i="25" s="1"/>
  <c r="N7" i="25"/>
  <c r="J8" i="25"/>
  <c r="N8" i="25" s="1"/>
  <c r="J34" i="25"/>
  <c r="N34" i="25" s="1"/>
  <c r="J46" i="25"/>
  <c r="J50" i="25"/>
  <c r="N50" i="25" s="1"/>
  <c r="J43" i="25"/>
  <c r="J33" i="25"/>
  <c r="N33" i="25" s="1"/>
  <c r="J44" i="25"/>
  <c r="N44" i="25" s="1"/>
  <c r="J19" i="25"/>
  <c r="N19" i="25" s="1"/>
  <c r="J47" i="25"/>
  <c r="N47" i="25" s="1"/>
  <c r="N48" i="25"/>
  <c r="V48" i="25"/>
  <c r="V54" i="25"/>
  <c r="N54" i="25"/>
  <c r="V18" i="25"/>
  <c r="N18" i="25"/>
  <c r="J53" i="25"/>
  <c r="N53" i="25" s="1"/>
  <c r="N59" i="25"/>
  <c r="V21" i="25"/>
  <c r="J38" i="25"/>
  <c r="N38" i="25" s="1"/>
  <c r="V58" i="25"/>
  <c r="N62" i="25"/>
  <c r="V62" i="25"/>
  <c r="N2" i="25"/>
  <c r="V57" i="25"/>
  <c r="N57" i="25"/>
  <c r="N61" i="25"/>
  <c r="N12" i="25"/>
  <c r="N23" i="25"/>
  <c r="V23" i="25"/>
  <c r="J40" i="25"/>
  <c r="N52" i="25"/>
  <c r="J25" i="25"/>
  <c r="N25" i="25" s="1"/>
  <c r="N40" i="25"/>
  <c r="J41" i="25"/>
  <c r="N41" i="25" s="1"/>
  <c r="V50" i="25"/>
  <c r="V9" i="25"/>
  <c r="V6" i="25"/>
  <c r="J13" i="25"/>
  <c r="N13" i="25" s="1"/>
  <c r="N22" i="25"/>
  <c r="J56" i="25"/>
  <c r="N56" i="25" s="1"/>
  <c r="J22" i="25"/>
  <c r="N55" i="25"/>
  <c r="N9" i="25"/>
  <c r="J10" i="25"/>
  <c r="N10" i="25" s="1"/>
  <c r="J49" i="25"/>
  <c r="N49" i="25" s="1"/>
  <c r="J58" i="25"/>
  <c r="N58" i="25" s="1"/>
  <c r="J37" i="25"/>
  <c r="N37" i="25" s="1"/>
  <c r="N46" i="25"/>
  <c r="U87" i="24"/>
  <c r="R87" i="24"/>
  <c r="M87" i="24"/>
  <c r="L87" i="24"/>
  <c r="I87" i="24"/>
  <c r="G87" i="24"/>
  <c r="D87" i="24"/>
  <c r="E87" i="24" s="1"/>
  <c r="B87" i="24"/>
  <c r="U86" i="24"/>
  <c r="R86" i="24"/>
  <c r="M86" i="24"/>
  <c r="L86" i="24"/>
  <c r="I86" i="24"/>
  <c r="G86" i="24"/>
  <c r="D86" i="24"/>
  <c r="E86" i="24" s="1"/>
  <c r="B86" i="24"/>
  <c r="U85" i="24"/>
  <c r="R85" i="24"/>
  <c r="M85" i="24"/>
  <c r="L85" i="24"/>
  <c r="V85" i="24" s="1"/>
  <c r="I85" i="24"/>
  <c r="G85" i="24"/>
  <c r="D85" i="24"/>
  <c r="E85" i="24" s="1"/>
  <c r="B85" i="24"/>
  <c r="U84" i="24"/>
  <c r="R84" i="24"/>
  <c r="M84" i="24"/>
  <c r="L84" i="24"/>
  <c r="I84" i="24"/>
  <c r="G84" i="24"/>
  <c r="D84" i="24"/>
  <c r="E84" i="24" s="1"/>
  <c r="B84" i="24"/>
  <c r="U83" i="24"/>
  <c r="R83" i="24"/>
  <c r="M83" i="24"/>
  <c r="L83" i="24"/>
  <c r="I83" i="24"/>
  <c r="G83" i="24"/>
  <c r="D83" i="24"/>
  <c r="E83" i="24" s="1"/>
  <c r="J83" i="24" s="1"/>
  <c r="B83" i="24"/>
  <c r="U82" i="24"/>
  <c r="R82" i="24"/>
  <c r="M82" i="24"/>
  <c r="L82" i="24"/>
  <c r="I82" i="24"/>
  <c r="G82" i="24"/>
  <c r="D82" i="24"/>
  <c r="E82" i="24" s="1"/>
  <c r="B82" i="24"/>
  <c r="U81" i="24"/>
  <c r="R81" i="24"/>
  <c r="M81" i="24"/>
  <c r="L81" i="24"/>
  <c r="V81" i="24" s="1"/>
  <c r="I81" i="24"/>
  <c r="J81" i="24" s="1"/>
  <c r="G81" i="24"/>
  <c r="E81" i="24"/>
  <c r="D81" i="24"/>
  <c r="B81" i="24"/>
  <c r="U80" i="24"/>
  <c r="R80" i="24"/>
  <c r="M80" i="24"/>
  <c r="L80" i="24"/>
  <c r="I80" i="24"/>
  <c r="G80" i="24"/>
  <c r="D80" i="24"/>
  <c r="E80" i="24" s="1"/>
  <c r="B80" i="24"/>
  <c r="U79" i="24"/>
  <c r="R79" i="24"/>
  <c r="M79" i="24"/>
  <c r="L79" i="24"/>
  <c r="V79" i="24" s="1"/>
  <c r="I79" i="24"/>
  <c r="G79" i="24"/>
  <c r="D79" i="24"/>
  <c r="E79" i="24" s="1"/>
  <c r="B79" i="24"/>
  <c r="U78" i="24"/>
  <c r="R78" i="24"/>
  <c r="M78" i="24"/>
  <c r="L78" i="24"/>
  <c r="I78" i="24"/>
  <c r="G78" i="24"/>
  <c r="D78" i="24"/>
  <c r="E78" i="24" s="1"/>
  <c r="J78" i="24" s="1"/>
  <c r="N78" i="24" s="1"/>
  <c r="B78" i="24"/>
  <c r="U77" i="24"/>
  <c r="V77" i="24" s="1"/>
  <c r="R77" i="24"/>
  <c r="M77" i="24"/>
  <c r="L77" i="24"/>
  <c r="I77" i="24"/>
  <c r="G77" i="24"/>
  <c r="D77" i="24"/>
  <c r="E77" i="24" s="1"/>
  <c r="B77" i="24"/>
  <c r="U76" i="24"/>
  <c r="R76" i="24"/>
  <c r="M76" i="24"/>
  <c r="L76" i="24"/>
  <c r="I76" i="24"/>
  <c r="G76" i="24"/>
  <c r="D76" i="24"/>
  <c r="E76" i="24" s="1"/>
  <c r="B76" i="24"/>
  <c r="U75" i="24"/>
  <c r="R75" i="24"/>
  <c r="M75" i="24"/>
  <c r="L75" i="24"/>
  <c r="I75" i="24"/>
  <c r="G75" i="24"/>
  <c r="D75" i="24"/>
  <c r="E75" i="24" s="1"/>
  <c r="B75" i="24"/>
  <c r="U74" i="24"/>
  <c r="R74" i="24"/>
  <c r="M74" i="24"/>
  <c r="L74" i="24"/>
  <c r="I74" i="24"/>
  <c r="G74" i="24"/>
  <c r="D74" i="24"/>
  <c r="E74" i="24" s="1"/>
  <c r="B74" i="24"/>
  <c r="U73" i="24"/>
  <c r="R73" i="24"/>
  <c r="M73" i="24"/>
  <c r="L73" i="24"/>
  <c r="I73" i="24"/>
  <c r="G73" i="24"/>
  <c r="D73" i="24"/>
  <c r="E73" i="24" s="1"/>
  <c r="B73" i="24"/>
  <c r="U72" i="24"/>
  <c r="R72" i="24"/>
  <c r="M72" i="24"/>
  <c r="L72" i="24"/>
  <c r="V72" i="24" s="1"/>
  <c r="I72" i="24"/>
  <c r="G72" i="24"/>
  <c r="D72" i="24"/>
  <c r="E72" i="24" s="1"/>
  <c r="B72" i="24"/>
  <c r="U71" i="24"/>
  <c r="R71" i="24"/>
  <c r="M71" i="24"/>
  <c r="L71" i="24"/>
  <c r="I71" i="24"/>
  <c r="G71" i="24"/>
  <c r="D71" i="24"/>
  <c r="E71" i="24" s="1"/>
  <c r="J71" i="24" s="1"/>
  <c r="B71" i="24"/>
  <c r="U70" i="24"/>
  <c r="R70" i="24"/>
  <c r="M70" i="24"/>
  <c r="L70" i="24"/>
  <c r="I70" i="24"/>
  <c r="G70" i="24"/>
  <c r="D70" i="24"/>
  <c r="E70" i="24" s="1"/>
  <c r="J70" i="24" s="1"/>
  <c r="B70" i="24"/>
  <c r="U69" i="24"/>
  <c r="R69" i="24"/>
  <c r="M69" i="24"/>
  <c r="L69" i="24"/>
  <c r="I69" i="24"/>
  <c r="G69" i="24"/>
  <c r="D69" i="24"/>
  <c r="E69" i="24" s="1"/>
  <c r="B69" i="24"/>
  <c r="U68" i="24"/>
  <c r="V68" i="24" s="1"/>
  <c r="R68" i="24"/>
  <c r="M68" i="24"/>
  <c r="L68" i="24"/>
  <c r="I68" i="24"/>
  <c r="G68" i="24"/>
  <c r="D68" i="24"/>
  <c r="E68" i="24" s="1"/>
  <c r="B68" i="24"/>
  <c r="U67" i="24"/>
  <c r="R67" i="24"/>
  <c r="M67" i="24"/>
  <c r="L67" i="24"/>
  <c r="I67" i="24"/>
  <c r="G67" i="24"/>
  <c r="D67" i="24"/>
  <c r="E67" i="24" s="1"/>
  <c r="B67" i="24"/>
  <c r="U66" i="24"/>
  <c r="R66" i="24"/>
  <c r="M66" i="24"/>
  <c r="L66" i="24"/>
  <c r="I66" i="24"/>
  <c r="G66" i="24"/>
  <c r="D66" i="24"/>
  <c r="E66" i="24" s="1"/>
  <c r="B66" i="24"/>
  <c r="U65" i="24"/>
  <c r="R65" i="24"/>
  <c r="M65" i="24"/>
  <c r="L65" i="24"/>
  <c r="I65" i="24"/>
  <c r="G65" i="24"/>
  <c r="D65" i="24"/>
  <c r="E65" i="24" s="1"/>
  <c r="B65" i="24"/>
  <c r="U64" i="24"/>
  <c r="R64" i="24"/>
  <c r="M64" i="24"/>
  <c r="L64" i="24"/>
  <c r="I64" i="24"/>
  <c r="G64" i="24"/>
  <c r="D64" i="24"/>
  <c r="E64" i="24" s="1"/>
  <c r="J64" i="24" s="1"/>
  <c r="B64" i="24"/>
  <c r="U63" i="24"/>
  <c r="R63" i="24"/>
  <c r="M63" i="24"/>
  <c r="L63" i="24"/>
  <c r="I63" i="24"/>
  <c r="G63" i="24"/>
  <c r="D63" i="24"/>
  <c r="E63" i="24" s="1"/>
  <c r="B63" i="24"/>
  <c r="U62" i="24"/>
  <c r="R62" i="24"/>
  <c r="M62" i="24"/>
  <c r="L62" i="24"/>
  <c r="I62" i="24"/>
  <c r="G62" i="24"/>
  <c r="D62" i="24"/>
  <c r="E62" i="24" s="1"/>
  <c r="B62" i="24"/>
  <c r="U61" i="24"/>
  <c r="V61" i="24" s="1"/>
  <c r="R61" i="24"/>
  <c r="M61" i="24"/>
  <c r="L61" i="24"/>
  <c r="I61" i="24"/>
  <c r="G61" i="24"/>
  <c r="D61" i="24"/>
  <c r="E61" i="24" s="1"/>
  <c r="J61" i="24" s="1"/>
  <c r="B61" i="24"/>
  <c r="U60" i="24"/>
  <c r="R60" i="24"/>
  <c r="M60" i="24"/>
  <c r="L60" i="24"/>
  <c r="I60" i="24"/>
  <c r="G60" i="24"/>
  <c r="D60" i="24"/>
  <c r="E60" i="24" s="1"/>
  <c r="J60" i="24" s="1"/>
  <c r="B60" i="24"/>
  <c r="U59" i="24"/>
  <c r="R59" i="24"/>
  <c r="M59" i="24"/>
  <c r="L59" i="24"/>
  <c r="I59" i="24"/>
  <c r="G59" i="24"/>
  <c r="D59" i="24"/>
  <c r="E59" i="24" s="1"/>
  <c r="J59" i="24" s="1"/>
  <c r="B59" i="24"/>
  <c r="U58" i="24"/>
  <c r="R58" i="24"/>
  <c r="M58" i="24"/>
  <c r="L58" i="24"/>
  <c r="I58" i="24"/>
  <c r="G58" i="24"/>
  <c r="D58" i="24"/>
  <c r="E58" i="24" s="1"/>
  <c r="B58" i="24"/>
  <c r="U57" i="24"/>
  <c r="R57" i="24"/>
  <c r="M57" i="24"/>
  <c r="L57" i="24"/>
  <c r="I57" i="24"/>
  <c r="G57" i="24"/>
  <c r="D57" i="24"/>
  <c r="E57" i="24" s="1"/>
  <c r="B57" i="24"/>
  <c r="U56" i="24"/>
  <c r="R56" i="24"/>
  <c r="M56" i="24"/>
  <c r="L56" i="24"/>
  <c r="V56" i="24" s="1"/>
  <c r="I56" i="24"/>
  <c r="G56" i="24"/>
  <c r="D56" i="24"/>
  <c r="E56" i="24" s="1"/>
  <c r="B56" i="24"/>
  <c r="U55" i="24"/>
  <c r="R55" i="24"/>
  <c r="M55" i="24"/>
  <c r="L55" i="24"/>
  <c r="V55" i="24" s="1"/>
  <c r="I55" i="24"/>
  <c r="G55" i="24"/>
  <c r="D55" i="24"/>
  <c r="E55" i="24" s="1"/>
  <c r="B55" i="24"/>
  <c r="U54" i="24"/>
  <c r="R54" i="24"/>
  <c r="M54" i="24"/>
  <c r="L54" i="24"/>
  <c r="I54" i="24"/>
  <c r="G54" i="24"/>
  <c r="D54" i="24"/>
  <c r="E54" i="24" s="1"/>
  <c r="J54" i="24" s="1"/>
  <c r="B54" i="24"/>
  <c r="U53" i="24"/>
  <c r="R53" i="24"/>
  <c r="M53" i="24"/>
  <c r="L53" i="24"/>
  <c r="I53" i="24"/>
  <c r="G53" i="24"/>
  <c r="D53" i="24"/>
  <c r="E53" i="24" s="1"/>
  <c r="B53" i="24"/>
  <c r="U52" i="24"/>
  <c r="R52" i="24"/>
  <c r="M52" i="24"/>
  <c r="L52" i="24"/>
  <c r="I52" i="24"/>
  <c r="G52" i="24"/>
  <c r="D52" i="24"/>
  <c r="E52" i="24" s="1"/>
  <c r="B52" i="24"/>
  <c r="U51" i="24"/>
  <c r="R51" i="24"/>
  <c r="M51" i="24"/>
  <c r="L51" i="24"/>
  <c r="I51" i="24"/>
  <c r="J51" i="24" s="1"/>
  <c r="N51" i="24" s="1"/>
  <c r="G51" i="24"/>
  <c r="E51" i="24"/>
  <c r="D51" i="24"/>
  <c r="B51" i="24"/>
  <c r="U50" i="24"/>
  <c r="R50" i="24"/>
  <c r="M50" i="24"/>
  <c r="L50" i="24"/>
  <c r="V50" i="24" s="1"/>
  <c r="I50" i="24"/>
  <c r="G50" i="24"/>
  <c r="D50" i="24"/>
  <c r="E50" i="24" s="1"/>
  <c r="B50" i="24"/>
  <c r="U49" i="24"/>
  <c r="R49" i="24"/>
  <c r="M49" i="24"/>
  <c r="L49" i="24"/>
  <c r="I49" i="24"/>
  <c r="G49" i="24"/>
  <c r="E49" i="24"/>
  <c r="D49" i="24"/>
  <c r="B49" i="24"/>
  <c r="U48" i="24"/>
  <c r="R48" i="24"/>
  <c r="M48" i="24"/>
  <c r="L48" i="24"/>
  <c r="V48" i="24" s="1"/>
  <c r="I48" i="24"/>
  <c r="G48" i="24"/>
  <c r="D48" i="24"/>
  <c r="E48" i="24" s="1"/>
  <c r="J48" i="24" s="1"/>
  <c r="N48" i="24" s="1"/>
  <c r="B48" i="24"/>
  <c r="U47" i="24"/>
  <c r="R47" i="24"/>
  <c r="M47" i="24"/>
  <c r="L47" i="24"/>
  <c r="I47" i="24"/>
  <c r="G47" i="24"/>
  <c r="D47" i="24"/>
  <c r="E47" i="24" s="1"/>
  <c r="J47" i="24" s="1"/>
  <c r="N47" i="24" s="1"/>
  <c r="B47" i="24"/>
  <c r="U46" i="24"/>
  <c r="V46" i="24" s="1"/>
  <c r="R46" i="24"/>
  <c r="M46" i="24"/>
  <c r="L46" i="24"/>
  <c r="I46" i="24"/>
  <c r="G46" i="24"/>
  <c r="D46" i="24"/>
  <c r="E46" i="24" s="1"/>
  <c r="J46" i="24" s="1"/>
  <c r="B46" i="24"/>
  <c r="U45" i="24"/>
  <c r="R45" i="24"/>
  <c r="M45" i="24"/>
  <c r="L45" i="24"/>
  <c r="I45" i="24"/>
  <c r="G45" i="24"/>
  <c r="D45" i="24"/>
  <c r="E45" i="24" s="1"/>
  <c r="B45" i="24"/>
  <c r="U44" i="24"/>
  <c r="R44" i="24"/>
  <c r="M44" i="24"/>
  <c r="L44" i="24"/>
  <c r="I44" i="24"/>
  <c r="G44" i="24"/>
  <c r="D44" i="24"/>
  <c r="E44" i="24" s="1"/>
  <c r="B44" i="24"/>
  <c r="U43" i="24"/>
  <c r="R43" i="24"/>
  <c r="M43" i="24"/>
  <c r="L43" i="24"/>
  <c r="V43" i="24" s="1"/>
  <c r="I43" i="24"/>
  <c r="G43" i="24"/>
  <c r="D43" i="24"/>
  <c r="E43" i="24" s="1"/>
  <c r="B43" i="24"/>
  <c r="U42" i="24"/>
  <c r="R42" i="24"/>
  <c r="M42" i="24"/>
  <c r="L42" i="24"/>
  <c r="I42" i="24"/>
  <c r="G42" i="24"/>
  <c r="D42" i="24"/>
  <c r="E42" i="24" s="1"/>
  <c r="B42" i="24"/>
  <c r="U41" i="24"/>
  <c r="R41" i="24"/>
  <c r="M41" i="24"/>
  <c r="L41" i="24"/>
  <c r="I41" i="24"/>
  <c r="G41" i="24"/>
  <c r="D41" i="24"/>
  <c r="E41" i="24" s="1"/>
  <c r="B41" i="24"/>
  <c r="U40" i="24"/>
  <c r="R40" i="24"/>
  <c r="M40" i="24"/>
  <c r="L40" i="24"/>
  <c r="I40" i="24"/>
  <c r="G40" i="24"/>
  <c r="D40" i="24"/>
  <c r="E40" i="24" s="1"/>
  <c r="B40" i="24"/>
  <c r="U39" i="24"/>
  <c r="R39" i="24"/>
  <c r="M39" i="24"/>
  <c r="L39" i="24"/>
  <c r="I39" i="24"/>
  <c r="G39" i="24"/>
  <c r="D39" i="24"/>
  <c r="E39" i="24" s="1"/>
  <c r="B39" i="24"/>
  <c r="U38" i="24"/>
  <c r="R38" i="24"/>
  <c r="M38" i="24"/>
  <c r="L38" i="24"/>
  <c r="I38" i="24"/>
  <c r="J38" i="24" s="1"/>
  <c r="G38" i="24"/>
  <c r="D38" i="24"/>
  <c r="E38" i="24" s="1"/>
  <c r="B38" i="24"/>
  <c r="U37" i="24"/>
  <c r="R37" i="24"/>
  <c r="M37" i="24"/>
  <c r="L37" i="24"/>
  <c r="I37" i="24"/>
  <c r="G37" i="24"/>
  <c r="D37" i="24"/>
  <c r="E37" i="24" s="1"/>
  <c r="B37" i="24"/>
  <c r="U36" i="24"/>
  <c r="R36" i="24"/>
  <c r="M36" i="24"/>
  <c r="L36" i="24"/>
  <c r="I36" i="24"/>
  <c r="G36" i="24"/>
  <c r="D36" i="24"/>
  <c r="E36" i="24" s="1"/>
  <c r="J36" i="24" s="1"/>
  <c r="N36" i="24" s="1"/>
  <c r="B36" i="24"/>
  <c r="U35" i="24"/>
  <c r="R35" i="24"/>
  <c r="M35" i="24"/>
  <c r="L35" i="24"/>
  <c r="I35" i="24"/>
  <c r="G35" i="24"/>
  <c r="D35" i="24"/>
  <c r="E35" i="24" s="1"/>
  <c r="B35" i="24"/>
  <c r="U34" i="24"/>
  <c r="R34" i="24"/>
  <c r="M34" i="24"/>
  <c r="L34" i="24"/>
  <c r="I34" i="24"/>
  <c r="G34" i="24"/>
  <c r="D34" i="24"/>
  <c r="E34" i="24" s="1"/>
  <c r="B34" i="24"/>
  <c r="U33" i="24"/>
  <c r="R33" i="24"/>
  <c r="M33" i="24"/>
  <c r="L33" i="24"/>
  <c r="I33" i="24"/>
  <c r="G33" i="24"/>
  <c r="E33" i="24"/>
  <c r="D33" i="24"/>
  <c r="B33" i="24"/>
  <c r="U32" i="24"/>
  <c r="R32" i="24"/>
  <c r="M32" i="24"/>
  <c r="L32" i="24"/>
  <c r="I32" i="24"/>
  <c r="G32" i="24"/>
  <c r="D32" i="24"/>
  <c r="E32" i="24" s="1"/>
  <c r="B32" i="24"/>
  <c r="U31" i="24"/>
  <c r="R31" i="24"/>
  <c r="M31" i="24"/>
  <c r="L31" i="24"/>
  <c r="V31" i="24" s="1"/>
  <c r="I31" i="24"/>
  <c r="G31" i="24"/>
  <c r="D31" i="24"/>
  <c r="E31" i="24" s="1"/>
  <c r="B31" i="24"/>
  <c r="U30" i="24"/>
  <c r="V30" i="24" s="1"/>
  <c r="R30" i="24"/>
  <c r="M30" i="24"/>
  <c r="L30" i="24"/>
  <c r="I30" i="24"/>
  <c r="G30" i="24"/>
  <c r="D30" i="24"/>
  <c r="E30" i="24" s="1"/>
  <c r="J30" i="24" s="1"/>
  <c r="B30" i="24"/>
  <c r="U29" i="24"/>
  <c r="R29" i="24"/>
  <c r="M29" i="24"/>
  <c r="L29" i="24"/>
  <c r="I29" i="24"/>
  <c r="G29" i="24"/>
  <c r="D29" i="24"/>
  <c r="E29" i="24" s="1"/>
  <c r="B29" i="24"/>
  <c r="U28" i="24"/>
  <c r="R28" i="24"/>
  <c r="M28" i="24"/>
  <c r="L28" i="24"/>
  <c r="I28" i="24"/>
  <c r="J28" i="24" s="1"/>
  <c r="G28" i="24"/>
  <c r="D28" i="24"/>
  <c r="E28" i="24" s="1"/>
  <c r="B28" i="24"/>
  <c r="U27" i="24"/>
  <c r="R27" i="24"/>
  <c r="M27" i="24"/>
  <c r="L27" i="24"/>
  <c r="I27" i="24"/>
  <c r="G27" i="24"/>
  <c r="D27" i="24"/>
  <c r="E27" i="24" s="1"/>
  <c r="B27" i="24"/>
  <c r="U26" i="24"/>
  <c r="R26" i="24"/>
  <c r="M26" i="24"/>
  <c r="L26" i="24"/>
  <c r="V26" i="24" s="1"/>
  <c r="I26" i="24"/>
  <c r="G26" i="24"/>
  <c r="D26" i="24"/>
  <c r="E26" i="24" s="1"/>
  <c r="B26" i="24"/>
  <c r="U25" i="24"/>
  <c r="R25" i="24"/>
  <c r="M25" i="24"/>
  <c r="L25" i="24"/>
  <c r="I25" i="24"/>
  <c r="G25" i="24"/>
  <c r="E25" i="24"/>
  <c r="D25" i="24"/>
  <c r="B25" i="24"/>
  <c r="U24" i="24"/>
  <c r="R24" i="24"/>
  <c r="M24" i="24"/>
  <c r="L24" i="24"/>
  <c r="I24" i="24"/>
  <c r="G24" i="24"/>
  <c r="D24" i="24"/>
  <c r="E24" i="24" s="1"/>
  <c r="B24" i="24"/>
  <c r="U23" i="24"/>
  <c r="R23" i="24"/>
  <c r="M23" i="24"/>
  <c r="L23" i="24"/>
  <c r="V23" i="24" s="1"/>
  <c r="I23" i="24"/>
  <c r="J23" i="24" s="1"/>
  <c r="G23" i="24"/>
  <c r="D23" i="24"/>
  <c r="E23" i="24" s="1"/>
  <c r="B23" i="24"/>
  <c r="U22" i="24"/>
  <c r="R22" i="24"/>
  <c r="M22" i="24"/>
  <c r="L22" i="24"/>
  <c r="I22" i="24"/>
  <c r="J22" i="24" s="1"/>
  <c r="G22" i="24"/>
  <c r="D22" i="24"/>
  <c r="E22" i="24" s="1"/>
  <c r="B22" i="24"/>
  <c r="U21" i="24"/>
  <c r="R21" i="24"/>
  <c r="M21" i="24"/>
  <c r="L21" i="24"/>
  <c r="I21" i="24"/>
  <c r="G21" i="24"/>
  <c r="D21" i="24"/>
  <c r="E21" i="24" s="1"/>
  <c r="B21" i="24"/>
  <c r="U20" i="24"/>
  <c r="R20" i="24"/>
  <c r="M20" i="24"/>
  <c r="L20" i="24"/>
  <c r="I20" i="24"/>
  <c r="G20" i="24"/>
  <c r="D20" i="24"/>
  <c r="E20" i="24" s="1"/>
  <c r="B20" i="24"/>
  <c r="U19" i="24"/>
  <c r="R19" i="24"/>
  <c r="M19" i="24"/>
  <c r="L19" i="24"/>
  <c r="I19" i="24"/>
  <c r="G19" i="24"/>
  <c r="D19" i="24"/>
  <c r="E19" i="24" s="1"/>
  <c r="B19" i="24"/>
  <c r="U18" i="24"/>
  <c r="R18" i="24"/>
  <c r="M18" i="24"/>
  <c r="L18" i="24"/>
  <c r="I18" i="24"/>
  <c r="G18" i="24"/>
  <c r="D18" i="24"/>
  <c r="E18" i="24" s="1"/>
  <c r="J18" i="24" s="1"/>
  <c r="N18" i="24" s="1"/>
  <c r="B18" i="24"/>
  <c r="U17" i="24"/>
  <c r="V17" i="24" s="1"/>
  <c r="R17" i="24"/>
  <c r="M17" i="24"/>
  <c r="L17" i="24"/>
  <c r="I17" i="24"/>
  <c r="G17" i="24"/>
  <c r="D17" i="24"/>
  <c r="E17" i="24" s="1"/>
  <c r="B17" i="24"/>
  <c r="U16" i="24"/>
  <c r="R16" i="24"/>
  <c r="M16" i="24"/>
  <c r="L16" i="24"/>
  <c r="I16" i="24"/>
  <c r="J16" i="24" s="1"/>
  <c r="G16" i="24"/>
  <c r="D16" i="24"/>
  <c r="E16" i="24" s="1"/>
  <c r="B16" i="24"/>
  <c r="U15" i="24"/>
  <c r="R15" i="24"/>
  <c r="M15" i="24"/>
  <c r="L15" i="24"/>
  <c r="I15" i="24"/>
  <c r="G15" i="24"/>
  <c r="E15" i="24"/>
  <c r="D15" i="24"/>
  <c r="B15" i="24"/>
  <c r="U14" i="24"/>
  <c r="R14" i="24"/>
  <c r="M14" i="24"/>
  <c r="L14" i="24"/>
  <c r="V14" i="24" s="1"/>
  <c r="I14" i="24"/>
  <c r="G14" i="24"/>
  <c r="E14" i="24"/>
  <c r="D14" i="24"/>
  <c r="B14" i="24"/>
  <c r="U13" i="24"/>
  <c r="R13" i="24"/>
  <c r="M13" i="24"/>
  <c r="L13" i="24"/>
  <c r="I13" i="24"/>
  <c r="G13" i="24"/>
  <c r="D13" i="24"/>
  <c r="E13" i="24" s="1"/>
  <c r="B13" i="24"/>
  <c r="U12" i="24"/>
  <c r="R12" i="24"/>
  <c r="M12" i="24"/>
  <c r="L12" i="24"/>
  <c r="I12" i="24"/>
  <c r="G12" i="24"/>
  <c r="D12" i="24"/>
  <c r="E12" i="24" s="1"/>
  <c r="J12" i="24" s="1"/>
  <c r="B12" i="24"/>
  <c r="U11" i="24"/>
  <c r="R11" i="24"/>
  <c r="M11" i="24"/>
  <c r="L11" i="24"/>
  <c r="I11" i="24"/>
  <c r="G11" i="24"/>
  <c r="D11" i="24"/>
  <c r="E11" i="24" s="1"/>
  <c r="J11" i="24" s="1"/>
  <c r="B11" i="24"/>
  <c r="U10" i="24"/>
  <c r="R10" i="24"/>
  <c r="M10" i="24"/>
  <c r="L10" i="24"/>
  <c r="I10" i="24"/>
  <c r="G10" i="24"/>
  <c r="D10" i="24"/>
  <c r="E10" i="24" s="1"/>
  <c r="J10" i="24" s="1"/>
  <c r="B10" i="24"/>
  <c r="U9" i="24"/>
  <c r="R9" i="24"/>
  <c r="M9" i="24"/>
  <c r="L9" i="24"/>
  <c r="I9" i="24"/>
  <c r="G9" i="24"/>
  <c r="D9" i="24"/>
  <c r="E9" i="24" s="1"/>
  <c r="B9" i="24"/>
  <c r="U8" i="24"/>
  <c r="R8" i="24"/>
  <c r="M8" i="24"/>
  <c r="L8" i="24"/>
  <c r="I8" i="24"/>
  <c r="G8" i="24"/>
  <c r="D8" i="24"/>
  <c r="E8" i="24" s="1"/>
  <c r="B8" i="24"/>
  <c r="U7" i="24"/>
  <c r="R7" i="24"/>
  <c r="M7" i="24"/>
  <c r="L7" i="24"/>
  <c r="I7" i="24"/>
  <c r="G7" i="24"/>
  <c r="D7" i="24"/>
  <c r="E7" i="24" s="1"/>
  <c r="B7" i="24"/>
  <c r="U6" i="24"/>
  <c r="R6" i="24"/>
  <c r="M6" i="24"/>
  <c r="L6" i="24"/>
  <c r="V6" i="24" s="1"/>
  <c r="I6" i="24"/>
  <c r="G6" i="24"/>
  <c r="D6" i="24"/>
  <c r="E6" i="24" s="1"/>
  <c r="J6" i="24" s="1"/>
  <c r="B6" i="24"/>
  <c r="U5" i="24"/>
  <c r="R5" i="24"/>
  <c r="M5" i="24"/>
  <c r="L5" i="24"/>
  <c r="I5" i="24"/>
  <c r="G5" i="24"/>
  <c r="D5" i="24"/>
  <c r="E5" i="24" s="1"/>
  <c r="B5" i="24"/>
  <c r="U4" i="24"/>
  <c r="R4" i="24"/>
  <c r="M4" i="24"/>
  <c r="L4" i="24"/>
  <c r="I4" i="24"/>
  <c r="G4" i="24"/>
  <c r="D4" i="24"/>
  <c r="E4" i="24" s="1"/>
  <c r="B4" i="24"/>
  <c r="U3" i="24"/>
  <c r="R3" i="24"/>
  <c r="M3" i="24"/>
  <c r="L3" i="24"/>
  <c r="I3" i="24"/>
  <c r="G3" i="24"/>
  <c r="D3" i="24"/>
  <c r="E3" i="24" s="1"/>
  <c r="B3" i="24"/>
  <c r="U2" i="24"/>
  <c r="R2" i="24"/>
  <c r="M2" i="24"/>
  <c r="L2" i="24"/>
  <c r="V2" i="24" s="1"/>
  <c r="I2" i="24"/>
  <c r="J2" i="24" s="1"/>
  <c r="G2" i="24"/>
  <c r="E2" i="24"/>
  <c r="D2" i="24"/>
  <c r="B2" i="24"/>
  <c r="X3" i="23"/>
  <c r="Y3" i="23" s="1"/>
  <c r="X4" i="23"/>
  <c r="Y4" i="23" s="1"/>
  <c r="X14" i="23"/>
  <c r="Y14" i="23" s="1"/>
  <c r="X15" i="23"/>
  <c r="Y15" i="23" s="1"/>
  <c r="X16" i="23"/>
  <c r="Y16" i="23" s="1"/>
  <c r="X19" i="23"/>
  <c r="Y19" i="23" s="1"/>
  <c r="X20" i="23"/>
  <c r="Y20" i="23" s="1"/>
  <c r="X26" i="23"/>
  <c r="Y26" i="23" s="1"/>
  <c r="X27" i="23"/>
  <c r="Y27" i="23" s="1"/>
  <c r="X28" i="23"/>
  <c r="Y28" i="23" s="1"/>
  <c r="X62" i="23"/>
  <c r="Y62" i="23" s="1"/>
  <c r="X70" i="23"/>
  <c r="Y70" i="23" s="1"/>
  <c r="X71" i="23"/>
  <c r="Y71" i="23" s="1"/>
  <c r="X72" i="23"/>
  <c r="Y72" i="23" s="1"/>
  <c r="X74" i="23"/>
  <c r="Y74" i="23" s="1"/>
  <c r="X75" i="23"/>
  <c r="Y75" i="23" s="1"/>
  <c r="X76" i="23"/>
  <c r="Y76" i="23" s="1"/>
  <c r="X86" i="23"/>
  <c r="Y86" i="23" s="1"/>
  <c r="X87" i="23"/>
  <c r="Y87" i="23" s="1"/>
  <c r="X88" i="23"/>
  <c r="Y88" i="23" s="1"/>
  <c r="X91" i="23"/>
  <c r="Y91" i="23" s="1"/>
  <c r="X92" i="23"/>
  <c r="Y92" i="23" s="1"/>
  <c r="W3" i="23"/>
  <c r="W4" i="23"/>
  <c r="W5" i="23"/>
  <c r="X5" i="23" s="1"/>
  <c r="Y5" i="23" s="1"/>
  <c r="W6" i="23"/>
  <c r="X6" i="23" s="1"/>
  <c r="Y6" i="23" s="1"/>
  <c r="W7" i="23"/>
  <c r="X7" i="23" s="1"/>
  <c r="Y7" i="23" s="1"/>
  <c r="W8" i="23"/>
  <c r="X8" i="23" s="1"/>
  <c r="Y8" i="23" s="1"/>
  <c r="W9" i="23"/>
  <c r="X9" i="23" s="1"/>
  <c r="Y9" i="23" s="1"/>
  <c r="W10" i="23"/>
  <c r="X10" i="23" s="1"/>
  <c r="Y10" i="23" s="1"/>
  <c r="W11" i="23"/>
  <c r="X11" i="23" s="1"/>
  <c r="Y11" i="23" s="1"/>
  <c r="W12" i="23"/>
  <c r="X12" i="23" s="1"/>
  <c r="Y12" i="23" s="1"/>
  <c r="W13" i="23"/>
  <c r="X13" i="23" s="1"/>
  <c r="Y13" i="23" s="1"/>
  <c r="W14" i="23"/>
  <c r="W15" i="23"/>
  <c r="W16" i="23"/>
  <c r="W17" i="23"/>
  <c r="X17" i="23" s="1"/>
  <c r="Y17" i="23" s="1"/>
  <c r="W18" i="23"/>
  <c r="X18" i="23" s="1"/>
  <c r="Y18" i="23" s="1"/>
  <c r="W19" i="23"/>
  <c r="W20" i="23"/>
  <c r="W21" i="23"/>
  <c r="X21" i="23" s="1"/>
  <c r="Y21" i="23" s="1"/>
  <c r="W22" i="23"/>
  <c r="X22" i="23" s="1"/>
  <c r="Y22" i="23" s="1"/>
  <c r="W23" i="23"/>
  <c r="X23" i="23" s="1"/>
  <c r="Y23" i="23" s="1"/>
  <c r="W24" i="23"/>
  <c r="X24" i="23" s="1"/>
  <c r="Y24" i="23" s="1"/>
  <c r="W25" i="23"/>
  <c r="X25" i="23" s="1"/>
  <c r="Y25" i="23" s="1"/>
  <c r="W26" i="23"/>
  <c r="W27" i="23"/>
  <c r="W28" i="23"/>
  <c r="W29" i="23"/>
  <c r="X29" i="23" s="1"/>
  <c r="Y29" i="23" s="1"/>
  <c r="W30" i="23"/>
  <c r="X30" i="23" s="1"/>
  <c r="Y30" i="23" s="1"/>
  <c r="W31" i="23"/>
  <c r="X31" i="23" s="1"/>
  <c r="Y31" i="23" s="1"/>
  <c r="W32" i="23"/>
  <c r="X32" i="23" s="1"/>
  <c r="Y32" i="23" s="1"/>
  <c r="W33" i="23"/>
  <c r="X33" i="23" s="1"/>
  <c r="Y33" i="23" s="1"/>
  <c r="W34" i="23"/>
  <c r="X34" i="23" s="1"/>
  <c r="Y34" i="23" s="1"/>
  <c r="W35" i="23"/>
  <c r="X35" i="23" s="1"/>
  <c r="Y35" i="23" s="1"/>
  <c r="W36" i="23"/>
  <c r="X36" i="23" s="1"/>
  <c r="Y36" i="23" s="1"/>
  <c r="W37" i="23"/>
  <c r="X37" i="23" s="1"/>
  <c r="Y37" i="23" s="1"/>
  <c r="W38" i="23"/>
  <c r="X38" i="23" s="1"/>
  <c r="Y38" i="23" s="1"/>
  <c r="W39" i="23"/>
  <c r="X39" i="23" s="1"/>
  <c r="Y39" i="23" s="1"/>
  <c r="W40" i="23"/>
  <c r="X40" i="23" s="1"/>
  <c r="Y40" i="23" s="1"/>
  <c r="W41" i="23"/>
  <c r="X41" i="23" s="1"/>
  <c r="Y41" i="23" s="1"/>
  <c r="W42" i="23"/>
  <c r="X42" i="23" s="1"/>
  <c r="Y42" i="23" s="1"/>
  <c r="W43" i="23"/>
  <c r="X43" i="23" s="1"/>
  <c r="Y43" i="23" s="1"/>
  <c r="W44" i="23"/>
  <c r="X44" i="23" s="1"/>
  <c r="Y44" i="23" s="1"/>
  <c r="W45" i="23"/>
  <c r="X45" i="23" s="1"/>
  <c r="Y45" i="23" s="1"/>
  <c r="W46" i="23"/>
  <c r="X46" i="23" s="1"/>
  <c r="Y46" i="23" s="1"/>
  <c r="W47" i="23"/>
  <c r="X47" i="23" s="1"/>
  <c r="Y47" i="23" s="1"/>
  <c r="W48" i="23"/>
  <c r="X48" i="23" s="1"/>
  <c r="Y48" i="23" s="1"/>
  <c r="W49" i="23"/>
  <c r="X49" i="23" s="1"/>
  <c r="Y49" i="23" s="1"/>
  <c r="W50" i="23"/>
  <c r="X50" i="23" s="1"/>
  <c r="Y50" i="23" s="1"/>
  <c r="W51" i="23"/>
  <c r="X51" i="23" s="1"/>
  <c r="Y51" i="23" s="1"/>
  <c r="W52" i="23"/>
  <c r="X52" i="23" s="1"/>
  <c r="Y52" i="23" s="1"/>
  <c r="W53" i="23"/>
  <c r="X53" i="23" s="1"/>
  <c r="Y53" i="23" s="1"/>
  <c r="W54" i="23"/>
  <c r="X54" i="23" s="1"/>
  <c r="Y54" i="23" s="1"/>
  <c r="W55" i="23"/>
  <c r="X55" i="23" s="1"/>
  <c r="Y55" i="23" s="1"/>
  <c r="W56" i="23"/>
  <c r="X56" i="23" s="1"/>
  <c r="Y56" i="23" s="1"/>
  <c r="W57" i="23"/>
  <c r="X57" i="23" s="1"/>
  <c r="Y57" i="23" s="1"/>
  <c r="W58" i="23"/>
  <c r="X58" i="23" s="1"/>
  <c r="Y58" i="23" s="1"/>
  <c r="W59" i="23"/>
  <c r="X59" i="23" s="1"/>
  <c r="Y59" i="23" s="1"/>
  <c r="W60" i="23"/>
  <c r="X60" i="23" s="1"/>
  <c r="Y60" i="23" s="1"/>
  <c r="W61" i="23"/>
  <c r="X61" i="23" s="1"/>
  <c r="Y61" i="23" s="1"/>
  <c r="W62" i="23"/>
  <c r="W63" i="23"/>
  <c r="X63" i="23" s="1"/>
  <c r="Y63" i="23" s="1"/>
  <c r="W64" i="23"/>
  <c r="X64" i="23" s="1"/>
  <c r="Y64" i="23" s="1"/>
  <c r="W65" i="23"/>
  <c r="X65" i="23" s="1"/>
  <c r="Y65" i="23" s="1"/>
  <c r="W66" i="23"/>
  <c r="X66" i="23" s="1"/>
  <c r="Y66" i="23" s="1"/>
  <c r="W67" i="23"/>
  <c r="X67" i="23" s="1"/>
  <c r="Y67" i="23" s="1"/>
  <c r="W68" i="23"/>
  <c r="X68" i="23" s="1"/>
  <c r="Y68" i="23" s="1"/>
  <c r="W69" i="23"/>
  <c r="X69" i="23" s="1"/>
  <c r="Y69" i="23" s="1"/>
  <c r="W70" i="23"/>
  <c r="W71" i="23"/>
  <c r="W72" i="23"/>
  <c r="W73" i="23"/>
  <c r="X73" i="23" s="1"/>
  <c r="Y73" i="23" s="1"/>
  <c r="W74" i="23"/>
  <c r="W75" i="23"/>
  <c r="W76" i="23"/>
  <c r="W77" i="23"/>
  <c r="X77" i="23" s="1"/>
  <c r="Y77" i="23" s="1"/>
  <c r="W78" i="23"/>
  <c r="X78" i="23" s="1"/>
  <c r="Y78" i="23" s="1"/>
  <c r="W79" i="23"/>
  <c r="X79" i="23" s="1"/>
  <c r="Y79" i="23" s="1"/>
  <c r="W80" i="23"/>
  <c r="X80" i="23" s="1"/>
  <c r="Y80" i="23" s="1"/>
  <c r="W81" i="23"/>
  <c r="X81" i="23" s="1"/>
  <c r="Y81" i="23" s="1"/>
  <c r="W82" i="23"/>
  <c r="X82" i="23" s="1"/>
  <c r="Y82" i="23" s="1"/>
  <c r="W83" i="23"/>
  <c r="X83" i="23" s="1"/>
  <c r="Y83" i="23" s="1"/>
  <c r="W84" i="23"/>
  <c r="X84" i="23" s="1"/>
  <c r="Y84" i="23" s="1"/>
  <c r="W85" i="23"/>
  <c r="X85" i="23" s="1"/>
  <c r="Y85" i="23" s="1"/>
  <c r="W86" i="23"/>
  <c r="W87" i="23"/>
  <c r="W88" i="23"/>
  <c r="W89" i="23"/>
  <c r="X89" i="23" s="1"/>
  <c r="Y89" i="23" s="1"/>
  <c r="W90" i="23"/>
  <c r="X90" i="23" s="1"/>
  <c r="Y90" i="23" s="1"/>
  <c r="W91" i="23"/>
  <c r="W92" i="23"/>
  <c r="W93" i="23"/>
  <c r="X93" i="23" s="1"/>
  <c r="Y93" i="23" s="1"/>
  <c r="W94" i="23"/>
  <c r="X94" i="23" s="1"/>
  <c r="Y94" i="23" s="1"/>
  <c r="W95" i="23"/>
  <c r="X95" i="23" s="1"/>
  <c r="Y95" i="23" s="1"/>
  <c r="W96" i="23"/>
  <c r="X96" i="23" s="1"/>
  <c r="Y96" i="23" s="1"/>
  <c r="W97" i="23"/>
  <c r="X97" i="23" s="1"/>
  <c r="Y97" i="23" s="1"/>
  <c r="W2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S68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86" i="23"/>
  <c r="S87" i="23"/>
  <c r="S88" i="23"/>
  <c r="S89" i="23"/>
  <c r="S90" i="23"/>
  <c r="S91" i="23"/>
  <c r="S92" i="23"/>
  <c r="S93" i="23"/>
  <c r="S94" i="23"/>
  <c r="S95" i="23"/>
  <c r="S96" i="23"/>
  <c r="S97" i="23"/>
  <c r="S2" i="23"/>
  <c r="W39" i="25" l="1"/>
  <c r="W17" i="25"/>
  <c r="X17" i="25" s="1"/>
  <c r="Y17" i="25" s="1"/>
  <c r="W11" i="25"/>
  <c r="X11" i="25" s="1"/>
  <c r="Y11" i="25" s="1"/>
  <c r="W27" i="25"/>
  <c r="X27" i="25" s="1"/>
  <c r="Y27" i="25" s="1"/>
  <c r="Y29" i="25"/>
  <c r="Y32" i="26"/>
  <c r="Y71" i="26" s="1"/>
  <c r="X71" i="26"/>
  <c r="Y29" i="26"/>
  <c r="W6" i="25"/>
  <c r="X6" i="25" s="1"/>
  <c r="Y6" i="25" s="1"/>
  <c r="W60" i="25"/>
  <c r="X60" i="25" s="1"/>
  <c r="Y60" i="25" s="1"/>
  <c r="X36" i="25"/>
  <c r="Y36" i="25" s="1"/>
  <c r="W16" i="25"/>
  <c r="X16" i="25" s="1"/>
  <c r="Y16" i="25" s="1"/>
  <c r="W51" i="25"/>
  <c r="X51" i="25" s="1"/>
  <c r="Y51" i="25" s="1"/>
  <c r="W32" i="25"/>
  <c r="X32" i="25" s="1"/>
  <c r="Y32" i="25" s="1"/>
  <c r="W20" i="25"/>
  <c r="X20" i="25" s="1"/>
  <c r="Y20" i="25" s="1"/>
  <c r="X39" i="25"/>
  <c r="Y39" i="25" s="1"/>
  <c r="W19" i="25"/>
  <c r="X19" i="25" s="1"/>
  <c r="Y19" i="25" s="1"/>
  <c r="W33" i="25"/>
  <c r="X33" i="25"/>
  <c r="Y33" i="25" s="1"/>
  <c r="Y42" i="25"/>
  <c r="W31" i="25"/>
  <c r="X31" i="25" s="1"/>
  <c r="Y31" i="25" s="1"/>
  <c r="W58" i="25"/>
  <c r="X58" i="25" s="1"/>
  <c r="Y58" i="25" s="1"/>
  <c r="W10" i="25"/>
  <c r="X10" i="25" s="1"/>
  <c r="Y10" i="25" s="1"/>
  <c r="W50" i="25"/>
  <c r="X50" i="25" s="1"/>
  <c r="Y50" i="25" s="1"/>
  <c r="W57" i="25"/>
  <c r="X57" i="25" s="1"/>
  <c r="Y57" i="25" s="1"/>
  <c r="W25" i="25"/>
  <c r="X25" i="25" s="1"/>
  <c r="Y25" i="25" s="1"/>
  <c r="W52" i="25"/>
  <c r="X52" i="25" s="1"/>
  <c r="Y52" i="25" s="1"/>
  <c r="W62" i="25"/>
  <c r="X62" i="25" s="1"/>
  <c r="Y62" i="25" s="1"/>
  <c r="W18" i="25"/>
  <c r="X18" i="25" s="1"/>
  <c r="Y18" i="25" s="1"/>
  <c r="W28" i="25"/>
  <c r="X28" i="25" s="1"/>
  <c r="Y28" i="25" s="1"/>
  <c r="W23" i="25"/>
  <c r="X23" i="25" s="1"/>
  <c r="Y23" i="25" s="1"/>
  <c r="W43" i="25"/>
  <c r="X43" i="25" s="1"/>
  <c r="W13" i="25"/>
  <c r="X13" i="25" s="1"/>
  <c r="Y13" i="25" s="1"/>
  <c r="W48" i="25"/>
  <c r="X48" i="25" s="1"/>
  <c r="Y48" i="25" s="1"/>
  <c r="W49" i="25"/>
  <c r="X49" i="25" s="1"/>
  <c r="Y49" i="25" s="1"/>
  <c r="W47" i="25"/>
  <c r="X47" i="25" s="1"/>
  <c r="Y47" i="25" s="1"/>
  <c r="W14" i="25"/>
  <c r="X14" i="25" s="1"/>
  <c r="Y14" i="25" s="1"/>
  <c r="W53" i="25"/>
  <c r="X53" i="25" s="1"/>
  <c r="Y53" i="25" s="1"/>
  <c r="W55" i="25"/>
  <c r="X55" i="25" s="1"/>
  <c r="Y55" i="25" s="1"/>
  <c r="W61" i="25"/>
  <c r="X61" i="25" s="1"/>
  <c r="Y61" i="25" s="1"/>
  <c r="W4" i="25"/>
  <c r="X4" i="25"/>
  <c r="Y4" i="25" s="1"/>
  <c r="W38" i="25"/>
  <c r="X38" i="25" s="1"/>
  <c r="Y38" i="25" s="1"/>
  <c r="W34" i="25"/>
  <c r="X34" i="25" s="1"/>
  <c r="Y34" i="25" s="1"/>
  <c r="W12" i="25"/>
  <c r="X12" i="25" s="1"/>
  <c r="Y12" i="25" s="1"/>
  <c r="W37" i="25"/>
  <c r="X37" i="25" s="1"/>
  <c r="Y37" i="25" s="1"/>
  <c r="W46" i="25"/>
  <c r="X46" i="25" s="1"/>
  <c r="Y46" i="25" s="1"/>
  <c r="W2" i="25"/>
  <c r="X2" i="25" s="1"/>
  <c r="Y2" i="25" s="1"/>
  <c r="W9" i="25"/>
  <c r="X9" i="25" s="1"/>
  <c r="Y9" i="25" s="1"/>
  <c r="W56" i="25"/>
  <c r="X56" i="25" s="1"/>
  <c r="Y56" i="25" s="1"/>
  <c r="W40" i="25"/>
  <c r="X40" i="25" s="1"/>
  <c r="Y40" i="25" s="1"/>
  <c r="W44" i="25"/>
  <c r="X44" i="25" s="1"/>
  <c r="Y44" i="25" s="1"/>
  <c r="W8" i="25"/>
  <c r="X8" i="25" s="1"/>
  <c r="Y8" i="25" s="1"/>
  <c r="W15" i="25"/>
  <c r="X15" i="25" s="1"/>
  <c r="Y15" i="25" s="1"/>
  <c r="W41" i="25"/>
  <c r="X41" i="25" s="1"/>
  <c r="Y41" i="25" s="1"/>
  <c r="W21" i="25"/>
  <c r="X21" i="25" s="1"/>
  <c r="Y21" i="25" s="1"/>
  <c r="W54" i="25"/>
  <c r="X54" i="25" s="1"/>
  <c r="Y54" i="25" s="1"/>
  <c r="W22" i="25"/>
  <c r="X22" i="25" s="1"/>
  <c r="Y22" i="25" s="1"/>
  <c r="W59" i="25"/>
  <c r="X59" i="25" s="1"/>
  <c r="Y59" i="25" s="1"/>
  <c r="W7" i="25"/>
  <c r="X7" i="25" s="1"/>
  <c r="Y7" i="25" s="1"/>
  <c r="V62" i="24"/>
  <c r="V20" i="24"/>
  <c r="V86" i="24"/>
  <c r="V78" i="24"/>
  <c r="V7" i="24"/>
  <c r="V65" i="24"/>
  <c r="J21" i="24"/>
  <c r="J15" i="24"/>
  <c r="J50" i="24"/>
  <c r="J14" i="24"/>
  <c r="N14" i="24" s="1"/>
  <c r="J33" i="24"/>
  <c r="J49" i="24"/>
  <c r="N49" i="24" s="1"/>
  <c r="J56" i="24"/>
  <c r="N56" i="24" s="1"/>
  <c r="W56" i="24" s="1"/>
  <c r="X56" i="24" s="1"/>
  <c r="Y56" i="24" s="1"/>
  <c r="J32" i="24"/>
  <c r="N32" i="24" s="1"/>
  <c r="J63" i="24"/>
  <c r="N63" i="24" s="1"/>
  <c r="N70" i="24"/>
  <c r="W70" i="24" s="1"/>
  <c r="X70" i="24" s="1"/>
  <c r="Y70" i="24" s="1"/>
  <c r="J85" i="24"/>
  <c r="N85" i="24" s="1"/>
  <c r="W85" i="24" s="1"/>
  <c r="X85" i="24" s="1"/>
  <c r="Y85" i="24" s="1"/>
  <c r="J39" i="24"/>
  <c r="N39" i="24" s="1"/>
  <c r="V19" i="24"/>
  <c r="N30" i="24"/>
  <c r="V69" i="24"/>
  <c r="V84" i="24"/>
  <c r="J29" i="24"/>
  <c r="J35" i="24"/>
  <c r="N35" i="24" s="1"/>
  <c r="V38" i="24"/>
  <c r="J45" i="24"/>
  <c r="N45" i="24" s="1"/>
  <c r="J52" i="24"/>
  <c r="J66" i="24"/>
  <c r="N66" i="24" s="1"/>
  <c r="J82" i="24"/>
  <c r="N82" i="24" s="1"/>
  <c r="V87" i="24"/>
  <c r="J57" i="24"/>
  <c r="J13" i="24"/>
  <c r="J40" i="24"/>
  <c r="J69" i="24"/>
  <c r="J4" i="24"/>
  <c r="N4" i="24" s="1"/>
  <c r="V11" i="24"/>
  <c r="V54" i="24"/>
  <c r="J76" i="24"/>
  <c r="N76" i="24" s="1"/>
  <c r="V18" i="24"/>
  <c r="W18" i="24" s="1"/>
  <c r="X18" i="24" s="1"/>
  <c r="Y18" i="24" s="1"/>
  <c r="J58" i="24"/>
  <c r="N58" i="24" s="1"/>
  <c r="V67" i="24"/>
  <c r="J75" i="24"/>
  <c r="N75" i="24" s="1"/>
  <c r="J9" i="24"/>
  <c r="J27" i="24"/>
  <c r="N27" i="24" s="1"/>
  <c r="J34" i="24"/>
  <c r="N34" i="24" s="1"/>
  <c r="V44" i="24"/>
  <c r="V59" i="24"/>
  <c r="V63" i="24"/>
  <c r="V70" i="24"/>
  <c r="J72" i="24"/>
  <c r="N72" i="24" s="1"/>
  <c r="W72" i="24" s="1"/>
  <c r="X72" i="24" s="1"/>
  <c r="Y72" i="24" s="1"/>
  <c r="J26" i="24"/>
  <c r="N26" i="24" s="1"/>
  <c r="V35" i="24"/>
  <c r="J42" i="24"/>
  <c r="N42" i="24" s="1"/>
  <c r="V66" i="24"/>
  <c r="J73" i="24"/>
  <c r="N73" i="24" s="1"/>
  <c r="V74" i="24"/>
  <c r="V34" i="24"/>
  <c r="V22" i="24"/>
  <c r="N61" i="24"/>
  <c r="W61" i="24" s="1"/>
  <c r="X61" i="24" s="1"/>
  <c r="Y61" i="24" s="1"/>
  <c r="V60" i="24"/>
  <c r="N6" i="24"/>
  <c r="N15" i="24"/>
  <c r="V42" i="24"/>
  <c r="N60" i="24"/>
  <c r="V10" i="24"/>
  <c r="N12" i="24"/>
  <c r="V32" i="24"/>
  <c r="V41" i="24"/>
  <c r="V3" i="24"/>
  <c r="N13" i="24"/>
  <c r="V80" i="24"/>
  <c r="V82" i="24"/>
  <c r="V8" i="24"/>
  <c r="V29" i="24"/>
  <c r="V51" i="24"/>
  <c r="W51" i="24" s="1"/>
  <c r="X51" i="24" s="1"/>
  <c r="Y51" i="24" s="1"/>
  <c r="V39" i="24"/>
  <c r="W39" i="24" s="1"/>
  <c r="X39" i="24" s="1"/>
  <c r="Y39" i="24" s="1"/>
  <c r="V58" i="24"/>
  <c r="V15" i="24"/>
  <c r="V27" i="24"/>
  <c r="V37" i="24"/>
  <c r="V49" i="24"/>
  <c r="W49" i="24" s="1"/>
  <c r="X49" i="24" s="1"/>
  <c r="Y49" i="24" s="1"/>
  <c r="V75" i="24"/>
  <c r="W75" i="24" s="1"/>
  <c r="X75" i="24" s="1"/>
  <c r="Y75" i="24" s="1"/>
  <c r="V36" i="24"/>
  <c r="W36" i="24" s="1"/>
  <c r="X36" i="24" s="1"/>
  <c r="Y36" i="24" s="1"/>
  <c r="V13" i="24"/>
  <c r="W13" i="24" s="1"/>
  <c r="X13" i="24" s="1"/>
  <c r="Y13" i="24" s="1"/>
  <c r="V25" i="24"/>
  <c r="V73" i="24"/>
  <c r="V12" i="24"/>
  <c r="W12" i="24" s="1"/>
  <c r="X12" i="24" s="1"/>
  <c r="Y12" i="24" s="1"/>
  <c r="V24" i="24"/>
  <c r="W48" i="24"/>
  <c r="X48" i="24" s="1"/>
  <c r="Y48" i="24" s="1"/>
  <c r="W78" i="24"/>
  <c r="X78" i="24" s="1"/>
  <c r="Y78" i="24" s="1"/>
  <c r="W30" i="24"/>
  <c r="X30" i="24" s="1"/>
  <c r="Y30" i="24" s="1"/>
  <c r="N11" i="24"/>
  <c r="N22" i="24"/>
  <c r="J25" i="24"/>
  <c r="N25" i="24" s="1"/>
  <c r="V33" i="24"/>
  <c r="N33" i="24"/>
  <c r="J3" i="24"/>
  <c r="N3" i="24" s="1"/>
  <c r="J5" i="24"/>
  <c r="N5" i="24" s="1"/>
  <c r="N23" i="24"/>
  <c r="V57" i="24"/>
  <c r="N57" i="24"/>
  <c r="J62" i="24"/>
  <c r="N62" i="24" s="1"/>
  <c r="J65" i="24"/>
  <c r="N65" i="24" s="1"/>
  <c r="J68" i="24"/>
  <c r="N68" i="24" s="1"/>
  <c r="J79" i="24"/>
  <c r="N79" i="24" s="1"/>
  <c r="J84" i="24"/>
  <c r="N84" i="24" s="1"/>
  <c r="N53" i="24"/>
  <c r="V21" i="24"/>
  <c r="N21" i="24"/>
  <c r="J67" i="24"/>
  <c r="N67" i="24" s="1"/>
  <c r="J7" i="24"/>
  <c r="N7" i="24" s="1"/>
  <c r="J37" i="24"/>
  <c r="N37" i="24" s="1"/>
  <c r="V45" i="24"/>
  <c r="J74" i="24"/>
  <c r="N74" i="24" s="1"/>
  <c r="J77" i="24"/>
  <c r="N77" i="24" s="1"/>
  <c r="J80" i="24"/>
  <c r="N80" i="24" s="1"/>
  <c r="J86" i="24"/>
  <c r="N86" i="24" s="1"/>
  <c r="J44" i="24"/>
  <c r="N44" i="24" s="1"/>
  <c r="V4" i="24"/>
  <c r="J17" i="24"/>
  <c r="N17" i="24" s="1"/>
  <c r="V16" i="24"/>
  <c r="N16" i="24"/>
  <c r="J19" i="24"/>
  <c r="N19" i="24" s="1"/>
  <c r="N46" i="24"/>
  <c r="V47" i="24"/>
  <c r="W47" i="24" s="1"/>
  <c r="X47" i="24" s="1"/>
  <c r="Y47" i="24" s="1"/>
  <c r="V53" i="24"/>
  <c r="N59" i="24"/>
  <c r="V64" i="24"/>
  <c r="N64" i="24"/>
  <c r="V71" i="24"/>
  <c r="N71" i="24"/>
  <c r="V83" i="24"/>
  <c r="N83" i="24"/>
  <c r="J87" i="24"/>
  <c r="N87" i="24" s="1"/>
  <c r="N10" i="24"/>
  <c r="V52" i="24"/>
  <c r="N52" i="24"/>
  <c r="N54" i="24"/>
  <c r="V76" i="24"/>
  <c r="J8" i="24"/>
  <c r="N8" i="24" s="1"/>
  <c r="V28" i="24"/>
  <c r="N28" i="24"/>
  <c r="N29" i="24"/>
  <c r="J31" i="24"/>
  <c r="N31" i="24" s="1"/>
  <c r="J20" i="24"/>
  <c r="N20" i="24" s="1"/>
  <c r="J41" i="24"/>
  <c r="N41" i="24" s="1"/>
  <c r="V40" i="24"/>
  <c r="N40" i="24"/>
  <c r="J43" i="24"/>
  <c r="N43" i="24" s="1"/>
  <c r="V5" i="24"/>
  <c r="V9" i="24"/>
  <c r="N9" i="24"/>
  <c r="J24" i="24"/>
  <c r="N24" i="24" s="1"/>
  <c r="J53" i="24"/>
  <c r="J55" i="24"/>
  <c r="N55" i="24" s="1"/>
  <c r="N69" i="24"/>
  <c r="N81" i="24"/>
  <c r="N2" i="24"/>
  <c r="N38" i="24"/>
  <c r="N50" i="24"/>
  <c r="U97" i="23"/>
  <c r="R97" i="23"/>
  <c r="M97" i="23"/>
  <c r="L97" i="23"/>
  <c r="I97" i="23"/>
  <c r="G97" i="23"/>
  <c r="D97" i="23"/>
  <c r="E97" i="23" s="1"/>
  <c r="B97" i="23"/>
  <c r="U96" i="23"/>
  <c r="R96" i="23"/>
  <c r="M96" i="23"/>
  <c r="L96" i="23"/>
  <c r="I96" i="23"/>
  <c r="G96" i="23"/>
  <c r="D96" i="23"/>
  <c r="E96" i="23" s="1"/>
  <c r="B96" i="23"/>
  <c r="U95" i="23"/>
  <c r="R95" i="23"/>
  <c r="M95" i="23"/>
  <c r="L95" i="23"/>
  <c r="I95" i="23"/>
  <c r="G95" i="23"/>
  <c r="D95" i="23"/>
  <c r="E95" i="23" s="1"/>
  <c r="B95" i="23"/>
  <c r="U94" i="23"/>
  <c r="R94" i="23"/>
  <c r="M94" i="23"/>
  <c r="L94" i="23"/>
  <c r="I94" i="23"/>
  <c r="G94" i="23"/>
  <c r="D94" i="23"/>
  <c r="E94" i="23" s="1"/>
  <c r="J94" i="23" s="1"/>
  <c r="B94" i="23"/>
  <c r="U93" i="23"/>
  <c r="R93" i="23"/>
  <c r="M93" i="23"/>
  <c r="L93" i="23"/>
  <c r="I93" i="23"/>
  <c r="G93" i="23"/>
  <c r="D93" i="23"/>
  <c r="E93" i="23" s="1"/>
  <c r="B93" i="23"/>
  <c r="U92" i="23"/>
  <c r="R92" i="23"/>
  <c r="M92" i="23"/>
  <c r="L92" i="23"/>
  <c r="I92" i="23"/>
  <c r="G92" i="23"/>
  <c r="D92" i="23"/>
  <c r="E92" i="23" s="1"/>
  <c r="B92" i="23"/>
  <c r="U91" i="23"/>
  <c r="R91" i="23"/>
  <c r="M91" i="23"/>
  <c r="L91" i="23"/>
  <c r="I91" i="23"/>
  <c r="G91" i="23"/>
  <c r="D91" i="23"/>
  <c r="E91" i="23" s="1"/>
  <c r="B91" i="23"/>
  <c r="U90" i="23"/>
  <c r="R90" i="23"/>
  <c r="M90" i="23"/>
  <c r="L90" i="23"/>
  <c r="I90" i="23"/>
  <c r="G90" i="23"/>
  <c r="D90" i="23"/>
  <c r="E90" i="23" s="1"/>
  <c r="J90" i="23" s="1"/>
  <c r="B90" i="23"/>
  <c r="U89" i="23"/>
  <c r="R89" i="23"/>
  <c r="M89" i="23"/>
  <c r="L89" i="23"/>
  <c r="I89" i="23"/>
  <c r="G89" i="23"/>
  <c r="D89" i="23"/>
  <c r="E89" i="23" s="1"/>
  <c r="B89" i="23"/>
  <c r="U88" i="23"/>
  <c r="R88" i="23"/>
  <c r="M88" i="23"/>
  <c r="L88" i="23"/>
  <c r="I88" i="23"/>
  <c r="G88" i="23"/>
  <c r="D88" i="23"/>
  <c r="E88" i="23" s="1"/>
  <c r="B88" i="23"/>
  <c r="U87" i="23"/>
  <c r="R87" i="23"/>
  <c r="M87" i="23"/>
  <c r="L87" i="23"/>
  <c r="I87" i="23"/>
  <c r="G87" i="23"/>
  <c r="D87" i="23"/>
  <c r="E87" i="23" s="1"/>
  <c r="B87" i="23"/>
  <c r="U86" i="23"/>
  <c r="R86" i="23"/>
  <c r="M86" i="23"/>
  <c r="L86" i="23"/>
  <c r="I86" i="23"/>
  <c r="G86" i="23"/>
  <c r="D86" i="23"/>
  <c r="E86" i="23" s="1"/>
  <c r="B86" i="23"/>
  <c r="U85" i="23"/>
  <c r="R85" i="23"/>
  <c r="M85" i="23"/>
  <c r="L85" i="23"/>
  <c r="I85" i="23"/>
  <c r="G85" i="23"/>
  <c r="D85" i="23"/>
  <c r="E85" i="23" s="1"/>
  <c r="B85" i="23"/>
  <c r="U84" i="23"/>
  <c r="R84" i="23"/>
  <c r="M84" i="23"/>
  <c r="L84" i="23"/>
  <c r="I84" i="23"/>
  <c r="G84" i="23"/>
  <c r="D84" i="23"/>
  <c r="E84" i="23" s="1"/>
  <c r="J84" i="23" s="1"/>
  <c r="B84" i="23"/>
  <c r="U83" i="23"/>
  <c r="R83" i="23"/>
  <c r="M83" i="23"/>
  <c r="L83" i="23"/>
  <c r="I83" i="23"/>
  <c r="G83" i="23"/>
  <c r="D83" i="23"/>
  <c r="E83" i="23" s="1"/>
  <c r="B83" i="23"/>
  <c r="U82" i="23"/>
  <c r="R82" i="23"/>
  <c r="M82" i="23"/>
  <c r="L82" i="23"/>
  <c r="I82" i="23"/>
  <c r="G82" i="23"/>
  <c r="D82" i="23"/>
  <c r="E82" i="23" s="1"/>
  <c r="J82" i="23" s="1"/>
  <c r="N82" i="23" s="1"/>
  <c r="B82" i="23"/>
  <c r="U81" i="23"/>
  <c r="R81" i="23"/>
  <c r="M81" i="23"/>
  <c r="L81" i="23"/>
  <c r="I81" i="23"/>
  <c r="G81" i="23"/>
  <c r="D81" i="23"/>
  <c r="E81" i="23" s="1"/>
  <c r="B81" i="23"/>
  <c r="U80" i="23"/>
  <c r="R80" i="23"/>
  <c r="M80" i="23"/>
  <c r="L80" i="23"/>
  <c r="I80" i="23"/>
  <c r="G80" i="23"/>
  <c r="D80" i="23"/>
  <c r="E80" i="23" s="1"/>
  <c r="B80" i="23"/>
  <c r="U79" i="23"/>
  <c r="R79" i="23"/>
  <c r="M79" i="23"/>
  <c r="L79" i="23"/>
  <c r="I79" i="23"/>
  <c r="G79" i="23"/>
  <c r="D79" i="23"/>
  <c r="E79" i="23" s="1"/>
  <c r="B79" i="23"/>
  <c r="U78" i="23"/>
  <c r="R78" i="23"/>
  <c r="M78" i="23"/>
  <c r="L78" i="23"/>
  <c r="I78" i="23"/>
  <c r="G78" i="23"/>
  <c r="D78" i="23"/>
  <c r="E78" i="23" s="1"/>
  <c r="B78" i="23"/>
  <c r="U77" i="23"/>
  <c r="R77" i="23"/>
  <c r="M77" i="23"/>
  <c r="L77" i="23"/>
  <c r="I77" i="23"/>
  <c r="G77" i="23"/>
  <c r="D77" i="23"/>
  <c r="E77" i="23" s="1"/>
  <c r="B77" i="23"/>
  <c r="U76" i="23"/>
  <c r="R76" i="23"/>
  <c r="M76" i="23"/>
  <c r="L76" i="23"/>
  <c r="I76" i="23"/>
  <c r="G76" i="23"/>
  <c r="D76" i="23"/>
  <c r="E76" i="23" s="1"/>
  <c r="B76" i="23"/>
  <c r="U75" i="23"/>
  <c r="R75" i="23"/>
  <c r="M75" i="23"/>
  <c r="L75" i="23"/>
  <c r="I75" i="23"/>
  <c r="G75" i="23"/>
  <c r="D75" i="23"/>
  <c r="E75" i="23" s="1"/>
  <c r="B75" i="23"/>
  <c r="U74" i="23"/>
  <c r="R74" i="23"/>
  <c r="M74" i="23"/>
  <c r="L74" i="23"/>
  <c r="I74" i="23"/>
  <c r="G74" i="23"/>
  <c r="D74" i="23"/>
  <c r="E74" i="23" s="1"/>
  <c r="B74" i="23"/>
  <c r="U73" i="23"/>
  <c r="R73" i="23"/>
  <c r="M73" i="23"/>
  <c r="L73" i="23"/>
  <c r="I73" i="23"/>
  <c r="G73" i="23"/>
  <c r="D73" i="23"/>
  <c r="E73" i="23" s="1"/>
  <c r="B73" i="23"/>
  <c r="U72" i="23"/>
  <c r="R72" i="23"/>
  <c r="M72" i="23"/>
  <c r="L72" i="23"/>
  <c r="I72" i="23"/>
  <c r="G72" i="23"/>
  <c r="D72" i="23"/>
  <c r="E72" i="23" s="1"/>
  <c r="J72" i="23" s="1"/>
  <c r="B72" i="23"/>
  <c r="U71" i="23"/>
  <c r="R71" i="23"/>
  <c r="M71" i="23"/>
  <c r="L71" i="23"/>
  <c r="I71" i="23"/>
  <c r="G71" i="23"/>
  <c r="D71" i="23"/>
  <c r="E71" i="23" s="1"/>
  <c r="B71" i="23"/>
  <c r="U70" i="23"/>
  <c r="R70" i="23"/>
  <c r="M70" i="23"/>
  <c r="L70" i="23"/>
  <c r="I70" i="23"/>
  <c r="G70" i="23"/>
  <c r="D70" i="23"/>
  <c r="E70" i="23" s="1"/>
  <c r="B70" i="23"/>
  <c r="U69" i="23"/>
  <c r="R69" i="23"/>
  <c r="M69" i="23"/>
  <c r="L69" i="23"/>
  <c r="I69" i="23"/>
  <c r="G69" i="23"/>
  <c r="D69" i="23"/>
  <c r="E69" i="23" s="1"/>
  <c r="B69" i="23"/>
  <c r="U68" i="23"/>
  <c r="R68" i="23"/>
  <c r="M68" i="23"/>
  <c r="L68" i="23"/>
  <c r="I68" i="23"/>
  <c r="G68" i="23"/>
  <c r="D68" i="23"/>
  <c r="E68" i="23" s="1"/>
  <c r="B68" i="23"/>
  <c r="U67" i="23"/>
  <c r="R67" i="23"/>
  <c r="M67" i="23"/>
  <c r="L67" i="23"/>
  <c r="I67" i="23"/>
  <c r="G67" i="23"/>
  <c r="D67" i="23"/>
  <c r="E67" i="23" s="1"/>
  <c r="B67" i="23"/>
  <c r="U66" i="23"/>
  <c r="R66" i="23"/>
  <c r="M66" i="23"/>
  <c r="L66" i="23"/>
  <c r="I66" i="23"/>
  <c r="G66" i="23"/>
  <c r="D66" i="23"/>
  <c r="E66" i="23" s="1"/>
  <c r="J66" i="23" s="1"/>
  <c r="B66" i="23"/>
  <c r="U65" i="23"/>
  <c r="R65" i="23"/>
  <c r="M65" i="23"/>
  <c r="L65" i="23"/>
  <c r="I65" i="23"/>
  <c r="G65" i="23"/>
  <c r="D65" i="23"/>
  <c r="E65" i="23" s="1"/>
  <c r="B65" i="23"/>
  <c r="U64" i="23"/>
  <c r="R64" i="23"/>
  <c r="M64" i="23"/>
  <c r="L64" i="23"/>
  <c r="I64" i="23"/>
  <c r="G64" i="23"/>
  <c r="D64" i="23"/>
  <c r="E64" i="23" s="1"/>
  <c r="B64" i="23"/>
  <c r="U63" i="23"/>
  <c r="R63" i="23"/>
  <c r="M63" i="23"/>
  <c r="L63" i="23"/>
  <c r="I63" i="23"/>
  <c r="G63" i="23"/>
  <c r="D63" i="23"/>
  <c r="E63" i="23" s="1"/>
  <c r="B63" i="23"/>
  <c r="U62" i="23"/>
  <c r="R62" i="23"/>
  <c r="M62" i="23"/>
  <c r="L62" i="23"/>
  <c r="I62" i="23"/>
  <c r="G62" i="23"/>
  <c r="D62" i="23"/>
  <c r="E62" i="23" s="1"/>
  <c r="B62" i="23"/>
  <c r="U61" i="23"/>
  <c r="R61" i="23"/>
  <c r="M61" i="23"/>
  <c r="L61" i="23"/>
  <c r="I61" i="23"/>
  <c r="G61" i="23"/>
  <c r="D61" i="23"/>
  <c r="E61" i="23" s="1"/>
  <c r="B61" i="23"/>
  <c r="U60" i="23"/>
  <c r="R60" i="23"/>
  <c r="M60" i="23"/>
  <c r="L60" i="23"/>
  <c r="I60" i="23"/>
  <c r="G60" i="23"/>
  <c r="D60" i="23"/>
  <c r="E60" i="23" s="1"/>
  <c r="J60" i="23" s="1"/>
  <c r="B60" i="23"/>
  <c r="U59" i="23"/>
  <c r="R59" i="23"/>
  <c r="M59" i="23"/>
  <c r="L59" i="23"/>
  <c r="I59" i="23"/>
  <c r="G59" i="23"/>
  <c r="D59" i="23"/>
  <c r="E59" i="23" s="1"/>
  <c r="B59" i="23"/>
  <c r="U58" i="23"/>
  <c r="R58" i="23"/>
  <c r="M58" i="23"/>
  <c r="L58" i="23"/>
  <c r="I58" i="23"/>
  <c r="G58" i="23"/>
  <c r="D58" i="23"/>
  <c r="E58" i="23" s="1"/>
  <c r="B58" i="23"/>
  <c r="U57" i="23"/>
  <c r="R57" i="23"/>
  <c r="M57" i="23"/>
  <c r="L57" i="23"/>
  <c r="I57" i="23"/>
  <c r="G57" i="23"/>
  <c r="D57" i="23"/>
  <c r="E57" i="23" s="1"/>
  <c r="B57" i="23"/>
  <c r="U56" i="23"/>
  <c r="R56" i="23"/>
  <c r="M56" i="23"/>
  <c r="L56" i="23"/>
  <c r="I56" i="23"/>
  <c r="G56" i="23"/>
  <c r="D56" i="23"/>
  <c r="E56" i="23" s="1"/>
  <c r="B56" i="23"/>
  <c r="U55" i="23"/>
  <c r="R55" i="23"/>
  <c r="M55" i="23"/>
  <c r="L55" i="23"/>
  <c r="I55" i="23"/>
  <c r="G55" i="23"/>
  <c r="D55" i="23"/>
  <c r="E55" i="23" s="1"/>
  <c r="B55" i="23"/>
  <c r="U54" i="23"/>
  <c r="R54" i="23"/>
  <c r="M54" i="23"/>
  <c r="L54" i="23"/>
  <c r="I54" i="23"/>
  <c r="G54" i="23"/>
  <c r="D54" i="23"/>
  <c r="E54" i="23" s="1"/>
  <c r="J54" i="23" s="1"/>
  <c r="B54" i="23"/>
  <c r="U53" i="23"/>
  <c r="R53" i="23"/>
  <c r="M53" i="23"/>
  <c r="L53" i="23"/>
  <c r="I53" i="23"/>
  <c r="G53" i="23"/>
  <c r="D53" i="23"/>
  <c r="E53" i="23" s="1"/>
  <c r="B53" i="23"/>
  <c r="U52" i="23"/>
  <c r="R52" i="23"/>
  <c r="M52" i="23"/>
  <c r="L52" i="23"/>
  <c r="I52" i="23"/>
  <c r="G52" i="23"/>
  <c r="D52" i="23"/>
  <c r="E52" i="23" s="1"/>
  <c r="B52" i="23"/>
  <c r="U51" i="23"/>
  <c r="R51" i="23"/>
  <c r="M51" i="23"/>
  <c r="L51" i="23"/>
  <c r="I51" i="23"/>
  <c r="G51" i="23"/>
  <c r="D51" i="23"/>
  <c r="E51" i="23" s="1"/>
  <c r="B51" i="23"/>
  <c r="U50" i="23"/>
  <c r="R50" i="23"/>
  <c r="M50" i="23"/>
  <c r="L50" i="23"/>
  <c r="I50" i="23"/>
  <c r="G50" i="23"/>
  <c r="D50" i="23"/>
  <c r="E50" i="23" s="1"/>
  <c r="B50" i="23"/>
  <c r="U49" i="23"/>
  <c r="R49" i="23"/>
  <c r="M49" i="23"/>
  <c r="L49" i="23"/>
  <c r="I49" i="23"/>
  <c r="G49" i="23"/>
  <c r="D49" i="23"/>
  <c r="E49" i="23" s="1"/>
  <c r="B49" i="23"/>
  <c r="U48" i="23"/>
  <c r="R48" i="23"/>
  <c r="M48" i="23"/>
  <c r="L48" i="23"/>
  <c r="I48" i="23"/>
  <c r="G48" i="23"/>
  <c r="D48" i="23"/>
  <c r="E48" i="23" s="1"/>
  <c r="B48" i="23"/>
  <c r="U47" i="23"/>
  <c r="R47" i="23"/>
  <c r="M47" i="23"/>
  <c r="L47" i="23"/>
  <c r="I47" i="23"/>
  <c r="G47" i="23"/>
  <c r="D47" i="23"/>
  <c r="E47" i="23" s="1"/>
  <c r="B47" i="23"/>
  <c r="U46" i="23"/>
  <c r="R46" i="23"/>
  <c r="M46" i="23"/>
  <c r="L46" i="23"/>
  <c r="I46" i="23"/>
  <c r="G46" i="23"/>
  <c r="D46" i="23"/>
  <c r="E46" i="23" s="1"/>
  <c r="B46" i="23"/>
  <c r="U45" i="23"/>
  <c r="R45" i="23"/>
  <c r="M45" i="23"/>
  <c r="L45" i="23"/>
  <c r="I45" i="23"/>
  <c r="G45" i="23"/>
  <c r="D45" i="23"/>
  <c r="E45" i="23" s="1"/>
  <c r="B45" i="23"/>
  <c r="U44" i="23"/>
  <c r="R44" i="23"/>
  <c r="M44" i="23"/>
  <c r="L44" i="23"/>
  <c r="I44" i="23"/>
  <c r="G44" i="23"/>
  <c r="D44" i="23"/>
  <c r="E44" i="23" s="1"/>
  <c r="B44" i="23"/>
  <c r="U43" i="23"/>
  <c r="R43" i="23"/>
  <c r="M43" i="23"/>
  <c r="L43" i="23"/>
  <c r="I43" i="23"/>
  <c r="G43" i="23"/>
  <c r="D43" i="23"/>
  <c r="E43" i="23" s="1"/>
  <c r="B43" i="23"/>
  <c r="U42" i="23"/>
  <c r="R42" i="23"/>
  <c r="M42" i="23"/>
  <c r="L42" i="23"/>
  <c r="I42" i="23"/>
  <c r="G42" i="23"/>
  <c r="D42" i="23"/>
  <c r="E42" i="23" s="1"/>
  <c r="J42" i="23" s="1"/>
  <c r="B42" i="23"/>
  <c r="U41" i="23"/>
  <c r="R41" i="23"/>
  <c r="M41" i="23"/>
  <c r="L41" i="23"/>
  <c r="I41" i="23"/>
  <c r="G41" i="23"/>
  <c r="D41" i="23"/>
  <c r="E41" i="23" s="1"/>
  <c r="B41" i="23"/>
  <c r="U40" i="23"/>
  <c r="R40" i="23"/>
  <c r="M40" i="23"/>
  <c r="L40" i="23"/>
  <c r="I40" i="23"/>
  <c r="G40" i="23"/>
  <c r="D40" i="23"/>
  <c r="E40" i="23" s="1"/>
  <c r="B40" i="23"/>
  <c r="U39" i="23"/>
  <c r="R39" i="23"/>
  <c r="M39" i="23"/>
  <c r="L39" i="23"/>
  <c r="I39" i="23"/>
  <c r="G39" i="23"/>
  <c r="D39" i="23"/>
  <c r="E39" i="23" s="1"/>
  <c r="B39" i="23"/>
  <c r="U38" i="23"/>
  <c r="R38" i="23"/>
  <c r="M38" i="23"/>
  <c r="L38" i="23"/>
  <c r="I38" i="23"/>
  <c r="G38" i="23"/>
  <c r="D38" i="23"/>
  <c r="E38" i="23" s="1"/>
  <c r="B38" i="23"/>
  <c r="U37" i="23"/>
  <c r="R37" i="23"/>
  <c r="M37" i="23"/>
  <c r="L37" i="23"/>
  <c r="I37" i="23"/>
  <c r="G37" i="23"/>
  <c r="D37" i="23"/>
  <c r="E37" i="23" s="1"/>
  <c r="B37" i="23"/>
  <c r="U36" i="23"/>
  <c r="R36" i="23"/>
  <c r="M36" i="23"/>
  <c r="L36" i="23"/>
  <c r="I36" i="23"/>
  <c r="G36" i="23"/>
  <c r="D36" i="23"/>
  <c r="E36" i="23" s="1"/>
  <c r="B36" i="23"/>
  <c r="U35" i="23"/>
  <c r="R35" i="23"/>
  <c r="M35" i="23"/>
  <c r="L35" i="23"/>
  <c r="I35" i="23"/>
  <c r="G35" i="23"/>
  <c r="D35" i="23"/>
  <c r="E35" i="23" s="1"/>
  <c r="B35" i="23"/>
  <c r="U34" i="23"/>
  <c r="R34" i="23"/>
  <c r="M34" i="23"/>
  <c r="L34" i="23"/>
  <c r="I34" i="23"/>
  <c r="G34" i="23"/>
  <c r="D34" i="23"/>
  <c r="E34" i="23" s="1"/>
  <c r="J34" i="23" s="1"/>
  <c r="N34" i="23" s="1"/>
  <c r="B34" i="23"/>
  <c r="U33" i="23"/>
  <c r="R33" i="23"/>
  <c r="M33" i="23"/>
  <c r="L33" i="23"/>
  <c r="I33" i="23"/>
  <c r="G33" i="23"/>
  <c r="D33" i="23"/>
  <c r="E33" i="23" s="1"/>
  <c r="B33" i="23"/>
  <c r="U32" i="23"/>
  <c r="R32" i="23"/>
  <c r="M32" i="23"/>
  <c r="L32" i="23"/>
  <c r="I32" i="23"/>
  <c r="G32" i="23"/>
  <c r="D32" i="23"/>
  <c r="E32" i="23" s="1"/>
  <c r="B32" i="23"/>
  <c r="U31" i="23"/>
  <c r="R31" i="23"/>
  <c r="M31" i="23"/>
  <c r="L31" i="23"/>
  <c r="I31" i="23"/>
  <c r="G31" i="23"/>
  <c r="D31" i="23"/>
  <c r="E31" i="23" s="1"/>
  <c r="B31" i="23"/>
  <c r="U30" i="23"/>
  <c r="R30" i="23"/>
  <c r="M30" i="23"/>
  <c r="L30" i="23"/>
  <c r="I30" i="23"/>
  <c r="G30" i="23"/>
  <c r="D30" i="23"/>
  <c r="E30" i="23" s="1"/>
  <c r="J30" i="23" s="1"/>
  <c r="B30" i="23"/>
  <c r="U29" i="23"/>
  <c r="R29" i="23"/>
  <c r="M29" i="23"/>
  <c r="L29" i="23"/>
  <c r="I29" i="23"/>
  <c r="G29" i="23"/>
  <c r="D29" i="23"/>
  <c r="E29" i="23" s="1"/>
  <c r="B29" i="23"/>
  <c r="U28" i="23"/>
  <c r="R28" i="23"/>
  <c r="M28" i="23"/>
  <c r="L28" i="23"/>
  <c r="I28" i="23"/>
  <c r="G28" i="23"/>
  <c r="D28" i="23"/>
  <c r="E28" i="23" s="1"/>
  <c r="B28" i="23"/>
  <c r="U27" i="23"/>
  <c r="R27" i="23"/>
  <c r="M27" i="23"/>
  <c r="L27" i="23"/>
  <c r="I27" i="23"/>
  <c r="G27" i="23"/>
  <c r="D27" i="23"/>
  <c r="E27" i="23" s="1"/>
  <c r="B27" i="23"/>
  <c r="U26" i="23"/>
  <c r="R26" i="23"/>
  <c r="M26" i="23"/>
  <c r="L26" i="23"/>
  <c r="I26" i="23"/>
  <c r="G26" i="23"/>
  <c r="D26" i="23"/>
  <c r="E26" i="23" s="1"/>
  <c r="B26" i="23"/>
  <c r="U25" i="23"/>
  <c r="R25" i="23"/>
  <c r="M25" i="23"/>
  <c r="L25" i="23"/>
  <c r="I25" i="23"/>
  <c r="G25" i="23"/>
  <c r="D25" i="23"/>
  <c r="E25" i="23" s="1"/>
  <c r="B25" i="23"/>
  <c r="U24" i="23"/>
  <c r="R24" i="23"/>
  <c r="M24" i="23"/>
  <c r="L24" i="23"/>
  <c r="I24" i="23"/>
  <c r="G24" i="23"/>
  <c r="D24" i="23"/>
  <c r="E24" i="23" s="1"/>
  <c r="B24" i="23"/>
  <c r="U23" i="23"/>
  <c r="R23" i="23"/>
  <c r="M23" i="23"/>
  <c r="L23" i="23"/>
  <c r="I23" i="23"/>
  <c r="G23" i="23"/>
  <c r="D23" i="23"/>
  <c r="E23" i="23" s="1"/>
  <c r="B23" i="23"/>
  <c r="U22" i="23"/>
  <c r="R22" i="23"/>
  <c r="M22" i="23"/>
  <c r="L22" i="23"/>
  <c r="I22" i="23"/>
  <c r="G22" i="23"/>
  <c r="D22" i="23"/>
  <c r="E22" i="23" s="1"/>
  <c r="B22" i="23"/>
  <c r="U21" i="23"/>
  <c r="R21" i="23"/>
  <c r="M21" i="23"/>
  <c r="L21" i="23"/>
  <c r="I21" i="23"/>
  <c r="G21" i="23"/>
  <c r="D21" i="23"/>
  <c r="E21" i="23" s="1"/>
  <c r="B21" i="23"/>
  <c r="U20" i="23"/>
  <c r="R20" i="23"/>
  <c r="M20" i="23"/>
  <c r="L20" i="23"/>
  <c r="I20" i="23"/>
  <c r="G20" i="23"/>
  <c r="D20" i="23"/>
  <c r="E20" i="23" s="1"/>
  <c r="B20" i="23"/>
  <c r="U19" i="23"/>
  <c r="R19" i="23"/>
  <c r="M19" i="23"/>
  <c r="L19" i="23"/>
  <c r="I19" i="23"/>
  <c r="G19" i="23"/>
  <c r="D19" i="23"/>
  <c r="E19" i="23" s="1"/>
  <c r="B19" i="23"/>
  <c r="U18" i="23"/>
  <c r="R18" i="23"/>
  <c r="M18" i="23"/>
  <c r="L18" i="23"/>
  <c r="I18" i="23"/>
  <c r="G18" i="23"/>
  <c r="D18" i="23"/>
  <c r="E18" i="23" s="1"/>
  <c r="B18" i="23"/>
  <c r="U17" i="23"/>
  <c r="R17" i="23"/>
  <c r="M17" i="23"/>
  <c r="L17" i="23"/>
  <c r="I17" i="23"/>
  <c r="G17" i="23"/>
  <c r="D17" i="23"/>
  <c r="E17" i="23" s="1"/>
  <c r="B17" i="23"/>
  <c r="U16" i="23"/>
  <c r="R16" i="23"/>
  <c r="M16" i="23"/>
  <c r="L16" i="23"/>
  <c r="I16" i="23"/>
  <c r="G16" i="23"/>
  <c r="D16" i="23"/>
  <c r="E16" i="23" s="1"/>
  <c r="B16" i="23"/>
  <c r="U15" i="23"/>
  <c r="R15" i="23"/>
  <c r="M15" i="23"/>
  <c r="L15" i="23"/>
  <c r="V15" i="23" s="1"/>
  <c r="I15" i="23"/>
  <c r="G15" i="23"/>
  <c r="D15" i="23"/>
  <c r="E15" i="23" s="1"/>
  <c r="B15" i="23"/>
  <c r="U14" i="23"/>
  <c r="R14" i="23"/>
  <c r="M14" i="23"/>
  <c r="L14" i="23"/>
  <c r="I14" i="23"/>
  <c r="G14" i="23"/>
  <c r="D14" i="23"/>
  <c r="E14" i="23" s="1"/>
  <c r="B14" i="23"/>
  <c r="U13" i="23"/>
  <c r="R13" i="23"/>
  <c r="M13" i="23"/>
  <c r="L13" i="23"/>
  <c r="I13" i="23"/>
  <c r="G13" i="23"/>
  <c r="D13" i="23"/>
  <c r="E13" i="23" s="1"/>
  <c r="B13" i="23"/>
  <c r="U12" i="23"/>
  <c r="R12" i="23"/>
  <c r="M12" i="23"/>
  <c r="L12" i="23"/>
  <c r="I12" i="23"/>
  <c r="G12" i="23"/>
  <c r="D12" i="23"/>
  <c r="E12" i="23" s="1"/>
  <c r="B12" i="23"/>
  <c r="U11" i="23"/>
  <c r="R11" i="23"/>
  <c r="M11" i="23"/>
  <c r="L11" i="23"/>
  <c r="I11" i="23"/>
  <c r="G11" i="23"/>
  <c r="D11" i="23"/>
  <c r="E11" i="23" s="1"/>
  <c r="B11" i="23"/>
  <c r="U10" i="23"/>
  <c r="R10" i="23"/>
  <c r="M10" i="23"/>
  <c r="L10" i="23"/>
  <c r="I10" i="23"/>
  <c r="G10" i="23"/>
  <c r="D10" i="23"/>
  <c r="E10" i="23" s="1"/>
  <c r="B10" i="23"/>
  <c r="U9" i="23"/>
  <c r="R9" i="23"/>
  <c r="M9" i="23"/>
  <c r="L9" i="23"/>
  <c r="I9" i="23"/>
  <c r="G9" i="23"/>
  <c r="D9" i="23"/>
  <c r="E9" i="23" s="1"/>
  <c r="B9" i="23"/>
  <c r="U8" i="23"/>
  <c r="R8" i="23"/>
  <c r="M8" i="23"/>
  <c r="L8" i="23"/>
  <c r="I8" i="23"/>
  <c r="G8" i="23"/>
  <c r="D8" i="23"/>
  <c r="E8" i="23" s="1"/>
  <c r="B8" i="23"/>
  <c r="U7" i="23"/>
  <c r="R7" i="23"/>
  <c r="M7" i="23"/>
  <c r="L7" i="23"/>
  <c r="I7" i="23"/>
  <c r="G7" i="23"/>
  <c r="D7" i="23"/>
  <c r="E7" i="23" s="1"/>
  <c r="B7" i="23"/>
  <c r="U6" i="23"/>
  <c r="R6" i="23"/>
  <c r="M6" i="23"/>
  <c r="L6" i="23"/>
  <c r="I6" i="23"/>
  <c r="G6" i="23"/>
  <c r="D6" i="23"/>
  <c r="E6" i="23" s="1"/>
  <c r="B6" i="23"/>
  <c r="U5" i="23"/>
  <c r="R5" i="23"/>
  <c r="M5" i="23"/>
  <c r="L5" i="23"/>
  <c r="I5" i="23"/>
  <c r="G5" i="23"/>
  <c r="D5" i="23"/>
  <c r="E5" i="23" s="1"/>
  <c r="B5" i="23"/>
  <c r="U4" i="23"/>
  <c r="R4" i="23"/>
  <c r="M4" i="23"/>
  <c r="L4" i="23"/>
  <c r="I4" i="23"/>
  <c r="G4" i="23"/>
  <c r="D4" i="23"/>
  <c r="E4" i="23" s="1"/>
  <c r="B4" i="23"/>
  <c r="U3" i="23"/>
  <c r="R3" i="23"/>
  <c r="M3" i="23"/>
  <c r="L3" i="23"/>
  <c r="I3" i="23"/>
  <c r="G3" i="23"/>
  <c r="D3" i="23"/>
  <c r="E3" i="23" s="1"/>
  <c r="B3" i="23"/>
  <c r="U2" i="23"/>
  <c r="R2" i="23"/>
  <c r="X2" i="23" s="1"/>
  <c r="M2" i="23"/>
  <c r="L2" i="23"/>
  <c r="I2" i="23"/>
  <c r="G2" i="23"/>
  <c r="D2" i="23"/>
  <c r="E2" i="23" s="1"/>
  <c r="B2" i="23"/>
  <c r="Y43" i="25" l="1"/>
  <c r="W82" i="24"/>
  <c r="X82" i="24" s="1"/>
  <c r="Y82" i="24" s="1"/>
  <c r="W63" i="24"/>
  <c r="X63" i="24" s="1"/>
  <c r="Y63" i="24" s="1"/>
  <c r="W32" i="24"/>
  <c r="X32" i="24" s="1"/>
  <c r="Y32" i="24" s="1"/>
  <c r="W6" i="24"/>
  <c r="X6" i="24" s="1"/>
  <c r="Y6" i="24" s="1"/>
  <c r="W42" i="24"/>
  <c r="X42" i="24" s="1"/>
  <c r="Y42" i="24" s="1"/>
  <c r="W60" i="24"/>
  <c r="X60" i="24" s="1"/>
  <c r="Y60" i="24" s="1"/>
  <c r="W73" i="24"/>
  <c r="X73" i="24" s="1"/>
  <c r="Y73" i="24" s="1"/>
  <c r="W15" i="24"/>
  <c r="X15" i="24" s="1"/>
  <c r="Y15" i="24" s="1"/>
  <c r="W27" i="24"/>
  <c r="X27" i="24" s="1"/>
  <c r="Y27" i="24" s="1"/>
  <c r="W74" i="24"/>
  <c r="X74" i="24" s="1"/>
  <c r="Y74" i="24" s="1"/>
  <c r="W62" i="24"/>
  <c r="X62" i="24" s="1"/>
  <c r="Y62" i="24" s="1"/>
  <c r="W17" i="24"/>
  <c r="X17" i="24" s="1"/>
  <c r="Y17" i="24" s="1"/>
  <c r="W65" i="24"/>
  <c r="X65" i="24" s="1"/>
  <c r="Y65" i="24" s="1"/>
  <c r="W25" i="24"/>
  <c r="X25" i="24" s="1"/>
  <c r="Y25" i="24" s="1"/>
  <c r="W69" i="24"/>
  <c r="X69" i="24" s="1"/>
  <c r="Y69" i="24" s="1"/>
  <c r="W8" i="24"/>
  <c r="X8" i="24" s="1"/>
  <c r="Y8" i="24" s="1"/>
  <c r="W77" i="24"/>
  <c r="X77" i="24" s="1"/>
  <c r="Y77" i="24" s="1"/>
  <c r="W35" i="24"/>
  <c r="X35" i="24" s="1"/>
  <c r="Y35" i="24" s="1"/>
  <c r="W55" i="24"/>
  <c r="X55" i="24"/>
  <c r="Y55" i="24" s="1"/>
  <c r="W40" i="24"/>
  <c r="X40" i="24" s="1"/>
  <c r="Y40" i="24" s="1"/>
  <c r="W71" i="24"/>
  <c r="X71" i="24" s="1"/>
  <c r="Y71" i="24" s="1"/>
  <c r="W19" i="24"/>
  <c r="X19" i="24" s="1"/>
  <c r="Y19" i="24" s="1"/>
  <c r="W58" i="24"/>
  <c r="X58" i="24" s="1"/>
  <c r="Y58" i="24" s="1"/>
  <c r="W86" i="24"/>
  <c r="X86" i="24" s="1"/>
  <c r="Y86" i="24" s="1"/>
  <c r="W67" i="24"/>
  <c r="X67" i="24"/>
  <c r="Y67" i="24" s="1"/>
  <c r="W57" i="24"/>
  <c r="X57" i="24" s="1"/>
  <c r="W22" i="24"/>
  <c r="X22" i="24" s="1"/>
  <c r="Y22" i="24" s="1"/>
  <c r="W41" i="24"/>
  <c r="X41" i="24" s="1"/>
  <c r="Y41" i="24" s="1"/>
  <c r="W52" i="24"/>
  <c r="X52" i="24" s="1"/>
  <c r="Y52" i="24" s="1"/>
  <c r="W66" i="24"/>
  <c r="X66" i="24" s="1"/>
  <c r="Y66" i="24" s="1"/>
  <c r="W16" i="24"/>
  <c r="X16" i="24" s="1"/>
  <c r="Y16" i="24" s="1"/>
  <c r="W80" i="24"/>
  <c r="X80" i="24" s="1"/>
  <c r="Y80" i="24" s="1"/>
  <c r="W21" i="24"/>
  <c r="X21" i="24" s="1"/>
  <c r="Y21" i="24" s="1"/>
  <c r="W2" i="24"/>
  <c r="X2" i="24" s="1"/>
  <c r="Y2" i="24" s="1"/>
  <c r="W29" i="24"/>
  <c r="X29" i="24" s="1"/>
  <c r="Y29" i="24" s="1"/>
  <c r="W87" i="24"/>
  <c r="X87" i="24" s="1"/>
  <c r="Y87" i="24" s="1"/>
  <c r="W37" i="24"/>
  <c r="X37" i="24" s="1"/>
  <c r="Y37" i="24" s="1"/>
  <c r="W79" i="24"/>
  <c r="X79" i="24" s="1"/>
  <c r="Y79" i="24" s="1"/>
  <c r="W28" i="24"/>
  <c r="X28" i="24" s="1"/>
  <c r="Y28" i="24" s="1"/>
  <c r="W83" i="24"/>
  <c r="X83" i="24" s="1"/>
  <c r="Y83" i="24" s="1"/>
  <c r="W44" i="24"/>
  <c r="X44" i="24" s="1"/>
  <c r="Y44" i="24" s="1"/>
  <c r="W7" i="24"/>
  <c r="X7" i="24" s="1"/>
  <c r="Y7" i="24" s="1"/>
  <c r="W68" i="24"/>
  <c r="X68" i="24" s="1"/>
  <c r="Y68" i="24" s="1"/>
  <c r="W81" i="24"/>
  <c r="X81" i="24" s="1"/>
  <c r="Y81" i="24" s="1"/>
  <c r="W43" i="24"/>
  <c r="X43" i="24" s="1"/>
  <c r="Y43" i="24" s="1"/>
  <c r="W54" i="24"/>
  <c r="X54" i="24" s="1"/>
  <c r="Y54" i="24" s="1"/>
  <c r="W46" i="24"/>
  <c r="X46" i="24" s="1"/>
  <c r="Y46" i="24" s="1"/>
  <c r="W5" i="24"/>
  <c r="X5" i="24" s="1"/>
  <c r="Y5" i="24" s="1"/>
  <c r="W11" i="24"/>
  <c r="X11" i="24" s="1"/>
  <c r="Y11" i="24" s="1"/>
  <c r="W10" i="24"/>
  <c r="X10" i="24" s="1"/>
  <c r="Y10" i="24" s="1"/>
  <c r="W64" i="24"/>
  <c r="X64" i="24" s="1"/>
  <c r="Y64" i="24" s="1"/>
  <c r="W34" i="24"/>
  <c r="X34" i="24" s="1"/>
  <c r="Y34" i="24" s="1"/>
  <c r="W50" i="24"/>
  <c r="X50" i="24" s="1"/>
  <c r="Y50" i="24" s="1"/>
  <c r="W24" i="24"/>
  <c r="X24" i="24" s="1"/>
  <c r="Y24" i="24" s="1"/>
  <c r="W76" i="24"/>
  <c r="X76" i="24" s="1"/>
  <c r="Y76" i="24" s="1"/>
  <c r="W53" i="24"/>
  <c r="X53" i="24" s="1"/>
  <c r="Y53" i="24" s="1"/>
  <c r="W23" i="24"/>
  <c r="X23" i="24" s="1"/>
  <c r="Y23" i="24" s="1"/>
  <c r="W38" i="24"/>
  <c r="X38" i="24" s="1"/>
  <c r="Y38" i="24" s="1"/>
  <c r="W9" i="24"/>
  <c r="X9" i="24" s="1"/>
  <c r="Y9" i="24" s="1"/>
  <c r="W20" i="24"/>
  <c r="X20" i="24"/>
  <c r="Y20" i="24" s="1"/>
  <c r="W26" i="24"/>
  <c r="X26" i="24" s="1"/>
  <c r="Y26" i="24" s="1"/>
  <c r="W45" i="24"/>
  <c r="X45" i="24" s="1"/>
  <c r="Y45" i="24" s="1"/>
  <c r="W3" i="24"/>
  <c r="X3" i="24" s="1"/>
  <c r="Y3" i="24" s="1"/>
  <c r="W14" i="24"/>
  <c r="X14" i="24" s="1"/>
  <c r="Y14" i="24" s="1"/>
  <c r="W31" i="24"/>
  <c r="X31" i="24" s="1"/>
  <c r="Y31" i="24" s="1"/>
  <c r="W59" i="24"/>
  <c r="X59" i="24" s="1"/>
  <c r="Y59" i="24" s="1"/>
  <c r="W4" i="24"/>
  <c r="X4" i="24" s="1"/>
  <c r="Y4" i="24" s="1"/>
  <c r="W84" i="24"/>
  <c r="X84" i="24" s="1"/>
  <c r="Y84" i="24" s="1"/>
  <c r="W33" i="24"/>
  <c r="X33" i="24" s="1"/>
  <c r="Y33" i="24" s="1"/>
  <c r="J5" i="23"/>
  <c r="J13" i="23"/>
  <c r="J17" i="23"/>
  <c r="J21" i="23"/>
  <c r="N21" i="23" s="1"/>
  <c r="J37" i="23"/>
  <c r="V81" i="23"/>
  <c r="J7" i="23"/>
  <c r="N7" i="23" s="1"/>
  <c r="J23" i="23"/>
  <c r="J69" i="23"/>
  <c r="N69" i="23" s="1"/>
  <c r="V82" i="23"/>
  <c r="V40" i="23"/>
  <c r="V17" i="23"/>
  <c r="V68" i="23"/>
  <c r="J79" i="23"/>
  <c r="V52" i="23"/>
  <c r="J24" i="23"/>
  <c r="N24" i="23" s="1"/>
  <c r="J86" i="23"/>
  <c r="N86" i="23" s="1"/>
  <c r="J48" i="23"/>
  <c r="V8" i="23"/>
  <c r="J97" i="23"/>
  <c r="N97" i="23" s="1"/>
  <c r="J22" i="23"/>
  <c r="N22" i="23" s="1"/>
  <c r="J26" i="23"/>
  <c r="N26" i="23" s="1"/>
  <c r="V3" i="23"/>
  <c r="V11" i="23"/>
  <c r="V34" i="23"/>
  <c r="J45" i="23"/>
  <c r="N45" i="23" s="1"/>
  <c r="J36" i="23"/>
  <c r="N36" i="23" s="1"/>
  <c r="J70" i="23"/>
  <c r="N70" i="23" s="1"/>
  <c r="J96" i="23"/>
  <c r="N96" i="23" s="1"/>
  <c r="J8" i="23"/>
  <c r="J25" i="23"/>
  <c r="V46" i="23"/>
  <c r="V10" i="23"/>
  <c r="N17" i="23"/>
  <c r="J28" i="23"/>
  <c r="N28" i="23" s="1"/>
  <c r="J40" i="23"/>
  <c r="N40" i="23" s="1"/>
  <c r="J74" i="23"/>
  <c r="N74" i="23" s="1"/>
  <c r="V70" i="23"/>
  <c r="V76" i="23"/>
  <c r="V37" i="23"/>
  <c r="V69" i="23"/>
  <c r="V95" i="23"/>
  <c r="J31" i="23"/>
  <c r="N31" i="23" s="1"/>
  <c r="J18" i="23"/>
  <c r="N18" i="23" s="1"/>
  <c r="J2" i="23"/>
  <c r="N2" i="23" s="1"/>
  <c r="J38" i="23"/>
  <c r="N38" i="23" s="1"/>
  <c r="J12" i="23"/>
  <c r="N12" i="23" s="1"/>
  <c r="V16" i="23"/>
  <c r="V31" i="23"/>
  <c r="J63" i="23"/>
  <c r="N63" i="23" s="1"/>
  <c r="V26" i="23"/>
  <c r="V48" i="23"/>
  <c r="V64" i="23"/>
  <c r="J91" i="23"/>
  <c r="N91" i="23" s="1"/>
  <c r="V93" i="23"/>
  <c r="J43" i="23"/>
  <c r="N43" i="23" s="1"/>
  <c r="J41" i="23"/>
  <c r="N41" i="23" s="1"/>
  <c r="J71" i="23"/>
  <c r="N71" i="23" s="1"/>
  <c r="J68" i="23"/>
  <c r="N68" i="23" s="1"/>
  <c r="J33" i="23"/>
  <c r="N33" i="23" s="1"/>
  <c r="V14" i="23"/>
  <c r="J20" i="23"/>
  <c r="N20" i="23" s="1"/>
  <c r="V28" i="23"/>
  <c r="J4" i="23"/>
  <c r="N4" i="23" s="1"/>
  <c r="V39" i="23"/>
  <c r="J52" i="23"/>
  <c r="N52" i="23" s="1"/>
  <c r="V61" i="23"/>
  <c r="J78" i="23"/>
  <c r="N78" i="23" s="1"/>
  <c r="J85" i="23"/>
  <c r="N85" i="23" s="1"/>
  <c r="J89" i="23"/>
  <c r="N89" i="23" s="1"/>
  <c r="J44" i="23"/>
  <c r="N44" i="23" s="1"/>
  <c r="J67" i="23"/>
  <c r="N67" i="23" s="1"/>
  <c r="J14" i="23"/>
  <c r="N14" i="23" s="1"/>
  <c r="J9" i="23"/>
  <c r="N9" i="23" s="1"/>
  <c r="V65" i="23"/>
  <c r="V94" i="23"/>
  <c r="V2" i="23"/>
  <c r="V4" i="23"/>
  <c r="V5" i="23"/>
  <c r="V35" i="23"/>
  <c r="J57" i="23"/>
  <c r="N57" i="23" s="1"/>
  <c r="J76" i="23"/>
  <c r="N76" i="23" s="1"/>
  <c r="V84" i="23"/>
  <c r="V87" i="23"/>
  <c r="V88" i="23"/>
  <c r="V30" i="23"/>
  <c r="V32" i="23"/>
  <c r="J46" i="23"/>
  <c r="N46" i="23" s="1"/>
  <c r="J49" i="23"/>
  <c r="N49" i="23" s="1"/>
  <c r="J55" i="23"/>
  <c r="N55" i="23" s="1"/>
  <c r="V57" i="23"/>
  <c r="V58" i="23"/>
  <c r="J73" i="23"/>
  <c r="N73" i="23" s="1"/>
  <c r="N5" i="23"/>
  <c r="V44" i="23"/>
  <c r="V56" i="23"/>
  <c r="V59" i="23"/>
  <c r="V63" i="23"/>
  <c r="N84" i="23"/>
  <c r="N94" i="23"/>
  <c r="V20" i="23"/>
  <c r="V23" i="23"/>
  <c r="V27" i="23"/>
  <c r="V22" i="23"/>
  <c r="V92" i="23"/>
  <c r="V73" i="23"/>
  <c r="V75" i="23"/>
  <c r="V78" i="23"/>
  <c r="V80" i="23"/>
  <c r="V83" i="23"/>
  <c r="V90" i="23"/>
  <c r="V96" i="23"/>
  <c r="V72" i="23"/>
  <c r="V51" i="23"/>
  <c r="V53" i="23"/>
  <c r="V54" i="23"/>
  <c r="N66" i="23"/>
  <c r="V66" i="23"/>
  <c r="V18" i="23"/>
  <c r="J80" i="23"/>
  <c r="N80" i="23" s="1"/>
  <c r="V6" i="23"/>
  <c r="N13" i="23"/>
  <c r="V13" i="23"/>
  <c r="J6" i="23"/>
  <c r="N6" i="23" s="1"/>
  <c r="V12" i="23"/>
  <c r="J56" i="23"/>
  <c r="N56" i="23" s="1"/>
  <c r="J3" i="23"/>
  <c r="N3" i="23" s="1"/>
  <c r="N25" i="23"/>
  <c r="V55" i="23"/>
  <c r="V79" i="23"/>
  <c r="N79" i="23"/>
  <c r="V7" i="23"/>
  <c r="V33" i="23"/>
  <c r="V45" i="23"/>
  <c r="N8" i="23"/>
  <c r="J15" i="23"/>
  <c r="N15" i="23" s="1"/>
  <c r="J50" i="23"/>
  <c r="N50" i="23" s="1"/>
  <c r="J59" i="23"/>
  <c r="N59" i="23" s="1"/>
  <c r="J16" i="23"/>
  <c r="N16" i="23" s="1"/>
  <c r="J39" i="23"/>
  <c r="N39" i="23" s="1"/>
  <c r="V47" i="23"/>
  <c r="J61" i="23"/>
  <c r="N61" i="23" s="1"/>
  <c r="V89" i="23"/>
  <c r="V91" i="23"/>
  <c r="V9" i="23"/>
  <c r="J27" i="23"/>
  <c r="N27" i="23" s="1"/>
  <c r="V38" i="23"/>
  <c r="J10" i="23"/>
  <c r="N10" i="23" s="1"/>
  <c r="N48" i="23"/>
  <c r="V60" i="23"/>
  <c r="N60" i="23"/>
  <c r="V71" i="23"/>
  <c r="V97" i="23"/>
  <c r="J11" i="23"/>
  <c r="N11" i="23" s="1"/>
  <c r="V25" i="23"/>
  <c r="V74" i="23"/>
  <c r="J75" i="23"/>
  <c r="N75" i="23" s="1"/>
  <c r="J95" i="23"/>
  <c r="N95" i="23" s="1"/>
  <c r="J29" i="23"/>
  <c r="N29" i="23" s="1"/>
  <c r="J64" i="23"/>
  <c r="N64" i="23" s="1"/>
  <c r="J77" i="23"/>
  <c r="N77" i="23" s="1"/>
  <c r="N23" i="23"/>
  <c r="V29" i="23"/>
  <c r="V77" i="23"/>
  <c r="V85" i="23"/>
  <c r="J19" i="23"/>
  <c r="N19" i="23" s="1"/>
  <c r="J81" i="23"/>
  <c r="N81" i="23" s="1"/>
  <c r="J92" i="23"/>
  <c r="N92" i="23" s="1"/>
  <c r="J93" i="23"/>
  <c r="N93" i="23" s="1"/>
  <c r="J32" i="23"/>
  <c r="N32" i="23" s="1"/>
  <c r="V36" i="23"/>
  <c r="N72" i="23"/>
  <c r="V41" i="23"/>
  <c r="J62" i="23"/>
  <c r="N62" i="23" s="1"/>
  <c r="J88" i="23"/>
  <c r="N88" i="23" s="1"/>
  <c r="V24" i="23"/>
  <c r="J47" i="23"/>
  <c r="N47" i="23" s="1"/>
  <c r="V49" i="23"/>
  <c r="J58" i="23"/>
  <c r="N58" i="23" s="1"/>
  <c r="N42" i="23"/>
  <c r="V50" i="23"/>
  <c r="J53" i="23"/>
  <c r="N53" i="23" s="1"/>
  <c r="J83" i="23"/>
  <c r="N83" i="23" s="1"/>
  <c r="J35" i="23"/>
  <c r="N35" i="23" s="1"/>
  <c r="V21" i="23"/>
  <c r="J51" i="23"/>
  <c r="N51" i="23" s="1"/>
  <c r="V19" i="23"/>
  <c r="V43" i="23"/>
  <c r="N54" i="23"/>
  <c r="V62" i="23"/>
  <c r="J65" i="23"/>
  <c r="N65" i="23" s="1"/>
  <c r="N37" i="23"/>
  <c r="V67" i="23"/>
  <c r="V86" i="23"/>
  <c r="N30" i="23"/>
  <c r="V42" i="23"/>
  <c r="J87" i="23"/>
  <c r="N87" i="23" s="1"/>
  <c r="N90" i="23"/>
  <c r="Y57" i="24" l="1"/>
  <c r="Y91" i="24" s="1"/>
  <c r="X91" i="24"/>
  <c r="Y2" i="23"/>
  <c r="X101" i="23" l="1"/>
  <c r="Y101" i="23"/>
</calcChain>
</file>

<file path=xl/sharedStrings.xml><?xml version="1.0" encoding="utf-8"?>
<sst xmlns="http://schemas.openxmlformats.org/spreadsheetml/2006/main" count="125" uniqueCount="31">
  <si>
    <t>Sweep gas flow rate Q (std. m3/s)</t>
  </si>
  <si>
    <t>Sweep gas flow rate Ar equivalent (std. ml/min)</t>
  </si>
  <si>
    <t>Sweep gas flow rate N2 equivalent (std. ml/min)</t>
  </si>
  <si>
    <t>Temp of sweep gas for standard condition (DegC)</t>
  </si>
  <si>
    <t>Pressure of sweep gas for standard condition (kPa-a)</t>
  </si>
  <si>
    <t xml:space="preserve">Measured PPM by GC </t>
  </si>
  <si>
    <t>Time (h)</t>
  </si>
  <si>
    <t>Time (min)</t>
  </si>
  <si>
    <t>mol/s for sweep gas (n)</t>
  </si>
  <si>
    <t xml:space="preserve">Mole fraction of H2 in Ar (C) </t>
  </si>
  <si>
    <t>Temp of sweep gas for standard condition, T (K)</t>
  </si>
  <si>
    <t>Pressure of sweep gas for standard condition, P (Pa)</t>
  </si>
  <si>
    <t>Upstream volume total pressure (bar-g)</t>
  </si>
  <si>
    <t>Downstream total pressure (bar-g)</t>
  </si>
  <si>
    <t>Downstream total pressure (Pa)</t>
  </si>
  <si>
    <r>
      <t>Upstream volume H2 pressure due to partial Ar displacement through dilution purging P</t>
    </r>
    <r>
      <rPr>
        <b/>
        <vertAlign val="subscript"/>
        <sz val="11"/>
        <rFont val="Times New Roman"/>
        <family val="1"/>
      </rPr>
      <t>up</t>
    </r>
    <r>
      <rPr>
        <b/>
        <sz val="11"/>
        <rFont val="Times New Roman"/>
        <family val="1"/>
      </rPr>
      <t>(Pa)</t>
    </r>
  </si>
  <si>
    <r>
      <t>Thickness of salt layer at 600C,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</si>
  <si>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Thickness of Ni membrane, L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(m)</t>
    </r>
  </si>
  <si>
    <r>
      <t>Avg. 1D Permeability of Ni membrane at 600C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</si>
  <si>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t>Area of layer, A (m2)</t>
  </si>
  <si>
    <r>
      <t>1D Permeability, Ø</t>
    </r>
    <r>
      <rPr>
        <b/>
        <vertAlign val="subscript"/>
        <sz val="11"/>
        <rFont val="Times New Roman"/>
        <family val="1"/>
      </rPr>
      <t>1D</t>
    </r>
    <r>
      <rPr>
        <b/>
        <sz val="11"/>
        <rFont val="Times New Roman"/>
        <family val="1"/>
      </rPr>
      <t xml:space="preserve"> = J</t>
    </r>
    <r>
      <rPr>
        <b/>
        <vertAlign val="subscript"/>
        <sz val="11"/>
        <rFont val="Times New Roman"/>
        <family val="1"/>
      </rPr>
      <t>eff</t>
    </r>
    <r>
      <rPr>
        <b/>
        <sz val="11"/>
        <rFont val="Times New Roman"/>
        <family val="1"/>
      </rPr>
      <t>.L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>/(P</t>
    </r>
    <r>
      <rPr>
        <b/>
        <vertAlign val="subscript"/>
        <sz val="11"/>
        <rFont val="Times New Roman"/>
        <family val="1"/>
      </rPr>
      <t>interface</t>
    </r>
    <r>
      <rPr>
        <b/>
        <sz val="11"/>
        <rFont val="Times New Roman"/>
        <family val="1"/>
      </rPr>
      <t xml:space="preserve"> - P</t>
    </r>
    <r>
      <rPr>
        <b/>
        <vertAlign val="subscript"/>
        <sz val="11"/>
        <rFont val="Times New Roman"/>
        <family val="1"/>
      </rPr>
      <t>down</t>
    </r>
    <r>
      <rPr>
        <b/>
        <sz val="11"/>
        <rFont val="Times New Roman"/>
        <family val="1"/>
      </rPr>
      <t>)</t>
    </r>
    <r>
      <rPr>
        <b/>
        <sz val="12"/>
        <rFont val="Times New Roman"/>
        <family val="1"/>
      </rPr>
      <t xml:space="preserve"> (H2/m.s.Pa)</t>
    </r>
  </si>
  <si>
    <t>Pressure at Ni-salt interface (Pa)</t>
  </si>
  <si>
    <r>
      <t>Downstream H2 pressure P</t>
    </r>
    <r>
      <rPr>
        <b/>
        <vertAlign val="subscript"/>
        <sz val="11"/>
        <color theme="1"/>
        <rFont val="Times New Roman"/>
        <family val="1"/>
      </rPr>
      <t>down, Ni</t>
    </r>
    <r>
      <rPr>
        <b/>
        <sz val="11"/>
        <color theme="1"/>
        <rFont val="Times New Roman"/>
        <family val="1"/>
      </rPr>
      <t xml:space="preserve"> (Pa)</t>
    </r>
  </si>
  <si>
    <r>
      <t>1D Permeability, Ø</t>
    </r>
    <r>
      <rPr>
        <b/>
        <vertAlign val="subscript"/>
        <sz val="11"/>
        <rFont val="Times New Roman"/>
        <family val="1"/>
      </rPr>
      <t>1D</t>
    </r>
    <r>
      <rPr>
        <b/>
        <sz val="11"/>
        <rFont val="Times New Roman"/>
        <family val="1"/>
      </rPr>
      <t xml:space="preserve"> = J</t>
    </r>
    <r>
      <rPr>
        <b/>
        <vertAlign val="subscript"/>
        <sz val="11"/>
        <rFont val="Times New Roman"/>
        <family val="1"/>
      </rPr>
      <t>eff</t>
    </r>
    <r>
      <rPr>
        <b/>
        <sz val="11"/>
        <rFont val="Times New Roman"/>
        <family val="1"/>
      </rPr>
      <t>.L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>/(P</t>
    </r>
    <r>
      <rPr>
        <b/>
        <vertAlign val="subscript"/>
        <sz val="11"/>
        <rFont val="Times New Roman"/>
        <family val="1"/>
      </rPr>
      <t>up</t>
    </r>
    <r>
      <rPr>
        <b/>
        <sz val="11"/>
        <rFont val="Times New Roman"/>
        <family val="1"/>
      </rPr>
      <t xml:space="preserve"> - P</t>
    </r>
    <r>
      <rPr>
        <b/>
        <vertAlign val="subscript"/>
        <sz val="11"/>
        <rFont val="Times New Roman"/>
        <family val="1"/>
      </rPr>
      <t>interface</t>
    </r>
    <r>
      <rPr>
        <b/>
        <sz val="11"/>
        <rFont val="Times New Roman"/>
        <family val="1"/>
      </rPr>
      <t>)</t>
    </r>
    <r>
      <rPr>
        <b/>
        <sz val="12"/>
        <rFont val="Times New Roman"/>
        <family val="1"/>
      </rPr>
      <t xml:space="preserve"> (mol/m.s.Pa)</t>
    </r>
  </si>
  <si>
    <r>
      <t>Avg. 1D Permeability of Ni membrane at 550C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</si>
  <si>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550C,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</si>
  <si>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t>Measured permeation flux J (mol/m2-s)</t>
  </si>
  <si>
    <r>
      <t>Avg. 1D Permeability of Ni membrane at 500C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</si>
  <si>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500C,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</si>
  <si>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Avg. 1D Permeability of Ni membrane at 700C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</si>
  <si>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700C,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</si>
</sst>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vertAlign val="subscript"/>
      <sz val="11"/>
      <name val="Times New Roman"/>
      <family val="1"/>
    </font>
    <font>
      <b/>
      <sz val="12"/>
      <name val="Times New Roman"/>
      <family val="1"/>
    </font>
    <font>
      <b/>
      <vertAlign val="subscript"/>
      <sz val="11"/>
      <color rgb="FF00B050"/>
      <name val="Times New Roman"/>
      <family val="1"/>
    </font>
    <font>
      <b/>
      <sz val="8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1" fontId="3" fillId="0" borderId="2" xfId="0" applyNumberFormat="1" applyFont="1" applyBorder="1" applyAlignment="1">
      <alignment horizontal="center"/>
    </xf>
    <xf numFmtId="11" fontId="3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/>
    </xf>
    <xf numFmtId="11" fontId="5" fillId="2" borderId="1" xfId="0" applyNumberFormat="1" applyFont="1" applyFill="1" applyBorder="1" applyAlignment="1">
      <alignment horizontal="center" vertical="center" wrapText="1"/>
    </xf>
    <xf numFmtId="11" fontId="1" fillId="0" borderId="2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1" fontId="2" fillId="2" borderId="1" xfId="0" applyNumberFormat="1" applyFont="1" applyFill="1" applyBorder="1" applyAlignment="1">
      <alignment horizontal="center" vertical="center" wrapText="1"/>
    </xf>
    <xf numFmtId="11" fontId="2" fillId="3" borderId="1" xfId="0" applyNumberFormat="1" applyFont="1" applyFill="1" applyBorder="1" applyAlignment="1">
      <alignment horizontal="center" vertical="center" wrapText="1"/>
    </xf>
    <xf numFmtId="11" fontId="4" fillId="0" borderId="2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1" fontId="8" fillId="0" borderId="1" xfId="0" applyNumberFormat="1" applyFont="1" applyBorder="1" applyAlignment="1">
      <alignment horizontal="center"/>
    </xf>
    <xf numFmtId="11" fontId="7" fillId="2" borderId="1" xfId="0" applyNumberFormat="1" applyFont="1" applyFill="1" applyBorder="1" applyAlignment="1">
      <alignment horizontal="center" vertical="center" wrapText="1"/>
    </xf>
    <xf numFmtId="11" fontId="8" fillId="0" borderId="2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1" fontId="3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1" fontId="1" fillId="3" borderId="1" xfId="0" applyNumberFormat="1" applyFont="1" applyFill="1" applyBorder="1" applyAlignment="1">
      <alignment horizontal="center"/>
    </xf>
    <xf numFmtId="11" fontId="2" fillId="3" borderId="1" xfId="0" applyNumberFormat="1" applyFont="1" applyFill="1" applyBorder="1" applyAlignment="1">
      <alignment horizontal="center"/>
    </xf>
    <xf numFmtId="11" fontId="3" fillId="4" borderId="1" xfId="0" applyNumberFormat="1" applyFont="1" applyFill="1" applyBorder="1" applyAlignment="1">
      <alignment horizontal="center"/>
    </xf>
    <xf numFmtId="11" fontId="8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C5E8-9320-4854-A020-6D087BE04E73}">
  <dimension ref="A1:BX213"/>
  <sheetViews>
    <sheetView topLeftCell="M74" zoomScale="110" zoomScaleNormal="11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4" customWidth="1"/>
    <col min="12" max="12" width="20.88671875" style="3" customWidth="1"/>
    <col min="13" max="13" width="27.33203125" style="3" customWidth="1"/>
    <col min="14" max="15" width="20.6640625" style="23" customWidth="1"/>
    <col min="16" max="16" width="32.88671875" style="23" customWidth="1"/>
    <col min="17" max="17" width="23.21875" style="8" customWidth="1"/>
    <col min="18" max="18" width="30.88671875" style="8" customWidth="1"/>
    <col min="19" max="19" width="20.6640625" style="8" customWidth="1"/>
    <col min="20" max="20" width="20.6640625" style="13" customWidth="1"/>
    <col min="21" max="21" width="20.6640625" style="8" customWidth="1"/>
    <col min="22" max="22" width="20.6640625" style="13" customWidth="1"/>
    <col min="23" max="23" width="23.77734375" style="19" customWidth="1"/>
    <col min="24" max="24" width="47.33203125" style="8" customWidth="1"/>
    <col min="25" max="25" width="51.6640625" style="19" customWidth="1"/>
    <col min="26" max="16384" width="8.88671875" style="6"/>
  </cols>
  <sheetData>
    <row r="1" spans="1:25" s="24" customFormat="1" ht="53.4" customHeight="1" x14ac:dyDescent="0.3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19</v>
      </c>
      <c r="N1" s="22" t="s">
        <v>26</v>
      </c>
      <c r="O1" s="22" t="s">
        <v>17</v>
      </c>
      <c r="P1" s="22" t="s">
        <v>27</v>
      </c>
      <c r="Q1" s="18" t="s">
        <v>12</v>
      </c>
      <c r="R1" s="17" t="s">
        <v>15</v>
      </c>
      <c r="S1" s="17" t="s">
        <v>28</v>
      </c>
      <c r="T1" s="12" t="s">
        <v>13</v>
      </c>
      <c r="U1" s="17" t="s">
        <v>14</v>
      </c>
      <c r="V1" s="12" t="s">
        <v>22</v>
      </c>
      <c r="W1" s="12" t="s">
        <v>21</v>
      </c>
      <c r="X1" s="25" t="s">
        <v>23</v>
      </c>
      <c r="Y1" s="25" t="s">
        <v>20</v>
      </c>
    </row>
    <row r="2" spans="1:25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4">
        <v>7.1485148514851486</v>
      </c>
      <c r="L2" s="2">
        <f>(K2/1000000)</f>
        <v>7.1485148514851483E-6</v>
      </c>
      <c r="M2" s="3">
        <f>(3.142*3.07*3.07*25.4*25.4)/(4*1000000)</f>
        <v>4.7762865441819992E-3</v>
      </c>
      <c r="N2" s="21">
        <f>(L2*J2)/M2</f>
        <v>3.0120179873474221E-8</v>
      </c>
      <c r="O2" s="21">
        <f>(2.032/1000)</f>
        <v>2.032E-3</v>
      </c>
      <c r="P2" s="21">
        <v>4.5724343480153871E-11</v>
      </c>
      <c r="Q2" s="2">
        <v>0.31</v>
      </c>
      <c r="R2" s="2">
        <f>(1+Q2)*100000*1</f>
        <v>131000</v>
      </c>
      <c r="S2" s="2">
        <f>(5.13985794328043/1000)</f>
        <v>5.1398579432804297E-3</v>
      </c>
      <c r="T2" s="11">
        <v>0.1</v>
      </c>
      <c r="U2" s="11">
        <f>(1+T2)*100000</f>
        <v>110000.00000000001</v>
      </c>
      <c r="V2" s="11">
        <f t="shared" ref="V2:V65" si="1">(L2*U2)</f>
        <v>0.78633663366336637</v>
      </c>
      <c r="W2" s="11">
        <f>((N2*O2/P2) + SQRT(V2))^2</f>
        <v>4.9519767317553649</v>
      </c>
      <c r="X2" s="2">
        <f>(N2*S2)/(R2-W2)</f>
        <v>1.1818267034660179E-15</v>
      </c>
      <c r="Y2" s="2">
        <f>(X2*6.022E+23)</f>
        <v>711696040.82723606</v>
      </c>
    </row>
    <row r="3" spans="1:25" x14ac:dyDescent="0.25">
      <c r="A3" s="26">
        <v>3</v>
      </c>
      <c r="B3" s="26">
        <f t="shared" ref="B3:B66" si="2">(A3/60)</f>
        <v>0.05</v>
      </c>
      <c r="C3" s="26">
        <v>20</v>
      </c>
      <c r="D3" s="26">
        <f t="shared" si="0"/>
        <v>29.146000000000001</v>
      </c>
      <c r="E3" s="26">
        <f t="shared" ref="E3:E66" si="3">(D3/(1000000*60))</f>
        <v>4.8576666666666667E-7</v>
      </c>
      <c r="F3" s="26">
        <v>21.1</v>
      </c>
      <c r="G3" s="26">
        <f t="shared" ref="G3:G66" si="4">(273+F3)</f>
        <v>294.10000000000002</v>
      </c>
      <c r="H3" s="26">
        <v>101.3</v>
      </c>
      <c r="I3" s="26">
        <f t="shared" ref="I3:I66" si="5">(H3*1000)</f>
        <v>101300</v>
      </c>
      <c r="J3" s="26">
        <f t="shared" ref="J3:J66" si="6">((I3*E3)/(8.314*G3))</f>
        <v>2.0124824921938581E-5</v>
      </c>
      <c r="K3" s="14">
        <v>3.9059405940594059</v>
      </c>
      <c r="L3" s="27">
        <f t="shared" ref="L3:L66" si="7">(K3/1000000)</f>
        <v>3.9059405940594056E-6</v>
      </c>
      <c r="M3" s="29">
        <f t="shared" ref="M3:M66" si="8">(3.142*3.07*3.07*25.4*25.4)/(4*1000000)</f>
        <v>4.7762865441819992E-3</v>
      </c>
      <c r="N3" s="33">
        <f t="shared" ref="N3:N66" si="9">(L3*J3)/M3</f>
        <v>1.6457632908705789E-8</v>
      </c>
      <c r="O3" s="21">
        <f t="shared" ref="O3:O66" si="10">(2.032/1000)</f>
        <v>2.032E-3</v>
      </c>
      <c r="P3" s="21">
        <v>4.5724343480153871E-11</v>
      </c>
      <c r="Q3" s="2">
        <v>0.31</v>
      </c>
      <c r="R3" s="27">
        <f t="shared" ref="R3:R66" si="11">(1+Q3)*100000*1</f>
        <v>131000</v>
      </c>
      <c r="S3" s="2">
        <f t="shared" ref="S3:S66" si="12">(5.13985794328043/1000)</f>
        <v>5.1398579432804297E-3</v>
      </c>
      <c r="T3" s="11">
        <v>0.1</v>
      </c>
      <c r="U3" s="30">
        <f t="shared" ref="U3:U66" si="13">(1+T3)*100000</f>
        <v>110000.00000000001</v>
      </c>
      <c r="V3" s="30">
        <f t="shared" si="1"/>
        <v>0.4296534653465347</v>
      </c>
      <c r="W3" s="11">
        <f t="shared" ref="W3:W66" si="14">((N3*O3/P3) + SQRT(V3))^2</f>
        <v>1.9233818745185591</v>
      </c>
      <c r="X3" s="2">
        <f t="shared" ref="X3:X66" si="15">(N3*S3)/(R3-W3)</f>
        <v>6.4573387195595373E-16</v>
      </c>
      <c r="Y3" s="2">
        <f t="shared" ref="Y3:Y66" si="16">(X3*6.022E+23)</f>
        <v>388860937.69187534</v>
      </c>
    </row>
    <row r="4" spans="1:25" x14ac:dyDescent="0.25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14">
        <v>8.8069306930693081</v>
      </c>
      <c r="L4" s="27">
        <f t="shared" si="7"/>
        <v>8.8069306930693074E-6</v>
      </c>
      <c r="M4" s="29">
        <f t="shared" si="8"/>
        <v>4.7762865441819992E-3</v>
      </c>
      <c r="N4" s="33">
        <f t="shared" si="9"/>
        <v>3.7107894733317619E-8</v>
      </c>
      <c r="O4" s="21">
        <f t="shared" si="10"/>
        <v>2.032E-3</v>
      </c>
      <c r="P4" s="21">
        <v>4.5724343480153871E-11</v>
      </c>
      <c r="Q4" s="2">
        <v>0.31</v>
      </c>
      <c r="R4" s="27">
        <f t="shared" si="11"/>
        <v>131000</v>
      </c>
      <c r="S4" s="2">
        <f t="shared" si="12"/>
        <v>5.1398579432804297E-3</v>
      </c>
      <c r="T4" s="11">
        <v>0.1</v>
      </c>
      <c r="U4" s="30">
        <f t="shared" si="13"/>
        <v>110000.00000000001</v>
      </c>
      <c r="V4" s="30">
        <f t="shared" si="1"/>
        <v>0.96876237623762396</v>
      </c>
      <c r="W4" s="11">
        <f t="shared" si="14"/>
        <v>6.9344815122034946</v>
      </c>
      <c r="X4" s="2">
        <f t="shared" si="15"/>
        <v>1.4560259869369794E-15</v>
      </c>
      <c r="Y4" s="2">
        <f t="shared" si="16"/>
        <v>876818849.33344901</v>
      </c>
    </row>
    <row r="5" spans="1:25" x14ac:dyDescent="0.25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14">
        <v>2.8168316831683167</v>
      </c>
      <c r="L5" s="27">
        <f t="shared" si="7"/>
        <v>2.8168316831683166E-6</v>
      </c>
      <c r="M5" s="29">
        <f t="shared" si="8"/>
        <v>4.7762865441819992E-3</v>
      </c>
      <c r="N5" s="33">
        <f t="shared" si="9"/>
        <v>1.1868685836569826E-8</v>
      </c>
      <c r="O5" s="21">
        <f t="shared" si="10"/>
        <v>2.032E-3</v>
      </c>
      <c r="P5" s="21">
        <v>4.5724343480153871E-11</v>
      </c>
      <c r="Q5" s="2">
        <v>0.31</v>
      </c>
      <c r="R5" s="27">
        <f t="shared" si="11"/>
        <v>131000</v>
      </c>
      <c r="S5" s="2">
        <f t="shared" si="12"/>
        <v>5.1398579432804297E-3</v>
      </c>
      <c r="T5" s="11">
        <v>0.1</v>
      </c>
      <c r="U5" s="30">
        <f t="shared" si="13"/>
        <v>110000.00000000001</v>
      </c>
      <c r="V5" s="30">
        <f t="shared" si="1"/>
        <v>0.30985148514851485</v>
      </c>
      <c r="W5" s="11">
        <f t="shared" si="14"/>
        <v>1.175251323084737</v>
      </c>
      <c r="X5" s="2">
        <f t="shared" si="15"/>
        <v>4.6567867528910406E-16</v>
      </c>
      <c r="Y5" s="2">
        <f t="shared" si="16"/>
        <v>280431698.25909847</v>
      </c>
    </row>
    <row r="6" spans="1:25" x14ac:dyDescent="0.25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14">
        <v>5.0198019801980198</v>
      </c>
      <c r="L6" s="27">
        <f t="shared" si="7"/>
        <v>5.01980198019802E-6</v>
      </c>
      <c r="M6" s="29">
        <f t="shared" si="8"/>
        <v>4.7762865441819992E-3</v>
      </c>
      <c r="N6" s="33">
        <f t="shared" si="9"/>
        <v>2.1150874232481204E-8</v>
      </c>
      <c r="O6" s="21">
        <f t="shared" si="10"/>
        <v>2.032E-3</v>
      </c>
      <c r="P6" s="21">
        <v>4.5724343480153871E-11</v>
      </c>
      <c r="Q6" s="2">
        <v>0.31</v>
      </c>
      <c r="R6" s="27">
        <f t="shared" si="11"/>
        <v>131000</v>
      </c>
      <c r="S6" s="2">
        <f t="shared" si="12"/>
        <v>5.1398579432804297E-3</v>
      </c>
      <c r="T6" s="11">
        <v>0.1</v>
      </c>
      <c r="U6" s="30">
        <f t="shared" si="13"/>
        <v>110000.00000000001</v>
      </c>
      <c r="V6" s="30">
        <f t="shared" si="1"/>
        <v>0.55217821782178222</v>
      </c>
      <c r="W6" s="11">
        <f t="shared" si="14"/>
        <v>2.8326118927967117</v>
      </c>
      <c r="X6" s="2">
        <f t="shared" si="15"/>
        <v>8.2988427229926143E-16</v>
      </c>
      <c r="Y6" s="2">
        <f t="shared" si="16"/>
        <v>499756308.77861524</v>
      </c>
    </row>
    <row r="7" spans="1:25" x14ac:dyDescent="0.25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14">
        <v>3.9554455445544554</v>
      </c>
      <c r="L7" s="27">
        <f t="shared" si="7"/>
        <v>3.9554455445544554E-6</v>
      </c>
      <c r="M7" s="29">
        <f t="shared" si="8"/>
        <v>4.7762865441819992E-3</v>
      </c>
      <c r="N7" s="33">
        <f t="shared" si="9"/>
        <v>1.6666221411984695E-8</v>
      </c>
      <c r="O7" s="21">
        <f t="shared" si="10"/>
        <v>2.032E-3</v>
      </c>
      <c r="P7" s="21">
        <v>4.5724343480153871E-11</v>
      </c>
      <c r="Q7" s="2">
        <v>0.31</v>
      </c>
      <c r="R7" s="27">
        <f t="shared" si="11"/>
        <v>131000</v>
      </c>
      <c r="S7" s="2">
        <f t="shared" si="12"/>
        <v>5.1398579432804297E-3</v>
      </c>
      <c r="T7" s="11">
        <v>0.1</v>
      </c>
      <c r="U7" s="30">
        <f t="shared" si="13"/>
        <v>110000.00000000001</v>
      </c>
      <c r="V7" s="30">
        <f t="shared" si="1"/>
        <v>0.43509900990099015</v>
      </c>
      <c r="W7" s="11">
        <f t="shared" si="14"/>
        <v>1.9607587093144376</v>
      </c>
      <c r="X7" s="2">
        <f t="shared" si="15"/>
        <v>6.5391826476941024E-16</v>
      </c>
      <c r="Y7" s="2">
        <f t="shared" si="16"/>
        <v>393789579.04413885</v>
      </c>
    </row>
    <row r="8" spans="1:25" x14ac:dyDescent="0.25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14">
        <v>19.64851485148515</v>
      </c>
      <c r="L8" s="27">
        <f t="shared" si="7"/>
        <v>1.9648514851485151E-5</v>
      </c>
      <c r="M8" s="29">
        <f t="shared" si="8"/>
        <v>4.7762865441819992E-3</v>
      </c>
      <c r="N8" s="33">
        <f t="shared" si="9"/>
        <v>8.2788776951398334E-8</v>
      </c>
      <c r="O8" s="21">
        <f t="shared" si="10"/>
        <v>2.032E-3</v>
      </c>
      <c r="P8" s="21">
        <v>4.5724343480153871E-11</v>
      </c>
      <c r="Q8" s="2">
        <v>0.31</v>
      </c>
      <c r="R8" s="27">
        <f t="shared" si="11"/>
        <v>131000</v>
      </c>
      <c r="S8" s="2">
        <f t="shared" si="12"/>
        <v>5.1398579432804297E-3</v>
      </c>
      <c r="T8" s="11">
        <v>0.1</v>
      </c>
      <c r="U8" s="30">
        <f t="shared" si="13"/>
        <v>110000.00000000001</v>
      </c>
      <c r="V8" s="30">
        <f t="shared" si="1"/>
        <v>2.161336633663367</v>
      </c>
      <c r="W8" s="11">
        <f t="shared" si="14"/>
        <v>26.515292336857975</v>
      </c>
      <c r="X8" s="2">
        <f t="shared" si="15"/>
        <v>3.2489213658619221E-15</v>
      </c>
      <c r="Y8" s="2">
        <f t="shared" si="16"/>
        <v>1956500446.5220497</v>
      </c>
    </row>
    <row r="9" spans="1:25" x14ac:dyDescent="0.25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14">
        <v>3.8564356435643563</v>
      </c>
      <c r="L9" s="27">
        <f t="shared" si="7"/>
        <v>3.8564356435643567E-6</v>
      </c>
      <c r="M9" s="29">
        <f t="shared" si="8"/>
        <v>4.7762865441819992E-3</v>
      </c>
      <c r="N9" s="33">
        <f t="shared" si="9"/>
        <v>1.6249044405426884E-8</v>
      </c>
      <c r="O9" s="21">
        <f t="shared" si="10"/>
        <v>2.032E-3</v>
      </c>
      <c r="P9" s="21">
        <v>4.5724343480153871E-11</v>
      </c>
      <c r="Q9" s="2">
        <v>0.31</v>
      </c>
      <c r="R9" s="27">
        <f t="shared" si="11"/>
        <v>131000</v>
      </c>
      <c r="S9" s="2">
        <f t="shared" si="12"/>
        <v>5.1398579432804297E-3</v>
      </c>
      <c r="T9" s="11">
        <v>0.1</v>
      </c>
      <c r="U9" s="30">
        <f t="shared" si="13"/>
        <v>110000.00000000001</v>
      </c>
      <c r="V9" s="30">
        <f t="shared" si="1"/>
        <v>0.42420792079207931</v>
      </c>
      <c r="W9" s="11">
        <f t="shared" si="14"/>
        <v>1.8862924117143751</v>
      </c>
      <c r="X9" s="2">
        <f t="shared" si="15"/>
        <v>6.3754948521149496E-16</v>
      </c>
      <c r="Y9" s="2">
        <f t="shared" si="16"/>
        <v>383932299.99436229</v>
      </c>
    </row>
    <row r="10" spans="1:25" x14ac:dyDescent="0.25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14">
        <v>2.9405940594059405</v>
      </c>
      <c r="L10" s="27">
        <f t="shared" si="7"/>
        <v>2.9405940594059405E-6</v>
      </c>
      <c r="M10" s="29">
        <f t="shared" si="8"/>
        <v>4.7762865441819992E-3</v>
      </c>
      <c r="N10" s="33">
        <f t="shared" si="9"/>
        <v>1.2390157094767096E-8</v>
      </c>
      <c r="O10" s="21">
        <f t="shared" si="10"/>
        <v>2.032E-3</v>
      </c>
      <c r="P10" s="21">
        <v>4.5724343480153871E-11</v>
      </c>
      <c r="Q10" s="2">
        <v>0.31</v>
      </c>
      <c r="R10" s="27">
        <f t="shared" si="11"/>
        <v>131000</v>
      </c>
      <c r="S10" s="2">
        <f t="shared" si="12"/>
        <v>5.1398579432804297E-3</v>
      </c>
      <c r="T10" s="11">
        <v>0.1</v>
      </c>
      <c r="U10" s="30">
        <f t="shared" si="13"/>
        <v>110000.00000000001</v>
      </c>
      <c r="V10" s="30">
        <f t="shared" si="1"/>
        <v>0.32346534653465348</v>
      </c>
      <c r="W10" s="11">
        <f t="shared" si="14"/>
        <v>1.2529701193012843</v>
      </c>
      <c r="X10" s="2">
        <f t="shared" si="15"/>
        <v>4.8613936244370981E-16</v>
      </c>
      <c r="Y10" s="2">
        <f t="shared" si="16"/>
        <v>292753124.06360203</v>
      </c>
    </row>
    <row r="11" spans="1:25" x14ac:dyDescent="0.25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14">
        <v>10.663366336633665</v>
      </c>
      <c r="L11" s="27">
        <f t="shared" si="7"/>
        <v>1.0663366336633665E-5</v>
      </c>
      <c r="M11" s="29">
        <f t="shared" si="8"/>
        <v>4.7762865441819992E-3</v>
      </c>
      <c r="N11" s="33">
        <f t="shared" si="9"/>
        <v>4.4929963606276654E-8</v>
      </c>
      <c r="O11" s="21">
        <f t="shared" si="10"/>
        <v>2.032E-3</v>
      </c>
      <c r="P11" s="21">
        <v>4.5724343480153871E-11</v>
      </c>
      <c r="Q11" s="2">
        <v>0.31</v>
      </c>
      <c r="R11" s="27">
        <f t="shared" si="11"/>
        <v>131000</v>
      </c>
      <c r="S11" s="2">
        <f t="shared" si="12"/>
        <v>5.1398579432804297E-3</v>
      </c>
      <c r="T11" s="11">
        <v>0.1</v>
      </c>
      <c r="U11" s="30">
        <f t="shared" si="13"/>
        <v>110000.00000000001</v>
      </c>
      <c r="V11" s="30">
        <f t="shared" si="1"/>
        <v>1.1729702970297033</v>
      </c>
      <c r="W11" s="11">
        <f t="shared" si="14"/>
        <v>9.484768373782213</v>
      </c>
      <c r="X11" s="2">
        <f t="shared" si="15"/>
        <v>1.7629797846406614E-15</v>
      </c>
      <c r="Y11" s="2">
        <f t="shared" si="16"/>
        <v>1061666426.3106064</v>
      </c>
    </row>
    <row r="12" spans="1:25" x14ac:dyDescent="0.25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14">
        <v>10.01980198019802</v>
      </c>
      <c r="L12" s="27">
        <f t="shared" si="7"/>
        <v>1.001980198019802E-5</v>
      </c>
      <c r="M12" s="29">
        <f t="shared" si="8"/>
        <v>4.7762865441819992E-3</v>
      </c>
      <c r="N12" s="33">
        <f t="shared" si="9"/>
        <v>4.2218313063650845E-8</v>
      </c>
      <c r="O12" s="21">
        <f t="shared" si="10"/>
        <v>2.032E-3</v>
      </c>
      <c r="P12" s="21">
        <v>4.5724343480153871E-11</v>
      </c>
      <c r="Q12" s="2">
        <v>0.31</v>
      </c>
      <c r="R12" s="27">
        <f t="shared" si="11"/>
        <v>131000</v>
      </c>
      <c r="S12" s="2">
        <f t="shared" si="12"/>
        <v>5.1398579432804297E-3</v>
      </c>
      <c r="T12" s="11">
        <v>0.1</v>
      </c>
      <c r="U12" s="30">
        <f t="shared" si="13"/>
        <v>110000.00000000001</v>
      </c>
      <c r="V12" s="30">
        <f t="shared" si="1"/>
        <v>1.1021782178217825</v>
      </c>
      <c r="W12" s="11">
        <f t="shared" si="14"/>
        <v>8.561698302822764</v>
      </c>
      <c r="X12" s="2">
        <f t="shared" si="15"/>
        <v>1.6565672884079954E-15</v>
      </c>
      <c r="Y12" s="2">
        <f t="shared" si="16"/>
        <v>997584821.07929492</v>
      </c>
    </row>
    <row r="13" spans="1:25" x14ac:dyDescent="0.25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14">
        <v>5.7128712871287135</v>
      </c>
      <c r="L13" s="27">
        <f t="shared" si="7"/>
        <v>5.7128712871287131E-6</v>
      </c>
      <c r="M13" s="29">
        <f t="shared" si="8"/>
        <v>4.7762865441819992E-3</v>
      </c>
      <c r="N13" s="33">
        <f t="shared" si="9"/>
        <v>2.4071113278385909E-8</v>
      </c>
      <c r="O13" s="21">
        <f t="shared" si="10"/>
        <v>2.032E-3</v>
      </c>
      <c r="P13" s="21">
        <v>4.5724343480153871E-11</v>
      </c>
      <c r="Q13" s="2">
        <v>0.31</v>
      </c>
      <c r="R13" s="27">
        <f t="shared" si="11"/>
        <v>131000</v>
      </c>
      <c r="S13" s="2">
        <f t="shared" si="12"/>
        <v>5.1398579432804297E-3</v>
      </c>
      <c r="T13" s="11">
        <v>0.1</v>
      </c>
      <c r="U13" s="30">
        <f t="shared" si="13"/>
        <v>110000.00000000001</v>
      </c>
      <c r="V13" s="30">
        <f t="shared" si="1"/>
        <v>0.62841584158415853</v>
      </c>
      <c r="W13" s="11">
        <f t="shared" si="14"/>
        <v>3.4687292037704065</v>
      </c>
      <c r="X13" s="2">
        <f t="shared" si="15"/>
        <v>9.4446854116889801E-16</v>
      </c>
      <c r="Y13" s="2">
        <f t="shared" si="16"/>
        <v>568758955.49191046</v>
      </c>
    </row>
    <row r="14" spans="1:25" x14ac:dyDescent="0.25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14">
        <v>9.9455445544554451</v>
      </c>
      <c r="L14" s="27">
        <f t="shared" si="7"/>
        <v>9.9455445544554449E-6</v>
      </c>
      <c r="M14" s="29">
        <f t="shared" si="8"/>
        <v>4.7762865441819992E-3</v>
      </c>
      <c r="N14" s="33">
        <f t="shared" si="9"/>
        <v>4.1905430308732486E-8</v>
      </c>
      <c r="O14" s="21">
        <f t="shared" si="10"/>
        <v>2.032E-3</v>
      </c>
      <c r="P14" s="21">
        <v>4.5724343480153871E-11</v>
      </c>
      <c r="Q14" s="2">
        <v>0.31</v>
      </c>
      <c r="R14" s="27">
        <f t="shared" si="11"/>
        <v>131000</v>
      </c>
      <c r="S14" s="2">
        <f t="shared" si="12"/>
        <v>5.1398579432804297E-3</v>
      </c>
      <c r="T14" s="11">
        <v>0.1</v>
      </c>
      <c r="U14" s="30">
        <f t="shared" si="13"/>
        <v>110000.00000000001</v>
      </c>
      <c r="V14" s="30">
        <f t="shared" si="1"/>
        <v>1.094009900990099</v>
      </c>
      <c r="W14" s="11">
        <f t="shared" si="14"/>
        <v>8.4578362304000834</v>
      </c>
      <c r="X14" s="2">
        <f t="shared" si="15"/>
        <v>1.6442890531790104E-15</v>
      </c>
      <c r="Y14" s="2">
        <f t="shared" si="16"/>
        <v>990190867.82440007</v>
      </c>
    </row>
    <row r="15" spans="1:25" x14ac:dyDescent="0.25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14">
        <v>9.8217821782178216</v>
      </c>
      <c r="L15" s="27">
        <f t="shared" si="7"/>
        <v>9.8217821782178214E-6</v>
      </c>
      <c r="M15" s="29">
        <f t="shared" si="8"/>
        <v>4.7762865441819992E-3</v>
      </c>
      <c r="N15" s="33">
        <f t="shared" si="9"/>
        <v>4.1383959050535215E-8</v>
      </c>
      <c r="O15" s="21">
        <f t="shared" si="10"/>
        <v>2.032E-3</v>
      </c>
      <c r="P15" s="21">
        <v>4.5724343480153871E-11</v>
      </c>
      <c r="Q15" s="2">
        <v>0.31</v>
      </c>
      <c r="R15" s="27">
        <f t="shared" si="11"/>
        <v>131000</v>
      </c>
      <c r="S15" s="2">
        <f t="shared" si="12"/>
        <v>5.1398579432804297E-3</v>
      </c>
      <c r="T15" s="11">
        <v>0.1</v>
      </c>
      <c r="U15" s="30">
        <f t="shared" si="13"/>
        <v>110000.00000000001</v>
      </c>
      <c r="V15" s="30">
        <f t="shared" si="1"/>
        <v>1.0803960396039605</v>
      </c>
      <c r="W15" s="11">
        <f t="shared" si="14"/>
        <v>8.2859543146195396</v>
      </c>
      <c r="X15" s="2">
        <f t="shared" si="15"/>
        <v>1.623825386208019E-15</v>
      </c>
      <c r="Y15" s="2">
        <f t="shared" si="16"/>
        <v>977867647.57446909</v>
      </c>
    </row>
    <row r="16" spans="1:25" x14ac:dyDescent="0.25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14">
        <v>12.445544554455447</v>
      </c>
      <c r="L16" s="27">
        <f t="shared" si="7"/>
        <v>1.2445544554455446E-5</v>
      </c>
      <c r="M16" s="29">
        <f t="shared" si="8"/>
        <v>4.7762865441819992E-3</v>
      </c>
      <c r="N16" s="33">
        <f t="shared" si="9"/>
        <v>5.243914972431731E-8</v>
      </c>
      <c r="O16" s="21">
        <f t="shared" si="10"/>
        <v>2.032E-3</v>
      </c>
      <c r="P16" s="21">
        <v>4.5724343480153871E-11</v>
      </c>
      <c r="Q16" s="2">
        <v>0.31</v>
      </c>
      <c r="R16" s="27">
        <f t="shared" si="11"/>
        <v>131000</v>
      </c>
      <c r="S16" s="2">
        <f t="shared" si="12"/>
        <v>5.1398579432804297E-3</v>
      </c>
      <c r="T16" s="11">
        <v>0.1</v>
      </c>
      <c r="U16" s="30">
        <f t="shared" si="13"/>
        <v>110000.00000000001</v>
      </c>
      <c r="V16" s="30">
        <f t="shared" si="1"/>
        <v>1.3690099009900993</v>
      </c>
      <c r="W16" s="11">
        <f t="shared" si="14"/>
        <v>12.253181350449944</v>
      </c>
      <c r="X16" s="2">
        <f t="shared" si="15"/>
        <v>2.0576717043813554E-15</v>
      </c>
      <c r="Y16" s="2">
        <f t="shared" si="16"/>
        <v>1239129900.3784523</v>
      </c>
    </row>
    <row r="17" spans="1:76" s="4" customFormat="1" x14ac:dyDescent="0.25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14">
        <v>15.366336633663368</v>
      </c>
      <c r="L17" s="27">
        <f t="shared" si="7"/>
        <v>1.5366336633663367E-5</v>
      </c>
      <c r="M17" s="29">
        <f t="shared" si="8"/>
        <v>4.7762865441819992E-3</v>
      </c>
      <c r="N17" s="33">
        <f t="shared" si="9"/>
        <v>6.4745871417772834E-8</v>
      </c>
      <c r="O17" s="21">
        <f t="shared" si="10"/>
        <v>2.032E-3</v>
      </c>
      <c r="P17" s="21">
        <v>4.5724343480153871E-11</v>
      </c>
      <c r="Q17" s="2">
        <v>0.31</v>
      </c>
      <c r="R17" s="27">
        <f t="shared" si="11"/>
        <v>131000</v>
      </c>
      <c r="S17" s="2">
        <f t="shared" si="12"/>
        <v>5.1398579432804297E-3</v>
      </c>
      <c r="T17" s="11">
        <v>0.1</v>
      </c>
      <c r="U17" s="30">
        <f t="shared" si="13"/>
        <v>110000.00000000001</v>
      </c>
      <c r="V17" s="30">
        <f t="shared" si="1"/>
        <v>1.6902970297029705</v>
      </c>
      <c r="W17" s="11">
        <f t="shared" si="14"/>
        <v>17.450964615221267</v>
      </c>
      <c r="X17" s="2">
        <f t="shared" si="15"/>
        <v>2.5406787694393675E-15</v>
      </c>
      <c r="Y17" s="2">
        <f t="shared" si="16"/>
        <v>1529996754.9563873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4" customFormat="1" x14ac:dyDescent="0.25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14">
        <v>14.524752475247524</v>
      </c>
      <c r="L18" s="27">
        <f t="shared" si="7"/>
        <v>1.4524752475247524E-5</v>
      </c>
      <c r="M18" s="29">
        <f t="shared" si="8"/>
        <v>4.7762865441819992E-3</v>
      </c>
      <c r="N18" s="33">
        <f t="shared" si="9"/>
        <v>6.1199866862031408E-8</v>
      </c>
      <c r="O18" s="21">
        <f t="shared" si="10"/>
        <v>2.032E-3</v>
      </c>
      <c r="P18" s="21">
        <v>4.5724343480153871E-11</v>
      </c>
      <c r="Q18" s="2">
        <v>0.31</v>
      </c>
      <c r="R18" s="27">
        <f t="shared" si="11"/>
        <v>131000</v>
      </c>
      <c r="S18" s="2">
        <f t="shared" si="12"/>
        <v>5.1398579432804297E-3</v>
      </c>
      <c r="T18" s="11">
        <v>0.1</v>
      </c>
      <c r="U18" s="30">
        <f t="shared" si="13"/>
        <v>110000.00000000001</v>
      </c>
      <c r="V18" s="30">
        <f t="shared" si="1"/>
        <v>1.5977227722772278</v>
      </c>
      <c r="W18" s="11">
        <f t="shared" si="14"/>
        <v>15.870234529797653</v>
      </c>
      <c r="X18" s="2">
        <f t="shared" si="15"/>
        <v>2.401501787901638E-15</v>
      </c>
      <c r="Y18" s="2">
        <f t="shared" si="16"/>
        <v>1446184376.6743665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4" customFormat="1" x14ac:dyDescent="0.25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14">
        <v>21.405940594059405</v>
      </c>
      <c r="L19" s="27">
        <f t="shared" si="7"/>
        <v>2.1405940594059406E-5</v>
      </c>
      <c r="M19" s="29">
        <f t="shared" si="8"/>
        <v>4.7762865441819992E-3</v>
      </c>
      <c r="N19" s="33">
        <f t="shared" si="9"/>
        <v>9.0193668817799544E-8</v>
      </c>
      <c r="O19" s="21">
        <f t="shared" si="10"/>
        <v>2.032E-3</v>
      </c>
      <c r="P19" s="21">
        <v>4.5724343480153871E-11</v>
      </c>
      <c r="Q19" s="2">
        <v>0.31</v>
      </c>
      <c r="R19" s="27">
        <f t="shared" si="11"/>
        <v>131000</v>
      </c>
      <c r="S19" s="2">
        <f t="shared" si="12"/>
        <v>5.1398579432804297E-3</v>
      </c>
      <c r="T19" s="11">
        <v>0.1</v>
      </c>
      <c r="U19" s="30">
        <f t="shared" si="13"/>
        <v>110000.00000000001</v>
      </c>
      <c r="V19" s="30">
        <f t="shared" si="1"/>
        <v>2.354653465346535</v>
      </c>
      <c r="W19" s="11">
        <f t="shared" si="14"/>
        <v>30.721686561814764</v>
      </c>
      <c r="X19" s="2">
        <f t="shared" si="15"/>
        <v>3.5396289196716541E-15</v>
      </c>
      <c r="Y19" s="2">
        <f t="shared" si="16"/>
        <v>2131564535.4262702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4" customFormat="1" x14ac:dyDescent="0.25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14">
        <v>21.628712871287131</v>
      </c>
      <c r="L20" s="27">
        <f t="shared" si="7"/>
        <v>2.1628712871287131E-5</v>
      </c>
      <c r="M20" s="29">
        <f t="shared" si="8"/>
        <v>4.7762865441819992E-3</v>
      </c>
      <c r="N20" s="33">
        <f t="shared" si="9"/>
        <v>9.1132317082554634E-8</v>
      </c>
      <c r="O20" s="21">
        <f t="shared" si="10"/>
        <v>2.032E-3</v>
      </c>
      <c r="P20" s="21">
        <v>4.5724343480153871E-11</v>
      </c>
      <c r="Q20" s="2">
        <v>0.31</v>
      </c>
      <c r="R20" s="27">
        <f t="shared" si="11"/>
        <v>131000</v>
      </c>
      <c r="S20" s="2">
        <f t="shared" si="12"/>
        <v>5.1398579432804297E-3</v>
      </c>
      <c r="T20" s="11">
        <v>0.1</v>
      </c>
      <c r="U20" s="30">
        <f t="shared" si="13"/>
        <v>110000.00000000001</v>
      </c>
      <c r="V20" s="30">
        <f t="shared" si="1"/>
        <v>2.3791584158415846</v>
      </c>
      <c r="W20" s="11">
        <f t="shared" si="14"/>
        <v>31.274854222696497</v>
      </c>
      <c r="X20" s="2">
        <f t="shared" si="15"/>
        <v>3.5764810516781729E-15</v>
      </c>
      <c r="Y20" s="2">
        <f t="shared" si="16"/>
        <v>2153756889.3205957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4" customFormat="1" x14ac:dyDescent="0.25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14">
        <v>27.693069306930695</v>
      </c>
      <c r="L21" s="27">
        <f t="shared" si="7"/>
        <v>2.7693069306930696E-5</v>
      </c>
      <c r="M21" s="29">
        <f t="shared" si="8"/>
        <v>4.7762865441819992E-3</v>
      </c>
      <c r="N21" s="33">
        <f t="shared" si="9"/>
        <v>1.166844087342208E-7</v>
      </c>
      <c r="O21" s="21">
        <f t="shared" si="10"/>
        <v>2.032E-3</v>
      </c>
      <c r="P21" s="21">
        <v>4.5724343480153871E-11</v>
      </c>
      <c r="Q21" s="2">
        <v>0.31</v>
      </c>
      <c r="R21" s="27">
        <f t="shared" si="11"/>
        <v>131000</v>
      </c>
      <c r="S21" s="2">
        <f t="shared" si="12"/>
        <v>5.1398579432804297E-3</v>
      </c>
      <c r="T21" s="11">
        <v>0.1</v>
      </c>
      <c r="U21" s="30">
        <f t="shared" si="13"/>
        <v>110000.00000000001</v>
      </c>
      <c r="V21" s="30">
        <f t="shared" si="1"/>
        <v>3.0462376237623769</v>
      </c>
      <c r="W21" s="11">
        <f t="shared" si="14"/>
        <v>48.036383887794727</v>
      </c>
      <c r="X21" s="2">
        <f t="shared" si="15"/>
        <v>4.5798571363749561E-15</v>
      </c>
      <c r="Y21" s="2">
        <f t="shared" si="16"/>
        <v>2757989967.5249987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4" customFormat="1" x14ac:dyDescent="0.25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14">
        <v>31.975247524752479</v>
      </c>
      <c r="L22" s="27">
        <f t="shared" si="7"/>
        <v>3.1975247524752476E-5</v>
      </c>
      <c r="M22" s="29">
        <f t="shared" si="8"/>
        <v>4.7762865441819992E-3</v>
      </c>
      <c r="N22" s="33">
        <f t="shared" si="9"/>
        <v>1.3472731426784626E-7</v>
      </c>
      <c r="O22" s="21">
        <f t="shared" si="10"/>
        <v>2.032E-3</v>
      </c>
      <c r="P22" s="21">
        <v>4.5724343480153871E-11</v>
      </c>
      <c r="Q22" s="2">
        <v>0.31</v>
      </c>
      <c r="R22" s="27">
        <f t="shared" si="11"/>
        <v>131000</v>
      </c>
      <c r="S22" s="2">
        <f t="shared" si="12"/>
        <v>5.1398579432804297E-3</v>
      </c>
      <c r="T22" s="11">
        <v>0.1</v>
      </c>
      <c r="U22" s="30">
        <f t="shared" si="13"/>
        <v>110000.00000000001</v>
      </c>
      <c r="V22" s="30">
        <f t="shared" si="1"/>
        <v>3.5172772277227731</v>
      </c>
      <c r="W22" s="11">
        <f t="shared" si="14"/>
        <v>61.822874852564745</v>
      </c>
      <c r="X22" s="2">
        <f t="shared" si="15"/>
        <v>5.2885970434319856E-15</v>
      </c>
      <c r="Y22" s="2">
        <f t="shared" si="16"/>
        <v>3184793139.5547419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4" customFormat="1" x14ac:dyDescent="0.25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14">
        <v>47.024752475247524</v>
      </c>
      <c r="L23" s="27">
        <f t="shared" si="7"/>
        <v>4.7024752475247526E-5</v>
      </c>
      <c r="M23" s="29">
        <f t="shared" si="8"/>
        <v>4.7762865441819992E-3</v>
      </c>
      <c r="N23" s="33">
        <f t="shared" si="9"/>
        <v>1.9813821926463408E-7</v>
      </c>
      <c r="O23" s="21">
        <f t="shared" si="10"/>
        <v>2.032E-3</v>
      </c>
      <c r="P23" s="21">
        <v>4.5724343480153871E-11</v>
      </c>
      <c r="Q23" s="2">
        <v>0.31</v>
      </c>
      <c r="R23" s="27">
        <f t="shared" si="11"/>
        <v>131000</v>
      </c>
      <c r="S23" s="2">
        <f t="shared" si="12"/>
        <v>5.1398579432804297E-3</v>
      </c>
      <c r="T23" s="11">
        <v>0.1</v>
      </c>
      <c r="U23" s="30">
        <f t="shared" si="13"/>
        <v>110000.00000000001</v>
      </c>
      <c r="V23" s="30">
        <f t="shared" si="1"/>
        <v>5.1727227722772282</v>
      </c>
      <c r="W23" s="11">
        <f t="shared" si="14"/>
        <v>122.75905666646719</v>
      </c>
      <c r="X23" s="2">
        <f t="shared" si="15"/>
        <v>7.7813552059499092E-15</v>
      </c>
      <c r="Y23" s="2">
        <f t="shared" si="16"/>
        <v>4685932105.023036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</row>
    <row r="24" spans="1:76" s="4" customFormat="1" x14ac:dyDescent="0.25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14">
        <v>53.460396039603964</v>
      </c>
      <c r="L24" s="27">
        <f t="shared" si="7"/>
        <v>5.3460396039603964E-5</v>
      </c>
      <c r="M24" s="29">
        <f t="shared" si="8"/>
        <v>4.7762865441819992E-3</v>
      </c>
      <c r="N24" s="33">
        <f t="shared" si="9"/>
        <v>2.2525472469089205E-7</v>
      </c>
      <c r="O24" s="21">
        <f t="shared" si="10"/>
        <v>2.032E-3</v>
      </c>
      <c r="P24" s="21">
        <v>4.5724343480153871E-11</v>
      </c>
      <c r="Q24" s="2">
        <v>0.31</v>
      </c>
      <c r="R24" s="27">
        <f t="shared" si="11"/>
        <v>131000</v>
      </c>
      <c r="S24" s="2">
        <f t="shared" si="12"/>
        <v>5.1398579432804297E-3</v>
      </c>
      <c r="T24" s="11">
        <v>0.1</v>
      </c>
      <c r="U24" s="30">
        <f t="shared" si="13"/>
        <v>110000.00000000001</v>
      </c>
      <c r="V24" s="30">
        <f t="shared" si="1"/>
        <v>5.8806435643564372</v>
      </c>
      <c r="W24" s="11">
        <f t="shared" si="14"/>
        <v>154.63852458900254</v>
      </c>
      <c r="X24" s="2">
        <f t="shared" si="15"/>
        <v>8.8484396612065012E-15</v>
      </c>
      <c r="Y24" s="2">
        <f t="shared" si="16"/>
        <v>5328530363.9785557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4" customFormat="1" x14ac:dyDescent="0.25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14">
        <v>48.311881188118811</v>
      </c>
      <c r="L25" s="27">
        <f t="shared" si="7"/>
        <v>4.831188118811881E-5</v>
      </c>
      <c r="M25" s="29">
        <f t="shared" si="8"/>
        <v>4.7762865441819992E-3</v>
      </c>
      <c r="N25" s="33">
        <f t="shared" si="9"/>
        <v>2.0356152034988566E-7</v>
      </c>
      <c r="O25" s="21">
        <f t="shared" si="10"/>
        <v>2.032E-3</v>
      </c>
      <c r="P25" s="21">
        <v>4.5724343480153871E-11</v>
      </c>
      <c r="Q25" s="2">
        <v>0.31</v>
      </c>
      <c r="R25" s="27">
        <f t="shared" si="11"/>
        <v>131000</v>
      </c>
      <c r="S25" s="2">
        <f t="shared" si="12"/>
        <v>5.1398579432804297E-3</v>
      </c>
      <c r="T25" s="11">
        <v>0.1</v>
      </c>
      <c r="U25" s="30">
        <f t="shared" si="13"/>
        <v>110000.00000000001</v>
      </c>
      <c r="V25" s="30">
        <f t="shared" si="1"/>
        <v>5.3143069306930695</v>
      </c>
      <c r="W25" s="11">
        <f t="shared" si="14"/>
        <v>128.85876183639414</v>
      </c>
      <c r="X25" s="2">
        <f t="shared" si="15"/>
        <v>7.9947136352433181E-15</v>
      </c>
      <c r="Y25" s="2">
        <f t="shared" si="16"/>
        <v>4814416551.1435261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4" customFormat="1" x14ac:dyDescent="0.25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14">
        <v>62.569306930693074</v>
      </c>
      <c r="L26" s="27">
        <f t="shared" si="7"/>
        <v>6.2569306930693077E-5</v>
      </c>
      <c r="M26" s="29">
        <f t="shared" si="8"/>
        <v>4.7762865441819992E-3</v>
      </c>
      <c r="N26" s="33">
        <f t="shared" si="9"/>
        <v>2.6363500929421102E-7</v>
      </c>
      <c r="O26" s="21">
        <f t="shared" si="10"/>
        <v>2.032E-3</v>
      </c>
      <c r="P26" s="21">
        <v>4.5724343480153871E-11</v>
      </c>
      <c r="Q26" s="2">
        <v>0.31</v>
      </c>
      <c r="R26" s="27">
        <f t="shared" si="11"/>
        <v>131000</v>
      </c>
      <c r="S26" s="2">
        <f t="shared" si="12"/>
        <v>5.1398579432804297E-3</v>
      </c>
      <c r="T26" s="11">
        <v>0.1</v>
      </c>
      <c r="U26" s="30">
        <f t="shared" si="13"/>
        <v>110000.00000000001</v>
      </c>
      <c r="V26" s="30">
        <f t="shared" si="1"/>
        <v>6.8826237623762392</v>
      </c>
      <c r="W26" s="11">
        <f t="shared" si="14"/>
        <v>205.62051447768428</v>
      </c>
      <c r="X26" s="2">
        <f t="shared" si="15"/>
        <v>1.0360127873825428E-14</v>
      </c>
      <c r="Y26" s="2">
        <f t="shared" si="16"/>
        <v>6238869005.6176729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4" customFormat="1" x14ac:dyDescent="0.25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14">
        <v>76.925742574257427</v>
      </c>
      <c r="L27" s="27">
        <f t="shared" si="7"/>
        <v>7.6925742574257428E-5</v>
      </c>
      <c r="M27" s="29">
        <f t="shared" si="8"/>
        <v>4.7762865441819992E-3</v>
      </c>
      <c r="N27" s="33">
        <f t="shared" si="9"/>
        <v>3.2412567524509413E-7</v>
      </c>
      <c r="O27" s="21">
        <f t="shared" si="10"/>
        <v>2.032E-3</v>
      </c>
      <c r="P27" s="21">
        <v>4.5724343480153871E-11</v>
      </c>
      <c r="Q27" s="2">
        <v>0.31</v>
      </c>
      <c r="R27" s="27">
        <f t="shared" si="11"/>
        <v>131000</v>
      </c>
      <c r="S27" s="2">
        <f t="shared" si="12"/>
        <v>5.1398579432804297E-3</v>
      </c>
      <c r="T27" s="11">
        <v>0.1</v>
      </c>
      <c r="U27" s="30">
        <f t="shared" si="13"/>
        <v>110000.00000000001</v>
      </c>
      <c r="V27" s="30">
        <f t="shared" si="1"/>
        <v>8.4618316831683185</v>
      </c>
      <c r="W27" s="11">
        <f t="shared" si="14"/>
        <v>299.74481357088575</v>
      </c>
      <c r="X27" s="2">
        <f t="shared" si="15"/>
        <v>1.274641678513425E-14</v>
      </c>
      <c r="Y27" s="2">
        <f t="shared" si="16"/>
        <v>7675892188.0078459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4" customFormat="1" x14ac:dyDescent="0.25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14">
        <v>71.232673267326746</v>
      </c>
      <c r="L28" s="27">
        <f t="shared" si="7"/>
        <v>7.1232673267326748E-5</v>
      </c>
      <c r="M28" s="29">
        <f t="shared" si="8"/>
        <v>4.7762865441819992E-3</v>
      </c>
      <c r="N28" s="33">
        <f t="shared" si="9"/>
        <v>3.0013799736801985E-7</v>
      </c>
      <c r="O28" s="21">
        <f t="shared" si="10"/>
        <v>2.032E-3</v>
      </c>
      <c r="P28" s="21">
        <v>4.5724343480153871E-11</v>
      </c>
      <c r="Q28" s="2">
        <v>0.31</v>
      </c>
      <c r="R28" s="27">
        <f t="shared" si="11"/>
        <v>131000</v>
      </c>
      <c r="S28" s="2">
        <f t="shared" si="12"/>
        <v>5.1398579432804297E-3</v>
      </c>
      <c r="T28" s="11">
        <v>0.1</v>
      </c>
      <c r="U28" s="30">
        <f t="shared" si="13"/>
        <v>110000.00000000001</v>
      </c>
      <c r="V28" s="30">
        <f t="shared" si="1"/>
        <v>7.8355940594059437</v>
      </c>
      <c r="W28" s="11">
        <f t="shared" si="14"/>
        <v>260.41608257237289</v>
      </c>
      <c r="X28" s="2">
        <f t="shared" si="15"/>
        <v>1.179953785707788E-14</v>
      </c>
      <c r="Y28" s="2">
        <f t="shared" si="16"/>
        <v>7105681697.5323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4" customFormat="1" x14ac:dyDescent="0.25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14">
        <v>78.03960396039605</v>
      </c>
      <c r="L29" s="27">
        <f t="shared" si="7"/>
        <v>7.8039603960396048E-5</v>
      </c>
      <c r="M29" s="29">
        <f t="shared" si="8"/>
        <v>4.7762865441819992E-3</v>
      </c>
      <c r="N29" s="33">
        <f t="shared" si="9"/>
        <v>3.2881891656886959E-7</v>
      </c>
      <c r="O29" s="21">
        <f t="shared" si="10"/>
        <v>2.032E-3</v>
      </c>
      <c r="P29" s="21">
        <v>4.5724343480153871E-11</v>
      </c>
      <c r="Q29" s="2">
        <v>0.31</v>
      </c>
      <c r="R29" s="27">
        <f t="shared" si="11"/>
        <v>131000</v>
      </c>
      <c r="S29" s="2">
        <f t="shared" si="12"/>
        <v>5.1398579432804297E-3</v>
      </c>
      <c r="T29" s="11">
        <v>0.1</v>
      </c>
      <c r="U29" s="30">
        <f t="shared" si="13"/>
        <v>110000.00000000001</v>
      </c>
      <c r="V29" s="30">
        <f t="shared" si="1"/>
        <v>8.5843564356435671</v>
      </c>
      <c r="W29" s="11">
        <f t="shared" si="14"/>
        <v>307.74608013294471</v>
      </c>
      <c r="X29" s="2">
        <f t="shared" si="15"/>
        <v>1.2931772691468235E-14</v>
      </c>
      <c r="Y29" s="2">
        <f t="shared" si="16"/>
        <v>7787513514.8021717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4" customFormat="1" x14ac:dyDescent="0.25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14">
        <v>79.202970297029708</v>
      </c>
      <c r="L30" s="27">
        <f t="shared" si="7"/>
        <v>7.9202970297029713E-5</v>
      </c>
      <c r="M30" s="29">
        <f t="shared" si="8"/>
        <v>4.7762865441819992E-3</v>
      </c>
      <c r="N30" s="33">
        <f t="shared" si="9"/>
        <v>3.337207463959239E-7</v>
      </c>
      <c r="O30" s="21">
        <f t="shared" si="10"/>
        <v>2.032E-3</v>
      </c>
      <c r="P30" s="21">
        <v>4.5724343480153871E-11</v>
      </c>
      <c r="Q30" s="2">
        <v>0.31</v>
      </c>
      <c r="R30" s="27">
        <f t="shared" si="11"/>
        <v>131000</v>
      </c>
      <c r="S30" s="2">
        <f t="shared" si="12"/>
        <v>5.1398579432804297E-3</v>
      </c>
      <c r="T30" s="11">
        <v>0.1</v>
      </c>
      <c r="U30" s="30">
        <f t="shared" si="13"/>
        <v>110000.00000000001</v>
      </c>
      <c r="V30" s="30">
        <f t="shared" si="1"/>
        <v>8.7123267326732687</v>
      </c>
      <c r="W30" s="11">
        <f t="shared" si="14"/>
        <v>316.20981331249959</v>
      </c>
      <c r="X30" s="2">
        <f t="shared" si="15"/>
        <v>1.3125401602985458E-14</v>
      </c>
      <c r="Y30" s="2">
        <f t="shared" si="16"/>
        <v>7904116845.3178434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4" customFormat="1" x14ac:dyDescent="0.25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14">
        <v>91.232673267326732</v>
      </c>
      <c r="L31" s="27">
        <f t="shared" si="7"/>
        <v>9.1232673267326733E-5</v>
      </c>
      <c r="M31" s="29">
        <f t="shared" si="8"/>
        <v>4.7762865441819992E-3</v>
      </c>
      <c r="N31" s="33">
        <f t="shared" si="9"/>
        <v>3.8440775269269839E-7</v>
      </c>
      <c r="O31" s="21">
        <f t="shared" si="10"/>
        <v>2.032E-3</v>
      </c>
      <c r="P31" s="21">
        <v>4.5724343480153871E-11</v>
      </c>
      <c r="Q31" s="2">
        <v>0.31</v>
      </c>
      <c r="R31" s="27">
        <f t="shared" si="11"/>
        <v>131000</v>
      </c>
      <c r="S31" s="2">
        <f t="shared" si="12"/>
        <v>5.1398579432804297E-3</v>
      </c>
      <c r="T31" s="11">
        <v>0.1</v>
      </c>
      <c r="U31" s="30">
        <f t="shared" si="13"/>
        <v>110000.00000000001</v>
      </c>
      <c r="V31" s="30">
        <f t="shared" si="1"/>
        <v>10.035594059405941</v>
      </c>
      <c r="W31" s="11">
        <f t="shared" si="14"/>
        <v>410.10570061807942</v>
      </c>
      <c r="X31" s="2">
        <f t="shared" si="15"/>
        <v>1.5129817293569066E-14</v>
      </c>
      <c r="Y31" s="2">
        <f t="shared" si="16"/>
        <v>9111175974.1872921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4" customFormat="1" x14ac:dyDescent="0.25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14">
        <v>87.990099009901002</v>
      </c>
      <c r="L32" s="27">
        <f t="shared" si="7"/>
        <v>8.7990099009901002E-5</v>
      </c>
      <c r="M32" s="29">
        <f t="shared" si="8"/>
        <v>4.7762865441819992E-3</v>
      </c>
      <c r="N32" s="33">
        <f t="shared" si="9"/>
        <v>3.7074520572792998E-7</v>
      </c>
      <c r="O32" s="21">
        <f t="shared" si="10"/>
        <v>2.032E-3</v>
      </c>
      <c r="P32" s="21">
        <v>4.5724343480153871E-11</v>
      </c>
      <c r="Q32" s="2">
        <v>0.31</v>
      </c>
      <c r="R32" s="27">
        <f t="shared" si="11"/>
        <v>131000</v>
      </c>
      <c r="S32" s="2">
        <f t="shared" si="12"/>
        <v>5.1398579432804297E-3</v>
      </c>
      <c r="T32" s="11">
        <v>0.1</v>
      </c>
      <c r="U32" s="30">
        <f t="shared" si="13"/>
        <v>110000.00000000001</v>
      </c>
      <c r="V32" s="30">
        <f t="shared" si="1"/>
        <v>9.678910891089112</v>
      </c>
      <c r="W32" s="11">
        <f t="shared" si="14"/>
        <v>383.65426139550175</v>
      </c>
      <c r="X32" s="2">
        <f t="shared" si="15"/>
        <v>1.4589121138079983E-14</v>
      </c>
      <c r="Y32" s="2">
        <f t="shared" si="16"/>
        <v>8785568749.3517666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4" customFormat="1" x14ac:dyDescent="0.25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14">
        <v>100.31683168316833</v>
      </c>
      <c r="L33" s="27">
        <f t="shared" si="7"/>
        <v>1.0031683168316833E-4</v>
      </c>
      <c r="M33" s="29">
        <f t="shared" si="8"/>
        <v>4.7762865441819992E-3</v>
      </c>
      <c r="N33" s="33">
        <f t="shared" si="9"/>
        <v>4.226837430443779E-7</v>
      </c>
      <c r="O33" s="21">
        <f t="shared" si="10"/>
        <v>2.032E-3</v>
      </c>
      <c r="P33" s="21">
        <v>4.5724343480153871E-11</v>
      </c>
      <c r="Q33" s="2">
        <v>0.31</v>
      </c>
      <c r="R33" s="27">
        <f t="shared" si="11"/>
        <v>131000</v>
      </c>
      <c r="S33" s="2">
        <f t="shared" si="12"/>
        <v>5.1398579432804297E-3</v>
      </c>
      <c r="T33" s="11">
        <v>0.1</v>
      </c>
      <c r="U33" s="30">
        <f t="shared" si="13"/>
        <v>110000.00000000001</v>
      </c>
      <c r="V33" s="30">
        <f t="shared" si="1"/>
        <v>11.034851485148518</v>
      </c>
      <c r="W33" s="11">
        <f t="shared" si="14"/>
        <v>488.67675254305374</v>
      </c>
      <c r="X33" s="2">
        <f t="shared" si="15"/>
        <v>1.6646328763849097E-14</v>
      </c>
      <c r="Y33" s="2">
        <f t="shared" si="16"/>
        <v>10024419181.589928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4" customFormat="1" x14ac:dyDescent="0.25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14">
        <v>106.08415841584159</v>
      </c>
      <c r="L34" s="27">
        <f t="shared" si="7"/>
        <v>1.0608415841584158E-4</v>
      </c>
      <c r="M34" s="29">
        <f t="shared" si="8"/>
        <v>4.7762865441819992E-3</v>
      </c>
      <c r="N34" s="33">
        <f t="shared" si="9"/>
        <v>4.4698430367637057E-7</v>
      </c>
      <c r="O34" s="21">
        <f t="shared" si="10"/>
        <v>2.032E-3</v>
      </c>
      <c r="P34" s="21">
        <v>4.5724343480153871E-11</v>
      </c>
      <c r="Q34" s="2">
        <v>0.31</v>
      </c>
      <c r="R34" s="27">
        <f t="shared" si="11"/>
        <v>131000</v>
      </c>
      <c r="S34" s="2">
        <f t="shared" si="12"/>
        <v>5.1398579432804297E-3</v>
      </c>
      <c r="T34" s="11">
        <v>0.1</v>
      </c>
      <c r="U34" s="30">
        <f t="shared" si="13"/>
        <v>110000.00000000001</v>
      </c>
      <c r="V34" s="30">
        <f t="shared" si="1"/>
        <v>11.669257425742575</v>
      </c>
      <c r="W34" s="11">
        <f t="shared" si="14"/>
        <v>541.96358736624177</v>
      </c>
      <c r="X34" s="2">
        <f t="shared" si="15"/>
        <v>1.7610535057464486E-14</v>
      </c>
      <c r="Y34" s="2">
        <f t="shared" si="16"/>
        <v>10605064211.605114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4" customFormat="1" x14ac:dyDescent="0.25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14">
        <v>107.51980198019804</v>
      </c>
      <c r="L35" s="27">
        <f t="shared" si="7"/>
        <v>1.0751980198019804E-4</v>
      </c>
      <c r="M35" s="29">
        <f t="shared" si="8"/>
        <v>4.7762865441819992E-3</v>
      </c>
      <c r="N35" s="33">
        <f t="shared" si="9"/>
        <v>4.5303337027145894E-7</v>
      </c>
      <c r="O35" s="21">
        <f t="shared" si="10"/>
        <v>2.032E-3</v>
      </c>
      <c r="P35" s="21">
        <v>4.5724343480153871E-11</v>
      </c>
      <c r="Q35" s="2">
        <v>0.31</v>
      </c>
      <c r="R35" s="27">
        <f t="shared" si="11"/>
        <v>131000</v>
      </c>
      <c r="S35" s="2">
        <f t="shared" si="12"/>
        <v>5.1398579432804297E-3</v>
      </c>
      <c r="T35" s="11">
        <v>0.1</v>
      </c>
      <c r="U35" s="30">
        <f t="shared" si="13"/>
        <v>110000.00000000001</v>
      </c>
      <c r="V35" s="30">
        <f t="shared" si="1"/>
        <v>11.827178217821785</v>
      </c>
      <c r="W35" s="11">
        <f t="shared" si="14"/>
        <v>555.63778241510613</v>
      </c>
      <c r="X35" s="2">
        <f t="shared" si="15"/>
        <v>1.7850730588699674E-14</v>
      </c>
      <c r="Y35" s="2">
        <f t="shared" si="16"/>
        <v>10749709960.514944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4" customFormat="1" x14ac:dyDescent="0.25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14">
        <v>110.06930693069309</v>
      </c>
      <c r="L36" s="27">
        <f t="shared" si="7"/>
        <v>1.1006930693069309E-4</v>
      </c>
      <c r="M36" s="29">
        <f t="shared" si="8"/>
        <v>4.7762865441819992E-3</v>
      </c>
      <c r="N36" s="33">
        <f t="shared" si="9"/>
        <v>4.6377567819032267E-7</v>
      </c>
      <c r="O36" s="21">
        <f t="shared" si="10"/>
        <v>2.032E-3</v>
      </c>
      <c r="P36" s="21">
        <v>4.5724343480153871E-11</v>
      </c>
      <c r="Q36" s="2">
        <v>0.31</v>
      </c>
      <c r="R36" s="27">
        <f t="shared" si="11"/>
        <v>131000</v>
      </c>
      <c r="S36" s="2">
        <f t="shared" si="12"/>
        <v>5.1398579432804297E-3</v>
      </c>
      <c r="T36" s="11">
        <v>0.1</v>
      </c>
      <c r="U36" s="30">
        <f t="shared" si="13"/>
        <v>110000.00000000001</v>
      </c>
      <c r="V36" s="30">
        <f t="shared" si="1"/>
        <v>12.107623762376242</v>
      </c>
      <c r="W36" s="11">
        <f t="shared" si="14"/>
        <v>580.32306242282823</v>
      </c>
      <c r="X36" s="2">
        <f t="shared" si="15"/>
        <v>1.8277465175655428E-14</v>
      </c>
      <c r="Y36" s="2">
        <f t="shared" si="16"/>
        <v>11006689528.779699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4" customFormat="1" x14ac:dyDescent="0.25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14">
        <v>113.58415841584161</v>
      </c>
      <c r="L37" s="27">
        <f t="shared" si="7"/>
        <v>1.1358415841584162E-4</v>
      </c>
      <c r="M37" s="29">
        <f t="shared" si="8"/>
        <v>4.7762865441819992E-3</v>
      </c>
      <c r="N37" s="33">
        <f t="shared" si="9"/>
        <v>4.7858546192312514E-7</v>
      </c>
      <c r="O37" s="21">
        <f t="shared" si="10"/>
        <v>2.032E-3</v>
      </c>
      <c r="P37" s="21">
        <v>4.5724343480153871E-11</v>
      </c>
      <c r="Q37" s="2">
        <v>0.31</v>
      </c>
      <c r="R37" s="27">
        <f t="shared" si="11"/>
        <v>131000</v>
      </c>
      <c r="S37" s="2">
        <f t="shared" si="12"/>
        <v>5.1398579432804297E-3</v>
      </c>
      <c r="T37" s="11">
        <v>0.1</v>
      </c>
      <c r="U37" s="30">
        <f t="shared" si="13"/>
        <v>110000.00000000001</v>
      </c>
      <c r="V37" s="30">
        <f t="shared" si="1"/>
        <v>12.49425742574258</v>
      </c>
      <c r="W37" s="11">
        <f t="shared" si="14"/>
        <v>615.19704981696282</v>
      </c>
      <c r="X37" s="2">
        <f t="shared" si="15"/>
        <v>1.886616562931773E-14</v>
      </c>
      <c r="Y37" s="2">
        <f t="shared" si="16"/>
        <v>11361204941.975138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4" customFormat="1" x14ac:dyDescent="0.25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14">
        <v>110.09405940594063</v>
      </c>
      <c r="L38" s="27">
        <f t="shared" si="7"/>
        <v>1.1009405940594062E-4</v>
      </c>
      <c r="M38" s="29">
        <f t="shared" si="8"/>
        <v>4.7762865441819992E-3</v>
      </c>
      <c r="N38" s="33">
        <f t="shared" si="9"/>
        <v>4.6387997244196215E-7</v>
      </c>
      <c r="O38" s="21">
        <f t="shared" si="10"/>
        <v>2.032E-3</v>
      </c>
      <c r="P38" s="21">
        <v>4.5724343480153871E-11</v>
      </c>
      <c r="Q38" s="2">
        <v>0.31</v>
      </c>
      <c r="R38" s="27">
        <f t="shared" si="11"/>
        <v>131000</v>
      </c>
      <c r="S38" s="2">
        <f t="shared" si="12"/>
        <v>5.1398579432804297E-3</v>
      </c>
      <c r="T38" s="11">
        <v>0.1</v>
      </c>
      <c r="U38" s="30">
        <f t="shared" si="13"/>
        <v>110000.00000000001</v>
      </c>
      <c r="V38" s="30">
        <f t="shared" si="1"/>
        <v>12.11034653465347</v>
      </c>
      <c r="W38" s="11">
        <f t="shared" si="14"/>
        <v>580.56524343373837</v>
      </c>
      <c r="X38" s="2">
        <f t="shared" si="15"/>
        <v>1.8281609374667868E-14</v>
      </c>
      <c r="Y38" s="2">
        <f t="shared" si="16"/>
        <v>11009185165.42499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4" customFormat="1" x14ac:dyDescent="0.25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14">
        <v>125.26732673267328</v>
      </c>
      <c r="L39" s="27">
        <f t="shared" si="7"/>
        <v>1.2526732673267328E-4</v>
      </c>
      <c r="M39" s="29">
        <f t="shared" si="8"/>
        <v>4.7762865441819992E-3</v>
      </c>
      <c r="N39" s="33">
        <f t="shared" si="9"/>
        <v>5.2781234869694713E-7</v>
      </c>
      <c r="O39" s="21">
        <f t="shared" si="10"/>
        <v>2.032E-3</v>
      </c>
      <c r="P39" s="21">
        <v>4.5724343480153871E-11</v>
      </c>
      <c r="Q39" s="2">
        <v>0.31</v>
      </c>
      <c r="R39" s="27">
        <f t="shared" si="11"/>
        <v>131000</v>
      </c>
      <c r="S39" s="2">
        <f t="shared" si="12"/>
        <v>5.1398579432804297E-3</v>
      </c>
      <c r="T39" s="11">
        <v>0.1</v>
      </c>
      <c r="U39" s="30">
        <f t="shared" si="13"/>
        <v>110000.00000000001</v>
      </c>
      <c r="V39" s="30">
        <f t="shared" si="1"/>
        <v>13.779405940594064</v>
      </c>
      <c r="W39" s="11">
        <f t="shared" si="14"/>
        <v>738.10894280088235</v>
      </c>
      <c r="X39" s="2">
        <f t="shared" si="15"/>
        <v>2.0826355820523552E-14</v>
      </c>
      <c r="Y39" s="2">
        <f t="shared" si="16"/>
        <v>12541631475.119284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4" customFormat="1" x14ac:dyDescent="0.25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14">
        <v>128.68316831683168</v>
      </c>
      <c r="L40" s="27">
        <f t="shared" si="7"/>
        <v>1.2868316831683168E-4</v>
      </c>
      <c r="M40" s="29">
        <f t="shared" si="8"/>
        <v>4.7762865441819992E-3</v>
      </c>
      <c r="N40" s="33">
        <f t="shared" si="9"/>
        <v>5.4220495542319169E-7</v>
      </c>
      <c r="O40" s="21">
        <f t="shared" si="10"/>
        <v>2.032E-3</v>
      </c>
      <c r="P40" s="21">
        <v>4.5724343480153871E-11</v>
      </c>
      <c r="Q40" s="2">
        <v>0.31</v>
      </c>
      <c r="R40" s="27">
        <f t="shared" si="11"/>
        <v>131000</v>
      </c>
      <c r="S40" s="2">
        <f t="shared" si="12"/>
        <v>5.1398579432804297E-3</v>
      </c>
      <c r="T40" s="11">
        <v>0.1</v>
      </c>
      <c r="U40" s="30">
        <f t="shared" si="13"/>
        <v>110000.00000000001</v>
      </c>
      <c r="V40" s="30">
        <f t="shared" si="1"/>
        <v>14.155148514851486</v>
      </c>
      <c r="W40" s="11">
        <f t="shared" si="14"/>
        <v>776.07048956669314</v>
      </c>
      <c r="X40" s="2">
        <f t="shared" si="15"/>
        <v>2.1400494191005233E-14</v>
      </c>
      <c r="Y40" s="2">
        <f t="shared" si="16"/>
        <v>12887377601.823351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4" customFormat="1" x14ac:dyDescent="0.25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14">
        <v>128.06435643564359</v>
      </c>
      <c r="L41" s="27">
        <f t="shared" si="7"/>
        <v>1.2806435643564359E-4</v>
      </c>
      <c r="M41" s="29">
        <f t="shared" si="8"/>
        <v>4.7762865441819992E-3</v>
      </c>
      <c r="N41" s="33">
        <f t="shared" si="9"/>
        <v>5.395975991322055E-7</v>
      </c>
      <c r="O41" s="21">
        <f t="shared" si="10"/>
        <v>2.032E-3</v>
      </c>
      <c r="P41" s="21">
        <v>4.5724343480153871E-11</v>
      </c>
      <c r="Q41" s="2">
        <v>0.31</v>
      </c>
      <c r="R41" s="27">
        <f t="shared" si="11"/>
        <v>131000</v>
      </c>
      <c r="S41" s="2">
        <f t="shared" si="12"/>
        <v>5.1398579432804297E-3</v>
      </c>
      <c r="T41" s="11">
        <v>0.1</v>
      </c>
      <c r="U41" s="30">
        <f t="shared" si="13"/>
        <v>110000.00000000001</v>
      </c>
      <c r="V41" s="30">
        <f t="shared" si="1"/>
        <v>14.087079207920796</v>
      </c>
      <c r="W41" s="11">
        <f t="shared" si="14"/>
        <v>769.12556706170096</v>
      </c>
      <c r="X41" s="2">
        <f t="shared" si="15"/>
        <v>2.1296447698375023E-14</v>
      </c>
      <c r="Y41" s="2">
        <f t="shared" si="16"/>
        <v>12824720803.961439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4" customFormat="1" x14ac:dyDescent="0.25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14">
        <v>132.19801980198022</v>
      </c>
      <c r="L42" s="27">
        <f t="shared" si="7"/>
        <v>1.3219801980198022E-4</v>
      </c>
      <c r="M42" s="29">
        <f t="shared" si="8"/>
        <v>4.7762865441819992E-3</v>
      </c>
      <c r="N42" s="33">
        <f t="shared" si="9"/>
        <v>5.5701473915599427E-7</v>
      </c>
      <c r="O42" s="21">
        <f t="shared" si="10"/>
        <v>2.032E-3</v>
      </c>
      <c r="P42" s="21">
        <v>4.5724343480153871E-11</v>
      </c>
      <c r="Q42" s="2">
        <v>0.31</v>
      </c>
      <c r="R42" s="27">
        <f t="shared" si="11"/>
        <v>131000</v>
      </c>
      <c r="S42" s="2">
        <f t="shared" si="12"/>
        <v>5.1398579432804297E-3</v>
      </c>
      <c r="T42" s="11">
        <v>0.1</v>
      </c>
      <c r="U42" s="30">
        <f t="shared" si="13"/>
        <v>110000.00000000001</v>
      </c>
      <c r="V42" s="30">
        <f t="shared" si="1"/>
        <v>14.541782178217826</v>
      </c>
      <c r="W42" s="11">
        <f t="shared" si="14"/>
        <v>816.08650671040743</v>
      </c>
      <c r="X42" s="2">
        <f t="shared" si="15"/>
        <v>2.1991784965988041E-14</v>
      </c>
      <c r="Y42" s="2">
        <f t="shared" si="16"/>
        <v>13243452906.518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4" customFormat="1" x14ac:dyDescent="0.25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14">
        <v>129.37623762376239</v>
      </c>
      <c r="L43" s="27">
        <f t="shared" si="7"/>
        <v>1.2937623762376239E-4</v>
      </c>
      <c r="M43" s="29">
        <f t="shared" si="8"/>
        <v>4.7762865441819992E-3</v>
      </c>
      <c r="N43" s="33">
        <f t="shared" si="9"/>
        <v>5.4512519446909648E-7</v>
      </c>
      <c r="O43" s="21">
        <f t="shared" si="10"/>
        <v>2.032E-3</v>
      </c>
      <c r="P43" s="21">
        <v>4.5724343480153871E-11</v>
      </c>
      <c r="Q43" s="2">
        <v>0.31</v>
      </c>
      <c r="R43" s="27">
        <f t="shared" si="11"/>
        <v>131000</v>
      </c>
      <c r="S43" s="2">
        <f t="shared" si="12"/>
        <v>5.1398579432804297E-3</v>
      </c>
      <c r="T43" s="11">
        <v>0.1</v>
      </c>
      <c r="U43" s="30">
        <f t="shared" si="13"/>
        <v>110000.00000000001</v>
      </c>
      <c r="V43" s="30">
        <f t="shared" si="1"/>
        <v>14.231386138613864</v>
      </c>
      <c r="W43" s="11">
        <f t="shared" si="14"/>
        <v>783.88441483557335</v>
      </c>
      <c r="X43" s="2">
        <f t="shared" si="15"/>
        <v>2.1517045323332408E-14</v>
      </c>
      <c r="Y43" s="2">
        <f t="shared" si="16"/>
        <v>12957564693.710777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4" customFormat="1" x14ac:dyDescent="0.25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14">
        <v>133.58415841584161</v>
      </c>
      <c r="L44" s="27">
        <f t="shared" si="7"/>
        <v>1.335841584158416E-4</v>
      </c>
      <c r="M44" s="29">
        <f t="shared" si="8"/>
        <v>4.7762865441819992E-3</v>
      </c>
      <c r="N44" s="33">
        <f t="shared" si="9"/>
        <v>5.6285521724780363E-7</v>
      </c>
      <c r="O44" s="21">
        <f t="shared" si="10"/>
        <v>2.032E-3</v>
      </c>
      <c r="P44" s="21">
        <v>4.5724343480153871E-11</v>
      </c>
      <c r="Q44" s="2">
        <v>0.31</v>
      </c>
      <c r="R44" s="27">
        <f t="shared" si="11"/>
        <v>131000</v>
      </c>
      <c r="S44" s="2">
        <f t="shared" si="12"/>
        <v>5.1398579432804297E-3</v>
      </c>
      <c r="T44" s="11">
        <v>0.1</v>
      </c>
      <c r="U44" s="30">
        <f t="shared" si="13"/>
        <v>110000.00000000001</v>
      </c>
      <c r="V44" s="30">
        <f t="shared" si="1"/>
        <v>14.694257425742578</v>
      </c>
      <c r="W44" s="11">
        <f t="shared" si="14"/>
        <v>832.13325792228363</v>
      </c>
      <c r="X44" s="2">
        <f t="shared" si="15"/>
        <v>2.2225115396723125E-14</v>
      </c>
      <c r="Y44" s="2">
        <f t="shared" si="16"/>
        <v>13383964491.906666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4" customFormat="1" x14ac:dyDescent="0.25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14">
        <v>137.81683168316832</v>
      </c>
      <c r="L45" s="27">
        <f t="shared" si="7"/>
        <v>1.3781683168316832E-4</v>
      </c>
      <c r="M45" s="29">
        <f t="shared" si="8"/>
        <v>4.7762865441819992E-3</v>
      </c>
      <c r="N45" s="33">
        <f t="shared" si="9"/>
        <v>5.8068953427815021E-7</v>
      </c>
      <c r="O45" s="21">
        <f t="shared" si="10"/>
        <v>2.032E-3</v>
      </c>
      <c r="P45" s="21">
        <v>4.5724343480153871E-11</v>
      </c>
      <c r="Q45" s="2">
        <v>0.31</v>
      </c>
      <c r="R45" s="27">
        <f t="shared" si="11"/>
        <v>131000</v>
      </c>
      <c r="S45" s="2">
        <f t="shared" si="12"/>
        <v>5.1398579432804297E-3</v>
      </c>
      <c r="T45" s="11">
        <v>0.1</v>
      </c>
      <c r="U45" s="30">
        <f t="shared" si="13"/>
        <v>110000.00000000001</v>
      </c>
      <c r="V45" s="30">
        <f t="shared" si="1"/>
        <v>15.159851485148517</v>
      </c>
      <c r="W45" s="11">
        <f t="shared" si="14"/>
        <v>882.06252938314867</v>
      </c>
      <c r="X45" s="2">
        <f t="shared" si="15"/>
        <v>2.2938126543954466E-14</v>
      </c>
      <c r="Y45" s="2">
        <f t="shared" si="16"/>
        <v>13813339804.769381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4" customFormat="1" x14ac:dyDescent="0.25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14">
        <v>141.52970297029705</v>
      </c>
      <c r="L46" s="27">
        <f t="shared" si="7"/>
        <v>1.4152970297029706E-4</v>
      </c>
      <c r="M46" s="29">
        <f t="shared" si="8"/>
        <v>4.7762865441819992E-3</v>
      </c>
      <c r="N46" s="33">
        <f t="shared" si="9"/>
        <v>5.9633367202406831E-7</v>
      </c>
      <c r="O46" s="21">
        <f t="shared" si="10"/>
        <v>2.032E-3</v>
      </c>
      <c r="P46" s="21">
        <v>4.5724343480153871E-11</v>
      </c>
      <c r="Q46" s="2">
        <v>0.31</v>
      </c>
      <c r="R46" s="27">
        <f t="shared" si="11"/>
        <v>131000</v>
      </c>
      <c r="S46" s="2">
        <f t="shared" si="12"/>
        <v>5.1398579432804297E-3</v>
      </c>
      <c r="T46" s="11">
        <v>0.1</v>
      </c>
      <c r="U46" s="30">
        <f t="shared" si="13"/>
        <v>110000.00000000001</v>
      </c>
      <c r="V46" s="30">
        <f t="shared" si="1"/>
        <v>15.568267326732679</v>
      </c>
      <c r="W46" s="11">
        <f t="shared" si="14"/>
        <v>927.01161675504363</v>
      </c>
      <c r="X46" s="2">
        <f t="shared" si="15"/>
        <v>2.3564234197246397E-14</v>
      </c>
      <c r="Y46" s="2">
        <f t="shared" si="16"/>
        <v>14190381833.581781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4" customFormat="1" x14ac:dyDescent="0.25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14">
        <v>143.01485148514851</v>
      </c>
      <c r="L47" s="27">
        <f t="shared" si="7"/>
        <v>1.4301485148514851E-4</v>
      </c>
      <c r="M47" s="29">
        <f t="shared" si="8"/>
        <v>4.7762865441819992E-3</v>
      </c>
      <c r="N47" s="33">
        <f t="shared" si="9"/>
        <v>6.0259132712243538E-7</v>
      </c>
      <c r="O47" s="21">
        <f t="shared" si="10"/>
        <v>2.032E-3</v>
      </c>
      <c r="P47" s="21">
        <v>4.5724343480153871E-11</v>
      </c>
      <c r="Q47" s="2">
        <v>0.31</v>
      </c>
      <c r="R47" s="27">
        <f t="shared" si="11"/>
        <v>131000</v>
      </c>
      <c r="S47" s="2">
        <f t="shared" si="12"/>
        <v>5.1398579432804297E-3</v>
      </c>
      <c r="T47" s="11">
        <v>0.1</v>
      </c>
      <c r="U47" s="30">
        <f t="shared" si="13"/>
        <v>110000.00000000001</v>
      </c>
      <c r="V47" s="30">
        <f t="shared" si="1"/>
        <v>15.731633663366338</v>
      </c>
      <c r="W47" s="11">
        <f t="shared" si="14"/>
        <v>945.29222878071846</v>
      </c>
      <c r="X47" s="2">
        <f t="shared" si="15"/>
        <v>2.3814853551557123E-14</v>
      </c>
      <c r="Y47" s="2">
        <f t="shared" si="16"/>
        <v>14341304808.7477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4" customFormat="1" x14ac:dyDescent="0.25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14">
        <v>144.57425742574259</v>
      </c>
      <c r="L48" s="27">
        <f t="shared" si="7"/>
        <v>1.4457425742574258E-4</v>
      </c>
      <c r="M48" s="29">
        <f t="shared" si="8"/>
        <v>4.7762865441819992E-3</v>
      </c>
      <c r="N48" s="33">
        <f t="shared" si="9"/>
        <v>6.0916186497572104E-7</v>
      </c>
      <c r="O48" s="21">
        <f t="shared" si="10"/>
        <v>2.032E-3</v>
      </c>
      <c r="P48" s="21">
        <v>4.5724343480153871E-11</v>
      </c>
      <c r="Q48" s="2">
        <v>0.31</v>
      </c>
      <c r="R48" s="27">
        <f t="shared" si="11"/>
        <v>131000</v>
      </c>
      <c r="S48" s="2">
        <f t="shared" si="12"/>
        <v>5.1398579432804297E-3</v>
      </c>
      <c r="T48" s="11">
        <v>0.1</v>
      </c>
      <c r="U48" s="30">
        <f t="shared" si="13"/>
        <v>110000.00000000001</v>
      </c>
      <c r="V48" s="30">
        <f t="shared" si="1"/>
        <v>15.903168316831685</v>
      </c>
      <c r="W48" s="11">
        <f t="shared" si="14"/>
        <v>964.67182469551051</v>
      </c>
      <c r="X48" s="2">
        <f t="shared" si="15"/>
        <v>2.4078113958523478E-14</v>
      </c>
      <c r="Y48" s="2">
        <f t="shared" si="16"/>
        <v>14499840225.82284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4" customFormat="1" x14ac:dyDescent="0.25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14">
        <v>144.72277227722773</v>
      </c>
      <c r="L49" s="27">
        <f t="shared" si="7"/>
        <v>1.4472277227722772E-4</v>
      </c>
      <c r="M49" s="29">
        <f t="shared" si="8"/>
        <v>4.7762865441819992E-3</v>
      </c>
      <c r="N49" s="33">
        <f t="shared" si="9"/>
        <v>6.0978763048555781E-7</v>
      </c>
      <c r="O49" s="21">
        <f t="shared" si="10"/>
        <v>2.032E-3</v>
      </c>
      <c r="P49" s="21">
        <v>4.5724343480153871E-11</v>
      </c>
      <c r="Q49" s="2">
        <v>0.31</v>
      </c>
      <c r="R49" s="27">
        <f t="shared" si="11"/>
        <v>131000</v>
      </c>
      <c r="S49" s="2">
        <f t="shared" si="12"/>
        <v>5.1398579432804297E-3</v>
      </c>
      <c r="T49" s="11">
        <v>0.1</v>
      </c>
      <c r="U49" s="30">
        <f t="shared" si="13"/>
        <v>110000.00000000001</v>
      </c>
      <c r="V49" s="30">
        <f t="shared" si="1"/>
        <v>15.919504950495051</v>
      </c>
      <c r="W49" s="11">
        <f t="shared" si="14"/>
        <v>966.52737819804918</v>
      </c>
      <c r="X49" s="2">
        <f t="shared" si="15"/>
        <v>2.4103192301732388E-14</v>
      </c>
      <c r="Y49" s="2">
        <f t="shared" si="16"/>
        <v>14514942404.103245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4" customFormat="1" x14ac:dyDescent="0.25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14">
        <v>154.42574257425744</v>
      </c>
      <c r="L50" s="27">
        <f t="shared" si="7"/>
        <v>1.5442574257425745E-4</v>
      </c>
      <c r="M50" s="29">
        <f t="shared" si="8"/>
        <v>4.7762865441819992E-3</v>
      </c>
      <c r="N50" s="33">
        <f t="shared" si="9"/>
        <v>6.5067097712822378E-7</v>
      </c>
      <c r="O50" s="21">
        <f t="shared" si="10"/>
        <v>2.032E-3</v>
      </c>
      <c r="P50" s="21">
        <v>4.5724343480153871E-11</v>
      </c>
      <c r="Q50" s="2">
        <v>0.31</v>
      </c>
      <c r="R50" s="27">
        <f t="shared" si="11"/>
        <v>131000</v>
      </c>
      <c r="S50" s="2">
        <f t="shared" si="12"/>
        <v>5.1398579432804297E-3</v>
      </c>
      <c r="T50" s="11">
        <v>0.1</v>
      </c>
      <c r="U50" s="30">
        <f t="shared" si="13"/>
        <v>110000.00000000001</v>
      </c>
      <c r="V50" s="30">
        <f t="shared" si="1"/>
        <v>16.986831683168322</v>
      </c>
      <c r="W50" s="11">
        <f t="shared" si="14"/>
        <v>1091.4745198549078</v>
      </c>
      <c r="X50" s="2">
        <f t="shared" si="15"/>
        <v>2.5743933109037428E-14</v>
      </c>
      <c r="Y50" s="2">
        <f t="shared" si="16"/>
        <v>15502996518.262341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4" customFormat="1" x14ac:dyDescent="0.25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14">
        <v>149.05445544554459</v>
      </c>
      <c r="L51" s="27">
        <f t="shared" si="7"/>
        <v>1.4905445544554459E-4</v>
      </c>
      <c r="M51" s="29">
        <f t="shared" si="8"/>
        <v>4.7762865441819992E-3</v>
      </c>
      <c r="N51" s="33">
        <f t="shared" si="9"/>
        <v>6.2803912452246231E-7</v>
      </c>
      <c r="O51" s="21">
        <f t="shared" si="10"/>
        <v>2.032E-3</v>
      </c>
      <c r="P51" s="21">
        <v>4.5724343480153871E-11</v>
      </c>
      <c r="Q51" s="2">
        <v>0.31</v>
      </c>
      <c r="R51" s="27">
        <f t="shared" si="11"/>
        <v>131000</v>
      </c>
      <c r="S51" s="2">
        <f t="shared" si="12"/>
        <v>5.1398579432804297E-3</v>
      </c>
      <c r="T51" s="11">
        <v>0.1</v>
      </c>
      <c r="U51" s="30">
        <f t="shared" si="13"/>
        <v>110000.00000000001</v>
      </c>
      <c r="V51" s="30">
        <f t="shared" si="1"/>
        <v>16.395990099009907</v>
      </c>
      <c r="W51" s="11">
        <f t="shared" si="14"/>
        <v>1021.4029089353699</v>
      </c>
      <c r="X51" s="2">
        <f t="shared" si="15"/>
        <v>2.4835103279396571E-14</v>
      </c>
      <c r="Y51" s="2">
        <f t="shared" si="16"/>
        <v>14955699194.852615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4" customFormat="1" x14ac:dyDescent="0.25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14">
        <v>150.83663366336637</v>
      </c>
      <c r="L52" s="27">
        <f t="shared" si="7"/>
        <v>1.5083663366336638E-4</v>
      </c>
      <c r="M52" s="29">
        <f t="shared" si="8"/>
        <v>4.7762865441819992E-3</v>
      </c>
      <c r="N52" s="33">
        <f t="shared" si="9"/>
        <v>6.3554831064050303E-7</v>
      </c>
      <c r="O52" s="21">
        <f t="shared" si="10"/>
        <v>2.032E-3</v>
      </c>
      <c r="P52" s="21">
        <v>4.5724343480153871E-11</v>
      </c>
      <c r="Q52" s="2">
        <v>0.31</v>
      </c>
      <c r="R52" s="27">
        <f t="shared" si="11"/>
        <v>131000</v>
      </c>
      <c r="S52" s="2">
        <f t="shared" si="12"/>
        <v>5.1398579432804297E-3</v>
      </c>
      <c r="T52" s="11">
        <v>0.1</v>
      </c>
      <c r="U52" s="30">
        <f t="shared" si="13"/>
        <v>110000.00000000001</v>
      </c>
      <c r="V52" s="30">
        <f t="shared" si="1"/>
        <v>16.592029702970304</v>
      </c>
      <c r="W52" s="11">
        <f t="shared" si="14"/>
        <v>1044.4039939161758</v>
      </c>
      <c r="X52" s="2">
        <f t="shared" si="15"/>
        <v>2.5136493796166512E-14</v>
      </c>
      <c r="Y52" s="2">
        <f t="shared" si="16"/>
        <v>15137196564.051474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4" customFormat="1" x14ac:dyDescent="0.25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14">
        <v>155.34158415841586</v>
      </c>
      <c r="L53" s="27">
        <f t="shared" si="7"/>
        <v>1.5534158415841587E-4</v>
      </c>
      <c r="M53" s="29">
        <f t="shared" si="8"/>
        <v>4.7762865441819992E-3</v>
      </c>
      <c r="N53" s="33">
        <f t="shared" si="9"/>
        <v>6.5452986443888351E-7</v>
      </c>
      <c r="O53" s="21">
        <f t="shared" si="10"/>
        <v>2.032E-3</v>
      </c>
      <c r="P53" s="21">
        <v>4.5724343480153871E-11</v>
      </c>
      <c r="Q53" s="2">
        <v>0.31</v>
      </c>
      <c r="R53" s="27">
        <f t="shared" si="11"/>
        <v>131000</v>
      </c>
      <c r="S53" s="2">
        <f t="shared" si="12"/>
        <v>5.1398579432804297E-3</v>
      </c>
      <c r="T53" s="11">
        <v>0.1</v>
      </c>
      <c r="U53" s="30">
        <f t="shared" si="13"/>
        <v>110000.00000000001</v>
      </c>
      <c r="V53" s="30">
        <f t="shared" si="1"/>
        <v>17.087574257425747</v>
      </c>
      <c r="W53" s="11">
        <f t="shared" si="14"/>
        <v>1103.6457880558212</v>
      </c>
      <c r="X53" s="2">
        <f t="shared" si="15"/>
        <v>2.5899037299856066E-14</v>
      </c>
      <c r="Y53" s="2">
        <f t="shared" si="16"/>
        <v>15596400261.973324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4" customFormat="1" x14ac:dyDescent="0.25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14">
        <v>155.1683168316832</v>
      </c>
      <c r="L54" s="27">
        <f t="shared" si="7"/>
        <v>1.5516831683168319E-4</v>
      </c>
      <c r="M54" s="29">
        <f t="shared" si="8"/>
        <v>4.7762865441819992E-3</v>
      </c>
      <c r="N54" s="33">
        <f t="shared" si="9"/>
        <v>6.5379980467740732E-7</v>
      </c>
      <c r="O54" s="21">
        <f t="shared" si="10"/>
        <v>2.032E-3</v>
      </c>
      <c r="P54" s="21">
        <v>4.5724343480153871E-11</v>
      </c>
      <c r="Q54" s="2">
        <v>0.31</v>
      </c>
      <c r="R54" s="27">
        <f t="shared" si="11"/>
        <v>131000</v>
      </c>
      <c r="S54" s="2">
        <f t="shared" si="12"/>
        <v>5.1398579432804297E-3</v>
      </c>
      <c r="T54" s="11">
        <v>0.1</v>
      </c>
      <c r="U54" s="30">
        <f t="shared" si="13"/>
        <v>110000.00000000001</v>
      </c>
      <c r="V54" s="30">
        <f t="shared" si="1"/>
        <v>17.068514851485155</v>
      </c>
      <c r="W54" s="11">
        <f t="shared" si="14"/>
        <v>1101.3381230997572</v>
      </c>
      <c r="X54" s="2">
        <f t="shared" si="15"/>
        <v>2.5869690040155444E-14</v>
      </c>
      <c r="Y54" s="2">
        <f t="shared" si="16"/>
        <v>15578727342.181608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4" customFormat="1" x14ac:dyDescent="0.25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14">
        <v>149.45049504950498</v>
      </c>
      <c r="L55" s="27">
        <f t="shared" si="7"/>
        <v>1.4945049504950497E-4</v>
      </c>
      <c r="M55" s="29">
        <f t="shared" si="8"/>
        <v>4.7762865441819992E-3</v>
      </c>
      <c r="N55" s="33">
        <f t="shared" si="9"/>
        <v>6.2970783254869356E-7</v>
      </c>
      <c r="O55" s="21">
        <f t="shared" si="10"/>
        <v>2.032E-3</v>
      </c>
      <c r="P55" s="21">
        <v>4.5724343480153871E-11</v>
      </c>
      <c r="Q55" s="2">
        <v>0.31</v>
      </c>
      <c r="R55" s="27">
        <f t="shared" si="11"/>
        <v>131000</v>
      </c>
      <c r="S55" s="2">
        <f t="shared" si="12"/>
        <v>5.1398579432804297E-3</v>
      </c>
      <c r="T55" s="11">
        <v>0.1</v>
      </c>
      <c r="U55" s="30">
        <f t="shared" si="13"/>
        <v>110000.00000000001</v>
      </c>
      <c r="V55" s="30">
        <f t="shared" si="1"/>
        <v>16.439554455445549</v>
      </c>
      <c r="W55" s="11">
        <f t="shared" si="14"/>
        <v>1026.4929240802271</v>
      </c>
      <c r="X55" s="2">
        <f t="shared" si="15"/>
        <v>2.4902065643121766E-14</v>
      </c>
      <c r="Y55" s="2">
        <f t="shared" si="16"/>
        <v>14996023930.287928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4" customFormat="1" x14ac:dyDescent="0.25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14">
        <v>154.89603960396042</v>
      </c>
      <c r="L56" s="27">
        <f t="shared" si="7"/>
        <v>1.5489603960396043E-4</v>
      </c>
      <c r="M56" s="29">
        <f t="shared" si="8"/>
        <v>4.7762865441819992E-3</v>
      </c>
      <c r="N56" s="33">
        <f t="shared" si="9"/>
        <v>6.5265256790937331E-7</v>
      </c>
      <c r="O56" s="21">
        <f t="shared" si="10"/>
        <v>2.032E-3</v>
      </c>
      <c r="P56" s="21">
        <v>4.5724343480153871E-11</v>
      </c>
      <c r="Q56" s="2">
        <v>0.31</v>
      </c>
      <c r="R56" s="27">
        <f t="shared" si="11"/>
        <v>131000</v>
      </c>
      <c r="S56" s="2">
        <f t="shared" si="12"/>
        <v>5.1398579432804297E-3</v>
      </c>
      <c r="T56" s="11">
        <v>0.1</v>
      </c>
      <c r="U56" s="30">
        <f t="shared" si="13"/>
        <v>110000.00000000001</v>
      </c>
      <c r="V56" s="30">
        <f t="shared" si="1"/>
        <v>17.03856435643565</v>
      </c>
      <c r="W56" s="11">
        <f t="shared" si="14"/>
        <v>1097.7164995275696</v>
      </c>
      <c r="X56" s="2">
        <f t="shared" si="15"/>
        <v>2.5823575960149789E-14</v>
      </c>
      <c r="Y56" s="2">
        <f t="shared" si="16"/>
        <v>15550957443.202204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4" customFormat="1" x14ac:dyDescent="0.25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165.34158415841586</v>
      </c>
      <c r="L57" s="27">
        <f t="shared" si="7"/>
        <v>1.6534158415841587E-4</v>
      </c>
      <c r="M57" s="29">
        <f t="shared" si="8"/>
        <v>4.7762865441819992E-3</v>
      </c>
      <c r="N57" s="33">
        <f t="shared" si="9"/>
        <v>6.966647421012227E-7</v>
      </c>
      <c r="O57" s="21">
        <f t="shared" si="10"/>
        <v>2.032E-3</v>
      </c>
      <c r="P57" s="21">
        <v>4.5724343480153871E-11</v>
      </c>
      <c r="Q57" s="2">
        <v>0.31</v>
      </c>
      <c r="R57" s="27">
        <f t="shared" si="11"/>
        <v>131000</v>
      </c>
      <c r="S57" s="2">
        <f t="shared" si="12"/>
        <v>5.1398579432804297E-3</v>
      </c>
      <c r="T57" s="11">
        <v>0.1</v>
      </c>
      <c r="U57" s="30">
        <f t="shared" si="13"/>
        <v>110000.00000000001</v>
      </c>
      <c r="V57" s="30">
        <f t="shared" si="1"/>
        <v>18.187574257425748</v>
      </c>
      <c r="W57" s="11">
        <f t="shared" si="14"/>
        <v>1240.7742354087152</v>
      </c>
      <c r="X57" s="9">
        <f t="shared" si="15"/>
        <v>2.7595400538136526E-14</v>
      </c>
      <c r="Y57" s="9">
        <f t="shared" si="16"/>
        <v>16617950204.065817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4" customFormat="1" x14ac:dyDescent="0.25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166.45544554455446</v>
      </c>
      <c r="L58" s="27">
        <f t="shared" si="7"/>
        <v>1.6645544554455446E-4</v>
      </c>
      <c r="M58" s="29">
        <f t="shared" si="8"/>
        <v>4.7762865441819992E-3</v>
      </c>
      <c r="N58" s="33">
        <f t="shared" si="9"/>
        <v>7.0135798342499816E-7</v>
      </c>
      <c r="O58" s="21">
        <f t="shared" si="10"/>
        <v>2.032E-3</v>
      </c>
      <c r="P58" s="21">
        <v>4.5724343480153871E-11</v>
      </c>
      <c r="Q58" s="2">
        <v>0.31</v>
      </c>
      <c r="R58" s="27">
        <f t="shared" si="11"/>
        <v>131000</v>
      </c>
      <c r="S58" s="2">
        <f t="shared" si="12"/>
        <v>5.1398579432804297E-3</v>
      </c>
      <c r="T58" s="11">
        <v>0.1</v>
      </c>
      <c r="U58" s="30">
        <f t="shared" si="13"/>
        <v>110000.00000000001</v>
      </c>
      <c r="V58" s="30">
        <f t="shared" si="1"/>
        <v>18.310099009900995</v>
      </c>
      <c r="W58" s="11">
        <f t="shared" si="14"/>
        <v>1256.5277386875714</v>
      </c>
      <c r="X58" s="9">
        <f t="shared" si="15"/>
        <v>2.7784676480136432E-14</v>
      </c>
      <c r="Y58" s="9">
        <f t="shared" si="16"/>
        <v>16731932176.33816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4" customFormat="1" x14ac:dyDescent="0.25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167.61881188118815</v>
      </c>
      <c r="L59" s="27">
        <f t="shared" si="7"/>
        <v>1.6761881188118814E-4</v>
      </c>
      <c r="M59" s="29">
        <f t="shared" si="8"/>
        <v>4.7762865441819992E-3</v>
      </c>
      <c r="N59" s="33">
        <f t="shared" si="9"/>
        <v>7.0625981325205248E-7</v>
      </c>
      <c r="O59" s="21">
        <f t="shared" si="10"/>
        <v>2.032E-3</v>
      </c>
      <c r="P59" s="21">
        <v>4.5724343480153871E-11</v>
      </c>
      <c r="Q59" s="2">
        <v>0.31</v>
      </c>
      <c r="R59" s="27">
        <f t="shared" si="11"/>
        <v>131000</v>
      </c>
      <c r="S59" s="2">
        <f t="shared" si="12"/>
        <v>5.1398579432804297E-3</v>
      </c>
      <c r="T59" s="11">
        <v>0.1</v>
      </c>
      <c r="U59" s="30">
        <f t="shared" si="13"/>
        <v>110000.00000000001</v>
      </c>
      <c r="V59" s="30">
        <f t="shared" si="1"/>
        <v>18.438069306930696</v>
      </c>
      <c r="W59" s="11">
        <f t="shared" si="14"/>
        <v>1273.0838492842033</v>
      </c>
      <c r="X59" s="9">
        <f t="shared" si="15"/>
        <v>2.7982435865090016E-14</v>
      </c>
      <c r="Y59" s="9">
        <f t="shared" si="16"/>
        <v>16851022877.957209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4" customFormat="1" x14ac:dyDescent="0.25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160.63861386138615</v>
      </c>
      <c r="L60" s="27">
        <f t="shared" si="7"/>
        <v>1.6063861386138615E-4</v>
      </c>
      <c r="M60" s="29">
        <f t="shared" si="8"/>
        <v>4.7762865441819992E-3</v>
      </c>
      <c r="N60" s="33">
        <f t="shared" si="9"/>
        <v>6.7684883428972649E-7</v>
      </c>
      <c r="O60" s="21">
        <f t="shared" si="10"/>
        <v>2.032E-3</v>
      </c>
      <c r="P60" s="21">
        <v>4.5724343480153871E-11</v>
      </c>
      <c r="Q60" s="2">
        <v>0.31</v>
      </c>
      <c r="R60" s="27">
        <f t="shared" si="11"/>
        <v>131000</v>
      </c>
      <c r="S60" s="2">
        <f t="shared" si="12"/>
        <v>5.1398579432804297E-3</v>
      </c>
      <c r="T60" s="11">
        <v>0.1</v>
      </c>
      <c r="U60" s="30">
        <f t="shared" si="13"/>
        <v>110000.00000000001</v>
      </c>
      <c r="V60" s="30">
        <f t="shared" si="1"/>
        <v>17.67024752475248</v>
      </c>
      <c r="W60" s="11">
        <f t="shared" si="14"/>
        <v>1175.3180674679306</v>
      </c>
      <c r="X60" s="9">
        <f t="shared" si="15"/>
        <v>2.6796960374084226E-14</v>
      </c>
      <c r="Y60" s="9">
        <f t="shared" si="16"/>
        <v>16137129537.273521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4" customFormat="1" x14ac:dyDescent="0.25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163.43564356435644</v>
      </c>
      <c r="L61" s="27">
        <f t="shared" si="7"/>
        <v>1.6343564356435645E-4</v>
      </c>
      <c r="M61" s="29">
        <f t="shared" si="8"/>
        <v>4.7762865441819992E-3</v>
      </c>
      <c r="N61" s="33">
        <f t="shared" si="9"/>
        <v>6.8863408472498475E-7</v>
      </c>
      <c r="O61" s="21">
        <f t="shared" si="10"/>
        <v>2.032E-3</v>
      </c>
      <c r="P61" s="21">
        <v>4.5724343480153871E-11</v>
      </c>
      <c r="Q61" s="2">
        <v>0.31</v>
      </c>
      <c r="R61" s="27">
        <f t="shared" si="11"/>
        <v>131000</v>
      </c>
      <c r="S61" s="2">
        <f t="shared" si="12"/>
        <v>5.1398579432804297E-3</v>
      </c>
      <c r="T61" s="11">
        <v>0.1</v>
      </c>
      <c r="U61" s="30">
        <f t="shared" si="13"/>
        <v>110000.00000000001</v>
      </c>
      <c r="V61" s="30">
        <f t="shared" si="1"/>
        <v>17.97792079207921</v>
      </c>
      <c r="W61" s="11">
        <f t="shared" si="14"/>
        <v>1214.0409072712666</v>
      </c>
      <c r="X61" s="9">
        <f t="shared" si="15"/>
        <v>2.7271681737609941E-14</v>
      </c>
      <c r="Y61" s="9">
        <f t="shared" si="16"/>
        <v>16423006742.388708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4" customFormat="1" x14ac:dyDescent="0.25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155.66336633663369</v>
      </c>
      <c r="L62" s="27">
        <f t="shared" si="7"/>
        <v>1.5566336633663369E-4</v>
      </c>
      <c r="M62" s="29">
        <f t="shared" si="8"/>
        <v>4.7762865441819992E-3</v>
      </c>
      <c r="N62" s="33">
        <f t="shared" si="9"/>
        <v>6.5588568971019648E-7</v>
      </c>
      <c r="O62" s="21">
        <f t="shared" si="10"/>
        <v>2.032E-3</v>
      </c>
      <c r="P62" s="21">
        <v>4.5724343480153871E-11</v>
      </c>
      <c r="Q62" s="2">
        <v>0.31</v>
      </c>
      <c r="R62" s="27">
        <f t="shared" si="11"/>
        <v>131000</v>
      </c>
      <c r="S62" s="2">
        <f t="shared" si="12"/>
        <v>5.1398579432804297E-3</v>
      </c>
      <c r="T62" s="11">
        <v>0.1</v>
      </c>
      <c r="U62" s="30">
        <f t="shared" si="13"/>
        <v>110000.00000000001</v>
      </c>
      <c r="V62" s="30">
        <f t="shared" si="1"/>
        <v>17.12297029702971</v>
      </c>
      <c r="W62" s="11">
        <f t="shared" si="14"/>
        <v>1107.937632060223</v>
      </c>
      <c r="X62" s="9">
        <f t="shared" si="15"/>
        <v>2.5953543355032548E-14</v>
      </c>
      <c r="Y62" s="9">
        <f t="shared" si="16"/>
        <v>15629223808.4006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4" customFormat="1" x14ac:dyDescent="0.25">
      <c r="A63" s="26">
        <v>183</v>
      </c>
      <c r="B63" s="26">
        <f t="shared" si="2"/>
        <v>3.05</v>
      </c>
      <c r="C63" s="26">
        <v>20</v>
      </c>
      <c r="D63" s="26">
        <f t="shared" si="0"/>
        <v>29.146000000000001</v>
      </c>
      <c r="E63" s="26">
        <f t="shared" si="3"/>
        <v>4.8576666666666667E-7</v>
      </c>
      <c r="F63" s="26">
        <v>21.1</v>
      </c>
      <c r="G63" s="26">
        <f t="shared" si="4"/>
        <v>294.10000000000002</v>
      </c>
      <c r="H63" s="26">
        <v>101.3</v>
      </c>
      <c r="I63" s="26">
        <f t="shared" si="5"/>
        <v>101300</v>
      </c>
      <c r="J63" s="26">
        <f t="shared" si="6"/>
        <v>2.0124824921938581E-5</v>
      </c>
      <c r="K63" s="20">
        <v>156.38118811881188</v>
      </c>
      <c r="L63" s="27">
        <f t="shared" si="7"/>
        <v>1.5638118811881188E-4</v>
      </c>
      <c r="M63" s="29">
        <f t="shared" si="8"/>
        <v>4.7762865441819992E-3</v>
      </c>
      <c r="N63" s="33">
        <f t="shared" si="9"/>
        <v>6.5891022300774038E-7</v>
      </c>
      <c r="O63" s="21">
        <f t="shared" si="10"/>
        <v>2.032E-3</v>
      </c>
      <c r="P63" s="21">
        <v>4.5724343480153871E-11</v>
      </c>
      <c r="Q63" s="2">
        <v>0.31</v>
      </c>
      <c r="R63" s="27">
        <f t="shared" si="11"/>
        <v>131000</v>
      </c>
      <c r="S63" s="2">
        <f t="shared" si="12"/>
        <v>5.1398579432804297E-3</v>
      </c>
      <c r="T63" s="11">
        <v>0.1</v>
      </c>
      <c r="U63" s="30">
        <f t="shared" si="13"/>
        <v>110000.00000000001</v>
      </c>
      <c r="V63" s="30">
        <f t="shared" si="1"/>
        <v>17.201930693069308</v>
      </c>
      <c r="W63" s="11">
        <f t="shared" si="14"/>
        <v>1117.5406953234706</v>
      </c>
      <c r="X63" s="9">
        <f t="shared" si="15"/>
        <v>2.6075152578459626E-14</v>
      </c>
      <c r="Y63" s="9">
        <f t="shared" si="16"/>
        <v>15702456882.748386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4" customFormat="1" x14ac:dyDescent="0.25">
      <c r="A64" s="26">
        <v>186</v>
      </c>
      <c r="B64" s="26">
        <f t="shared" si="2"/>
        <v>3.1</v>
      </c>
      <c r="C64" s="26">
        <v>20</v>
      </c>
      <c r="D64" s="26">
        <f t="shared" si="0"/>
        <v>29.146000000000001</v>
      </c>
      <c r="E64" s="26">
        <f t="shared" si="3"/>
        <v>4.8576666666666667E-7</v>
      </c>
      <c r="F64" s="26">
        <v>21.1</v>
      </c>
      <c r="G64" s="26">
        <f t="shared" si="4"/>
        <v>294.10000000000002</v>
      </c>
      <c r="H64" s="26">
        <v>101.3</v>
      </c>
      <c r="I64" s="26">
        <f t="shared" si="5"/>
        <v>101300</v>
      </c>
      <c r="J64" s="26">
        <f t="shared" si="6"/>
        <v>2.0124824921938581E-5</v>
      </c>
      <c r="K64" s="20">
        <v>153.16336633663369</v>
      </c>
      <c r="L64" s="27">
        <f t="shared" si="7"/>
        <v>1.5316336633663369E-4</v>
      </c>
      <c r="M64" s="29">
        <f t="shared" si="8"/>
        <v>4.7762865441819992E-3</v>
      </c>
      <c r="N64" s="33">
        <f t="shared" si="9"/>
        <v>6.4535197029461155E-7</v>
      </c>
      <c r="O64" s="21">
        <f t="shared" si="10"/>
        <v>2.032E-3</v>
      </c>
      <c r="P64" s="21">
        <v>4.5724343480153871E-11</v>
      </c>
      <c r="Q64" s="2">
        <v>0.31</v>
      </c>
      <c r="R64" s="27">
        <f t="shared" si="11"/>
        <v>131000</v>
      </c>
      <c r="S64" s="2">
        <f t="shared" si="12"/>
        <v>5.1398579432804297E-3</v>
      </c>
      <c r="T64" s="11">
        <v>0.1</v>
      </c>
      <c r="U64" s="30">
        <f t="shared" si="13"/>
        <v>110000.00000000001</v>
      </c>
      <c r="V64" s="30">
        <f t="shared" si="1"/>
        <v>16.847970297029708</v>
      </c>
      <c r="W64" s="11">
        <f t="shared" si="14"/>
        <v>1074.8046280701328</v>
      </c>
      <c r="X64" s="9">
        <f t="shared" si="15"/>
        <v>2.553020945040712E-14</v>
      </c>
      <c r="Y64" s="9">
        <f t="shared" si="16"/>
        <v>15374292131.035168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4" customFormat="1" x14ac:dyDescent="0.25">
      <c r="A65" s="26">
        <v>189</v>
      </c>
      <c r="B65" s="26">
        <f t="shared" si="2"/>
        <v>3.15</v>
      </c>
      <c r="C65" s="26">
        <v>20</v>
      </c>
      <c r="D65" s="26">
        <f t="shared" si="0"/>
        <v>29.146000000000001</v>
      </c>
      <c r="E65" s="26">
        <f t="shared" si="3"/>
        <v>4.8576666666666667E-7</v>
      </c>
      <c r="F65" s="26">
        <v>21.1</v>
      </c>
      <c r="G65" s="26">
        <f t="shared" si="4"/>
        <v>294.10000000000002</v>
      </c>
      <c r="H65" s="26">
        <v>101.3</v>
      </c>
      <c r="I65" s="26">
        <f t="shared" si="5"/>
        <v>101300</v>
      </c>
      <c r="J65" s="26">
        <f t="shared" si="6"/>
        <v>2.0124824921938581E-5</v>
      </c>
      <c r="K65" s="20">
        <v>153.980198019802</v>
      </c>
      <c r="L65" s="27">
        <f t="shared" si="7"/>
        <v>1.5398019801980201E-4</v>
      </c>
      <c r="M65" s="29">
        <f t="shared" si="8"/>
        <v>4.7762865441819992E-3</v>
      </c>
      <c r="N65" s="33">
        <f t="shared" si="9"/>
        <v>6.4879368059871358E-7</v>
      </c>
      <c r="O65" s="21">
        <f t="shared" si="10"/>
        <v>2.032E-3</v>
      </c>
      <c r="P65" s="21">
        <v>4.5724343480153871E-11</v>
      </c>
      <c r="Q65" s="2">
        <v>0.31</v>
      </c>
      <c r="R65" s="27">
        <f t="shared" si="11"/>
        <v>131000</v>
      </c>
      <c r="S65" s="2">
        <f t="shared" si="12"/>
        <v>5.1398579432804297E-3</v>
      </c>
      <c r="T65" s="11">
        <v>0.1</v>
      </c>
      <c r="U65" s="30">
        <f t="shared" si="13"/>
        <v>110000.00000000001</v>
      </c>
      <c r="V65" s="30">
        <f t="shared" si="1"/>
        <v>16.937821782178222</v>
      </c>
      <c r="W65" s="11">
        <f t="shared" si="14"/>
        <v>1085.5769017717589</v>
      </c>
      <c r="X65" s="9">
        <f t="shared" si="15"/>
        <v>2.566849217545363E-14</v>
      </c>
      <c r="Y65" s="9">
        <f t="shared" si="16"/>
        <v>15457565988.058176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4" customFormat="1" x14ac:dyDescent="0.25">
      <c r="A66" s="26">
        <v>192</v>
      </c>
      <c r="B66" s="26">
        <f t="shared" si="2"/>
        <v>3.2</v>
      </c>
      <c r="C66" s="26">
        <v>20</v>
      </c>
      <c r="D66" s="26">
        <f t="shared" ref="D66:D87" si="17">(C66*1.4573)</f>
        <v>29.146000000000001</v>
      </c>
      <c r="E66" s="26">
        <f t="shared" si="3"/>
        <v>4.8576666666666667E-7</v>
      </c>
      <c r="F66" s="26">
        <v>21.1</v>
      </c>
      <c r="G66" s="26">
        <f t="shared" si="4"/>
        <v>294.10000000000002</v>
      </c>
      <c r="H66" s="26">
        <v>101.3</v>
      </c>
      <c r="I66" s="26">
        <f t="shared" si="5"/>
        <v>101300</v>
      </c>
      <c r="J66" s="26">
        <f t="shared" si="6"/>
        <v>2.0124824921938581E-5</v>
      </c>
      <c r="K66" s="20">
        <v>153.01485148514854</v>
      </c>
      <c r="L66" s="27">
        <f t="shared" si="7"/>
        <v>1.5301485148514854E-4</v>
      </c>
      <c r="M66" s="29">
        <f t="shared" si="8"/>
        <v>4.7762865441819992E-3</v>
      </c>
      <c r="N66" s="33">
        <f t="shared" si="9"/>
        <v>6.4472620478477489E-7</v>
      </c>
      <c r="O66" s="21">
        <f t="shared" si="10"/>
        <v>2.032E-3</v>
      </c>
      <c r="P66" s="21">
        <v>4.5724343480153871E-11</v>
      </c>
      <c r="Q66" s="2">
        <v>0.31</v>
      </c>
      <c r="R66" s="27">
        <f t="shared" si="11"/>
        <v>131000</v>
      </c>
      <c r="S66" s="2">
        <f t="shared" si="12"/>
        <v>5.1398579432804297E-3</v>
      </c>
      <c r="T66" s="11">
        <v>0.1</v>
      </c>
      <c r="U66" s="30">
        <f t="shared" si="13"/>
        <v>110000.00000000001</v>
      </c>
      <c r="V66" s="30">
        <f t="shared" ref="V66:V87" si="18">(L66*U66)</f>
        <v>16.831633663366343</v>
      </c>
      <c r="W66" s="11">
        <f t="shared" si="14"/>
        <v>1072.8515988047898</v>
      </c>
      <c r="X66" s="9">
        <f t="shared" si="15"/>
        <v>2.5505070692935997E-14</v>
      </c>
      <c r="Y66" s="9">
        <f t="shared" si="16"/>
        <v>15359153571.286058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4" customFormat="1" x14ac:dyDescent="0.25">
      <c r="A67" s="26">
        <v>195</v>
      </c>
      <c r="B67" s="26">
        <f t="shared" ref="B67:B87" si="19">(A67/60)</f>
        <v>3.25</v>
      </c>
      <c r="C67" s="26">
        <v>20</v>
      </c>
      <c r="D67" s="26">
        <f t="shared" si="17"/>
        <v>29.146000000000001</v>
      </c>
      <c r="E67" s="26">
        <f t="shared" ref="E67:E87" si="20">(D67/(1000000*60))</f>
        <v>4.8576666666666667E-7</v>
      </c>
      <c r="F67" s="26">
        <v>21.1</v>
      </c>
      <c r="G67" s="26">
        <f t="shared" ref="G67:G87" si="21">(273+F67)</f>
        <v>294.10000000000002</v>
      </c>
      <c r="H67" s="26">
        <v>101.3</v>
      </c>
      <c r="I67" s="26">
        <f t="shared" ref="I67:I87" si="22">(H67*1000)</f>
        <v>101300</v>
      </c>
      <c r="J67" s="26">
        <f t="shared" ref="J67:J87" si="23">((I67*E67)/(8.314*G67))</f>
        <v>2.0124824921938581E-5</v>
      </c>
      <c r="K67" s="20">
        <v>156.28217821782181</v>
      </c>
      <c r="L67" s="27">
        <f t="shared" ref="L67:L87" si="24">(K67/1000000)</f>
        <v>1.5628217821782181E-4</v>
      </c>
      <c r="M67" s="29">
        <f t="shared" ref="M67:M87" si="25">(3.142*3.07*3.07*25.4*25.4)/(4*1000000)</f>
        <v>4.7762865441819992E-3</v>
      </c>
      <c r="N67" s="33">
        <f t="shared" ref="N67:N87" si="26">(L67*J67)/M67</f>
        <v>6.5849304600118278E-7</v>
      </c>
      <c r="O67" s="21">
        <f t="shared" ref="O67:O87" si="27">(2.032/1000)</f>
        <v>2.032E-3</v>
      </c>
      <c r="P67" s="21">
        <v>4.5724343480153871E-11</v>
      </c>
      <c r="Q67" s="2">
        <v>0.31</v>
      </c>
      <c r="R67" s="27">
        <f t="shared" ref="R67:R87" si="28">(1+Q67)*100000*1</f>
        <v>131000</v>
      </c>
      <c r="S67" s="2">
        <f t="shared" ref="S67:S87" si="29">(5.13985794328043/1000)</f>
        <v>5.1398579432804297E-3</v>
      </c>
      <c r="T67" s="11">
        <v>0.1</v>
      </c>
      <c r="U67" s="30">
        <f t="shared" ref="U67:U87" si="30">(1+T67)*100000</f>
        <v>110000.00000000001</v>
      </c>
      <c r="V67" s="30">
        <f t="shared" si="18"/>
        <v>17.191039603960402</v>
      </c>
      <c r="W67" s="11">
        <f t="shared" ref="W67:W87" si="31">((N67*O67/P67) + SQRT(V67))^2</f>
        <v>1116.2137582792657</v>
      </c>
      <c r="X67" s="9">
        <f t="shared" ref="X67:X87" si="32">(N67*S67)/(R67-W67)</f>
        <v>2.6058377346540042E-14</v>
      </c>
      <c r="Y67" s="9">
        <f t="shared" ref="Y67:Y87" si="33">(X67*6.022E+23)</f>
        <v>15692354838.086414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4" customFormat="1" x14ac:dyDescent="0.25">
      <c r="A68" s="26">
        <v>198</v>
      </c>
      <c r="B68" s="26">
        <f t="shared" si="19"/>
        <v>3.3</v>
      </c>
      <c r="C68" s="26">
        <v>20</v>
      </c>
      <c r="D68" s="26">
        <f t="shared" si="17"/>
        <v>29.146000000000001</v>
      </c>
      <c r="E68" s="26">
        <f t="shared" si="20"/>
        <v>4.8576666666666667E-7</v>
      </c>
      <c r="F68" s="26">
        <v>21.1</v>
      </c>
      <c r="G68" s="26">
        <f t="shared" si="21"/>
        <v>294.10000000000002</v>
      </c>
      <c r="H68" s="26">
        <v>101.3</v>
      </c>
      <c r="I68" s="26">
        <f t="shared" si="22"/>
        <v>101300</v>
      </c>
      <c r="J68" s="26">
        <f t="shared" si="23"/>
        <v>2.0124824921938581E-5</v>
      </c>
      <c r="K68" s="20">
        <v>155.19306930693071</v>
      </c>
      <c r="L68" s="27">
        <f t="shared" si="24"/>
        <v>1.5519306930693072E-4</v>
      </c>
      <c r="M68" s="29">
        <f t="shared" si="25"/>
        <v>4.7762865441819992E-3</v>
      </c>
      <c r="N68" s="33">
        <f t="shared" si="26"/>
        <v>6.5390409892904674E-7</v>
      </c>
      <c r="O68" s="21">
        <f t="shared" si="27"/>
        <v>2.032E-3</v>
      </c>
      <c r="P68" s="21">
        <v>4.5724343480153871E-11</v>
      </c>
      <c r="Q68" s="2">
        <v>0.31</v>
      </c>
      <c r="R68" s="27">
        <f t="shared" si="28"/>
        <v>131000</v>
      </c>
      <c r="S68" s="2">
        <f t="shared" si="29"/>
        <v>5.1398579432804297E-3</v>
      </c>
      <c r="T68" s="11">
        <v>0.1</v>
      </c>
      <c r="U68" s="30">
        <f t="shared" si="30"/>
        <v>110000.00000000001</v>
      </c>
      <c r="V68" s="30">
        <f t="shared" si="18"/>
        <v>17.071237623762382</v>
      </c>
      <c r="W68" s="11">
        <f t="shared" si="31"/>
        <v>1101.6676468878611</v>
      </c>
      <c r="X68" s="9">
        <f t="shared" si="32"/>
        <v>2.5873882413576416E-14</v>
      </c>
      <c r="Y68" s="9">
        <f t="shared" si="33"/>
        <v>15581251989.455719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4" customFormat="1" x14ac:dyDescent="0.25">
      <c r="A69" s="26">
        <v>201</v>
      </c>
      <c r="B69" s="26">
        <f t="shared" si="19"/>
        <v>3.35</v>
      </c>
      <c r="C69" s="26">
        <v>20</v>
      </c>
      <c r="D69" s="26">
        <f t="shared" si="17"/>
        <v>29.146000000000001</v>
      </c>
      <c r="E69" s="26">
        <f t="shared" si="20"/>
        <v>4.8576666666666667E-7</v>
      </c>
      <c r="F69" s="26">
        <v>21.1</v>
      </c>
      <c r="G69" s="26">
        <f t="shared" si="21"/>
        <v>294.10000000000002</v>
      </c>
      <c r="H69" s="26">
        <v>101.3</v>
      </c>
      <c r="I69" s="26">
        <f t="shared" si="22"/>
        <v>101300</v>
      </c>
      <c r="J69" s="26">
        <f t="shared" si="23"/>
        <v>2.0124824921938581E-5</v>
      </c>
      <c r="K69" s="20">
        <v>162.49504950495052</v>
      </c>
      <c r="L69" s="27">
        <f t="shared" si="24"/>
        <v>1.6249504950495051E-4</v>
      </c>
      <c r="M69" s="29">
        <f t="shared" si="25"/>
        <v>4.7762865441819992E-3</v>
      </c>
      <c r="N69" s="33">
        <f t="shared" si="26"/>
        <v>6.8467090316268559E-7</v>
      </c>
      <c r="O69" s="21">
        <f t="shared" si="27"/>
        <v>2.032E-3</v>
      </c>
      <c r="P69" s="21">
        <v>4.5724343480153871E-11</v>
      </c>
      <c r="Q69" s="2">
        <v>0.31</v>
      </c>
      <c r="R69" s="27">
        <f t="shared" si="28"/>
        <v>131000</v>
      </c>
      <c r="S69" s="2">
        <f t="shared" si="29"/>
        <v>5.1398579432804297E-3</v>
      </c>
      <c r="T69" s="11">
        <v>0.1</v>
      </c>
      <c r="U69" s="30">
        <f t="shared" si="30"/>
        <v>110000.00000000001</v>
      </c>
      <c r="V69" s="30">
        <f t="shared" si="18"/>
        <v>17.874455445544559</v>
      </c>
      <c r="W69" s="11">
        <f t="shared" si="31"/>
        <v>1200.9514575697772</v>
      </c>
      <c r="X69" s="9">
        <f t="shared" si="32"/>
        <v>2.7111995193118443E-14</v>
      </c>
      <c r="Y69" s="9">
        <f t="shared" si="33"/>
        <v>16326843505.295927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4" customFormat="1" x14ac:dyDescent="0.25">
      <c r="A70" s="26">
        <v>204</v>
      </c>
      <c r="B70" s="26">
        <f t="shared" si="19"/>
        <v>3.4</v>
      </c>
      <c r="C70" s="26">
        <v>20</v>
      </c>
      <c r="D70" s="26">
        <f t="shared" si="17"/>
        <v>29.146000000000001</v>
      </c>
      <c r="E70" s="26">
        <f t="shared" si="20"/>
        <v>4.8576666666666667E-7</v>
      </c>
      <c r="F70" s="26">
        <v>21.1</v>
      </c>
      <c r="G70" s="26">
        <f t="shared" si="21"/>
        <v>294.10000000000002</v>
      </c>
      <c r="H70" s="26">
        <v>101.3</v>
      </c>
      <c r="I70" s="26">
        <f t="shared" si="22"/>
        <v>101300</v>
      </c>
      <c r="J70" s="26">
        <f t="shared" si="23"/>
        <v>2.0124824921938581E-5</v>
      </c>
      <c r="K70" s="20">
        <v>160.73762376237624</v>
      </c>
      <c r="L70" s="27">
        <f t="shared" si="24"/>
        <v>1.6073762376237624E-4</v>
      </c>
      <c r="M70" s="29">
        <f t="shared" si="25"/>
        <v>4.7762865441819992E-3</v>
      </c>
      <c r="N70" s="33">
        <f t="shared" si="26"/>
        <v>6.772660112962843E-7</v>
      </c>
      <c r="O70" s="21">
        <f t="shared" si="27"/>
        <v>2.032E-3</v>
      </c>
      <c r="P70" s="21">
        <v>4.5724343480153871E-11</v>
      </c>
      <c r="Q70" s="2">
        <v>0.31</v>
      </c>
      <c r="R70" s="27">
        <f t="shared" si="28"/>
        <v>131000</v>
      </c>
      <c r="S70" s="2">
        <f t="shared" si="29"/>
        <v>5.1398579432804297E-3</v>
      </c>
      <c r="T70" s="11">
        <v>0.1</v>
      </c>
      <c r="U70" s="30">
        <f t="shared" si="30"/>
        <v>110000.00000000001</v>
      </c>
      <c r="V70" s="30">
        <f t="shared" si="18"/>
        <v>17.681138613861389</v>
      </c>
      <c r="W70" s="11">
        <f t="shared" si="31"/>
        <v>1176.6784425823116</v>
      </c>
      <c r="X70" s="9">
        <f t="shared" si="32"/>
        <v>2.6813757698654137E-14</v>
      </c>
      <c r="Y70" s="9">
        <f t="shared" si="33"/>
        <v>16147244886.129522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4" customFormat="1" x14ac:dyDescent="0.25">
      <c r="A71" s="26">
        <v>207</v>
      </c>
      <c r="B71" s="26">
        <f t="shared" si="19"/>
        <v>3.45</v>
      </c>
      <c r="C71" s="26">
        <v>20</v>
      </c>
      <c r="D71" s="26">
        <f t="shared" si="17"/>
        <v>29.146000000000001</v>
      </c>
      <c r="E71" s="26">
        <f t="shared" si="20"/>
        <v>4.8576666666666667E-7</v>
      </c>
      <c r="F71" s="26">
        <v>21.1</v>
      </c>
      <c r="G71" s="26">
        <f t="shared" si="21"/>
        <v>294.10000000000002</v>
      </c>
      <c r="H71" s="26">
        <v>101.3</v>
      </c>
      <c r="I71" s="26">
        <f t="shared" si="22"/>
        <v>101300</v>
      </c>
      <c r="J71" s="26">
        <f t="shared" si="23"/>
        <v>2.0124824921938581E-5</v>
      </c>
      <c r="K71" s="20">
        <v>165.44059405940595</v>
      </c>
      <c r="L71" s="27">
        <f t="shared" si="24"/>
        <v>1.6544059405940596E-4</v>
      </c>
      <c r="M71" s="29">
        <f t="shared" si="25"/>
        <v>4.7762865441819992E-3</v>
      </c>
      <c r="N71" s="33">
        <f t="shared" si="26"/>
        <v>6.9708191910778051E-7</v>
      </c>
      <c r="O71" s="21">
        <f t="shared" si="27"/>
        <v>2.032E-3</v>
      </c>
      <c r="P71" s="21">
        <v>4.5724343480153871E-11</v>
      </c>
      <c r="Q71" s="2">
        <v>0.31</v>
      </c>
      <c r="R71" s="27">
        <f t="shared" si="28"/>
        <v>131000</v>
      </c>
      <c r="S71" s="2">
        <f t="shared" si="29"/>
        <v>5.1398579432804297E-3</v>
      </c>
      <c r="T71" s="11">
        <v>0.1</v>
      </c>
      <c r="U71" s="30">
        <f t="shared" si="30"/>
        <v>110000.00000000001</v>
      </c>
      <c r="V71" s="30">
        <f t="shared" si="18"/>
        <v>18.198465346534658</v>
      </c>
      <c r="W71" s="11">
        <f t="shared" si="31"/>
        <v>1242.1706602494078</v>
      </c>
      <c r="X71" s="9">
        <f t="shared" si="32"/>
        <v>2.7612222378212128E-14</v>
      </c>
      <c r="Y71" s="9">
        <f t="shared" si="33"/>
        <v>16628080316.159344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4" customFormat="1" x14ac:dyDescent="0.25">
      <c r="A72" s="26">
        <v>210</v>
      </c>
      <c r="B72" s="26">
        <f t="shared" si="19"/>
        <v>3.5</v>
      </c>
      <c r="C72" s="26">
        <v>20</v>
      </c>
      <c r="D72" s="26">
        <f t="shared" si="17"/>
        <v>29.146000000000001</v>
      </c>
      <c r="E72" s="26">
        <f t="shared" si="20"/>
        <v>4.8576666666666667E-7</v>
      </c>
      <c r="F72" s="26">
        <v>21.1</v>
      </c>
      <c r="G72" s="26">
        <f t="shared" si="21"/>
        <v>294.10000000000002</v>
      </c>
      <c r="H72" s="26">
        <v>101.3</v>
      </c>
      <c r="I72" s="26">
        <f t="shared" si="22"/>
        <v>101300</v>
      </c>
      <c r="J72" s="26">
        <f t="shared" si="23"/>
        <v>2.0124824921938581E-5</v>
      </c>
      <c r="K72" s="20">
        <v>161.92574257425744</v>
      </c>
      <c r="L72" s="27">
        <f t="shared" si="24"/>
        <v>1.6192574257425745E-4</v>
      </c>
      <c r="M72" s="29">
        <f t="shared" si="25"/>
        <v>4.7762865441819992E-3</v>
      </c>
      <c r="N72" s="33">
        <f t="shared" si="26"/>
        <v>6.8227213537497815E-7</v>
      </c>
      <c r="O72" s="21">
        <f t="shared" si="27"/>
        <v>2.032E-3</v>
      </c>
      <c r="P72" s="21">
        <v>4.5724343480153871E-11</v>
      </c>
      <c r="Q72" s="2">
        <v>0.31</v>
      </c>
      <c r="R72" s="27">
        <f t="shared" si="28"/>
        <v>131000</v>
      </c>
      <c r="S72" s="2">
        <f t="shared" si="29"/>
        <v>5.1398579432804297E-3</v>
      </c>
      <c r="T72" s="11">
        <v>0.1</v>
      </c>
      <c r="U72" s="30">
        <f t="shared" si="30"/>
        <v>110000.00000000001</v>
      </c>
      <c r="V72" s="30">
        <f t="shared" si="18"/>
        <v>17.811831683168322</v>
      </c>
      <c r="W72" s="11">
        <f t="shared" si="31"/>
        <v>1193.062174731394</v>
      </c>
      <c r="X72" s="9">
        <f t="shared" si="32"/>
        <v>2.7015365382137084E-14</v>
      </c>
      <c r="Y72" s="9">
        <f t="shared" si="33"/>
        <v>16268653033.122953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4" customFormat="1" x14ac:dyDescent="0.25">
      <c r="A73" s="26">
        <v>213</v>
      </c>
      <c r="B73" s="26">
        <f t="shared" si="19"/>
        <v>3.55</v>
      </c>
      <c r="C73" s="26">
        <v>20</v>
      </c>
      <c r="D73" s="26">
        <f t="shared" si="17"/>
        <v>29.146000000000001</v>
      </c>
      <c r="E73" s="26">
        <f t="shared" si="20"/>
        <v>4.8576666666666667E-7</v>
      </c>
      <c r="F73" s="26">
        <v>21.1</v>
      </c>
      <c r="G73" s="26">
        <f t="shared" si="21"/>
        <v>294.10000000000002</v>
      </c>
      <c r="H73" s="26">
        <v>101.3</v>
      </c>
      <c r="I73" s="26">
        <f t="shared" si="22"/>
        <v>101300</v>
      </c>
      <c r="J73" s="26">
        <f t="shared" si="23"/>
        <v>2.0124824921938581E-5</v>
      </c>
      <c r="K73" s="20">
        <v>160.29207920792081</v>
      </c>
      <c r="L73" s="27">
        <f t="shared" si="24"/>
        <v>1.602920792079208E-4</v>
      </c>
      <c r="M73" s="29">
        <f t="shared" si="25"/>
        <v>4.7762865441819992E-3</v>
      </c>
      <c r="N73" s="33">
        <f t="shared" si="26"/>
        <v>6.753887147667742E-7</v>
      </c>
      <c r="O73" s="21">
        <f t="shared" si="27"/>
        <v>2.032E-3</v>
      </c>
      <c r="P73" s="21">
        <v>4.5724343480153871E-11</v>
      </c>
      <c r="Q73" s="2">
        <v>0.31</v>
      </c>
      <c r="R73" s="27">
        <f t="shared" si="28"/>
        <v>131000</v>
      </c>
      <c r="S73" s="2">
        <f t="shared" si="29"/>
        <v>5.1398579432804297E-3</v>
      </c>
      <c r="T73" s="11">
        <v>0.1</v>
      </c>
      <c r="U73" s="30">
        <f t="shared" si="30"/>
        <v>110000.00000000001</v>
      </c>
      <c r="V73" s="30">
        <f t="shared" si="18"/>
        <v>17.632128712871289</v>
      </c>
      <c r="W73" s="11">
        <f t="shared" si="31"/>
        <v>1170.562735557316</v>
      </c>
      <c r="X73" s="9">
        <f t="shared" si="32"/>
        <v>2.6738173741947681E-14</v>
      </c>
      <c r="Y73" s="9">
        <f t="shared" si="33"/>
        <v>16101728227.400894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4" customFormat="1" x14ac:dyDescent="0.25">
      <c r="A74" s="26">
        <v>216</v>
      </c>
      <c r="B74" s="26">
        <f t="shared" si="19"/>
        <v>3.6</v>
      </c>
      <c r="C74" s="26">
        <v>20</v>
      </c>
      <c r="D74" s="26">
        <f t="shared" si="17"/>
        <v>29.146000000000001</v>
      </c>
      <c r="E74" s="26">
        <f t="shared" si="20"/>
        <v>4.8576666666666667E-7</v>
      </c>
      <c r="F74" s="26">
        <v>21.1</v>
      </c>
      <c r="G74" s="26">
        <f t="shared" si="21"/>
        <v>294.10000000000002</v>
      </c>
      <c r="H74" s="26">
        <v>101.3</v>
      </c>
      <c r="I74" s="26">
        <f t="shared" si="22"/>
        <v>101300</v>
      </c>
      <c r="J74" s="26">
        <f t="shared" si="23"/>
        <v>2.0124824921938581E-5</v>
      </c>
      <c r="K74" s="20">
        <v>166.05940594059408</v>
      </c>
      <c r="L74" s="27">
        <f t="shared" si="24"/>
        <v>1.6605940594059408E-4</v>
      </c>
      <c r="M74" s="29">
        <f t="shared" si="25"/>
        <v>4.7762865441819992E-3</v>
      </c>
      <c r="N74" s="33">
        <f t="shared" si="26"/>
        <v>6.9968927539876692E-7</v>
      </c>
      <c r="O74" s="21">
        <f t="shared" si="27"/>
        <v>2.032E-3</v>
      </c>
      <c r="P74" s="21">
        <v>4.5724343480153871E-11</v>
      </c>
      <c r="Q74" s="2">
        <v>0.31</v>
      </c>
      <c r="R74" s="27">
        <f t="shared" si="28"/>
        <v>131000</v>
      </c>
      <c r="S74" s="2">
        <f t="shared" si="29"/>
        <v>5.1398579432804297E-3</v>
      </c>
      <c r="T74" s="11">
        <v>0.1</v>
      </c>
      <c r="U74" s="30">
        <f t="shared" si="30"/>
        <v>110000.00000000001</v>
      </c>
      <c r="V74" s="30">
        <f t="shared" si="18"/>
        <v>18.266534653465349</v>
      </c>
      <c r="W74" s="11">
        <f t="shared" si="31"/>
        <v>1250.9154975905774</v>
      </c>
      <c r="X74" s="9">
        <f t="shared" si="32"/>
        <v>2.7717370752775505E-14</v>
      </c>
      <c r="Y74" s="9">
        <f t="shared" si="33"/>
        <v>16691400667.321409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4" customFormat="1" x14ac:dyDescent="0.25">
      <c r="A75" s="26">
        <v>219</v>
      </c>
      <c r="B75" s="26">
        <f t="shared" si="19"/>
        <v>3.65</v>
      </c>
      <c r="C75" s="26">
        <v>20</v>
      </c>
      <c r="D75" s="26">
        <f t="shared" si="17"/>
        <v>29.146000000000001</v>
      </c>
      <c r="E75" s="26">
        <f t="shared" si="20"/>
        <v>4.8576666666666667E-7</v>
      </c>
      <c r="F75" s="26">
        <v>21.1</v>
      </c>
      <c r="G75" s="26">
        <f t="shared" si="21"/>
        <v>294.10000000000002</v>
      </c>
      <c r="H75" s="26">
        <v>101.3</v>
      </c>
      <c r="I75" s="26">
        <f t="shared" si="22"/>
        <v>101300</v>
      </c>
      <c r="J75" s="26">
        <f t="shared" si="23"/>
        <v>2.0124824921938581E-5</v>
      </c>
      <c r="K75" s="20">
        <v>160.78712871287129</v>
      </c>
      <c r="L75" s="27">
        <f t="shared" si="24"/>
        <v>1.607871287128713E-4</v>
      </c>
      <c r="M75" s="29">
        <f t="shared" si="25"/>
        <v>4.7762865441819992E-3</v>
      </c>
      <c r="N75" s="33">
        <f t="shared" si="26"/>
        <v>6.7747459979956326E-7</v>
      </c>
      <c r="O75" s="21">
        <f t="shared" si="27"/>
        <v>2.032E-3</v>
      </c>
      <c r="P75" s="21">
        <v>4.5724343480153871E-11</v>
      </c>
      <c r="Q75" s="2">
        <v>0.31</v>
      </c>
      <c r="R75" s="27">
        <f t="shared" si="28"/>
        <v>131000</v>
      </c>
      <c r="S75" s="2">
        <f t="shared" si="29"/>
        <v>5.1398579432804297E-3</v>
      </c>
      <c r="T75" s="11">
        <v>0.1</v>
      </c>
      <c r="U75" s="30">
        <f t="shared" si="30"/>
        <v>110000.00000000001</v>
      </c>
      <c r="V75" s="30">
        <f t="shared" si="18"/>
        <v>17.686584158415844</v>
      </c>
      <c r="W75" s="11">
        <f t="shared" si="31"/>
        <v>1177.358914934656</v>
      </c>
      <c r="X75" s="9">
        <f t="shared" si="32"/>
        <v>2.6822156551790374E-14</v>
      </c>
      <c r="Y75" s="9">
        <f t="shared" si="33"/>
        <v>16152302675.488165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4" customFormat="1" x14ac:dyDescent="0.25">
      <c r="A76" s="26">
        <v>222</v>
      </c>
      <c r="B76" s="26">
        <f t="shared" si="19"/>
        <v>3.7</v>
      </c>
      <c r="C76" s="26">
        <v>20</v>
      </c>
      <c r="D76" s="26">
        <f t="shared" si="17"/>
        <v>29.146000000000001</v>
      </c>
      <c r="E76" s="26">
        <f t="shared" si="20"/>
        <v>4.8576666666666667E-7</v>
      </c>
      <c r="F76" s="26">
        <v>21.1</v>
      </c>
      <c r="G76" s="26">
        <f t="shared" si="21"/>
        <v>294.10000000000002</v>
      </c>
      <c r="H76" s="26">
        <v>101.3</v>
      </c>
      <c r="I76" s="26">
        <f t="shared" si="22"/>
        <v>101300</v>
      </c>
      <c r="J76" s="26">
        <f t="shared" si="23"/>
        <v>2.0124824921938581E-5</v>
      </c>
      <c r="K76" s="20">
        <v>155.66336633663369</v>
      </c>
      <c r="L76" s="27">
        <f t="shared" si="24"/>
        <v>1.5566336633663369E-4</v>
      </c>
      <c r="M76" s="29">
        <f t="shared" si="25"/>
        <v>4.7762865441819992E-3</v>
      </c>
      <c r="N76" s="33">
        <f t="shared" si="26"/>
        <v>6.5588568971019648E-7</v>
      </c>
      <c r="O76" s="21">
        <f t="shared" si="27"/>
        <v>2.032E-3</v>
      </c>
      <c r="P76" s="21">
        <v>4.5724343480153871E-11</v>
      </c>
      <c r="Q76" s="2">
        <v>0.31</v>
      </c>
      <c r="R76" s="27">
        <f t="shared" si="28"/>
        <v>131000</v>
      </c>
      <c r="S76" s="2">
        <f t="shared" si="29"/>
        <v>5.1398579432804297E-3</v>
      </c>
      <c r="T76" s="11">
        <v>0.1</v>
      </c>
      <c r="U76" s="30">
        <f t="shared" si="30"/>
        <v>110000.00000000001</v>
      </c>
      <c r="V76" s="30">
        <f t="shared" si="18"/>
        <v>17.12297029702971</v>
      </c>
      <c r="W76" s="11">
        <f t="shared" si="31"/>
        <v>1107.937632060223</v>
      </c>
      <c r="X76" s="9">
        <f t="shared" si="32"/>
        <v>2.5953543355032548E-14</v>
      </c>
      <c r="Y76" s="9">
        <f t="shared" si="33"/>
        <v>15629223808.4006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4" customFormat="1" x14ac:dyDescent="0.25">
      <c r="A77" s="26">
        <v>225</v>
      </c>
      <c r="B77" s="26">
        <f t="shared" si="19"/>
        <v>3.75</v>
      </c>
      <c r="C77" s="26">
        <v>20</v>
      </c>
      <c r="D77" s="26">
        <f t="shared" si="17"/>
        <v>29.146000000000001</v>
      </c>
      <c r="E77" s="26">
        <f t="shared" si="20"/>
        <v>4.8576666666666667E-7</v>
      </c>
      <c r="F77" s="26">
        <v>21.1</v>
      </c>
      <c r="G77" s="26">
        <f t="shared" si="21"/>
        <v>294.10000000000002</v>
      </c>
      <c r="H77" s="26">
        <v>101.3</v>
      </c>
      <c r="I77" s="26">
        <f t="shared" si="22"/>
        <v>101300</v>
      </c>
      <c r="J77" s="26">
        <f t="shared" si="23"/>
        <v>2.0124824921938581E-5</v>
      </c>
      <c r="K77" s="20">
        <v>164.77227722772278</v>
      </c>
      <c r="L77" s="27">
        <f t="shared" si="24"/>
        <v>1.6477227722772278E-4</v>
      </c>
      <c r="M77" s="29">
        <f t="shared" si="25"/>
        <v>4.7762865441819992E-3</v>
      </c>
      <c r="N77" s="33">
        <f t="shared" si="26"/>
        <v>6.9426597431351526E-7</v>
      </c>
      <c r="O77" s="21">
        <f t="shared" si="27"/>
        <v>2.032E-3</v>
      </c>
      <c r="P77" s="21">
        <v>4.5724343480153871E-11</v>
      </c>
      <c r="Q77" s="2">
        <v>0.31</v>
      </c>
      <c r="R77" s="27">
        <f t="shared" si="28"/>
        <v>131000</v>
      </c>
      <c r="S77" s="2">
        <f t="shared" si="29"/>
        <v>5.1398579432804297E-3</v>
      </c>
      <c r="T77" s="11">
        <v>0.1</v>
      </c>
      <c r="U77" s="30">
        <f t="shared" si="30"/>
        <v>110000.00000000001</v>
      </c>
      <c r="V77" s="30">
        <f t="shared" si="18"/>
        <v>18.124950495049507</v>
      </c>
      <c r="W77" s="11">
        <f t="shared" si="31"/>
        <v>1232.759511707987</v>
      </c>
      <c r="X77" s="9">
        <f t="shared" si="32"/>
        <v>2.7498685102628831E-14</v>
      </c>
      <c r="Y77" s="9">
        <f t="shared" si="33"/>
        <v>16559708168.803083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4" customFormat="1" x14ac:dyDescent="0.25">
      <c r="A78" s="26">
        <v>228</v>
      </c>
      <c r="B78" s="26">
        <f t="shared" si="19"/>
        <v>3.8</v>
      </c>
      <c r="C78" s="26">
        <v>20</v>
      </c>
      <c r="D78" s="26">
        <f t="shared" si="17"/>
        <v>29.146000000000001</v>
      </c>
      <c r="E78" s="26">
        <f t="shared" si="20"/>
        <v>4.8576666666666667E-7</v>
      </c>
      <c r="F78" s="26">
        <v>21.1</v>
      </c>
      <c r="G78" s="26">
        <f t="shared" si="21"/>
        <v>294.10000000000002</v>
      </c>
      <c r="H78" s="26">
        <v>101.3</v>
      </c>
      <c r="I78" s="26">
        <f t="shared" si="22"/>
        <v>101300</v>
      </c>
      <c r="J78" s="26">
        <f t="shared" si="23"/>
        <v>2.0124824921938581E-5</v>
      </c>
      <c r="K78" s="20">
        <v>156.62871287128715</v>
      </c>
      <c r="L78" s="27">
        <f t="shared" si="24"/>
        <v>1.5662871287128714E-4</v>
      </c>
      <c r="M78" s="29">
        <f t="shared" si="25"/>
        <v>4.7762865441819992E-3</v>
      </c>
      <c r="N78" s="33">
        <f t="shared" si="26"/>
        <v>6.5995316552413496E-7</v>
      </c>
      <c r="O78" s="21">
        <f t="shared" si="27"/>
        <v>2.032E-3</v>
      </c>
      <c r="P78" s="21">
        <v>4.5724343480153871E-11</v>
      </c>
      <c r="Q78" s="2">
        <v>0.31</v>
      </c>
      <c r="R78" s="27">
        <f t="shared" si="28"/>
        <v>131000</v>
      </c>
      <c r="S78" s="2">
        <f t="shared" si="29"/>
        <v>5.1398579432804297E-3</v>
      </c>
      <c r="T78" s="11">
        <v>0.1</v>
      </c>
      <c r="U78" s="30">
        <f t="shared" si="30"/>
        <v>110000.00000000001</v>
      </c>
      <c r="V78" s="30">
        <f t="shared" si="18"/>
        <v>17.229158415841589</v>
      </c>
      <c r="W78" s="11">
        <f t="shared" si="31"/>
        <v>1120.8613648365817</v>
      </c>
      <c r="X78" s="9">
        <f t="shared" si="32"/>
        <v>2.6117092826899323E-14</v>
      </c>
      <c r="Y78" s="9">
        <f t="shared" si="33"/>
        <v>15727713300.358774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</row>
    <row r="79" spans="1:76" s="4" customFormat="1" x14ac:dyDescent="0.25">
      <c r="A79" s="26">
        <v>231</v>
      </c>
      <c r="B79" s="26">
        <f t="shared" si="19"/>
        <v>3.85</v>
      </c>
      <c r="C79" s="26">
        <v>20</v>
      </c>
      <c r="D79" s="26">
        <f t="shared" si="17"/>
        <v>29.146000000000001</v>
      </c>
      <c r="E79" s="26">
        <f t="shared" si="20"/>
        <v>4.8576666666666667E-7</v>
      </c>
      <c r="F79" s="26">
        <v>21.1</v>
      </c>
      <c r="G79" s="26">
        <f t="shared" si="21"/>
        <v>294.10000000000002</v>
      </c>
      <c r="H79" s="26">
        <v>101.3</v>
      </c>
      <c r="I79" s="26">
        <f t="shared" si="22"/>
        <v>101300</v>
      </c>
      <c r="J79" s="26">
        <f t="shared" si="23"/>
        <v>2.0124824921938581E-5</v>
      </c>
      <c r="K79" s="20">
        <v>159.12871287128715</v>
      </c>
      <c r="L79" s="27">
        <f t="shared" si="24"/>
        <v>1.5912871287128715E-4</v>
      </c>
      <c r="M79" s="29">
        <f t="shared" si="25"/>
        <v>4.7762865441819992E-3</v>
      </c>
      <c r="N79" s="33">
        <f t="shared" si="26"/>
        <v>6.7048688493971978E-7</v>
      </c>
      <c r="O79" s="21">
        <f t="shared" si="27"/>
        <v>2.032E-3</v>
      </c>
      <c r="P79" s="21">
        <v>4.5724343480153871E-11</v>
      </c>
      <c r="Q79" s="2">
        <v>0.31</v>
      </c>
      <c r="R79" s="27">
        <f t="shared" si="28"/>
        <v>131000</v>
      </c>
      <c r="S79" s="2">
        <f t="shared" si="29"/>
        <v>5.1398579432804297E-3</v>
      </c>
      <c r="T79" s="11">
        <v>0.1</v>
      </c>
      <c r="U79" s="30">
        <f t="shared" si="30"/>
        <v>110000.00000000001</v>
      </c>
      <c r="V79" s="30">
        <f t="shared" si="18"/>
        <v>17.504158415841587</v>
      </c>
      <c r="W79" s="11">
        <f t="shared" si="31"/>
        <v>1154.6664634454949</v>
      </c>
      <c r="X79" s="9">
        <f t="shared" si="32"/>
        <v>2.6540864023061574E-14</v>
      </c>
      <c r="Y79" s="9">
        <f t="shared" si="33"/>
        <v>15982908314.687681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4" customFormat="1" x14ac:dyDescent="0.25">
      <c r="A80" s="26">
        <v>234</v>
      </c>
      <c r="B80" s="26">
        <f t="shared" si="19"/>
        <v>3.9</v>
      </c>
      <c r="C80" s="26">
        <v>20</v>
      </c>
      <c r="D80" s="26">
        <f t="shared" si="17"/>
        <v>29.146000000000001</v>
      </c>
      <c r="E80" s="26">
        <f t="shared" si="20"/>
        <v>4.8576666666666667E-7</v>
      </c>
      <c r="F80" s="26">
        <v>21.1</v>
      </c>
      <c r="G80" s="26">
        <f t="shared" si="21"/>
        <v>294.10000000000002</v>
      </c>
      <c r="H80" s="26">
        <v>101.3</v>
      </c>
      <c r="I80" s="26">
        <f t="shared" si="22"/>
        <v>101300</v>
      </c>
      <c r="J80" s="26">
        <f t="shared" si="23"/>
        <v>2.0124824921938581E-5</v>
      </c>
      <c r="K80" s="20">
        <v>152.59405940594061</v>
      </c>
      <c r="L80" s="27">
        <f t="shared" si="24"/>
        <v>1.5259405940594063E-4</v>
      </c>
      <c r="M80" s="29">
        <f t="shared" si="25"/>
        <v>4.7762865441819992E-3</v>
      </c>
      <c r="N80" s="33">
        <f t="shared" si="26"/>
        <v>6.4295320250690411E-7</v>
      </c>
      <c r="O80" s="21">
        <f t="shared" si="27"/>
        <v>2.032E-3</v>
      </c>
      <c r="P80" s="21">
        <v>4.5724343480153871E-11</v>
      </c>
      <c r="Q80" s="2">
        <v>0.31</v>
      </c>
      <c r="R80" s="27">
        <f t="shared" si="28"/>
        <v>131000</v>
      </c>
      <c r="S80" s="2">
        <f t="shared" si="29"/>
        <v>5.1398579432804297E-3</v>
      </c>
      <c r="T80" s="11">
        <v>0.1</v>
      </c>
      <c r="U80" s="30">
        <f t="shared" si="30"/>
        <v>110000.00000000001</v>
      </c>
      <c r="V80" s="30">
        <f t="shared" si="18"/>
        <v>16.78534653465347</v>
      </c>
      <c r="W80" s="11">
        <f t="shared" si="31"/>
        <v>1067.3273176205942</v>
      </c>
      <c r="X80" s="9">
        <f t="shared" si="32"/>
        <v>2.5433850138225176E-14</v>
      </c>
      <c r="Y80" s="9">
        <f t="shared" si="33"/>
        <v>15316264553.239202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4" customFormat="1" x14ac:dyDescent="0.25">
      <c r="A81" s="26">
        <v>237</v>
      </c>
      <c r="B81" s="26">
        <f t="shared" si="19"/>
        <v>3.95</v>
      </c>
      <c r="C81" s="26">
        <v>20</v>
      </c>
      <c r="D81" s="26">
        <f t="shared" si="17"/>
        <v>29.146000000000001</v>
      </c>
      <c r="E81" s="26">
        <f t="shared" si="20"/>
        <v>4.8576666666666667E-7</v>
      </c>
      <c r="F81" s="26">
        <v>21.1</v>
      </c>
      <c r="G81" s="26">
        <f t="shared" si="21"/>
        <v>294.10000000000002</v>
      </c>
      <c r="H81" s="26">
        <v>101.3</v>
      </c>
      <c r="I81" s="26">
        <f t="shared" si="22"/>
        <v>101300</v>
      </c>
      <c r="J81" s="26">
        <f t="shared" si="23"/>
        <v>2.0124824921938581E-5</v>
      </c>
      <c r="K81" s="20">
        <v>166.08415841584161</v>
      </c>
      <c r="L81" s="27">
        <f t="shared" si="24"/>
        <v>1.6608415841584161E-4</v>
      </c>
      <c r="M81" s="29">
        <f t="shared" si="25"/>
        <v>4.7762865441819992E-3</v>
      </c>
      <c r="N81" s="33">
        <f t="shared" si="26"/>
        <v>6.9979356965040634E-7</v>
      </c>
      <c r="O81" s="21">
        <f t="shared" si="27"/>
        <v>2.032E-3</v>
      </c>
      <c r="P81" s="21">
        <v>4.5724343480153871E-11</v>
      </c>
      <c r="Q81" s="2">
        <v>0.31</v>
      </c>
      <c r="R81" s="27">
        <f t="shared" si="28"/>
        <v>131000</v>
      </c>
      <c r="S81" s="2">
        <f t="shared" si="29"/>
        <v>5.1398579432804297E-3</v>
      </c>
      <c r="T81" s="11">
        <v>0.1</v>
      </c>
      <c r="U81" s="30">
        <f t="shared" si="30"/>
        <v>110000.00000000001</v>
      </c>
      <c r="V81" s="30">
        <f t="shared" si="18"/>
        <v>18.26925742574258</v>
      </c>
      <c r="W81" s="11">
        <f t="shared" si="31"/>
        <v>1251.265907226368</v>
      </c>
      <c r="X81" s="9">
        <f t="shared" si="32"/>
        <v>2.7721577114211967E-14</v>
      </c>
      <c r="Y81" s="9">
        <f t="shared" si="33"/>
        <v>16693933738.178448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4" customFormat="1" x14ac:dyDescent="0.25">
      <c r="A82" s="26">
        <v>240</v>
      </c>
      <c r="B82" s="26">
        <f t="shared" si="19"/>
        <v>4</v>
      </c>
      <c r="C82" s="26">
        <v>20</v>
      </c>
      <c r="D82" s="26">
        <f t="shared" si="17"/>
        <v>29.146000000000001</v>
      </c>
      <c r="E82" s="26">
        <f t="shared" si="20"/>
        <v>4.8576666666666667E-7</v>
      </c>
      <c r="F82" s="26">
        <v>21.1</v>
      </c>
      <c r="G82" s="26">
        <f t="shared" si="21"/>
        <v>294.10000000000002</v>
      </c>
      <c r="H82" s="26">
        <v>101.3</v>
      </c>
      <c r="I82" s="26">
        <f t="shared" si="22"/>
        <v>101300</v>
      </c>
      <c r="J82" s="26">
        <f t="shared" si="23"/>
        <v>2.0124824921938581E-5</v>
      </c>
      <c r="K82" s="20">
        <v>163.60891089108912</v>
      </c>
      <c r="L82" s="27">
        <f t="shared" si="24"/>
        <v>1.6360891089108913E-4</v>
      </c>
      <c r="M82" s="29">
        <f t="shared" si="25"/>
        <v>4.7762865441819992E-3</v>
      </c>
      <c r="N82" s="33">
        <f t="shared" si="26"/>
        <v>6.8936414448646105E-7</v>
      </c>
      <c r="O82" s="21">
        <f t="shared" si="27"/>
        <v>2.032E-3</v>
      </c>
      <c r="P82" s="21">
        <v>4.5724343480153871E-11</v>
      </c>
      <c r="Q82" s="2">
        <v>0.31</v>
      </c>
      <c r="R82" s="27">
        <f t="shared" si="28"/>
        <v>131000</v>
      </c>
      <c r="S82" s="2">
        <f t="shared" si="29"/>
        <v>5.1398579432804297E-3</v>
      </c>
      <c r="T82" s="11">
        <v>0.1</v>
      </c>
      <c r="U82" s="30">
        <f t="shared" si="30"/>
        <v>110000.00000000001</v>
      </c>
      <c r="V82" s="30">
        <f t="shared" si="18"/>
        <v>17.996980198019806</v>
      </c>
      <c r="W82" s="11">
        <f t="shared" si="31"/>
        <v>1216.4595922010446</v>
      </c>
      <c r="X82" s="9">
        <f t="shared" si="32"/>
        <v>2.730110276478892E-14</v>
      </c>
      <c r="Y82" s="9">
        <f t="shared" si="33"/>
        <v>16440724084.955889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s="4" customFormat="1" x14ac:dyDescent="0.25">
      <c r="A83" s="26">
        <v>243</v>
      </c>
      <c r="B83" s="26">
        <f t="shared" si="19"/>
        <v>4.05</v>
      </c>
      <c r="C83" s="26">
        <v>20</v>
      </c>
      <c r="D83" s="26">
        <f t="shared" si="17"/>
        <v>29.146000000000001</v>
      </c>
      <c r="E83" s="26">
        <f t="shared" si="20"/>
        <v>4.8576666666666667E-7</v>
      </c>
      <c r="F83" s="26">
        <v>21.1</v>
      </c>
      <c r="G83" s="26">
        <f t="shared" si="21"/>
        <v>294.10000000000002</v>
      </c>
      <c r="H83" s="26">
        <v>101.3</v>
      </c>
      <c r="I83" s="26">
        <f t="shared" si="22"/>
        <v>101300</v>
      </c>
      <c r="J83" s="26">
        <f t="shared" si="23"/>
        <v>2.0124824921938581E-5</v>
      </c>
      <c r="K83" s="20">
        <v>168.46039603960398</v>
      </c>
      <c r="L83" s="27">
        <f t="shared" si="24"/>
        <v>1.6846039603960397E-4</v>
      </c>
      <c r="M83" s="29">
        <f t="shared" si="25"/>
        <v>4.7762865441819992E-3</v>
      </c>
      <c r="N83" s="33">
        <f t="shared" si="26"/>
        <v>7.0980581780779382E-7</v>
      </c>
      <c r="O83" s="21">
        <f t="shared" si="27"/>
        <v>2.032E-3</v>
      </c>
      <c r="P83" s="21">
        <v>4.5724343480153871E-11</v>
      </c>
      <c r="Q83" s="2">
        <v>0.31</v>
      </c>
      <c r="R83" s="27">
        <f t="shared" si="28"/>
        <v>131000</v>
      </c>
      <c r="S83" s="2">
        <f t="shared" si="29"/>
        <v>5.1398579432804297E-3</v>
      </c>
      <c r="T83" s="11">
        <v>0.1</v>
      </c>
      <c r="U83" s="30">
        <f t="shared" si="30"/>
        <v>110000.00000000001</v>
      </c>
      <c r="V83" s="30">
        <f t="shared" si="18"/>
        <v>18.530643564356438</v>
      </c>
      <c r="W83" s="11">
        <f t="shared" si="31"/>
        <v>1285.1258436927337</v>
      </c>
      <c r="X83" s="9">
        <f t="shared" si="32"/>
        <v>2.8125541458335949E-14</v>
      </c>
      <c r="Y83" s="9">
        <f t="shared" si="33"/>
        <v>16937201066.209909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s="4" customFormat="1" x14ac:dyDescent="0.25">
      <c r="A84" s="26">
        <v>246</v>
      </c>
      <c r="B84" s="26">
        <f t="shared" si="19"/>
        <v>4.0999999999999996</v>
      </c>
      <c r="C84" s="26">
        <v>20</v>
      </c>
      <c r="D84" s="26">
        <f t="shared" si="17"/>
        <v>29.146000000000001</v>
      </c>
      <c r="E84" s="26">
        <f t="shared" si="20"/>
        <v>4.8576666666666667E-7</v>
      </c>
      <c r="F84" s="26">
        <v>21.1</v>
      </c>
      <c r="G84" s="26">
        <f t="shared" si="21"/>
        <v>294.10000000000002</v>
      </c>
      <c r="H84" s="26">
        <v>101.3</v>
      </c>
      <c r="I84" s="26">
        <f t="shared" si="22"/>
        <v>101300</v>
      </c>
      <c r="J84" s="26">
        <f t="shared" si="23"/>
        <v>2.0124824921938581E-5</v>
      </c>
      <c r="K84" s="20">
        <v>162.22277227722773</v>
      </c>
      <c r="L84" s="27">
        <f t="shared" si="24"/>
        <v>1.6222277227722774E-4</v>
      </c>
      <c r="M84" s="29">
        <f t="shared" si="25"/>
        <v>4.7762865441819992E-3</v>
      </c>
      <c r="N84" s="33">
        <f t="shared" si="26"/>
        <v>6.8352366639465158E-7</v>
      </c>
      <c r="O84" s="21">
        <f t="shared" si="27"/>
        <v>2.032E-3</v>
      </c>
      <c r="P84" s="21">
        <v>4.5724343480153871E-11</v>
      </c>
      <c r="Q84" s="2">
        <v>0.31</v>
      </c>
      <c r="R84" s="27">
        <f t="shared" si="28"/>
        <v>131000</v>
      </c>
      <c r="S84" s="2">
        <f t="shared" si="29"/>
        <v>5.1398579432804297E-3</v>
      </c>
      <c r="T84" s="11">
        <v>0.1</v>
      </c>
      <c r="U84" s="30">
        <f t="shared" si="30"/>
        <v>110000.00000000001</v>
      </c>
      <c r="V84" s="30">
        <f t="shared" si="18"/>
        <v>17.844504950495054</v>
      </c>
      <c r="W84" s="11">
        <f t="shared" si="31"/>
        <v>1197.1751909234181</v>
      </c>
      <c r="X84" s="9">
        <f t="shared" si="32"/>
        <v>2.7065778817265368E-14</v>
      </c>
      <c r="Y84" s="9">
        <f t="shared" si="33"/>
        <v>16299012003.757206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s="4" customFormat="1" x14ac:dyDescent="0.25">
      <c r="A85" s="26">
        <v>249</v>
      </c>
      <c r="B85" s="26">
        <f t="shared" si="19"/>
        <v>4.1500000000000004</v>
      </c>
      <c r="C85" s="26">
        <v>20</v>
      </c>
      <c r="D85" s="26">
        <f t="shared" si="17"/>
        <v>29.146000000000001</v>
      </c>
      <c r="E85" s="26">
        <f t="shared" si="20"/>
        <v>4.8576666666666667E-7</v>
      </c>
      <c r="F85" s="26">
        <v>21.1</v>
      </c>
      <c r="G85" s="26">
        <f t="shared" si="21"/>
        <v>294.10000000000002</v>
      </c>
      <c r="H85" s="26">
        <v>101.3</v>
      </c>
      <c r="I85" s="26">
        <f t="shared" si="22"/>
        <v>101300</v>
      </c>
      <c r="J85" s="26">
        <f t="shared" si="23"/>
        <v>2.0124824921938581E-5</v>
      </c>
      <c r="K85" s="20">
        <v>163.65841584158417</v>
      </c>
      <c r="L85" s="27">
        <f t="shared" si="24"/>
        <v>1.6365841584158416E-4</v>
      </c>
      <c r="M85" s="29">
        <f t="shared" si="25"/>
        <v>4.7762865441819992E-3</v>
      </c>
      <c r="N85" s="33">
        <f t="shared" si="26"/>
        <v>6.895727329897398E-7</v>
      </c>
      <c r="O85" s="21">
        <f t="shared" si="27"/>
        <v>2.032E-3</v>
      </c>
      <c r="P85" s="21">
        <v>4.5724343480153871E-11</v>
      </c>
      <c r="Q85" s="2">
        <v>0.31</v>
      </c>
      <c r="R85" s="27">
        <f t="shared" si="28"/>
        <v>131000</v>
      </c>
      <c r="S85" s="2">
        <f t="shared" si="29"/>
        <v>5.1398579432804297E-3</v>
      </c>
      <c r="T85" s="11">
        <v>0.1</v>
      </c>
      <c r="U85" s="30">
        <f t="shared" si="30"/>
        <v>110000.00000000001</v>
      </c>
      <c r="V85" s="30">
        <f t="shared" si="18"/>
        <v>18.00242574257426</v>
      </c>
      <c r="W85" s="11">
        <f t="shared" si="31"/>
        <v>1217.1510718767427</v>
      </c>
      <c r="X85" s="9">
        <f t="shared" si="32"/>
        <v>2.7309509063788756E-14</v>
      </c>
      <c r="Y85" s="9">
        <f t="shared" si="33"/>
        <v>16445786358.213591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s="4" customFormat="1" x14ac:dyDescent="0.25">
      <c r="A86" s="26">
        <v>252</v>
      </c>
      <c r="B86" s="26">
        <f t="shared" si="19"/>
        <v>4.2</v>
      </c>
      <c r="C86" s="26">
        <v>20</v>
      </c>
      <c r="D86" s="26">
        <f t="shared" si="17"/>
        <v>29.146000000000001</v>
      </c>
      <c r="E86" s="26">
        <f t="shared" si="20"/>
        <v>4.8576666666666667E-7</v>
      </c>
      <c r="F86" s="26">
        <v>21.1</v>
      </c>
      <c r="G86" s="26">
        <f t="shared" si="21"/>
        <v>294.10000000000002</v>
      </c>
      <c r="H86" s="26">
        <v>101.3</v>
      </c>
      <c r="I86" s="26">
        <f t="shared" si="22"/>
        <v>101300</v>
      </c>
      <c r="J86" s="26">
        <f t="shared" si="23"/>
        <v>2.0124824921938581E-5</v>
      </c>
      <c r="K86" s="20">
        <v>157.6683168316832</v>
      </c>
      <c r="L86" s="27">
        <f t="shared" si="24"/>
        <v>1.576683168316832E-4</v>
      </c>
      <c r="M86" s="29">
        <f t="shared" si="25"/>
        <v>4.7762865441819992E-3</v>
      </c>
      <c r="N86" s="33">
        <f t="shared" si="26"/>
        <v>6.6433352409299214E-7</v>
      </c>
      <c r="O86" s="21">
        <f t="shared" si="27"/>
        <v>2.032E-3</v>
      </c>
      <c r="P86" s="21">
        <v>4.5724343480153871E-11</v>
      </c>
      <c r="Q86" s="2">
        <v>0.31</v>
      </c>
      <c r="R86" s="27">
        <f t="shared" si="28"/>
        <v>131000</v>
      </c>
      <c r="S86" s="2">
        <f t="shared" si="29"/>
        <v>5.1398579432804297E-3</v>
      </c>
      <c r="T86" s="11">
        <v>0.1</v>
      </c>
      <c r="U86" s="30">
        <f t="shared" si="30"/>
        <v>110000.00000000001</v>
      </c>
      <c r="V86" s="30">
        <f t="shared" si="18"/>
        <v>17.343514851485153</v>
      </c>
      <c r="W86" s="11">
        <f t="shared" si="31"/>
        <v>1134.8600691345728</v>
      </c>
      <c r="X86" s="9">
        <f t="shared" si="32"/>
        <v>2.6293275798375307E-14</v>
      </c>
      <c r="Y86" s="9">
        <f t="shared" si="33"/>
        <v>15833810685.78161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s="4" customFormat="1" x14ac:dyDescent="0.25">
      <c r="A87" s="26">
        <v>255</v>
      </c>
      <c r="B87" s="26">
        <f t="shared" si="19"/>
        <v>4.25</v>
      </c>
      <c r="C87" s="26">
        <v>20</v>
      </c>
      <c r="D87" s="26">
        <f t="shared" si="17"/>
        <v>29.146000000000001</v>
      </c>
      <c r="E87" s="26">
        <f t="shared" si="20"/>
        <v>4.8576666666666667E-7</v>
      </c>
      <c r="F87" s="26">
        <v>21.1</v>
      </c>
      <c r="G87" s="26">
        <f t="shared" si="21"/>
        <v>294.10000000000002</v>
      </c>
      <c r="H87" s="26">
        <v>101.3</v>
      </c>
      <c r="I87" s="26">
        <f t="shared" si="22"/>
        <v>101300</v>
      </c>
      <c r="J87" s="26">
        <f t="shared" si="23"/>
        <v>2.0124824921938581E-5</v>
      </c>
      <c r="K87" s="20">
        <v>164.10396039603961</v>
      </c>
      <c r="L87" s="27">
        <f t="shared" si="24"/>
        <v>1.641039603960396E-4</v>
      </c>
      <c r="M87" s="29">
        <f t="shared" si="25"/>
        <v>4.7762865441819992E-3</v>
      </c>
      <c r="N87" s="33">
        <f t="shared" si="26"/>
        <v>6.9145002951925E-7</v>
      </c>
      <c r="O87" s="21">
        <f t="shared" si="27"/>
        <v>2.032E-3</v>
      </c>
      <c r="P87" s="21">
        <v>4.5724343480153871E-11</v>
      </c>
      <c r="Q87" s="2">
        <v>0.31</v>
      </c>
      <c r="R87" s="27">
        <f t="shared" si="28"/>
        <v>131000</v>
      </c>
      <c r="S87" s="2">
        <f t="shared" si="29"/>
        <v>5.1398579432804297E-3</v>
      </c>
      <c r="T87" s="11">
        <v>0.1</v>
      </c>
      <c r="U87" s="30">
        <f t="shared" si="30"/>
        <v>110000.00000000001</v>
      </c>
      <c r="V87" s="30">
        <f t="shared" si="18"/>
        <v>18.051435643564357</v>
      </c>
      <c r="W87" s="11">
        <f t="shared" si="31"/>
        <v>1223.3829251840743</v>
      </c>
      <c r="X87" s="9">
        <f t="shared" si="32"/>
        <v>2.7385171587244856E-14</v>
      </c>
      <c r="Y87" s="9">
        <f t="shared" si="33"/>
        <v>16491350329.838854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4"/>
      <c r="L88" s="3"/>
      <c r="M88" s="3"/>
      <c r="N88" s="21"/>
      <c r="O88" s="21"/>
      <c r="P88" s="21"/>
      <c r="Q88" s="2"/>
      <c r="R88" s="2"/>
      <c r="S88" s="2"/>
      <c r="T88" s="11"/>
      <c r="U88" s="2"/>
      <c r="V88" s="11"/>
      <c r="W88" s="5"/>
      <c r="X88" s="2"/>
      <c r="Y88" s="5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4"/>
      <c r="L89" s="3"/>
      <c r="M89" s="3"/>
      <c r="N89" s="21"/>
      <c r="O89" s="21"/>
      <c r="P89" s="21"/>
      <c r="Q89" s="2"/>
      <c r="R89" s="2"/>
      <c r="S89" s="2"/>
      <c r="T89" s="11"/>
      <c r="U89" s="2"/>
      <c r="V89" s="11"/>
      <c r="W89" s="5"/>
      <c r="X89" s="2"/>
      <c r="Y89" s="5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4"/>
      <c r="L90" s="3"/>
      <c r="M90" s="3"/>
      <c r="N90" s="21"/>
      <c r="O90" s="21"/>
      <c r="P90" s="21"/>
      <c r="Q90" s="2"/>
      <c r="R90" s="2"/>
      <c r="S90" s="2"/>
      <c r="T90" s="11"/>
      <c r="U90" s="2"/>
      <c r="V90" s="11"/>
      <c r="W90" s="5"/>
      <c r="X90" s="31"/>
      <c r="Y90" s="31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4"/>
      <c r="L91" s="3"/>
      <c r="M91" s="3"/>
      <c r="N91" s="21"/>
      <c r="O91" s="21"/>
      <c r="P91" s="21"/>
      <c r="Q91" s="2"/>
      <c r="R91" s="2"/>
      <c r="S91" s="2"/>
      <c r="T91" s="11"/>
      <c r="U91" s="2"/>
      <c r="V91" s="11"/>
      <c r="W91" s="5"/>
      <c r="X91" s="32">
        <f>AVERAGE(X57:X87)</f>
        <v>2.6795900540514725E-14</v>
      </c>
      <c r="Y91" s="32">
        <f>AVERAGE(Y57:Y87)</f>
        <v>16136491305.497967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4"/>
      <c r="L92" s="3"/>
      <c r="M92" s="3"/>
      <c r="N92" s="21"/>
      <c r="O92" s="21"/>
      <c r="P92" s="21"/>
      <c r="Q92" s="2"/>
      <c r="R92" s="2"/>
      <c r="S92" s="2"/>
      <c r="T92" s="11"/>
      <c r="U92" s="2"/>
      <c r="V92" s="11"/>
      <c r="W92" s="5"/>
      <c r="X92" s="2"/>
      <c r="Y92" s="5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</row>
    <row r="93" spans="1:76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4"/>
      <c r="L93" s="3"/>
      <c r="M93" s="3"/>
      <c r="N93" s="21"/>
      <c r="O93" s="21"/>
      <c r="P93" s="21"/>
      <c r="Q93" s="2"/>
      <c r="R93" s="2"/>
      <c r="S93" s="2"/>
      <c r="T93" s="11"/>
      <c r="U93" s="2"/>
      <c r="V93" s="11"/>
      <c r="W93" s="5"/>
      <c r="X93" s="2"/>
      <c r="Y93" s="5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</row>
    <row r="94" spans="1:76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4"/>
      <c r="L94" s="3"/>
      <c r="M94" s="3"/>
      <c r="N94" s="21"/>
      <c r="O94" s="21"/>
      <c r="P94" s="21"/>
      <c r="Q94" s="2"/>
      <c r="R94" s="2"/>
      <c r="S94" s="2"/>
      <c r="T94" s="11"/>
      <c r="U94" s="2"/>
      <c r="V94" s="11"/>
      <c r="W94" s="5"/>
      <c r="X94" s="2"/>
      <c r="Y94" s="5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</row>
    <row r="95" spans="1:76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4"/>
      <c r="L95" s="3"/>
      <c r="M95" s="3"/>
      <c r="N95" s="21"/>
      <c r="O95" s="21"/>
      <c r="P95" s="21"/>
      <c r="Q95" s="2"/>
      <c r="R95" s="2"/>
      <c r="S95" s="2"/>
      <c r="T95" s="11"/>
      <c r="U95" s="2"/>
      <c r="V95" s="11"/>
      <c r="W95" s="5"/>
      <c r="X95" s="2"/>
      <c r="Y95" s="5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</row>
    <row r="96" spans="1:76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4"/>
      <c r="L96" s="3"/>
      <c r="M96" s="3"/>
      <c r="N96" s="21"/>
      <c r="O96" s="21"/>
      <c r="P96" s="21"/>
      <c r="Q96" s="2"/>
      <c r="R96" s="2"/>
      <c r="S96" s="2"/>
      <c r="T96" s="11"/>
      <c r="U96" s="2"/>
      <c r="V96" s="11"/>
      <c r="W96" s="5"/>
      <c r="X96" s="2"/>
      <c r="Y96" s="5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</row>
    <row r="97" spans="1:76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4"/>
      <c r="L97" s="3"/>
      <c r="M97" s="3"/>
      <c r="N97" s="21"/>
      <c r="O97" s="21"/>
      <c r="P97" s="21"/>
      <c r="Q97" s="2"/>
      <c r="R97" s="2"/>
      <c r="S97" s="2"/>
      <c r="T97" s="11"/>
      <c r="U97" s="2"/>
      <c r="V97" s="11"/>
      <c r="W97" s="5"/>
      <c r="X97" s="2"/>
      <c r="Y97" s="5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</row>
    <row r="98" spans="1:76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1"/>
      <c r="O98" s="21"/>
      <c r="P98" s="21"/>
      <c r="Q98" s="2"/>
      <c r="R98" s="2"/>
      <c r="S98" s="2"/>
      <c r="T98" s="11"/>
      <c r="U98" s="2"/>
      <c r="V98" s="11"/>
      <c r="W98" s="5"/>
      <c r="X98" s="2"/>
      <c r="Y98" s="5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</row>
    <row r="99" spans="1:76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1"/>
      <c r="O99" s="21"/>
      <c r="P99" s="21"/>
      <c r="Q99" s="2"/>
      <c r="R99" s="2"/>
      <c r="S99" s="2"/>
      <c r="T99" s="11"/>
      <c r="U99" s="2"/>
      <c r="V99" s="11"/>
      <c r="W99" s="5"/>
      <c r="X99" s="2"/>
      <c r="Y99" s="5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</row>
    <row r="100" spans="1:76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1"/>
      <c r="O100" s="21"/>
      <c r="P100" s="21"/>
      <c r="Q100" s="2"/>
      <c r="R100" s="2"/>
      <c r="S100" s="2"/>
      <c r="T100" s="11"/>
      <c r="U100" s="2"/>
      <c r="V100" s="11"/>
      <c r="W100" s="5"/>
      <c r="X100" s="2"/>
      <c r="Y100" s="5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</row>
    <row r="101" spans="1:76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1"/>
      <c r="O101" s="21"/>
      <c r="P101" s="21"/>
      <c r="Q101" s="2"/>
      <c r="R101" s="2"/>
      <c r="S101" s="2"/>
      <c r="T101" s="11"/>
      <c r="U101" s="2"/>
      <c r="V101" s="11"/>
      <c r="W101" s="5"/>
      <c r="X101" s="2"/>
      <c r="Y101" s="5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</row>
    <row r="102" spans="1:76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1"/>
      <c r="O102" s="21"/>
      <c r="P102" s="21"/>
      <c r="Q102" s="2"/>
      <c r="R102" s="2"/>
      <c r="S102" s="2"/>
      <c r="T102" s="11"/>
      <c r="U102" s="2"/>
      <c r="V102" s="11"/>
      <c r="W102" s="5"/>
      <c r="X102" s="2"/>
      <c r="Y102" s="5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</row>
    <row r="103" spans="1:76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21"/>
      <c r="O103" s="21"/>
      <c r="P103" s="21"/>
      <c r="Q103" s="2"/>
      <c r="R103" s="2"/>
      <c r="S103" s="2"/>
      <c r="T103" s="11"/>
      <c r="U103" s="2"/>
      <c r="V103" s="11"/>
      <c r="W103" s="5"/>
      <c r="X103" s="2"/>
      <c r="Y103" s="5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</row>
    <row r="104" spans="1:76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1"/>
      <c r="O104" s="21"/>
      <c r="P104" s="21"/>
      <c r="Q104" s="2"/>
      <c r="R104" s="2"/>
      <c r="S104" s="2"/>
      <c r="T104" s="11"/>
      <c r="U104" s="2"/>
      <c r="V104" s="11"/>
      <c r="W104" s="5"/>
      <c r="X104" s="2"/>
      <c r="Y104" s="5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</row>
    <row r="105" spans="1:76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1"/>
      <c r="O105" s="21"/>
      <c r="P105" s="21"/>
      <c r="Q105" s="2"/>
      <c r="R105" s="2"/>
      <c r="S105" s="2"/>
      <c r="T105" s="11"/>
      <c r="U105" s="2"/>
      <c r="V105" s="11"/>
      <c r="W105" s="5"/>
      <c r="X105" s="2"/>
      <c r="Y105" s="5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</row>
    <row r="106" spans="1:76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1"/>
      <c r="O106" s="21"/>
      <c r="P106" s="21"/>
      <c r="Q106" s="2"/>
      <c r="R106" s="2"/>
      <c r="S106" s="2"/>
      <c r="T106" s="11"/>
      <c r="U106" s="2"/>
      <c r="V106" s="11"/>
      <c r="W106" s="5"/>
      <c r="X106" s="2"/>
      <c r="Y106" s="5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</row>
    <row r="107" spans="1:76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1"/>
      <c r="O107" s="21"/>
      <c r="P107" s="21"/>
      <c r="Q107" s="2"/>
      <c r="R107" s="2"/>
      <c r="S107" s="2"/>
      <c r="T107" s="11"/>
      <c r="U107" s="2"/>
      <c r="V107" s="11"/>
      <c r="W107" s="5"/>
      <c r="X107" s="2"/>
      <c r="Y107" s="5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</row>
    <row r="108" spans="1:76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1"/>
      <c r="O108" s="21"/>
      <c r="P108" s="21"/>
      <c r="Q108" s="2"/>
      <c r="R108" s="2"/>
      <c r="S108" s="2"/>
      <c r="T108" s="11"/>
      <c r="U108" s="2"/>
      <c r="V108" s="11"/>
      <c r="W108" s="5"/>
      <c r="X108" s="2"/>
      <c r="Y108" s="5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</row>
    <row r="109" spans="1:76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1"/>
      <c r="O109" s="21"/>
      <c r="P109" s="21"/>
      <c r="Q109" s="2"/>
      <c r="R109" s="2"/>
      <c r="S109" s="2"/>
      <c r="T109" s="11"/>
      <c r="U109" s="2"/>
      <c r="V109" s="11"/>
      <c r="W109" s="5"/>
      <c r="X109" s="2"/>
      <c r="Y109" s="5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</row>
    <row r="110" spans="1:76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1"/>
      <c r="O110" s="21"/>
      <c r="P110" s="21"/>
      <c r="Q110" s="2"/>
      <c r="R110" s="2"/>
      <c r="S110" s="2"/>
      <c r="T110" s="11"/>
      <c r="U110" s="2"/>
      <c r="V110" s="11"/>
      <c r="W110" s="5"/>
      <c r="X110" s="2"/>
      <c r="Y110" s="5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</row>
    <row r="111" spans="1:76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1"/>
      <c r="O111" s="21"/>
      <c r="P111" s="21"/>
      <c r="Q111" s="2"/>
      <c r="R111" s="2"/>
      <c r="S111" s="2"/>
      <c r="T111" s="11"/>
      <c r="U111" s="2"/>
      <c r="V111" s="11"/>
      <c r="W111" s="5"/>
      <c r="X111" s="2"/>
      <c r="Y111" s="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</row>
    <row r="112" spans="1:76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1"/>
      <c r="O112" s="21"/>
      <c r="P112" s="21"/>
      <c r="Q112" s="2"/>
      <c r="R112" s="2"/>
      <c r="S112" s="2"/>
      <c r="T112" s="11"/>
      <c r="U112" s="2"/>
      <c r="V112" s="11"/>
      <c r="W112" s="5"/>
      <c r="X112" s="2"/>
      <c r="Y112" s="5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</row>
    <row r="113" spans="1:76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1"/>
      <c r="O113" s="21"/>
      <c r="P113" s="21"/>
      <c r="Q113" s="2"/>
      <c r="R113" s="2"/>
      <c r="S113" s="2"/>
      <c r="T113" s="11"/>
      <c r="U113" s="2"/>
      <c r="V113" s="11"/>
      <c r="W113" s="5"/>
      <c r="X113" s="2"/>
      <c r="Y113" s="5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</row>
    <row r="114" spans="1:76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1"/>
      <c r="O114" s="21"/>
      <c r="P114" s="21"/>
      <c r="Q114" s="2"/>
      <c r="R114" s="2"/>
      <c r="S114" s="2"/>
      <c r="T114" s="11"/>
      <c r="U114" s="2"/>
      <c r="V114" s="11"/>
      <c r="W114" s="5"/>
      <c r="X114" s="2"/>
      <c r="Y114" s="5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</row>
    <row r="115" spans="1:76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1"/>
      <c r="O115" s="21"/>
      <c r="P115" s="21"/>
      <c r="Q115" s="2"/>
      <c r="R115" s="2"/>
      <c r="S115" s="2"/>
      <c r="T115" s="11"/>
      <c r="U115" s="2"/>
      <c r="V115" s="11"/>
      <c r="W115" s="5"/>
      <c r="X115" s="2"/>
      <c r="Y115" s="5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</row>
    <row r="116" spans="1:76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1"/>
      <c r="O116" s="21"/>
      <c r="P116" s="21"/>
      <c r="Q116" s="2"/>
      <c r="R116" s="2"/>
      <c r="S116" s="2"/>
      <c r="T116" s="11"/>
      <c r="U116" s="2"/>
      <c r="V116" s="11"/>
      <c r="W116" s="5"/>
      <c r="X116" s="2"/>
      <c r="Y116" s="5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</row>
    <row r="117" spans="1:76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1"/>
      <c r="O117" s="21"/>
      <c r="P117" s="21"/>
      <c r="Q117" s="2"/>
      <c r="R117" s="2"/>
      <c r="S117" s="2"/>
      <c r="T117" s="11"/>
      <c r="U117" s="2"/>
      <c r="V117" s="11"/>
      <c r="W117" s="5"/>
      <c r="X117" s="2"/>
      <c r="Y117" s="5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</row>
    <row r="118" spans="1:76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1"/>
      <c r="O118" s="21"/>
      <c r="P118" s="21"/>
      <c r="Q118" s="2"/>
      <c r="R118" s="2"/>
      <c r="S118" s="2"/>
      <c r="T118" s="11"/>
      <c r="U118" s="2"/>
      <c r="V118" s="11"/>
      <c r="W118" s="5"/>
      <c r="X118" s="2"/>
      <c r="Y118" s="5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</row>
    <row r="119" spans="1:76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1"/>
      <c r="O119" s="21"/>
      <c r="P119" s="21"/>
      <c r="Q119" s="2"/>
      <c r="R119" s="2"/>
      <c r="S119" s="2"/>
      <c r="T119" s="11"/>
      <c r="U119" s="2"/>
      <c r="V119" s="11"/>
      <c r="W119" s="5"/>
      <c r="X119" s="2"/>
      <c r="Y119" s="5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</row>
    <row r="120" spans="1:76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1"/>
      <c r="O120" s="21"/>
      <c r="P120" s="21"/>
      <c r="Q120" s="2"/>
      <c r="R120" s="2"/>
      <c r="S120" s="2"/>
      <c r="T120" s="11"/>
      <c r="U120" s="2"/>
      <c r="V120" s="11"/>
      <c r="W120" s="5"/>
      <c r="X120" s="2"/>
      <c r="Y120" s="5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</row>
    <row r="121" spans="1:76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1"/>
      <c r="O121" s="21"/>
      <c r="P121" s="21"/>
      <c r="Q121" s="2"/>
      <c r="R121" s="2"/>
      <c r="S121" s="2"/>
      <c r="T121" s="11"/>
      <c r="U121" s="2"/>
      <c r="V121" s="11"/>
      <c r="W121" s="5"/>
      <c r="X121" s="2"/>
      <c r="Y121" s="5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</row>
    <row r="122" spans="1:76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1"/>
      <c r="O122" s="21"/>
      <c r="P122" s="21"/>
      <c r="Q122" s="2"/>
      <c r="R122" s="2"/>
      <c r="S122" s="2"/>
      <c r="T122" s="11"/>
      <c r="U122" s="2"/>
      <c r="V122" s="11"/>
      <c r="W122" s="5"/>
      <c r="X122" s="2"/>
      <c r="Y122" s="5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</row>
    <row r="123" spans="1:76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1"/>
      <c r="O123" s="21"/>
      <c r="P123" s="21"/>
      <c r="Q123" s="2"/>
      <c r="R123" s="2"/>
      <c r="S123" s="2"/>
      <c r="T123" s="11"/>
      <c r="U123" s="2"/>
      <c r="V123" s="11"/>
      <c r="W123" s="5"/>
      <c r="X123" s="2"/>
      <c r="Y123" s="5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</row>
    <row r="124" spans="1:76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1"/>
      <c r="O124" s="21"/>
      <c r="P124" s="21"/>
      <c r="Q124" s="2"/>
      <c r="R124" s="2"/>
      <c r="S124" s="2"/>
      <c r="T124" s="11"/>
      <c r="U124" s="2"/>
      <c r="V124" s="11"/>
      <c r="W124" s="5"/>
      <c r="X124" s="2"/>
      <c r="Y124" s="5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</row>
    <row r="125" spans="1:76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1"/>
      <c r="O125" s="21"/>
      <c r="P125" s="21"/>
      <c r="Q125" s="2"/>
      <c r="R125" s="2"/>
      <c r="S125" s="2"/>
      <c r="T125" s="11"/>
      <c r="U125" s="2"/>
      <c r="V125" s="11"/>
      <c r="W125" s="5"/>
      <c r="X125" s="2"/>
      <c r="Y125" s="5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</row>
    <row r="126" spans="1:76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1"/>
      <c r="O126" s="21"/>
      <c r="P126" s="21"/>
      <c r="Q126" s="2"/>
      <c r="R126" s="2"/>
      <c r="S126" s="2"/>
      <c r="T126" s="11"/>
      <c r="U126" s="2"/>
      <c r="V126" s="11"/>
      <c r="W126" s="5"/>
      <c r="X126" s="2"/>
      <c r="Y126" s="5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</row>
    <row r="127" spans="1:76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1"/>
      <c r="O127" s="21"/>
      <c r="P127" s="21"/>
      <c r="Q127" s="2"/>
      <c r="R127" s="2"/>
      <c r="S127" s="2"/>
      <c r="T127" s="11"/>
      <c r="U127" s="2"/>
      <c r="V127" s="11"/>
      <c r="W127" s="5"/>
      <c r="X127" s="2"/>
      <c r="Y127" s="5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</row>
    <row r="128" spans="1:76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33"/>
      <c r="O128" s="21"/>
      <c r="P128" s="21"/>
      <c r="Q128" s="2"/>
      <c r="R128" s="2"/>
      <c r="S128" s="2"/>
      <c r="T128" s="11"/>
      <c r="U128" s="2"/>
      <c r="V128" s="11"/>
      <c r="W128" s="5"/>
      <c r="X128" s="2"/>
      <c r="Y128" s="5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</row>
    <row r="129" spans="1:76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1"/>
      <c r="O129" s="21"/>
      <c r="P129" s="21"/>
      <c r="Q129" s="2"/>
      <c r="R129" s="2"/>
      <c r="S129" s="2"/>
      <c r="T129" s="11"/>
      <c r="U129" s="2"/>
      <c r="V129" s="11"/>
      <c r="W129" s="5"/>
      <c r="X129" s="2"/>
      <c r="Y129" s="5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</row>
    <row r="130" spans="1:76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1"/>
      <c r="O130" s="21"/>
      <c r="P130" s="21"/>
      <c r="Q130" s="2"/>
      <c r="R130" s="2"/>
      <c r="S130" s="2"/>
      <c r="T130" s="11"/>
      <c r="U130" s="2"/>
      <c r="V130" s="11"/>
      <c r="W130" s="5"/>
      <c r="X130" s="2"/>
      <c r="Y130" s="5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</row>
    <row r="131" spans="1:76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1"/>
      <c r="O131" s="21"/>
      <c r="P131" s="21"/>
      <c r="Q131" s="2"/>
      <c r="R131" s="2"/>
      <c r="S131" s="2"/>
      <c r="T131" s="11"/>
      <c r="U131" s="2"/>
      <c r="V131" s="11"/>
      <c r="W131" s="5"/>
      <c r="X131" s="2"/>
      <c r="Y131" s="5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</row>
    <row r="132" spans="1:76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1"/>
      <c r="O132" s="21"/>
      <c r="P132" s="21"/>
      <c r="Q132" s="2"/>
      <c r="R132" s="2"/>
      <c r="S132" s="2"/>
      <c r="T132" s="11"/>
      <c r="U132" s="2"/>
      <c r="V132" s="11"/>
      <c r="W132" s="5"/>
      <c r="X132" s="2"/>
      <c r="Y132" s="5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</row>
    <row r="133" spans="1:76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1"/>
      <c r="O133" s="21"/>
      <c r="P133" s="21"/>
      <c r="Q133" s="2"/>
      <c r="R133" s="2"/>
      <c r="S133" s="2"/>
      <c r="T133" s="11"/>
      <c r="U133" s="2"/>
      <c r="V133" s="11"/>
      <c r="W133" s="5"/>
      <c r="X133" s="2"/>
      <c r="Y133" s="5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</row>
    <row r="134" spans="1:76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1"/>
      <c r="O134" s="21"/>
      <c r="P134" s="21"/>
      <c r="Q134" s="2"/>
      <c r="R134" s="2"/>
      <c r="S134" s="2"/>
      <c r="T134" s="11"/>
      <c r="U134" s="2"/>
      <c r="V134" s="11"/>
      <c r="W134" s="5"/>
      <c r="X134" s="2"/>
      <c r="Y134" s="5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</row>
    <row r="135" spans="1:76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1"/>
      <c r="O135" s="21"/>
      <c r="P135" s="21"/>
      <c r="Q135" s="2"/>
      <c r="R135" s="2"/>
      <c r="S135" s="2"/>
      <c r="T135" s="11"/>
      <c r="U135" s="2"/>
      <c r="V135" s="11"/>
      <c r="W135" s="5"/>
      <c r="X135" s="2"/>
      <c r="Y135" s="5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</row>
    <row r="136" spans="1:76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1"/>
      <c r="O136" s="21"/>
      <c r="P136" s="21"/>
      <c r="Q136" s="2"/>
      <c r="R136" s="2"/>
      <c r="S136" s="2"/>
      <c r="T136" s="11"/>
      <c r="U136" s="2"/>
      <c r="V136" s="11"/>
      <c r="W136" s="5"/>
      <c r="X136" s="2"/>
      <c r="Y136" s="5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</row>
    <row r="137" spans="1:76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1"/>
      <c r="O137" s="21"/>
      <c r="P137" s="21"/>
      <c r="Q137" s="2"/>
      <c r="R137" s="2"/>
      <c r="S137" s="2"/>
      <c r="T137" s="11"/>
      <c r="U137" s="2"/>
      <c r="V137" s="11"/>
      <c r="W137" s="5"/>
      <c r="X137" s="2"/>
      <c r="Y137" s="5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</row>
    <row r="138" spans="1:76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21"/>
      <c r="O138" s="21"/>
      <c r="P138" s="21"/>
      <c r="Q138" s="2"/>
      <c r="R138" s="2"/>
      <c r="S138" s="2"/>
      <c r="T138" s="11"/>
      <c r="U138" s="2"/>
      <c r="V138" s="11"/>
      <c r="W138" s="5"/>
      <c r="X138" s="2"/>
      <c r="Y138" s="5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1:76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1"/>
      <c r="O139" s="21"/>
      <c r="P139" s="21"/>
      <c r="Q139" s="2"/>
      <c r="R139" s="2"/>
      <c r="S139" s="2"/>
      <c r="T139" s="11"/>
      <c r="U139" s="2"/>
      <c r="V139" s="11"/>
      <c r="W139" s="5"/>
      <c r="X139" s="2"/>
      <c r="Y139" s="5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1:76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1"/>
      <c r="O140" s="21"/>
      <c r="P140" s="21"/>
      <c r="Q140" s="2"/>
      <c r="R140" s="2"/>
      <c r="S140" s="2"/>
      <c r="T140" s="11"/>
      <c r="U140" s="2"/>
      <c r="V140" s="11"/>
      <c r="W140" s="5"/>
      <c r="X140" s="2"/>
      <c r="Y140" s="5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1:76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1"/>
      <c r="O141" s="21"/>
      <c r="P141" s="21"/>
      <c r="Q141" s="2"/>
      <c r="R141" s="2"/>
      <c r="S141" s="2"/>
      <c r="T141" s="11"/>
      <c r="U141" s="2"/>
      <c r="V141" s="11"/>
      <c r="W141" s="5"/>
      <c r="X141" s="2"/>
      <c r="Y141" s="5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</row>
    <row r="142" spans="1:76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1"/>
      <c r="O142" s="21"/>
      <c r="P142" s="21"/>
      <c r="Q142" s="2"/>
      <c r="R142" s="2"/>
      <c r="S142" s="2"/>
      <c r="T142" s="11"/>
      <c r="U142" s="2"/>
      <c r="V142" s="11"/>
      <c r="W142" s="5"/>
      <c r="X142" s="2"/>
      <c r="Y142" s="5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</row>
    <row r="143" spans="1:76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1"/>
      <c r="O143" s="21"/>
      <c r="P143" s="21"/>
      <c r="Q143" s="2"/>
      <c r="R143" s="2"/>
      <c r="S143" s="2"/>
      <c r="T143" s="11"/>
      <c r="U143" s="2"/>
      <c r="V143" s="11"/>
      <c r="W143" s="5"/>
      <c r="X143" s="2"/>
      <c r="Y143" s="5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</row>
    <row r="144" spans="1:76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1"/>
      <c r="O144" s="21"/>
      <c r="P144" s="21"/>
      <c r="Q144" s="2"/>
      <c r="R144" s="2"/>
      <c r="S144" s="2"/>
      <c r="T144" s="11"/>
      <c r="U144" s="2"/>
      <c r="V144" s="11"/>
      <c r="W144" s="5"/>
      <c r="X144" s="2"/>
      <c r="Y144" s="5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</row>
    <row r="145" spans="1:76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1"/>
      <c r="O145" s="21"/>
      <c r="P145" s="21"/>
      <c r="Q145" s="2"/>
      <c r="R145" s="2"/>
      <c r="S145" s="2"/>
      <c r="T145" s="11"/>
      <c r="U145" s="2"/>
      <c r="V145" s="11"/>
      <c r="W145" s="5"/>
      <c r="X145" s="2"/>
      <c r="Y145" s="5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</row>
    <row r="146" spans="1:76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1"/>
      <c r="O146" s="21"/>
      <c r="P146" s="21"/>
      <c r="Q146" s="2"/>
      <c r="R146" s="2"/>
      <c r="S146" s="2"/>
      <c r="T146" s="11"/>
      <c r="U146" s="2"/>
      <c r="V146" s="11"/>
      <c r="W146" s="5"/>
      <c r="X146" s="2"/>
      <c r="Y146" s="5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</row>
    <row r="147" spans="1:76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1"/>
      <c r="O147" s="21"/>
      <c r="P147" s="21"/>
      <c r="Q147" s="2"/>
      <c r="R147" s="2"/>
      <c r="S147" s="2"/>
      <c r="T147" s="11"/>
      <c r="U147" s="2"/>
      <c r="V147" s="11"/>
      <c r="W147" s="5"/>
      <c r="X147" s="2"/>
      <c r="Y147" s="5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</row>
    <row r="148" spans="1:76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1"/>
      <c r="O148" s="21"/>
      <c r="P148" s="21"/>
      <c r="Q148" s="2"/>
      <c r="R148" s="2"/>
      <c r="S148" s="2"/>
      <c r="T148" s="11"/>
      <c r="U148" s="2"/>
      <c r="V148" s="11"/>
      <c r="W148" s="5"/>
      <c r="X148" s="2"/>
      <c r="Y148" s="5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</row>
    <row r="149" spans="1:76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1"/>
      <c r="O149" s="21"/>
      <c r="P149" s="21"/>
      <c r="Q149" s="2"/>
      <c r="R149" s="2"/>
      <c r="S149" s="2"/>
      <c r="T149" s="11"/>
      <c r="U149" s="2"/>
      <c r="V149" s="11"/>
      <c r="W149" s="5"/>
      <c r="X149" s="2"/>
      <c r="Y149" s="5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</row>
    <row r="150" spans="1:76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1"/>
      <c r="O150" s="21"/>
      <c r="P150" s="21"/>
      <c r="Q150" s="2"/>
      <c r="R150" s="2"/>
      <c r="S150" s="2"/>
      <c r="T150" s="11"/>
      <c r="U150" s="2"/>
      <c r="V150" s="11"/>
      <c r="W150" s="5"/>
      <c r="X150" s="2"/>
      <c r="Y150" s="5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</row>
    <row r="151" spans="1:76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1"/>
      <c r="O151" s="21"/>
      <c r="P151" s="21"/>
      <c r="Q151" s="2"/>
      <c r="R151" s="2"/>
      <c r="S151" s="2"/>
      <c r="T151" s="11"/>
      <c r="U151" s="2"/>
      <c r="V151" s="11"/>
      <c r="W151" s="5"/>
      <c r="X151" s="2"/>
      <c r="Y151" s="5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</row>
    <row r="152" spans="1:76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1"/>
      <c r="O152" s="21"/>
      <c r="P152" s="21"/>
      <c r="Q152" s="2"/>
      <c r="R152" s="2"/>
      <c r="S152" s="2"/>
      <c r="T152" s="11"/>
      <c r="U152" s="2"/>
      <c r="V152" s="11"/>
      <c r="W152" s="5"/>
      <c r="X152" s="2"/>
      <c r="Y152" s="5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</row>
    <row r="153" spans="1:76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1"/>
      <c r="O153" s="21"/>
      <c r="P153" s="21"/>
      <c r="Q153" s="2"/>
      <c r="R153" s="2"/>
      <c r="S153" s="2"/>
      <c r="T153" s="11"/>
      <c r="U153" s="2"/>
      <c r="V153" s="11"/>
      <c r="W153" s="5"/>
      <c r="X153" s="2"/>
      <c r="Y153" s="5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</row>
    <row r="154" spans="1:76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1"/>
      <c r="O154" s="21"/>
      <c r="P154" s="21"/>
      <c r="Q154" s="2"/>
      <c r="R154" s="2"/>
      <c r="S154" s="2"/>
      <c r="T154" s="11"/>
      <c r="U154" s="2"/>
      <c r="V154" s="11"/>
      <c r="W154" s="5"/>
      <c r="X154" s="2"/>
      <c r="Y154" s="5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</row>
    <row r="155" spans="1:76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1"/>
      <c r="O155" s="21"/>
      <c r="P155" s="21"/>
      <c r="Q155" s="2"/>
      <c r="R155" s="2"/>
      <c r="S155" s="2"/>
      <c r="T155" s="11"/>
      <c r="U155" s="2"/>
      <c r="V155" s="11"/>
      <c r="W155" s="5"/>
      <c r="X155" s="2"/>
      <c r="Y155" s="5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</row>
    <row r="156" spans="1:76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1"/>
      <c r="O156" s="21"/>
      <c r="P156" s="21"/>
      <c r="Q156" s="2"/>
      <c r="R156" s="2"/>
      <c r="S156" s="2"/>
      <c r="T156" s="11"/>
      <c r="U156" s="2"/>
      <c r="V156" s="11"/>
      <c r="W156" s="5"/>
      <c r="X156" s="2"/>
      <c r="Y156" s="5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</row>
    <row r="157" spans="1:76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1"/>
      <c r="O157" s="21"/>
      <c r="P157" s="21"/>
      <c r="Q157" s="2"/>
      <c r="R157" s="2"/>
      <c r="S157" s="2"/>
      <c r="T157" s="11"/>
      <c r="U157" s="2"/>
      <c r="V157" s="11"/>
      <c r="W157" s="5"/>
      <c r="X157" s="2"/>
      <c r="Y157" s="5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</row>
    <row r="158" spans="1:76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1"/>
      <c r="O158" s="21"/>
      <c r="P158" s="21"/>
      <c r="Q158" s="2"/>
      <c r="R158" s="2"/>
      <c r="S158" s="2"/>
      <c r="T158" s="11"/>
      <c r="U158" s="2"/>
      <c r="V158" s="11"/>
      <c r="W158" s="5"/>
      <c r="X158" s="2"/>
      <c r="Y158" s="5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</row>
    <row r="159" spans="1:76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1"/>
      <c r="O159" s="21"/>
      <c r="P159" s="21"/>
      <c r="Q159" s="2"/>
      <c r="R159" s="2"/>
      <c r="S159" s="2"/>
      <c r="T159" s="11"/>
      <c r="U159" s="2"/>
      <c r="V159" s="11"/>
      <c r="W159" s="5"/>
      <c r="X159" s="2"/>
      <c r="Y159" s="5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</row>
    <row r="160" spans="1:76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1"/>
      <c r="O160" s="21"/>
      <c r="P160" s="21"/>
      <c r="Q160" s="2"/>
      <c r="R160" s="2"/>
      <c r="S160" s="2"/>
      <c r="T160" s="11"/>
      <c r="U160" s="2"/>
      <c r="V160" s="11"/>
      <c r="W160" s="5"/>
      <c r="X160" s="2"/>
      <c r="Y160" s="5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</row>
    <row r="161" spans="1:76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1"/>
      <c r="O161" s="21"/>
      <c r="P161" s="21"/>
      <c r="Q161" s="2"/>
      <c r="R161" s="2"/>
      <c r="S161" s="2"/>
      <c r="T161" s="11"/>
      <c r="U161" s="2"/>
      <c r="V161" s="11"/>
      <c r="W161" s="5"/>
      <c r="X161" s="2"/>
      <c r="Y161" s="5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</row>
    <row r="162" spans="1:76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1"/>
      <c r="O162" s="21"/>
      <c r="P162" s="21"/>
      <c r="Q162" s="2"/>
      <c r="R162" s="2"/>
      <c r="S162" s="2"/>
      <c r="T162" s="11"/>
      <c r="U162" s="2"/>
      <c r="V162" s="11"/>
      <c r="W162" s="5"/>
      <c r="X162" s="2"/>
      <c r="Y162" s="5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</row>
    <row r="163" spans="1:76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1"/>
      <c r="O163" s="21"/>
      <c r="P163" s="21"/>
      <c r="Q163" s="2"/>
      <c r="R163" s="2"/>
      <c r="S163" s="2"/>
      <c r="T163" s="11"/>
      <c r="U163" s="2"/>
      <c r="V163" s="11"/>
      <c r="W163" s="5"/>
      <c r="X163" s="2"/>
      <c r="Y163" s="5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</row>
    <row r="164" spans="1:76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21"/>
      <c r="O164" s="21"/>
      <c r="P164" s="21"/>
      <c r="Q164" s="2"/>
      <c r="R164" s="2"/>
      <c r="S164" s="2"/>
      <c r="T164" s="11"/>
      <c r="U164" s="2"/>
      <c r="V164" s="11"/>
      <c r="W164" s="5"/>
      <c r="X164" s="2"/>
      <c r="Y164" s="5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</row>
    <row r="165" spans="1:76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21"/>
      <c r="O165" s="21"/>
      <c r="P165" s="21"/>
      <c r="Q165" s="2"/>
      <c r="R165" s="2"/>
      <c r="S165" s="2"/>
      <c r="T165" s="11"/>
      <c r="U165" s="2"/>
      <c r="V165" s="11"/>
      <c r="W165" s="5"/>
      <c r="X165" s="2"/>
      <c r="Y165" s="5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</row>
    <row r="166" spans="1:76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21"/>
      <c r="O166" s="21"/>
      <c r="P166" s="21"/>
      <c r="Q166" s="2"/>
      <c r="R166" s="2"/>
      <c r="S166" s="2"/>
      <c r="T166" s="11"/>
      <c r="U166" s="2"/>
      <c r="V166" s="11"/>
      <c r="W166" s="5"/>
      <c r="X166" s="2"/>
      <c r="Y166" s="5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</row>
    <row r="167" spans="1:76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21"/>
      <c r="O167" s="21"/>
      <c r="P167" s="21"/>
      <c r="Q167" s="2"/>
      <c r="R167" s="2"/>
      <c r="S167" s="2"/>
      <c r="T167" s="11"/>
      <c r="U167" s="2"/>
      <c r="V167" s="11"/>
      <c r="W167" s="5"/>
      <c r="X167" s="2"/>
      <c r="Y167" s="5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</row>
    <row r="168" spans="1:76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21"/>
      <c r="O168" s="21"/>
      <c r="P168" s="21"/>
      <c r="Q168" s="2"/>
      <c r="R168" s="2"/>
      <c r="S168" s="2"/>
      <c r="T168" s="11"/>
      <c r="U168" s="2"/>
      <c r="V168" s="11"/>
      <c r="W168" s="5"/>
      <c r="X168" s="2"/>
      <c r="Y168" s="5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</row>
    <row r="169" spans="1:76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23"/>
      <c r="O169" s="23"/>
      <c r="P169" s="23"/>
      <c r="Q169" s="8"/>
      <c r="R169" s="8"/>
      <c r="S169" s="8"/>
      <c r="T169" s="13"/>
      <c r="U169" s="8"/>
      <c r="V169" s="13"/>
      <c r="W169" s="19"/>
      <c r="X169" s="8"/>
      <c r="Y169" s="19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</row>
    <row r="170" spans="1:76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23"/>
      <c r="O170" s="23"/>
      <c r="P170" s="23"/>
      <c r="Q170" s="8"/>
      <c r="R170" s="8"/>
      <c r="S170" s="8"/>
      <c r="T170" s="13"/>
      <c r="U170" s="8"/>
      <c r="V170" s="13"/>
      <c r="W170" s="19"/>
      <c r="X170" s="8"/>
      <c r="Y170" s="19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</row>
    <row r="171" spans="1:76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23"/>
      <c r="O171" s="23"/>
      <c r="P171" s="23"/>
      <c r="Q171" s="8"/>
      <c r="R171" s="8"/>
      <c r="S171" s="8"/>
      <c r="T171" s="13"/>
      <c r="U171" s="8"/>
      <c r="V171" s="13"/>
      <c r="W171" s="19"/>
      <c r="X171" s="8"/>
      <c r="Y171" s="19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</row>
    <row r="172" spans="1:76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23"/>
      <c r="O172" s="23"/>
      <c r="P172" s="23"/>
      <c r="Q172" s="8"/>
      <c r="R172" s="8"/>
      <c r="S172" s="8"/>
      <c r="T172" s="13"/>
      <c r="U172" s="8"/>
      <c r="V172" s="13"/>
      <c r="W172" s="19"/>
      <c r="X172" s="8"/>
      <c r="Y172" s="19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</row>
    <row r="173" spans="1:76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23"/>
      <c r="O173" s="23"/>
      <c r="P173" s="23"/>
      <c r="Q173" s="8"/>
      <c r="R173" s="8"/>
      <c r="S173" s="8"/>
      <c r="T173" s="13"/>
      <c r="U173" s="8"/>
      <c r="V173" s="13"/>
      <c r="W173" s="19"/>
      <c r="X173" s="8"/>
      <c r="Y173" s="19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</row>
    <row r="174" spans="1:76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23"/>
      <c r="O174" s="23"/>
      <c r="P174" s="23"/>
      <c r="Q174" s="8"/>
      <c r="R174" s="8"/>
      <c r="S174" s="8"/>
      <c r="T174" s="13"/>
      <c r="U174" s="8"/>
      <c r="V174" s="13"/>
      <c r="W174" s="19"/>
      <c r="X174" s="8"/>
      <c r="Y174" s="19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</row>
    <row r="175" spans="1:76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23"/>
      <c r="O175" s="23"/>
      <c r="P175" s="23"/>
      <c r="Q175" s="8"/>
      <c r="R175" s="8"/>
      <c r="S175" s="8"/>
      <c r="T175" s="13"/>
      <c r="U175" s="8"/>
      <c r="V175" s="13"/>
      <c r="W175" s="19"/>
      <c r="X175" s="8"/>
      <c r="Y175" s="19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</row>
    <row r="176" spans="1:76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23"/>
      <c r="O176" s="23"/>
      <c r="P176" s="23"/>
      <c r="Q176" s="8"/>
      <c r="R176" s="8"/>
      <c r="S176" s="8"/>
      <c r="T176" s="13"/>
      <c r="U176" s="8"/>
      <c r="V176" s="13"/>
      <c r="W176" s="19"/>
      <c r="X176" s="8"/>
      <c r="Y176" s="19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</row>
    <row r="177" spans="1:76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23"/>
      <c r="O177" s="23"/>
      <c r="P177" s="23"/>
      <c r="Q177" s="8"/>
      <c r="R177" s="8"/>
      <c r="S177" s="8"/>
      <c r="T177" s="13"/>
      <c r="U177" s="8"/>
      <c r="V177" s="13"/>
      <c r="W177" s="19"/>
      <c r="X177" s="8"/>
      <c r="Y177" s="19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</row>
    <row r="178" spans="1:76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23"/>
      <c r="O178" s="23"/>
      <c r="P178" s="23"/>
      <c r="Q178" s="8"/>
      <c r="R178" s="8"/>
      <c r="S178" s="8"/>
      <c r="T178" s="13"/>
      <c r="U178" s="8"/>
      <c r="V178" s="13"/>
      <c r="W178" s="19"/>
      <c r="X178" s="8"/>
      <c r="Y178" s="19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</row>
    <row r="179" spans="1:76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23"/>
      <c r="O179" s="23"/>
      <c r="P179" s="23"/>
      <c r="Q179" s="8"/>
      <c r="R179" s="8"/>
      <c r="S179" s="8"/>
      <c r="T179" s="13"/>
      <c r="U179" s="8"/>
      <c r="V179" s="13"/>
      <c r="W179" s="19"/>
      <c r="X179" s="8"/>
      <c r="Y179" s="19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</row>
    <row r="180" spans="1:76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23"/>
      <c r="O180" s="23"/>
      <c r="P180" s="23"/>
      <c r="Q180" s="8"/>
      <c r="R180" s="8"/>
      <c r="S180" s="8"/>
      <c r="T180" s="13"/>
      <c r="U180" s="8"/>
      <c r="V180" s="13"/>
      <c r="W180" s="19"/>
      <c r="X180" s="8"/>
      <c r="Y180" s="19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</row>
    <row r="181" spans="1:76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23"/>
      <c r="O181" s="23"/>
      <c r="P181" s="23"/>
      <c r="Q181" s="8"/>
      <c r="R181" s="8"/>
      <c r="S181" s="8"/>
      <c r="T181" s="13"/>
      <c r="U181" s="8"/>
      <c r="V181" s="13"/>
      <c r="W181" s="19"/>
      <c r="X181" s="8"/>
      <c r="Y181" s="19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</row>
    <row r="182" spans="1:76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23"/>
      <c r="O182" s="23"/>
      <c r="P182" s="23"/>
      <c r="Q182" s="8"/>
      <c r="R182" s="8"/>
      <c r="S182" s="8"/>
      <c r="T182" s="13"/>
      <c r="U182" s="8"/>
      <c r="V182" s="13"/>
      <c r="W182" s="19"/>
      <c r="X182" s="8"/>
      <c r="Y182" s="19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</row>
    <row r="183" spans="1:76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23"/>
      <c r="O183" s="23"/>
      <c r="P183" s="23"/>
      <c r="Q183" s="8"/>
      <c r="R183" s="8"/>
      <c r="S183" s="8"/>
      <c r="T183" s="13"/>
      <c r="U183" s="8"/>
      <c r="V183" s="13"/>
      <c r="W183" s="19"/>
      <c r="X183" s="8"/>
      <c r="Y183" s="19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</row>
    <row r="184" spans="1:76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23"/>
      <c r="O184" s="23"/>
      <c r="P184" s="23"/>
      <c r="Q184" s="8"/>
      <c r="R184" s="8"/>
      <c r="S184" s="8"/>
      <c r="T184" s="13"/>
      <c r="U184" s="8"/>
      <c r="V184" s="13"/>
      <c r="W184" s="19"/>
      <c r="X184" s="8"/>
      <c r="Y184" s="19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</row>
    <row r="185" spans="1:76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23"/>
      <c r="O185" s="23"/>
      <c r="P185" s="23"/>
      <c r="Q185" s="8"/>
      <c r="R185" s="8"/>
      <c r="S185" s="8"/>
      <c r="T185" s="13"/>
      <c r="U185" s="8"/>
      <c r="V185" s="13"/>
      <c r="W185" s="19"/>
      <c r="X185" s="8"/>
      <c r="Y185" s="19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</row>
    <row r="186" spans="1:76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23"/>
      <c r="O186" s="23"/>
      <c r="P186" s="23"/>
      <c r="Q186" s="8"/>
      <c r="R186" s="8"/>
      <c r="S186" s="8"/>
      <c r="T186" s="13"/>
      <c r="U186" s="8"/>
      <c r="V186" s="13"/>
      <c r="W186" s="19"/>
      <c r="X186" s="8"/>
      <c r="Y186" s="19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</row>
    <row r="187" spans="1:76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23"/>
      <c r="O187" s="23"/>
      <c r="P187" s="23"/>
      <c r="Q187" s="8"/>
      <c r="R187" s="8"/>
      <c r="S187" s="8"/>
      <c r="T187" s="13"/>
      <c r="U187" s="8"/>
      <c r="V187" s="13"/>
      <c r="W187" s="19"/>
      <c r="X187" s="8"/>
      <c r="Y187" s="19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</row>
    <row r="188" spans="1:76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23"/>
      <c r="O188" s="23"/>
      <c r="P188" s="23"/>
      <c r="Q188" s="8"/>
      <c r="R188" s="8"/>
      <c r="S188" s="8"/>
      <c r="T188" s="13"/>
      <c r="U188" s="8"/>
      <c r="V188" s="13"/>
      <c r="W188" s="19"/>
      <c r="X188" s="8"/>
      <c r="Y188" s="19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</row>
    <row r="189" spans="1:76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4"/>
      <c r="L189" s="3"/>
      <c r="M189" s="3"/>
      <c r="N189" s="23"/>
      <c r="O189" s="23"/>
      <c r="P189" s="23"/>
      <c r="Q189" s="8"/>
      <c r="R189" s="8"/>
      <c r="S189" s="8"/>
      <c r="T189" s="13"/>
      <c r="U189" s="8"/>
      <c r="V189" s="13"/>
      <c r="W189" s="19"/>
      <c r="X189" s="8"/>
      <c r="Y189" s="19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</row>
    <row r="190" spans="1:76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4"/>
      <c r="L190" s="3"/>
      <c r="M190" s="3"/>
      <c r="N190" s="23"/>
      <c r="O190" s="23"/>
      <c r="P190" s="23"/>
      <c r="Q190" s="8"/>
      <c r="R190" s="8"/>
      <c r="S190" s="8"/>
      <c r="T190" s="13"/>
      <c r="U190" s="8"/>
      <c r="V190" s="13"/>
      <c r="W190" s="19"/>
      <c r="X190" s="8"/>
      <c r="Y190" s="19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</row>
    <row r="191" spans="1:76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4"/>
      <c r="L191" s="3"/>
      <c r="M191" s="3"/>
      <c r="N191" s="23"/>
      <c r="O191" s="23"/>
      <c r="P191" s="23"/>
      <c r="Q191" s="8"/>
      <c r="R191" s="8"/>
      <c r="S191" s="8"/>
      <c r="T191" s="13"/>
      <c r="U191" s="8"/>
      <c r="V191" s="13"/>
      <c r="W191" s="19"/>
      <c r="X191" s="8"/>
      <c r="Y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</row>
    <row r="192" spans="1:76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4"/>
      <c r="L192" s="3"/>
      <c r="M192" s="3"/>
      <c r="N192" s="23"/>
      <c r="O192" s="23"/>
      <c r="P192" s="23"/>
      <c r="Q192" s="8"/>
      <c r="R192" s="8"/>
      <c r="S192" s="8"/>
      <c r="T192" s="13"/>
      <c r="U192" s="8"/>
      <c r="V192" s="13"/>
      <c r="W192" s="19"/>
      <c r="X192" s="8"/>
      <c r="Y192" s="19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</row>
    <row r="193" spans="1:76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4"/>
      <c r="L193" s="3"/>
      <c r="M193" s="3"/>
      <c r="N193" s="23"/>
      <c r="O193" s="23"/>
      <c r="P193" s="23"/>
      <c r="Q193" s="8"/>
      <c r="R193" s="8"/>
      <c r="S193" s="8"/>
      <c r="T193" s="13"/>
      <c r="U193" s="8"/>
      <c r="V193" s="13"/>
      <c r="W193" s="19"/>
      <c r="X193" s="8"/>
      <c r="Y193" s="19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</row>
    <row r="194" spans="1:76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4"/>
      <c r="L194" s="3"/>
      <c r="M194" s="3"/>
      <c r="N194" s="23"/>
      <c r="O194" s="23"/>
      <c r="P194" s="23"/>
      <c r="Q194" s="8"/>
      <c r="R194" s="8"/>
      <c r="S194" s="8"/>
      <c r="T194" s="13"/>
      <c r="U194" s="8"/>
      <c r="V194" s="13"/>
      <c r="W194" s="19"/>
      <c r="X194" s="8"/>
      <c r="Y194" s="19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</row>
    <row r="195" spans="1:76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4"/>
      <c r="L195" s="3"/>
      <c r="M195" s="3"/>
      <c r="N195" s="23"/>
      <c r="O195" s="23"/>
      <c r="P195" s="23"/>
      <c r="Q195" s="8"/>
      <c r="R195" s="8"/>
      <c r="S195" s="8"/>
      <c r="T195" s="13"/>
      <c r="U195" s="8"/>
      <c r="V195" s="13"/>
      <c r="W195" s="19"/>
      <c r="X195" s="8"/>
      <c r="Y195" s="19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</row>
    <row r="196" spans="1:76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4"/>
      <c r="L196" s="3"/>
      <c r="M196" s="3"/>
      <c r="N196" s="23"/>
      <c r="O196" s="23"/>
      <c r="P196" s="23"/>
      <c r="Q196" s="8"/>
      <c r="R196" s="8"/>
      <c r="S196" s="8"/>
      <c r="T196" s="13"/>
      <c r="U196" s="8"/>
      <c r="V196" s="13"/>
      <c r="W196" s="19"/>
      <c r="X196" s="8"/>
      <c r="Y196" s="19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</row>
    <row r="197" spans="1:76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4"/>
      <c r="L197" s="3"/>
      <c r="M197" s="3"/>
      <c r="N197" s="23"/>
      <c r="O197" s="23"/>
      <c r="P197" s="23"/>
      <c r="Q197" s="8"/>
      <c r="R197" s="8"/>
      <c r="S197" s="8"/>
      <c r="T197" s="13"/>
      <c r="U197" s="8"/>
      <c r="V197" s="13"/>
      <c r="W197" s="19"/>
      <c r="X197" s="8"/>
      <c r="Y197" s="19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</row>
    <row r="198" spans="1:76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4"/>
      <c r="L198" s="3"/>
      <c r="M198" s="3"/>
      <c r="N198" s="23"/>
      <c r="O198" s="23"/>
      <c r="P198" s="23"/>
      <c r="Q198" s="8"/>
      <c r="R198" s="8"/>
      <c r="S198" s="8"/>
      <c r="T198" s="13"/>
      <c r="U198" s="8"/>
      <c r="V198" s="13"/>
      <c r="W198" s="19"/>
      <c r="X198" s="8"/>
      <c r="Y198" s="19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</row>
    <row r="199" spans="1:76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4"/>
      <c r="L199" s="3"/>
      <c r="M199" s="3"/>
      <c r="N199" s="23"/>
      <c r="O199" s="23"/>
      <c r="P199" s="23"/>
      <c r="Q199" s="8"/>
      <c r="R199" s="8"/>
      <c r="S199" s="8"/>
      <c r="T199" s="13"/>
      <c r="U199" s="8"/>
      <c r="V199" s="13"/>
      <c r="W199" s="19"/>
      <c r="X199" s="8"/>
      <c r="Y199" s="19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</row>
    <row r="200" spans="1:76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4"/>
      <c r="L200" s="3"/>
      <c r="M200" s="3"/>
      <c r="N200" s="23"/>
      <c r="O200" s="23"/>
      <c r="P200" s="23"/>
      <c r="Q200" s="8"/>
      <c r="R200" s="8"/>
      <c r="S200" s="8"/>
      <c r="T200" s="13"/>
      <c r="U200" s="8"/>
      <c r="V200" s="13"/>
      <c r="W200" s="19"/>
      <c r="X200" s="8"/>
      <c r="Y200" s="19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</row>
    <row r="201" spans="1:76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4"/>
      <c r="L201" s="3"/>
      <c r="M201" s="3"/>
      <c r="N201" s="23"/>
      <c r="O201" s="23"/>
      <c r="P201" s="23"/>
      <c r="Q201" s="8"/>
      <c r="R201" s="8"/>
      <c r="S201" s="8"/>
      <c r="T201" s="13"/>
      <c r="U201" s="8"/>
      <c r="V201" s="13"/>
      <c r="W201" s="19"/>
      <c r="X201" s="8"/>
      <c r="Y201" s="19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</row>
    <row r="202" spans="1:76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4"/>
      <c r="L202" s="3"/>
      <c r="M202" s="3"/>
      <c r="N202" s="23"/>
      <c r="O202" s="23"/>
      <c r="P202" s="23"/>
      <c r="Q202" s="8"/>
      <c r="R202" s="8"/>
      <c r="S202" s="8"/>
      <c r="T202" s="13"/>
      <c r="U202" s="8"/>
      <c r="V202" s="13"/>
      <c r="W202" s="19"/>
      <c r="X202" s="8"/>
      <c r="Y202" s="19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</row>
    <row r="203" spans="1:76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4"/>
      <c r="L203" s="3"/>
      <c r="M203" s="3"/>
      <c r="N203" s="23"/>
      <c r="O203" s="23"/>
      <c r="P203" s="23"/>
      <c r="Q203" s="8"/>
      <c r="R203" s="8"/>
      <c r="S203" s="8"/>
      <c r="T203" s="13"/>
      <c r="U203" s="8"/>
      <c r="V203" s="13"/>
      <c r="W203" s="19"/>
      <c r="X203" s="8"/>
      <c r="Y203" s="19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</row>
    <row r="204" spans="1:76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4"/>
      <c r="L204" s="3"/>
      <c r="M204" s="3"/>
      <c r="N204" s="23"/>
      <c r="O204" s="23"/>
      <c r="P204" s="23"/>
      <c r="Q204" s="8"/>
      <c r="R204" s="8"/>
      <c r="S204" s="8"/>
      <c r="T204" s="13"/>
      <c r="U204" s="8"/>
      <c r="V204" s="13"/>
      <c r="W204" s="19"/>
      <c r="X204" s="8"/>
      <c r="Y204" s="19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</row>
    <row r="205" spans="1:76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4"/>
      <c r="L205" s="3"/>
      <c r="M205" s="3"/>
      <c r="N205" s="23"/>
      <c r="O205" s="23"/>
      <c r="P205" s="23"/>
      <c r="Q205" s="8"/>
      <c r="R205" s="8"/>
      <c r="S205" s="8"/>
      <c r="T205" s="13"/>
      <c r="U205" s="8"/>
      <c r="V205" s="13"/>
      <c r="W205" s="19"/>
      <c r="X205" s="8"/>
      <c r="Y205" s="19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</row>
    <row r="206" spans="1:76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4"/>
      <c r="L206" s="3"/>
      <c r="M206" s="3"/>
      <c r="N206" s="23"/>
      <c r="O206" s="23"/>
      <c r="P206" s="23"/>
      <c r="Q206" s="8"/>
      <c r="R206" s="8"/>
      <c r="S206" s="8"/>
      <c r="T206" s="13"/>
      <c r="U206" s="8"/>
      <c r="V206" s="13"/>
      <c r="W206" s="19"/>
      <c r="X206" s="8"/>
      <c r="Y206" s="19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</row>
    <row r="207" spans="1:76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4"/>
      <c r="L207" s="3"/>
      <c r="M207" s="3"/>
      <c r="N207" s="23"/>
      <c r="O207" s="23"/>
      <c r="P207" s="23"/>
      <c r="Q207" s="8"/>
      <c r="R207" s="8"/>
      <c r="S207" s="8"/>
      <c r="T207" s="13"/>
      <c r="U207" s="8"/>
      <c r="V207" s="13"/>
      <c r="W207" s="19"/>
      <c r="X207" s="8"/>
      <c r="Y207" s="19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</row>
    <row r="208" spans="1:76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4"/>
      <c r="L208" s="3"/>
      <c r="M208" s="3"/>
      <c r="N208" s="23"/>
      <c r="O208" s="23"/>
      <c r="P208" s="23"/>
      <c r="Q208" s="8"/>
      <c r="R208" s="8"/>
      <c r="S208" s="8"/>
      <c r="T208" s="13"/>
      <c r="U208" s="8"/>
      <c r="V208" s="13"/>
      <c r="W208" s="19"/>
      <c r="X208" s="8"/>
      <c r="Y208" s="19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</row>
    <row r="209" spans="1:76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4"/>
      <c r="L209" s="3"/>
      <c r="M209" s="3"/>
      <c r="N209" s="23"/>
      <c r="O209" s="23"/>
      <c r="P209" s="23"/>
      <c r="Q209" s="8"/>
      <c r="R209" s="8"/>
      <c r="S209" s="8"/>
      <c r="T209" s="13"/>
      <c r="U209" s="8"/>
      <c r="V209" s="13"/>
      <c r="W209" s="19"/>
      <c r="X209" s="8"/>
      <c r="Y209" s="19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</row>
    <row r="210" spans="1:76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4"/>
      <c r="L210" s="3"/>
      <c r="M210" s="3"/>
      <c r="N210" s="23"/>
      <c r="O210" s="23"/>
      <c r="P210" s="23"/>
      <c r="Q210" s="8"/>
      <c r="R210" s="8"/>
      <c r="S210" s="8"/>
      <c r="T210" s="13"/>
      <c r="U210" s="8"/>
      <c r="V210" s="13"/>
      <c r="W210" s="19"/>
      <c r="X210" s="8"/>
      <c r="Y210" s="19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</row>
    <row r="211" spans="1:76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4"/>
      <c r="L211" s="3"/>
      <c r="M211" s="3"/>
      <c r="N211" s="23"/>
      <c r="O211" s="23"/>
      <c r="P211" s="23"/>
      <c r="Q211" s="8"/>
      <c r="R211" s="8"/>
      <c r="S211" s="8"/>
      <c r="T211" s="13"/>
      <c r="U211" s="8"/>
      <c r="V211" s="13"/>
      <c r="W211" s="19"/>
      <c r="X211" s="8"/>
      <c r="Y211" s="19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</row>
    <row r="212" spans="1:76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4"/>
      <c r="L212" s="3"/>
      <c r="M212" s="3"/>
      <c r="N212" s="23"/>
      <c r="O212" s="23"/>
      <c r="P212" s="23"/>
      <c r="Q212" s="8"/>
      <c r="R212" s="8"/>
      <c r="S212" s="8"/>
      <c r="T212" s="13"/>
      <c r="U212" s="8"/>
      <c r="V212" s="13"/>
      <c r="W212" s="19"/>
      <c r="X212" s="8"/>
      <c r="Y212" s="19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</row>
    <row r="213" spans="1:76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4"/>
      <c r="L213" s="3"/>
      <c r="M213" s="3"/>
      <c r="N213" s="23"/>
      <c r="O213" s="23"/>
      <c r="P213" s="23"/>
      <c r="Q213" s="8"/>
      <c r="R213" s="8"/>
      <c r="S213" s="8"/>
      <c r="T213" s="13"/>
      <c r="U213" s="8"/>
      <c r="V213" s="13"/>
      <c r="W213" s="19"/>
      <c r="X213" s="8"/>
      <c r="Y213" s="19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C607-9D98-4785-B36F-2CF7B626A37E}">
  <dimension ref="A1:BX223"/>
  <sheetViews>
    <sheetView topLeftCell="M1" zoomScale="110" zoomScaleNormal="11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4" customWidth="1"/>
    <col min="12" max="12" width="20.88671875" style="3" customWidth="1"/>
    <col min="13" max="13" width="27.33203125" style="3" customWidth="1"/>
    <col min="14" max="15" width="20.6640625" style="23" customWidth="1"/>
    <col min="16" max="16" width="32.88671875" style="23" customWidth="1"/>
    <col min="17" max="17" width="23.21875" style="8" customWidth="1"/>
    <col min="18" max="18" width="30.88671875" style="8" customWidth="1"/>
    <col min="19" max="19" width="20.6640625" style="8" customWidth="1"/>
    <col min="20" max="20" width="20.6640625" style="13" customWidth="1"/>
    <col min="21" max="21" width="20.6640625" style="8" customWidth="1"/>
    <col min="22" max="22" width="20.6640625" style="13" customWidth="1"/>
    <col min="23" max="23" width="23.77734375" style="19" customWidth="1"/>
    <col min="24" max="24" width="47.33203125" style="8" customWidth="1"/>
    <col min="25" max="25" width="51.6640625" style="19" customWidth="1"/>
    <col min="26" max="16384" width="8.88671875" style="6"/>
  </cols>
  <sheetData>
    <row r="1" spans="1:25" s="24" customFormat="1" ht="53.4" customHeight="1" x14ac:dyDescent="0.3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19</v>
      </c>
      <c r="N1" s="22" t="s">
        <v>26</v>
      </c>
      <c r="O1" s="22" t="s">
        <v>17</v>
      </c>
      <c r="P1" s="22" t="s">
        <v>24</v>
      </c>
      <c r="Q1" s="18" t="s">
        <v>12</v>
      </c>
      <c r="R1" s="17" t="s">
        <v>15</v>
      </c>
      <c r="S1" s="17" t="s">
        <v>25</v>
      </c>
      <c r="T1" s="12" t="s">
        <v>13</v>
      </c>
      <c r="U1" s="17" t="s">
        <v>14</v>
      </c>
      <c r="V1" s="12" t="s">
        <v>22</v>
      </c>
      <c r="W1" s="12" t="s">
        <v>21</v>
      </c>
      <c r="X1" s="25" t="s">
        <v>23</v>
      </c>
      <c r="Y1" s="25" t="s">
        <v>20</v>
      </c>
    </row>
    <row r="2" spans="1:25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4">
        <v>32.099009900990097</v>
      </c>
      <c r="L2" s="2">
        <f>(K2/1000000)</f>
        <v>3.2099009900990095E-5</v>
      </c>
      <c r="M2" s="3">
        <f>(3.142*3.07*3.07*25.4*25.4)/(4*1000000)</f>
        <v>4.7762865441819992E-3</v>
      </c>
      <c r="N2" s="21">
        <f>(L2*J2)/M2</f>
        <v>1.3524878552604352E-7</v>
      </c>
      <c r="O2" s="21">
        <f>(2.032/1000)</f>
        <v>2.032E-3</v>
      </c>
      <c r="P2" s="21">
        <v>7.0840480334740597E-11</v>
      </c>
      <c r="Q2" s="2">
        <v>0.31</v>
      </c>
      <c r="R2" s="2">
        <f>(1+Q2)*100000*1</f>
        <v>131000</v>
      </c>
      <c r="S2" s="2">
        <f>(5.19402087617513/1000)</f>
        <v>5.1940208761751296E-3</v>
      </c>
      <c r="T2" s="11">
        <v>0.08</v>
      </c>
      <c r="U2" s="11">
        <f>(1+T2)*100000</f>
        <v>108000</v>
      </c>
      <c r="V2" s="11">
        <f t="shared" ref="V2:V65" si="1">(L2*U2)</f>
        <v>3.4666930693069302</v>
      </c>
      <c r="W2" s="11">
        <f>((N2*O2/P2) + SQRT(V2))^2</f>
        <v>32.963722096229255</v>
      </c>
      <c r="X2" s="2">
        <f>(N2*S2)/(R2-W2)</f>
        <v>5.3638307429433924E-15</v>
      </c>
      <c r="Y2" s="2">
        <f>(X2*6.022E+23)</f>
        <v>3230098873.4005113</v>
      </c>
    </row>
    <row r="3" spans="1:25" x14ac:dyDescent="0.25">
      <c r="A3" s="26">
        <v>3</v>
      </c>
      <c r="B3" s="26">
        <f t="shared" ref="B3:B66" si="2">(A3/60)</f>
        <v>0.05</v>
      </c>
      <c r="C3" s="26">
        <v>20</v>
      </c>
      <c r="D3" s="26">
        <f t="shared" si="0"/>
        <v>29.146000000000001</v>
      </c>
      <c r="E3" s="26">
        <f t="shared" ref="E3:E66" si="3">(D3/(1000000*60))</f>
        <v>4.8576666666666667E-7</v>
      </c>
      <c r="F3" s="26">
        <v>21.1</v>
      </c>
      <c r="G3" s="26">
        <f t="shared" ref="G3:G66" si="4">(273+F3)</f>
        <v>294.10000000000002</v>
      </c>
      <c r="H3" s="26">
        <v>101.3</v>
      </c>
      <c r="I3" s="26">
        <f t="shared" ref="I3:I66" si="5">(H3*1000)</f>
        <v>101300</v>
      </c>
      <c r="J3" s="26">
        <f t="shared" ref="J3:J66" si="6">((I3*E3)/(8.314*G3))</f>
        <v>2.0124824921938581E-5</v>
      </c>
      <c r="K3" s="28">
        <v>25.861386138613859</v>
      </c>
      <c r="L3" s="27">
        <f t="shared" ref="L3:L66" si="7">(K3/1000000)</f>
        <v>2.586138613861386E-5</v>
      </c>
      <c r="M3" s="29">
        <f t="shared" ref="M3:M66" si="8">(3.142*3.07*3.07*25.4*25.4)/(4*1000000)</f>
        <v>4.7762865441819992E-3</v>
      </c>
      <c r="N3" s="33">
        <f t="shared" ref="N3:N66" si="9">(L3*J3)/M3</f>
        <v>1.089666341129012E-7</v>
      </c>
      <c r="O3" s="21">
        <f t="shared" ref="O3:O66" si="10">(2.032/1000)</f>
        <v>2.032E-3</v>
      </c>
      <c r="P3" s="21">
        <v>7.0840480334740597E-11</v>
      </c>
      <c r="Q3" s="2">
        <v>0.31</v>
      </c>
      <c r="R3" s="27">
        <f t="shared" ref="R3:R66" si="11">(1+Q3)*100000*1</f>
        <v>131000</v>
      </c>
      <c r="S3" s="2">
        <f t="shared" ref="S3:S66" si="12">(5.19402087617513/1000)</f>
        <v>5.1940208761751296E-3</v>
      </c>
      <c r="T3" s="11">
        <v>0.08</v>
      </c>
      <c r="U3" s="30">
        <f t="shared" ref="U3:U66" si="13">(1+T3)*100000</f>
        <v>108000</v>
      </c>
      <c r="V3" s="30">
        <f t="shared" si="1"/>
        <v>2.7930297029702968</v>
      </c>
      <c r="W3" s="11">
        <f t="shared" ref="W3:W66" si="14">((N3*O3/P3) + SQRT(V3))^2</f>
        <v>23.009797284766577</v>
      </c>
      <c r="X3" s="2">
        <f t="shared" ref="X3:X66" si="15">(N3*S3)/(R3-W3)</f>
        <v>4.3211786399502473E-15</v>
      </c>
      <c r="Y3" s="2">
        <f t="shared" ref="Y3:Y66" si="16">(X3*6.022E+23)</f>
        <v>2602213776.9780393</v>
      </c>
    </row>
    <row r="4" spans="1:25" x14ac:dyDescent="0.25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26.306930693069308</v>
      </c>
      <c r="L4" s="27">
        <f t="shared" si="7"/>
        <v>2.6306930693069309E-5</v>
      </c>
      <c r="M4" s="29">
        <f t="shared" si="8"/>
        <v>4.7762865441819992E-3</v>
      </c>
      <c r="N4" s="33">
        <f t="shared" si="9"/>
        <v>1.1084393064241138E-7</v>
      </c>
      <c r="O4" s="21">
        <f t="shared" si="10"/>
        <v>2.032E-3</v>
      </c>
      <c r="P4" s="21">
        <v>7.0840480334740597E-11</v>
      </c>
      <c r="Q4" s="2">
        <v>0.31</v>
      </c>
      <c r="R4" s="27">
        <f t="shared" si="11"/>
        <v>131000</v>
      </c>
      <c r="S4" s="2">
        <f t="shared" si="12"/>
        <v>5.1940208761751296E-3</v>
      </c>
      <c r="T4" s="11">
        <v>0.08</v>
      </c>
      <c r="U4" s="30">
        <f t="shared" si="13"/>
        <v>108000</v>
      </c>
      <c r="V4" s="30">
        <f t="shared" si="1"/>
        <v>2.8411485148514855</v>
      </c>
      <c r="W4" s="11">
        <f t="shared" si="14"/>
        <v>23.66857755281967</v>
      </c>
      <c r="X4" s="2">
        <f t="shared" si="15"/>
        <v>4.3956467821431356E-15</v>
      </c>
      <c r="Y4" s="2">
        <f t="shared" si="16"/>
        <v>2647058492.2065964</v>
      </c>
    </row>
    <row r="5" spans="1:25" x14ac:dyDescent="0.25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30.71287128712871</v>
      </c>
      <c r="L5" s="27">
        <f t="shared" si="7"/>
        <v>3.0712871287128708E-5</v>
      </c>
      <c r="M5" s="29">
        <f t="shared" si="8"/>
        <v>4.7762865441819992E-3</v>
      </c>
      <c r="N5" s="33">
        <f t="shared" si="9"/>
        <v>1.2940830743423411E-7</v>
      </c>
      <c r="O5" s="21">
        <f t="shared" si="10"/>
        <v>2.032E-3</v>
      </c>
      <c r="P5" s="21">
        <v>7.0840480334740597E-11</v>
      </c>
      <c r="Q5" s="2">
        <v>0.31</v>
      </c>
      <c r="R5" s="27">
        <f t="shared" si="11"/>
        <v>131000</v>
      </c>
      <c r="S5" s="2">
        <f t="shared" si="12"/>
        <v>5.1940208761751296E-3</v>
      </c>
      <c r="T5" s="11">
        <v>0.08</v>
      </c>
      <c r="U5" s="30">
        <f t="shared" si="13"/>
        <v>108000</v>
      </c>
      <c r="V5" s="30">
        <f t="shared" si="1"/>
        <v>3.3169900990099004</v>
      </c>
      <c r="W5" s="11">
        <f t="shared" si="14"/>
        <v>30.616631730520059</v>
      </c>
      <c r="X5" s="2">
        <f t="shared" si="15"/>
        <v>5.1321112849245173E-15</v>
      </c>
      <c r="Y5" s="2">
        <f t="shared" si="16"/>
        <v>3090557415.7815447</v>
      </c>
    </row>
    <row r="6" spans="1:25" x14ac:dyDescent="0.25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28.212871287128714</v>
      </c>
      <c r="L6" s="27">
        <f t="shared" si="7"/>
        <v>2.8212871287128712E-5</v>
      </c>
      <c r="M6" s="29">
        <f t="shared" si="8"/>
        <v>4.7762865441819992E-3</v>
      </c>
      <c r="N6" s="33">
        <f t="shared" si="9"/>
        <v>1.1887458801864929E-7</v>
      </c>
      <c r="O6" s="21">
        <f t="shared" si="10"/>
        <v>2.032E-3</v>
      </c>
      <c r="P6" s="21">
        <v>7.0840480334740597E-11</v>
      </c>
      <c r="Q6" s="2">
        <v>0.31</v>
      </c>
      <c r="R6" s="27">
        <f t="shared" si="11"/>
        <v>131000</v>
      </c>
      <c r="S6" s="2">
        <f t="shared" si="12"/>
        <v>5.1940208761751296E-3</v>
      </c>
      <c r="T6" s="11">
        <v>0.08</v>
      </c>
      <c r="U6" s="30">
        <f t="shared" si="13"/>
        <v>108000</v>
      </c>
      <c r="V6" s="30">
        <f t="shared" si="1"/>
        <v>3.0469900990099008</v>
      </c>
      <c r="W6" s="11">
        <f t="shared" si="14"/>
        <v>26.577955597775514</v>
      </c>
      <c r="X6" s="2">
        <f t="shared" si="15"/>
        <v>4.7142166874609164E-15</v>
      </c>
      <c r="Y6" s="2">
        <f t="shared" si="16"/>
        <v>2838901289.1889639</v>
      </c>
    </row>
    <row r="7" spans="1:25" x14ac:dyDescent="0.25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25.613861386138613</v>
      </c>
      <c r="L7" s="27">
        <f t="shared" si="7"/>
        <v>2.5613861386138613E-5</v>
      </c>
      <c r="M7" s="29">
        <f t="shared" si="8"/>
        <v>4.7762865441819992E-3</v>
      </c>
      <c r="N7" s="33">
        <f t="shared" si="9"/>
        <v>1.0792369159650665E-7</v>
      </c>
      <c r="O7" s="21">
        <f t="shared" si="10"/>
        <v>2.032E-3</v>
      </c>
      <c r="P7" s="21">
        <v>7.0840480334740597E-11</v>
      </c>
      <c r="Q7" s="2">
        <v>0.31</v>
      </c>
      <c r="R7" s="27">
        <f t="shared" si="11"/>
        <v>131000</v>
      </c>
      <c r="S7" s="2">
        <f t="shared" si="12"/>
        <v>5.1940208761751296E-3</v>
      </c>
      <c r="T7" s="11">
        <v>0.08</v>
      </c>
      <c r="U7" s="30">
        <f t="shared" si="13"/>
        <v>108000</v>
      </c>
      <c r="V7" s="30">
        <f t="shared" si="1"/>
        <v>2.7662970297029701</v>
      </c>
      <c r="W7" s="11">
        <f t="shared" si="14"/>
        <v>22.647317783743258</v>
      </c>
      <c r="X7" s="2">
        <f t="shared" si="15"/>
        <v>4.2798078882094625E-15</v>
      </c>
      <c r="Y7" s="2">
        <f t="shared" si="16"/>
        <v>2577300310.2797384</v>
      </c>
    </row>
    <row r="8" spans="1:25" x14ac:dyDescent="0.25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34.698019801980195</v>
      </c>
      <c r="L8" s="27">
        <f t="shared" si="7"/>
        <v>3.4698019801980197E-5</v>
      </c>
      <c r="M8" s="29">
        <f t="shared" si="8"/>
        <v>4.7762865441819992E-3</v>
      </c>
      <c r="N8" s="33">
        <f t="shared" si="9"/>
        <v>1.4619968194818616E-7</v>
      </c>
      <c r="O8" s="21">
        <f t="shared" si="10"/>
        <v>2.032E-3</v>
      </c>
      <c r="P8" s="21">
        <v>7.0840480334740597E-11</v>
      </c>
      <c r="Q8" s="2">
        <v>0.31</v>
      </c>
      <c r="R8" s="27">
        <f t="shared" si="11"/>
        <v>131000</v>
      </c>
      <c r="S8" s="2">
        <f t="shared" si="12"/>
        <v>5.1940208761751296E-3</v>
      </c>
      <c r="T8" s="11">
        <v>0.08</v>
      </c>
      <c r="U8" s="30">
        <f t="shared" si="13"/>
        <v>108000</v>
      </c>
      <c r="V8" s="30">
        <f t="shared" si="1"/>
        <v>3.7473861386138614</v>
      </c>
      <c r="W8" s="11">
        <f t="shared" si="14"/>
        <v>37.569941600105977</v>
      </c>
      <c r="X8" s="2">
        <f t="shared" si="15"/>
        <v>5.7983362082577488E-15</v>
      </c>
      <c r="Y8" s="2">
        <f t="shared" si="16"/>
        <v>3491758064.6128163</v>
      </c>
    </row>
    <row r="9" spans="1:25" x14ac:dyDescent="0.25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31.579207920792083</v>
      </c>
      <c r="L9" s="27">
        <f t="shared" si="7"/>
        <v>3.1579207920792085E-5</v>
      </c>
      <c r="M9" s="29">
        <f t="shared" si="8"/>
        <v>4.7762865441819992E-3</v>
      </c>
      <c r="N9" s="33">
        <f t="shared" si="9"/>
        <v>1.3305860624161501E-7</v>
      </c>
      <c r="O9" s="21">
        <f t="shared" si="10"/>
        <v>2.032E-3</v>
      </c>
      <c r="P9" s="21">
        <v>7.0840480334740597E-11</v>
      </c>
      <c r="Q9" s="2">
        <v>0.31</v>
      </c>
      <c r="R9" s="27">
        <f t="shared" si="11"/>
        <v>131000</v>
      </c>
      <c r="S9" s="2">
        <f t="shared" si="12"/>
        <v>5.1940208761751296E-3</v>
      </c>
      <c r="T9" s="11">
        <v>0.08</v>
      </c>
      <c r="U9" s="30">
        <f t="shared" si="13"/>
        <v>108000</v>
      </c>
      <c r="V9" s="30">
        <f t="shared" si="1"/>
        <v>3.4105544554455451</v>
      </c>
      <c r="W9" s="11">
        <f t="shared" si="14"/>
        <v>32.074593620257254</v>
      </c>
      <c r="X9" s="2">
        <f t="shared" si="15"/>
        <v>5.2769346115033546E-15</v>
      </c>
      <c r="Y9" s="2">
        <f t="shared" si="16"/>
        <v>3177770023.0473204</v>
      </c>
    </row>
    <row r="10" spans="1:25" x14ac:dyDescent="0.25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43.188118811881189</v>
      </c>
      <c r="L10" s="27">
        <f t="shared" si="7"/>
        <v>4.3188118811881192E-5</v>
      </c>
      <c r="M10" s="29">
        <f t="shared" si="8"/>
        <v>4.7762865441819992E-3</v>
      </c>
      <c r="N10" s="33">
        <f t="shared" si="9"/>
        <v>1.8197261026051877E-7</v>
      </c>
      <c r="O10" s="21">
        <f t="shared" si="10"/>
        <v>2.032E-3</v>
      </c>
      <c r="P10" s="21">
        <v>7.0840480334740597E-11</v>
      </c>
      <c r="Q10" s="2">
        <v>0.31</v>
      </c>
      <c r="R10" s="27">
        <f t="shared" si="11"/>
        <v>131000</v>
      </c>
      <c r="S10" s="2">
        <f t="shared" si="12"/>
        <v>5.1940208761751296E-3</v>
      </c>
      <c r="T10" s="11">
        <v>0.08</v>
      </c>
      <c r="U10" s="30">
        <f t="shared" si="13"/>
        <v>108000</v>
      </c>
      <c r="V10" s="30">
        <f t="shared" si="1"/>
        <v>4.6643168316831689</v>
      </c>
      <c r="W10" s="11">
        <f t="shared" si="14"/>
        <v>54.456064752593221</v>
      </c>
      <c r="X10" s="2">
        <f t="shared" si="15"/>
        <v>7.2180351326243037E-15</v>
      </c>
      <c r="Y10" s="2">
        <f t="shared" si="16"/>
        <v>4346700756.8663559</v>
      </c>
    </row>
    <row r="11" spans="1:25" x14ac:dyDescent="0.25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48.361386138613859</v>
      </c>
      <c r="L11" s="27">
        <f t="shared" si="7"/>
        <v>4.8361386138613861E-5</v>
      </c>
      <c r="M11" s="29">
        <f t="shared" si="8"/>
        <v>4.7762865441819992E-3</v>
      </c>
      <c r="N11" s="33">
        <f t="shared" si="9"/>
        <v>2.0377010885316456E-7</v>
      </c>
      <c r="O11" s="21">
        <f t="shared" si="10"/>
        <v>2.032E-3</v>
      </c>
      <c r="P11" s="21">
        <v>7.0840480334740597E-11</v>
      </c>
      <c r="Q11" s="2">
        <v>0.31</v>
      </c>
      <c r="R11" s="27">
        <f t="shared" si="11"/>
        <v>131000</v>
      </c>
      <c r="S11" s="2">
        <f t="shared" si="12"/>
        <v>5.1940208761751296E-3</v>
      </c>
      <c r="T11" s="11">
        <v>0.08</v>
      </c>
      <c r="U11" s="30">
        <f t="shared" si="13"/>
        <v>108000</v>
      </c>
      <c r="V11" s="30">
        <f t="shared" si="1"/>
        <v>5.2230297029702974</v>
      </c>
      <c r="W11" s="11">
        <f t="shared" si="14"/>
        <v>66.102919848549746</v>
      </c>
      <c r="X11" s="2">
        <f t="shared" si="15"/>
        <v>8.0833628489337795E-15</v>
      </c>
      <c r="Y11" s="2">
        <f t="shared" si="16"/>
        <v>4867801107.6279221</v>
      </c>
    </row>
    <row r="12" spans="1:25" x14ac:dyDescent="0.25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64.67326732673267</v>
      </c>
      <c r="L12" s="27">
        <f t="shared" si="7"/>
        <v>6.4673267326732672E-5</v>
      </c>
      <c r="M12" s="29">
        <f t="shared" si="8"/>
        <v>4.7762865441819992E-3</v>
      </c>
      <c r="N12" s="33">
        <f t="shared" si="9"/>
        <v>2.7250002068356454E-7</v>
      </c>
      <c r="O12" s="21">
        <f t="shared" si="10"/>
        <v>2.032E-3</v>
      </c>
      <c r="P12" s="21">
        <v>7.0840480334740597E-11</v>
      </c>
      <c r="Q12" s="2">
        <v>0.31</v>
      </c>
      <c r="R12" s="27">
        <f t="shared" si="11"/>
        <v>131000</v>
      </c>
      <c r="S12" s="2">
        <f t="shared" si="12"/>
        <v>5.1940208761751296E-3</v>
      </c>
      <c r="T12" s="11">
        <v>0.08</v>
      </c>
      <c r="U12" s="30">
        <f t="shared" si="13"/>
        <v>108000</v>
      </c>
      <c r="V12" s="30">
        <f t="shared" si="1"/>
        <v>6.9847128712871287</v>
      </c>
      <c r="W12" s="11">
        <f t="shared" si="14"/>
        <v>109.3968767844982</v>
      </c>
      <c r="X12" s="2">
        <f t="shared" si="15"/>
        <v>1.0813387381645814E-14</v>
      </c>
      <c r="Y12" s="2">
        <f t="shared" si="16"/>
        <v>6511821881.2271099</v>
      </c>
    </row>
    <row r="13" spans="1:25" x14ac:dyDescent="0.25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90.069306930693074</v>
      </c>
      <c r="L13" s="27">
        <f t="shared" si="7"/>
        <v>9.0069306930693068E-5</v>
      </c>
      <c r="M13" s="29">
        <f t="shared" si="8"/>
        <v>4.7762865441819992E-3</v>
      </c>
      <c r="N13" s="33">
        <f t="shared" si="9"/>
        <v>3.7950592286564403E-7</v>
      </c>
      <c r="O13" s="21">
        <f t="shared" si="10"/>
        <v>2.032E-3</v>
      </c>
      <c r="P13" s="21">
        <v>7.0840480334740597E-11</v>
      </c>
      <c r="Q13" s="2">
        <v>0.31</v>
      </c>
      <c r="R13" s="27">
        <f t="shared" si="11"/>
        <v>131000</v>
      </c>
      <c r="S13" s="2">
        <f t="shared" si="12"/>
        <v>5.1940208761751296E-3</v>
      </c>
      <c r="T13" s="11">
        <v>0.08</v>
      </c>
      <c r="U13" s="30">
        <f t="shared" si="13"/>
        <v>108000</v>
      </c>
      <c r="V13" s="30">
        <f t="shared" si="1"/>
        <v>9.7274851485148517</v>
      </c>
      <c r="W13" s="11">
        <f t="shared" si="14"/>
        <v>196.13167870564516</v>
      </c>
      <c r="X13" s="2">
        <f t="shared" si="15"/>
        <v>1.5069597797784439E-14</v>
      </c>
      <c r="Y13" s="2">
        <f t="shared" si="16"/>
        <v>9074911793.8257904</v>
      </c>
    </row>
    <row r="14" spans="1:25" x14ac:dyDescent="0.25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103.46039603960396</v>
      </c>
      <c r="L14" s="27">
        <f t="shared" si="7"/>
        <v>1.0346039603960396E-4</v>
      </c>
      <c r="M14" s="29">
        <f t="shared" si="8"/>
        <v>4.7762865441819992E-3</v>
      </c>
      <c r="N14" s="33">
        <f t="shared" si="9"/>
        <v>4.3592911300258845E-7</v>
      </c>
      <c r="O14" s="21">
        <f t="shared" si="10"/>
        <v>2.032E-3</v>
      </c>
      <c r="P14" s="21">
        <v>7.0840480334740597E-11</v>
      </c>
      <c r="Q14" s="2">
        <v>0.31</v>
      </c>
      <c r="R14" s="27">
        <f t="shared" si="11"/>
        <v>131000</v>
      </c>
      <c r="S14" s="2">
        <f t="shared" si="12"/>
        <v>5.1940208761751296E-3</v>
      </c>
      <c r="T14" s="11">
        <v>0.08</v>
      </c>
      <c r="U14" s="30">
        <f t="shared" si="13"/>
        <v>108000</v>
      </c>
      <c r="V14" s="30">
        <f t="shared" si="1"/>
        <v>11.173722772277227</v>
      </c>
      <c r="W14" s="11">
        <f t="shared" si="14"/>
        <v>251.12659544385073</v>
      </c>
      <c r="X14" s="2">
        <f t="shared" si="15"/>
        <v>1.731735696461497E-14</v>
      </c>
      <c r="Y14" s="2">
        <f t="shared" si="16"/>
        <v>10428512364.091135</v>
      </c>
    </row>
    <row r="15" spans="1:25" x14ac:dyDescent="0.25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119.50000000000003</v>
      </c>
      <c r="L15" s="27">
        <f t="shared" si="7"/>
        <v>1.1950000000000003E-4</v>
      </c>
      <c r="M15" s="29">
        <f t="shared" si="8"/>
        <v>4.7762865441819992E-3</v>
      </c>
      <c r="N15" s="33">
        <f t="shared" si="9"/>
        <v>5.0351178806495463E-7</v>
      </c>
      <c r="O15" s="21">
        <f t="shared" si="10"/>
        <v>2.032E-3</v>
      </c>
      <c r="P15" s="21">
        <v>7.0840480334740597E-11</v>
      </c>
      <c r="Q15" s="2">
        <v>0.31</v>
      </c>
      <c r="R15" s="27">
        <f t="shared" si="11"/>
        <v>131000</v>
      </c>
      <c r="S15" s="2">
        <f t="shared" si="12"/>
        <v>5.1940208761751296E-3</v>
      </c>
      <c r="T15" s="11">
        <v>0.08</v>
      </c>
      <c r="U15" s="30">
        <f t="shared" si="13"/>
        <v>108000</v>
      </c>
      <c r="V15" s="30">
        <f t="shared" si="1"/>
        <v>12.906000000000004</v>
      </c>
      <c r="W15" s="11">
        <f t="shared" si="14"/>
        <v>325.27230545247073</v>
      </c>
      <c r="X15" s="2">
        <f t="shared" si="15"/>
        <v>2.0013439360078839E-14</v>
      </c>
      <c r="Y15" s="2">
        <f t="shared" si="16"/>
        <v>12052093182.639477</v>
      </c>
    </row>
    <row r="16" spans="1:25" x14ac:dyDescent="0.25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140.14356435643566</v>
      </c>
      <c r="L16" s="27">
        <f t="shared" si="7"/>
        <v>1.4014356435643565E-4</v>
      </c>
      <c r="M16" s="29">
        <f t="shared" si="8"/>
        <v>4.7762865441819992E-3</v>
      </c>
      <c r="N16" s="33">
        <f t="shared" si="9"/>
        <v>5.9049319393225884E-7</v>
      </c>
      <c r="O16" s="21">
        <f t="shared" si="10"/>
        <v>2.032E-3</v>
      </c>
      <c r="P16" s="21">
        <v>7.0840480334740597E-11</v>
      </c>
      <c r="Q16" s="2">
        <v>0.31</v>
      </c>
      <c r="R16" s="27">
        <f t="shared" si="11"/>
        <v>131000</v>
      </c>
      <c r="S16" s="2">
        <f t="shared" si="12"/>
        <v>5.1940208761751296E-3</v>
      </c>
      <c r="T16" s="11">
        <v>0.08</v>
      </c>
      <c r="U16" s="30">
        <f t="shared" si="13"/>
        <v>108000</v>
      </c>
      <c r="V16" s="30">
        <f t="shared" si="1"/>
        <v>15.135504950495051</v>
      </c>
      <c r="W16" s="11">
        <f t="shared" si="14"/>
        <v>433.81564873470666</v>
      </c>
      <c r="X16" s="2">
        <f t="shared" si="15"/>
        <v>2.3490262748830644E-14</v>
      </c>
      <c r="Y16" s="2">
        <f t="shared" si="16"/>
        <v>14145836227.345814</v>
      </c>
    </row>
    <row r="17" spans="1:76" s="4" customFormat="1" x14ac:dyDescent="0.25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154.92079207920796</v>
      </c>
      <c r="L17" s="27">
        <f t="shared" si="7"/>
        <v>1.5492079207920796E-4</v>
      </c>
      <c r="M17" s="29">
        <f t="shared" si="8"/>
        <v>4.7762865441819992E-3</v>
      </c>
      <c r="N17" s="33">
        <f t="shared" si="9"/>
        <v>6.5275686216101284E-7</v>
      </c>
      <c r="O17" s="21">
        <f t="shared" si="10"/>
        <v>2.032E-3</v>
      </c>
      <c r="P17" s="21">
        <v>7.0840480334740597E-11</v>
      </c>
      <c r="Q17" s="2">
        <v>0.31</v>
      </c>
      <c r="R17" s="27">
        <f t="shared" si="11"/>
        <v>131000</v>
      </c>
      <c r="S17" s="2">
        <f t="shared" si="12"/>
        <v>5.1940208761751296E-3</v>
      </c>
      <c r="T17" s="11">
        <v>0.08</v>
      </c>
      <c r="U17" s="30">
        <f t="shared" si="13"/>
        <v>108000</v>
      </c>
      <c r="V17" s="30">
        <f t="shared" si="1"/>
        <v>16.731445544554461</v>
      </c>
      <c r="W17" s="11">
        <f t="shared" si="14"/>
        <v>520.48745993036323</v>
      </c>
      <c r="X17" s="2">
        <f t="shared" si="15"/>
        <v>2.5984407077622138E-14</v>
      </c>
      <c r="Y17" s="2">
        <f t="shared" si="16"/>
        <v>15647809942.144053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4" customFormat="1" x14ac:dyDescent="0.25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168.23762376237624</v>
      </c>
      <c r="L18" s="27">
        <f t="shared" si="7"/>
        <v>1.6823762376237623E-4</v>
      </c>
      <c r="M18" s="29">
        <f t="shared" si="8"/>
        <v>4.7762865441819992E-3</v>
      </c>
      <c r="N18" s="33">
        <f t="shared" si="9"/>
        <v>7.0886716954303877E-7</v>
      </c>
      <c r="O18" s="21">
        <f t="shared" si="10"/>
        <v>2.032E-3</v>
      </c>
      <c r="P18" s="21">
        <v>7.0840480334740597E-11</v>
      </c>
      <c r="Q18" s="2">
        <v>0.31</v>
      </c>
      <c r="R18" s="27">
        <f t="shared" si="11"/>
        <v>131000</v>
      </c>
      <c r="S18" s="2">
        <f t="shared" si="12"/>
        <v>5.1940208761751296E-3</v>
      </c>
      <c r="T18" s="11">
        <v>0.08</v>
      </c>
      <c r="U18" s="30">
        <f t="shared" si="13"/>
        <v>108000</v>
      </c>
      <c r="V18" s="30">
        <f t="shared" si="1"/>
        <v>18.169663366336632</v>
      </c>
      <c r="W18" s="11">
        <f t="shared" si="14"/>
        <v>604.95590601451795</v>
      </c>
      <c r="X18" s="2">
        <f t="shared" si="15"/>
        <v>2.8236279243771856E-14</v>
      </c>
      <c r="Y18" s="2">
        <f t="shared" si="16"/>
        <v>17003887360.599413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4" customFormat="1" x14ac:dyDescent="0.25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202.7673267326733</v>
      </c>
      <c r="L19" s="27">
        <f t="shared" si="7"/>
        <v>2.027673267326733E-4</v>
      </c>
      <c r="M19" s="29">
        <f t="shared" si="8"/>
        <v>4.7762865441819992E-3</v>
      </c>
      <c r="N19" s="33">
        <f t="shared" si="9"/>
        <v>8.5435765058007668E-7</v>
      </c>
      <c r="O19" s="21">
        <f t="shared" si="10"/>
        <v>2.032E-3</v>
      </c>
      <c r="P19" s="21">
        <v>7.0840480334740597E-11</v>
      </c>
      <c r="Q19" s="2">
        <v>0.31</v>
      </c>
      <c r="R19" s="27">
        <f t="shared" si="11"/>
        <v>131000</v>
      </c>
      <c r="S19" s="2">
        <f t="shared" si="12"/>
        <v>5.1940208761751296E-3</v>
      </c>
      <c r="T19" s="11">
        <v>0.08</v>
      </c>
      <c r="U19" s="30">
        <f t="shared" si="13"/>
        <v>108000</v>
      </c>
      <c r="V19" s="30">
        <f t="shared" si="1"/>
        <v>21.898871287128717</v>
      </c>
      <c r="W19" s="11">
        <f t="shared" si="14"/>
        <v>851.83184699545984</v>
      </c>
      <c r="X19" s="2">
        <f t="shared" si="15"/>
        <v>3.4096150071171107E-14</v>
      </c>
      <c r="Y19" s="2">
        <f t="shared" si="16"/>
        <v>20532701572.859241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4" customFormat="1" x14ac:dyDescent="0.25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203.50990099009903</v>
      </c>
      <c r="L20" s="27">
        <f t="shared" si="7"/>
        <v>2.0350990099009904E-4</v>
      </c>
      <c r="M20" s="29">
        <f t="shared" si="8"/>
        <v>4.7762865441819992E-3</v>
      </c>
      <c r="N20" s="33">
        <f t="shared" si="9"/>
        <v>8.5748647812926032E-7</v>
      </c>
      <c r="O20" s="21">
        <f t="shared" si="10"/>
        <v>2.032E-3</v>
      </c>
      <c r="P20" s="21">
        <v>7.0840480334740597E-11</v>
      </c>
      <c r="Q20" s="2">
        <v>0.31</v>
      </c>
      <c r="R20" s="27">
        <f t="shared" si="11"/>
        <v>131000</v>
      </c>
      <c r="S20" s="2">
        <f t="shared" si="12"/>
        <v>5.1940208761751296E-3</v>
      </c>
      <c r="T20" s="11">
        <v>0.08</v>
      </c>
      <c r="U20" s="30">
        <f t="shared" si="13"/>
        <v>108000</v>
      </c>
      <c r="V20" s="30">
        <f t="shared" si="1"/>
        <v>21.979069306930697</v>
      </c>
      <c r="W20" s="11">
        <f t="shared" si="14"/>
        <v>857.58002571468364</v>
      </c>
      <c r="X20" s="2">
        <f t="shared" si="15"/>
        <v>3.4222528437086753E-14</v>
      </c>
      <c r="Y20" s="2">
        <f t="shared" si="16"/>
        <v>20608806624.813644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4" customFormat="1" x14ac:dyDescent="0.25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215.11881188118815</v>
      </c>
      <c r="L21" s="27">
        <f t="shared" si="7"/>
        <v>2.1511881188118816E-4</v>
      </c>
      <c r="M21" s="29">
        <f t="shared" si="8"/>
        <v>4.7762865441819992E-3</v>
      </c>
      <c r="N21" s="33">
        <f t="shared" si="9"/>
        <v>9.0640048214816424E-7</v>
      </c>
      <c r="O21" s="21">
        <f t="shared" si="10"/>
        <v>2.032E-3</v>
      </c>
      <c r="P21" s="21">
        <v>7.0840480334740597E-11</v>
      </c>
      <c r="Q21" s="2">
        <v>0.31</v>
      </c>
      <c r="R21" s="27">
        <f t="shared" si="11"/>
        <v>131000</v>
      </c>
      <c r="S21" s="2">
        <f t="shared" si="12"/>
        <v>5.1940208761751296E-3</v>
      </c>
      <c r="T21" s="11">
        <v>0.08</v>
      </c>
      <c r="U21" s="30">
        <f t="shared" si="13"/>
        <v>108000</v>
      </c>
      <c r="V21" s="30">
        <f t="shared" si="1"/>
        <v>23.232831683168321</v>
      </c>
      <c r="W21" s="11">
        <f t="shared" si="14"/>
        <v>949.83451802791012</v>
      </c>
      <c r="X21" s="2">
        <f t="shared" si="15"/>
        <v>3.6200361675859494E-14</v>
      </c>
      <c r="Y21" s="2">
        <f t="shared" si="16"/>
        <v>21799857801.202587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4" customFormat="1" x14ac:dyDescent="0.25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231.87623762376239</v>
      </c>
      <c r="L22" s="27">
        <f t="shared" si="7"/>
        <v>2.3187623762376238E-4</v>
      </c>
      <c r="M22" s="29">
        <f t="shared" si="8"/>
        <v>4.7762865441819992E-3</v>
      </c>
      <c r="N22" s="33">
        <f t="shared" si="9"/>
        <v>9.7700769050807415E-7</v>
      </c>
      <c r="O22" s="21">
        <f t="shared" si="10"/>
        <v>2.032E-3</v>
      </c>
      <c r="P22" s="21">
        <v>7.0840480334740597E-11</v>
      </c>
      <c r="Q22" s="2">
        <v>0.31</v>
      </c>
      <c r="R22" s="27">
        <f t="shared" si="11"/>
        <v>131000</v>
      </c>
      <c r="S22" s="2">
        <f t="shared" si="12"/>
        <v>5.1940208761751296E-3</v>
      </c>
      <c r="T22" s="11">
        <v>0.08</v>
      </c>
      <c r="U22" s="30">
        <f t="shared" si="13"/>
        <v>108000</v>
      </c>
      <c r="V22" s="30">
        <f t="shared" si="1"/>
        <v>25.042633663366338</v>
      </c>
      <c r="W22" s="11">
        <f t="shared" si="14"/>
        <v>1090.9089608013378</v>
      </c>
      <c r="X22" s="2">
        <f t="shared" si="15"/>
        <v>3.9062688377608475E-14</v>
      </c>
      <c r="Y22" s="2">
        <f t="shared" si="16"/>
        <v>23523550940.995823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4" customFormat="1" x14ac:dyDescent="0.25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246.10891089108912</v>
      </c>
      <c r="L23" s="27">
        <f t="shared" si="7"/>
        <v>2.461089108910891E-4</v>
      </c>
      <c r="M23" s="29">
        <f t="shared" si="8"/>
        <v>4.7762865441819992E-3</v>
      </c>
      <c r="N23" s="33">
        <f t="shared" si="9"/>
        <v>1.03697688520076E-6</v>
      </c>
      <c r="O23" s="21">
        <f t="shared" si="10"/>
        <v>2.032E-3</v>
      </c>
      <c r="P23" s="21">
        <v>7.0840480334740597E-11</v>
      </c>
      <c r="Q23" s="2">
        <v>0.31</v>
      </c>
      <c r="R23" s="27">
        <f t="shared" si="11"/>
        <v>131000</v>
      </c>
      <c r="S23" s="2">
        <f t="shared" si="12"/>
        <v>5.1940208761751296E-3</v>
      </c>
      <c r="T23" s="11">
        <v>0.08</v>
      </c>
      <c r="U23" s="30">
        <f t="shared" si="13"/>
        <v>108000</v>
      </c>
      <c r="V23" s="30">
        <f t="shared" si="1"/>
        <v>26.579762376237621</v>
      </c>
      <c r="W23" s="11">
        <f t="shared" si="14"/>
        <v>1218.0359757479707</v>
      </c>
      <c r="X23" s="2">
        <f t="shared" si="15"/>
        <v>4.1500986907836635E-14</v>
      </c>
      <c r="Y23" s="2">
        <f t="shared" si="16"/>
        <v>24991894315.899223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</row>
    <row r="24" spans="1:76" s="4" customFormat="1" x14ac:dyDescent="0.25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246.08415841584161</v>
      </c>
      <c r="L24" s="27">
        <f t="shared" si="7"/>
        <v>2.4608415841584163E-4</v>
      </c>
      <c r="M24" s="29">
        <f t="shared" si="8"/>
        <v>4.7762865441819992E-3</v>
      </c>
      <c r="N24" s="33">
        <f t="shared" si="9"/>
        <v>1.0368725909491208E-6</v>
      </c>
      <c r="O24" s="21">
        <f t="shared" si="10"/>
        <v>2.032E-3</v>
      </c>
      <c r="P24" s="21">
        <v>7.0840480334740597E-11</v>
      </c>
      <c r="Q24" s="2">
        <v>0.31</v>
      </c>
      <c r="R24" s="27">
        <f t="shared" si="11"/>
        <v>131000</v>
      </c>
      <c r="S24" s="2">
        <f t="shared" si="12"/>
        <v>5.1940208761751296E-3</v>
      </c>
      <c r="T24" s="11">
        <v>0.08</v>
      </c>
      <c r="U24" s="30">
        <f t="shared" si="13"/>
        <v>108000</v>
      </c>
      <c r="V24" s="30">
        <f t="shared" si="1"/>
        <v>26.577089108910897</v>
      </c>
      <c r="W24" s="11">
        <f t="shared" si="14"/>
        <v>1217.8090738128558</v>
      </c>
      <c r="X24" s="2">
        <f t="shared" si="15"/>
        <v>4.1496740383944686E-14</v>
      </c>
      <c r="Y24" s="2">
        <f t="shared" si="16"/>
        <v>24989337059.211491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4" customFormat="1" x14ac:dyDescent="0.25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260.49009900990097</v>
      </c>
      <c r="L25" s="27">
        <f t="shared" si="7"/>
        <v>2.6049009900990097E-4</v>
      </c>
      <c r="M25" s="29">
        <f t="shared" si="8"/>
        <v>4.7762865441819992E-3</v>
      </c>
      <c r="N25" s="33">
        <f t="shared" si="9"/>
        <v>1.0975718454032825E-6</v>
      </c>
      <c r="O25" s="21">
        <f t="shared" si="10"/>
        <v>2.032E-3</v>
      </c>
      <c r="P25" s="21">
        <v>7.0840480334740597E-11</v>
      </c>
      <c r="Q25" s="2">
        <v>0.31</v>
      </c>
      <c r="R25" s="27">
        <f t="shared" si="11"/>
        <v>131000</v>
      </c>
      <c r="S25" s="2">
        <f t="shared" si="12"/>
        <v>5.1940208761751296E-3</v>
      </c>
      <c r="T25" s="11">
        <v>0.08</v>
      </c>
      <c r="U25" s="30">
        <f t="shared" si="13"/>
        <v>108000</v>
      </c>
      <c r="V25" s="30">
        <f t="shared" si="1"/>
        <v>28.132930693069305</v>
      </c>
      <c r="W25" s="11">
        <f t="shared" si="14"/>
        <v>1353.2818989821808</v>
      </c>
      <c r="X25" s="2">
        <f t="shared" si="15"/>
        <v>4.3971888850165623E-14</v>
      </c>
      <c r="Y25" s="2">
        <f t="shared" si="16"/>
        <v>26479871465.56974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4" customFormat="1" x14ac:dyDescent="0.25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258.93069306930698</v>
      </c>
      <c r="L26" s="27">
        <f t="shared" si="7"/>
        <v>2.5893069306930696E-4</v>
      </c>
      <c r="M26" s="29">
        <f t="shared" si="8"/>
        <v>4.7762865441819992E-3</v>
      </c>
      <c r="N26" s="33">
        <f t="shared" si="9"/>
        <v>1.0910013075499971E-6</v>
      </c>
      <c r="O26" s="21">
        <f t="shared" si="10"/>
        <v>2.032E-3</v>
      </c>
      <c r="P26" s="21">
        <v>7.0840480334740597E-11</v>
      </c>
      <c r="Q26" s="2">
        <v>0.31</v>
      </c>
      <c r="R26" s="27">
        <f t="shared" si="11"/>
        <v>131000</v>
      </c>
      <c r="S26" s="2">
        <f t="shared" si="12"/>
        <v>5.1940208761751296E-3</v>
      </c>
      <c r="T26" s="11">
        <v>0.08</v>
      </c>
      <c r="U26" s="30">
        <f t="shared" si="13"/>
        <v>108000</v>
      </c>
      <c r="V26" s="30">
        <f t="shared" si="1"/>
        <v>27.964514851485152</v>
      </c>
      <c r="W26" s="11">
        <f t="shared" si="14"/>
        <v>1338.2873280029532</v>
      </c>
      <c r="X26" s="2">
        <f t="shared" si="15"/>
        <v>4.3703599548187043E-14</v>
      </c>
      <c r="Y26" s="2">
        <f t="shared" si="16"/>
        <v>26318307647.91824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4" customFormat="1" x14ac:dyDescent="0.25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281.40594059405942</v>
      </c>
      <c r="L27" s="27">
        <f t="shared" si="7"/>
        <v>2.8140594059405943E-4</v>
      </c>
      <c r="M27" s="29">
        <f t="shared" si="8"/>
        <v>4.7762865441819992E-3</v>
      </c>
      <c r="N27" s="33">
        <f t="shared" si="9"/>
        <v>1.1857004880386211E-6</v>
      </c>
      <c r="O27" s="21">
        <f t="shared" si="10"/>
        <v>2.032E-3</v>
      </c>
      <c r="P27" s="21">
        <v>7.0840480334740597E-11</v>
      </c>
      <c r="Q27" s="2">
        <v>0.31</v>
      </c>
      <c r="R27" s="27">
        <f t="shared" si="11"/>
        <v>131000</v>
      </c>
      <c r="S27" s="2">
        <f t="shared" si="12"/>
        <v>5.1940208761751296E-3</v>
      </c>
      <c r="T27" s="11">
        <v>0.08</v>
      </c>
      <c r="U27" s="30">
        <f t="shared" si="13"/>
        <v>108000</v>
      </c>
      <c r="V27" s="30">
        <f t="shared" si="1"/>
        <v>30.391841584158421</v>
      </c>
      <c r="W27" s="11">
        <f t="shared" si="14"/>
        <v>1562.1234627126717</v>
      </c>
      <c r="X27" s="2">
        <f t="shared" si="15"/>
        <v>4.7579219101215214E-14</v>
      </c>
      <c r="Y27" s="2">
        <f t="shared" si="16"/>
        <v>28652205742.751804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4" customFormat="1" x14ac:dyDescent="0.25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265.7376237623763</v>
      </c>
      <c r="L28" s="27">
        <f t="shared" si="7"/>
        <v>2.6573762376237633E-4</v>
      </c>
      <c r="M28" s="29">
        <f t="shared" si="8"/>
        <v>4.7762865441819992E-3</v>
      </c>
      <c r="N28" s="33">
        <f t="shared" si="9"/>
        <v>1.119682226750847E-6</v>
      </c>
      <c r="O28" s="21">
        <f t="shared" si="10"/>
        <v>2.032E-3</v>
      </c>
      <c r="P28" s="21">
        <v>7.0840480334740597E-11</v>
      </c>
      <c r="Q28" s="2">
        <v>0.31</v>
      </c>
      <c r="R28" s="27">
        <f t="shared" si="11"/>
        <v>131000</v>
      </c>
      <c r="S28" s="2">
        <f t="shared" si="12"/>
        <v>5.1940208761751296E-3</v>
      </c>
      <c r="T28" s="11">
        <v>0.08</v>
      </c>
      <c r="U28" s="30">
        <f t="shared" si="13"/>
        <v>108000</v>
      </c>
      <c r="V28" s="30">
        <f t="shared" si="1"/>
        <v>28.699663366336644</v>
      </c>
      <c r="W28" s="11">
        <f t="shared" si="14"/>
        <v>1404.327357236881</v>
      </c>
      <c r="X28" s="2">
        <f t="shared" si="15"/>
        <v>4.4875363056737927E-14</v>
      </c>
      <c r="Y28" s="2">
        <f t="shared" si="16"/>
        <v>27023943632.767582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4" customFormat="1" x14ac:dyDescent="0.25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8">
        <v>277.59405940594064</v>
      </c>
      <c r="L29" s="27">
        <f t="shared" si="7"/>
        <v>2.7759405940594066E-4</v>
      </c>
      <c r="M29" s="29">
        <f t="shared" si="8"/>
        <v>4.7762865441819992E-3</v>
      </c>
      <c r="N29" s="33">
        <f t="shared" si="9"/>
        <v>1.1696391732861454E-6</v>
      </c>
      <c r="O29" s="21">
        <f t="shared" si="10"/>
        <v>2.032E-3</v>
      </c>
      <c r="P29" s="21">
        <v>7.0840480334740597E-11</v>
      </c>
      <c r="Q29" s="2">
        <v>0.31</v>
      </c>
      <c r="R29" s="27">
        <f t="shared" si="11"/>
        <v>131000</v>
      </c>
      <c r="S29" s="2">
        <f t="shared" si="12"/>
        <v>5.1940208761751296E-3</v>
      </c>
      <c r="T29" s="11">
        <v>0.08</v>
      </c>
      <c r="U29" s="30">
        <f t="shared" si="13"/>
        <v>108000</v>
      </c>
      <c r="V29" s="30">
        <f t="shared" si="1"/>
        <v>29.98015841584159</v>
      </c>
      <c r="W29" s="11">
        <f t="shared" si="14"/>
        <v>1522.9925063501144</v>
      </c>
      <c r="X29" s="2">
        <f t="shared" si="15"/>
        <v>4.6920533623998148E-14</v>
      </c>
      <c r="Y29" s="2">
        <f t="shared" si="16"/>
        <v>28255545348.371685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4" customFormat="1" x14ac:dyDescent="0.25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8">
        <v>279.84653465346537</v>
      </c>
      <c r="L30" s="27">
        <f t="shared" si="7"/>
        <v>2.7984653465346537E-4</v>
      </c>
      <c r="M30" s="29">
        <f t="shared" si="8"/>
        <v>4.7762865441819992E-3</v>
      </c>
      <c r="N30" s="33">
        <f t="shared" si="9"/>
        <v>1.1791299501853355E-6</v>
      </c>
      <c r="O30" s="21">
        <f t="shared" si="10"/>
        <v>2.032E-3</v>
      </c>
      <c r="P30" s="21">
        <v>7.0840480334740597E-11</v>
      </c>
      <c r="Q30" s="2">
        <v>0.31</v>
      </c>
      <c r="R30" s="27">
        <f t="shared" si="11"/>
        <v>131000</v>
      </c>
      <c r="S30" s="2">
        <f t="shared" si="12"/>
        <v>5.1940208761751296E-3</v>
      </c>
      <c r="T30" s="11">
        <v>0.08</v>
      </c>
      <c r="U30" s="30">
        <f t="shared" si="13"/>
        <v>108000</v>
      </c>
      <c r="V30" s="30">
        <f t="shared" si="1"/>
        <v>30.223425742574261</v>
      </c>
      <c r="W30" s="11">
        <f t="shared" si="14"/>
        <v>1546.0577785193536</v>
      </c>
      <c r="X30" s="2">
        <f t="shared" si="15"/>
        <v>4.7309687691918977E-14</v>
      </c>
      <c r="Y30" s="2">
        <f t="shared" si="16"/>
        <v>28489893928.073608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4" customFormat="1" x14ac:dyDescent="0.25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8">
        <v>286.95049504950498</v>
      </c>
      <c r="L31" s="27">
        <f t="shared" si="7"/>
        <v>2.8695049504950498E-4</v>
      </c>
      <c r="M31" s="29">
        <f t="shared" si="8"/>
        <v>4.7762865441819992E-3</v>
      </c>
      <c r="N31" s="33">
        <f t="shared" si="9"/>
        <v>1.2090624004058588E-6</v>
      </c>
      <c r="O31" s="21">
        <f t="shared" si="10"/>
        <v>2.032E-3</v>
      </c>
      <c r="P31" s="21">
        <v>7.0840480334740597E-11</v>
      </c>
      <c r="Q31" s="2">
        <v>0.31</v>
      </c>
      <c r="R31" s="27">
        <f t="shared" si="11"/>
        <v>131000</v>
      </c>
      <c r="S31" s="2">
        <f t="shared" si="12"/>
        <v>5.1940208761751296E-3</v>
      </c>
      <c r="T31" s="11">
        <v>0.08</v>
      </c>
      <c r="U31" s="30">
        <f t="shared" si="13"/>
        <v>108000</v>
      </c>
      <c r="V31" s="30">
        <f t="shared" si="1"/>
        <v>30.990653465346536</v>
      </c>
      <c r="W31" s="11">
        <f t="shared" si="14"/>
        <v>1619.8910307221176</v>
      </c>
      <c r="X31" s="2">
        <f t="shared" si="15"/>
        <v>4.8538337139580282E-14</v>
      </c>
      <c r="Y31" s="2">
        <f t="shared" si="16"/>
        <v>29229786625.455246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4" customFormat="1" x14ac:dyDescent="0.25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8">
        <v>281.30693069306932</v>
      </c>
      <c r="L32" s="27">
        <f t="shared" si="7"/>
        <v>2.8130693069306932E-4</v>
      </c>
      <c r="M32" s="29">
        <f t="shared" si="8"/>
        <v>4.7762865441819992E-3</v>
      </c>
      <c r="N32" s="33">
        <f t="shared" si="9"/>
        <v>1.1852833110320632E-6</v>
      </c>
      <c r="O32" s="21">
        <f t="shared" si="10"/>
        <v>2.032E-3</v>
      </c>
      <c r="P32" s="21">
        <v>7.0840480334740597E-11</v>
      </c>
      <c r="Q32" s="2">
        <v>0.31</v>
      </c>
      <c r="R32" s="27">
        <f t="shared" si="11"/>
        <v>131000</v>
      </c>
      <c r="S32" s="2">
        <f t="shared" si="12"/>
        <v>5.1940208761751296E-3</v>
      </c>
      <c r="T32" s="11">
        <v>0.08</v>
      </c>
      <c r="U32" s="30">
        <f t="shared" si="13"/>
        <v>108000</v>
      </c>
      <c r="V32" s="30">
        <f t="shared" si="1"/>
        <v>30.381148514851485</v>
      </c>
      <c r="W32" s="11">
        <f t="shared" si="14"/>
        <v>1561.1010501387375</v>
      </c>
      <c r="X32" s="2">
        <f t="shared" si="15"/>
        <v>4.7562103136146261E-14</v>
      </c>
      <c r="Y32" s="2">
        <f t="shared" si="16"/>
        <v>28641898508.58728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4" customFormat="1" x14ac:dyDescent="0.25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8">
        <v>291.75247524752479</v>
      </c>
      <c r="L33" s="27">
        <f t="shared" si="7"/>
        <v>2.9175247524752476E-4</v>
      </c>
      <c r="M33" s="29">
        <f t="shared" si="8"/>
        <v>4.7762865441819992E-3</v>
      </c>
      <c r="N33" s="33">
        <f t="shared" si="9"/>
        <v>1.2292954852239126E-6</v>
      </c>
      <c r="O33" s="21">
        <f t="shared" si="10"/>
        <v>2.032E-3</v>
      </c>
      <c r="P33" s="21">
        <v>7.0840480334740597E-11</v>
      </c>
      <c r="Q33" s="2">
        <v>0.31</v>
      </c>
      <c r="R33" s="27">
        <f t="shared" si="11"/>
        <v>131000</v>
      </c>
      <c r="S33" s="2">
        <f t="shared" si="12"/>
        <v>5.1940208761751296E-3</v>
      </c>
      <c r="T33" s="11">
        <v>0.08</v>
      </c>
      <c r="U33" s="30">
        <f t="shared" si="13"/>
        <v>108000</v>
      </c>
      <c r="V33" s="30">
        <f t="shared" si="1"/>
        <v>31.509267326732672</v>
      </c>
      <c r="W33" s="11">
        <f t="shared" si="14"/>
        <v>1670.7350252029378</v>
      </c>
      <c r="X33" s="2">
        <f t="shared" si="15"/>
        <v>4.937000465041773E-14</v>
      </c>
      <c r="Y33" s="2">
        <f t="shared" si="16"/>
        <v>29730616800.48156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4" customFormat="1" x14ac:dyDescent="0.25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8">
        <v>289.82178217821786</v>
      </c>
      <c r="L34" s="27">
        <f t="shared" si="7"/>
        <v>2.8982178217821787E-4</v>
      </c>
      <c r="M34" s="29">
        <f t="shared" si="8"/>
        <v>4.7762865441819992E-3</v>
      </c>
      <c r="N34" s="33">
        <f t="shared" si="9"/>
        <v>1.2211605335960352E-6</v>
      </c>
      <c r="O34" s="21">
        <f t="shared" si="10"/>
        <v>2.032E-3</v>
      </c>
      <c r="P34" s="21">
        <v>7.0840480334740597E-11</v>
      </c>
      <c r="Q34" s="2">
        <v>0.31</v>
      </c>
      <c r="R34" s="27">
        <f t="shared" si="11"/>
        <v>131000</v>
      </c>
      <c r="S34" s="2">
        <f t="shared" si="12"/>
        <v>5.1940208761751296E-3</v>
      </c>
      <c r="T34" s="11">
        <v>0.08</v>
      </c>
      <c r="U34" s="30">
        <f t="shared" si="13"/>
        <v>108000</v>
      </c>
      <c r="V34" s="30">
        <f t="shared" si="1"/>
        <v>31.300752475247531</v>
      </c>
      <c r="W34" s="11">
        <f t="shared" si="14"/>
        <v>1650.20191265576</v>
      </c>
      <c r="X34" s="2">
        <f t="shared" si="15"/>
        <v>4.903550989987629E-14</v>
      </c>
      <c r="Y34" s="2">
        <f t="shared" si="16"/>
        <v>29529184061.705502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4" customFormat="1" x14ac:dyDescent="0.25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8">
        <v>288.70792079207922</v>
      </c>
      <c r="L35" s="27">
        <f t="shared" si="7"/>
        <v>2.8870792079207922E-4</v>
      </c>
      <c r="M35" s="29">
        <f t="shared" si="8"/>
        <v>4.7762865441819992E-3</v>
      </c>
      <c r="N35" s="33">
        <f t="shared" si="9"/>
        <v>1.2164672922722597E-6</v>
      </c>
      <c r="O35" s="21">
        <f t="shared" si="10"/>
        <v>2.032E-3</v>
      </c>
      <c r="P35" s="21">
        <v>7.0840480334740597E-11</v>
      </c>
      <c r="Q35" s="2">
        <v>0.31</v>
      </c>
      <c r="R35" s="27">
        <f t="shared" si="11"/>
        <v>131000</v>
      </c>
      <c r="S35" s="2">
        <f t="shared" si="12"/>
        <v>5.1940208761751296E-3</v>
      </c>
      <c r="T35" s="11">
        <v>0.08</v>
      </c>
      <c r="U35" s="30">
        <f t="shared" si="13"/>
        <v>108000</v>
      </c>
      <c r="V35" s="30">
        <f t="shared" si="1"/>
        <v>31.180455445544556</v>
      </c>
      <c r="W35" s="11">
        <f t="shared" si="14"/>
        <v>1638.411353607331</v>
      </c>
      <c r="X35" s="2">
        <f t="shared" si="15"/>
        <v>4.8842601404018409E-14</v>
      </c>
      <c r="Y35" s="2">
        <f t="shared" si="16"/>
        <v>29413014565.499886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4" customFormat="1" x14ac:dyDescent="0.25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8">
        <v>286.50495049504951</v>
      </c>
      <c r="L36" s="27">
        <f t="shared" si="7"/>
        <v>2.8650495049504951E-4</v>
      </c>
      <c r="M36" s="29">
        <f t="shared" si="8"/>
        <v>4.7762865441819992E-3</v>
      </c>
      <c r="N36" s="33">
        <f t="shared" si="9"/>
        <v>1.2071851038763483E-6</v>
      </c>
      <c r="O36" s="21">
        <f t="shared" si="10"/>
        <v>2.032E-3</v>
      </c>
      <c r="P36" s="21">
        <v>7.0840480334740597E-11</v>
      </c>
      <c r="Q36" s="2">
        <v>0.31</v>
      </c>
      <c r="R36" s="27">
        <f t="shared" si="11"/>
        <v>131000</v>
      </c>
      <c r="S36" s="2">
        <f t="shared" si="12"/>
        <v>5.1940208761751296E-3</v>
      </c>
      <c r="T36" s="11">
        <v>0.08</v>
      </c>
      <c r="U36" s="30">
        <f t="shared" si="13"/>
        <v>108000</v>
      </c>
      <c r="V36" s="30">
        <f t="shared" si="1"/>
        <v>30.942534653465348</v>
      </c>
      <c r="W36" s="11">
        <f t="shared" si="14"/>
        <v>1615.2117996441596</v>
      </c>
      <c r="X36" s="2">
        <f t="shared" si="15"/>
        <v>4.8461219577311569E-14</v>
      </c>
      <c r="Y36" s="2">
        <f t="shared" si="16"/>
        <v>29183346429.457027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4" customFormat="1" x14ac:dyDescent="0.25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8">
        <v>287.61881188118809</v>
      </c>
      <c r="L37" s="27">
        <f t="shared" si="7"/>
        <v>2.876188118811881E-4</v>
      </c>
      <c r="M37" s="29">
        <f t="shared" si="8"/>
        <v>4.7762865441819992E-3</v>
      </c>
      <c r="N37" s="33">
        <f t="shared" si="9"/>
        <v>1.2118783452001237E-6</v>
      </c>
      <c r="O37" s="21">
        <f t="shared" si="10"/>
        <v>2.032E-3</v>
      </c>
      <c r="P37" s="21">
        <v>7.0840480334740597E-11</v>
      </c>
      <c r="Q37" s="2">
        <v>0.31</v>
      </c>
      <c r="R37" s="27">
        <f t="shared" si="11"/>
        <v>131000</v>
      </c>
      <c r="S37" s="2">
        <f t="shared" si="12"/>
        <v>5.1940208761751296E-3</v>
      </c>
      <c r="T37" s="11">
        <v>0.08</v>
      </c>
      <c r="U37" s="30">
        <f t="shared" si="13"/>
        <v>108000</v>
      </c>
      <c r="V37" s="30">
        <f t="shared" si="1"/>
        <v>31.062831683168316</v>
      </c>
      <c r="W37" s="11">
        <f t="shared" si="14"/>
        <v>1626.9220600552512</v>
      </c>
      <c r="X37" s="2">
        <f t="shared" si="15"/>
        <v>4.8654028524203026E-14</v>
      </c>
      <c r="Y37" s="2">
        <f t="shared" si="16"/>
        <v>29299455977.275063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4" customFormat="1" x14ac:dyDescent="0.25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8">
        <v>301.9009900990099</v>
      </c>
      <c r="L38" s="27">
        <f t="shared" si="7"/>
        <v>3.0190099009900991E-4</v>
      </c>
      <c r="M38" s="29">
        <f t="shared" si="8"/>
        <v>4.7762865441819992E-3</v>
      </c>
      <c r="N38" s="33">
        <f t="shared" si="9"/>
        <v>1.2720561283960884E-6</v>
      </c>
      <c r="O38" s="21">
        <f t="shared" si="10"/>
        <v>2.032E-3</v>
      </c>
      <c r="P38" s="21">
        <v>7.0840480334740597E-11</v>
      </c>
      <c r="Q38" s="2">
        <v>0.31</v>
      </c>
      <c r="R38" s="27">
        <f t="shared" si="11"/>
        <v>131000</v>
      </c>
      <c r="S38" s="2">
        <f t="shared" si="12"/>
        <v>5.1940208761751296E-3</v>
      </c>
      <c r="T38" s="11">
        <v>0.08</v>
      </c>
      <c r="U38" s="30">
        <f t="shared" si="13"/>
        <v>108000</v>
      </c>
      <c r="V38" s="30">
        <f t="shared" si="1"/>
        <v>32.605306930693068</v>
      </c>
      <c r="W38" s="11">
        <f t="shared" si="14"/>
        <v>1780.6689323332587</v>
      </c>
      <c r="X38" s="2">
        <f t="shared" si="15"/>
        <v>5.1130786949329895E-14</v>
      </c>
      <c r="Y38" s="2">
        <f t="shared" si="16"/>
        <v>30790959900.886463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4" customFormat="1" x14ac:dyDescent="0.25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8">
        <v>288.16336633663366</v>
      </c>
      <c r="L39" s="27">
        <f t="shared" si="7"/>
        <v>2.8816336633663363E-4</v>
      </c>
      <c r="M39" s="29">
        <f t="shared" si="8"/>
        <v>4.7762865441819992E-3</v>
      </c>
      <c r="N39" s="33">
        <f t="shared" si="9"/>
        <v>1.2141728187361917E-6</v>
      </c>
      <c r="O39" s="21">
        <f t="shared" si="10"/>
        <v>2.032E-3</v>
      </c>
      <c r="P39" s="21">
        <v>7.0840480334740597E-11</v>
      </c>
      <c r="Q39" s="2">
        <v>0.31</v>
      </c>
      <c r="R39" s="27">
        <f t="shared" si="11"/>
        <v>131000</v>
      </c>
      <c r="S39" s="2">
        <f t="shared" si="12"/>
        <v>5.1940208761751296E-3</v>
      </c>
      <c r="T39" s="11">
        <v>0.08</v>
      </c>
      <c r="U39" s="30">
        <f t="shared" si="13"/>
        <v>108000</v>
      </c>
      <c r="V39" s="30">
        <f t="shared" si="1"/>
        <v>31.121643564356432</v>
      </c>
      <c r="W39" s="11">
        <f t="shared" si="14"/>
        <v>1632.6618548298134</v>
      </c>
      <c r="X39" s="2">
        <f t="shared" si="15"/>
        <v>4.8748308948920167E-14</v>
      </c>
      <c r="Y39" s="2">
        <f t="shared" si="16"/>
        <v>29356231649.039726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4" customFormat="1" x14ac:dyDescent="0.25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8">
        <v>307.32178217821786</v>
      </c>
      <c r="L40" s="27">
        <f t="shared" si="7"/>
        <v>3.0732178217821786E-4</v>
      </c>
      <c r="M40" s="29">
        <f t="shared" si="8"/>
        <v>4.7762865441819992E-3</v>
      </c>
      <c r="N40" s="33">
        <f t="shared" si="9"/>
        <v>1.2948965695051292E-6</v>
      </c>
      <c r="O40" s="21">
        <f t="shared" si="10"/>
        <v>2.032E-3</v>
      </c>
      <c r="P40" s="21">
        <v>7.0840480334740597E-11</v>
      </c>
      <c r="Q40" s="2">
        <v>0.31</v>
      </c>
      <c r="R40" s="27">
        <f t="shared" si="11"/>
        <v>131000</v>
      </c>
      <c r="S40" s="2">
        <f t="shared" si="12"/>
        <v>5.1940208761751296E-3</v>
      </c>
      <c r="T40" s="11">
        <v>0.08</v>
      </c>
      <c r="U40" s="30">
        <f t="shared" si="13"/>
        <v>108000</v>
      </c>
      <c r="V40" s="30">
        <f t="shared" si="1"/>
        <v>33.190752475247528</v>
      </c>
      <c r="W40" s="11">
        <f t="shared" si="14"/>
        <v>1840.7676288694474</v>
      </c>
      <c r="X40" s="2">
        <f t="shared" si="15"/>
        <v>5.2073085996448844E-14</v>
      </c>
      <c r="Y40" s="2">
        <f t="shared" si="16"/>
        <v>31358412387.061497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4" customFormat="1" x14ac:dyDescent="0.25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8">
        <v>302.29702970297029</v>
      </c>
      <c r="L41" s="27">
        <f t="shared" si="7"/>
        <v>3.0229702970297032E-4</v>
      </c>
      <c r="M41" s="29">
        <f t="shared" si="8"/>
        <v>4.7762865441819992E-3</v>
      </c>
      <c r="N41" s="33">
        <f t="shared" si="9"/>
        <v>1.2737248364223199E-6</v>
      </c>
      <c r="O41" s="21">
        <f t="shared" si="10"/>
        <v>2.032E-3</v>
      </c>
      <c r="P41" s="21">
        <v>7.0840480334740597E-11</v>
      </c>
      <c r="Q41" s="2">
        <v>0.31</v>
      </c>
      <c r="R41" s="27">
        <f t="shared" si="11"/>
        <v>131000</v>
      </c>
      <c r="S41" s="2">
        <f t="shared" si="12"/>
        <v>5.1940208761751296E-3</v>
      </c>
      <c r="T41" s="11">
        <v>0.08</v>
      </c>
      <c r="U41" s="30">
        <f t="shared" si="13"/>
        <v>108000</v>
      </c>
      <c r="V41" s="30">
        <f t="shared" si="1"/>
        <v>32.648079207920794</v>
      </c>
      <c r="W41" s="11">
        <f t="shared" si="14"/>
        <v>1785.0272354049175</v>
      </c>
      <c r="X41" s="2">
        <f t="shared" si="15"/>
        <v>5.119958816949888E-14</v>
      </c>
      <c r="Y41" s="2">
        <f t="shared" si="16"/>
        <v>30832391995.672226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4" customFormat="1" x14ac:dyDescent="0.25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0">
        <v>296.20792079207922</v>
      </c>
      <c r="L42" s="27">
        <f t="shared" si="7"/>
        <v>2.9620792079207924E-4</v>
      </c>
      <c r="M42" s="29">
        <f t="shared" si="8"/>
        <v>4.7762865441819992E-3</v>
      </c>
      <c r="N42" s="33">
        <f t="shared" si="9"/>
        <v>1.2480684505190144E-6</v>
      </c>
      <c r="O42" s="21">
        <f t="shared" si="10"/>
        <v>2.032E-3</v>
      </c>
      <c r="P42" s="21">
        <v>7.0840480334740597E-11</v>
      </c>
      <c r="Q42" s="2">
        <v>0.31</v>
      </c>
      <c r="R42" s="27">
        <f t="shared" si="11"/>
        <v>131000</v>
      </c>
      <c r="S42" s="2">
        <f t="shared" si="12"/>
        <v>5.1940208761751296E-3</v>
      </c>
      <c r="T42" s="11">
        <v>0.08</v>
      </c>
      <c r="U42" s="30">
        <f t="shared" si="13"/>
        <v>108000</v>
      </c>
      <c r="V42" s="30">
        <f t="shared" si="1"/>
        <v>31.990455445544558</v>
      </c>
      <c r="W42" s="11">
        <f t="shared" si="14"/>
        <v>1718.5843035172761</v>
      </c>
      <c r="X42" s="9">
        <f t="shared" si="15"/>
        <v>5.0142501549568601E-14</v>
      </c>
      <c r="Y42" s="9">
        <f t="shared" si="16"/>
        <v>30195814433.150211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4" customFormat="1" x14ac:dyDescent="0.25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0">
        <v>292.59405940594058</v>
      </c>
      <c r="L43" s="27">
        <f t="shared" si="7"/>
        <v>2.9259405940594059E-4</v>
      </c>
      <c r="M43" s="29">
        <f t="shared" si="8"/>
        <v>4.7762865441819992E-3</v>
      </c>
      <c r="N43" s="33">
        <f t="shared" si="9"/>
        <v>1.2328414897796539E-6</v>
      </c>
      <c r="O43" s="21">
        <f t="shared" si="10"/>
        <v>2.032E-3</v>
      </c>
      <c r="P43" s="21">
        <v>7.0840480334740597E-11</v>
      </c>
      <c r="Q43" s="2">
        <v>0.31</v>
      </c>
      <c r="R43" s="27">
        <f t="shared" si="11"/>
        <v>131000</v>
      </c>
      <c r="S43" s="2">
        <f t="shared" si="12"/>
        <v>5.1940208761751296E-3</v>
      </c>
      <c r="T43" s="11">
        <v>0.08</v>
      </c>
      <c r="U43" s="30">
        <f t="shared" si="13"/>
        <v>108000</v>
      </c>
      <c r="V43" s="30">
        <f t="shared" si="1"/>
        <v>31.600158415841584</v>
      </c>
      <c r="W43" s="11">
        <f t="shared" si="14"/>
        <v>1679.7235080158691</v>
      </c>
      <c r="X43" s="9">
        <f t="shared" si="15"/>
        <v>4.9515857904365699E-14</v>
      </c>
      <c r="Y43" s="9">
        <f t="shared" si="16"/>
        <v>29818449630.009026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4" customFormat="1" x14ac:dyDescent="0.25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0">
        <v>302.61881188118809</v>
      </c>
      <c r="L44" s="27">
        <f t="shared" si="7"/>
        <v>3.0261881188118809E-4</v>
      </c>
      <c r="M44" s="29">
        <f t="shared" si="8"/>
        <v>4.7762865441819992E-3</v>
      </c>
      <c r="N44" s="33">
        <f t="shared" si="9"/>
        <v>1.2750806616936324E-6</v>
      </c>
      <c r="O44" s="21">
        <f t="shared" si="10"/>
        <v>2.032E-3</v>
      </c>
      <c r="P44" s="21">
        <v>7.0840480334740597E-11</v>
      </c>
      <c r="Q44" s="2">
        <v>0.31</v>
      </c>
      <c r="R44" s="27">
        <f t="shared" si="11"/>
        <v>131000</v>
      </c>
      <c r="S44" s="2">
        <f t="shared" si="12"/>
        <v>5.1940208761751296E-3</v>
      </c>
      <c r="T44" s="11">
        <v>0.08</v>
      </c>
      <c r="U44" s="30">
        <f t="shared" si="13"/>
        <v>108000</v>
      </c>
      <c r="V44" s="30">
        <f t="shared" si="1"/>
        <v>32.682831683168317</v>
      </c>
      <c r="W44" s="11">
        <f t="shared" si="14"/>
        <v>1788.5721264260117</v>
      </c>
      <c r="X44" s="9">
        <f t="shared" si="15"/>
        <v>5.1255494073821027E-14</v>
      </c>
      <c r="Y44" s="9">
        <f t="shared" si="16"/>
        <v>30866058531.255024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4" customFormat="1" x14ac:dyDescent="0.25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0">
        <v>298.53465346534654</v>
      </c>
      <c r="L45" s="27">
        <f t="shared" si="7"/>
        <v>2.9853465346534654E-4</v>
      </c>
      <c r="M45" s="29">
        <f t="shared" si="8"/>
        <v>4.7762865441819992E-3</v>
      </c>
      <c r="N45" s="33">
        <f t="shared" si="9"/>
        <v>1.2578721101731231E-6</v>
      </c>
      <c r="O45" s="21">
        <f t="shared" si="10"/>
        <v>2.032E-3</v>
      </c>
      <c r="P45" s="21">
        <v>7.0840480334740597E-11</v>
      </c>
      <c r="Q45" s="2">
        <v>0.31</v>
      </c>
      <c r="R45" s="27">
        <f t="shared" si="11"/>
        <v>131000</v>
      </c>
      <c r="S45" s="2">
        <f t="shared" si="12"/>
        <v>5.1940208761751296E-3</v>
      </c>
      <c r="T45" s="11">
        <v>0.08</v>
      </c>
      <c r="U45" s="30">
        <f t="shared" si="13"/>
        <v>108000</v>
      </c>
      <c r="V45" s="30">
        <f t="shared" si="1"/>
        <v>32.24174257425743</v>
      </c>
      <c r="W45" s="11">
        <f t="shared" si="14"/>
        <v>1743.8301130039258</v>
      </c>
      <c r="X45" s="9">
        <f t="shared" si="15"/>
        <v>5.0546244759608672E-14</v>
      </c>
      <c r="Y45" s="9">
        <f t="shared" si="16"/>
        <v>30438948594.236343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4" customFormat="1" x14ac:dyDescent="0.25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0">
        <v>298.93069306930693</v>
      </c>
      <c r="L46" s="27">
        <f t="shared" si="7"/>
        <v>2.989306930693069E-4</v>
      </c>
      <c r="M46" s="29">
        <f t="shared" si="8"/>
        <v>4.7762865441819992E-3</v>
      </c>
      <c r="N46" s="33">
        <f t="shared" si="9"/>
        <v>1.2595408181993541E-6</v>
      </c>
      <c r="O46" s="21">
        <f t="shared" si="10"/>
        <v>2.032E-3</v>
      </c>
      <c r="P46" s="21">
        <v>7.0840480334740597E-11</v>
      </c>
      <c r="Q46" s="2">
        <v>0.31</v>
      </c>
      <c r="R46" s="27">
        <f t="shared" si="11"/>
        <v>131000</v>
      </c>
      <c r="S46" s="2">
        <f t="shared" si="12"/>
        <v>5.1940208761751296E-3</v>
      </c>
      <c r="T46" s="11">
        <v>0.08</v>
      </c>
      <c r="U46" s="30">
        <f t="shared" si="13"/>
        <v>108000</v>
      </c>
      <c r="V46" s="30">
        <f t="shared" si="1"/>
        <v>32.284514851485149</v>
      </c>
      <c r="W46" s="11">
        <f t="shared" si="14"/>
        <v>1748.1448845565551</v>
      </c>
      <c r="X46" s="9">
        <f t="shared" si="15"/>
        <v>5.0614989612945828E-14</v>
      </c>
      <c r="Y46" s="9">
        <f t="shared" si="16"/>
        <v>30480346744.915977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4" customFormat="1" x14ac:dyDescent="0.25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0">
        <v>296.00990099009903</v>
      </c>
      <c r="L47" s="27">
        <f t="shared" si="7"/>
        <v>2.9600990099009901E-4</v>
      </c>
      <c r="M47" s="29">
        <f t="shared" si="8"/>
        <v>4.7762865441819992E-3</v>
      </c>
      <c r="N47" s="33">
        <f t="shared" si="9"/>
        <v>1.2472340965058986E-6</v>
      </c>
      <c r="O47" s="21">
        <f t="shared" si="10"/>
        <v>2.032E-3</v>
      </c>
      <c r="P47" s="21">
        <v>7.0840480334740597E-11</v>
      </c>
      <c r="Q47" s="2">
        <v>0.31</v>
      </c>
      <c r="R47" s="27">
        <f t="shared" si="11"/>
        <v>131000</v>
      </c>
      <c r="S47" s="2">
        <f t="shared" si="12"/>
        <v>5.1940208761751296E-3</v>
      </c>
      <c r="T47" s="11">
        <v>0.08</v>
      </c>
      <c r="U47" s="30">
        <f t="shared" si="13"/>
        <v>108000</v>
      </c>
      <c r="V47" s="30">
        <f t="shared" si="1"/>
        <v>31.969069306930692</v>
      </c>
      <c r="W47" s="11">
        <f t="shared" si="14"/>
        <v>1716.4438911912619</v>
      </c>
      <c r="X47" s="9">
        <f t="shared" si="15"/>
        <v>5.0108150871692132E-14</v>
      </c>
      <c r="Y47" s="9">
        <f t="shared" si="16"/>
        <v>30175128454.933002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4" customFormat="1" x14ac:dyDescent="0.25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0">
        <v>312.37128712871288</v>
      </c>
      <c r="L48" s="27">
        <f t="shared" si="7"/>
        <v>3.1237128712871288E-4</v>
      </c>
      <c r="M48" s="29">
        <f t="shared" si="8"/>
        <v>4.7762865441819992E-3</v>
      </c>
      <c r="N48" s="33">
        <f t="shared" si="9"/>
        <v>1.3161725968395775E-6</v>
      </c>
      <c r="O48" s="21">
        <f t="shared" si="10"/>
        <v>2.032E-3</v>
      </c>
      <c r="P48" s="21">
        <v>7.0840480334740597E-11</v>
      </c>
      <c r="Q48" s="2">
        <v>0.31</v>
      </c>
      <c r="R48" s="27">
        <f t="shared" si="11"/>
        <v>131000</v>
      </c>
      <c r="S48" s="2">
        <f t="shared" si="12"/>
        <v>5.1940208761751296E-3</v>
      </c>
      <c r="T48" s="11">
        <v>0.08</v>
      </c>
      <c r="U48" s="30">
        <f t="shared" si="13"/>
        <v>108000</v>
      </c>
      <c r="V48" s="30">
        <f t="shared" si="1"/>
        <v>33.73609900990099</v>
      </c>
      <c r="W48" s="11">
        <f t="shared" si="14"/>
        <v>1897.6121173471172</v>
      </c>
      <c r="X48" s="9">
        <f t="shared" si="15"/>
        <v>5.2951986843559864E-14</v>
      </c>
      <c r="Y48" s="9">
        <f t="shared" si="16"/>
        <v>31887686477.191753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4" customFormat="1" x14ac:dyDescent="0.25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0">
        <v>300.44059405940595</v>
      </c>
      <c r="L49" s="27">
        <f t="shared" si="7"/>
        <v>3.0044059405940596E-4</v>
      </c>
      <c r="M49" s="29">
        <f t="shared" si="8"/>
        <v>4.7762865441819992E-3</v>
      </c>
      <c r="N49" s="33">
        <f t="shared" si="9"/>
        <v>1.265902767549361E-6</v>
      </c>
      <c r="O49" s="21">
        <f t="shared" si="10"/>
        <v>2.032E-3</v>
      </c>
      <c r="P49" s="21">
        <v>7.0840480334740597E-11</v>
      </c>
      <c r="Q49" s="2">
        <v>0.31</v>
      </c>
      <c r="R49" s="27">
        <f t="shared" si="11"/>
        <v>131000</v>
      </c>
      <c r="S49" s="2">
        <f t="shared" si="12"/>
        <v>5.1940208761751296E-3</v>
      </c>
      <c r="T49" s="11">
        <v>0.08</v>
      </c>
      <c r="U49" s="30">
        <f t="shared" si="13"/>
        <v>108000</v>
      </c>
      <c r="V49" s="30">
        <f t="shared" si="1"/>
        <v>32.447584158415843</v>
      </c>
      <c r="W49" s="11">
        <f t="shared" si="14"/>
        <v>1764.6419427117482</v>
      </c>
      <c r="X49" s="9">
        <f t="shared" si="15"/>
        <v>5.0877139977006841E-14</v>
      </c>
      <c r="Y49" s="9">
        <f t="shared" si="16"/>
        <v>30638213694.153522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4" customFormat="1" x14ac:dyDescent="0.25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0">
        <v>297.99009900990103</v>
      </c>
      <c r="L50" s="27">
        <f t="shared" si="7"/>
        <v>2.9799009900990101E-4</v>
      </c>
      <c r="M50" s="29">
        <f t="shared" si="8"/>
        <v>4.7762865441819992E-3</v>
      </c>
      <c r="N50" s="33">
        <f t="shared" si="9"/>
        <v>1.255577636637055E-6</v>
      </c>
      <c r="O50" s="21">
        <f t="shared" si="10"/>
        <v>2.032E-3</v>
      </c>
      <c r="P50" s="21">
        <v>7.0840480334740597E-11</v>
      </c>
      <c r="Q50" s="2">
        <v>0.31</v>
      </c>
      <c r="R50" s="27">
        <f t="shared" si="11"/>
        <v>131000</v>
      </c>
      <c r="S50" s="2">
        <f t="shared" si="12"/>
        <v>5.1940208761751296E-3</v>
      </c>
      <c r="T50" s="11">
        <v>0.08</v>
      </c>
      <c r="U50" s="30">
        <f t="shared" si="13"/>
        <v>108000</v>
      </c>
      <c r="V50" s="30">
        <f t="shared" si="1"/>
        <v>32.182930693069309</v>
      </c>
      <c r="W50" s="11">
        <f t="shared" si="14"/>
        <v>1737.9056671709411</v>
      </c>
      <c r="X50" s="9">
        <f t="shared" si="15"/>
        <v>5.0451731344841842E-14</v>
      </c>
      <c r="Y50" s="9">
        <f t="shared" si="16"/>
        <v>30382032615.863758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4" customFormat="1" x14ac:dyDescent="0.25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0">
        <v>294.94554455445547</v>
      </c>
      <c r="L51" s="27">
        <f t="shared" si="7"/>
        <v>2.9494554455445547E-4</v>
      </c>
      <c r="M51" s="29">
        <f t="shared" si="8"/>
        <v>4.7762865441819992E-3</v>
      </c>
      <c r="N51" s="33">
        <f t="shared" si="9"/>
        <v>1.2427494436854022E-6</v>
      </c>
      <c r="O51" s="21">
        <f t="shared" si="10"/>
        <v>2.032E-3</v>
      </c>
      <c r="P51" s="21">
        <v>7.0840480334740597E-11</v>
      </c>
      <c r="Q51" s="2">
        <v>0.31</v>
      </c>
      <c r="R51" s="27">
        <f t="shared" si="11"/>
        <v>131000</v>
      </c>
      <c r="S51" s="2">
        <f t="shared" si="12"/>
        <v>5.1940208761751296E-3</v>
      </c>
      <c r="T51" s="11">
        <v>0.08</v>
      </c>
      <c r="U51" s="30">
        <f t="shared" si="13"/>
        <v>108000</v>
      </c>
      <c r="V51" s="30">
        <f t="shared" si="1"/>
        <v>31.85411881188119</v>
      </c>
      <c r="W51" s="11">
        <f t="shared" si="14"/>
        <v>1704.9611289931188</v>
      </c>
      <c r="X51" s="9">
        <f t="shared" si="15"/>
        <v>4.9923543940435343E-14</v>
      </c>
      <c r="Y51" s="9">
        <f t="shared" si="16"/>
        <v>30063958160.930164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4" customFormat="1" x14ac:dyDescent="0.25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0">
        <v>309.02970297029702</v>
      </c>
      <c r="L52" s="27">
        <f t="shared" si="7"/>
        <v>3.0902970297029704E-4</v>
      </c>
      <c r="M52" s="29">
        <f t="shared" si="8"/>
        <v>4.7762865441819992E-3</v>
      </c>
      <c r="N52" s="33">
        <f t="shared" si="9"/>
        <v>1.3020928728682513E-6</v>
      </c>
      <c r="O52" s="21">
        <f t="shared" si="10"/>
        <v>2.032E-3</v>
      </c>
      <c r="P52" s="21">
        <v>7.0840480334740597E-11</v>
      </c>
      <c r="Q52" s="2">
        <v>0.31</v>
      </c>
      <c r="R52" s="27">
        <f t="shared" si="11"/>
        <v>131000</v>
      </c>
      <c r="S52" s="2">
        <f t="shared" si="12"/>
        <v>5.1940208761751296E-3</v>
      </c>
      <c r="T52" s="11">
        <v>0.08</v>
      </c>
      <c r="U52" s="30">
        <f t="shared" si="13"/>
        <v>108000</v>
      </c>
      <c r="V52" s="30">
        <f t="shared" si="1"/>
        <v>33.375207920792079</v>
      </c>
      <c r="W52" s="11">
        <f t="shared" si="14"/>
        <v>1859.9014126714205</v>
      </c>
      <c r="X52" s="9">
        <f t="shared" si="15"/>
        <v>5.2370236962635796E-14</v>
      </c>
      <c r="Y52" s="9">
        <f t="shared" si="16"/>
        <v>31537356698.899277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4" customFormat="1" x14ac:dyDescent="0.25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0">
        <v>305.34158415841586</v>
      </c>
      <c r="L53" s="27">
        <f t="shared" si="7"/>
        <v>3.0534158415841586E-4</v>
      </c>
      <c r="M53" s="29">
        <f t="shared" si="8"/>
        <v>4.7762865441819992E-3</v>
      </c>
      <c r="N53" s="33">
        <f t="shared" si="9"/>
        <v>1.2865530293739727E-6</v>
      </c>
      <c r="O53" s="21">
        <f t="shared" si="10"/>
        <v>2.032E-3</v>
      </c>
      <c r="P53" s="21">
        <v>7.0840480334740597E-11</v>
      </c>
      <c r="Q53" s="2">
        <v>0.31</v>
      </c>
      <c r="R53" s="27">
        <f t="shared" si="11"/>
        <v>131000</v>
      </c>
      <c r="S53" s="2">
        <f t="shared" si="12"/>
        <v>5.1940208761751296E-3</v>
      </c>
      <c r="T53" s="11">
        <v>0.08</v>
      </c>
      <c r="U53" s="30">
        <f t="shared" si="13"/>
        <v>108000</v>
      </c>
      <c r="V53" s="30">
        <f t="shared" si="1"/>
        <v>32.976891089108911</v>
      </c>
      <c r="W53" s="11">
        <f t="shared" si="14"/>
        <v>1818.7026232385822</v>
      </c>
      <c r="X53" s="9">
        <f t="shared" si="15"/>
        <v>5.172872101899846E-14</v>
      </c>
      <c r="Y53" s="9">
        <f t="shared" si="16"/>
        <v>31151035797.640873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4" customFormat="1" x14ac:dyDescent="0.25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0">
        <v>296.97524752475249</v>
      </c>
      <c r="L54" s="27">
        <f t="shared" si="7"/>
        <v>2.9697524752475248E-4</v>
      </c>
      <c r="M54" s="29">
        <f t="shared" si="8"/>
        <v>4.7762865441819992E-3</v>
      </c>
      <c r="N54" s="33">
        <f t="shared" si="9"/>
        <v>1.2513015723198373E-6</v>
      </c>
      <c r="O54" s="21">
        <f t="shared" si="10"/>
        <v>2.032E-3</v>
      </c>
      <c r="P54" s="21">
        <v>7.0840480334740597E-11</v>
      </c>
      <c r="Q54" s="2">
        <v>0.31</v>
      </c>
      <c r="R54" s="27">
        <f t="shared" si="11"/>
        <v>131000</v>
      </c>
      <c r="S54" s="2">
        <f t="shared" si="12"/>
        <v>5.1940208761751296E-3</v>
      </c>
      <c r="T54" s="11">
        <v>0.08</v>
      </c>
      <c r="U54" s="30">
        <f t="shared" si="13"/>
        <v>108000</v>
      </c>
      <c r="V54" s="30">
        <f t="shared" si="1"/>
        <v>32.073326732673266</v>
      </c>
      <c r="W54" s="11">
        <f t="shared" si="14"/>
        <v>1726.8905030761302</v>
      </c>
      <c r="X54" s="9">
        <f t="shared" si="15"/>
        <v>5.0275625876970585E-14</v>
      </c>
      <c r="Y54" s="9">
        <f t="shared" si="16"/>
        <v>30275981903.111687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4" customFormat="1" x14ac:dyDescent="0.25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0">
        <v>311.3564356435644</v>
      </c>
      <c r="L55" s="27">
        <f t="shared" si="7"/>
        <v>3.113564356435644E-4</v>
      </c>
      <c r="M55" s="29">
        <f t="shared" si="8"/>
        <v>4.7762865441819992E-3</v>
      </c>
      <c r="N55" s="33">
        <f t="shared" si="9"/>
        <v>1.3118965325223599E-6</v>
      </c>
      <c r="O55" s="21">
        <f t="shared" si="10"/>
        <v>2.032E-3</v>
      </c>
      <c r="P55" s="21">
        <v>7.0840480334740597E-11</v>
      </c>
      <c r="Q55" s="2">
        <v>0.31</v>
      </c>
      <c r="R55" s="27">
        <f t="shared" si="11"/>
        <v>131000</v>
      </c>
      <c r="S55" s="2">
        <f t="shared" si="12"/>
        <v>5.1940208761751296E-3</v>
      </c>
      <c r="T55" s="11">
        <v>0.08</v>
      </c>
      <c r="U55" s="30">
        <f t="shared" si="13"/>
        <v>108000</v>
      </c>
      <c r="V55" s="30">
        <f t="shared" si="1"/>
        <v>33.626495049504953</v>
      </c>
      <c r="W55" s="11">
        <f t="shared" si="14"/>
        <v>1886.1207556121124</v>
      </c>
      <c r="X55" s="9">
        <f t="shared" si="15"/>
        <v>5.2775255589720675E-14</v>
      </c>
      <c r="Y55" s="9">
        <f t="shared" si="16"/>
        <v>31781258916.129791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4" customFormat="1" x14ac:dyDescent="0.25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0">
        <v>305.41584158415844</v>
      </c>
      <c r="L56" s="27">
        <f t="shared" si="7"/>
        <v>3.0541584158415844E-4</v>
      </c>
      <c r="M56" s="29">
        <f t="shared" si="8"/>
        <v>4.7762865441819992E-3</v>
      </c>
      <c r="N56" s="33">
        <f t="shared" si="9"/>
        <v>1.2868659121288912E-6</v>
      </c>
      <c r="O56" s="21">
        <f t="shared" si="10"/>
        <v>2.032E-3</v>
      </c>
      <c r="P56" s="21">
        <v>7.0840480334740597E-11</v>
      </c>
      <c r="Q56" s="2">
        <v>0.31</v>
      </c>
      <c r="R56" s="27">
        <f t="shared" si="11"/>
        <v>131000</v>
      </c>
      <c r="S56" s="2">
        <f t="shared" si="12"/>
        <v>5.1940208761751296E-3</v>
      </c>
      <c r="T56" s="11">
        <v>0.08</v>
      </c>
      <c r="U56" s="30">
        <f t="shared" si="13"/>
        <v>108000</v>
      </c>
      <c r="V56" s="30">
        <f t="shared" si="1"/>
        <v>32.984910891089115</v>
      </c>
      <c r="W56" s="11">
        <f t="shared" si="14"/>
        <v>1819.527752579183</v>
      </c>
      <c r="X56" s="9">
        <f t="shared" si="15"/>
        <v>5.1741631658023779E-14</v>
      </c>
      <c r="Y56" s="9">
        <f t="shared" si="16"/>
        <v>31158810584.461922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4" customFormat="1" x14ac:dyDescent="0.25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301.5792079207921</v>
      </c>
      <c r="L57" s="27">
        <f t="shared" si="7"/>
        <v>3.0157920792079208E-4</v>
      </c>
      <c r="M57" s="29">
        <f t="shared" si="8"/>
        <v>4.7762865441819992E-3</v>
      </c>
      <c r="N57" s="33">
        <f t="shared" si="9"/>
        <v>1.2707003031247757E-6</v>
      </c>
      <c r="O57" s="21">
        <f t="shared" si="10"/>
        <v>2.032E-3</v>
      </c>
      <c r="P57" s="21">
        <v>7.0840480334740597E-11</v>
      </c>
      <c r="Q57" s="2">
        <v>0.31</v>
      </c>
      <c r="R57" s="27">
        <f t="shared" si="11"/>
        <v>131000</v>
      </c>
      <c r="S57" s="2">
        <f t="shared" si="12"/>
        <v>5.1940208761751296E-3</v>
      </c>
      <c r="T57" s="11">
        <v>0.08</v>
      </c>
      <c r="U57" s="30">
        <f t="shared" si="13"/>
        <v>108000</v>
      </c>
      <c r="V57" s="30">
        <f t="shared" si="1"/>
        <v>32.570554455445546</v>
      </c>
      <c r="W57" s="11">
        <f t="shared" si="14"/>
        <v>1777.1315810899634</v>
      </c>
      <c r="X57" s="9">
        <f t="shared" si="15"/>
        <v>5.1074890865263611E-14</v>
      </c>
      <c r="Y57" s="9">
        <f t="shared" si="16"/>
        <v>30757299279.061749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4" customFormat="1" x14ac:dyDescent="0.25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298.68316831683171</v>
      </c>
      <c r="L58" s="27">
        <f t="shared" si="7"/>
        <v>2.9868316831683172E-4</v>
      </c>
      <c r="M58" s="29">
        <f t="shared" si="8"/>
        <v>4.7762865441819992E-3</v>
      </c>
      <c r="N58" s="33">
        <f t="shared" si="9"/>
        <v>1.2584978756829596E-6</v>
      </c>
      <c r="O58" s="21">
        <f t="shared" si="10"/>
        <v>2.032E-3</v>
      </c>
      <c r="P58" s="21">
        <v>7.0840480334740597E-11</v>
      </c>
      <c r="Q58" s="2">
        <v>0.31</v>
      </c>
      <c r="R58" s="27">
        <f t="shared" si="11"/>
        <v>131000</v>
      </c>
      <c r="S58" s="2">
        <f t="shared" si="12"/>
        <v>5.1940208761751296E-3</v>
      </c>
      <c r="T58" s="11">
        <v>0.08</v>
      </c>
      <c r="U58" s="30">
        <f t="shared" si="13"/>
        <v>108000</v>
      </c>
      <c r="V58" s="30">
        <f t="shared" si="1"/>
        <v>32.257782178217823</v>
      </c>
      <c r="W58" s="11">
        <f t="shared" si="14"/>
        <v>1745.4475519981099</v>
      </c>
      <c r="X58" s="9">
        <f t="shared" si="15"/>
        <v>5.0572023306869556E-14</v>
      </c>
      <c r="Y58" s="9">
        <f t="shared" si="16"/>
        <v>30454472435.396847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4" customFormat="1" x14ac:dyDescent="0.25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304.15346534653469</v>
      </c>
      <c r="L59" s="27">
        <f t="shared" si="7"/>
        <v>3.0415346534653468E-4</v>
      </c>
      <c r="M59" s="29">
        <f t="shared" si="8"/>
        <v>4.7762865441819992E-3</v>
      </c>
      <c r="N59" s="33">
        <f t="shared" si="9"/>
        <v>1.281546905295279E-6</v>
      </c>
      <c r="O59" s="21">
        <f t="shared" si="10"/>
        <v>2.032E-3</v>
      </c>
      <c r="P59" s="21">
        <v>7.0840480334740597E-11</v>
      </c>
      <c r="Q59" s="2">
        <v>0.31</v>
      </c>
      <c r="R59" s="27">
        <f t="shared" si="11"/>
        <v>131000</v>
      </c>
      <c r="S59" s="2">
        <f t="shared" si="12"/>
        <v>5.1940208761751296E-3</v>
      </c>
      <c r="T59" s="11">
        <v>0.08</v>
      </c>
      <c r="U59" s="30">
        <f t="shared" si="13"/>
        <v>108000</v>
      </c>
      <c r="V59" s="30">
        <f t="shared" si="1"/>
        <v>32.848574257425746</v>
      </c>
      <c r="W59" s="11">
        <f t="shared" si="14"/>
        <v>1805.5250209383005</v>
      </c>
      <c r="X59" s="9">
        <f t="shared" si="15"/>
        <v>5.152218298019399E-14</v>
      </c>
      <c r="Y59" s="9">
        <f t="shared" si="16"/>
        <v>31026658590.672821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4" customFormat="1" x14ac:dyDescent="0.25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306.03465346534659</v>
      </c>
      <c r="L60" s="27">
        <f t="shared" si="7"/>
        <v>3.0603465346534662E-4</v>
      </c>
      <c r="M60" s="29">
        <f t="shared" si="8"/>
        <v>4.7762865441819992E-3</v>
      </c>
      <c r="N60" s="33">
        <f t="shared" si="9"/>
        <v>1.2894732684198777E-6</v>
      </c>
      <c r="O60" s="21">
        <f t="shared" si="10"/>
        <v>2.032E-3</v>
      </c>
      <c r="P60" s="21">
        <v>7.0840480334740597E-11</v>
      </c>
      <c r="Q60" s="2">
        <v>0.31</v>
      </c>
      <c r="R60" s="27">
        <f t="shared" si="11"/>
        <v>131000</v>
      </c>
      <c r="S60" s="2">
        <f t="shared" si="12"/>
        <v>5.1940208761751296E-3</v>
      </c>
      <c r="T60" s="11">
        <v>0.08</v>
      </c>
      <c r="U60" s="30">
        <f t="shared" si="13"/>
        <v>108000</v>
      </c>
      <c r="V60" s="30">
        <f t="shared" si="1"/>
        <v>33.051742574257432</v>
      </c>
      <c r="W60" s="11">
        <f t="shared" si="14"/>
        <v>1826.4108259917537</v>
      </c>
      <c r="X60" s="9">
        <f t="shared" si="15"/>
        <v>5.184922953886826E-14</v>
      </c>
      <c r="Y60" s="9">
        <f t="shared" si="16"/>
        <v>31223606028.306469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4" customFormat="1" x14ac:dyDescent="0.25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297.89108910891093</v>
      </c>
      <c r="L61" s="27">
        <f t="shared" si="7"/>
        <v>2.9789108910891095E-4</v>
      </c>
      <c r="M61" s="29">
        <f t="shared" si="8"/>
        <v>4.7762865441819992E-3</v>
      </c>
      <c r="N61" s="33">
        <f t="shared" si="9"/>
        <v>1.2551604596304973E-6</v>
      </c>
      <c r="O61" s="21">
        <f t="shared" si="10"/>
        <v>2.032E-3</v>
      </c>
      <c r="P61" s="21">
        <v>7.0840480334740597E-11</v>
      </c>
      <c r="Q61" s="2">
        <v>0.31</v>
      </c>
      <c r="R61" s="27">
        <f t="shared" si="11"/>
        <v>131000</v>
      </c>
      <c r="S61" s="2">
        <f t="shared" si="12"/>
        <v>5.1940208761751296E-3</v>
      </c>
      <c r="T61" s="11">
        <v>0.08</v>
      </c>
      <c r="U61" s="30">
        <f t="shared" si="13"/>
        <v>108000</v>
      </c>
      <c r="V61" s="30">
        <f t="shared" si="1"/>
        <v>32.172237623762385</v>
      </c>
      <c r="W61" s="11">
        <f t="shared" si="14"/>
        <v>1736.8295358935957</v>
      </c>
      <c r="X61" s="9">
        <f t="shared" si="15"/>
        <v>5.0434548424453597E-14</v>
      </c>
      <c r="Y61" s="9">
        <f t="shared" si="16"/>
        <v>30371685061.205959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4" customFormat="1" x14ac:dyDescent="0.25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304.25247524752479</v>
      </c>
      <c r="L62" s="27">
        <f t="shared" si="7"/>
        <v>3.0425247524752479E-4</v>
      </c>
      <c r="M62" s="29">
        <f t="shared" si="8"/>
        <v>4.7762865441819992E-3</v>
      </c>
      <c r="N62" s="33">
        <f t="shared" si="9"/>
        <v>1.2819640823018369E-6</v>
      </c>
      <c r="O62" s="21">
        <f t="shared" si="10"/>
        <v>2.032E-3</v>
      </c>
      <c r="P62" s="21">
        <v>7.0840480334740597E-11</v>
      </c>
      <c r="Q62" s="2">
        <v>0.31</v>
      </c>
      <c r="R62" s="27">
        <f t="shared" si="11"/>
        <v>131000</v>
      </c>
      <c r="S62" s="2">
        <f t="shared" si="12"/>
        <v>5.1940208761751296E-3</v>
      </c>
      <c r="T62" s="11">
        <v>0.08</v>
      </c>
      <c r="U62" s="30">
        <f t="shared" si="13"/>
        <v>108000</v>
      </c>
      <c r="V62" s="30">
        <f t="shared" si="1"/>
        <v>32.859267326732677</v>
      </c>
      <c r="W62" s="11">
        <f t="shared" si="14"/>
        <v>1806.6213952701792</v>
      </c>
      <c r="X62" s="9">
        <f t="shared" si="15"/>
        <v>5.1539392172368351E-14</v>
      </c>
      <c r="Y62" s="9">
        <f t="shared" si="16"/>
        <v>31037021966.200222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4" customFormat="1" x14ac:dyDescent="0.25">
      <c r="A63" s="26">
        <v>183</v>
      </c>
      <c r="B63" s="26">
        <f t="shared" si="2"/>
        <v>3.05</v>
      </c>
      <c r="C63" s="26">
        <v>20</v>
      </c>
      <c r="D63" s="26">
        <f t="shared" si="0"/>
        <v>29.146000000000001</v>
      </c>
      <c r="E63" s="26">
        <f t="shared" si="3"/>
        <v>4.8576666666666667E-7</v>
      </c>
      <c r="F63" s="26">
        <v>21.1</v>
      </c>
      <c r="G63" s="26">
        <f t="shared" si="4"/>
        <v>294.10000000000002</v>
      </c>
      <c r="H63" s="26">
        <v>101.3</v>
      </c>
      <c r="I63" s="26">
        <f t="shared" si="5"/>
        <v>101300</v>
      </c>
      <c r="J63" s="26">
        <f t="shared" si="6"/>
        <v>2.0124824921938581E-5</v>
      </c>
      <c r="K63" s="20">
        <v>293.03960396039605</v>
      </c>
      <c r="L63" s="27">
        <f t="shared" si="7"/>
        <v>2.9303960396039606E-4</v>
      </c>
      <c r="M63" s="29">
        <f t="shared" si="8"/>
        <v>4.7762865441819992E-3</v>
      </c>
      <c r="N63" s="33">
        <f t="shared" si="9"/>
        <v>1.2347187863091642E-6</v>
      </c>
      <c r="O63" s="21">
        <f t="shared" si="10"/>
        <v>2.032E-3</v>
      </c>
      <c r="P63" s="21">
        <v>7.0840480334740597E-11</v>
      </c>
      <c r="Q63" s="2">
        <v>0.31</v>
      </c>
      <c r="R63" s="27">
        <f t="shared" si="11"/>
        <v>131000</v>
      </c>
      <c r="S63" s="2">
        <f t="shared" si="12"/>
        <v>5.1940208761751296E-3</v>
      </c>
      <c r="T63" s="11">
        <v>0.08</v>
      </c>
      <c r="U63" s="30">
        <f t="shared" si="13"/>
        <v>108000</v>
      </c>
      <c r="V63" s="30">
        <f t="shared" si="1"/>
        <v>31.648277227722772</v>
      </c>
      <c r="W63" s="11">
        <f t="shared" si="14"/>
        <v>1684.4914923502508</v>
      </c>
      <c r="X63" s="9">
        <f t="shared" si="15"/>
        <v>4.9593086137197868E-14</v>
      </c>
      <c r="Y63" s="9">
        <f t="shared" si="16"/>
        <v>29864956471.820557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4" customFormat="1" x14ac:dyDescent="0.25">
      <c r="A64" s="26">
        <v>186</v>
      </c>
      <c r="B64" s="26">
        <f t="shared" si="2"/>
        <v>3.1</v>
      </c>
      <c r="C64" s="26">
        <v>20</v>
      </c>
      <c r="D64" s="26">
        <f t="shared" si="0"/>
        <v>29.146000000000001</v>
      </c>
      <c r="E64" s="26">
        <f t="shared" si="3"/>
        <v>4.8576666666666667E-7</v>
      </c>
      <c r="F64" s="26">
        <v>21.1</v>
      </c>
      <c r="G64" s="26">
        <f t="shared" si="4"/>
        <v>294.10000000000002</v>
      </c>
      <c r="H64" s="26">
        <v>101.3</v>
      </c>
      <c r="I64" s="26">
        <f t="shared" si="5"/>
        <v>101300</v>
      </c>
      <c r="J64" s="26">
        <f t="shared" si="6"/>
        <v>2.0124824921938581E-5</v>
      </c>
      <c r="K64" s="20">
        <v>301.20792079207922</v>
      </c>
      <c r="L64" s="27">
        <f t="shared" si="7"/>
        <v>3.012079207920792E-4</v>
      </c>
      <c r="M64" s="29">
        <f t="shared" si="8"/>
        <v>4.7762865441819992E-3</v>
      </c>
      <c r="N64" s="33">
        <f t="shared" si="9"/>
        <v>1.2691358893501839E-6</v>
      </c>
      <c r="O64" s="21">
        <f t="shared" si="10"/>
        <v>2.032E-3</v>
      </c>
      <c r="P64" s="21">
        <v>7.0840480334740597E-11</v>
      </c>
      <c r="Q64" s="2">
        <v>0.31</v>
      </c>
      <c r="R64" s="27">
        <f t="shared" si="11"/>
        <v>131000</v>
      </c>
      <c r="S64" s="2">
        <f t="shared" si="12"/>
        <v>5.1940208761751296E-3</v>
      </c>
      <c r="T64" s="11">
        <v>0.08</v>
      </c>
      <c r="U64" s="30">
        <f t="shared" si="13"/>
        <v>108000</v>
      </c>
      <c r="V64" s="30">
        <f t="shared" si="1"/>
        <v>32.530455445544554</v>
      </c>
      <c r="W64" s="11">
        <f t="shared" si="14"/>
        <v>1773.0542222312479</v>
      </c>
      <c r="X64" s="9">
        <f t="shared" si="15"/>
        <v>5.1010400844140118E-14</v>
      </c>
      <c r="Y64" s="9">
        <f t="shared" si="16"/>
        <v>30718463388.341179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4" customFormat="1" x14ac:dyDescent="0.25">
      <c r="A65" s="26">
        <v>189</v>
      </c>
      <c r="B65" s="26">
        <f t="shared" si="2"/>
        <v>3.15</v>
      </c>
      <c r="C65" s="26">
        <v>20</v>
      </c>
      <c r="D65" s="26">
        <f t="shared" si="0"/>
        <v>29.146000000000001</v>
      </c>
      <c r="E65" s="26">
        <f t="shared" si="3"/>
        <v>4.8576666666666667E-7</v>
      </c>
      <c r="F65" s="26">
        <v>21.1</v>
      </c>
      <c r="G65" s="26">
        <f t="shared" si="4"/>
        <v>294.10000000000002</v>
      </c>
      <c r="H65" s="26">
        <v>101.3</v>
      </c>
      <c r="I65" s="26">
        <f t="shared" si="5"/>
        <v>101300</v>
      </c>
      <c r="J65" s="26">
        <f t="shared" si="6"/>
        <v>2.0124824921938581E-5</v>
      </c>
      <c r="K65" s="20">
        <v>299.79702970297035</v>
      </c>
      <c r="L65" s="27">
        <f t="shared" si="7"/>
        <v>2.9979702970297037E-4</v>
      </c>
      <c r="M65" s="29">
        <f t="shared" si="8"/>
        <v>4.7762865441819992E-3</v>
      </c>
      <c r="N65" s="33">
        <f t="shared" si="9"/>
        <v>1.2631911170067353E-6</v>
      </c>
      <c r="O65" s="21">
        <f t="shared" si="10"/>
        <v>2.032E-3</v>
      </c>
      <c r="P65" s="21">
        <v>7.0840480334740597E-11</v>
      </c>
      <c r="Q65" s="2">
        <v>0.31</v>
      </c>
      <c r="R65" s="27">
        <f t="shared" si="11"/>
        <v>131000</v>
      </c>
      <c r="S65" s="2">
        <f t="shared" si="12"/>
        <v>5.1940208761751296E-3</v>
      </c>
      <c r="T65" s="11">
        <v>0.08</v>
      </c>
      <c r="U65" s="30">
        <f t="shared" si="13"/>
        <v>108000</v>
      </c>
      <c r="V65" s="30">
        <f t="shared" si="1"/>
        <v>32.378079207920798</v>
      </c>
      <c r="W65" s="11">
        <f t="shared" si="14"/>
        <v>1757.6013062151146</v>
      </c>
      <c r="X65" s="9">
        <f t="shared" si="15"/>
        <v>5.0765391997072838E-14</v>
      </c>
      <c r="Y65" s="9">
        <f t="shared" si="16"/>
        <v>30570919060.637264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4" customFormat="1" x14ac:dyDescent="0.25">
      <c r="A66" s="26">
        <v>192</v>
      </c>
      <c r="B66" s="26">
        <f t="shared" si="2"/>
        <v>3.2</v>
      </c>
      <c r="C66" s="26">
        <v>20</v>
      </c>
      <c r="D66" s="26">
        <f t="shared" ref="D66:D97" si="17">(C66*1.4573)</f>
        <v>29.146000000000001</v>
      </c>
      <c r="E66" s="26">
        <f t="shared" si="3"/>
        <v>4.8576666666666667E-7</v>
      </c>
      <c r="F66" s="26">
        <v>21.1</v>
      </c>
      <c r="G66" s="26">
        <f t="shared" si="4"/>
        <v>294.10000000000002</v>
      </c>
      <c r="H66" s="26">
        <v>101.3</v>
      </c>
      <c r="I66" s="26">
        <f t="shared" si="5"/>
        <v>101300</v>
      </c>
      <c r="J66" s="26">
        <f t="shared" si="6"/>
        <v>2.0124824921938581E-5</v>
      </c>
      <c r="K66" s="20">
        <v>290.88613861386142</v>
      </c>
      <c r="L66" s="27">
        <f t="shared" si="7"/>
        <v>2.908861386138614E-4</v>
      </c>
      <c r="M66" s="29">
        <f t="shared" si="8"/>
        <v>4.7762865441819992E-3</v>
      </c>
      <c r="N66" s="33">
        <f t="shared" si="9"/>
        <v>1.2256451864165316E-6</v>
      </c>
      <c r="O66" s="21">
        <f t="shared" si="10"/>
        <v>2.032E-3</v>
      </c>
      <c r="P66" s="21">
        <v>7.0840480334740597E-11</v>
      </c>
      <c r="Q66" s="2">
        <v>0.31</v>
      </c>
      <c r="R66" s="27">
        <f t="shared" si="11"/>
        <v>131000</v>
      </c>
      <c r="S66" s="2">
        <f t="shared" si="12"/>
        <v>5.1940208761751296E-3</v>
      </c>
      <c r="T66" s="11">
        <v>0.08</v>
      </c>
      <c r="U66" s="30">
        <f t="shared" si="13"/>
        <v>108000</v>
      </c>
      <c r="V66" s="30">
        <f t="shared" ref="V66:V97" si="18">(L66*U66)</f>
        <v>31.41570297029703</v>
      </c>
      <c r="W66" s="11">
        <f t="shared" si="14"/>
        <v>1661.5063691486528</v>
      </c>
      <c r="X66" s="9">
        <f t="shared" si="15"/>
        <v>4.9219891977406826E-14</v>
      </c>
      <c r="Y66" s="9">
        <f t="shared" si="16"/>
        <v>29640218948.794392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4" customFormat="1" x14ac:dyDescent="0.25">
      <c r="A67" s="26">
        <v>195</v>
      </c>
      <c r="B67" s="26">
        <f t="shared" ref="B67:B97" si="19">(A67/60)</f>
        <v>3.25</v>
      </c>
      <c r="C67" s="26">
        <v>20</v>
      </c>
      <c r="D67" s="26">
        <f t="shared" si="17"/>
        <v>29.146000000000001</v>
      </c>
      <c r="E67" s="26">
        <f t="shared" ref="E67:E97" si="20">(D67/(1000000*60))</f>
        <v>4.8576666666666667E-7</v>
      </c>
      <c r="F67" s="26">
        <v>21.1</v>
      </c>
      <c r="G67" s="26">
        <f t="shared" ref="G67:G97" si="21">(273+F67)</f>
        <v>294.10000000000002</v>
      </c>
      <c r="H67" s="26">
        <v>101.3</v>
      </c>
      <c r="I67" s="26">
        <f t="shared" ref="I67:I97" si="22">(H67*1000)</f>
        <v>101300</v>
      </c>
      <c r="J67" s="26">
        <f t="shared" ref="J67:J97" si="23">((I67*E67)/(8.314*G67))</f>
        <v>2.0124824921938581E-5</v>
      </c>
      <c r="K67" s="20">
        <v>306.72772277227722</v>
      </c>
      <c r="L67" s="27">
        <f t="shared" ref="L67:L97" si="24">(K67/1000000)</f>
        <v>3.0672772277227722E-4</v>
      </c>
      <c r="M67" s="29">
        <f t="shared" ref="M67:M97" si="25">(3.142*3.07*3.07*25.4*25.4)/(4*1000000)</f>
        <v>4.7762865441819992E-3</v>
      </c>
      <c r="N67" s="33">
        <f t="shared" ref="N67:N97" si="26">(L67*J67)/M67</f>
        <v>1.2923935074657821E-6</v>
      </c>
      <c r="O67" s="21">
        <f t="shared" ref="O67:O97" si="27">(2.032/1000)</f>
        <v>2.032E-3</v>
      </c>
      <c r="P67" s="21">
        <v>7.0840480334740597E-11</v>
      </c>
      <c r="Q67" s="2">
        <v>0.31</v>
      </c>
      <c r="R67" s="27">
        <f t="shared" ref="R67:R97" si="28">(1+Q67)*100000*1</f>
        <v>131000</v>
      </c>
      <c r="S67" s="2">
        <f t="shared" ref="S67:S97" si="29">(5.19402087617513/1000)</f>
        <v>5.1940208761751296E-3</v>
      </c>
      <c r="T67" s="11">
        <v>0.08</v>
      </c>
      <c r="U67" s="30">
        <f t="shared" ref="U67:U97" si="30">(1+T67)*100000</f>
        <v>108000</v>
      </c>
      <c r="V67" s="30">
        <f t="shared" si="18"/>
        <v>33.126594059405939</v>
      </c>
      <c r="W67" s="11">
        <f t="shared" ref="W67:W97" si="31">((N67*O67/P67) + SQRT(V67))^2</f>
        <v>1834.1346976615632</v>
      </c>
      <c r="X67" s="9">
        <f t="shared" ref="X67:X97" si="32">(N67*S67)/(R67-W67)</f>
        <v>5.1969758746229238E-14</v>
      </c>
      <c r="Y67" s="9">
        <f t="shared" ref="Y67:Y97" si="33">(X67*6.022E+23)</f>
        <v>31296188716.979248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4" customFormat="1" x14ac:dyDescent="0.25">
      <c r="A68" s="26">
        <v>198</v>
      </c>
      <c r="B68" s="26">
        <f t="shared" si="19"/>
        <v>3.3</v>
      </c>
      <c r="C68" s="26">
        <v>20</v>
      </c>
      <c r="D68" s="26">
        <f t="shared" si="17"/>
        <v>29.146000000000001</v>
      </c>
      <c r="E68" s="26">
        <f t="shared" si="20"/>
        <v>4.8576666666666667E-7</v>
      </c>
      <c r="F68" s="26">
        <v>21.1</v>
      </c>
      <c r="G68" s="26">
        <f t="shared" si="21"/>
        <v>294.10000000000002</v>
      </c>
      <c r="H68" s="26">
        <v>101.3</v>
      </c>
      <c r="I68" s="26">
        <f t="shared" si="22"/>
        <v>101300</v>
      </c>
      <c r="J68" s="26">
        <f t="shared" si="23"/>
        <v>2.0124824921938581E-5</v>
      </c>
      <c r="K68" s="20">
        <v>302.89108910891093</v>
      </c>
      <c r="L68" s="27">
        <f t="shared" si="24"/>
        <v>3.0289108910891091E-4</v>
      </c>
      <c r="M68" s="29">
        <f t="shared" si="25"/>
        <v>4.7762865441819992E-3</v>
      </c>
      <c r="N68" s="33">
        <f t="shared" si="26"/>
        <v>1.2762278984616668E-6</v>
      </c>
      <c r="O68" s="21">
        <f t="shared" si="27"/>
        <v>2.032E-3</v>
      </c>
      <c r="P68" s="21">
        <v>7.0840480334740597E-11</v>
      </c>
      <c r="Q68" s="2">
        <v>0.31</v>
      </c>
      <c r="R68" s="27">
        <f t="shared" si="28"/>
        <v>131000</v>
      </c>
      <c r="S68" s="2">
        <f t="shared" si="29"/>
        <v>5.1940208761751296E-3</v>
      </c>
      <c r="T68" s="11">
        <v>0.08</v>
      </c>
      <c r="U68" s="30">
        <f t="shared" si="30"/>
        <v>108000</v>
      </c>
      <c r="V68" s="30">
        <f t="shared" si="18"/>
        <v>32.712237623762377</v>
      </c>
      <c r="W68" s="11">
        <f t="shared" si="31"/>
        <v>1791.5742892892306</v>
      </c>
      <c r="X68" s="9">
        <f t="shared" si="32"/>
        <v>5.1302802513888366E-14</v>
      </c>
      <c r="Y68" s="9">
        <f t="shared" si="33"/>
        <v>30894547673.863575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4" customFormat="1" x14ac:dyDescent="0.25">
      <c r="A69" s="26">
        <v>201</v>
      </c>
      <c r="B69" s="26">
        <f t="shared" si="19"/>
        <v>3.35</v>
      </c>
      <c r="C69" s="26">
        <v>20</v>
      </c>
      <c r="D69" s="26">
        <f t="shared" si="17"/>
        <v>29.146000000000001</v>
      </c>
      <c r="E69" s="26">
        <f t="shared" si="20"/>
        <v>4.8576666666666667E-7</v>
      </c>
      <c r="F69" s="26">
        <v>21.1</v>
      </c>
      <c r="G69" s="26">
        <f t="shared" si="21"/>
        <v>294.10000000000002</v>
      </c>
      <c r="H69" s="26">
        <v>101.3</v>
      </c>
      <c r="I69" s="26">
        <f t="shared" si="22"/>
        <v>101300</v>
      </c>
      <c r="J69" s="26">
        <f t="shared" si="23"/>
        <v>2.0124824921938581E-5</v>
      </c>
      <c r="K69" s="20">
        <v>301.33168316831683</v>
      </c>
      <c r="L69" s="27">
        <f t="shared" si="24"/>
        <v>3.0133168316831684E-4</v>
      </c>
      <c r="M69" s="29">
        <f t="shared" si="25"/>
        <v>4.7762865441819992E-3</v>
      </c>
      <c r="N69" s="33">
        <f t="shared" si="26"/>
        <v>1.2696573606083812E-6</v>
      </c>
      <c r="O69" s="21">
        <f t="shared" si="27"/>
        <v>2.032E-3</v>
      </c>
      <c r="P69" s="21">
        <v>7.0840480334740597E-11</v>
      </c>
      <c r="Q69" s="2">
        <v>0.31</v>
      </c>
      <c r="R69" s="27">
        <f t="shared" si="28"/>
        <v>131000</v>
      </c>
      <c r="S69" s="2">
        <f t="shared" si="29"/>
        <v>5.1940208761751296E-3</v>
      </c>
      <c r="T69" s="11">
        <v>0.08</v>
      </c>
      <c r="U69" s="30">
        <f t="shared" si="30"/>
        <v>108000</v>
      </c>
      <c r="V69" s="30">
        <f t="shared" si="18"/>
        <v>32.54382178217822</v>
      </c>
      <c r="W69" s="11">
        <f t="shared" si="31"/>
        <v>1774.4128418023565</v>
      </c>
      <c r="X69" s="9">
        <f t="shared" si="32"/>
        <v>5.1031896868197016E-14</v>
      </c>
      <c r="Y69" s="9">
        <f t="shared" si="33"/>
        <v>30731408294.028244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4" customFormat="1" x14ac:dyDescent="0.25">
      <c r="A70" s="26">
        <v>204</v>
      </c>
      <c r="B70" s="26">
        <f t="shared" si="19"/>
        <v>3.4</v>
      </c>
      <c r="C70" s="26">
        <v>20</v>
      </c>
      <c r="D70" s="26">
        <f t="shared" si="17"/>
        <v>29.146000000000001</v>
      </c>
      <c r="E70" s="26">
        <f t="shared" si="20"/>
        <v>4.8576666666666667E-7</v>
      </c>
      <c r="F70" s="26">
        <v>21.1</v>
      </c>
      <c r="G70" s="26">
        <f t="shared" si="21"/>
        <v>294.10000000000002</v>
      </c>
      <c r="H70" s="26">
        <v>101.3</v>
      </c>
      <c r="I70" s="26">
        <f t="shared" si="22"/>
        <v>101300</v>
      </c>
      <c r="J70" s="26">
        <f t="shared" si="23"/>
        <v>2.0124824921938581E-5</v>
      </c>
      <c r="K70" s="20">
        <v>292.61881188118809</v>
      </c>
      <c r="L70" s="27">
        <f t="shared" si="24"/>
        <v>2.9261881188118812E-4</v>
      </c>
      <c r="M70" s="29">
        <f t="shared" si="25"/>
        <v>4.7762865441819992E-3</v>
      </c>
      <c r="N70" s="33">
        <f t="shared" si="26"/>
        <v>1.2329457840312934E-6</v>
      </c>
      <c r="O70" s="21">
        <f t="shared" si="27"/>
        <v>2.032E-3</v>
      </c>
      <c r="P70" s="21">
        <v>7.0840480334740597E-11</v>
      </c>
      <c r="Q70" s="2">
        <v>0.31</v>
      </c>
      <c r="R70" s="27">
        <f t="shared" si="28"/>
        <v>131000</v>
      </c>
      <c r="S70" s="2">
        <f t="shared" si="29"/>
        <v>5.1940208761751296E-3</v>
      </c>
      <c r="T70" s="11">
        <v>0.08</v>
      </c>
      <c r="U70" s="30">
        <f t="shared" si="30"/>
        <v>108000</v>
      </c>
      <c r="V70" s="30">
        <f t="shared" si="18"/>
        <v>31.602831683168315</v>
      </c>
      <c r="W70" s="11">
        <f t="shared" si="31"/>
        <v>1679.9882257566835</v>
      </c>
      <c r="X70" s="9">
        <f t="shared" si="32"/>
        <v>4.9520148147141799E-14</v>
      </c>
      <c r="Y70" s="9">
        <f t="shared" si="33"/>
        <v>29821033214.208794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4" customFormat="1" x14ac:dyDescent="0.25">
      <c r="A71" s="26">
        <v>207</v>
      </c>
      <c r="B71" s="26">
        <f t="shared" si="19"/>
        <v>3.45</v>
      </c>
      <c r="C71" s="26">
        <v>20</v>
      </c>
      <c r="D71" s="26">
        <f t="shared" si="17"/>
        <v>29.146000000000001</v>
      </c>
      <c r="E71" s="26">
        <f t="shared" si="20"/>
        <v>4.8576666666666667E-7</v>
      </c>
      <c r="F71" s="26">
        <v>21.1</v>
      </c>
      <c r="G71" s="26">
        <f t="shared" si="21"/>
        <v>294.10000000000002</v>
      </c>
      <c r="H71" s="26">
        <v>101.3</v>
      </c>
      <c r="I71" s="26">
        <f t="shared" si="22"/>
        <v>101300</v>
      </c>
      <c r="J71" s="26">
        <f t="shared" si="23"/>
        <v>2.0124824921938581E-5</v>
      </c>
      <c r="K71" s="20">
        <v>293.41089108910893</v>
      </c>
      <c r="L71" s="27">
        <f t="shared" si="24"/>
        <v>2.9341089108910894E-4</v>
      </c>
      <c r="M71" s="29">
        <f t="shared" si="25"/>
        <v>4.7762865441819992E-3</v>
      </c>
      <c r="N71" s="33">
        <f t="shared" si="26"/>
        <v>1.2362832000837561E-6</v>
      </c>
      <c r="O71" s="21">
        <f t="shared" si="27"/>
        <v>2.032E-3</v>
      </c>
      <c r="P71" s="21">
        <v>7.0840480334740597E-11</v>
      </c>
      <c r="Q71" s="2">
        <v>0.31</v>
      </c>
      <c r="R71" s="27">
        <f t="shared" si="28"/>
        <v>131000</v>
      </c>
      <c r="S71" s="2">
        <f t="shared" si="29"/>
        <v>5.1940208761751296E-3</v>
      </c>
      <c r="T71" s="11">
        <v>0.08</v>
      </c>
      <c r="U71" s="30">
        <f t="shared" si="30"/>
        <v>108000</v>
      </c>
      <c r="V71" s="30">
        <f t="shared" si="18"/>
        <v>31.688376237623764</v>
      </c>
      <c r="W71" s="11">
        <f t="shared" si="31"/>
        <v>1688.4697704787907</v>
      </c>
      <c r="X71" s="9">
        <f t="shared" si="32"/>
        <v>4.9657449252222022E-14</v>
      </c>
      <c r="Y71" s="9">
        <f t="shared" si="33"/>
        <v>29903715939.688103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4" customFormat="1" x14ac:dyDescent="0.25">
      <c r="A72" s="26">
        <v>210</v>
      </c>
      <c r="B72" s="26">
        <f t="shared" si="19"/>
        <v>3.5</v>
      </c>
      <c r="C72" s="26">
        <v>20</v>
      </c>
      <c r="D72" s="26">
        <f t="shared" si="17"/>
        <v>29.146000000000001</v>
      </c>
      <c r="E72" s="26">
        <f t="shared" si="20"/>
        <v>4.8576666666666667E-7</v>
      </c>
      <c r="F72" s="26">
        <v>21.1</v>
      </c>
      <c r="G72" s="26">
        <f t="shared" si="21"/>
        <v>294.10000000000002</v>
      </c>
      <c r="H72" s="26">
        <v>101.3</v>
      </c>
      <c r="I72" s="26">
        <f t="shared" si="22"/>
        <v>101300</v>
      </c>
      <c r="J72" s="26">
        <f t="shared" si="23"/>
        <v>2.0124824921938581E-5</v>
      </c>
      <c r="K72" s="20">
        <v>295.91089108910893</v>
      </c>
      <c r="L72" s="27">
        <f t="shared" si="24"/>
        <v>2.9591089108910895E-4</v>
      </c>
      <c r="M72" s="29">
        <f t="shared" si="25"/>
        <v>4.7762865441819992E-3</v>
      </c>
      <c r="N72" s="33">
        <f t="shared" si="26"/>
        <v>1.2468169194993409E-6</v>
      </c>
      <c r="O72" s="21">
        <f t="shared" si="27"/>
        <v>2.032E-3</v>
      </c>
      <c r="P72" s="21">
        <v>7.0840480334740597E-11</v>
      </c>
      <c r="Q72" s="2">
        <v>0.31</v>
      </c>
      <c r="R72" s="27">
        <f t="shared" si="28"/>
        <v>131000</v>
      </c>
      <c r="S72" s="2">
        <f t="shared" si="29"/>
        <v>5.1940208761751296E-3</v>
      </c>
      <c r="T72" s="11">
        <v>0.08</v>
      </c>
      <c r="U72" s="30">
        <f t="shared" si="30"/>
        <v>108000</v>
      </c>
      <c r="V72" s="30">
        <f t="shared" si="18"/>
        <v>31.958376237623767</v>
      </c>
      <c r="W72" s="11">
        <f t="shared" si="31"/>
        <v>1715.3741655270385</v>
      </c>
      <c r="X72" s="9">
        <f t="shared" si="32"/>
        <v>5.0090976145449447E-14</v>
      </c>
      <c r="Y72" s="9">
        <f t="shared" si="33"/>
        <v>30164785834.789658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4" customFormat="1" x14ac:dyDescent="0.25">
      <c r="A73" s="26">
        <v>213</v>
      </c>
      <c r="B73" s="26">
        <f t="shared" si="19"/>
        <v>3.55</v>
      </c>
      <c r="C73" s="26">
        <v>20</v>
      </c>
      <c r="D73" s="26">
        <f t="shared" si="17"/>
        <v>29.146000000000001</v>
      </c>
      <c r="E73" s="26">
        <f t="shared" si="20"/>
        <v>4.8576666666666667E-7</v>
      </c>
      <c r="F73" s="26">
        <v>21.1</v>
      </c>
      <c r="G73" s="26">
        <f t="shared" si="21"/>
        <v>294.10000000000002</v>
      </c>
      <c r="H73" s="26">
        <v>101.3</v>
      </c>
      <c r="I73" s="26">
        <f t="shared" si="22"/>
        <v>101300</v>
      </c>
      <c r="J73" s="26">
        <f t="shared" si="23"/>
        <v>2.0124824921938581E-5</v>
      </c>
      <c r="K73" s="20">
        <v>295.31683168316835</v>
      </c>
      <c r="L73" s="27">
        <f t="shared" si="24"/>
        <v>2.9531683168316835E-4</v>
      </c>
      <c r="M73" s="29">
        <f t="shared" si="25"/>
        <v>4.7762865441819992E-3</v>
      </c>
      <c r="N73" s="33">
        <f t="shared" si="26"/>
        <v>1.244313857459994E-6</v>
      </c>
      <c r="O73" s="21">
        <f t="shared" si="27"/>
        <v>2.032E-3</v>
      </c>
      <c r="P73" s="21">
        <v>7.0840480334740597E-11</v>
      </c>
      <c r="Q73" s="2">
        <v>0.31</v>
      </c>
      <c r="R73" s="27">
        <f t="shared" si="28"/>
        <v>131000</v>
      </c>
      <c r="S73" s="2">
        <f t="shared" si="29"/>
        <v>5.1940208761751296E-3</v>
      </c>
      <c r="T73" s="11">
        <v>0.08</v>
      </c>
      <c r="U73" s="30">
        <f t="shared" si="30"/>
        <v>108000</v>
      </c>
      <c r="V73" s="30">
        <f t="shared" si="18"/>
        <v>31.894217821782181</v>
      </c>
      <c r="W73" s="11">
        <f t="shared" si="31"/>
        <v>1708.9625388825989</v>
      </c>
      <c r="X73" s="9">
        <f t="shared" si="32"/>
        <v>4.9987936357188515E-14</v>
      </c>
      <c r="Y73" s="9">
        <f t="shared" si="33"/>
        <v>30102735274.298923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4" customFormat="1" x14ac:dyDescent="0.25">
      <c r="A74" s="26">
        <v>216</v>
      </c>
      <c r="B74" s="26">
        <f t="shared" si="19"/>
        <v>3.6</v>
      </c>
      <c r="C74" s="26">
        <v>20</v>
      </c>
      <c r="D74" s="26">
        <f t="shared" si="17"/>
        <v>29.146000000000001</v>
      </c>
      <c r="E74" s="26">
        <f t="shared" si="20"/>
        <v>4.8576666666666667E-7</v>
      </c>
      <c r="F74" s="26">
        <v>21.1</v>
      </c>
      <c r="G74" s="26">
        <f t="shared" si="21"/>
        <v>294.10000000000002</v>
      </c>
      <c r="H74" s="26">
        <v>101.3</v>
      </c>
      <c r="I74" s="26">
        <f t="shared" si="22"/>
        <v>101300</v>
      </c>
      <c r="J74" s="26">
        <f t="shared" si="23"/>
        <v>2.0124824921938581E-5</v>
      </c>
      <c r="K74" s="20">
        <v>298.73267326732679</v>
      </c>
      <c r="L74" s="27">
        <f t="shared" si="24"/>
        <v>2.9873267326732678E-4</v>
      </c>
      <c r="M74" s="29">
        <f t="shared" si="25"/>
        <v>4.7762865441819992E-3</v>
      </c>
      <c r="N74" s="33">
        <f t="shared" si="26"/>
        <v>1.2587064641862387E-6</v>
      </c>
      <c r="O74" s="21">
        <f t="shared" si="27"/>
        <v>2.032E-3</v>
      </c>
      <c r="P74" s="21">
        <v>7.0840480334740597E-11</v>
      </c>
      <c r="Q74" s="2">
        <v>0.31</v>
      </c>
      <c r="R74" s="27">
        <f t="shared" si="28"/>
        <v>131000</v>
      </c>
      <c r="S74" s="2">
        <f t="shared" si="29"/>
        <v>5.1940208761751296E-3</v>
      </c>
      <c r="T74" s="11">
        <v>0.08</v>
      </c>
      <c r="U74" s="30">
        <f t="shared" si="30"/>
        <v>108000</v>
      </c>
      <c r="V74" s="30">
        <f t="shared" si="18"/>
        <v>32.263128712871293</v>
      </c>
      <c r="W74" s="11">
        <f t="shared" si="31"/>
        <v>1745.9868584215187</v>
      </c>
      <c r="X74" s="9">
        <f t="shared" si="32"/>
        <v>5.058061636197539E-14</v>
      </c>
      <c r="Y74" s="9">
        <f t="shared" si="33"/>
        <v>30459647173.18158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4" customFormat="1" x14ac:dyDescent="0.25">
      <c r="A75" s="26">
        <v>219</v>
      </c>
      <c r="B75" s="26">
        <f t="shared" si="19"/>
        <v>3.65</v>
      </c>
      <c r="C75" s="26">
        <v>20</v>
      </c>
      <c r="D75" s="26">
        <f t="shared" si="17"/>
        <v>29.146000000000001</v>
      </c>
      <c r="E75" s="26">
        <f t="shared" si="20"/>
        <v>4.8576666666666667E-7</v>
      </c>
      <c r="F75" s="26">
        <v>21.1</v>
      </c>
      <c r="G75" s="26">
        <f t="shared" si="21"/>
        <v>294.10000000000002</v>
      </c>
      <c r="H75" s="26">
        <v>101.3</v>
      </c>
      <c r="I75" s="26">
        <f t="shared" si="22"/>
        <v>101300</v>
      </c>
      <c r="J75" s="26">
        <f t="shared" si="23"/>
        <v>2.0124824921938581E-5</v>
      </c>
      <c r="K75" s="20">
        <v>300.41584158415844</v>
      </c>
      <c r="L75" s="27">
        <f t="shared" si="24"/>
        <v>3.0041584158415843E-4</v>
      </c>
      <c r="M75" s="29">
        <f t="shared" si="25"/>
        <v>4.7762865441819992E-3</v>
      </c>
      <c r="N75" s="33">
        <f t="shared" si="26"/>
        <v>1.2657984732977214E-6</v>
      </c>
      <c r="O75" s="21">
        <f t="shared" si="27"/>
        <v>2.032E-3</v>
      </c>
      <c r="P75" s="21">
        <v>7.0840480334740597E-11</v>
      </c>
      <c r="Q75" s="2">
        <v>0.31</v>
      </c>
      <c r="R75" s="27">
        <f t="shared" si="28"/>
        <v>131000</v>
      </c>
      <c r="S75" s="2">
        <f t="shared" si="29"/>
        <v>5.1940208761751296E-3</v>
      </c>
      <c r="T75" s="11">
        <v>0.08</v>
      </c>
      <c r="U75" s="30">
        <f t="shared" si="30"/>
        <v>108000</v>
      </c>
      <c r="V75" s="30">
        <f t="shared" si="18"/>
        <v>32.444910891089108</v>
      </c>
      <c r="W75" s="11">
        <f t="shared" si="31"/>
        <v>1764.3708989255902</v>
      </c>
      <c r="X75" s="9">
        <f t="shared" si="32"/>
        <v>5.0872841654192972E-14</v>
      </c>
      <c r="Y75" s="9">
        <f t="shared" si="33"/>
        <v>30635625244.15501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4" customFormat="1" x14ac:dyDescent="0.25">
      <c r="A76" s="26">
        <v>222</v>
      </c>
      <c r="B76" s="26">
        <f t="shared" si="19"/>
        <v>3.7</v>
      </c>
      <c r="C76" s="26">
        <v>20</v>
      </c>
      <c r="D76" s="26">
        <f t="shared" si="17"/>
        <v>29.146000000000001</v>
      </c>
      <c r="E76" s="26">
        <f t="shared" si="20"/>
        <v>4.8576666666666667E-7</v>
      </c>
      <c r="F76" s="26">
        <v>21.1</v>
      </c>
      <c r="G76" s="26">
        <f t="shared" si="21"/>
        <v>294.10000000000002</v>
      </c>
      <c r="H76" s="26">
        <v>101.3</v>
      </c>
      <c r="I76" s="26">
        <f t="shared" si="22"/>
        <v>101300</v>
      </c>
      <c r="J76" s="26">
        <f t="shared" si="23"/>
        <v>2.0124824921938581E-5</v>
      </c>
      <c r="K76" s="20">
        <v>291.43069306930693</v>
      </c>
      <c r="L76" s="27">
        <f t="shared" si="24"/>
        <v>2.9143069306930693E-4</v>
      </c>
      <c r="M76" s="29">
        <f t="shared" si="25"/>
        <v>4.7762865441819992E-3</v>
      </c>
      <c r="N76" s="33">
        <f t="shared" si="26"/>
        <v>1.2279396599525996E-6</v>
      </c>
      <c r="O76" s="21">
        <f t="shared" si="27"/>
        <v>2.032E-3</v>
      </c>
      <c r="P76" s="21">
        <v>7.0840480334740597E-11</v>
      </c>
      <c r="Q76" s="2">
        <v>0.31</v>
      </c>
      <c r="R76" s="27">
        <f t="shared" si="28"/>
        <v>131000</v>
      </c>
      <c r="S76" s="2">
        <f t="shared" si="29"/>
        <v>5.1940208761751296E-3</v>
      </c>
      <c r="T76" s="11">
        <v>0.08</v>
      </c>
      <c r="U76" s="30">
        <f t="shared" si="30"/>
        <v>108000</v>
      </c>
      <c r="V76" s="30">
        <f t="shared" si="18"/>
        <v>31.47451485148515</v>
      </c>
      <c r="W76" s="11">
        <f t="shared" si="31"/>
        <v>1667.3043732663537</v>
      </c>
      <c r="X76" s="9">
        <f t="shared" si="32"/>
        <v>4.9314244921365745E-14</v>
      </c>
      <c r="Y76" s="9">
        <f t="shared" si="33"/>
        <v>29697038291.646454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4" customFormat="1" x14ac:dyDescent="0.25">
      <c r="A77" s="26">
        <v>225</v>
      </c>
      <c r="B77" s="26">
        <f t="shared" si="19"/>
        <v>3.75</v>
      </c>
      <c r="C77" s="26">
        <v>20</v>
      </c>
      <c r="D77" s="26">
        <f t="shared" si="17"/>
        <v>29.146000000000001</v>
      </c>
      <c r="E77" s="26">
        <f t="shared" si="20"/>
        <v>4.8576666666666667E-7</v>
      </c>
      <c r="F77" s="26">
        <v>21.1</v>
      </c>
      <c r="G77" s="26">
        <f t="shared" si="21"/>
        <v>294.10000000000002</v>
      </c>
      <c r="H77" s="26">
        <v>101.3</v>
      </c>
      <c r="I77" s="26">
        <f t="shared" si="22"/>
        <v>101300</v>
      </c>
      <c r="J77" s="26">
        <f t="shared" si="23"/>
        <v>2.0124824921938581E-5</v>
      </c>
      <c r="K77" s="20">
        <v>297.17326732673268</v>
      </c>
      <c r="L77" s="27">
        <f t="shared" si="24"/>
        <v>2.9717326732673266E-4</v>
      </c>
      <c r="M77" s="29">
        <f t="shared" si="25"/>
        <v>4.7762865441819992E-3</v>
      </c>
      <c r="N77" s="33">
        <f t="shared" si="26"/>
        <v>1.2521359263329527E-6</v>
      </c>
      <c r="O77" s="21">
        <f t="shared" si="27"/>
        <v>2.032E-3</v>
      </c>
      <c r="P77" s="21">
        <v>7.0840480334740597E-11</v>
      </c>
      <c r="Q77" s="2">
        <v>0.31</v>
      </c>
      <c r="R77" s="27">
        <f t="shared" si="28"/>
        <v>131000</v>
      </c>
      <c r="S77" s="2">
        <f t="shared" si="29"/>
        <v>5.1940208761751296E-3</v>
      </c>
      <c r="T77" s="11">
        <v>0.08</v>
      </c>
      <c r="U77" s="30">
        <f t="shared" si="30"/>
        <v>108000</v>
      </c>
      <c r="V77" s="30">
        <f t="shared" si="18"/>
        <v>32.094712871287129</v>
      </c>
      <c r="W77" s="11">
        <f t="shared" si="31"/>
        <v>1729.0371612740098</v>
      </c>
      <c r="X77" s="9">
        <f t="shared" si="32"/>
        <v>5.0309984534546505E-14</v>
      </c>
      <c r="Y77" s="9">
        <f t="shared" si="33"/>
        <v>30296672686.703907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4" customFormat="1" x14ac:dyDescent="0.25">
      <c r="A78" s="26">
        <v>228</v>
      </c>
      <c r="B78" s="26">
        <f t="shared" si="19"/>
        <v>3.8</v>
      </c>
      <c r="C78" s="26">
        <v>20</v>
      </c>
      <c r="D78" s="26">
        <f t="shared" si="17"/>
        <v>29.146000000000001</v>
      </c>
      <c r="E78" s="26">
        <f t="shared" si="20"/>
        <v>4.8576666666666667E-7</v>
      </c>
      <c r="F78" s="26">
        <v>21.1</v>
      </c>
      <c r="G78" s="26">
        <f t="shared" si="21"/>
        <v>294.10000000000002</v>
      </c>
      <c r="H78" s="26">
        <v>101.3</v>
      </c>
      <c r="I78" s="26">
        <f t="shared" si="22"/>
        <v>101300</v>
      </c>
      <c r="J78" s="26">
        <f t="shared" si="23"/>
        <v>2.0124824921938581E-5</v>
      </c>
      <c r="K78" s="20">
        <v>293.60891089108912</v>
      </c>
      <c r="L78" s="27">
        <f t="shared" si="24"/>
        <v>2.9360891089108912E-4</v>
      </c>
      <c r="M78" s="29">
        <f t="shared" si="25"/>
        <v>4.7762865441819992E-3</v>
      </c>
      <c r="N78" s="33">
        <f t="shared" si="26"/>
        <v>1.2371175540968715E-6</v>
      </c>
      <c r="O78" s="21">
        <f t="shared" si="27"/>
        <v>2.032E-3</v>
      </c>
      <c r="P78" s="21">
        <v>7.0840480334740597E-11</v>
      </c>
      <c r="Q78" s="2">
        <v>0.31</v>
      </c>
      <c r="R78" s="27">
        <f t="shared" si="28"/>
        <v>131000</v>
      </c>
      <c r="S78" s="2">
        <f t="shared" si="29"/>
        <v>5.1940208761751296E-3</v>
      </c>
      <c r="T78" s="11">
        <v>0.08</v>
      </c>
      <c r="U78" s="30">
        <f t="shared" si="30"/>
        <v>108000</v>
      </c>
      <c r="V78" s="30">
        <f t="shared" si="18"/>
        <v>31.709762376237624</v>
      </c>
      <c r="W78" s="11">
        <f t="shared" si="31"/>
        <v>1690.5933616187874</v>
      </c>
      <c r="X78" s="9">
        <f t="shared" si="32"/>
        <v>4.9691778574402911E-14</v>
      </c>
      <c r="Y78" s="9">
        <f t="shared" si="33"/>
        <v>29924389057.505436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</row>
    <row r="79" spans="1:76" s="4" customFormat="1" x14ac:dyDescent="0.25">
      <c r="A79" s="26">
        <v>231</v>
      </c>
      <c r="B79" s="26">
        <f t="shared" si="19"/>
        <v>3.85</v>
      </c>
      <c r="C79" s="26">
        <v>20</v>
      </c>
      <c r="D79" s="26">
        <f t="shared" si="17"/>
        <v>29.146000000000001</v>
      </c>
      <c r="E79" s="26">
        <f t="shared" si="20"/>
        <v>4.8576666666666667E-7</v>
      </c>
      <c r="F79" s="26">
        <v>21.1</v>
      </c>
      <c r="G79" s="26">
        <f t="shared" si="21"/>
        <v>294.10000000000002</v>
      </c>
      <c r="H79" s="26">
        <v>101.3</v>
      </c>
      <c r="I79" s="26">
        <f t="shared" si="22"/>
        <v>101300</v>
      </c>
      <c r="J79" s="26">
        <f t="shared" si="23"/>
        <v>2.0124824921938581E-5</v>
      </c>
      <c r="K79" s="20">
        <v>292.99009900990103</v>
      </c>
      <c r="L79" s="27">
        <f t="shared" si="24"/>
        <v>2.9299009900990105E-4</v>
      </c>
      <c r="M79" s="29">
        <f t="shared" si="25"/>
        <v>4.7762865441819992E-3</v>
      </c>
      <c r="N79" s="33">
        <f t="shared" si="26"/>
        <v>1.2345101978058856E-6</v>
      </c>
      <c r="O79" s="21">
        <f t="shared" si="27"/>
        <v>2.032E-3</v>
      </c>
      <c r="P79" s="21">
        <v>7.0840480334740597E-11</v>
      </c>
      <c r="Q79" s="2">
        <v>0.31</v>
      </c>
      <c r="R79" s="27">
        <f t="shared" si="28"/>
        <v>131000</v>
      </c>
      <c r="S79" s="2">
        <f t="shared" si="29"/>
        <v>5.1940208761751296E-3</v>
      </c>
      <c r="T79" s="11">
        <v>0.08</v>
      </c>
      <c r="U79" s="30">
        <f t="shared" si="30"/>
        <v>108000</v>
      </c>
      <c r="V79" s="30">
        <f t="shared" si="18"/>
        <v>31.642930693069314</v>
      </c>
      <c r="W79" s="11">
        <f t="shared" si="31"/>
        <v>1683.9613957974639</v>
      </c>
      <c r="X79" s="9">
        <f t="shared" si="32"/>
        <v>4.9584504818310123E-14</v>
      </c>
      <c r="Y79" s="9">
        <f t="shared" si="33"/>
        <v>29859788801.586357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4" customFormat="1" x14ac:dyDescent="0.25">
      <c r="A80" s="26">
        <v>234</v>
      </c>
      <c r="B80" s="26">
        <f t="shared" si="19"/>
        <v>3.9</v>
      </c>
      <c r="C80" s="26">
        <v>20</v>
      </c>
      <c r="D80" s="26">
        <f t="shared" si="17"/>
        <v>29.146000000000001</v>
      </c>
      <c r="E80" s="26">
        <f t="shared" si="20"/>
        <v>4.8576666666666667E-7</v>
      </c>
      <c r="F80" s="26">
        <v>21.1</v>
      </c>
      <c r="G80" s="26">
        <f t="shared" si="21"/>
        <v>294.10000000000002</v>
      </c>
      <c r="H80" s="26">
        <v>101.3</v>
      </c>
      <c r="I80" s="26">
        <f t="shared" si="22"/>
        <v>101300</v>
      </c>
      <c r="J80" s="26">
        <f t="shared" si="23"/>
        <v>2.0124824921938581E-5</v>
      </c>
      <c r="K80" s="20">
        <v>291.6782178217822</v>
      </c>
      <c r="L80" s="27">
        <f t="shared" si="24"/>
        <v>2.9167821782178217E-4</v>
      </c>
      <c r="M80" s="29">
        <f t="shared" si="25"/>
        <v>4.7762865441819992E-3</v>
      </c>
      <c r="N80" s="33">
        <f t="shared" si="26"/>
        <v>1.2289826024689941E-6</v>
      </c>
      <c r="O80" s="21">
        <f t="shared" si="27"/>
        <v>2.032E-3</v>
      </c>
      <c r="P80" s="21">
        <v>7.0840480334740597E-11</v>
      </c>
      <c r="Q80" s="2">
        <v>0.31</v>
      </c>
      <c r="R80" s="27">
        <f t="shared" si="28"/>
        <v>131000</v>
      </c>
      <c r="S80" s="2">
        <f t="shared" si="29"/>
        <v>5.1940208761751296E-3</v>
      </c>
      <c r="T80" s="11">
        <v>0.08</v>
      </c>
      <c r="U80" s="30">
        <f t="shared" si="30"/>
        <v>108000</v>
      </c>
      <c r="V80" s="30">
        <f t="shared" si="18"/>
        <v>31.501247524752475</v>
      </c>
      <c r="W80" s="11">
        <f t="shared" si="31"/>
        <v>1669.9430357423666</v>
      </c>
      <c r="X80" s="9">
        <f t="shared" si="32"/>
        <v>4.9357136643372363E-14</v>
      </c>
      <c r="Y80" s="9">
        <f t="shared" si="33"/>
        <v>29722867686.63884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4" customFormat="1" x14ac:dyDescent="0.25">
      <c r="A81" s="26">
        <v>237</v>
      </c>
      <c r="B81" s="26">
        <f t="shared" si="19"/>
        <v>3.95</v>
      </c>
      <c r="C81" s="26">
        <v>20</v>
      </c>
      <c r="D81" s="26">
        <f t="shared" si="17"/>
        <v>29.146000000000001</v>
      </c>
      <c r="E81" s="26">
        <f t="shared" si="20"/>
        <v>4.8576666666666667E-7</v>
      </c>
      <c r="F81" s="26">
        <v>21.1</v>
      </c>
      <c r="G81" s="26">
        <f t="shared" si="21"/>
        <v>294.10000000000002</v>
      </c>
      <c r="H81" s="26">
        <v>101.3</v>
      </c>
      <c r="I81" s="26">
        <f t="shared" si="22"/>
        <v>101300</v>
      </c>
      <c r="J81" s="26">
        <f t="shared" si="23"/>
        <v>2.0124824921938581E-5</v>
      </c>
      <c r="K81" s="20">
        <v>303.46039603960401</v>
      </c>
      <c r="L81" s="27">
        <f t="shared" si="24"/>
        <v>3.0346039603960402E-4</v>
      </c>
      <c r="M81" s="29">
        <f t="shared" si="25"/>
        <v>4.7762865441819992E-3</v>
      </c>
      <c r="N81" s="33">
        <f t="shared" si="26"/>
        <v>1.2786266662493744E-6</v>
      </c>
      <c r="O81" s="21">
        <f t="shared" si="27"/>
        <v>2.032E-3</v>
      </c>
      <c r="P81" s="21">
        <v>7.0840480334740597E-11</v>
      </c>
      <c r="Q81" s="2">
        <v>0.31</v>
      </c>
      <c r="R81" s="27">
        <f t="shared" si="28"/>
        <v>131000</v>
      </c>
      <c r="S81" s="2">
        <f t="shared" si="29"/>
        <v>5.1940208761751296E-3</v>
      </c>
      <c r="T81" s="11">
        <v>0.08</v>
      </c>
      <c r="U81" s="30">
        <f t="shared" si="30"/>
        <v>108000</v>
      </c>
      <c r="V81" s="30">
        <f t="shared" si="18"/>
        <v>32.773722772277232</v>
      </c>
      <c r="W81" s="11">
        <f t="shared" si="31"/>
        <v>1797.8593574734043</v>
      </c>
      <c r="X81" s="9">
        <f t="shared" si="32"/>
        <v>5.1401730376187904E-14</v>
      </c>
      <c r="Y81" s="9">
        <f t="shared" si="33"/>
        <v>30954122032.540356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4" customFormat="1" x14ac:dyDescent="0.25">
      <c r="A82" s="26">
        <v>240</v>
      </c>
      <c r="B82" s="26">
        <f t="shared" si="19"/>
        <v>4</v>
      </c>
      <c r="C82" s="26">
        <v>20</v>
      </c>
      <c r="D82" s="26">
        <f t="shared" si="17"/>
        <v>29.146000000000001</v>
      </c>
      <c r="E82" s="26">
        <f t="shared" si="20"/>
        <v>4.8576666666666667E-7</v>
      </c>
      <c r="F82" s="26">
        <v>21.1</v>
      </c>
      <c r="G82" s="26">
        <f t="shared" si="21"/>
        <v>294.10000000000002</v>
      </c>
      <c r="H82" s="26">
        <v>101.3</v>
      </c>
      <c r="I82" s="26">
        <f t="shared" si="22"/>
        <v>101300</v>
      </c>
      <c r="J82" s="26">
        <f t="shared" si="23"/>
        <v>2.0124824921938581E-5</v>
      </c>
      <c r="K82" s="20">
        <v>298.53465346534654</v>
      </c>
      <c r="L82" s="27">
        <f t="shared" si="24"/>
        <v>2.9853465346534654E-4</v>
      </c>
      <c r="M82" s="29">
        <f t="shared" si="25"/>
        <v>4.7762865441819992E-3</v>
      </c>
      <c r="N82" s="33">
        <f t="shared" si="26"/>
        <v>1.2578721101731231E-6</v>
      </c>
      <c r="O82" s="21">
        <f t="shared" si="27"/>
        <v>2.032E-3</v>
      </c>
      <c r="P82" s="21">
        <v>7.0840480334740597E-11</v>
      </c>
      <c r="Q82" s="2">
        <v>0.31</v>
      </c>
      <c r="R82" s="27">
        <f t="shared" si="28"/>
        <v>131000</v>
      </c>
      <c r="S82" s="2">
        <f t="shared" si="29"/>
        <v>5.1940208761751296E-3</v>
      </c>
      <c r="T82" s="11">
        <v>0.08</v>
      </c>
      <c r="U82" s="30">
        <f t="shared" si="30"/>
        <v>108000</v>
      </c>
      <c r="V82" s="30">
        <f t="shared" si="18"/>
        <v>32.24174257425743</v>
      </c>
      <c r="W82" s="11">
        <f t="shared" si="31"/>
        <v>1743.8301130039258</v>
      </c>
      <c r="X82" s="9">
        <f t="shared" si="32"/>
        <v>5.0546244759608672E-14</v>
      </c>
      <c r="Y82" s="9">
        <f t="shared" si="33"/>
        <v>30438948594.236343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s="4" customFormat="1" x14ac:dyDescent="0.25">
      <c r="A83" s="26">
        <v>243</v>
      </c>
      <c r="B83" s="26">
        <f t="shared" si="19"/>
        <v>4.05</v>
      </c>
      <c r="C83" s="26">
        <v>20</v>
      </c>
      <c r="D83" s="26">
        <f t="shared" si="17"/>
        <v>29.146000000000001</v>
      </c>
      <c r="E83" s="26">
        <f t="shared" si="20"/>
        <v>4.8576666666666667E-7</v>
      </c>
      <c r="F83" s="26">
        <v>21.1</v>
      </c>
      <c r="G83" s="26">
        <f t="shared" si="21"/>
        <v>294.10000000000002</v>
      </c>
      <c r="H83" s="26">
        <v>101.3</v>
      </c>
      <c r="I83" s="26">
        <f t="shared" si="22"/>
        <v>101300</v>
      </c>
      <c r="J83" s="26">
        <f t="shared" si="23"/>
        <v>2.0124824921938581E-5</v>
      </c>
      <c r="K83" s="20">
        <v>297.47029702970303</v>
      </c>
      <c r="L83" s="27">
        <f t="shared" si="24"/>
        <v>2.9747029702970301E-4</v>
      </c>
      <c r="M83" s="29">
        <f t="shared" si="25"/>
        <v>4.7762865441819992E-3</v>
      </c>
      <c r="N83" s="33">
        <f t="shared" si="26"/>
        <v>1.2533874573526267E-6</v>
      </c>
      <c r="O83" s="21">
        <f t="shared" si="27"/>
        <v>2.032E-3</v>
      </c>
      <c r="P83" s="21">
        <v>7.0840480334740597E-11</v>
      </c>
      <c r="Q83" s="2">
        <v>0.31</v>
      </c>
      <c r="R83" s="27">
        <f t="shared" si="28"/>
        <v>131000</v>
      </c>
      <c r="S83" s="2">
        <f t="shared" si="29"/>
        <v>5.1940208761751296E-3</v>
      </c>
      <c r="T83" s="11">
        <v>0.08</v>
      </c>
      <c r="U83" s="30">
        <f t="shared" si="30"/>
        <v>108000</v>
      </c>
      <c r="V83" s="30">
        <f t="shared" si="18"/>
        <v>32.126792079207924</v>
      </c>
      <c r="W83" s="11">
        <f t="shared" si="31"/>
        <v>1732.2595505660049</v>
      </c>
      <c r="X83" s="9">
        <f t="shared" si="32"/>
        <v>5.0361525596343108E-14</v>
      </c>
      <c r="Y83" s="9">
        <f t="shared" si="33"/>
        <v>30327710714.117821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s="4" customFormat="1" x14ac:dyDescent="0.25">
      <c r="A84" s="26">
        <v>246</v>
      </c>
      <c r="B84" s="26">
        <f t="shared" si="19"/>
        <v>4.0999999999999996</v>
      </c>
      <c r="C84" s="26">
        <v>20</v>
      </c>
      <c r="D84" s="26">
        <f t="shared" si="17"/>
        <v>29.146000000000001</v>
      </c>
      <c r="E84" s="26">
        <f t="shared" si="20"/>
        <v>4.8576666666666667E-7</v>
      </c>
      <c r="F84" s="26">
        <v>21.1</v>
      </c>
      <c r="G84" s="26">
        <f t="shared" si="21"/>
        <v>294.10000000000002</v>
      </c>
      <c r="H84" s="26">
        <v>101.3</v>
      </c>
      <c r="I84" s="26">
        <f t="shared" si="22"/>
        <v>101300</v>
      </c>
      <c r="J84" s="26">
        <f t="shared" si="23"/>
        <v>2.0124824921938581E-5</v>
      </c>
      <c r="K84" s="20">
        <v>292.12376237623766</v>
      </c>
      <c r="L84" s="27">
        <f t="shared" si="24"/>
        <v>2.9212376237623764E-4</v>
      </c>
      <c r="M84" s="29">
        <f t="shared" si="25"/>
        <v>4.7762865441819992E-3</v>
      </c>
      <c r="N84" s="33">
        <f t="shared" si="26"/>
        <v>1.2308598989985044E-6</v>
      </c>
      <c r="O84" s="21">
        <f t="shared" si="27"/>
        <v>2.032E-3</v>
      </c>
      <c r="P84" s="21">
        <v>7.0840480334740597E-11</v>
      </c>
      <c r="Q84" s="2">
        <v>0.31</v>
      </c>
      <c r="R84" s="27">
        <f t="shared" si="28"/>
        <v>131000</v>
      </c>
      <c r="S84" s="2">
        <f t="shared" si="29"/>
        <v>5.1940208761751296E-3</v>
      </c>
      <c r="T84" s="11">
        <v>0.08</v>
      </c>
      <c r="U84" s="30">
        <f t="shared" si="30"/>
        <v>108000</v>
      </c>
      <c r="V84" s="30">
        <f t="shared" si="18"/>
        <v>31.549366336633664</v>
      </c>
      <c r="W84" s="11">
        <f t="shared" si="31"/>
        <v>1674.6976773607303</v>
      </c>
      <c r="X84" s="9">
        <f t="shared" si="32"/>
        <v>4.9434348083684205E-14</v>
      </c>
      <c r="Y84" s="9">
        <f t="shared" si="33"/>
        <v>29769364415.994629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s="4" customFormat="1" x14ac:dyDescent="0.25">
      <c r="A85" s="26">
        <v>249</v>
      </c>
      <c r="B85" s="26">
        <f t="shared" si="19"/>
        <v>4.1500000000000004</v>
      </c>
      <c r="C85" s="26">
        <v>20</v>
      </c>
      <c r="D85" s="26">
        <f t="shared" si="17"/>
        <v>29.146000000000001</v>
      </c>
      <c r="E85" s="26">
        <f t="shared" si="20"/>
        <v>4.8576666666666667E-7</v>
      </c>
      <c r="F85" s="26">
        <v>21.1</v>
      </c>
      <c r="G85" s="26">
        <f t="shared" si="21"/>
        <v>294.10000000000002</v>
      </c>
      <c r="H85" s="26">
        <v>101.3</v>
      </c>
      <c r="I85" s="26">
        <f t="shared" si="22"/>
        <v>101300</v>
      </c>
      <c r="J85" s="26">
        <f t="shared" si="23"/>
        <v>2.0124824921938581E-5</v>
      </c>
      <c r="K85" s="20">
        <v>280.49009900990103</v>
      </c>
      <c r="L85" s="27">
        <f t="shared" si="24"/>
        <v>2.8049009900990102E-4</v>
      </c>
      <c r="M85" s="29">
        <f t="shared" si="25"/>
        <v>4.7762865441819992E-3</v>
      </c>
      <c r="N85" s="33">
        <f t="shared" si="26"/>
        <v>1.1818416007279613E-6</v>
      </c>
      <c r="O85" s="21">
        <f t="shared" si="27"/>
        <v>2.032E-3</v>
      </c>
      <c r="P85" s="21">
        <v>7.0840480334740597E-11</v>
      </c>
      <c r="Q85" s="2">
        <v>0.31</v>
      </c>
      <c r="R85" s="27">
        <f t="shared" si="28"/>
        <v>131000</v>
      </c>
      <c r="S85" s="2">
        <f t="shared" si="29"/>
        <v>5.1940208761751296E-3</v>
      </c>
      <c r="T85" s="11">
        <v>0.08</v>
      </c>
      <c r="U85" s="30">
        <f t="shared" si="30"/>
        <v>108000</v>
      </c>
      <c r="V85" s="30">
        <f t="shared" si="18"/>
        <v>30.292930693069309</v>
      </c>
      <c r="W85" s="11">
        <f t="shared" si="31"/>
        <v>1552.6784031478148</v>
      </c>
      <c r="X85" s="9">
        <f t="shared" si="32"/>
        <v>4.7420911230831797E-14</v>
      </c>
      <c r="Y85" s="9">
        <f t="shared" si="33"/>
        <v>28556872743.206909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s="4" customFormat="1" x14ac:dyDescent="0.25">
      <c r="A86" s="26">
        <v>252</v>
      </c>
      <c r="B86" s="26">
        <f t="shared" si="19"/>
        <v>4.2</v>
      </c>
      <c r="C86" s="26">
        <v>20</v>
      </c>
      <c r="D86" s="26">
        <f t="shared" si="17"/>
        <v>29.146000000000001</v>
      </c>
      <c r="E86" s="26">
        <f t="shared" si="20"/>
        <v>4.8576666666666667E-7</v>
      </c>
      <c r="F86" s="26">
        <v>21.1</v>
      </c>
      <c r="G86" s="26">
        <f t="shared" si="21"/>
        <v>294.10000000000002</v>
      </c>
      <c r="H86" s="26">
        <v>101.3</v>
      </c>
      <c r="I86" s="26">
        <f t="shared" si="22"/>
        <v>101300</v>
      </c>
      <c r="J86" s="26">
        <f t="shared" si="23"/>
        <v>2.0124824921938581E-5</v>
      </c>
      <c r="K86" s="20">
        <v>296.97524752475249</v>
      </c>
      <c r="L86" s="27">
        <f t="shared" si="24"/>
        <v>2.9697524752475248E-4</v>
      </c>
      <c r="M86" s="29">
        <f t="shared" si="25"/>
        <v>4.7762865441819992E-3</v>
      </c>
      <c r="N86" s="33">
        <f t="shared" si="26"/>
        <v>1.2513015723198373E-6</v>
      </c>
      <c r="O86" s="21">
        <f t="shared" si="27"/>
        <v>2.032E-3</v>
      </c>
      <c r="P86" s="21">
        <v>7.0840480334740597E-11</v>
      </c>
      <c r="Q86" s="2">
        <v>0.31</v>
      </c>
      <c r="R86" s="27">
        <f t="shared" si="28"/>
        <v>131000</v>
      </c>
      <c r="S86" s="2">
        <f t="shared" si="29"/>
        <v>5.1940208761751296E-3</v>
      </c>
      <c r="T86" s="11">
        <v>0.08</v>
      </c>
      <c r="U86" s="30">
        <f t="shared" si="30"/>
        <v>108000</v>
      </c>
      <c r="V86" s="30">
        <f t="shared" si="18"/>
        <v>32.073326732673266</v>
      </c>
      <c r="W86" s="11">
        <f t="shared" si="31"/>
        <v>1726.8905030761302</v>
      </c>
      <c r="X86" s="9">
        <f t="shared" si="32"/>
        <v>5.0275625876970585E-14</v>
      </c>
      <c r="Y86" s="9">
        <f t="shared" si="33"/>
        <v>30275981903.111687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s="4" customFormat="1" x14ac:dyDescent="0.25">
      <c r="A87" s="26">
        <v>255</v>
      </c>
      <c r="B87" s="26">
        <f t="shared" si="19"/>
        <v>4.25</v>
      </c>
      <c r="C87" s="26">
        <v>20</v>
      </c>
      <c r="D87" s="26">
        <f t="shared" si="17"/>
        <v>29.146000000000001</v>
      </c>
      <c r="E87" s="26">
        <f t="shared" si="20"/>
        <v>4.8576666666666667E-7</v>
      </c>
      <c r="F87" s="26">
        <v>21.1</v>
      </c>
      <c r="G87" s="26">
        <f t="shared" si="21"/>
        <v>294.10000000000002</v>
      </c>
      <c r="H87" s="26">
        <v>101.3</v>
      </c>
      <c r="I87" s="26">
        <f t="shared" si="22"/>
        <v>101300</v>
      </c>
      <c r="J87" s="26">
        <f t="shared" si="23"/>
        <v>2.0124824921938581E-5</v>
      </c>
      <c r="K87" s="20">
        <v>282.19801980198019</v>
      </c>
      <c r="L87" s="27">
        <f t="shared" si="24"/>
        <v>2.821980198019802E-4</v>
      </c>
      <c r="M87" s="29">
        <f t="shared" si="25"/>
        <v>4.7762865441819992E-3</v>
      </c>
      <c r="N87" s="33">
        <f t="shared" si="26"/>
        <v>1.1890379040910834E-6</v>
      </c>
      <c r="O87" s="21">
        <f t="shared" si="27"/>
        <v>2.032E-3</v>
      </c>
      <c r="P87" s="21">
        <v>7.0840480334740597E-11</v>
      </c>
      <c r="Q87" s="2">
        <v>0.31</v>
      </c>
      <c r="R87" s="27">
        <f t="shared" si="28"/>
        <v>131000</v>
      </c>
      <c r="S87" s="2">
        <f t="shared" si="29"/>
        <v>5.1940208761751296E-3</v>
      </c>
      <c r="T87" s="11">
        <v>0.08</v>
      </c>
      <c r="U87" s="30">
        <f t="shared" si="30"/>
        <v>108000</v>
      </c>
      <c r="V87" s="30">
        <f t="shared" si="18"/>
        <v>30.477386138613863</v>
      </c>
      <c r="W87" s="11">
        <f t="shared" si="31"/>
        <v>1570.3143261383898</v>
      </c>
      <c r="X87" s="9">
        <f t="shared" si="32"/>
        <v>4.7716160819355467E-14</v>
      </c>
      <c r="Y87" s="9">
        <f t="shared" si="33"/>
        <v>28734672045.415863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s="4" customFormat="1" x14ac:dyDescent="0.25">
      <c r="A88" s="26">
        <v>258</v>
      </c>
      <c r="B88" s="26">
        <f t="shared" si="19"/>
        <v>4.3</v>
      </c>
      <c r="C88" s="26">
        <v>20</v>
      </c>
      <c r="D88" s="26">
        <f t="shared" si="17"/>
        <v>29.146000000000001</v>
      </c>
      <c r="E88" s="26">
        <f t="shared" si="20"/>
        <v>4.8576666666666667E-7</v>
      </c>
      <c r="F88" s="26">
        <v>21.1</v>
      </c>
      <c r="G88" s="26">
        <f t="shared" si="21"/>
        <v>294.10000000000002</v>
      </c>
      <c r="H88" s="26">
        <v>101.3</v>
      </c>
      <c r="I88" s="26">
        <f t="shared" si="22"/>
        <v>101300</v>
      </c>
      <c r="J88" s="26">
        <f t="shared" si="23"/>
        <v>2.0124824921938581E-5</v>
      </c>
      <c r="K88" s="20">
        <v>285.58910891089113</v>
      </c>
      <c r="L88" s="27">
        <f t="shared" si="24"/>
        <v>2.8558910891089115E-4</v>
      </c>
      <c r="M88" s="29">
        <f t="shared" si="25"/>
        <v>4.7762865441819992E-3</v>
      </c>
      <c r="N88" s="33">
        <f t="shared" si="26"/>
        <v>1.2033262165656888E-6</v>
      </c>
      <c r="O88" s="21">
        <f t="shared" si="27"/>
        <v>2.032E-3</v>
      </c>
      <c r="P88" s="21">
        <v>7.0840480334740597E-11</v>
      </c>
      <c r="Q88" s="2">
        <v>0.31</v>
      </c>
      <c r="R88" s="27">
        <f t="shared" si="28"/>
        <v>131000</v>
      </c>
      <c r="S88" s="2">
        <f t="shared" si="29"/>
        <v>5.1940208761751296E-3</v>
      </c>
      <c r="T88" s="11">
        <v>0.08</v>
      </c>
      <c r="U88" s="30">
        <f t="shared" si="30"/>
        <v>108000</v>
      </c>
      <c r="V88" s="30">
        <f t="shared" si="18"/>
        <v>30.843623762376243</v>
      </c>
      <c r="W88" s="11">
        <f t="shared" si="31"/>
        <v>1605.6137875910795</v>
      </c>
      <c r="X88" s="9">
        <f t="shared" si="32"/>
        <v>4.8302725277672351E-14</v>
      </c>
      <c r="Y88" s="9">
        <f t="shared" si="33"/>
        <v>29087901162.214291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s="4" customFormat="1" x14ac:dyDescent="0.25">
      <c r="A89" s="26">
        <v>261</v>
      </c>
      <c r="B89" s="26">
        <f t="shared" si="19"/>
        <v>4.3499999999999996</v>
      </c>
      <c r="C89" s="26">
        <v>20</v>
      </c>
      <c r="D89" s="26">
        <f t="shared" si="17"/>
        <v>29.146000000000001</v>
      </c>
      <c r="E89" s="26">
        <f t="shared" si="20"/>
        <v>4.8576666666666667E-7</v>
      </c>
      <c r="F89" s="26">
        <v>21.1</v>
      </c>
      <c r="G89" s="26">
        <f t="shared" si="21"/>
        <v>294.10000000000002</v>
      </c>
      <c r="H89" s="26">
        <v>101.3</v>
      </c>
      <c r="I89" s="26">
        <f t="shared" si="22"/>
        <v>101300</v>
      </c>
      <c r="J89" s="26">
        <f t="shared" si="23"/>
        <v>2.0124824921938581E-5</v>
      </c>
      <c r="K89" s="20">
        <v>293.03960396039605</v>
      </c>
      <c r="L89" s="27">
        <f t="shared" si="24"/>
        <v>2.9303960396039606E-4</v>
      </c>
      <c r="M89" s="29">
        <f t="shared" si="25"/>
        <v>4.7762865441819992E-3</v>
      </c>
      <c r="N89" s="33">
        <f t="shared" si="26"/>
        <v>1.2347187863091642E-6</v>
      </c>
      <c r="O89" s="21">
        <f t="shared" si="27"/>
        <v>2.032E-3</v>
      </c>
      <c r="P89" s="21">
        <v>7.0840480334740597E-11</v>
      </c>
      <c r="Q89" s="2">
        <v>0.31</v>
      </c>
      <c r="R89" s="27">
        <f t="shared" si="28"/>
        <v>131000</v>
      </c>
      <c r="S89" s="2">
        <f t="shared" si="29"/>
        <v>5.1940208761751296E-3</v>
      </c>
      <c r="T89" s="11">
        <v>0.08</v>
      </c>
      <c r="U89" s="30">
        <f t="shared" si="30"/>
        <v>108000</v>
      </c>
      <c r="V89" s="30">
        <f t="shared" si="18"/>
        <v>31.648277227722772</v>
      </c>
      <c r="W89" s="11">
        <f t="shared" si="31"/>
        <v>1684.4914923502508</v>
      </c>
      <c r="X89" s="9">
        <f t="shared" si="32"/>
        <v>4.9593086137197868E-14</v>
      </c>
      <c r="Y89" s="9">
        <f t="shared" si="33"/>
        <v>29864956471.820557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s="4" customFormat="1" x14ac:dyDescent="0.25">
      <c r="A90" s="26">
        <v>264</v>
      </c>
      <c r="B90" s="26">
        <f t="shared" si="19"/>
        <v>4.4000000000000004</v>
      </c>
      <c r="C90" s="26">
        <v>20</v>
      </c>
      <c r="D90" s="26">
        <f t="shared" si="17"/>
        <v>29.146000000000001</v>
      </c>
      <c r="E90" s="26">
        <f t="shared" si="20"/>
        <v>4.8576666666666667E-7</v>
      </c>
      <c r="F90" s="26">
        <v>21.1</v>
      </c>
      <c r="G90" s="26">
        <f t="shared" si="21"/>
        <v>294.10000000000002</v>
      </c>
      <c r="H90" s="26">
        <v>101.3</v>
      </c>
      <c r="I90" s="26">
        <f t="shared" si="22"/>
        <v>101300</v>
      </c>
      <c r="J90" s="26">
        <f t="shared" si="23"/>
        <v>2.0124824921938581E-5</v>
      </c>
      <c r="K90" s="20">
        <v>290.56435643564362</v>
      </c>
      <c r="L90" s="27">
        <f t="shared" si="24"/>
        <v>2.9056435643564363E-4</v>
      </c>
      <c r="M90" s="29">
        <f t="shared" si="25"/>
        <v>4.7762865441819992E-3</v>
      </c>
      <c r="N90" s="33">
        <f t="shared" si="26"/>
        <v>1.2242893611452191E-6</v>
      </c>
      <c r="O90" s="21">
        <f t="shared" si="27"/>
        <v>2.032E-3</v>
      </c>
      <c r="P90" s="21">
        <v>7.0840480334740597E-11</v>
      </c>
      <c r="Q90" s="2">
        <v>0.31</v>
      </c>
      <c r="R90" s="27">
        <f t="shared" si="28"/>
        <v>131000</v>
      </c>
      <c r="S90" s="2">
        <f t="shared" si="29"/>
        <v>5.1940208761751296E-3</v>
      </c>
      <c r="T90" s="11">
        <v>0.08</v>
      </c>
      <c r="U90" s="30">
        <f t="shared" si="30"/>
        <v>108000</v>
      </c>
      <c r="V90" s="30">
        <f t="shared" si="18"/>
        <v>31.380950495049511</v>
      </c>
      <c r="W90" s="11">
        <f t="shared" si="31"/>
        <v>1658.084834731676</v>
      </c>
      <c r="X90" s="9">
        <f t="shared" si="32"/>
        <v>4.91641436740913E-14</v>
      </c>
      <c r="Y90" s="9">
        <f t="shared" si="33"/>
        <v>29606647320.537781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s="4" customFormat="1" x14ac:dyDescent="0.25">
      <c r="A91" s="26">
        <v>267</v>
      </c>
      <c r="B91" s="26">
        <f t="shared" si="19"/>
        <v>4.45</v>
      </c>
      <c r="C91" s="26">
        <v>20</v>
      </c>
      <c r="D91" s="26">
        <f t="shared" si="17"/>
        <v>29.146000000000001</v>
      </c>
      <c r="E91" s="26">
        <f t="shared" si="20"/>
        <v>4.8576666666666667E-7</v>
      </c>
      <c r="F91" s="26">
        <v>21.1</v>
      </c>
      <c r="G91" s="26">
        <f t="shared" si="21"/>
        <v>294.10000000000002</v>
      </c>
      <c r="H91" s="26">
        <v>101.3</v>
      </c>
      <c r="I91" s="26">
        <f t="shared" si="22"/>
        <v>101300</v>
      </c>
      <c r="J91" s="26">
        <f t="shared" si="23"/>
        <v>2.0124824921938581E-5</v>
      </c>
      <c r="K91" s="20">
        <v>295.11881188118815</v>
      </c>
      <c r="L91" s="27">
        <f t="shared" si="24"/>
        <v>2.9511881188118818E-4</v>
      </c>
      <c r="M91" s="29">
        <f t="shared" si="25"/>
        <v>4.7762865441819992E-3</v>
      </c>
      <c r="N91" s="33">
        <f t="shared" si="26"/>
        <v>1.2434795034468784E-6</v>
      </c>
      <c r="O91" s="21">
        <f t="shared" si="27"/>
        <v>2.032E-3</v>
      </c>
      <c r="P91" s="21">
        <v>7.0840480334740597E-11</v>
      </c>
      <c r="Q91" s="2">
        <v>0.31</v>
      </c>
      <c r="R91" s="27">
        <f t="shared" si="28"/>
        <v>131000</v>
      </c>
      <c r="S91" s="2">
        <f t="shared" si="29"/>
        <v>5.1940208761751296E-3</v>
      </c>
      <c r="T91" s="11">
        <v>0.08</v>
      </c>
      <c r="U91" s="30">
        <f t="shared" si="30"/>
        <v>108000</v>
      </c>
      <c r="V91" s="30">
        <f t="shared" si="18"/>
        <v>31.872831683168322</v>
      </c>
      <c r="W91" s="11">
        <f t="shared" si="31"/>
        <v>1706.8278929341973</v>
      </c>
      <c r="X91" s="9">
        <f t="shared" si="32"/>
        <v>4.9953593022303207E-14</v>
      </c>
      <c r="Y91" s="9">
        <f t="shared" si="33"/>
        <v>30082053718.030991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s="4" customFormat="1" x14ac:dyDescent="0.25">
      <c r="A92" s="26">
        <v>270</v>
      </c>
      <c r="B92" s="26">
        <f t="shared" si="19"/>
        <v>4.5</v>
      </c>
      <c r="C92" s="26">
        <v>20</v>
      </c>
      <c r="D92" s="26">
        <f t="shared" si="17"/>
        <v>29.146000000000001</v>
      </c>
      <c r="E92" s="26">
        <f t="shared" si="20"/>
        <v>4.8576666666666667E-7</v>
      </c>
      <c r="F92" s="26">
        <v>21.1</v>
      </c>
      <c r="G92" s="26">
        <f t="shared" si="21"/>
        <v>294.10000000000002</v>
      </c>
      <c r="H92" s="26">
        <v>101.3</v>
      </c>
      <c r="I92" s="26">
        <f t="shared" si="22"/>
        <v>101300</v>
      </c>
      <c r="J92" s="26">
        <f t="shared" si="23"/>
        <v>2.0124824921938581E-5</v>
      </c>
      <c r="K92" s="20">
        <v>291.50495049504951</v>
      </c>
      <c r="L92" s="27">
        <f t="shared" si="24"/>
        <v>2.9150495049504952E-4</v>
      </c>
      <c r="M92" s="29">
        <f t="shared" si="25"/>
        <v>4.7762865441819992E-3</v>
      </c>
      <c r="N92" s="33">
        <f t="shared" si="26"/>
        <v>1.2282525427075181E-6</v>
      </c>
      <c r="O92" s="21">
        <f t="shared" si="27"/>
        <v>2.032E-3</v>
      </c>
      <c r="P92" s="21">
        <v>7.0840480334740597E-11</v>
      </c>
      <c r="Q92" s="2">
        <v>0.31</v>
      </c>
      <c r="R92" s="27">
        <f t="shared" si="28"/>
        <v>131000</v>
      </c>
      <c r="S92" s="2">
        <f t="shared" si="29"/>
        <v>5.1940208761751296E-3</v>
      </c>
      <c r="T92" s="11">
        <v>0.08</v>
      </c>
      <c r="U92" s="30">
        <f t="shared" si="30"/>
        <v>108000</v>
      </c>
      <c r="V92" s="30">
        <f t="shared" si="18"/>
        <v>31.482534653465347</v>
      </c>
      <c r="W92" s="11">
        <f t="shared" si="31"/>
        <v>1668.0957616194924</v>
      </c>
      <c r="X92" s="9">
        <f t="shared" si="32"/>
        <v>4.9327112173956804E-14</v>
      </c>
      <c r="Y92" s="9">
        <f t="shared" si="33"/>
        <v>29704786951.156788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</row>
    <row r="93" spans="1:76" s="4" customFormat="1" x14ac:dyDescent="0.25">
      <c r="A93" s="26">
        <v>273</v>
      </c>
      <c r="B93" s="26">
        <f t="shared" si="19"/>
        <v>4.55</v>
      </c>
      <c r="C93" s="26">
        <v>20</v>
      </c>
      <c r="D93" s="26">
        <f t="shared" si="17"/>
        <v>29.146000000000001</v>
      </c>
      <c r="E93" s="26">
        <f t="shared" si="20"/>
        <v>4.8576666666666667E-7</v>
      </c>
      <c r="F93" s="26">
        <v>21.1</v>
      </c>
      <c r="G93" s="26">
        <f t="shared" si="21"/>
        <v>294.10000000000002</v>
      </c>
      <c r="H93" s="26">
        <v>101.3</v>
      </c>
      <c r="I93" s="26">
        <f t="shared" si="22"/>
        <v>101300</v>
      </c>
      <c r="J93" s="26">
        <f t="shared" si="23"/>
        <v>2.0124824921938581E-5</v>
      </c>
      <c r="K93" s="20">
        <v>295.68811881188122</v>
      </c>
      <c r="L93" s="27">
        <f t="shared" si="24"/>
        <v>2.9568811881188124E-4</v>
      </c>
      <c r="M93" s="29">
        <f t="shared" si="25"/>
        <v>4.7762865441819992E-3</v>
      </c>
      <c r="N93" s="33">
        <f t="shared" si="26"/>
        <v>1.2458782712345858E-6</v>
      </c>
      <c r="O93" s="21">
        <f t="shared" si="27"/>
        <v>2.032E-3</v>
      </c>
      <c r="P93" s="21">
        <v>7.0840480334740597E-11</v>
      </c>
      <c r="Q93" s="2">
        <v>0.31</v>
      </c>
      <c r="R93" s="27">
        <f t="shared" si="28"/>
        <v>131000</v>
      </c>
      <c r="S93" s="2">
        <f t="shared" si="29"/>
        <v>5.1940208761751296E-3</v>
      </c>
      <c r="T93" s="11">
        <v>0.08</v>
      </c>
      <c r="U93" s="30">
        <f t="shared" si="30"/>
        <v>108000</v>
      </c>
      <c r="V93" s="30">
        <f t="shared" si="18"/>
        <v>31.934316831683173</v>
      </c>
      <c r="W93" s="11">
        <f t="shared" si="31"/>
        <v>1712.9684540346559</v>
      </c>
      <c r="X93" s="9">
        <f t="shared" si="32"/>
        <v>5.0052334503981133E-14</v>
      </c>
      <c r="Y93" s="9">
        <f t="shared" si="33"/>
        <v>30141515838.29744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</row>
    <row r="94" spans="1:76" s="4" customFormat="1" x14ac:dyDescent="0.25">
      <c r="A94" s="26">
        <v>276</v>
      </c>
      <c r="B94" s="26">
        <f t="shared" si="19"/>
        <v>4.5999999999999996</v>
      </c>
      <c r="C94" s="26">
        <v>20</v>
      </c>
      <c r="D94" s="26">
        <f t="shared" si="17"/>
        <v>29.146000000000001</v>
      </c>
      <c r="E94" s="26">
        <f t="shared" si="20"/>
        <v>4.8576666666666667E-7</v>
      </c>
      <c r="F94" s="26">
        <v>21.1</v>
      </c>
      <c r="G94" s="26">
        <f t="shared" si="21"/>
        <v>294.10000000000002</v>
      </c>
      <c r="H94" s="26">
        <v>101.3</v>
      </c>
      <c r="I94" s="26">
        <f t="shared" si="22"/>
        <v>101300</v>
      </c>
      <c r="J94" s="26">
        <f t="shared" si="23"/>
        <v>2.0124824921938581E-5</v>
      </c>
      <c r="K94" s="20">
        <v>293.6584158415842</v>
      </c>
      <c r="L94" s="27">
        <f t="shared" si="24"/>
        <v>2.9365841584158418E-4</v>
      </c>
      <c r="M94" s="29">
        <f t="shared" si="25"/>
        <v>4.7762865441819992E-3</v>
      </c>
      <c r="N94" s="33">
        <f t="shared" si="26"/>
        <v>1.2373261426001505E-6</v>
      </c>
      <c r="O94" s="21">
        <f t="shared" si="27"/>
        <v>2.032E-3</v>
      </c>
      <c r="P94" s="21">
        <v>7.0840480334740597E-11</v>
      </c>
      <c r="Q94" s="2">
        <v>0.31</v>
      </c>
      <c r="R94" s="27">
        <f t="shared" si="28"/>
        <v>131000</v>
      </c>
      <c r="S94" s="2">
        <f t="shared" si="29"/>
        <v>5.1940208761751296E-3</v>
      </c>
      <c r="T94" s="11">
        <v>0.08</v>
      </c>
      <c r="U94" s="30">
        <f t="shared" si="30"/>
        <v>108000</v>
      </c>
      <c r="V94" s="30">
        <f t="shared" si="18"/>
        <v>31.71510891089109</v>
      </c>
      <c r="W94" s="11">
        <f t="shared" si="31"/>
        <v>1691.1244597011646</v>
      </c>
      <c r="X94" s="9">
        <f t="shared" si="32"/>
        <v>4.9700361158113704E-14</v>
      </c>
      <c r="Y94" s="9">
        <f t="shared" si="33"/>
        <v>29929557489.416073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</row>
    <row r="95" spans="1:76" s="4" customFormat="1" x14ac:dyDescent="0.25">
      <c r="A95" s="26">
        <v>279</v>
      </c>
      <c r="B95" s="26">
        <f t="shared" si="19"/>
        <v>4.6500000000000004</v>
      </c>
      <c r="C95" s="26">
        <v>20</v>
      </c>
      <c r="D95" s="26">
        <f t="shared" si="17"/>
        <v>29.146000000000001</v>
      </c>
      <c r="E95" s="26">
        <f t="shared" si="20"/>
        <v>4.8576666666666667E-7</v>
      </c>
      <c r="F95" s="26">
        <v>21.1</v>
      </c>
      <c r="G95" s="26">
        <f t="shared" si="21"/>
        <v>294.10000000000002</v>
      </c>
      <c r="H95" s="26">
        <v>101.3</v>
      </c>
      <c r="I95" s="26">
        <f t="shared" si="22"/>
        <v>101300</v>
      </c>
      <c r="J95" s="26">
        <f t="shared" si="23"/>
        <v>2.0124824921938581E-5</v>
      </c>
      <c r="K95" s="20">
        <v>280.36633663366337</v>
      </c>
      <c r="L95" s="27">
        <f t="shared" si="24"/>
        <v>2.8036633663366337E-4</v>
      </c>
      <c r="M95" s="29">
        <f t="shared" si="25"/>
        <v>4.7762865441819992E-3</v>
      </c>
      <c r="N95" s="33">
        <f t="shared" si="26"/>
        <v>1.1813201294697639E-6</v>
      </c>
      <c r="O95" s="21">
        <f t="shared" si="27"/>
        <v>2.032E-3</v>
      </c>
      <c r="P95" s="21">
        <v>7.0840480334740597E-11</v>
      </c>
      <c r="Q95" s="2">
        <v>0.31</v>
      </c>
      <c r="R95" s="27">
        <f t="shared" si="28"/>
        <v>131000</v>
      </c>
      <c r="S95" s="2">
        <f t="shared" si="29"/>
        <v>5.1940208761751296E-3</v>
      </c>
      <c r="T95" s="11">
        <v>0.08</v>
      </c>
      <c r="U95" s="30">
        <f t="shared" si="30"/>
        <v>108000</v>
      </c>
      <c r="V95" s="30">
        <f t="shared" si="18"/>
        <v>30.279564356435646</v>
      </c>
      <c r="W95" s="11">
        <f t="shared" si="31"/>
        <v>1551.4041519143025</v>
      </c>
      <c r="X95" s="9">
        <f t="shared" si="32"/>
        <v>4.7399520819156095E-14</v>
      </c>
      <c r="Y95" s="9">
        <f t="shared" si="33"/>
        <v>28543991437.295803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</row>
    <row r="96" spans="1:76" s="4" customFormat="1" x14ac:dyDescent="0.25">
      <c r="A96" s="26">
        <v>282</v>
      </c>
      <c r="B96" s="26">
        <f t="shared" si="19"/>
        <v>4.7</v>
      </c>
      <c r="C96" s="26">
        <v>20</v>
      </c>
      <c r="D96" s="26">
        <f t="shared" si="17"/>
        <v>29.146000000000001</v>
      </c>
      <c r="E96" s="26">
        <f t="shared" si="20"/>
        <v>4.8576666666666667E-7</v>
      </c>
      <c r="F96" s="26">
        <v>21.1</v>
      </c>
      <c r="G96" s="26">
        <f t="shared" si="21"/>
        <v>294.10000000000002</v>
      </c>
      <c r="H96" s="26">
        <v>101.3</v>
      </c>
      <c r="I96" s="26">
        <f t="shared" si="22"/>
        <v>101300</v>
      </c>
      <c r="J96" s="26">
        <f t="shared" si="23"/>
        <v>2.0124824921938581E-5</v>
      </c>
      <c r="K96" s="20">
        <v>291.0594059405941</v>
      </c>
      <c r="L96" s="27">
        <f t="shared" si="24"/>
        <v>2.9105940594059411E-4</v>
      </c>
      <c r="M96" s="29">
        <f t="shared" si="25"/>
        <v>4.7762865441819992E-3</v>
      </c>
      <c r="N96" s="33">
        <f t="shared" si="26"/>
        <v>1.226375246178008E-6</v>
      </c>
      <c r="O96" s="21">
        <f t="shared" si="27"/>
        <v>2.032E-3</v>
      </c>
      <c r="P96" s="21">
        <v>7.0840480334740597E-11</v>
      </c>
      <c r="Q96" s="2">
        <v>0.31</v>
      </c>
      <c r="R96" s="27">
        <f t="shared" si="28"/>
        <v>131000</v>
      </c>
      <c r="S96" s="2">
        <f t="shared" si="29"/>
        <v>5.1940208761751296E-3</v>
      </c>
      <c r="T96" s="11">
        <v>0.08</v>
      </c>
      <c r="U96" s="30">
        <f t="shared" si="30"/>
        <v>108000</v>
      </c>
      <c r="V96" s="30">
        <f t="shared" si="18"/>
        <v>31.434415841584162</v>
      </c>
      <c r="W96" s="11">
        <f t="shared" si="31"/>
        <v>1663.3501366128189</v>
      </c>
      <c r="X96" s="9">
        <f t="shared" si="32"/>
        <v>4.9249912050460228E-14</v>
      </c>
      <c r="Y96" s="9">
        <f t="shared" si="33"/>
        <v>29658297036.787151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</row>
    <row r="97" spans="1:76" s="4" customFormat="1" x14ac:dyDescent="0.25">
      <c r="A97" s="26">
        <v>285</v>
      </c>
      <c r="B97" s="26">
        <f t="shared" si="19"/>
        <v>4.75</v>
      </c>
      <c r="C97" s="26">
        <v>20</v>
      </c>
      <c r="D97" s="26">
        <f t="shared" si="17"/>
        <v>29.146000000000001</v>
      </c>
      <c r="E97" s="26">
        <f t="shared" si="20"/>
        <v>4.8576666666666667E-7</v>
      </c>
      <c r="F97" s="26">
        <v>21.1</v>
      </c>
      <c r="G97" s="26">
        <f t="shared" si="21"/>
        <v>294.10000000000002</v>
      </c>
      <c r="H97" s="26">
        <v>101.3</v>
      </c>
      <c r="I97" s="26">
        <f t="shared" si="22"/>
        <v>101300</v>
      </c>
      <c r="J97" s="26">
        <f t="shared" si="23"/>
        <v>2.0124824921938581E-5</v>
      </c>
      <c r="K97" s="20">
        <v>291.9009900990099</v>
      </c>
      <c r="L97" s="27">
        <f t="shared" si="24"/>
        <v>2.9190099009900988E-4</v>
      </c>
      <c r="M97" s="29">
        <f t="shared" si="25"/>
        <v>4.7762865441819992E-3</v>
      </c>
      <c r="N97" s="33">
        <f t="shared" si="26"/>
        <v>1.2299212507337494E-6</v>
      </c>
      <c r="O97" s="21">
        <f t="shared" si="27"/>
        <v>2.032E-3</v>
      </c>
      <c r="P97" s="21">
        <v>7.0840480334740597E-11</v>
      </c>
      <c r="Q97" s="2">
        <v>0.31</v>
      </c>
      <c r="R97" s="27">
        <f t="shared" si="28"/>
        <v>131000</v>
      </c>
      <c r="S97" s="2">
        <f t="shared" si="29"/>
        <v>5.1940208761751296E-3</v>
      </c>
      <c r="T97" s="11">
        <v>0.08</v>
      </c>
      <c r="U97" s="30">
        <f t="shared" si="30"/>
        <v>108000</v>
      </c>
      <c r="V97" s="30">
        <f t="shared" si="18"/>
        <v>31.525306930693066</v>
      </c>
      <c r="W97" s="11">
        <f t="shared" si="31"/>
        <v>1672.319545102408</v>
      </c>
      <c r="X97" s="9">
        <f t="shared" si="32"/>
        <v>4.939574134394521E-14</v>
      </c>
      <c r="Y97" s="9">
        <f t="shared" si="33"/>
        <v>29746115437.323807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</row>
    <row r="98" spans="1:76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1"/>
      <c r="O98" s="21"/>
      <c r="P98" s="21"/>
      <c r="Q98" s="2"/>
      <c r="R98" s="2"/>
      <c r="S98" s="2"/>
      <c r="T98" s="11"/>
      <c r="U98" s="2"/>
      <c r="V98" s="11"/>
      <c r="W98" s="5"/>
      <c r="X98" s="2"/>
      <c r="Y98" s="5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</row>
    <row r="99" spans="1:76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1"/>
      <c r="O99" s="21"/>
      <c r="P99" s="21"/>
      <c r="Q99" s="2"/>
      <c r="R99" s="2"/>
      <c r="S99" s="2"/>
      <c r="T99" s="11"/>
      <c r="U99" s="2"/>
      <c r="V99" s="11"/>
      <c r="W99" s="5"/>
      <c r="X99" s="2"/>
      <c r="Y99" s="5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</row>
    <row r="100" spans="1:76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1"/>
      <c r="O100" s="21"/>
      <c r="P100" s="21"/>
      <c r="Q100" s="2"/>
      <c r="R100" s="2"/>
      <c r="S100" s="2"/>
      <c r="T100" s="11"/>
      <c r="U100" s="2"/>
      <c r="V100" s="11"/>
      <c r="W100" s="5"/>
      <c r="X100" s="31"/>
      <c r="Y100" s="31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</row>
    <row r="101" spans="1:76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1"/>
      <c r="O101" s="21"/>
      <c r="P101" s="21"/>
      <c r="Q101" s="2"/>
      <c r="R101" s="2"/>
      <c r="S101" s="2"/>
      <c r="T101" s="11"/>
      <c r="U101" s="2"/>
      <c r="V101" s="11"/>
      <c r="W101" s="5"/>
      <c r="X101" s="32">
        <f>AVERAGE(X42:X97)</f>
        <v>5.0275487547685218E-14</v>
      </c>
      <c r="Y101" s="32">
        <f>AVERAGE(Y42:Y97)</f>
        <v>30275898601.216034</v>
      </c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</row>
    <row r="102" spans="1:76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1"/>
      <c r="O102" s="21"/>
      <c r="P102" s="21"/>
      <c r="Q102" s="2"/>
      <c r="R102" s="2"/>
      <c r="S102" s="2"/>
      <c r="T102" s="11"/>
      <c r="U102" s="2"/>
      <c r="V102" s="11"/>
      <c r="W102" s="5"/>
      <c r="X102" s="2"/>
      <c r="Y102" s="5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</row>
    <row r="103" spans="1:76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21"/>
      <c r="O103" s="21"/>
      <c r="P103" s="21"/>
      <c r="Q103" s="2"/>
      <c r="R103" s="2"/>
      <c r="S103" s="2"/>
      <c r="T103" s="11"/>
      <c r="U103" s="2"/>
      <c r="V103" s="11"/>
      <c r="W103" s="5"/>
      <c r="X103" s="2"/>
      <c r="Y103" s="5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</row>
    <row r="104" spans="1:76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1"/>
      <c r="O104" s="21"/>
      <c r="P104" s="21"/>
      <c r="Q104" s="2"/>
      <c r="R104" s="2"/>
      <c r="S104" s="2"/>
      <c r="T104" s="11"/>
      <c r="U104" s="2"/>
      <c r="V104" s="11"/>
      <c r="W104" s="5"/>
      <c r="X104" s="2"/>
      <c r="Y104" s="5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</row>
    <row r="105" spans="1:76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1"/>
      <c r="O105" s="21"/>
      <c r="P105" s="21"/>
      <c r="Q105" s="2"/>
      <c r="R105" s="2"/>
      <c r="S105" s="2"/>
      <c r="T105" s="11"/>
      <c r="U105" s="2"/>
      <c r="V105" s="11"/>
      <c r="W105" s="5"/>
      <c r="X105" s="2"/>
      <c r="Y105" s="5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</row>
    <row r="106" spans="1:76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1"/>
      <c r="O106" s="21"/>
      <c r="P106" s="21"/>
      <c r="Q106" s="2"/>
      <c r="R106" s="2"/>
      <c r="S106" s="2"/>
      <c r="T106" s="11"/>
      <c r="U106" s="2"/>
      <c r="V106" s="11"/>
      <c r="W106" s="5"/>
      <c r="X106" s="2"/>
      <c r="Y106" s="5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</row>
    <row r="107" spans="1:76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1"/>
      <c r="O107" s="21"/>
      <c r="P107" s="21"/>
      <c r="Q107" s="2"/>
      <c r="R107" s="2"/>
      <c r="S107" s="2"/>
      <c r="T107" s="11"/>
      <c r="U107" s="2"/>
      <c r="V107" s="11"/>
      <c r="W107" s="5"/>
      <c r="X107" s="2"/>
      <c r="Y107" s="5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</row>
    <row r="108" spans="1:76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1"/>
      <c r="O108" s="21"/>
      <c r="P108" s="21"/>
      <c r="Q108" s="2"/>
      <c r="R108" s="2"/>
      <c r="S108" s="2"/>
      <c r="T108" s="11"/>
      <c r="U108" s="2"/>
      <c r="V108" s="11"/>
      <c r="W108" s="5"/>
      <c r="X108" s="2"/>
      <c r="Y108" s="5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</row>
    <row r="109" spans="1:76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1"/>
      <c r="O109" s="21"/>
      <c r="P109" s="21"/>
      <c r="Q109" s="2"/>
      <c r="R109" s="2"/>
      <c r="S109" s="2"/>
      <c r="T109" s="11"/>
      <c r="U109" s="2"/>
      <c r="V109" s="11"/>
      <c r="W109" s="5"/>
      <c r="X109" s="2"/>
      <c r="Y109" s="5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</row>
    <row r="110" spans="1:76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1"/>
      <c r="O110" s="21"/>
      <c r="P110" s="21"/>
      <c r="Q110" s="2"/>
      <c r="R110" s="2"/>
      <c r="S110" s="2"/>
      <c r="T110" s="11"/>
      <c r="U110" s="2"/>
      <c r="V110" s="11"/>
      <c r="W110" s="5"/>
      <c r="X110" s="2"/>
      <c r="Y110" s="5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</row>
    <row r="111" spans="1:76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1"/>
      <c r="O111" s="21"/>
      <c r="P111" s="21"/>
      <c r="Q111" s="2"/>
      <c r="R111" s="2"/>
      <c r="S111" s="2"/>
      <c r="T111" s="11"/>
      <c r="U111" s="2"/>
      <c r="V111" s="11"/>
      <c r="W111" s="5"/>
      <c r="X111" s="2"/>
      <c r="Y111" s="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</row>
    <row r="112" spans="1:76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1"/>
      <c r="O112" s="21"/>
      <c r="P112" s="21"/>
      <c r="Q112" s="2"/>
      <c r="R112" s="2"/>
      <c r="S112" s="2"/>
      <c r="T112" s="11"/>
      <c r="U112" s="2"/>
      <c r="V112" s="11"/>
      <c r="W112" s="5"/>
      <c r="X112" s="2"/>
      <c r="Y112" s="5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</row>
    <row r="113" spans="1:76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1"/>
      <c r="O113" s="21"/>
      <c r="P113" s="21"/>
      <c r="Q113" s="2"/>
      <c r="R113" s="2"/>
      <c r="S113" s="2"/>
      <c r="T113" s="11"/>
      <c r="U113" s="2"/>
      <c r="V113" s="11"/>
      <c r="W113" s="5"/>
      <c r="X113" s="2"/>
      <c r="Y113" s="5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</row>
    <row r="114" spans="1:76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1"/>
      <c r="O114" s="21"/>
      <c r="P114" s="21"/>
      <c r="Q114" s="2"/>
      <c r="R114" s="2"/>
      <c r="S114" s="2"/>
      <c r="T114" s="11"/>
      <c r="U114" s="2"/>
      <c r="V114" s="11"/>
      <c r="W114" s="5"/>
      <c r="X114" s="2"/>
      <c r="Y114" s="5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</row>
    <row r="115" spans="1:76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1"/>
      <c r="O115" s="21"/>
      <c r="P115" s="21"/>
      <c r="Q115" s="2"/>
      <c r="R115" s="2"/>
      <c r="S115" s="2"/>
      <c r="T115" s="11"/>
      <c r="U115" s="2"/>
      <c r="V115" s="11"/>
      <c r="W115" s="5"/>
      <c r="X115" s="2"/>
      <c r="Y115" s="5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</row>
    <row r="116" spans="1:76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1"/>
      <c r="O116" s="21"/>
      <c r="P116" s="21"/>
      <c r="Q116" s="2"/>
      <c r="R116" s="2"/>
      <c r="S116" s="2"/>
      <c r="T116" s="11"/>
      <c r="U116" s="2"/>
      <c r="V116" s="11"/>
      <c r="W116" s="5"/>
      <c r="X116" s="2"/>
      <c r="Y116" s="5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</row>
    <row r="117" spans="1:76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1"/>
      <c r="O117" s="21"/>
      <c r="P117" s="21"/>
      <c r="Q117" s="2"/>
      <c r="R117" s="2"/>
      <c r="S117" s="2"/>
      <c r="T117" s="11"/>
      <c r="U117" s="2"/>
      <c r="V117" s="11"/>
      <c r="W117" s="5"/>
      <c r="X117" s="2"/>
      <c r="Y117" s="5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</row>
    <row r="118" spans="1:76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1"/>
      <c r="O118" s="21"/>
      <c r="P118" s="21"/>
      <c r="Q118" s="2"/>
      <c r="R118" s="2"/>
      <c r="S118" s="2"/>
      <c r="T118" s="11"/>
      <c r="U118" s="2"/>
      <c r="V118" s="11"/>
      <c r="W118" s="5"/>
      <c r="X118" s="2"/>
      <c r="Y118" s="5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</row>
    <row r="119" spans="1:76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1"/>
      <c r="O119" s="21"/>
      <c r="P119" s="21"/>
      <c r="Q119" s="2"/>
      <c r="R119" s="2"/>
      <c r="S119" s="2"/>
      <c r="T119" s="11"/>
      <c r="U119" s="2"/>
      <c r="V119" s="11"/>
      <c r="W119" s="5"/>
      <c r="X119" s="2"/>
      <c r="Y119" s="5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</row>
    <row r="120" spans="1:76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1"/>
      <c r="O120" s="21"/>
      <c r="P120" s="21"/>
      <c r="Q120" s="2"/>
      <c r="R120" s="2"/>
      <c r="S120" s="2"/>
      <c r="T120" s="11"/>
      <c r="U120" s="2"/>
      <c r="V120" s="11"/>
      <c r="W120" s="5"/>
      <c r="X120" s="2"/>
      <c r="Y120" s="5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</row>
    <row r="121" spans="1:76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1"/>
      <c r="O121" s="21"/>
      <c r="P121" s="21"/>
      <c r="Q121" s="2"/>
      <c r="R121" s="2"/>
      <c r="S121" s="2"/>
      <c r="T121" s="11"/>
      <c r="U121" s="2"/>
      <c r="V121" s="11"/>
      <c r="W121" s="5"/>
      <c r="X121" s="2"/>
      <c r="Y121" s="5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</row>
    <row r="122" spans="1:76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1"/>
      <c r="O122" s="21"/>
      <c r="P122" s="21"/>
      <c r="Q122" s="2"/>
      <c r="R122" s="2"/>
      <c r="S122" s="2"/>
      <c r="T122" s="11"/>
      <c r="U122" s="2"/>
      <c r="V122" s="11"/>
      <c r="W122" s="5"/>
      <c r="X122" s="2"/>
      <c r="Y122" s="5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</row>
    <row r="123" spans="1:76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1"/>
      <c r="O123" s="21"/>
      <c r="P123" s="21"/>
      <c r="Q123" s="2"/>
      <c r="R123" s="2"/>
      <c r="S123" s="2"/>
      <c r="T123" s="11"/>
      <c r="U123" s="2"/>
      <c r="V123" s="11"/>
      <c r="W123" s="5"/>
      <c r="X123" s="2"/>
      <c r="Y123" s="5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</row>
    <row r="124" spans="1:76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1"/>
      <c r="O124" s="21"/>
      <c r="P124" s="21"/>
      <c r="Q124" s="2"/>
      <c r="R124" s="2"/>
      <c r="S124" s="2"/>
      <c r="T124" s="11"/>
      <c r="U124" s="2"/>
      <c r="V124" s="11"/>
      <c r="W124" s="5"/>
      <c r="X124" s="2"/>
      <c r="Y124" s="5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</row>
    <row r="125" spans="1:76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1"/>
      <c r="O125" s="21"/>
      <c r="P125" s="21"/>
      <c r="Q125" s="2"/>
      <c r="R125" s="2"/>
      <c r="S125" s="2"/>
      <c r="T125" s="11"/>
      <c r="U125" s="2"/>
      <c r="V125" s="11"/>
      <c r="W125" s="5"/>
      <c r="X125" s="2"/>
      <c r="Y125" s="5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</row>
    <row r="126" spans="1:76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1"/>
      <c r="O126" s="21"/>
      <c r="P126" s="21"/>
      <c r="Q126" s="2"/>
      <c r="R126" s="2"/>
      <c r="S126" s="2"/>
      <c r="T126" s="11"/>
      <c r="U126" s="2"/>
      <c r="V126" s="11"/>
      <c r="W126" s="5"/>
      <c r="X126" s="2"/>
      <c r="Y126" s="5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</row>
    <row r="127" spans="1:76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1"/>
      <c r="O127" s="21"/>
      <c r="P127" s="21"/>
      <c r="Q127" s="2"/>
      <c r="R127" s="2"/>
      <c r="S127" s="2"/>
      <c r="T127" s="11"/>
      <c r="U127" s="2"/>
      <c r="V127" s="11"/>
      <c r="W127" s="5"/>
      <c r="X127" s="2"/>
      <c r="Y127" s="5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</row>
    <row r="128" spans="1:76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21"/>
      <c r="O128" s="21"/>
      <c r="P128" s="21"/>
      <c r="Q128" s="2"/>
      <c r="R128" s="2"/>
      <c r="S128" s="2"/>
      <c r="T128" s="11"/>
      <c r="U128" s="2"/>
      <c r="V128" s="11"/>
      <c r="W128" s="5"/>
      <c r="X128" s="2"/>
      <c r="Y128" s="5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</row>
    <row r="129" spans="1:76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1"/>
      <c r="O129" s="21"/>
      <c r="P129" s="21"/>
      <c r="Q129" s="2"/>
      <c r="R129" s="2"/>
      <c r="S129" s="2"/>
      <c r="T129" s="11"/>
      <c r="U129" s="2"/>
      <c r="V129" s="11"/>
      <c r="W129" s="5"/>
      <c r="X129" s="2"/>
      <c r="Y129" s="5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</row>
    <row r="130" spans="1:76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1"/>
      <c r="O130" s="21"/>
      <c r="P130" s="21"/>
      <c r="Q130" s="2"/>
      <c r="R130" s="2"/>
      <c r="S130" s="2"/>
      <c r="T130" s="11"/>
      <c r="U130" s="2"/>
      <c r="V130" s="11"/>
      <c r="W130" s="5"/>
      <c r="X130" s="2"/>
      <c r="Y130" s="5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</row>
    <row r="131" spans="1:76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1"/>
      <c r="O131" s="21"/>
      <c r="P131" s="21"/>
      <c r="Q131" s="2"/>
      <c r="R131" s="2"/>
      <c r="S131" s="2"/>
      <c r="T131" s="11"/>
      <c r="U131" s="2"/>
      <c r="V131" s="11"/>
      <c r="W131" s="5"/>
      <c r="X131" s="2"/>
      <c r="Y131" s="5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</row>
    <row r="132" spans="1:76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1"/>
      <c r="O132" s="21"/>
      <c r="P132" s="21"/>
      <c r="Q132" s="2"/>
      <c r="R132" s="2"/>
      <c r="S132" s="2"/>
      <c r="T132" s="11"/>
      <c r="U132" s="2"/>
      <c r="V132" s="11"/>
      <c r="W132" s="5"/>
      <c r="X132" s="2"/>
      <c r="Y132" s="5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</row>
    <row r="133" spans="1:76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1"/>
      <c r="O133" s="21"/>
      <c r="P133" s="21"/>
      <c r="Q133" s="2"/>
      <c r="R133" s="2"/>
      <c r="S133" s="2"/>
      <c r="T133" s="11"/>
      <c r="U133" s="2"/>
      <c r="V133" s="11"/>
      <c r="W133" s="5"/>
      <c r="X133" s="2"/>
      <c r="Y133" s="5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</row>
    <row r="134" spans="1:76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1"/>
      <c r="O134" s="21"/>
      <c r="P134" s="21"/>
      <c r="Q134" s="2"/>
      <c r="R134" s="2"/>
      <c r="S134" s="2"/>
      <c r="T134" s="11"/>
      <c r="U134" s="2"/>
      <c r="V134" s="11"/>
      <c r="W134" s="5"/>
      <c r="X134" s="2"/>
      <c r="Y134" s="5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</row>
    <row r="135" spans="1:76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1"/>
      <c r="O135" s="21"/>
      <c r="P135" s="21"/>
      <c r="Q135" s="2"/>
      <c r="R135" s="2"/>
      <c r="S135" s="2"/>
      <c r="T135" s="11"/>
      <c r="U135" s="2"/>
      <c r="V135" s="11"/>
      <c r="W135" s="5"/>
      <c r="X135" s="2"/>
      <c r="Y135" s="5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</row>
    <row r="136" spans="1:76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1"/>
      <c r="O136" s="21"/>
      <c r="P136" s="21"/>
      <c r="Q136" s="2"/>
      <c r="R136" s="2"/>
      <c r="S136" s="2"/>
      <c r="T136" s="11"/>
      <c r="U136" s="2"/>
      <c r="V136" s="11"/>
      <c r="W136" s="5"/>
      <c r="X136" s="2"/>
      <c r="Y136" s="5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</row>
    <row r="137" spans="1:76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1"/>
      <c r="O137" s="21"/>
      <c r="P137" s="21"/>
      <c r="Q137" s="2"/>
      <c r="R137" s="2"/>
      <c r="S137" s="2"/>
      <c r="T137" s="11"/>
      <c r="U137" s="2"/>
      <c r="V137" s="11"/>
      <c r="W137" s="5"/>
      <c r="X137" s="2"/>
      <c r="Y137" s="5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</row>
    <row r="138" spans="1:76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33"/>
      <c r="O138" s="21"/>
      <c r="P138" s="21"/>
      <c r="Q138" s="2"/>
      <c r="R138" s="2"/>
      <c r="S138" s="2"/>
      <c r="T138" s="11"/>
      <c r="U138" s="2"/>
      <c r="V138" s="11"/>
      <c r="W138" s="5"/>
      <c r="X138" s="2"/>
      <c r="Y138" s="5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1:76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1"/>
      <c r="O139" s="21"/>
      <c r="P139" s="21"/>
      <c r="Q139" s="2"/>
      <c r="R139" s="2"/>
      <c r="S139" s="2"/>
      <c r="T139" s="11"/>
      <c r="U139" s="2"/>
      <c r="V139" s="11"/>
      <c r="W139" s="5"/>
      <c r="X139" s="2"/>
      <c r="Y139" s="5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1:76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1"/>
      <c r="O140" s="21"/>
      <c r="P140" s="21"/>
      <c r="Q140" s="2"/>
      <c r="R140" s="2"/>
      <c r="S140" s="2"/>
      <c r="T140" s="11"/>
      <c r="U140" s="2"/>
      <c r="V140" s="11"/>
      <c r="W140" s="5"/>
      <c r="X140" s="2"/>
      <c r="Y140" s="5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1:76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1"/>
      <c r="O141" s="21"/>
      <c r="P141" s="21"/>
      <c r="Q141" s="2"/>
      <c r="R141" s="2"/>
      <c r="S141" s="2"/>
      <c r="T141" s="11"/>
      <c r="U141" s="2"/>
      <c r="V141" s="11"/>
      <c r="W141" s="5"/>
      <c r="X141" s="2"/>
      <c r="Y141" s="5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</row>
    <row r="142" spans="1:76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1"/>
      <c r="O142" s="21"/>
      <c r="P142" s="21"/>
      <c r="Q142" s="2"/>
      <c r="R142" s="2"/>
      <c r="S142" s="2"/>
      <c r="T142" s="11"/>
      <c r="U142" s="2"/>
      <c r="V142" s="11"/>
      <c r="W142" s="5"/>
      <c r="X142" s="2"/>
      <c r="Y142" s="5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</row>
    <row r="143" spans="1:76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1"/>
      <c r="O143" s="21"/>
      <c r="P143" s="21"/>
      <c r="Q143" s="2"/>
      <c r="R143" s="2"/>
      <c r="S143" s="2"/>
      <c r="T143" s="11"/>
      <c r="U143" s="2"/>
      <c r="V143" s="11"/>
      <c r="W143" s="5"/>
      <c r="X143" s="2"/>
      <c r="Y143" s="5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</row>
    <row r="144" spans="1:76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1"/>
      <c r="O144" s="21"/>
      <c r="P144" s="21"/>
      <c r="Q144" s="2"/>
      <c r="R144" s="2"/>
      <c r="S144" s="2"/>
      <c r="T144" s="11"/>
      <c r="U144" s="2"/>
      <c r="V144" s="11"/>
      <c r="W144" s="5"/>
      <c r="X144" s="2"/>
      <c r="Y144" s="5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</row>
    <row r="145" spans="1:76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1"/>
      <c r="O145" s="21"/>
      <c r="P145" s="21"/>
      <c r="Q145" s="2"/>
      <c r="R145" s="2"/>
      <c r="S145" s="2"/>
      <c r="T145" s="11"/>
      <c r="U145" s="2"/>
      <c r="V145" s="11"/>
      <c r="W145" s="5"/>
      <c r="X145" s="2"/>
      <c r="Y145" s="5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</row>
    <row r="146" spans="1:76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1"/>
      <c r="O146" s="21"/>
      <c r="P146" s="21"/>
      <c r="Q146" s="2"/>
      <c r="R146" s="2"/>
      <c r="S146" s="2"/>
      <c r="T146" s="11"/>
      <c r="U146" s="2"/>
      <c r="V146" s="11"/>
      <c r="W146" s="5"/>
      <c r="X146" s="2"/>
      <c r="Y146" s="5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</row>
    <row r="147" spans="1:76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1"/>
      <c r="O147" s="21"/>
      <c r="P147" s="21"/>
      <c r="Q147" s="2"/>
      <c r="R147" s="2"/>
      <c r="S147" s="2"/>
      <c r="T147" s="11"/>
      <c r="U147" s="2"/>
      <c r="V147" s="11"/>
      <c r="W147" s="5"/>
      <c r="X147" s="2"/>
      <c r="Y147" s="5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</row>
    <row r="148" spans="1:76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1"/>
      <c r="O148" s="21"/>
      <c r="P148" s="21"/>
      <c r="Q148" s="2"/>
      <c r="R148" s="2"/>
      <c r="S148" s="2"/>
      <c r="T148" s="11"/>
      <c r="U148" s="2"/>
      <c r="V148" s="11"/>
      <c r="W148" s="5"/>
      <c r="X148" s="2"/>
      <c r="Y148" s="5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</row>
    <row r="149" spans="1:76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1"/>
      <c r="O149" s="21"/>
      <c r="P149" s="21"/>
      <c r="Q149" s="2"/>
      <c r="R149" s="2"/>
      <c r="S149" s="2"/>
      <c r="T149" s="11"/>
      <c r="U149" s="2"/>
      <c r="V149" s="11"/>
      <c r="W149" s="5"/>
      <c r="X149" s="2"/>
      <c r="Y149" s="5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</row>
    <row r="150" spans="1:76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1"/>
      <c r="O150" s="21"/>
      <c r="P150" s="21"/>
      <c r="Q150" s="2"/>
      <c r="R150" s="2"/>
      <c r="S150" s="2"/>
      <c r="T150" s="11"/>
      <c r="U150" s="2"/>
      <c r="V150" s="11"/>
      <c r="W150" s="5"/>
      <c r="X150" s="2"/>
      <c r="Y150" s="5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</row>
    <row r="151" spans="1:76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1"/>
      <c r="O151" s="21"/>
      <c r="P151" s="21"/>
      <c r="Q151" s="2"/>
      <c r="R151" s="2"/>
      <c r="S151" s="2"/>
      <c r="T151" s="11"/>
      <c r="U151" s="2"/>
      <c r="V151" s="11"/>
      <c r="W151" s="5"/>
      <c r="X151" s="2"/>
      <c r="Y151" s="5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</row>
    <row r="152" spans="1:76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1"/>
      <c r="O152" s="21"/>
      <c r="P152" s="21"/>
      <c r="Q152" s="2"/>
      <c r="R152" s="2"/>
      <c r="S152" s="2"/>
      <c r="T152" s="11"/>
      <c r="U152" s="2"/>
      <c r="V152" s="11"/>
      <c r="W152" s="5"/>
      <c r="X152" s="2"/>
      <c r="Y152" s="5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</row>
    <row r="153" spans="1:76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1"/>
      <c r="O153" s="21"/>
      <c r="P153" s="21"/>
      <c r="Q153" s="2"/>
      <c r="R153" s="2"/>
      <c r="S153" s="2"/>
      <c r="T153" s="11"/>
      <c r="U153" s="2"/>
      <c r="V153" s="11"/>
      <c r="W153" s="5"/>
      <c r="X153" s="2"/>
      <c r="Y153" s="5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</row>
    <row r="154" spans="1:76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1"/>
      <c r="O154" s="21"/>
      <c r="P154" s="21"/>
      <c r="Q154" s="2"/>
      <c r="R154" s="2"/>
      <c r="S154" s="2"/>
      <c r="T154" s="11"/>
      <c r="U154" s="2"/>
      <c r="V154" s="11"/>
      <c r="W154" s="5"/>
      <c r="X154" s="2"/>
      <c r="Y154" s="5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</row>
    <row r="155" spans="1:76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1"/>
      <c r="O155" s="21"/>
      <c r="P155" s="21"/>
      <c r="Q155" s="2"/>
      <c r="R155" s="2"/>
      <c r="S155" s="2"/>
      <c r="T155" s="11"/>
      <c r="U155" s="2"/>
      <c r="V155" s="11"/>
      <c r="W155" s="5"/>
      <c r="X155" s="2"/>
      <c r="Y155" s="5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</row>
    <row r="156" spans="1:76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1"/>
      <c r="O156" s="21"/>
      <c r="P156" s="21"/>
      <c r="Q156" s="2"/>
      <c r="R156" s="2"/>
      <c r="S156" s="2"/>
      <c r="T156" s="11"/>
      <c r="U156" s="2"/>
      <c r="V156" s="11"/>
      <c r="W156" s="5"/>
      <c r="X156" s="2"/>
      <c r="Y156" s="5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</row>
    <row r="157" spans="1:76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1"/>
      <c r="O157" s="21"/>
      <c r="P157" s="21"/>
      <c r="Q157" s="2"/>
      <c r="R157" s="2"/>
      <c r="S157" s="2"/>
      <c r="T157" s="11"/>
      <c r="U157" s="2"/>
      <c r="V157" s="11"/>
      <c r="W157" s="5"/>
      <c r="X157" s="2"/>
      <c r="Y157" s="5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</row>
    <row r="158" spans="1:76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1"/>
      <c r="O158" s="21"/>
      <c r="P158" s="21"/>
      <c r="Q158" s="2"/>
      <c r="R158" s="2"/>
      <c r="S158" s="2"/>
      <c r="T158" s="11"/>
      <c r="U158" s="2"/>
      <c r="V158" s="11"/>
      <c r="W158" s="5"/>
      <c r="X158" s="2"/>
      <c r="Y158" s="5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</row>
    <row r="159" spans="1:76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1"/>
      <c r="O159" s="21"/>
      <c r="P159" s="21"/>
      <c r="Q159" s="2"/>
      <c r="R159" s="2"/>
      <c r="S159" s="2"/>
      <c r="T159" s="11"/>
      <c r="U159" s="2"/>
      <c r="V159" s="11"/>
      <c r="W159" s="5"/>
      <c r="X159" s="2"/>
      <c r="Y159" s="5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</row>
    <row r="160" spans="1:76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1"/>
      <c r="O160" s="21"/>
      <c r="P160" s="21"/>
      <c r="Q160" s="2"/>
      <c r="R160" s="2"/>
      <c r="S160" s="2"/>
      <c r="T160" s="11"/>
      <c r="U160" s="2"/>
      <c r="V160" s="11"/>
      <c r="W160" s="5"/>
      <c r="X160" s="2"/>
      <c r="Y160" s="5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</row>
    <row r="161" spans="1:76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1"/>
      <c r="O161" s="21"/>
      <c r="P161" s="21"/>
      <c r="Q161" s="2"/>
      <c r="R161" s="2"/>
      <c r="S161" s="2"/>
      <c r="T161" s="11"/>
      <c r="U161" s="2"/>
      <c r="V161" s="11"/>
      <c r="W161" s="5"/>
      <c r="X161" s="2"/>
      <c r="Y161" s="5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</row>
    <row r="162" spans="1:76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1"/>
      <c r="O162" s="21"/>
      <c r="P162" s="21"/>
      <c r="Q162" s="2"/>
      <c r="R162" s="2"/>
      <c r="S162" s="2"/>
      <c r="T162" s="11"/>
      <c r="U162" s="2"/>
      <c r="V162" s="11"/>
      <c r="W162" s="5"/>
      <c r="X162" s="2"/>
      <c r="Y162" s="5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</row>
    <row r="163" spans="1:76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1"/>
      <c r="O163" s="21"/>
      <c r="P163" s="21"/>
      <c r="Q163" s="2"/>
      <c r="R163" s="2"/>
      <c r="S163" s="2"/>
      <c r="T163" s="11"/>
      <c r="U163" s="2"/>
      <c r="V163" s="11"/>
      <c r="W163" s="5"/>
      <c r="X163" s="2"/>
      <c r="Y163" s="5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</row>
    <row r="164" spans="1:76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21"/>
      <c r="O164" s="21"/>
      <c r="P164" s="21"/>
      <c r="Q164" s="2"/>
      <c r="R164" s="2"/>
      <c r="S164" s="2"/>
      <c r="T164" s="11"/>
      <c r="U164" s="2"/>
      <c r="V164" s="11"/>
      <c r="W164" s="5"/>
      <c r="X164" s="2"/>
      <c r="Y164" s="5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</row>
    <row r="165" spans="1:76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21"/>
      <c r="O165" s="21"/>
      <c r="P165" s="21"/>
      <c r="Q165" s="2"/>
      <c r="R165" s="2"/>
      <c r="S165" s="2"/>
      <c r="T165" s="11"/>
      <c r="U165" s="2"/>
      <c r="V165" s="11"/>
      <c r="W165" s="5"/>
      <c r="X165" s="2"/>
      <c r="Y165" s="5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</row>
    <row r="166" spans="1:76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21"/>
      <c r="O166" s="21"/>
      <c r="P166" s="21"/>
      <c r="Q166" s="2"/>
      <c r="R166" s="2"/>
      <c r="S166" s="2"/>
      <c r="T166" s="11"/>
      <c r="U166" s="2"/>
      <c r="V166" s="11"/>
      <c r="W166" s="5"/>
      <c r="X166" s="2"/>
      <c r="Y166" s="5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</row>
    <row r="167" spans="1:76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21"/>
      <c r="O167" s="21"/>
      <c r="P167" s="21"/>
      <c r="Q167" s="2"/>
      <c r="R167" s="2"/>
      <c r="S167" s="2"/>
      <c r="T167" s="11"/>
      <c r="U167" s="2"/>
      <c r="V167" s="11"/>
      <c r="W167" s="5"/>
      <c r="X167" s="2"/>
      <c r="Y167" s="5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</row>
    <row r="168" spans="1:76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21"/>
      <c r="O168" s="21"/>
      <c r="P168" s="21"/>
      <c r="Q168" s="2"/>
      <c r="R168" s="2"/>
      <c r="S168" s="2"/>
      <c r="T168" s="11"/>
      <c r="U168" s="2"/>
      <c r="V168" s="11"/>
      <c r="W168" s="5"/>
      <c r="X168" s="2"/>
      <c r="Y168" s="5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</row>
    <row r="169" spans="1:76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21"/>
      <c r="O169" s="21"/>
      <c r="P169" s="21"/>
      <c r="Q169" s="2"/>
      <c r="R169" s="2"/>
      <c r="S169" s="2"/>
      <c r="T169" s="11"/>
      <c r="U169" s="2"/>
      <c r="V169" s="11"/>
      <c r="W169" s="5"/>
      <c r="X169" s="2"/>
      <c r="Y169" s="5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</row>
    <row r="170" spans="1:76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21"/>
      <c r="O170" s="21"/>
      <c r="P170" s="21"/>
      <c r="Q170" s="2"/>
      <c r="R170" s="2"/>
      <c r="S170" s="2"/>
      <c r="T170" s="11"/>
      <c r="U170" s="2"/>
      <c r="V170" s="11"/>
      <c r="W170" s="5"/>
      <c r="X170" s="2"/>
      <c r="Y170" s="5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</row>
    <row r="171" spans="1:76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21"/>
      <c r="O171" s="21"/>
      <c r="P171" s="21"/>
      <c r="Q171" s="2"/>
      <c r="R171" s="2"/>
      <c r="S171" s="2"/>
      <c r="T171" s="11"/>
      <c r="U171" s="2"/>
      <c r="V171" s="11"/>
      <c r="W171" s="5"/>
      <c r="X171" s="2"/>
      <c r="Y171" s="5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</row>
    <row r="172" spans="1:76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21"/>
      <c r="O172" s="21"/>
      <c r="P172" s="21"/>
      <c r="Q172" s="2"/>
      <c r="R172" s="2"/>
      <c r="S172" s="2"/>
      <c r="T172" s="11"/>
      <c r="U172" s="2"/>
      <c r="V172" s="11"/>
      <c r="W172" s="5"/>
      <c r="X172" s="2"/>
      <c r="Y172" s="5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</row>
    <row r="173" spans="1:76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21"/>
      <c r="O173" s="21"/>
      <c r="P173" s="21"/>
      <c r="Q173" s="2"/>
      <c r="R173" s="2"/>
      <c r="S173" s="2"/>
      <c r="T173" s="11"/>
      <c r="U173" s="2"/>
      <c r="V173" s="11"/>
      <c r="W173" s="5"/>
      <c r="X173" s="2"/>
      <c r="Y173" s="5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</row>
    <row r="174" spans="1:76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21"/>
      <c r="O174" s="21"/>
      <c r="P174" s="21"/>
      <c r="Q174" s="2"/>
      <c r="R174" s="2"/>
      <c r="S174" s="2"/>
      <c r="T174" s="11"/>
      <c r="U174" s="2"/>
      <c r="V174" s="11"/>
      <c r="W174" s="5"/>
      <c r="X174" s="2"/>
      <c r="Y174" s="5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</row>
    <row r="175" spans="1:76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21"/>
      <c r="O175" s="21"/>
      <c r="P175" s="21"/>
      <c r="Q175" s="2"/>
      <c r="R175" s="2"/>
      <c r="S175" s="2"/>
      <c r="T175" s="11"/>
      <c r="U175" s="2"/>
      <c r="V175" s="11"/>
      <c r="W175" s="5"/>
      <c r="X175" s="2"/>
      <c r="Y175" s="5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</row>
    <row r="176" spans="1:76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21"/>
      <c r="O176" s="21"/>
      <c r="P176" s="21"/>
      <c r="Q176" s="2"/>
      <c r="R176" s="2"/>
      <c r="S176" s="2"/>
      <c r="T176" s="11"/>
      <c r="U176" s="2"/>
      <c r="V176" s="11"/>
      <c r="W176" s="5"/>
      <c r="X176" s="2"/>
      <c r="Y176" s="5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</row>
    <row r="177" spans="1:76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21"/>
      <c r="O177" s="21"/>
      <c r="P177" s="21"/>
      <c r="Q177" s="2"/>
      <c r="R177" s="2"/>
      <c r="S177" s="2"/>
      <c r="T177" s="11"/>
      <c r="U177" s="2"/>
      <c r="V177" s="11"/>
      <c r="W177" s="5"/>
      <c r="X177" s="2"/>
      <c r="Y177" s="5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</row>
    <row r="178" spans="1:76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21"/>
      <c r="O178" s="21"/>
      <c r="P178" s="21"/>
      <c r="Q178" s="2"/>
      <c r="R178" s="2"/>
      <c r="S178" s="2"/>
      <c r="T178" s="11"/>
      <c r="U178" s="2"/>
      <c r="V178" s="11"/>
      <c r="W178" s="5"/>
      <c r="X178" s="2"/>
      <c r="Y178" s="5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</row>
    <row r="179" spans="1:76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23"/>
      <c r="O179" s="23"/>
      <c r="P179" s="23"/>
      <c r="Q179" s="8"/>
      <c r="R179" s="8"/>
      <c r="S179" s="8"/>
      <c r="T179" s="13"/>
      <c r="U179" s="8"/>
      <c r="V179" s="13"/>
      <c r="W179" s="19"/>
      <c r="X179" s="8"/>
      <c r="Y179" s="19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</row>
    <row r="180" spans="1:76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23"/>
      <c r="O180" s="23"/>
      <c r="P180" s="23"/>
      <c r="Q180" s="8"/>
      <c r="R180" s="8"/>
      <c r="S180" s="8"/>
      <c r="T180" s="13"/>
      <c r="U180" s="8"/>
      <c r="V180" s="13"/>
      <c r="W180" s="19"/>
      <c r="X180" s="8"/>
      <c r="Y180" s="19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</row>
    <row r="181" spans="1:76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23"/>
      <c r="O181" s="23"/>
      <c r="P181" s="23"/>
      <c r="Q181" s="8"/>
      <c r="R181" s="8"/>
      <c r="S181" s="8"/>
      <c r="T181" s="13"/>
      <c r="U181" s="8"/>
      <c r="V181" s="13"/>
      <c r="W181" s="19"/>
      <c r="X181" s="8"/>
      <c r="Y181" s="19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</row>
    <row r="182" spans="1:76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23"/>
      <c r="O182" s="23"/>
      <c r="P182" s="23"/>
      <c r="Q182" s="8"/>
      <c r="R182" s="8"/>
      <c r="S182" s="8"/>
      <c r="T182" s="13"/>
      <c r="U182" s="8"/>
      <c r="V182" s="13"/>
      <c r="W182" s="19"/>
      <c r="X182" s="8"/>
      <c r="Y182" s="19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</row>
    <row r="183" spans="1:76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23"/>
      <c r="O183" s="23"/>
      <c r="P183" s="23"/>
      <c r="Q183" s="8"/>
      <c r="R183" s="8"/>
      <c r="S183" s="8"/>
      <c r="T183" s="13"/>
      <c r="U183" s="8"/>
      <c r="V183" s="13"/>
      <c r="W183" s="19"/>
      <c r="X183" s="8"/>
      <c r="Y183" s="19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</row>
    <row r="184" spans="1:76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23"/>
      <c r="O184" s="23"/>
      <c r="P184" s="23"/>
      <c r="Q184" s="8"/>
      <c r="R184" s="8"/>
      <c r="S184" s="8"/>
      <c r="T184" s="13"/>
      <c r="U184" s="8"/>
      <c r="V184" s="13"/>
      <c r="W184" s="19"/>
      <c r="X184" s="8"/>
      <c r="Y184" s="19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</row>
    <row r="185" spans="1:76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23"/>
      <c r="O185" s="23"/>
      <c r="P185" s="23"/>
      <c r="Q185" s="8"/>
      <c r="R185" s="8"/>
      <c r="S185" s="8"/>
      <c r="T185" s="13"/>
      <c r="U185" s="8"/>
      <c r="V185" s="13"/>
      <c r="W185" s="19"/>
      <c r="X185" s="8"/>
      <c r="Y185" s="19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</row>
    <row r="186" spans="1:76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23"/>
      <c r="O186" s="23"/>
      <c r="P186" s="23"/>
      <c r="Q186" s="8"/>
      <c r="R186" s="8"/>
      <c r="S186" s="8"/>
      <c r="T186" s="13"/>
      <c r="U186" s="8"/>
      <c r="V186" s="13"/>
      <c r="W186" s="19"/>
      <c r="X186" s="8"/>
      <c r="Y186" s="19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</row>
    <row r="187" spans="1:76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23"/>
      <c r="O187" s="23"/>
      <c r="P187" s="23"/>
      <c r="Q187" s="8"/>
      <c r="R187" s="8"/>
      <c r="S187" s="8"/>
      <c r="T187" s="13"/>
      <c r="U187" s="8"/>
      <c r="V187" s="13"/>
      <c r="W187" s="19"/>
      <c r="X187" s="8"/>
      <c r="Y187" s="19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</row>
    <row r="188" spans="1:76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23"/>
      <c r="O188" s="23"/>
      <c r="P188" s="23"/>
      <c r="Q188" s="8"/>
      <c r="R188" s="8"/>
      <c r="S188" s="8"/>
      <c r="T188" s="13"/>
      <c r="U188" s="8"/>
      <c r="V188" s="13"/>
      <c r="W188" s="19"/>
      <c r="X188" s="8"/>
      <c r="Y188" s="19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</row>
    <row r="189" spans="1:76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4"/>
      <c r="L189" s="3"/>
      <c r="M189" s="3"/>
      <c r="N189" s="23"/>
      <c r="O189" s="23"/>
      <c r="P189" s="23"/>
      <c r="Q189" s="8"/>
      <c r="R189" s="8"/>
      <c r="S189" s="8"/>
      <c r="T189" s="13"/>
      <c r="U189" s="8"/>
      <c r="V189" s="13"/>
      <c r="W189" s="19"/>
      <c r="X189" s="8"/>
      <c r="Y189" s="19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</row>
    <row r="190" spans="1:76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4"/>
      <c r="L190" s="3"/>
      <c r="M190" s="3"/>
      <c r="N190" s="23"/>
      <c r="O190" s="23"/>
      <c r="P190" s="23"/>
      <c r="Q190" s="8"/>
      <c r="R190" s="8"/>
      <c r="S190" s="8"/>
      <c r="T190" s="13"/>
      <c r="U190" s="8"/>
      <c r="V190" s="13"/>
      <c r="W190" s="19"/>
      <c r="X190" s="8"/>
      <c r="Y190" s="19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</row>
    <row r="191" spans="1:76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4"/>
      <c r="L191" s="3"/>
      <c r="M191" s="3"/>
      <c r="N191" s="23"/>
      <c r="O191" s="23"/>
      <c r="P191" s="23"/>
      <c r="Q191" s="8"/>
      <c r="R191" s="8"/>
      <c r="S191" s="8"/>
      <c r="T191" s="13"/>
      <c r="U191" s="8"/>
      <c r="V191" s="13"/>
      <c r="W191" s="19"/>
      <c r="X191" s="8"/>
      <c r="Y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</row>
    <row r="192" spans="1:76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4"/>
      <c r="L192" s="3"/>
      <c r="M192" s="3"/>
      <c r="N192" s="23"/>
      <c r="O192" s="23"/>
      <c r="P192" s="23"/>
      <c r="Q192" s="8"/>
      <c r="R192" s="8"/>
      <c r="S192" s="8"/>
      <c r="T192" s="13"/>
      <c r="U192" s="8"/>
      <c r="V192" s="13"/>
      <c r="W192" s="19"/>
      <c r="X192" s="8"/>
      <c r="Y192" s="19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</row>
    <row r="193" spans="1:76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4"/>
      <c r="L193" s="3"/>
      <c r="M193" s="3"/>
      <c r="N193" s="23"/>
      <c r="O193" s="23"/>
      <c r="P193" s="23"/>
      <c r="Q193" s="8"/>
      <c r="R193" s="8"/>
      <c r="S193" s="8"/>
      <c r="T193" s="13"/>
      <c r="U193" s="8"/>
      <c r="V193" s="13"/>
      <c r="W193" s="19"/>
      <c r="X193" s="8"/>
      <c r="Y193" s="19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</row>
    <row r="194" spans="1:76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4"/>
      <c r="L194" s="3"/>
      <c r="M194" s="3"/>
      <c r="N194" s="23"/>
      <c r="O194" s="23"/>
      <c r="P194" s="23"/>
      <c r="Q194" s="8"/>
      <c r="R194" s="8"/>
      <c r="S194" s="8"/>
      <c r="T194" s="13"/>
      <c r="U194" s="8"/>
      <c r="V194" s="13"/>
      <c r="W194" s="19"/>
      <c r="X194" s="8"/>
      <c r="Y194" s="19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</row>
    <row r="195" spans="1:76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4"/>
      <c r="L195" s="3"/>
      <c r="M195" s="3"/>
      <c r="N195" s="23"/>
      <c r="O195" s="23"/>
      <c r="P195" s="23"/>
      <c r="Q195" s="8"/>
      <c r="R195" s="8"/>
      <c r="S195" s="8"/>
      <c r="T195" s="13"/>
      <c r="U195" s="8"/>
      <c r="V195" s="13"/>
      <c r="W195" s="19"/>
      <c r="X195" s="8"/>
      <c r="Y195" s="19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</row>
    <row r="196" spans="1:76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4"/>
      <c r="L196" s="3"/>
      <c r="M196" s="3"/>
      <c r="N196" s="23"/>
      <c r="O196" s="23"/>
      <c r="P196" s="23"/>
      <c r="Q196" s="8"/>
      <c r="R196" s="8"/>
      <c r="S196" s="8"/>
      <c r="T196" s="13"/>
      <c r="U196" s="8"/>
      <c r="V196" s="13"/>
      <c r="W196" s="19"/>
      <c r="X196" s="8"/>
      <c r="Y196" s="19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</row>
    <row r="197" spans="1:76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4"/>
      <c r="L197" s="3"/>
      <c r="M197" s="3"/>
      <c r="N197" s="23"/>
      <c r="O197" s="23"/>
      <c r="P197" s="23"/>
      <c r="Q197" s="8"/>
      <c r="R197" s="8"/>
      <c r="S197" s="8"/>
      <c r="T197" s="13"/>
      <c r="U197" s="8"/>
      <c r="V197" s="13"/>
      <c r="W197" s="19"/>
      <c r="X197" s="8"/>
      <c r="Y197" s="19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</row>
    <row r="198" spans="1:76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4"/>
      <c r="L198" s="3"/>
      <c r="M198" s="3"/>
      <c r="N198" s="23"/>
      <c r="O198" s="23"/>
      <c r="P198" s="23"/>
      <c r="Q198" s="8"/>
      <c r="R198" s="8"/>
      <c r="S198" s="8"/>
      <c r="T198" s="13"/>
      <c r="U198" s="8"/>
      <c r="V198" s="13"/>
      <c r="W198" s="19"/>
      <c r="X198" s="8"/>
      <c r="Y198" s="19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</row>
    <row r="199" spans="1:76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4"/>
      <c r="L199" s="3"/>
      <c r="M199" s="3"/>
      <c r="N199" s="23"/>
      <c r="O199" s="23"/>
      <c r="P199" s="23"/>
      <c r="Q199" s="8"/>
      <c r="R199" s="8"/>
      <c r="S199" s="8"/>
      <c r="T199" s="13"/>
      <c r="U199" s="8"/>
      <c r="V199" s="13"/>
      <c r="W199" s="19"/>
      <c r="X199" s="8"/>
      <c r="Y199" s="19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</row>
    <row r="200" spans="1:76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4"/>
      <c r="L200" s="3"/>
      <c r="M200" s="3"/>
      <c r="N200" s="23"/>
      <c r="O200" s="23"/>
      <c r="P200" s="23"/>
      <c r="Q200" s="8"/>
      <c r="R200" s="8"/>
      <c r="S200" s="8"/>
      <c r="T200" s="13"/>
      <c r="U200" s="8"/>
      <c r="V200" s="13"/>
      <c r="W200" s="19"/>
      <c r="X200" s="8"/>
      <c r="Y200" s="19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</row>
    <row r="201" spans="1:76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4"/>
      <c r="L201" s="3"/>
      <c r="M201" s="3"/>
      <c r="N201" s="23"/>
      <c r="O201" s="23"/>
      <c r="P201" s="23"/>
      <c r="Q201" s="8"/>
      <c r="R201" s="8"/>
      <c r="S201" s="8"/>
      <c r="T201" s="13"/>
      <c r="U201" s="8"/>
      <c r="V201" s="13"/>
      <c r="W201" s="19"/>
      <c r="X201" s="8"/>
      <c r="Y201" s="19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</row>
    <row r="202" spans="1:76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4"/>
      <c r="L202" s="3"/>
      <c r="M202" s="3"/>
      <c r="N202" s="23"/>
      <c r="O202" s="23"/>
      <c r="P202" s="23"/>
      <c r="Q202" s="8"/>
      <c r="R202" s="8"/>
      <c r="S202" s="8"/>
      <c r="T202" s="13"/>
      <c r="U202" s="8"/>
      <c r="V202" s="13"/>
      <c r="W202" s="19"/>
      <c r="X202" s="8"/>
      <c r="Y202" s="19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</row>
    <row r="203" spans="1:76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4"/>
      <c r="L203" s="3"/>
      <c r="M203" s="3"/>
      <c r="N203" s="23"/>
      <c r="O203" s="23"/>
      <c r="P203" s="23"/>
      <c r="Q203" s="8"/>
      <c r="R203" s="8"/>
      <c r="S203" s="8"/>
      <c r="T203" s="13"/>
      <c r="U203" s="8"/>
      <c r="V203" s="13"/>
      <c r="W203" s="19"/>
      <c r="X203" s="8"/>
      <c r="Y203" s="19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</row>
    <row r="204" spans="1:76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4"/>
      <c r="L204" s="3"/>
      <c r="M204" s="3"/>
      <c r="N204" s="23"/>
      <c r="O204" s="23"/>
      <c r="P204" s="23"/>
      <c r="Q204" s="8"/>
      <c r="R204" s="8"/>
      <c r="S204" s="8"/>
      <c r="T204" s="13"/>
      <c r="U204" s="8"/>
      <c r="V204" s="13"/>
      <c r="W204" s="19"/>
      <c r="X204" s="8"/>
      <c r="Y204" s="19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</row>
    <row r="205" spans="1:76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4"/>
      <c r="L205" s="3"/>
      <c r="M205" s="3"/>
      <c r="N205" s="23"/>
      <c r="O205" s="23"/>
      <c r="P205" s="23"/>
      <c r="Q205" s="8"/>
      <c r="R205" s="8"/>
      <c r="S205" s="8"/>
      <c r="T205" s="13"/>
      <c r="U205" s="8"/>
      <c r="V205" s="13"/>
      <c r="W205" s="19"/>
      <c r="X205" s="8"/>
      <c r="Y205" s="19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</row>
    <row r="206" spans="1:76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4"/>
      <c r="L206" s="3"/>
      <c r="M206" s="3"/>
      <c r="N206" s="23"/>
      <c r="O206" s="23"/>
      <c r="P206" s="23"/>
      <c r="Q206" s="8"/>
      <c r="R206" s="8"/>
      <c r="S206" s="8"/>
      <c r="T206" s="13"/>
      <c r="U206" s="8"/>
      <c r="V206" s="13"/>
      <c r="W206" s="19"/>
      <c r="X206" s="8"/>
      <c r="Y206" s="19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</row>
    <row r="207" spans="1:76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4"/>
      <c r="L207" s="3"/>
      <c r="M207" s="3"/>
      <c r="N207" s="23"/>
      <c r="O207" s="23"/>
      <c r="P207" s="23"/>
      <c r="Q207" s="8"/>
      <c r="R207" s="8"/>
      <c r="S207" s="8"/>
      <c r="T207" s="13"/>
      <c r="U207" s="8"/>
      <c r="V207" s="13"/>
      <c r="W207" s="19"/>
      <c r="X207" s="8"/>
      <c r="Y207" s="19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</row>
    <row r="208" spans="1:76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4"/>
      <c r="L208" s="3"/>
      <c r="M208" s="3"/>
      <c r="N208" s="23"/>
      <c r="O208" s="23"/>
      <c r="P208" s="23"/>
      <c r="Q208" s="8"/>
      <c r="R208" s="8"/>
      <c r="S208" s="8"/>
      <c r="T208" s="13"/>
      <c r="U208" s="8"/>
      <c r="V208" s="13"/>
      <c r="W208" s="19"/>
      <c r="X208" s="8"/>
      <c r="Y208" s="19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</row>
    <row r="209" spans="1:76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4"/>
      <c r="L209" s="3"/>
      <c r="M209" s="3"/>
      <c r="N209" s="23"/>
      <c r="O209" s="23"/>
      <c r="P209" s="23"/>
      <c r="Q209" s="8"/>
      <c r="R209" s="8"/>
      <c r="S209" s="8"/>
      <c r="T209" s="13"/>
      <c r="U209" s="8"/>
      <c r="V209" s="13"/>
      <c r="W209" s="19"/>
      <c r="X209" s="8"/>
      <c r="Y209" s="19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</row>
    <row r="210" spans="1:76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4"/>
      <c r="L210" s="3"/>
      <c r="M210" s="3"/>
      <c r="N210" s="23"/>
      <c r="O210" s="23"/>
      <c r="P210" s="23"/>
      <c r="Q210" s="8"/>
      <c r="R210" s="8"/>
      <c r="S210" s="8"/>
      <c r="T210" s="13"/>
      <c r="U210" s="8"/>
      <c r="V210" s="13"/>
      <c r="W210" s="19"/>
      <c r="X210" s="8"/>
      <c r="Y210" s="19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</row>
    <row r="211" spans="1:76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4"/>
      <c r="L211" s="3"/>
      <c r="M211" s="3"/>
      <c r="N211" s="23"/>
      <c r="O211" s="23"/>
      <c r="P211" s="23"/>
      <c r="Q211" s="8"/>
      <c r="R211" s="8"/>
      <c r="S211" s="8"/>
      <c r="T211" s="13"/>
      <c r="U211" s="8"/>
      <c r="V211" s="13"/>
      <c r="W211" s="19"/>
      <c r="X211" s="8"/>
      <c r="Y211" s="19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</row>
    <row r="212" spans="1:76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4"/>
      <c r="L212" s="3"/>
      <c r="M212" s="3"/>
      <c r="N212" s="23"/>
      <c r="O212" s="23"/>
      <c r="P212" s="23"/>
      <c r="Q212" s="8"/>
      <c r="R212" s="8"/>
      <c r="S212" s="8"/>
      <c r="T212" s="13"/>
      <c r="U212" s="8"/>
      <c r="V212" s="13"/>
      <c r="W212" s="19"/>
      <c r="X212" s="8"/>
      <c r="Y212" s="19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</row>
    <row r="213" spans="1:76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4"/>
      <c r="L213" s="3"/>
      <c r="M213" s="3"/>
      <c r="N213" s="23"/>
      <c r="O213" s="23"/>
      <c r="P213" s="23"/>
      <c r="Q213" s="8"/>
      <c r="R213" s="8"/>
      <c r="S213" s="8"/>
      <c r="T213" s="13"/>
      <c r="U213" s="8"/>
      <c r="V213" s="13"/>
      <c r="W213" s="19"/>
      <c r="X213" s="8"/>
      <c r="Y213" s="19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</row>
    <row r="214" spans="1:76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4"/>
      <c r="L214" s="3"/>
      <c r="M214" s="3"/>
      <c r="N214" s="23"/>
      <c r="O214" s="23"/>
      <c r="P214" s="23"/>
      <c r="Q214" s="8"/>
      <c r="R214" s="8"/>
      <c r="S214" s="8"/>
      <c r="T214" s="13"/>
      <c r="U214" s="8"/>
      <c r="V214" s="13"/>
      <c r="W214" s="19"/>
      <c r="X214" s="8"/>
      <c r="Y214" s="19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</row>
    <row r="215" spans="1:76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4"/>
      <c r="L215" s="3"/>
      <c r="M215" s="3"/>
      <c r="N215" s="23"/>
      <c r="O215" s="23"/>
      <c r="P215" s="23"/>
      <c r="Q215" s="8"/>
      <c r="R215" s="8"/>
      <c r="S215" s="8"/>
      <c r="T215" s="13"/>
      <c r="U215" s="8"/>
      <c r="V215" s="13"/>
      <c r="W215" s="19"/>
      <c r="X215" s="8"/>
      <c r="Y215" s="19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</row>
    <row r="216" spans="1:76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4"/>
      <c r="L216" s="3"/>
      <c r="M216" s="3"/>
      <c r="N216" s="23"/>
      <c r="O216" s="23"/>
      <c r="P216" s="23"/>
      <c r="Q216" s="8"/>
      <c r="R216" s="8"/>
      <c r="S216" s="8"/>
      <c r="T216" s="13"/>
      <c r="U216" s="8"/>
      <c r="V216" s="13"/>
      <c r="W216" s="19"/>
      <c r="X216" s="8"/>
      <c r="Y216" s="19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</row>
    <row r="217" spans="1:76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4"/>
      <c r="L217" s="3"/>
      <c r="M217" s="3"/>
      <c r="N217" s="23"/>
      <c r="O217" s="23"/>
      <c r="P217" s="23"/>
      <c r="Q217" s="8"/>
      <c r="R217" s="8"/>
      <c r="S217" s="8"/>
      <c r="T217" s="13"/>
      <c r="U217" s="8"/>
      <c r="V217" s="13"/>
      <c r="W217" s="19"/>
      <c r="X217" s="8"/>
      <c r="Y217" s="19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</row>
    <row r="218" spans="1:76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4"/>
      <c r="L218" s="3"/>
      <c r="M218" s="3"/>
      <c r="N218" s="23"/>
      <c r="O218" s="23"/>
      <c r="P218" s="23"/>
      <c r="Q218" s="8"/>
      <c r="R218" s="8"/>
      <c r="S218" s="8"/>
      <c r="T218" s="13"/>
      <c r="U218" s="8"/>
      <c r="V218" s="13"/>
      <c r="W218" s="19"/>
      <c r="X218" s="8"/>
      <c r="Y218" s="19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</row>
    <row r="219" spans="1:76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4"/>
      <c r="L219" s="3"/>
      <c r="M219" s="3"/>
      <c r="N219" s="23"/>
      <c r="O219" s="23"/>
      <c r="P219" s="23"/>
      <c r="Q219" s="8"/>
      <c r="R219" s="8"/>
      <c r="S219" s="8"/>
      <c r="T219" s="13"/>
      <c r="U219" s="8"/>
      <c r="V219" s="13"/>
      <c r="W219" s="19"/>
      <c r="X219" s="8"/>
      <c r="Y219" s="19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</row>
    <row r="220" spans="1:76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4"/>
      <c r="L220" s="3"/>
      <c r="M220" s="3"/>
      <c r="N220" s="23"/>
      <c r="O220" s="23"/>
      <c r="P220" s="23"/>
      <c r="Q220" s="8"/>
      <c r="R220" s="8"/>
      <c r="S220" s="8"/>
      <c r="T220" s="13"/>
      <c r="U220" s="8"/>
      <c r="V220" s="13"/>
      <c r="W220" s="19"/>
      <c r="X220" s="8"/>
      <c r="Y220" s="19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</row>
    <row r="221" spans="1:76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4"/>
      <c r="L221" s="3"/>
      <c r="M221" s="3"/>
      <c r="N221" s="23"/>
      <c r="O221" s="23"/>
      <c r="P221" s="23"/>
      <c r="Q221" s="8"/>
      <c r="R221" s="8"/>
      <c r="S221" s="8"/>
      <c r="T221" s="13"/>
      <c r="U221" s="8"/>
      <c r="V221" s="13"/>
      <c r="W221" s="19"/>
      <c r="X221" s="8"/>
      <c r="Y221" s="19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</row>
    <row r="222" spans="1:76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4"/>
      <c r="L222" s="3"/>
      <c r="M222" s="3"/>
      <c r="N222" s="23"/>
      <c r="O222" s="23"/>
      <c r="P222" s="23"/>
      <c r="Q222" s="8"/>
      <c r="R222" s="8"/>
      <c r="S222" s="8"/>
      <c r="T222" s="13"/>
      <c r="U222" s="8"/>
      <c r="V222" s="13"/>
      <c r="W222" s="19"/>
      <c r="X222" s="8"/>
      <c r="Y222" s="19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</row>
    <row r="223" spans="1:76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4"/>
      <c r="L223" s="3"/>
      <c r="M223" s="3"/>
      <c r="N223" s="23"/>
      <c r="O223" s="23"/>
      <c r="P223" s="23"/>
      <c r="Q223" s="8"/>
      <c r="R223" s="8"/>
      <c r="S223" s="8"/>
      <c r="T223" s="13"/>
      <c r="U223" s="8"/>
      <c r="V223" s="13"/>
      <c r="W223" s="19"/>
      <c r="X223" s="8"/>
      <c r="Y223" s="19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DE3D-E004-4BBD-9848-6C27AFE063B0}">
  <dimension ref="A1:BX188"/>
  <sheetViews>
    <sheetView topLeftCell="L1" zoomScale="120" zoomScaleNormal="12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4" customWidth="1"/>
    <col min="12" max="12" width="20.88671875" style="3" customWidth="1"/>
    <col min="13" max="13" width="27.33203125" style="3" customWidth="1"/>
    <col min="14" max="15" width="20.6640625" style="23" customWidth="1"/>
    <col min="16" max="16" width="32.88671875" style="23" customWidth="1"/>
    <col min="17" max="17" width="23.21875" style="8" customWidth="1"/>
    <col min="18" max="18" width="30.88671875" style="8" customWidth="1"/>
    <col min="19" max="19" width="20.6640625" style="8" customWidth="1"/>
    <col min="20" max="20" width="20.6640625" style="13" customWidth="1"/>
    <col min="21" max="21" width="20.6640625" style="8" customWidth="1"/>
    <col min="22" max="22" width="20.6640625" style="13" customWidth="1"/>
    <col min="23" max="23" width="23.77734375" style="19" customWidth="1"/>
    <col min="24" max="24" width="47.33203125" style="8" customWidth="1"/>
    <col min="25" max="25" width="51.6640625" style="19" customWidth="1"/>
    <col min="26" max="16384" width="8.88671875" style="6"/>
  </cols>
  <sheetData>
    <row r="1" spans="1:25" s="24" customFormat="1" ht="53.4" customHeight="1" x14ac:dyDescent="0.3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19</v>
      </c>
      <c r="N1" s="22" t="s">
        <v>26</v>
      </c>
      <c r="O1" s="22" t="s">
        <v>17</v>
      </c>
      <c r="P1" s="22" t="s">
        <v>18</v>
      </c>
      <c r="Q1" s="18" t="s">
        <v>12</v>
      </c>
      <c r="R1" s="17" t="s">
        <v>15</v>
      </c>
      <c r="S1" s="17" t="s">
        <v>16</v>
      </c>
      <c r="T1" s="12" t="s">
        <v>13</v>
      </c>
      <c r="U1" s="17" t="s">
        <v>14</v>
      </c>
      <c r="V1" s="12" t="s">
        <v>22</v>
      </c>
      <c r="W1" s="12" t="s">
        <v>21</v>
      </c>
      <c r="X1" s="25" t="s">
        <v>23</v>
      </c>
      <c r="Y1" s="25" t="s">
        <v>20</v>
      </c>
    </row>
    <row r="2" spans="1:25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8">
        <v>23.287128712871286</v>
      </c>
      <c r="L2" s="2">
        <f>(K2/1000000)</f>
        <v>2.3287128712871286E-5</v>
      </c>
      <c r="M2" s="3">
        <f>(3.142*3.07*3.07*25.4*25.4)/(4*1000000)</f>
        <v>4.7762865441819992E-3</v>
      </c>
      <c r="N2" s="21">
        <f>(L2*J2)/M2</f>
        <v>9.8120031942398019E-8</v>
      </c>
      <c r="O2" s="21">
        <f>(2.032/1000)</f>
        <v>2.032E-3</v>
      </c>
      <c r="P2" s="21">
        <v>1.0571269522665299E-10</v>
      </c>
      <c r="Q2" s="2">
        <v>0.31</v>
      </c>
      <c r="R2" s="2">
        <f>(1+Q2)*100000*1</f>
        <v>131000</v>
      </c>
      <c r="S2" s="2">
        <f>(5.24933748552653/1000)</f>
        <v>5.2493374855265302E-3</v>
      </c>
      <c r="T2" s="11">
        <v>0.06</v>
      </c>
      <c r="U2" s="11">
        <f>(1+T2)*100000</f>
        <v>106000</v>
      </c>
      <c r="V2" s="11">
        <f t="shared" ref="V2:V62" si="1">(L2*U2)</f>
        <v>2.4684356435643564</v>
      </c>
      <c r="W2" s="11">
        <f>((N2*O2/P2) + SQRT(V2))^2</f>
        <v>11.952094251571825</v>
      </c>
      <c r="X2" s="27">
        <f>(N2*S2)/(R2-W2)</f>
        <v>3.9321538872531491E-15</v>
      </c>
      <c r="Y2" s="27">
        <f>(X2*6.022E+23)</f>
        <v>2367943070.9038467</v>
      </c>
    </row>
    <row r="3" spans="1:25" x14ac:dyDescent="0.25">
      <c r="A3" s="26">
        <v>3</v>
      </c>
      <c r="B3" s="26">
        <f t="shared" ref="B3:B62" si="2">(A3/60)</f>
        <v>0.05</v>
      </c>
      <c r="C3" s="26">
        <v>20</v>
      </c>
      <c r="D3" s="26">
        <f t="shared" si="0"/>
        <v>29.146000000000001</v>
      </c>
      <c r="E3" s="26">
        <f t="shared" ref="E3:E62" si="3">(D3/(1000000*60))</f>
        <v>4.8576666666666667E-7</v>
      </c>
      <c r="F3" s="26">
        <v>21.1</v>
      </c>
      <c r="G3" s="26">
        <f t="shared" ref="G3:G62" si="4">(273+F3)</f>
        <v>294.10000000000002</v>
      </c>
      <c r="H3" s="26">
        <v>101.3</v>
      </c>
      <c r="I3" s="26">
        <f t="shared" ref="I3:I62" si="5">(H3*1000)</f>
        <v>101300</v>
      </c>
      <c r="J3" s="26">
        <f t="shared" ref="J3:J62" si="6">((I3*E3)/(8.314*G3))</f>
        <v>2.0124824921938581E-5</v>
      </c>
      <c r="K3" s="28">
        <v>17.915841584158418</v>
      </c>
      <c r="L3" s="27">
        <f t="shared" ref="L3:L62" si="7">(K3/1000000)</f>
        <v>1.7915841584158418E-5</v>
      </c>
      <c r="M3" s="29">
        <f t="shared" ref="M3:M66" si="8">(3.142*3.07*3.07*25.4*25.4)/(4*1000000)</f>
        <v>4.7762865441819992E-3</v>
      </c>
      <c r="N3" s="33">
        <f t="shared" ref="N3:N62" si="9">(L3*J3)/M3</f>
        <v>7.5488179336636577E-8</v>
      </c>
      <c r="O3" s="21">
        <f t="shared" ref="O3:O66" si="10">(2.032/1000)</f>
        <v>2.032E-3</v>
      </c>
      <c r="P3" s="21">
        <v>1.0571269522665299E-10</v>
      </c>
      <c r="Q3" s="2">
        <v>0.31</v>
      </c>
      <c r="R3" s="27">
        <f t="shared" ref="R3:R62" si="11">(1+Q3)*100000*1</f>
        <v>131000</v>
      </c>
      <c r="S3" s="2">
        <f t="shared" ref="S3:S66" si="12">(5.24933748552653/1000)</f>
        <v>5.2493374855265302E-3</v>
      </c>
      <c r="T3" s="11">
        <v>0.06</v>
      </c>
      <c r="U3" s="30">
        <f t="shared" ref="U3:U62" si="13">(1+T3)*100000</f>
        <v>106000</v>
      </c>
      <c r="V3" s="30">
        <f t="shared" si="1"/>
        <v>1.8990792079207923</v>
      </c>
      <c r="W3" s="11">
        <f t="shared" ref="W3:W62" si="14">((N3*O3/P3) + SQRT(V3))^2</f>
        <v>8.0037948111011925</v>
      </c>
      <c r="X3" s="27">
        <f t="shared" ref="X3:X62" si="15">(N3*S3)/(R3-W3)</f>
        <v>3.0250926849396217E-15</v>
      </c>
      <c r="Y3" s="27">
        <f t="shared" ref="Y3:Y62" si="16">(X3*6.022E+23)</f>
        <v>1821710814.8706403</v>
      </c>
    </row>
    <row r="4" spans="1:25" x14ac:dyDescent="0.25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19.524752475247524</v>
      </c>
      <c r="L4" s="27">
        <f t="shared" si="7"/>
        <v>1.9524752475247525E-5</v>
      </c>
      <c r="M4" s="29">
        <f t="shared" si="8"/>
        <v>4.7762865441819992E-3</v>
      </c>
      <c r="N4" s="33">
        <f t="shared" si="9"/>
        <v>8.2267305693201056E-8</v>
      </c>
      <c r="O4" s="21">
        <f t="shared" si="10"/>
        <v>2.032E-3</v>
      </c>
      <c r="P4" s="21">
        <v>1.0571269522665299E-10</v>
      </c>
      <c r="Q4" s="2">
        <v>0.31</v>
      </c>
      <c r="R4" s="27">
        <f t="shared" si="11"/>
        <v>131000</v>
      </c>
      <c r="S4" s="2">
        <f t="shared" si="12"/>
        <v>5.2493374855265302E-3</v>
      </c>
      <c r="T4" s="11">
        <v>0.06</v>
      </c>
      <c r="U4" s="30">
        <f t="shared" si="13"/>
        <v>106000</v>
      </c>
      <c r="V4" s="30">
        <f t="shared" si="1"/>
        <v>2.0696237623762377</v>
      </c>
      <c r="W4" s="11">
        <f t="shared" si="14"/>
        <v>9.1201192190435112</v>
      </c>
      <c r="X4" s="27">
        <f t="shared" si="15"/>
        <v>3.2967856388294366E-15</v>
      </c>
      <c r="Y4" s="27">
        <f t="shared" si="16"/>
        <v>1985324311.7030869</v>
      </c>
    </row>
    <row r="5" spans="1:25" x14ac:dyDescent="0.25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21.059405940594061</v>
      </c>
      <c r="L5" s="27">
        <f t="shared" si="7"/>
        <v>2.1059405940594063E-5</v>
      </c>
      <c r="M5" s="29">
        <f t="shared" si="8"/>
        <v>4.7762865441819992E-3</v>
      </c>
      <c r="N5" s="33">
        <f t="shared" si="9"/>
        <v>8.8733549294847203E-8</v>
      </c>
      <c r="O5" s="21">
        <f t="shared" si="10"/>
        <v>2.032E-3</v>
      </c>
      <c r="P5" s="21">
        <v>1.0571269522665299E-10</v>
      </c>
      <c r="Q5" s="2">
        <v>0.31</v>
      </c>
      <c r="R5" s="27">
        <f t="shared" si="11"/>
        <v>131000</v>
      </c>
      <c r="S5" s="2">
        <f t="shared" si="12"/>
        <v>5.2493374855265302E-3</v>
      </c>
      <c r="T5" s="11">
        <v>0.06</v>
      </c>
      <c r="U5" s="30">
        <f t="shared" si="13"/>
        <v>106000</v>
      </c>
      <c r="V5" s="30">
        <f t="shared" si="1"/>
        <v>2.2322970297029707</v>
      </c>
      <c r="W5" s="11">
        <f t="shared" si="14"/>
        <v>10.238180739458565</v>
      </c>
      <c r="X5" s="27">
        <f t="shared" si="15"/>
        <v>3.5559446789433602E-15</v>
      </c>
      <c r="Y5" s="27">
        <f t="shared" si="16"/>
        <v>2141389885.6596916</v>
      </c>
    </row>
    <row r="6" spans="1:25" x14ac:dyDescent="0.25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19.846534653465348</v>
      </c>
      <c r="L6" s="27">
        <f t="shared" si="7"/>
        <v>1.9846534653465346E-5</v>
      </c>
      <c r="M6" s="29">
        <f t="shared" si="8"/>
        <v>4.7762865441819992E-3</v>
      </c>
      <c r="N6" s="33">
        <f t="shared" si="9"/>
        <v>8.3623130964513944E-8</v>
      </c>
      <c r="O6" s="21">
        <f t="shared" si="10"/>
        <v>2.032E-3</v>
      </c>
      <c r="P6" s="21">
        <v>1.0571269522665299E-10</v>
      </c>
      <c r="Q6" s="2">
        <v>0.31</v>
      </c>
      <c r="R6" s="27">
        <f t="shared" si="11"/>
        <v>131000</v>
      </c>
      <c r="S6" s="2">
        <f t="shared" si="12"/>
        <v>5.2493374855265302E-3</v>
      </c>
      <c r="T6" s="11">
        <v>0.06</v>
      </c>
      <c r="U6" s="30">
        <f t="shared" si="13"/>
        <v>106000</v>
      </c>
      <c r="V6" s="30">
        <f t="shared" si="1"/>
        <v>2.1037326732673267</v>
      </c>
      <c r="W6" s="11">
        <f t="shared" si="14"/>
        <v>9.3502714892638377</v>
      </c>
      <c r="X6" s="27">
        <f t="shared" si="15"/>
        <v>3.3511249615061214E-15</v>
      </c>
      <c r="Y6" s="27">
        <f t="shared" si="16"/>
        <v>2018047451.8189864</v>
      </c>
    </row>
    <row r="7" spans="1:25" x14ac:dyDescent="0.25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19.747524752475247</v>
      </c>
      <c r="L7" s="27">
        <f t="shared" si="7"/>
        <v>1.9747524752475247E-5</v>
      </c>
      <c r="M7" s="29">
        <f t="shared" si="8"/>
        <v>4.7762865441819992E-3</v>
      </c>
      <c r="N7" s="33">
        <f t="shared" si="9"/>
        <v>8.3205953957956133E-8</v>
      </c>
      <c r="O7" s="21">
        <f t="shared" si="10"/>
        <v>2.032E-3</v>
      </c>
      <c r="P7" s="21">
        <v>1.0571269522665299E-10</v>
      </c>
      <c r="Q7" s="2">
        <v>0.31</v>
      </c>
      <c r="R7" s="27">
        <f t="shared" si="11"/>
        <v>131000</v>
      </c>
      <c r="S7" s="2">
        <f t="shared" si="12"/>
        <v>5.2493374855265302E-3</v>
      </c>
      <c r="T7" s="11">
        <v>0.06</v>
      </c>
      <c r="U7" s="30">
        <f t="shared" si="13"/>
        <v>106000</v>
      </c>
      <c r="V7" s="30">
        <f t="shared" si="1"/>
        <v>2.0932376237623762</v>
      </c>
      <c r="W7" s="11">
        <f t="shared" si="14"/>
        <v>9.2792124600654766</v>
      </c>
      <c r="X7" s="27">
        <f t="shared" si="15"/>
        <v>3.3344051433912E-15</v>
      </c>
      <c r="Y7" s="27">
        <f t="shared" si="16"/>
        <v>2007978777.3501806</v>
      </c>
    </row>
    <row r="8" spans="1:25" x14ac:dyDescent="0.25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15.366336633663368</v>
      </c>
      <c r="L8" s="27">
        <f t="shared" si="7"/>
        <v>1.5366336633663367E-5</v>
      </c>
      <c r="M8" s="29">
        <f t="shared" si="8"/>
        <v>4.7762865441819992E-3</v>
      </c>
      <c r="N8" s="33">
        <f t="shared" si="9"/>
        <v>6.4745871417772834E-8</v>
      </c>
      <c r="O8" s="21">
        <f t="shared" si="10"/>
        <v>2.032E-3</v>
      </c>
      <c r="P8" s="21">
        <v>1.0571269522665299E-10</v>
      </c>
      <c r="Q8" s="2">
        <v>0.31</v>
      </c>
      <c r="R8" s="27">
        <f t="shared" si="11"/>
        <v>131000</v>
      </c>
      <c r="S8" s="2">
        <f t="shared" si="12"/>
        <v>5.2493374855265302E-3</v>
      </c>
      <c r="T8" s="11">
        <v>0.06</v>
      </c>
      <c r="U8" s="30">
        <f t="shared" si="13"/>
        <v>106000</v>
      </c>
      <c r="V8" s="30">
        <f t="shared" si="1"/>
        <v>1.6288316831683169</v>
      </c>
      <c r="W8" s="11">
        <f t="shared" si="14"/>
        <v>6.354413832423548</v>
      </c>
      <c r="X8" s="27">
        <f t="shared" si="15"/>
        <v>2.5945757013291719E-15</v>
      </c>
      <c r="Y8" s="27">
        <f t="shared" si="16"/>
        <v>1562453487.3404274</v>
      </c>
    </row>
    <row r="9" spans="1:25" x14ac:dyDescent="0.25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23.534653465346533</v>
      </c>
      <c r="L9" s="27">
        <f t="shared" si="7"/>
        <v>2.3534653465346533E-5</v>
      </c>
      <c r="M9" s="29">
        <f t="shared" si="8"/>
        <v>4.7762865441819992E-3</v>
      </c>
      <c r="N9" s="33">
        <f t="shared" si="9"/>
        <v>9.9162974458792548E-8</v>
      </c>
      <c r="O9" s="21">
        <f t="shared" si="10"/>
        <v>2.032E-3</v>
      </c>
      <c r="P9" s="21">
        <v>1.0571269522665299E-10</v>
      </c>
      <c r="Q9" s="2">
        <v>0.31</v>
      </c>
      <c r="R9" s="27">
        <f t="shared" si="11"/>
        <v>131000</v>
      </c>
      <c r="S9" s="2">
        <f t="shared" si="12"/>
        <v>5.2493374855265302E-3</v>
      </c>
      <c r="T9" s="11">
        <v>0.06</v>
      </c>
      <c r="U9" s="30">
        <f t="shared" si="13"/>
        <v>106000</v>
      </c>
      <c r="V9" s="30">
        <f t="shared" si="1"/>
        <v>2.4946732673267324</v>
      </c>
      <c r="W9" s="11">
        <f t="shared" si="14"/>
        <v>12.149095906921373</v>
      </c>
      <c r="X9" s="27">
        <f t="shared" si="15"/>
        <v>3.9739557173434308E-15</v>
      </c>
      <c r="Y9" s="27">
        <f t="shared" si="16"/>
        <v>2393116132.9842143</v>
      </c>
    </row>
    <row r="10" spans="1:25" x14ac:dyDescent="0.25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33.509900990099005</v>
      </c>
      <c r="L10" s="27">
        <f t="shared" si="7"/>
        <v>3.3509900990099003E-5</v>
      </c>
      <c r="M10" s="29">
        <f t="shared" si="8"/>
        <v>4.7762865441819992E-3</v>
      </c>
      <c r="N10" s="33">
        <f t="shared" si="9"/>
        <v>1.4119355786949234E-7</v>
      </c>
      <c r="O10" s="21">
        <f t="shared" si="10"/>
        <v>2.032E-3</v>
      </c>
      <c r="P10" s="21">
        <v>1.0571269522665299E-10</v>
      </c>
      <c r="Q10" s="2">
        <v>0.31</v>
      </c>
      <c r="R10" s="27">
        <f t="shared" si="11"/>
        <v>131000</v>
      </c>
      <c r="S10" s="2">
        <f t="shared" si="12"/>
        <v>5.2493374855265302E-3</v>
      </c>
      <c r="T10" s="11">
        <v>0.06</v>
      </c>
      <c r="U10" s="30">
        <f t="shared" si="13"/>
        <v>106000</v>
      </c>
      <c r="V10" s="30">
        <f t="shared" si="1"/>
        <v>3.5520495049504945</v>
      </c>
      <c r="W10" s="11">
        <f t="shared" si="14"/>
        <v>21.148024668203981</v>
      </c>
      <c r="X10" s="27">
        <f t="shared" si="15"/>
        <v>5.6587198991389542E-15</v>
      </c>
      <c r="Y10" s="27">
        <f t="shared" si="16"/>
        <v>3407681123.2614784</v>
      </c>
    </row>
    <row r="11" spans="1:25" x14ac:dyDescent="0.25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55.019801980198018</v>
      </c>
      <c r="L11" s="27">
        <f t="shared" si="7"/>
        <v>5.501980198019802E-5</v>
      </c>
      <c r="M11" s="29">
        <f t="shared" si="8"/>
        <v>4.7762865441819992E-3</v>
      </c>
      <c r="N11" s="33">
        <f t="shared" si="9"/>
        <v>2.3182526254417764E-7</v>
      </c>
      <c r="O11" s="21">
        <f t="shared" si="10"/>
        <v>2.032E-3</v>
      </c>
      <c r="P11" s="21">
        <v>1.0571269522665299E-10</v>
      </c>
      <c r="Q11" s="2">
        <v>0.31</v>
      </c>
      <c r="R11" s="27">
        <f t="shared" si="11"/>
        <v>131000</v>
      </c>
      <c r="S11" s="2">
        <f t="shared" si="12"/>
        <v>5.2493374855265302E-3</v>
      </c>
      <c r="T11" s="11">
        <v>0.06</v>
      </c>
      <c r="U11" s="30">
        <f t="shared" si="13"/>
        <v>106000</v>
      </c>
      <c r="V11" s="30">
        <f t="shared" si="1"/>
        <v>5.8320990099009897</v>
      </c>
      <c r="W11" s="11">
        <f t="shared" si="14"/>
        <v>47.211993730754884</v>
      </c>
      <c r="X11" s="27">
        <f t="shared" si="15"/>
        <v>9.2928837888271742E-15</v>
      </c>
      <c r="Y11" s="27">
        <f t="shared" si="16"/>
        <v>5596174617.6317244</v>
      </c>
    </row>
    <row r="12" spans="1:25" x14ac:dyDescent="0.25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72.965346534653463</v>
      </c>
      <c r="L12" s="27">
        <f t="shared" si="7"/>
        <v>7.2965346534653461E-5</v>
      </c>
      <c r="M12" s="29">
        <f t="shared" si="8"/>
        <v>4.7762865441819992E-3</v>
      </c>
      <c r="N12" s="33">
        <f t="shared" si="9"/>
        <v>3.0743859498278151E-7</v>
      </c>
      <c r="O12" s="21">
        <f t="shared" si="10"/>
        <v>2.032E-3</v>
      </c>
      <c r="P12" s="21">
        <v>1.0571269522665299E-10</v>
      </c>
      <c r="Q12" s="2">
        <v>0.31</v>
      </c>
      <c r="R12" s="27">
        <f t="shared" si="11"/>
        <v>131000</v>
      </c>
      <c r="S12" s="2">
        <f t="shared" si="12"/>
        <v>5.2493374855265302E-3</v>
      </c>
      <c r="T12" s="11">
        <v>0.06</v>
      </c>
      <c r="U12" s="30">
        <f t="shared" si="13"/>
        <v>106000</v>
      </c>
      <c r="V12" s="30">
        <f t="shared" si="1"/>
        <v>7.7343267326732672</v>
      </c>
      <c r="W12" s="11">
        <f t="shared" si="14"/>
        <v>75.526928296102383</v>
      </c>
      <c r="X12" s="27">
        <f t="shared" si="15"/>
        <v>1.2326564341082825E-14</v>
      </c>
      <c r="Y12" s="27">
        <f t="shared" si="16"/>
        <v>7423057046.2000771</v>
      </c>
    </row>
    <row r="13" spans="1:25" x14ac:dyDescent="0.25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97.123762376237622</v>
      </c>
      <c r="L13" s="27">
        <f t="shared" si="7"/>
        <v>9.7123762376237618E-5</v>
      </c>
      <c r="M13" s="29">
        <f t="shared" si="8"/>
        <v>4.7762865441819992E-3</v>
      </c>
      <c r="N13" s="33">
        <f t="shared" si="9"/>
        <v>4.0922978458288829E-7</v>
      </c>
      <c r="O13" s="21">
        <f t="shared" si="10"/>
        <v>2.032E-3</v>
      </c>
      <c r="P13" s="21">
        <v>1.0571269522665299E-10</v>
      </c>
      <c r="Q13" s="2">
        <v>0.31</v>
      </c>
      <c r="R13" s="27">
        <f t="shared" si="11"/>
        <v>131000</v>
      </c>
      <c r="S13" s="2">
        <f t="shared" si="12"/>
        <v>5.2493374855265302E-3</v>
      </c>
      <c r="T13" s="11">
        <v>0.06</v>
      </c>
      <c r="U13" s="30">
        <f t="shared" si="13"/>
        <v>106000</v>
      </c>
      <c r="V13" s="30">
        <f t="shared" si="1"/>
        <v>10.295118811881187</v>
      </c>
      <c r="W13" s="11">
        <f t="shared" si="14"/>
        <v>122.650733874344</v>
      </c>
      <c r="X13" s="27">
        <f t="shared" si="15"/>
        <v>1.6413728276516268E-14</v>
      </c>
      <c r="Y13" s="27">
        <f t="shared" si="16"/>
        <v>9884347168.1180973</v>
      </c>
    </row>
    <row r="14" spans="1:25" x14ac:dyDescent="0.25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121.08415841584161</v>
      </c>
      <c r="L14" s="27">
        <f t="shared" si="7"/>
        <v>1.2108415841584161E-4</v>
      </c>
      <c r="M14" s="29">
        <f t="shared" si="8"/>
        <v>4.7762865441819992E-3</v>
      </c>
      <c r="N14" s="33">
        <f t="shared" si="9"/>
        <v>5.1018662016987962E-7</v>
      </c>
      <c r="O14" s="21">
        <f t="shared" si="10"/>
        <v>2.032E-3</v>
      </c>
      <c r="P14" s="21">
        <v>1.0571269522665299E-10</v>
      </c>
      <c r="Q14" s="2">
        <v>0.31</v>
      </c>
      <c r="R14" s="27">
        <f t="shared" si="11"/>
        <v>131000</v>
      </c>
      <c r="S14" s="2">
        <f t="shared" si="12"/>
        <v>5.2493374855265302E-3</v>
      </c>
      <c r="T14" s="11">
        <v>0.06</v>
      </c>
      <c r="U14" s="30">
        <f t="shared" si="13"/>
        <v>106000</v>
      </c>
      <c r="V14" s="30">
        <f t="shared" si="1"/>
        <v>12.834920792079211</v>
      </c>
      <c r="W14" s="11">
        <f t="shared" si="14"/>
        <v>179.27462600793186</v>
      </c>
      <c r="X14" s="27">
        <f t="shared" si="15"/>
        <v>2.0471846048976769E-14</v>
      </c>
      <c r="Y14" s="27">
        <f t="shared" si="16"/>
        <v>12328145690.693811</v>
      </c>
    </row>
    <row r="15" spans="1:25" x14ac:dyDescent="0.25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144.52475247524754</v>
      </c>
      <c r="L15" s="27">
        <f t="shared" si="7"/>
        <v>1.4452475247524754E-4</v>
      </c>
      <c r="M15" s="29">
        <f t="shared" si="8"/>
        <v>4.7762865441819992E-3</v>
      </c>
      <c r="N15" s="33">
        <f t="shared" si="9"/>
        <v>6.0895327647244219E-7</v>
      </c>
      <c r="O15" s="21">
        <f t="shared" si="10"/>
        <v>2.032E-3</v>
      </c>
      <c r="P15" s="21">
        <v>1.0571269522665299E-10</v>
      </c>
      <c r="Q15" s="2">
        <v>0.31</v>
      </c>
      <c r="R15" s="27">
        <f t="shared" si="11"/>
        <v>131000</v>
      </c>
      <c r="S15" s="2">
        <f t="shared" si="12"/>
        <v>5.2493374855265302E-3</v>
      </c>
      <c r="T15" s="11">
        <v>0.06</v>
      </c>
      <c r="U15" s="30">
        <f t="shared" si="13"/>
        <v>106000</v>
      </c>
      <c r="V15" s="30">
        <f t="shared" si="1"/>
        <v>15.31962376237624</v>
      </c>
      <c r="W15" s="11">
        <f t="shared" si="14"/>
        <v>243.96174117203589</v>
      </c>
      <c r="X15" s="27">
        <f t="shared" si="15"/>
        <v>2.4447064194415311E-14</v>
      </c>
      <c r="Y15" s="27">
        <f t="shared" si="16"/>
        <v>14722022057.876902</v>
      </c>
    </row>
    <row r="16" spans="1:25" x14ac:dyDescent="0.25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176.05940594059408</v>
      </c>
      <c r="L16" s="27">
        <f t="shared" si="7"/>
        <v>1.7605940594059408E-4</v>
      </c>
      <c r="M16" s="29">
        <f t="shared" si="8"/>
        <v>4.7762865441819992E-3</v>
      </c>
      <c r="N16" s="33">
        <f t="shared" si="9"/>
        <v>7.4182415306110611E-7</v>
      </c>
      <c r="O16" s="21">
        <f t="shared" si="10"/>
        <v>2.032E-3</v>
      </c>
      <c r="P16" s="21">
        <v>1.0571269522665299E-10</v>
      </c>
      <c r="Q16" s="2">
        <v>0.31</v>
      </c>
      <c r="R16" s="27">
        <f t="shared" si="11"/>
        <v>131000</v>
      </c>
      <c r="S16" s="2">
        <f t="shared" si="12"/>
        <v>5.2493374855265302E-3</v>
      </c>
      <c r="T16" s="11">
        <v>0.06</v>
      </c>
      <c r="U16" s="30">
        <f t="shared" si="13"/>
        <v>106000</v>
      </c>
      <c r="V16" s="30">
        <f t="shared" si="1"/>
        <v>18.662297029702973</v>
      </c>
      <c r="W16" s="11">
        <f t="shared" si="14"/>
        <v>345.18911748365372</v>
      </c>
      <c r="X16" s="27">
        <f t="shared" si="15"/>
        <v>2.980437771888983E-14</v>
      </c>
      <c r="Y16" s="27">
        <f t="shared" si="16"/>
        <v>17948196262.315456</v>
      </c>
    </row>
    <row r="17" spans="1:76" s="4" customFormat="1" x14ac:dyDescent="0.25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190.96039603960398</v>
      </c>
      <c r="L17" s="27">
        <f t="shared" si="7"/>
        <v>1.9096039603960397E-4</v>
      </c>
      <c r="M17" s="29">
        <f t="shared" si="8"/>
        <v>4.7762865441819992E-3</v>
      </c>
      <c r="N17" s="33">
        <f t="shared" si="9"/>
        <v>8.0460929254805724E-7</v>
      </c>
      <c r="O17" s="21">
        <f t="shared" si="10"/>
        <v>2.032E-3</v>
      </c>
      <c r="P17" s="21">
        <v>1.0571269522665299E-10</v>
      </c>
      <c r="Q17" s="2">
        <v>0.31</v>
      </c>
      <c r="R17" s="27">
        <f t="shared" si="11"/>
        <v>131000</v>
      </c>
      <c r="S17" s="2">
        <f t="shared" si="12"/>
        <v>5.2493374855265302E-3</v>
      </c>
      <c r="T17" s="11">
        <v>0.06</v>
      </c>
      <c r="U17" s="30">
        <f t="shared" si="13"/>
        <v>106000</v>
      </c>
      <c r="V17" s="30">
        <f t="shared" si="1"/>
        <v>20.241801980198019</v>
      </c>
      <c r="W17" s="11">
        <f t="shared" si="14"/>
        <v>398.60989311412129</v>
      </c>
      <c r="X17" s="27">
        <f t="shared" si="15"/>
        <v>3.2340128364015087E-14</v>
      </c>
      <c r="Y17" s="27">
        <f t="shared" si="16"/>
        <v>19475225300.809887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4" customFormat="1" x14ac:dyDescent="0.25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209.20297029702971</v>
      </c>
      <c r="L18" s="27">
        <f t="shared" si="7"/>
        <v>2.092029702970297E-4</v>
      </c>
      <c r="M18" s="29">
        <f t="shared" si="8"/>
        <v>4.7762865441819992E-3</v>
      </c>
      <c r="N18" s="33">
        <f t="shared" si="9"/>
        <v>8.8147415600633444E-7</v>
      </c>
      <c r="O18" s="21">
        <f t="shared" si="10"/>
        <v>2.032E-3</v>
      </c>
      <c r="P18" s="21">
        <v>1.0571269522665299E-10</v>
      </c>
      <c r="Q18" s="2">
        <v>0.31</v>
      </c>
      <c r="R18" s="27">
        <f t="shared" si="11"/>
        <v>131000</v>
      </c>
      <c r="S18" s="2">
        <f t="shared" si="12"/>
        <v>5.2493374855265302E-3</v>
      </c>
      <c r="T18" s="11">
        <v>0.06</v>
      </c>
      <c r="U18" s="30">
        <f t="shared" si="13"/>
        <v>106000</v>
      </c>
      <c r="V18" s="30">
        <f t="shared" si="1"/>
        <v>22.175514851485147</v>
      </c>
      <c r="W18" s="11">
        <f t="shared" si="14"/>
        <v>468.83968372857765</v>
      </c>
      <c r="X18" s="27">
        <f t="shared" si="15"/>
        <v>3.5448664659346571E-14</v>
      </c>
      <c r="Y18" s="27">
        <f t="shared" si="16"/>
        <v>21347185857.858505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4" customFormat="1" x14ac:dyDescent="0.25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221.82673267326734</v>
      </c>
      <c r="L19" s="27">
        <f t="shared" si="7"/>
        <v>2.2182673267326735E-4</v>
      </c>
      <c r="M19" s="29">
        <f t="shared" si="8"/>
        <v>4.7762865441819992E-3</v>
      </c>
      <c r="N19" s="33">
        <f t="shared" si="9"/>
        <v>9.3466422434245601E-7</v>
      </c>
      <c r="O19" s="21">
        <f t="shared" si="10"/>
        <v>2.032E-3</v>
      </c>
      <c r="P19" s="21">
        <v>1.0571269522665299E-10</v>
      </c>
      <c r="Q19" s="2">
        <v>0.31</v>
      </c>
      <c r="R19" s="27">
        <f t="shared" si="11"/>
        <v>131000</v>
      </c>
      <c r="S19" s="2">
        <f t="shared" si="12"/>
        <v>5.2493374855265302E-3</v>
      </c>
      <c r="T19" s="11">
        <v>0.06</v>
      </c>
      <c r="U19" s="30">
        <f t="shared" si="13"/>
        <v>106000</v>
      </c>
      <c r="V19" s="30">
        <f t="shared" si="1"/>
        <v>23.513633663366338</v>
      </c>
      <c r="W19" s="11">
        <f t="shared" si="14"/>
        <v>520.52961956665285</v>
      </c>
      <c r="X19" s="27">
        <f t="shared" si="15"/>
        <v>3.7602604723303582E-14</v>
      </c>
      <c r="Y19" s="27">
        <f t="shared" si="16"/>
        <v>22644288564.373417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4" customFormat="1" x14ac:dyDescent="0.25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240.09405940594058</v>
      </c>
      <c r="L20" s="27">
        <f t="shared" si="7"/>
        <v>2.4009405940594058E-4</v>
      </c>
      <c r="M20" s="29">
        <f t="shared" si="8"/>
        <v>4.7762865441819992E-3</v>
      </c>
      <c r="N20" s="33">
        <f t="shared" si="9"/>
        <v>1.0116333820523726E-6</v>
      </c>
      <c r="O20" s="21">
        <f t="shared" si="10"/>
        <v>2.032E-3</v>
      </c>
      <c r="P20" s="21">
        <v>1.0571269522665299E-10</v>
      </c>
      <c r="Q20" s="2">
        <v>0.31</v>
      </c>
      <c r="R20" s="27">
        <f t="shared" si="11"/>
        <v>131000</v>
      </c>
      <c r="S20" s="2">
        <f t="shared" si="12"/>
        <v>5.2493374855265302E-3</v>
      </c>
      <c r="T20" s="11">
        <v>0.06</v>
      </c>
      <c r="U20" s="30">
        <f t="shared" si="13"/>
        <v>106000</v>
      </c>
      <c r="V20" s="30">
        <f t="shared" si="1"/>
        <v>25.449970297029701</v>
      </c>
      <c r="W20" s="11">
        <f t="shared" si="14"/>
        <v>599.77592107889541</v>
      </c>
      <c r="X20" s="27">
        <f t="shared" si="15"/>
        <v>4.0723895004992683E-14</v>
      </c>
      <c r="Y20" s="27">
        <f t="shared" si="16"/>
        <v>24523929572.006596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4" customFormat="1" x14ac:dyDescent="0.25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255.63861386138615</v>
      </c>
      <c r="L21" s="27">
        <f t="shared" si="7"/>
        <v>2.5563861386138613E-4</v>
      </c>
      <c r="M21" s="29">
        <f t="shared" si="8"/>
        <v>4.7762865441819992E-3</v>
      </c>
      <c r="N21" s="33">
        <f t="shared" si="9"/>
        <v>1.0771301720819496E-6</v>
      </c>
      <c r="O21" s="21">
        <f t="shared" si="10"/>
        <v>2.032E-3</v>
      </c>
      <c r="P21" s="21">
        <v>1.0571269522665299E-10</v>
      </c>
      <c r="Q21" s="2">
        <v>0.31</v>
      </c>
      <c r="R21" s="27">
        <f t="shared" si="11"/>
        <v>131000</v>
      </c>
      <c r="S21" s="2">
        <f t="shared" si="12"/>
        <v>5.2493374855265302E-3</v>
      </c>
      <c r="T21" s="11">
        <v>0.06</v>
      </c>
      <c r="U21" s="30">
        <f t="shared" si="13"/>
        <v>106000</v>
      </c>
      <c r="V21" s="30">
        <f t="shared" si="1"/>
        <v>27.097693069306931</v>
      </c>
      <c r="W21" s="11">
        <f t="shared" si="14"/>
        <v>671.33040920566759</v>
      </c>
      <c r="X21" s="27">
        <f t="shared" si="15"/>
        <v>4.338431295933985E-14</v>
      </c>
      <c r="Y21" s="27">
        <f t="shared" si="16"/>
        <v>26126033264.11446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4" customFormat="1" x14ac:dyDescent="0.25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266.23267326732679</v>
      </c>
      <c r="L22" s="27">
        <f t="shared" si="7"/>
        <v>2.662326732673268E-4</v>
      </c>
      <c r="M22" s="29">
        <f t="shared" si="8"/>
        <v>4.7762865441819992E-3</v>
      </c>
      <c r="N22" s="33">
        <f t="shared" si="9"/>
        <v>1.121768111783636E-6</v>
      </c>
      <c r="O22" s="21">
        <f t="shared" si="10"/>
        <v>2.032E-3</v>
      </c>
      <c r="P22" s="21">
        <v>1.0571269522665299E-10</v>
      </c>
      <c r="Q22" s="2">
        <v>0.31</v>
      </c>
      <c r="R22" s="27">
        <f t="shared" si="11"/>
        <v>131000</v>
      </c>
      <c r="S22" s="2">
        <f t="shared" si="12"/>
        <v>5.2493374855265302E-3</v>
      </c>
      <c r="T22" s="11">
        <v>0.06</v>
      </c>
      <c r="U22" s="30">
        <f t="shared" si="13"/>
        <v>106000</v>
      </c>
      <c r="V22" s="30">
        <f t="shared" si="1"/>
        <v>28.220663366336641</v>
      </c>
      <c r="W22" s="11">
        <f t="shared" si="14"/>
        <v>722.25697313519743</v>
      </c>
      <c r="X22" s="27">
        <f t="shared" si="15"/>
        <v>4.5199888042578919E-14</v>
      </c>
      <c r="Y22" s="27">
        <f t="shared" si="16"/>
        <v>27219372579.241028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4" customFormat="1" x14ac:dyDescent="0.25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278.88118811881191</v>
      </c>
      <c r="L23" s="27">
        <f t="shared" si="7"/>
        <v>2.788811881188119E-4</v>
      </c>
      <c r="M23" s="29">
        <f t="shared" si="8"/>
        <v>4.7762865441819992E-3</v>
      </c>
      <c r="N23" s="33">
        <f t="shared" si="9"/>
        <v>1.1750624743713966E-6</v>
      </c>
      <c r="O23" s="21">
        <f t="shared" si="10"/>
        <v>2.032E-3</v>
      </c>
      <c r="P23" s="21">
        <v>1.0571269522665299E-10</v>
      </c>
      <c r="Q23" s="2">
        <v>0.31</v>
      </c>
      <c r="R23" s="27">
        <f t="shared" si="11"/>
        <v>131000</v>
      </c>
      <c r="S23" s="2">
        <f t="shared" si="12"/>
        <v>5.2493374855265302E-3</v>
      </c>
      <c r="T23" s="11">
        <v>0.06</v>
      </c>
      <c r="U23" s="30">
        <f t="shared" si="13"/>
        <v>106000</v>
      </c>
      <c r="V23" s="30">
        <f t="shared" si="1"/>
        <v>29.56140594059406</v>
      </c>
      <c r="W23" s="11">
        <f t="shared" si="14"/>
        <v>785.34380647187493</v>
      </c>
      <c r="X23" s="27">
        <f t="shared" si="15"/>
        <v>4.7370239839867615E-14</v>
      </c>
      <c r="Y23" s="27">
        <f t="shared" si="16"/>
        <v>28526358431.568279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</row>
    <row r="24" spans="1:76" s="4" customFormat="1" x14ac:dyDescent="0.25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277.51980198019805</v>
      </c>
      <c r="L24" s="27">
        <f t="shared" si="7"/>
        <v>2.7751980198019807E-4</v>
      </c>
      <c r="M24" s="29">
        <f t="shared" si="8"/>
        <v>4.7762865441819992E-3</v>
      </c>
      <c r="N24" s="33">
        <f t="shared" si="9"/>
        <v>1.1693262905312269E-6</v>
      </c>
      <c r="O24" s="21">
        <f t="shared" si="10"/>
        <v>2.032E-3</v>
      </c>
      <c r="P24" s="21">
        <v>1.0571269522665299E-10</v>
      </c>
      <c r="Q24" s="2">
        <v>0.31</v>
      </c>
      <c r="R24" s="27">
        <f t="shared" si="11"/>
        <v>131000</v>
      </c>
      <c r="S24" s="2">
        <f t="shared" si="12"/>
        <v>5.2493374855265302E-3</v>
      </c>
      <c r="T24" s="11">
        <v>0.06</v>
      </c>
      <c r="U24" s="30">
        <f t="shared" si="13"/>
        <v>106000</v>
      </c>
      <c r="V24" s="30">
        <f t="shared" si="1"/>
        <v>29.417099009900994</v>
      </c>
      <c r="W24" s="11">
        <f t="shared" si="14"/>
        <v>778.43449057195664</v>
      </c>
      <c r="X24" s="27">
        <f t="shared" si="15"/>
        <v>4.7136496214621614E-14</v>
      </c>
      <c r="Y24" s="27">
        <f t="shared" si="16"/>
        <v>28385598020.445137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4" customFormat="1" x14ac:dyDescent="0.25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297.74257425742576</v>
      </c>
      <c r="L25" s="27">
        <f t="shared" si="7"/>
        <v>2.9774257425742577E-4</v>
      </c>
      <c r="M25" s="29">
        <f t="shared" si="8"/>
        <v>4.7762865441819992E-3</v>
      </c>
      <c r="N25" s="33">
        <f t="shared" si="9"/>
        <v>1.2545346941206606E-6</v>
      </c>
      <c r="O25" s="21">
        <f t="shared" si="10"/>
        <v>2.032E-3</v>
      </c>
      <c r="P25" s="21">
        <v>1.0571269522665299E-10</v>
      </c>
      <c r="Q25" s="2">
        <v>0.31</v>
      </c>
      <c r="R25" s="27">
        <f t="shared" si="11"/>
        <v>131000</v>
      </c>
      <c r="S25" s="2">
        <f t="shared" si="12"/>
        <v>5.2493374855265302E-3</v>
      </c>
      <c r="T25" s="11">
        <v>0.06</v>
      </c>
      <c r="U25" s="30">
        <f t="shared" si="13"/>
        <v>106000</v>
      </c>
      <c r="V25" s="30">
        <f t="shared" si="1"/>
        <v>31.560712871287134</v>
      </c>
      <c r="W25" s="11">
        <f t="shared" si="14"/>
        <v>884.01835808766134</v>
      </c>
      <c r="X25" s="27">
        <f t="shared" si="15"/>
        <v>5.0612353022588739E-14</v>
      </c>
      <c r="Y25" s="27">
        <f t="shared" si="16"/>
        <v>30478758990.202942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4" customFormat="1" x14ac:dyDescent="0.25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281.70297029702971</v>
      </c>
      <c r="L26" s="27">
        <f t="shared" si="7"/>
        <v>2.8170297029702973E-4</v>
      </c>
      <c r="M26" s="29">
        <f t="shared" si="8"/>
        <v>4.7762865441819992E-3</v>
      </c>
      <c r="N26" s="33">
        <f t="shared" si="9"/>
        <v>1.1869520190582944E-6</v>
      </c>
      <c r="O26" s="21">
        <f t="shared" si="10"/>
        <v>2.032E-3</v>
      </c>
      <c r="P26" s="21">
        <v>1.0571269522665299E-10</v>
      </c>
      <c r="Q26" s="2">
        <v>0.31</v>
      </c>
      <c r="R26" s="27">
        <f t="shared" si="11"/>
        <v>131000</v>
      </c>
      <c r="S26" s="2">
        <f t="shared" si="12"/>
        <v>5.2493374855265302E-3</v>
      </c>
      <c r="T26" s="11">
        <v>0.06</v>
      </c>
      <c r="U26" s="30">
        <f t="shared" si="13"/>
        <v>106000</v>
      </c>
      <c r="V26" s="30">
        <f t="shared" si="1"/>
        <v>29.860514851485153</v>
      </c>
      <c r="W26" s="11">
        <f t="shared" si="14"/>
        <v>799.75633001329061</v>
      </c>
      <c r="X26" s="27">
        <f t="shared" si="15"/>
        <v>4.7854839219478256E-14</v>
      </c>
      <c r="Y26" s="27">
        <f t="shared" si="16"/>
        <v>28818184177.969807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4" customFormat="1" x14ac:dyDescent="0.25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299.37623762376239</v>
      </c>
      <c r="L27" s="27">
        <f t="shared" si="7"/>
        <v>2.9937623762376237E-4</v>
      </c>
      <c r="M27" s="29">
        <f t="shared" si="8"/>
        <v>4.7762865441819992E-3</v>
      </c>
      <c r="N27" s="33">
        <f t="shared" si="9"/>
        <v>1.2614181147288642E-6</v>
      </c>
      <c r="O27" s="21">
        <f t="shared" si="10"/>
        <v>2.032E-3</v>
      </c>
      <c r="P27" s="21">
        <v>1.0571269522665299E-10</v>
      </c>
      <c r="Q27" s="2">
        <v>0.31</v>
      </c>
      <c r="R27" s="27">
        <f t="shared" si="11"/>
        <v>131000</v>
      </c>
      <c r="S27" s="2">
        <f t="shared" si="12"/>
        <v>5.2493374855265302E-3</v>
      </c>
      <c r="T27" s="11">
        <v>0.06</v>
      </c>
      <c r="U27" s="30">
        <f t="shared" si="13"/>
        <v>106000</v>
      </c>
      <c r="V27" s="30">
        <f t="shared" si="1"/>
        <v>31.733881188118811</v>
      </c>
      <c r="W27" s="11">
        <f t="shared" si="14"/>
        <v>892.82335480430754</v>
      </c>
      <c r="X27" s="27">
        <f t="shared" si="15"/>
        <v>5.089349846262258E-14</v>
      </c>
      <c r="Y27" s="27">
        <f t="shared" si="16"/>
        <v>30648064774.191319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4" customFormat="1" x14ac:dyDescent="0.25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297.0990099009901</v>
      </c>
      <c r="L28" s="27">
        <f t="shared" si="7"/>
        <v>2.9709900990099007E-4</v>
      </c>
      <c r="M28" s="29">
        <f t="shared" si="8"/>
        <v>4.7762865441819992E-3</v>
      </c>
      <c r="N28" s="33">
        <f t="shared" si="9"/>
        <v>1.2518230435780344E-6</v>
      </c>
      <c r="O28" s="21">
        <f t="shared" si="10"/>
        <v>2.032E-3</v>
      </c>
      <c r="P28" s="21">
        <v>1.0571269522665299E-10</v>
      </c>
      <c r="Q28" s="2">
        <v>0.31</v>
      </c>
      <c r="R28" s="27">
        <f t="shared" si="11"/>
        <v>131000</v>
      </c>
      <c r="S28" s="2">
        <f t="shared" si="12"/>
        <v>5.2493374855265302E-3</v>
      </c>
      <c r="T28" s="11">
        <v>0.06</v>
      </c>
      <c r="U28" s="30">
        <f t="shared" si="13"/>
        <v>106000</v>
      </c>
      <c r="V28" s="30">
        <f t="shared" si="1"/>
        <v>31.492495049504946</v>
      </c>
      <c r="W28" s="11">
        <f t="shared" si="14"/>
        <v>880.56101514031025</v>
      </c>
      <c r="X28" s="27">
        <f t="shared" si="15"/>
        <v>5.0501613587995082E-14</v>
      </c>
      <c r="Y28" s="27">
        <f t="shared" si="16"/>
        <v>30412071702.690639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4" customFormat="1" x14ac:dyDescent="0.25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8">
        <v>294.15346534653469</v>
      </c>
      <c r="L29" s="27">
        <f t="shared" si="7"/>
        <v>2.941534653465347E-4</v>
      </c>
      <c r="M29" s="29">
        <f t="shared" si="8"/>
        <v>4.7762865441819992E-3</v>
      </c>
      <c r="N29" s="33">
        <f t="shared" si="9"/>
        <v>1.2394120276329399E-6</v>
      </c>
      <c r="O29" s="21">
        <f t="shared" si="10"/>
        <v>2.032E-3</v>
      </c>
      <c r="P29" s="21">
        <v>1.0571269522665299E-10</v>
      </c>
      <c r="Q29" s="2">
        <v>0.31</v>
      </c>
      <c r="R29" s="27">
        <f t="shared" si="11"/>
        <v>131000</v>
      </c>
      <c r="S29" s="2">
        <f t="shared" si="12"/>
        <v>5.2493374855265302E-3</v>
      </c>
      <c r="T29" s="11">
        <v>0.06</v>
      </c>
      <c r="U29" s="30">
        <f t="shared" si="13"/>
        <v>106000</v>
      </c>
      <c r="V29" s="30">
        <f t="shared" si="1"/>
        <v>31.180267326732679</v>
      </c>
      <c r="W29" s="11">
        <f t="shared" si="14"/>
        <v>864.81851514232528</v>
      </c>
      <c r="X29" s="27">
        <f t="shared" si="15"/>
        <v>4.9994874118057562E-14</v>
      </c>
      <c r="Y29" s="27">
        <f t="shared" si="16"/>
        <v>30106913193.894264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4" customFormat="1" x14ac:dyDescent="0.25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8">
        <v>296.23267326732673</v>
      </c>
      <c r="L30" s="27">
        <f t="shared" si="7"/>
        <v>2.9623267326732672E-4</v>
      </c>
      <c r="M30" s="29">
        <f t="shared" si="8"/>
        <v>4.7762865441819992E-3</v>
      </c>
      <c r="N30" s="33">
        <f t="shared" si="9"/>
        <v>1.2481727447706536E-6</v>
      </c>
      <c r="O30" s="21">
        <f t="shared" si="10"/>
        <v>2.032E-3</v>
      </c>
      <c r="P30" s="21">
        <v>1.0571269522665299E-10</v>
      </c>
      <c r="Q30" s="2">
        <v>0.31</v>
      </c>
      <c r="R30" s="27">
        <f t="shared" si="11"/>
        <v>131000</v>
      </c>
      <c r="S30" s="2">
        <f t="shared" si="12"/>
        <v>5.2493374855265302E-3</v>
      </c>
      <c r="T30" s="11">
        <v>0.06</v>
      </c>
      <c r="U30" s="30">
        <f t="shared" si="13"/>
        <v>106000</v>
      </c>
      <c r="V30" s="30">
        <f t="shared" si="1"/>
        <v>31.40066336633663</v>
      </c>
      <c r="W30" s="11">
        <f t="shared" si="14"/>
        <v>875.91698115468853</v>
      </c>
      <c r="X30" s="27">
        <f t="shared" si="15"/>
        <v>5.0352554465941725E-14</v>
      </c>
      <c r="Y30" s="27">
        <f t="shared" si="16"/>
        <v>30322308299.390106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4" customFormat="1" x14ac:dyDescent="0.25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8">
        <v>300.39108910891088</v>
      </c>
      <c r="L31" s="27">
        <f t="shared" si="7"/>
        <v>3.003910891089109E-4</v>
      </c>
      <c r="M31" s="29">
        <f t="shared" si="8"/>
        <v>4.7762865441819992E-3</v>
      </c>
      <c r="N31" s="33">
        <f t="shared" si="9"/>
        <v>1.2656941790460819E-6</v>
      </c>
      <c r="O31" s="21">
        <f t="shared" si="10"/>
        <v>2.032E-3</v>
      </c>
      <c r="P31" s="21">
        <v>1.0571269522665299E-10</v>
      </c>
      <c r="Q31" s="2">
        <v>0.31</v>
      </c>
      <c r="R31" s="27">
        <f t="shared" si="11"/>
        <v>131000</v>
      </c>
      <c r="S31" s="2">
        <f t="shared" si="12"/>
        <v>5.2493374855265302E-3</v>
      </c>
      <c r="T31" s="11">
        <v>0.06</v>
      </c>
      <c r="U31" s="30">
        <f t="shared" si="13"/>
        <v>106000</v>
      </c>
      <c r="V31" s="30">
        <f t="shared" si="1"/>
        <v>31.841455445544554</v>
      </c>
      <c r="W31" s="11">
        <f t="shared" si="14"/>
        <v>898.3138299340402</v>
      </c>
      <c r="X31" s="27">
        <f t="shared" si="15"/>
        <v>5.106817670752066E-14</v>
      </c>
      <c r="Y31" s="27">
        <f t="shared" si="16"/>
        <v>30753256013.268944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4" customFormat="1" x14ac:dyDescent="0.25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8">
        <v>296.33168316831683</v>
      </c>
      <c r="L32" s="27">
        <f t="shared" si="7"/>
        <v>2.9633168316831683E-4</v>
      </c>
      <c r="M32" s="29">
        <f t="shared" si="8"/>
        <v>4.7762865441819992E-3</v>
      </c>
      <c r="N32" s="33">
        <f t="shared" si="9"/>
        <v>1.2485899217772116E-6</v>
      </c>
      <c r="O32" s="21">
        <f t="shared" si="10"/>
        <v>2.032E-3</v>
      </c>
      <c r="P32" s="21">
        <v>1.0571269522665299E-10</v>
      </c>
      <c r="Q32" s="2">
        <v>0.31</v>
      </c>
      <c r="R32" s="27">
        <f t="shared" si="11"/>
        <v>131000</v>
      </c>
      <c r="S32" s="2">
        <f t="shared" si="12"/>
        <v>5.2493374855265302E-3</v>
      </c>
      <c r="T32" s="11">
        <v>0.06</v>
      </c>
      <c r="U32" s="30">
        <f t="shared" si="13"/>
        <v>106000</v>
      </c>
      <c r="V32" s="30">
        <f t="shared" si="1"/>
        <v>31.411158415841584</v>
      </c>
      <c r="W32" s="11">
        <f t="shared" si="14"/>
        <v>876.44714229589488</v>
      </c>
      <c r="X32" s="27">
        <f t="shared" si="15"/>
        <v>5.0369589028998769E-14</v>
      </c>
      <c r="Y32" s="27">
        <f t="shared" si="16"/>
        <v>30332566513.263062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4" customFormat="1" x14ac:dyDescent="0.25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8">
        <v>311.03465346534659</v>
      </c>
      <c r="L33" s="27">
        <f t="shared" si="7"/>
        <v>3.1103465346534658E-4</v>
      </c>
      <c r="M33" s="29">
        <f t="shared" si="8"/>
        <v>4.7762865441819992E-3</v>
      </c>
      <c r="N33" s="33">
        <f t="shared" si="9"/>
        <v>1.3105407072510472E-6</v>
      </c>
      <c r="O33" s="21">
        <f t="shared" si="10"/>
        <v>2.032E-3</v>
      </c>
      <c r="P33" s="21">
        <v>1.0571269522665299E-10</v>
      </c>
      <c r="Q33" s="2">
        <v>0.31</v>
      </c>
      <c r="R33" s="27">
        <f t="shared" si="11"/>
        <v>131000</v>
      </c>
      <c r="S33" s="2">
        <f t="shared" si="12"/>
        <v>5.2493374855265302E-3</v>
      </c>
      <c r="T33" s="11">
        <v>0.06</v>
      </c>
      <c r="U33" s="30">
        <f t="shared" si="13"/>
        <v>106000</v>
      </c>
      <c r="V33" s="30">
        <f t="shared" si="1"/>
        <v>32.969673267326741</v>
      </c>
      <c r="W33" s="11">
        <f t="shared" si="14"/>
        <v>956.85166661776213</v>
      </c>
      <c r="X33" s="27">
        <f t="shared" si="15"/>
        <v>5.2901445013042672E-14</v>
      </c>
      <c r="Y33" s="27">
        <f t="shared" si="16"/>
        <v>31857250186.854298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4" customFormat="1" x14ac:dyDescent="0.25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8">
        <v>311.03465346534659</v>
      </c>
      <c r="L34" s="27">
        <f t="shared" si="7"/>
        <v>3.1103465346534658E-4</v>
      </c>
      <c r="M34" s="29">
        <f t="shared" si="8"/>
        <v>4.7762865441819992E-3</v>
      </c>
      <c r="N34" s="33">
        <f t="shared" si="9"/>
        <v>1.3105407072510472E-6</v>
      </c>
      <c r="O34" s="21">
        <f t="shared" si="10"/>
        <v>2.032E-3</v>
      </c>
      <c r="P34" s="21">
        <v>1.0571269522665299E-10</v>
      </c>
      <c r="Q34" s="2">
        <v>0.31</v>
      </c>
      <c r="R34" s="27">
        <f t="shared" si="11"/>
        <v>131000</v>
      </c>
      <c r="S34" s="2">
        <f t="shared" si="12"/>
        <v>5.2493374855265302E-3</v>
      </c>
      <c r="T34" s="11">
        <v>0.06</v>
      </c>
      <c r="U34" s="30">
        <f t="shared" si="13"/>
        <v>106000</v>
      </c>
      <c r="V34" s="30">
        <f t="shared" si="1"/>
        <v>32.969673267326741</v>
      </c>
      <c r="W34" s="11">
        <f t="shared" si="14"/>
        <v>956.85166661776213</v>
      </c>
      <c r="X34" s="27">
        <f t="shared" si="15"/>
        <v>5.2901445013042672E-14</v>
      </c>
      <c r="Y34" s="27">
        <f t="shared" si="16"/>
        <v>31857250186.854298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4" customFormat="1" x14ac:dyDescent="0.25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8">
        <v>310.88613861386142</v>
      </c>
      <c r="L35" s="27">
        <f t="shared" si="7"/>
        <v>3.108861386138614E-4</v>
      </c>
      <c r="M35" s="29">
        <f t="shared" si="8"/>
        <v>4.7762865441819992E-3</v>
      </c>
      <c r="N35" s="33">
        <f t="shared" si="9"/>
        <v>1.3099149417412104E-6</v>
      </c>
      <c r="O35" s="21">
        <f t="shared" si="10"/>
        <v>2.032E-3</v>
      </c>
      <c r="P35" s="21">
        <v>1.0571269522665299E-10</v>
      </c>
      <c r="Q35" s="2">
        <v>0.31</v>
      </c>
      <c r="R35" s="27">
        <f t="shared" si="11"/>
        <v>131000</v>
      </c>
      <c r="S35" s="2">
        <f t="shared" si="12"/>
        <v>5.2493374855265302E-3</v>
      </c>
      <c r="T35" s="11">
        <v>0.06</v>
      </c>
      <c r="U35" s="30">
        <f t="shared" si="13"/>
        <v>106000</v>
      </c>
      <c r="V35" s="30">
        <f t="shared" si="1"/>
        <v>32.95393069306931</v>
      </c>
      <c r="W35" s="11">
        <f t="shared" si="14"/>
        <v>956.02287727304838</v>
      </c>
      <c r="X35" s="27">
        <f t="shared" si="15"/>
        <v>5.2875848298950017E-14</v>
      </c>
      <c r="Y35" s="27">
        <f t="shared" si="16"/>
        <v>31841835845.627701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4" customFormat="1" x14ac:dyDescent="0.25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8">
        <v>313.63366336633663</v>
      </c>
      <c r="L36" s="27">
        <f t="shared" si="7"/>
        <v>3.1363366336633664E-4</v>
      </c>
      <c r="M36" s="29">
        <f t="shared" si="8"/>
        <v>4.7762865441819992E-3</v>
      </c>
      <c r="N36" s="33">
        <f t="shared" si="9"/>
        <v>1.3214916036731897E-6</v>
      </c>
      <c r="O36" s="21">
        <f t="shared" si="10"/>
        <v>2.032E-3</v>
      </c>
      <c r="P36" s="21">
        <v>1.0571269522665299E-10</v>
      </c>
      <c r="Q36" s="2">
        <v>0.31</v>
      </c>
      <c r="R36" s="27">
        <f t="shared" si="11"/>
        <v>131000</v>
      </c>
      <c r="S36" s="2">
        <f t="shared" si="12"/>
        <v>5.2493374855265302E-3</v>
      </c>
      <c r="T36" s="11">
        <v>0.06</v>
      </c>
      <c r="U36" s="30">
        <f t="shared" si="13"/>
        <v>106000</v>
      </c>
      <c r="V36" s="30">
        <f t="shared" si="1"/>
        <v>33.245168316831688</v>
      </c>
      <c r="W36" s="11">
        <f t="shared" si="14"/>
        <v>971.41031817940507</v>
      </c>
      <c r="X36" s="27">
        <f t="shared" si="15"/>
        <v>5.3349462829251193E-14</v>
      </c>
      <c r="Y36" s="27">
        <f t="shared" si="16"/>
        <v>32127046515.77507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4" customFormat="1" x14ac:dyDescent="0.25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8">
        <v>307.12376237623761</v>
      </c>
      <c r="L37" s="27">
        <f t="shared" si="7"/>
        <v>3.0712376237623763E-4</v>
      </c>
      <c r="M37" s="29">
        <f t="shared" si="8"/>
        <v>4.7762865441819992E-3</v>
      </c>
      <c r="N37" s="33">
        <f t="shared" si="9"/>
        <v>1.2940622154920134E-6</v>
      </c>
      <c r="O37" s="21">
        <f t="shared" si="10"/>
        <v>2.032E-3</v>
      </c>
      <c r="P37" s="21">
        <v>1.0571269522665299E-10</v>
      </c>
      <c r="Q37" s="2">
        <v>0.31</v>
      </c>
      <c r="R37" s="27">
        <f t="shared" si="11"/>
        <v>131000</v>
      </c>
      <c r="S37" s="2">
        <f t="shared" si="12"/>
        <v>5.2493374855265302E-3</v>
      </c>
      <c r="T37" s="11">
        <v>0.06</v>
      </c>
      <c r="U37" s="30">
        <f t="shared" si="13"/>
        <v>106000</v>
      </c>
      <c r="V37" s="30">
        <f t="shared" si="1"/>
        <v>32.555118811881187</v>
      </c>
      <c r="W37" s="11">
        <f t="shared" si="14"/>
        <v>935.13993606457279</v>
      </c>
      <c r="X37" s="27">
        <f t="shared" si="15"/>
        <v>5.2227552415360656E-14</v>
      </c>
      <c r="Y37" s="27">
        <f t="shared" si="16"/>
        <v>31451432064.53019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4" customFormat="1" x14ac:dyDescent="0.25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8">
        <v>317.29702970297035</v>
      </c>
      <c r="L38" s="27">
        <f t="shared" si="7"/>
        <v>3.1729702970297036E-4</v>
      </c>
      <c r="M38" s="29">
        <f t="shared" si="8"/>
        <v>4.7762865441819992E-3</v>
      </c>
      <c r="N38" s="33">
        <f t="shared" si="9"/>
        <v>1.3369271529158291E-6</v>
      </c>
      <c r="O38" s="21">
        <f t="shared" si="10"/>
        <v>2.032E-3</v>
      </c>
      <c r="P38" s="21">
        <v>1.0571269522665299E-10</v>
      </c>
      <c r="Q38" s="2">
        <v>0.31</v>
      </c>
      <c r="R38" s="27">
        <f t="shared" si="11"/>
        <v>131000</v>
      </c>
      <c r="S38" s="2">
        <f t="shared" si="12"/>
        <v>5.2493374855265302E-3</v>
      </c>
      <c r="T38" s="11">
        <v>0.06</v>
      </c>
      <c r="U38" s="30">
        <f t="shared" si="13"/>
        <v>106000</v>
      </c>
      <c r="V38" s="30">
        <f t="shared" si="1"/>
        <v>33.633485148514858</v>
      </c>
      <c r="W38" s="11">
        <f t="shared" si="14"/>
        <v>992.10717478304878</v>
      </c>
      <c r="X38" s="27">
        <f t="shared" si="15"/>
        <v>5.398119811582762E-14</v>
      </c>
      <c r="Y38" s="27">
        <f t="shared" si="16"/>
        <v>32507477505.351395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4" customFormat="1" x14ac:dyDescent="0.25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8">
        <v>310.53960396039605</v>
      </c>
      <c r="L39" s="27">
        <f t="shared" si="7"/>
        <v>3.1053960396039605E-4</v>
      </c>
      <c r="M39" s="29">
        <f t="shared" si="8"/>
        <v>4.7762865441819992E-3</v>
      </c>
      <c r="N39" s="33">
        <f t="shared" si="9"/>
        <v>1.308454822218258E-6</v>
      </c>
      <c r="O39" s="21">
        <f t="shared" si="10"/>
        <v>2.032E-3</v>
      </c>
      <c r="P39" s="21">
        <v>1.0571269522665299E-10</v>
      </c>
      <c r="Q39" s="2">
        <v>0.31</v>
      </c>
      <c r="R39" s="27">
        <f t="shared" si="11"/>
        <v>131000</v>
      </c>
      <c r="S39" s="2">
        <f t="shared" si="12"/>
        <v>5.2493374855265302E-3</v>
      </c>
      <c r="T39" s="11">
        <v>0.06</v>
      </c>
      <c r="U39" s="30">
        <f t="shared" si="13"/>
        <v>106000</v>
      </c>
      <c r="V39" s="30">
        <f t="shared" si="1"/>
        <v>32.91719801980198</v>
      </c>
      <c r="W39" s="11">
        <f t="shared" si="14"/>
        <v>954.09035321703971</v>
      </c>
      <c r="X39" s="27">
        <f t="shared" si="15"/>
        <v>5.281612443669938E-14</v>
      </c>
      <c r="Y39" s="27">
        <f t="shared" si="16"/>
        <v>31805870135.780369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4" customFormat="1" x14ac:dyDescent="0.25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8">
        <v>310.49009900990103</v>
      </c>
      <c r="L40" s="27">
        <f t="shared" si="7"/>
        <v>3.1049009900990104E-4</v>
      </c>
      <c r="M40" s="29">
        <f t="shared" si="8"/>
        <v>4.7762865441819992E-3</v>
      </c>
      <c r="N40" s="33">
        <f t="shared" si="9"/>
        <v>1.3082462337149792E-6</v>
      </c>
      <c r="O40" s="21">
        <f t="shared" si="10"/>
        <v>2.032E-3</v>
      </c>
      <c r="P40" s="21">
        <v>1.0571269522665299E-10</v>
      </c>
      <c r="Q40" s="2">
        <v>0.31</v>
      </c>
      <c r="R40" s="27">
        <f t="shared" si="11"/>
        <v>131000</v>
      </c>
      <c r="S40" s="2">
        <f t="shared" si="12"/>
        <v>5.2493374855265302E-3</v>
      </c>
      <c r="T40" s="11">
        <v>0.06</v>
      </c>
      <c r="U40" s="30">
        <f t="shared" si="13"/>
        <v>106000</v>
      </c>
      <c r="V40" s="30">
        <f t="shared" si="1"/>
        <v>32.91195049504951</v>
      </c>
      <c r="W40" s="11">
        <f t="shared" si="14"/>
        <v>953.81442895812847</v>
      </c>
      <c r="X40" s="27">
        <f t="shared" si="15"/>
        <v>5.2807592662434468E-14</v>
      </c>
      <c r="Y40" s="27">
        <f t="shared" si="16"/>
        <v>31800732301.318039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4" customFormat="1" x14ac:dyDescent="0.25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8">
        <v>308.90594059405942</v>
      </c>
      <c r="L41" s="27">
        <f t="shared" si="7"/>
        <v>3.089059405940594E-4</v>
      </c>
      <c r="M41" s="29">
        <f t="shared" si="8"/>
        <v>4.7762865441819992E-3</v>
      </c>
      <c r="N41" s="33">
        <f t="shared" si="9"/>
        <v>1.301571401610054E-6</v>
      </c>
      <c r="O41" s="21">
        <f t="shared" si="10"/>
        <v>2.032E-3</v>
      </c>
      <c r="P41" s="21">
        <v>1.0571269522665299E-10</v>
      </c>
      <c r="Q41" s="2">
        <v>0.31</v>
      </c>
      <c r="R41" s="27">
        <f t="shared" si="11"/>
        <v>131000</v>
      </c>
      <c r="S41" s="2">
        <f t="shared" si="12"/>
        <v>5.2493374855265302E-3</v>
      </c>
      <c r="T41" s="11">
        <v>0.06</v>
      </c>
      <c r="U41" s="30">
        <f t="shared" si="13"/>
        <v>106000</v>
      </c>
      <c r="V41" s="30">
        <f t="shared" si="1"/>
        <v>32.744029702970295</v>
      </c>
      <c r="W41" s="11">
        <f t="shared" si="14"/>
        <v>945.00473578741469</v>
      </c>
      <c r="X41" s="27">
        <f t="shared" si="15"/>
        <v>5.253460303220694E-14</v>
      </c>
      <c r="Y41" s="27">
        <f t="shared" si="16"/>
        <v>31636337945.995022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4" customFormat="1" x14ac:dyDescent="0.25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8">
        <v>303.46039603960401</v>
      </c>
      <c r="L42" s="27">
        <f t="shared" si="7"/>
        <v>3.0346039603960402E-4</v>
      </c>
      <c r="M42" s="29">
        <f t="shared" si="8"/>
        <v>4.7762865441819992E-3</v>
      </c>
      <c r="N42" s="33">
        <f t="shared" si="9"/>
        <v>1.2786266662493744E-6</v>
      </c>
      <c r="O42" s="21">
        <f t="shared" si="10"/>
        <v>2.032E-3</v>
      </c>
      <c r="P42" s="21">
        <v>1.0571269522665299E-10</v>
      </c>
      <c r="Q42" s="2">
        <v>0.31</v>
      </c>
      <c r="R42" s="27">
        <f t="shared" si="11"/>
        <v>131000</v>
      </c>
      <c r="S42" s="2">
        <f t="shared" si="12"/>
        <v>5.2493374855265302E-3</v>
      </c>
      <c r="T42" s="11">
        <v>0.06</v>
      </c>
      <c r="U42" s="30">
        <f t="shared" si="13"/>
        <v>106000</v>
      </c>
      <c r="V42" s="30">
        <f t="shared" si="1"/>
        <v>32.166801980198024</v>
      </c>
      <c r="W42" s="11">
        <f t="shared" si="14"/>
        <v>915.01568488798705</v>
      </c>
      <c r="X42" s="27">
        <f t="shared" si="15"/>
        <v>5.1596599903321299E-14</v>
      </c>
      <c r="Y42" s="27">
        <f t="shared" si="16"/>
        <v>31071472461.780087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4" customFormat="1" x14ac:dyDescent="0.25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8">
        <v>303.38613861386142</v>
      </c>
      <c r="L43" s="27">
        <f t="shared" si="7"/>
        <v>3.0338613861386144E-4</v>
      </c>
      <c r="M43" s="29">
        <f t="shared" si="8"/>
        <v>4.7762865441819992E-3</v>
      </c>
      <c r="N43" s="33">
        <f t="shared" si="9"/>
        <v>1.2783137834944559E-6</v>
      </c>
      <c r="O43" s="21">
        <f t="shared" si="10"/>
        <v>2.032E-3</v>
      </c>
      <c r="P43" s="21">
        <v>1.0571269522665299E-10</v>
      </c>
      <c r="Q43" s="2">
        <v>0.31</v>
      </c>
      <c r="R43" s="27">
        <f t="shared" si="11"/>
        <v>131000</v>
      </c>
      <c r="S43" s="2">
        <f t="shared" si="12"/>
        <v>5.2493374855265302E-3</v>
      </c>
      <c r="T43" s="11">
        <v>0.06</v>
      </c>
      <c r="U43" s="30">
        <f t="shared" si="13"/>
        <v>106000</v>
      </c>
      <c r="V43" s="30">
        <f t="shared" si="1"/>
        <v>32.158930693069316</v>
      </c>
      <c r="W43" s="11">
        <f t="shared" si="14"/>
        <v>914.60989594064699</v>
      </c>
      <c r="X43" s="27">
        <f t="shared" si="15"/>
        <v>5.1583813190665877E-14</v>
      </c>
      <c r="Y43" s="27">
        <f t="shared" si="16"/>
        <v>31063772303.418991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4" customFormat="1" x14ac:dyDescent="0.25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8">
        <v>308.70792079207922</v>
      </c>
      <c r="L44" s="27">
        <f t="shared" si="7"/>
        <v>3.0870792079207922E-4</v>
      </c>
      <c r="M44" s="29">
        <f t="shared" si="8"/>
        <v>4.7762865441819992E-3</v>
      </c>
      <c r="N44" s="33">
        <f t="shared" si="9"/>
        <v>1.3007370475969385E-6</v>
      </c>
      <c r="O44" s="21">
        <f t="shared" si="10"/>
        <v>2.032E-3</v>
      </c>
      <c r="P44" s="21">
        <v>1.0571269522665299E-10</v>
      </c>
      <c r="Q44" s="2">
        <v>0.31</v>
      </c>
      <c r="R44" s="27">
        <f t="shared" si="11"/>
        <v>131000</v>
      </c>
      <c r="S44" s="2">
        <f t="shared" si="12"/>
        <v>5.2493374855265302E-3</v>
      </c>
      <c r="T44" s="11">
        <v>0.06</v>
      </c>
      <c r="U44" s="30">
        <f t="shared" si="13"/>
        <v>106000</v>
      </c>
      <c r="V44" s="30">
        <f t="shared" si="1"/>
        <v>32.723039603960395</v>
      </c>
      <c r="W44" s="11">
        <f t="shared" si="14"/>
        <v>943.90623586586946</v>
      </c>
      <c r="X44" s="27">
        <f t="shared" si="15"/>
        <v>5.2500483023477452E-14</v>
      </c>
      <c r="Y44" s="27">
        <f t="shared" si="16"/>
        <v>31615790876.738125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4" customFormat="1" x14ac:dyDescent="0.25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8">
        <v>303.23762376237624</v>
      </c>
      <c r="L45" s="27">
        <f t="shared" si="7"/>
        <v>3.0323762376237626E-4</v>
      </c>
      <c r="M45" s="29">
        <f t="shared" si="8"/>
        <v>4.7762865441819992E-3</v>
      </c>
      <c r="N45" s="33">
        <f t="shared" si="9"/>
        <v>1.2776880179846192E-6</v>
      </c>
      <c r="O45" s="21">
        <f t="shared" si="10"/>
        <v>2.032E-3</v>
      </c>
      <c r="P45" s="21">
        <v>1.0571269522665299E-10</v>
      </c>
      <c r="Q45" s="2">
        <v>0.31</v>
      </c>
      <c r="R45" s="27">
        <f t="shared" si="11"/>
        <v>131000</v>
      </c>
      <c r="S45" s="2">
        <f t="shared" si="12"/>
        <v>5.2493374855265302E-3</v>
      </c>
      <c r="T45" s="11">
        <v>0.06</v>
      </c>
      <c r="U45" s="30">
        <f t="shared" si="13"/>
        <v>106000</v>
      </c>
      <c r="V45" s="30">
        <f t="shared" si="1"/>
        <v>32.143188118811885</v>
      </c>
      <c r="W45" s="11">
        <f t="shared" si="14"/>
        <v>913.79857263662313</v>
      </c>
      <c r="X45" s="27">
        <f t="shared" si="15"/>
        <v>5.1558240105579324E-14</v>
      </c>
      <c r="Y45" s="27">
        <f t="shared" si="16"/>
        <v>31048372191.579872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4" customFormat="1" x14ac:dyDescent="0.25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8">
        <v>307.02475247524757</v>
      </c>
      <c r="L46" s="27">
        <f t="shared" si="7"/>
        <v>3.0702475247524756E-4</v>
      </c>
      <c r="M46" s="29">
        <f t="shared" si="8"/>
        <v>4.7762865441819992E-3</v>
      </c>
      <c r="N46" s="33">
        <f t="shared" si="9"/>
        <v>1.2936450384854556E-6</v>
      </c>
      <c r="O46" s="21">
        <f t="shared" si="10"/>
        <v>2.032E-3</v>
      </c>
      <c r="P46" s="21">
        <v>1.0571269522665299E-10</v>
      </c>
      <c r="Q46" s="2">
        <v>0.31</v>
      </c>
      <c r="R46" s="27">
        <f t="shared" si="11"/>
        <v>131000</v>
      </c>
      <c r="S46" s="2">
        <f t="shared" si="12"/>
        <v>5.2493374855265302E-3</v>
      </c>
      <c r="T46" s="11">
        <v>0.06</v>
      </c>
      <c r="U46" s="30">
        <f t="shared" si="13"/>
        <v>106000</v>
      </c>
      <c r="V46" s="30">
        <f t="shared" si="1"/>
        <v>32.54462376237624</v>
      </c>
      <c r="W46" s="11">
        <f t="shared" si="14"/>
        <v>934.59332339567379</v>
      </c>
      <c r="X46" s="27">
        <f t="shared" si="15"/>
        <v>5.2210495988158956E-14</v>
      </c>
      <c r="Y46" s="27">
        <f t="shared" si="16"/>
        <v>31441160684.069324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4" customFormat="1" x14ac:dyDescent="0.25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8">
        <v>309.79702970297035</v>
      </c>
      <c r="L47" s="27">
        <f t="shared" si="7"/>
        <v>3.0979702970297034E-4</v>
      </c>
      <c r="M47" s="29">
        <f t="shared" si="8"/>
        <v>4.7762865441819992E-3</v>
      </c>
      <c r="N47" s="33">
        <f t="shared" si="9"/>
        <v>1.3053259946690746E-6</v>
      </c>
      <c r="O47" s="21">
        <f t="shared" si="10"/>
        <v>2.032E-3</v>
      </c>
      <c r="P47" s="21">
        <v>1.0571269522665299E-10</v>
      </c>
      <c r="Q47" s="2">
        <v>0.31</v>
      </c>
      <c r="R47" s="27">
        <f t="shared" si="11"/>
        <v>131000</v>
      </c>
      <c r="S47" s="2">
        <f t="shared" si="12"/>
        <v>5.2493374855265302E-3</v>
      </c>
      <c r="T47" s="11">
        <v>0.06</v>
      </c>
      <c r="U47" s="30">
        <f t="shared" si="13"/>
        <v>106000</v>
      </c>
      <c r="V47" s="30">
        <f t="shared" si="1"/>
        <v>32.838485148514856</v>
      </c>
      <c r="W47" s="11">
        <f t="shared" si="14"/>
        <v>949.95544308477542</v>
      </c>
      <c r="X47" s="27">
        <f t="shared" si="15"/>
        <v>5.2688153225890048E-14</v>
      </c>
      <c r="Y47" s="27">
        <f t="shared" si="16"/>
        <v>31728805872.630989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4" customFormat="1" x14ac:dyDescent="0.25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8">
        <v>290.81188118811883</v>
      </c>
      <c r="L48" s="27">
        <f t="shared" si="7"/>
        <v>2.9081188118811882E-4</v>
      </c>
      <c r="M48" s="29">
        <f t="shared" si="8"/>
        <v>4.7762865441819992E-3</v>
      </c>
      <c r="N48" s="33">
        <f t="shared" si="9"/>
        <v>1.2253323036616133E-6</v>
      </c>
      <c r="O48" s="21">
        <f t="shared" si="10"/>
        <v>2.032E-3</v>
      </c>
      <c r="P48" s="21">
        <v>1.0571269522665299E-10</v>
      </c>
      <c r="Q48" s="2">
        <v>0.31</v>
      </c>
      <c r="R48" s="27">
        <f t="shared" si="11"/>
        <v>131000</v>
      </c>
      <c r="S48" s="2">
        <f t="shared" si="12"/>
        <v>5.2493374855265302E-3</v>
      </c>
      <c r="T48" s="11">
        <v>0.06</v>
      </c>
      <c r="U48" s="30">
        <f t="shared" si="13"/>
        <v>106000</v>
      </c>
      <c r="V48" s="30">
        <f t="shared" si="1"/>
        <v>30.826059405940594</v>
      </c>
      <c r="W48" s="11">
        <f t="shared" si="14"/>
        <v>847.12141765607441</v>
      </c>
      <c r="X48" s="27">
        <f t="shared" si="15"/>
        <v>4.9420211553508052E-14</v>
      </c>
      <c r="Y48" s="27">
        <f t="shared" si="16"/>
        <v>29760851397.522549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4" customFormat="1" x14ac:dyDescent="0.25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8">
        <v>305.96039603960401</v>
      </c>
      <c r="L49" s="27">
        <f t="shared" si="7"/>
        <v>3.0596039603960403E-4</v>
      </c>
      <c r="M49" s="29">
        <f t="shared" si="8"/>
        <v>4.7762865441819992E-3</v>
      </c>
      <c r="N49" s="33">
        <f t="shared" si="9"/>
        <v>1.2891603856649592E-6</v>
      </c>
      <c r="O49" s="21">
        <f t="shared" si="10"/>
        <v>2.032E-3</v>
      </c>
      <c r="P49" s="21">
        <v>1.0571269522665299E-10</v>
      </c>
      <c r="Q49" s="2">
        <v>0.31</v>
      </c>
      <c r="R49" s="27">
        <f t="shared" si="11"/>
        <v>131000</v>
      </c>
      <c r="S49" s="2">
        <f t="shared" si="12"/>
        <v>5.2493374855265302E-3</v>
      </c>
      <c r="T49" s="11">
        <v>0.06</v>
      </c>
      <c r="U49" s="30">
        <f t="shared" si="13"/>
        <v>106000</v>
      </c>
      <c r="V49" s="30">
        <f t="shared" si="1"/>
        <v>32.431801980198024</v>
      </c>
      <c r="W49" s="11">
        <f t="shared" si="14"/>
        <v>928.72675781631688</v>
      </c>
      <c r="X49" s="27">
        <f t="shared" si="15"/>
        <v>5.2027152257722437E-14</v>
      </c>
      <c r="Y49" s="27">
        <f t="shared" si="16"/>
        <v>31330751089.600452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4" customFormat="1" x14ac:dyDescent="0.25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8">
        <v>296.75247524752479</v>
      </c>
      <c r="L50" s="27">
        <f t="shared" si="7"/>
        <v>2.9675247524752477E-4</v>
      </c>
      <c r="M50" s="29">
        <f t="shared" si="8"/>
        <v>4.7762865441819992E-3</v>
      </c>
      <c r="N50" s="33">
        <f t="shared" si="9"/>
        <v>1.2503629240550822E-6</v>
      </c>
      <c r="O50" s="21">
        <f t="shared" si="10"/>
        <v>2.032E-3</v>
      </c>
      <c r="P50" s="21">
        <v>1.0571269522665299E-10</v>
      </c>
      <c r="Q50" s="2">
        <v>0.31</v>
      </c>
      <c r="R50" s="27">
        <f t="shared" si="11"/>
        <v>131000</v>
      </c>
      <c r="S50" s="2">
        <f t="shared" si="12"/>
        <v>5.2493374855265302E-3</v>
      </c>
      <c r="T50" s="11">
        <v>0.06</v>
      </c>
      <c r="U50" s="30">
        <f t="shared" si="13"/>
        <v>106000</v>
      </c>
      <c r="V50" s="30">
        <f t="shared" si="1"/>
        <v>31.455762376237626</v>
      </c>
      <c r="W50" s="11">
        <f t="shared" si="14"/>
        <v>878.70201315624274</v>
      </c>
      <c r="X50" s="27">
        <f t="shared" si="15"/>
        <v>5.0441988124177277E-14</v>
      </c>
      <c r="Y50" s="27">
        <f t="shared" si="16"/>
        <v>30376165248.379559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4" customFormat="1" x14ac:dyDescent="0.25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8">
        <v>300.11881188118815</v>
      </c>
      <c r="L51" s="27">
        <f t="shared" si="7"/>
        <v>3.0011881188118814E-4</v>
      </c>
      <c r="M51" s="29">
        <f t="shared" si="8"/>
        <v>4.7762865441819992E-3</v>
      </c>
      <c r="N51" s="33">
        <f t="shared" si="9"/>
        <v>1.264546942278048E-6</v>
      </c>
      <c r="O51" s="21">
        <f t="shared" si="10"/>
        <v>2.032E-3</v>
      </c>
      <c r="P51" s="21">
        <v>1.0571269522665299E-10</v>
      </c>
      <c r="Q51" s="2">
        <v>0.31</v>
      </c>
      <c r="R51" s="27">
        <f t="shared" si="11"/>
        <v>131000</v>
      </c>
      <c r="S51" s="2">
        <f t="shared" si="12"/>
        <v>5.2493374855265302E-3</v>
      </c>
      <c r="T51" s="11">
        <v>0.06</v>
      </c>
      <c r="U51" s="30">
        <f t="shared" si="13"/>
        <v>106000</v>
      </c>
      <c r="V51" s="30">
        <f t="shared" si="1"/>
        <v>31.812594059405942</v>
      </c>
      <c r="W51" s="11">
        <f t="shared" si="14"/>
        <v>896.83921850193974</v>
      </c>
      <c r="X51" s="27">
        <f t="shared" si="15"/>
        <v>5.1021309754775025E-14</v>
      </c>
      <c r="Y51" s="27">
        <f t="shared" si="16"/>
        <v>30725032734.32552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4" customFormat="1" x14ac:dyDescent="0.25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8">
        <v>296.95049504950498</v>
      </c>
      <c r="L52" s="27">
        <f t="shared" si="7"/>
        <v>2.9695049504950501E-4</v>
      </c>
      <c r="M52" s="29">
        <f t="shared" si="8"/>
        <v>4.7762865441819992E-3</v>
      </c>
      <c r="N52" s="33">
        <f t="shared" si="9"/>
        <v>1.2511972780681981E-6</v>
      </c>
      <c r="O52" s="21">
        <f t="shared" si="10"/>
        <v>2.032E-3</v>
      </c>
      <c r="P52" s="21">
        <v>1.0571269522665299E-10</v>
      </c>
      <c r="Q52" s="2">
        <v>0.31</v>
      </c>
      <c r="R52" s="27">
        <f t="shared" si="11"/>
        <v>131000</v>
      </c>
      <c r="S52" s="2">
        <f t="shared" si="12"/>
        <v>5.2493374855265302E-3</v>
      </c>
      <c r="T52" s="11">
        <v>0.06</v>
      </c>
      <c r="U52" s="30">
        <f t="shared" si="13"/>
        <v>106000</v>
      </c>
      <c r="V52" s="30">
        <f t="shared" si="1"/>
        <v>31.47675247524753</v>
      </c>
      <c r="W52" s="11">
        <f t="shared" si="14"/>
        <v>879.7640733420036</v>
      </c>
      <c r="X52" s="27">
        <f t="shared" si="15"/>
        <v>5.0476059521242865E-14</v>
      </c>
      <c r="Y52" s="27">
        <f t="shared" si="16"/>
        <v>30396683043.692455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4" customFormat="1" x14ac:dyDescent="0.25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8">
        <v>297.71782178217825</v>
      </c>
      <c r="L53" s="27">
        <f t="shared" si="7"/>
        <v>2.9771782178217825E-4</v>
      </c>
      <c r="M53" s="29">
        <f t="shared" si="8"/>
        <v>4.7762865441819992E-3</v>
      </c>
      <c r="N53" s="33">
        <f t="shared" si="9"/>
        <v>1.2544303998690211E-6</v>
      </c>
      <c r="O53" s="21">
        <f t="shared" si="10"/>
        <v>2.032E-3</v>
      </c>
      <c r="P53" s="21">
        <v>1.0571269522665299E-10</v>
      </c>
      <c r="Q53" s="2">
        <v>0.31</v>
      </c>
      <c r="R53" s="27">
        <f t="shared" si="11"/>
        <v>131000</v>
      </c>
      <c r="S53" s="2">
        <f t="shared" si="12"/>
        <v>5.2493374855265302E-3</v>
      </c>
      <c r="T53" s="11">
        <v>0.06</v>
      </c>
      <c r="U53" s="30">
        <f t="shared" si="13"/>
        <v>106000</v>
      </c>
      <c r="V53" s="30">
        <f t="shared" si="1"/>
        <v>31.558089108910895</v>
      </c>
      <c r="W53" s="11">
        <f t="shared" si="14"/>
        <v>883.88526532296135</v>
      </c>
      <c r="X53" s="27">
        <f t="shared" si="15"/>
        <v>5.0608093658836775E-14</v>
      </c>
      <c r="Y53" s="27">
        <f t="shared" si="16"/>
        <v>30476194001.351509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4" customFormat="1" x14ac:dyDescent="0.25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8">
        <v>291.85148514851488</v>
      </c>
      <c r="L54" s="27">
        <f t="shared" si="7"/>
        <v>2.9185148514851488E-4</v>
      </c>
      <c r="M54" s="29">
        <f t="shared" si="8"/>
        <v>4.7762865441819992E-3</v>
      </c>
      <c r="N54" s="33">
        <f t="shared" si="9"/>
        <v>1.2297126622304705E-6</v>
      </c>
      <c r="O54" s="21">
        <f t="shared" si="10"/>
        <v>2.032E-3</v>
      </c>
      <c r="P54" s="21">
        <v>1.0571269522665299E-10</v>
      </c>
      <c r="Q54" s="2">
        <v>0.31</v>
      </c>
      <c r="R54" s="27">
        <f t="shared" si="11"/>
        <v>131000</v>
      </c>
      <c r="S54" s="2">
        <f t="shared" si="12"/>
        <v>5.2493374855265302E-3</v>
      </c>
      <c r="T54" s="11">
        <v>0.06</v>
      </c>
      <c r="U54" s="30">
        <f t="shared" si="13"/>
        <v>106000</v>
      </c>
      <c r="V54" s="30">
        <f t="shared" si="1"/>
        <v>30.936257425742578</v>
      </c>
      <c r="W54" s="11">
        <f t="shared" si="14"/>
        <v>852.60871485256018</v>
      </c>
      <c r="X54" s="27">
        <f t="shared" si="15"/>
        <v>4.9598971677657475E-14</v>
      </c>
      <c r="Y54" s="27">
        <f t="shared" si="16"/>
        <v>29868500744.285332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4" customFormat="1" x14ac:dyDescent="0.25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8">
        <v>303.38613861386142</v>
      </c>
      <c r="L55" s="27">
        <f t="shared" si="7"/>
        <v>3.0338613861386144E-4</v>
      </c>
      <c r="M55" s="29">
        <f t="shared" si="8"/>
        <v>4.7762865441819992E-3</v>
      </c>
      <c r="N55" s="33">
        <f t="shared" si="9"/>
        <v>1.2783137834944559E-6</v>
      </c>
      <c r="O55" s="21">
        <f t="shared" si="10"/>
        <v>2.032E-3</v>
      </c>
      <c r="P55" s="21">
        <v>1.0571269522665299E-10</v>
      </c>
      <c r="Q55" s="2">
        <v>0.31</v>
      </c>
      <c r="R55" s="27">
        <f t="shared" si="11"/>
        <v>131000</v>
      </c>
      <c r="S55" s="2">
        <f t="shared" si="12"/>
        <v>5.2493374855265302E-3</v>
      </c>
      <c r="T55" s="11">
        <v>0.06</v>
      </c>
      <c r="U55" s="30">
        <f t="shared" si="13"/>
        <v>106000</v>
      </c>
      <c r="V55" s="30">
        <f t="shared" si="1"/>
        <v>32.158930693069316</v>
      </c>
      <c r="W55" s="11">
        <f t="shared" si="14"/>
        <v>914.60989594064699</v>
      </c>
      <c r="X55" s="27">
        <f t="shared" si="15"/>
        <v>5.1583813190665877E-14</v>
      </c>
      <c r="Y55" s="27">
        <f t="shared" si="16"/>
        <v>31063772303.418991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4" customFormat="1" x14ac:dyDescent="0.25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8">
        <v>293.88118811881191</v>
      </c>
      <c r="L56" s="27">
        <f t="shared" si="7"/>
        <v>2.9388118811881188E-4</v>
      </c>
      <c r="M56" s="29">
        <f t="shared" si="8"/>
        <v>4.7762865441819992E-3</v>
      </c>
      <c r="N56" s="33">
        <f t="shared" si="9"/>
        <v>1.2382647908649056E-6</v>
      </c>
      <c r="O56" s="21">
        <f t="shared" si="10"/>
        <v>2.032E-3</v>
      </c>
      <c r="P56" s="21">
        <v>1.0571269522665299E-10</v>
      </c>
      <c r="Q56" s="2">
        <v>0.31</v>
      </c>
      <c r="R56" s="27">
        <f t="shared" si="11"/>
        <v>131000</v>
      </c>
      <c r="S56" s="2">
        <f t="shared" si="12"/>
        <v>5.2493374855265302E-3</v>
      </c>
      <c r="T56" s="11">
        <v>0.06</v>
      </c>
      <c r="U56" s="30">
        <f t="shared" si="13"/>
        <v>106000</v>
      </c>
      <c r="V56" s="30">
        <f t="shared" si="1"/>
        <v>31.15140594059406</v>
      </c>
      <c r="W56" s="11">
        <f t="shared" si="14"/>
        <v>863.37008193071824</v>
      </c>
      <c r="X56" s="27">
        <f t="shared" si="15"/>
        <v>4.9948041437580618E-14</v>
      </c>
      <c r="Y56" s="27">
        <f t="shared" si="16"/>
        <v>30078710553.711048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4" customFormat="1" x14ac:dyDescent="0.25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8">
        <v>288.95544554455449</v>
      </c>
      <c r="L57" s="27">
        <f t="shared" si="7"/>
        <v>2.8895544554455451E-4</v>
      </c>
      <c r="M57" s="29">
        <f t="shared" si="8"/>
        <v>4.7762865441819992E-3</v>
      </c>
      <c r="N57" s="33">
        <f t="shared" si="9"/>
        <v>1.2175102347886546E-6</v>
      </c>
      <c r="O57" s="21">
        <f t="shared" si="10"/>
        <v>2.032E-3</v>
      </c>
      <c r="P57" s="21">
        <v>1.0571269522665299E-10</v>
      </c>
      <c r="Q57" s="2">
        <v>0.31</v>
      </c>
      <c r="R57" s="27">
        <f t="shared" si="11"/>
        <v>131000</v>
      </c>
      <c r="S57" s="2">
        <f t="shared" si="12"/>
        <v>5.2493374855265302E-3</v>
      </c>
      <c r="T57" s="11">
        <v>0.06</v>
      </c>
      <c r="U57" s="30">
        <f t="shared" si="13"/>
        <v>106000</v>
      </c>
      <c r="V57" s="30">
        <f t="shared" si="1"/>
        <v>30.629277227722778</v>
      </c>
      <c r="W57" s="11">
        <f t="shared" si="14"/>
        <v>837.36417690041947</v>
      </c>
      <c r="X57" s="27">
        <f t="shared" si="15"/>
        <v>4.9101050190580711E-14</v>
      </c>
      <c r="Y57" s="27">
        <f t="shared" si="16"/>
        <v>29568652424.767704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4" customFormat="1" x14ac:dyDescent="0.25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8">
        <v>280.11881188118815</v>
      </c>
      <c r="L58" s="27">
        <f t="shared" si="7"/>
        <v>2.8011881188118814E-4</v>
      </c>
      <c r="M58" s="29">
        <f t="shared" si="8"/>
        <v>4.7762865441819992E-3</v>
      </c>
      <c r="N58" s="33">
        <f t="shared" si="9"/>
        <v>1.1802771869533695E-6</v>
      </c>
      <c r="O58" s="21">
        <f t="shared" si="10"/>
        <v>2.032E-3</v>
      </c>
      <c r="P58" s="21">
        <v>1.0571269522665299E-10</v>
      </c>
      <c r="Q58" s="2">
        <v>0.31</v>
      </c>
      <c r="R58" s="27">
        <f t="shared" si="11"/>
        <v>131000</v>
      </c>
      <c r="S58" s="2">
        <f t="shared" si="12"/>
        <v>5.2493374855265302E-3</v>
      </c>
      <c r="T58" s="11">
        <v>0.06</v>
      </c>
      <c r="U58" s="30">
        <f t="shared" si="13"/>
        <v>106000</v>
      </c>
      <c r="V58" s="30">
        <f t="shared" si="1"/>
        <v>29.692594059405941</v>
      </c>
      <c r="W58" s="11">
        <f t="shared" si="14"/>
        <v>791.64991182986762</v>
      </c>
      <c r="X58" s="27">
        <f t="shared" si="15"/>
        <v>4.7582764673623068E-14</v>
      </c>
      <c r="Y58" s="27">
        <f t="shared" si="16"/>
        <v>28654340886.455814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4" customFormat="1" x14ac:dyDescent="0.25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8">
        <v>293.26237623762381</v>
      </c>
      <c r="L59" s="27">
        <f t="shared" si="7"/>
        <v>2.9326237623762382E-4</v>
      </c>
      <c r="M59" s="29">
        <f t="shared" si="8"/>
        <v>4.7762865441819992E-3</v>
      </c>
      <c r="N59" s="33">
        <f t="shared" si="9"/>
        <v>1.2356574345739195E-6</v>
      </c>
      <c r="O59" s="21">
        <f t="shared" si="10"/>
        <v>2.032E-3</v>
      </c>
      <c r="P59" s="21">
        <v>1.0571269522665299E-10</v>
      </c>
      <c r="Q59" s="2">
        <v>0.31</v>
      </c>
      <c r="R59" s="27">
        <f t="shared" si="11"/>
        <v>131000</v>
      </c>
      <c r="S59" s="2">
        <f t="shared" si="12"/>
        <v>5.2493374855265302E-3</v>
      </c>
      <c r="T59" s="11">
        <v>0.06</v>
      </c>
      <c r="U59" s="30">
        <f t="shared" si="13"/>
        <v>106000</v>
      </c>
      <c r="V59" s="30">
        <f t="shared" si="1"/>
        <v>31.085811881188125</v>
      </c>
      <c r="W59" s="11">
        <f t="shared" si="14"/>
        <v>860.08244158932894</v>
      </c>
      <c r="X59" s="27">
        <f t="shared" si="15"/>
        <v>4.984160903334782E-14</v>
      </c>
      <c r="Y59" s="27">
        <f t="shared" si="16"/>
        <v>30014616959.882057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4" customFormat="1" x14ac:dyDescent="0.25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8">
        <v>294.72277227722776</v>
      </c>
      <c r="L60" s="27">
        <f t="shared" si="7"/>
        <v>2.9472277227722776E-4</v>
      </c>
      <c r="M60" s="29">
        <f t="shared" si="8"/>
        <v>4.7762865441819992E-3</v>
      </c>
      <c r="N60" s="33">
        <f t="shared" si="9"/>
        <v>1.2418107954206471E-6</v>
      </c>
      <c r="O60" s="21">
        <f t="shared" si="10"/>
        <v>2.032E-3</v>
      </c>
      <c r="P60" s="21">
        <v>1.0571269522665299E-10</v>
      </c>
      <c r="Q60" s="2">
        <v>0.31</v>
      </c>
      <c r="R60" s="27">
        <f t="shared" si="11"/>
        <v>131000</v>
      </c>
      <c r="S60" s="2">
        <f t="shared" si="12"/>
        <v>5.2493374855265302E-3</v>
      </c>
      <c r="T60" s="11">
        <v>0.06</v>
      </c>
      <c r="U60" s="30">
        <f t="shared" si="13"/>
        <v>106000</v>
      </c>
      <c r="V60" s="30">
        <f t="shared" si="1"/>
        <v>31.240613861386144</v>
      </c>
      <c r="W60" s="11">
        <f t="shared" si="14"/>
        <v>867.85075251821843</v>
      </c>
      <c r="X60" s="27">
        <f t="shared" si="15"/>
        <v>5.0092801786713479E-14</v>
      </c>
      <c r="Y60" s="27">
        <f t="shared" si="16"/>
        <v>30165885235.958858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4" customFormat="1" x14ac:dyDescent="0.25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8">
        <v>282.56930693069307</v>
      </c>
      <c r="L61" s="27">
        <f t="shared" si="7"/>
        <v>2.8256930693069309E-4</v>
      </c>
      <c r="M61" s="29">
        <f t="shared" si="8"/>
        <v>4.7762865441819992E-3</v>
      </c>
      <c r="N61" s="33">
        <f t="shared" si="9"/>
        <v>1.1906023178656754E-6</v>
      </c>
      <c r="O61" s="21">
        <f t="shared" si="10"/>
        <v>2.032E-3</v>
      </c>
      <c r="P61" s="21">
        <v>1.0571269522665299E-10</v>
      </c>
      <c r="Q61" s="2">
        <v>0.31</v>
      </c>
      <c r="R61" s="27">
        <f t="shared" si="11"/>
        <v>131000</v>
      </c>
      <c r="S61" s="2">
        <f t="shared" si="12"/>
        <v>5.2493374855265302E-3</v>
      </c>
      <c r="T61" s="11">
        <v>0.06</v>
      </c>
      <c r="U61" s="30">
        <f t="shared" si="13"/>
        <v>106000</v>
      </c>
      <c r="V61" s="30">
        <f t="shared" si="1"/>
        <v>29.952346534653469</v>
      </c>
      <c r="W61" s="11">
        <f t="shared" si="14"/>
        <v>804.20595570694854</v>
      </c>
      <c r="X61" s="27">
        <f t="shared" si="15"/>
        <v>4.8003650374457065E-14</v>
      </c>
      <c r="Y61" s="27">
        <f t="shared" si="16"/>
        <v>28907798255.498047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4" customFormat="1" x14ac:dyDescent="0.25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8">
        <v>286.23267326732673</v>
      </c>
      <c r="L62" s="27">
        <f t="shared" si="7"/>
        <v>2.8623267326732674E-4</v>
      </c>
      <c r="M62" s="29">
        <f t="shared" si="8"/>
        <v>4.7762865441819992E-3</v>
      </c>
      <c r="N62" s="33">
        <f t="shared" si="9"/>
        <v>1.2060378671083143E-6</v>
      </c>
      <c r="O62" s="21">
        <f t="shared" si="10"/>
        <v>2.032E-3</v>
      </c>
      <c r="P62" s="21">
        <v>1.0571269522665299E-10</v>
      </c>
      <c r="Q62" s="2">
        <v>0.31</v>
      </c>
      <c r="R62" s="27">
        <f t="shared" si="11"/>
        <v>131000</v>
      </c>
      <c r="S62" s="2">
        <f t="shared" si="12"/>
        <v>5.2493374855265302E-3</v>
      </c>
      <c r="T62" s="11">
        <v>0.06</v>
      </c>
      <c r="U62" s="30">
        <f t="shared" si="13"/>
        <v>106000</v>
      </c>
      <c r="V62" s="30">
        <f t="shared" si="1"/>
        <v>30.340663366336635</v>
      </c>
      <c r="W62" s="11">
        <f t="shared" si="14"/>
        <v>823.14985600772582</v>
      </c>
      <c r="X62" s="27">
        <f t="shared" si="15"/>
        <v>4.8633069380410981E-14</v>
      </c>
      <c r="Y62" s="27">
        <f t="shared" si="16"/>
        <v>29286834380.883495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4" customFormat="1" x14ac:dyDescent="0.25">
      <c r="A63" s="26">
        <v>183</v>
      </c>
      <c r="B63" s="26">
        <f t="shared" ref="B63:B126" si="17">(A63/60)</f>
        <v>3.05</v>
      </c>
      <c r="C63" s="26">
        <v>20</v>
      </c>
      <c r="D63" s="26">
        <f t="shared" ref="D63:D126" si="18">(C63*1.4573)</f>
        <v>29.146000000000001</v>
      </c>
      <c r="E63" s="26">
        <f t="shared" ref="E63:E126" si="19">(D63/(1000000*60))</f>
        <v>4.8576666666666667E-7</v>
      </c>
      <c r="F63" s="26">
        <v>21.1</v>
      </c>
      <c r="G63" s="26">
        <f t="shared" ref="G63:G126" si="20">(273+F63)</f>
        <v>294.10000000000002</v>
      </c>
      <c r="H63" s="26">
        <v>101.3</v>
      </c>
      <c r="I63" s="26">
        <f t="shared" ref="I63:I126" si="21">(H63*1000)</f>
        <v>101300</v>
      </c>
      <c r="J63" s="26">
        <f t="shared" ref="J63:J126" si="22">((I63*E63)/(8.314*G63))</f>
        <v>2.0124824921938581E-5</v>
      </c>
      <c r="K63" s="28">
        <v>283.26237623762381</v>
      </c>
      <c r="L63" s="27">
        <f t="shared" ref="L63:L126" si="23">(K63/1000000)</f>
        <v>2.8326237623762379E-4</v>
      </c>
      <c r="M63" s="29">
        <f t="shared" si="8"/>
        <v>4.7762865441819992E-3</v>
      </c>
      <c r="N63" s="33">
        <f t="shared" ref="N63:N126" si="24">(L63*J63)/M63</f>
        <v>1.19352255691158E-6</v>
      </c>
      <c r="O63" s="21">
        <f t="shared" si="10"/>
        <v>2.032E-3</v>
      </c>
      <c r="P63" s="21">
        <v>1.0571269522665299E-10</v>
      </c>
      <c r="Q63" s="2">
        <v>0.31</v>
      </c>
      <c r="R63" s="27">
        <f t="shared" ref="R63:R126" si="25">(1+Q63)*100000*1</f>
        <v>131000</v>
      </c>
      <c r="S63" s="2">
        <f t="shared" si="12"/>
        <v>5.2493374855265302E-3</v>
      </c>
      <c r="T63" s="11">
        <v>0.06</v>
      </c>
      <c r="U63" s="30">
        <f t="shared" ref="U63:U126" si="26">(1+T63)*100000</f>
        <v>106000</v>
      </c>
      <c r="V63" s="30">
        <f t="shared" ref="V63:V126" si="27">(L63*U63)</f>
        <v>30.025811881188122</v>
      </c>
      <c r="W63" s="11">
        <f t="shared" ref="W63:W126" si="28">((N63*O63/P63) + SQRT(V63))^2</f>
        <v>807.77401736853915</v>
      </c>
      <c r="X63" s="27">
        <f t="shared" ref="X63:X126" si="29">(N63*S63)/(R63-W63)</f>
        <v>4.8122709712738528E-14</v>
      </c>
      <c r="Y63" s="27">
        <f t="shared" ref="Y63:Y126" si="30">(X63*6.022E+23)</f>
        <v>28979495789.011143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4" customFormat="1" x14ac:dyDescent="0.25">
      <c r="A64" s="26">
        <v>186</v>
      </c>
      <c r="B64" s="26">
        <f t="shared" si="17"/>
        <v>3.1</v>
      </c>
      <c r="C64" s="26">
        <v>20</v>
      </c>
      <c r="D64" s="26">
        <f t="shared" si="18"/>
        <v>29.146000000000001</v>
      </c>
      <c r="E64" s="26">
        <f t="shared" si="19"/>
        <v>4.8576666666666667E-7</v>
      </c>
      <c r="F64" s="26">
        <v>21.1</v>
      </c>
      <c r="G64" s="26">
        <f t="shared" si="20"/>
        <v>294.10000000000002</v>
      </c>
      <c r="H64" s="26">
        <v>101.3</v>
      </c>
      <c r="I64" s="26">
        <f t="shared" si="21"/>
        <v>101300</v>
      </c>
      <c r="J64" s="26">
        <f t="shared" si="22"/>
        <v>2.0124824921938581E-5</v>
      </c>
      <c r="K64" s="14">
        <v>295.66336633663371</v>
      </c>
      <c r="L64" s="27">
        <f t="shared" si="23"/>
        <v>2.9566336633663371E-4</v>
      </c>
      <c r="M64" s="29">
        <f t="shared" si="8"/>
        <v>4.7762865441819992E-3</v>
      </c>
      <c r="N64" s="33">
        <f t="shared" si="24"/>
        <v>1.2457739769829464E-6</v>
      </c>
      <c r="O64" s="21">
        <f t="shared" si="10"/>
        <v>2.032E-3</v>
      </c>
      <c r="P64" s="21">
        <v>1.0571269522665299E-10</v>
      </c>
      <c r="Q64" s="2">
        <v>0.31</v>
      </c>
      <c r="R64" s="27">
        <f t="shared" si="25"/>
        <v>131000</v>
      </c>
      <c r="S64" s="2">
        <f t="shared" si="12"/>
        <v>5.2493374855265302E-3</v>
      </c>
      <c r="T64" s="11">
        <v>0.06</v>
      </c>
      <c r="U64" s="30">
        <f t="shared" si="26"/>
        <v>106000</v>
      </c>
      <c r="V64" s="30">
        <f t="shared" si="27"/>
        <v>31.340316831683172</v>
      </c>
      <c r="W64" s="11">
        <f t="shared" si="28"/>
        <v>872.87148766832013</v>
      </c>
      <c r="X64" s="27">
        <f t="shared" si="29"/>
        <v>5.0254609554765684E-14</v>
      </c>
      <c r="Y64" s="27">
        <f t="shared" si="30"/>
        <v>30263325873.879898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4" customFormat="1" x14ac:dyDescent="0.25">
      <c r="A65" s="26">
        <v>189</v>
      </c>
      <c r="B65" s="26">
        <f t="shared" si="17"/>
        <v>3.15</v>
      </c>
      <c r="C65" s="26">
        <v>20</v>
      </c>
      <c r="D65" s="26">
        <f t="shared" si="18"/>
        <v>29.146000000000001</v>
      </c>
      <c r="E65" s="26">
        <f t="shared" si="19"/>
        <v>4.8576666666666667E-7</v>
      </c>
      <c r="F65" s="26">
        <v>21.1</v>
      </c>
      <c r="G65" s="26">
        <f t="shared" si="20"/>
        <v>294.10000000000002</v>
      </c>
      <c r="H65" s="26">
        <v>101.3</v>
      </c>
      <c r="I65" s="26">
        <f t="shared" si="21"/>
        <v>101300</v>
      </c>
      <c r="J65" s="26">
        <f t="shared" si="22"/>
        <v>2.0124824921938581E-5</v>
      </c>
      <c r="K65" s="14">
        <v>282.74257425742576</v>
      </c>
      <c r="L65" s="27">
        <f t="shared" si="23"/>
        <v>2.8274257425742573E-4</v>
      </c>
      <c r="M65" s="29">
        <f t="shared" si="8"/>
        <v>4.7762865441819992E-3</v>
      </c>
      <c r="N65" s="33">
        <f t="shared" si="24"/>
        <v>1.1913323776271514E-6</v>
      </c>
      <c r="O65" s="21">
        <f t="shared" si="10"/>
        <v>2.032E-3</v>
      </c>
      <c r="P65" s="21">
        <v>1.0571269522665299E-10</v>
      </c>
      <c r="Q65" s="2">
        <v>0.31</v>
      </c>
      <c r="R65" s="27">
        <f t="shared" si="25"/>
        <v>131000</v>
      </c>
      <c r="S65" s="2">
        <f t="shared" si="12"/>
        <v>5.2493374855265302E-3</v>
      </c>
      <c r="T65" s="11">
        <v>0.06</v>
      </c>
      <c r="U65" s="30">
        <f t="shared" si="26"/>
        <v>106000</v>
      </c>
      <c r="V65" s="30">
        <f t="shared" si="27"/>
        <v>29.970712871287127</v>
      </c>
      <c r="W65" s="11">
        <f t="shared" si="28"/>
        <v>805.09727442843121</v>
      </c>
      <c r="X65" s="27">
        <f t="shared" si="29"/>
        <v>4.8033414340201846E-14</v>
      </c>
      <c r="Y65" s="27">
        <f t="shared" si="30"/>
        <v>28925722115.669552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4" customFormat="1" x14ac:dyDescent="0.25">
      <c r="A66" s="26">
        <v>192</v>
      </c>
      <c r="B66" s="26">
        <f t="shared" si="17"/>
        <v>3.2</v>
      </c>
      <c r="C66" s="26">
        <v>20</v>
      </c>
      <c r="D66" s="26">
        <f t="shared" si="18"/>
        <v>29.146000000000001</v>
      </c>
      <c r="E66" s="26">
        <f t="shared" si="19"/>
        <v>4.8576666666666667E-7</v>
      </c>
      <c r="F66" s="26">
        <v>21.1</v>
      </c>
      <c r="G66" s="26">
        <f t="shared" si="20"/>
        <v>294.10000000000002</v>
      </c>
      <c r="H66" s="26">
        <v>101.3</v>
      </c>
      <c r="I66" s="26">
        <f t="shared" si="21"/>
        <v>101300</v>
      </c>
      <c r="J66" s="26">
        <f t="shared" si="22"/>
        <v>2.0124824921938581E-5</v>
      </c>
      <c r="K66" s="14">
        <v>280.49009900990103</v>
      </c>
      <c r="L66" s="27">
        <f t="shared" si="23"/>
        <v>2.8049009900990102E-4</v>
      </c>
      <c r="M66" s="29">
        <f t="shared" si="8"/>
        <v>4.7762865441819992E-3</v>
      </c>
      <c r="N66" s="33">
        <f t="shared" si="24"/>
        <v>1.1818416007279613E-6</v>
      </c>
      <c r="O66" s="21">
        <f t="shared" si="10"/>
        <v>2.032E-3</v>
      </c>
      <c r="P66" s="21">
        <v>1.0571269522665299E-10</v>
      </c>
      <c r="Q66" s="2">
        <v>0.31</v>
      </c>
      <c r="R66" s="27">
        <f t="shared" si="25"/>
        <v>131000</v>
      </c>
      <c r="S66" s="2">
        <f t="shared" si="12"/>
        <v>5.2493374855265302E-3</v>
      </c>
      <c r="T66" s="11">
        <v>0.06</v>
      </c>
      <c r="U66" s="30">
        <f t="shared" si="26"/>
        <v>106000</v>
      </c>
      <c r="V66" s="30">
        <f t="shared" si="27"/>
        <v>29.731950495049507</v>
      </c>
      <c r="W66" s="11">
        <f t="shared" si="28"/>
        <v>793.54636815697086</v>
      </c>
      <c r="X66" s="27">
        <f t="shared" si="29"/>
        <v>4.7646527830312982E-14</v>
      </c>
      <c r="Y66" s="27">
        <f t="shared" si="30"/>
        <v>28692739059.414478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4" customFormat="1" x14ac:dyDescent="0.25">
      <c r="A67" s="26">
        <v>195</v>
      </c>
      <c r="B67" s="26">
        <f t="shared" si="17"/>
        <v>3.25</v>
      </c>
      <c r="C67" s="26">
        <v>20</v>
      </c>
      <c r="D67" s="26">
        <f t="shared" si="18"/>
        <v>29.146000000000001</v>
      </c>
      <c r="E67" s="26">
        <f t="shared" si="19"/>
        <v>4.8576666666666667E-7</v>
      </c>
      <c r="F67" s="26">
        <v>21.1</v>
      </c>
      <c r="G67" s="26">
        <f t="shared" si="20"/>
        <v>294.10000000000002</v>
      </c>
      <c r="H67" s="26">
        <v>101.3</v>
      </c>
      <c r="I67" s="26">
        <f t="shared" si="21"/>
        <v>101300</v>
      </c>
      <c r="J67" s="26">
        <f t="shared" si="22"/>
        <v>2.0124824921938581E-5</v>
      </c>
      <c r="K67" s="14">
        <v>282.81683168316835</v>
      </c>
      <c r="L67" s="27">
        <f t="shared" si="23"/>
        <v>2.8281683168316832E-4</v>
      </c>
      <c r="M67" s="29">
        <f t="shared" ref="M67:M130" si="31">(3.142*3.07*3.07*25.4*25.4)/(4*1000000)</f>
        <v>4.7762865441819992E-3</v>
      </c>
      <c r="N67" s="33">
        <f t="shared" si="24"/>
        <v>1.1916452603820699E-6</v>
      </c>
      <c r="O67" s="21">
        <f t="shared" ref="O67:O130" si="32">(2.032/1000)</f>
        <v>2.032E-3</v>
      </c>
      <c r="P67" s="21">
        <v>1.0571269522665299E-10</v>
      </c>
      <c r="Q67" s="2">
        <v>0.31</v>
      </c>
      <c r="R67" s="27">
        <f t="shared" si="25"/>
        <v>131000</v>
      </c>
      <c r="S67" s="2">
        <f t="shared" ref="S67:S130" si="33">(5.24933748552653/1000)</f>
        <v>5.2493374855265302E-3</v>
      </c>
      <c r="T67" s="11">
        <v>0.06</v>
      </c>
      <c r="U67" s="30">
        <f t="shared" si="26"/>
        <v>106000</v>
      </c>
      <c r="V67" s="30">
        <f t="shared" si="27"/>
        <v>29.978584158415842</v>
      </c>
      <c r="W67" s="11">
        <f t="shared" si="28"/>
        <v>805.47941035431575</v>
      </c>
      <c r="X67" s="27">
        <f t="shared" si="29"/>
        <v>4.8046170502747772E-14</v>
      </c>
      <c r="Y67" s="27">
        <f t="shared" si="30"/>
        <v>28933403876.754711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4" customFormat="1" x14ac:dyDescent="0.25">
      <c r="A68" s="26">
        <v>198</v>
      </c>
      <c r="B68" s="26">
        <f t="shared" si="17"/>
        <v>3.3</v>
      </c>
      <c r="C68" s="26">
        <v>20</v>
      </c>
      <c r="D68" s="26">
        <f t="shared" si="18"/>
        <v>29.146000000000001</v>
      </c>
      <c r="E68" s="26">
        <f t="shared" si="19"/>
        <v>4.8576666666666667E-7</v>
      </c>
      <c r="F68" s="26">
        <v>21.1</v>
      </c>
      <c r="G68" s="26">
        <f t="shared" si="20"/>
        <v>294.10000000000002</v>
      </c>
      <c r="H68" s="26">
        <v>101.3</v>
      </c>
      <c r="I68" s="26">
        <f t="shared" si="21"/>
        <v>101300</v>
      </c>
      <c r="J68" s="26">
        <f t="shared" si="22"/>
        <v>2.0124824921938581E-5</v>
      </c>
      <c r="K68" s="14">
        <v>289.52475247524751</v>
      </c>
      <c r="L68" s="27">
        <f t="shared" si="23"/>
        <v>2.8952475247524752E-4</v>
      </c>
      <c r="M68" s="29">
        <f t="shared" si="31"/>
        <v>4.7762865441819992E-3</v>
      </c>
      <c r="N68" s="33">
        <f t="shared" si="24"/>
        <v>1.2199090025763617E-6</v>
      </c>
      <c r="O68" s="21">
        <f t="shared" si="32"/>
        <v>2.032E-3</v>
      </c>
      <c r="P68" s="21">
        <v>1.0571269522665299E-10</v>
      </c>
      <c r="Q68" s="2">
        <v>0.31</v>
      </c>
      <c r="R68" s="27">
        <f t="shared" si="25"/>
        <v>131000</v>
      </c>
      <c r="S68" s="2">
        <f t="shared" si="33"/>
        <v>5.2493374855265302E-3</v>
      </c>
      <c r="T68" s="11">
        <v>0.06</v>
      </c>
      <c r="U68" s="30">
        <f t="shared" si="26"/>
        <v>106000</v>
      </c>
      <c r="V68" s="30">
        <f t="shared" si="27"/>
        <v>30.689623762376236</v>
      </c>
      <c r="W68" s="11">
        <f t="shared" si="28"/>
        <v>840.35073938862524</v>
      </c>
      <c r="X68" s="27">
        <f t="shared" si="29"/>
        <v>4.919891911612006E-14</v>
      </c>
      <c r="Y68" s="27">
        <f t="shared" si="30"/>
        <v>29627589091.727501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4" customFormat="1" x14ac:dyDescent="0.25">
      <c r="A69" s="26">
        <v>201</v>
      </c>
      <c r="B69" s="26">
        <f t="shared" si="17"/>
        <v>3.35</v>
      </c>
      <c r="C69" s="26">
        <v>20</v>
      </c>
      <c r="D69" s="26">
        <f t="shared" si="18"/>
        <v>29.146000000000001</v>
      </c>
      <c r="E69" s="26">
        <f t="shared" si="19"/>
        <v>4.8576666666666667E-7</v>
      </c>
      <c r="F69" s="26">
        <v>21.1</v>
      </c>
      <c r="G69" s="26">
        <f t="shared" si="20"/>
        <v>294.10000000000002</v>
      </c>
      <c r="H69" s="26">
        <v>101.3</v>
      </c>
      <c r="I69" s="26">
        <f t="shared" si="21"/>
        <v>101300</v>
      </c>
      <c r="J69" s="26">
        <f t="shared" si="22"/>
        <v>2.0124824921938581E-5</v>
      </c>
      <c r="K69" s="14">
        <v>283.46039603960401</v>
      </c>
      <c r="L69" s="27">
        <f t="shared" si="23"/>
        <v>2.8346039603960402E-4</v>
      </c>
      <c r="M69" s="29">
        <f t="shared" si="31"/>
        <v>4.7762865441819992E-3</v>
      </c>
      <c r="N69" s="33">
        <f t="shared" si="24"/>
        <v>1.1943569109246958E-6</v>
      </c>
      <c r="O69" s="21">
        <f t="shared" si="32"/>
        <v>2.032E-3</v>
      </c>
      <c r="P69" s="21">
        <v>1.0571269522665299E-10</v>
      </c>
      <c r="Q69" s="2">
        <v>0.31</v>
      </c>
      <c r="R69" s="27">
        <f t="shared" si="25"/>
        <v>131000</v>
      </c>
      <c r="S69" s="2">
        <f t="shared" si="33"/>
        <v>5.2493374855265302E-3</v>
      </c>
      <c r="T69" s="11">
        <v>0.06</v>
      </c>
      <c r="U69" s="30">
        <f t="shared" si="26"/>
        <v>106000</v>
      </c>
      <c r="V69" s="30">
        <f t="shared" si="27"/>
        <v>30.046801980198026</v>
      </c>
      <c r="W69" s="11">
        <f t="shared" si="28"/>
        <v>808.79482842121979</v>
      </c>
      <c r="X69" s="27">
        <f t="shared" si="29"/>
        <v>4.8156728370030861E-14</v>
      </c>
      <c r="Y69" s="27">
        <f t="shared" si="30"/>
        <v>28999981824.432587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4" customFormat="1" x14ac:dyDescent="0.25">
      <c r="A70" s="26">
        <v>204</v>
      </c>
      <c r="B70" s="26">
        <f t="shared" si="17"/>
        <v>3.4</v>
      </c>
      <c r="C70" s="26">
        <v>20</v>
      </c>
      <c r="D70" s="26">
        <f t="shared" si="18"/>
        <v>29.146000000000001</v>
      </c>
      <c r="E70" s="26">
        <f t="shared" si="19"/>
        <v>4.8576666666666667E-7</v>
      </c>
      <c r="F70" s="26">
        <v>21.1</v>
      </c>
      <c r="G70" s="26">
        <f t="shared" si="20"/>
        <v>294.10000000000002</v>
      </c>
      <c r="H70" s="26">
        <v>101.3</v>
      </c>
      <c r="I70" s="26">
        <f t="shared" si="21"/>
        <v>101300</v>
      </c>
      <c r="J70" s="26">
        <f t="shared" si="22"/>
        <v>2.0124824921938581E-5</v>
      </c>
      <c r="K70" s="20">
        <v>281.87623762376239</v>
      </c>
      <c r="L70" s="27">
        <f t="shared" si="23"/>
        <v>2.8187623762376238E-4</v>
      </c>
      <c r="M70" s="29">
        <f t="shared" si="31"/>
        <v>4.7762865441819992E-3</v>
      </c>
      <c r="N70" s="33">
        <f t="shared" si="24"/>
        <v>1.1876820788197706E-6</v>
      </c>
      <c r="O70" s="21">
        <f t="shared" si="32"/>
        <v>2.032E-3</v>
      </c>
      <c r="P70" s="21">
        <v>1.0571269522665299E-10</v>
      </c>
      <c r="Q70" s="2">
        <v>0.31</v>
      </c>
      <c r="R70" s="27">
        <f t="shared" si="25"/>
        <v>131000</v>
      </c>
      <c r="S70" s="2">
        <f t="shared" si="33"/>
        <v>5.2493374855265302E-3</v>
      </c>
      <c r="T70" s="11">
        <v>0.06</v>
      </c>
      <c r="U70" s="30">
        <f t="shared" si="26"/>
        <v>106000</v>
      </c>
      <c r="V70" s="30">
        <f t="shared" si="27"/>
        <v>29.878881188118811</v>
      </c>
      <c r="W70" s="11">
        <f t="shared" si="28"/>
        <v>800.64532602452891</v>
      </c>
      <c r="X70" s="9">
        <f t="shared" si="29"/>
        <v>4.7884600295049471E-14</v>
      </c>
      <c r="Y70" s="9">
        <f t="shared" si="30"/>
        <v>28836106297.678791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4" customFormat="1" x14ac:dyDescent="0.25">
      <c r="A71" s="26">
        <v>207</v>
      </c>
      <c r="B71" s="26">
        <f t="shared" si="17"/>
        <v>3.45</v>
      </c>
      <c r="C71" s="26">
        <v>20</v>
      </c>
      <c r="D71" s="26">
        <f t="shared" si="18"/>
        <v>29.146000000000001</v>
      </c>
      <c r="E71" s="26">
        <f t="shared" si="19"/>
        <v>4.8576666666666667E-7</v>
      </c>
      <c r="F71" s="26">
        <v>21.1</v>
      </c>
      <c r="G71" s="26">
        <f t="shared" si="20"/>
        <v>294.10000000000002</v>
      </c>
      <c r="H71" s="26">
        <v>101.3</v>
      </c>
      <c r="I71" s="26">
        <f t="shared" si="21"/>
        <v>101300</v>
      </c>
      <c r="J71" s="26">
        <f t="shared" si="22"/>
        <v>2.0124824921938581E-5</v>
      </c>
      <c r="K71" s="20">
        <v>295.41584158415844</v>
      </c>
      <c r="L71" s="27">
        <f t="shared" si="23"/>
        <v>2.9541584158415842E-4</v>
      </c>
      <c r="M71" s="29">
        <f t="shared" si="31"/>
        <v>4.7762865441819992E-3</v>
      </c>
      <c r="N71" s="33">
        <f t="shared" si="24"/>
        <v>1.2447310344665517E-6</v>
      </c>
      <c r="O71" s="21">
        <f t="shared" si="32"/>
        <v>2.032E-3</v>
      </c>
      <c r="P71" s="21">
        <v>1.0571269522665299E-10</v>
      </c>
      <c r="Q71" s="2">
        <v>0.31</v>
      </c>
      <c r="R71" s="27">
        <f t="shared" si="25"/>
        <v>131000</v>
      </c>
      <c r="S71" s="2">
        <f t="shared" si="33"/>
        <v>5.2493374855265302E-3</v>
      </c>
      <c r="T71" s="11">
        <v>0.06</v>
      </c>
      <c r="U71" s="30">
        <f t="shared" si="26"/>
        <v>106000</v>
      </c>
      <c r="V71" s="30">
        <f t="shared" si="27"/>
        <v>31.314079207920791</v>
      </c>
      <c r="W71" s="11">
        <f t="shared" si="28"/>
        <v>871.5489188246446</v>
      </c>
      <c r="X71" s="9">
        <f t="shared" si="29"/>
        <v>5.0212026842212284E-14</v>
      </c>
      <c r="Y71" s="9">
        <f t="shared" si="30"/>
        <v>30237682564.380238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4" customFormat="1" x14ac:dyDescent="0.25">
      <c r="A72" s="26">
        <v>210</v>
      </c>
      <c r="B72" s="26">
        <f t="shared" si="17"/>
        <v>3.5</v>
      </c>
      <c r="C72" s="26">
        <v>20</v>
      </c>
      <c r="D72" s="26">
        <f t="shared" si="18"/>
        <v>29.146000000000001</v>
      </c>
      <c r="E72" s="26">
        <f t="shared" si="19"/>
        <v>4.8576666666666667E-7</v>
      </c>
      <c r="F72" s="26">
        <v>21.1</v>
      </c>
      <c r="G72" s="26">
        <f t="shared" si="20"/>
        <v>294.10000000000002</v>
      </c>
      <c r="H72" s="26">
        <v>101.3</v>
      </c>
      <c r="I72" s="26">
        <f t="shared" si="21"/>
        <v>101300</v>
      </c>
      <c r="J72" s="26">
        <f t="shared" si="22"/>
        <v>2.0124824921938581E-5</v>
      </c>
      <c r="K72" s="20">
        <v>277.99009900990103</v>
      </c>
      <c r="L72" s="27">
        <f t="shared" si="23"/>
        <v>2.7799009900990101E-4</v>
      </c>
      <c r="M72" s="29">
        <f t="shared" si="31"/>
        <v>4.7762865441819992E-3</v>
      </c>
      <c r="N72" s="33">
        <f t="shared" si="24"/>
        <v>1.1713078813123764E-6</v>
      </c>
      <c r="O72" s="21">
        <f t="shared" si="32"/>
        <v>2.032E-3</v>
      </c>
      <c r="P72" s="21">
        <v>1.0571269522665299E-10</v>
      </c>
      <c r="Q72" s="2">
        <v>0.31</v>
      </c>
      <c r="R72" s="27">
        <f t="shared" si="25"/>
        <v>131000</v>
      </c>
      <c r="S72" s="2">
        <f t="shared" si="33"/>
        <v>5.2493374855265302E-3</v>
      </c>
      <c r="T72" s="11">
        <v>0.06</v>
      </c>
      <c r="U72" s="30">
        <f t="shared" si="26"/>
        <v>106000</v>
      </c>
      <c r="V72" s="30">
        <f t="shared" si="27"/>
        <v>29.466950495049506</v>
      </c>
      <c r="W72" s="11">
        <f t="shared" si="28"/>
        <v>780.81809922535535</v>
      </c>
      <c r="X72" s="9">
        <f t="shared" si="29"/>
        <v>4.7217240031125868E-14</v>
      </c>
      <c r="Y72" s="9">
        <f t="shared" si="30"/>
        <v>28434221946.743999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4" customFormat="1" x14ac:dyDescent="0.25">
      <c r="A73" s="26">
        <v>213</v>
      </c>
      <c r="B73" s="26">
        <f t="shared" si="17"/>
        <v>3.55</v>
      </c>
      <c r="C73" s="26">
        <v>20</v>
      </c>
      <c r="D73" s="26">
        <f t="shared" si="18"/>
        <v>29.146000000000001</v>
      </c>
      <c r="E73" s="26">
        <f t="shared" si="19"/>
        <v>4.8576666666666667E-7</v>
      </c>
      <c r="F73" s="26">
        <v>21.1</v>
      </c>
      <c r="G73" s="26">
        <f t="shared" si="20"/>
        <v>294.10000000000002</v>
      </c>
      <c r="H73" s="26">
        <v>101.3</v>
      </c>
      <c r="I73" s="26">
        <f t="shared" si="21"/>
        <v>101300</v>
      </c>
      <c r="J73" s="26">
        <f t="shared" si="22"/>
        <v>2.0124824921938581E-5</v>
      </c>
      <c r="K73" s="20">
        <v>293.7574257425743</v>
      </c>
      <c r="L73" s="27">
        <f t="shared" si="23"/>
        <v>2.9375742574257429E-4</v>
      </c>
      <c r="M73" s="29">
        <f t="shared" si="31"/>
        <v>4.7762865441819992E-3</v>
      </c>
      <c r="N73" s="33">
        <f t="shared" si="24"/>
        <v>1.2377433196067085E-6</v>
      </c>
      <c r="O73" s="21">
        <f t="shared" si="32"/>
        <v>2.032E-3</v>
      </c>
      <c r="P73" s="21">
        <v>1.0571269522665299E-10</v>
      </c>
      <c r="Q73" s="2">
        <v>0.31</v>
      </c>
      <c r="R73" s="27">
        <f t="shared" si="25"/>
        <v>131000</v>
      </c>
      <c r="S73" s="2">
        <f t="shared" si="33"/>
        <v>5.2493374855265302E-3</v>
      </c>
      <c r="T73" s="11">
        <v>0.06</v>
      </c>
      <c r="U73" s="30">
        <f t="shared" si="26"/>
        <v>106000</v>
      </c>
      <c r="V73" s="30">
        <f t="shared" si="27"/>
        <v>31.138287128712875</v>
      </c>
      <c r="W73" s="11">
        <f t="shared" si="28"/>
        <v>862.71208125529449</v>
      </c>
      <c r="X73" s="9">
        <f t="shared" si="29"/>
        <v>4.9926754345213899E-14</v>
      </c>
      <c r="Y73" s="9">
        <f t="shared" si="30"/>
        <v>30065891466.687813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4" customFormat="1" x14ac:dyDescent="0.25">
      <c r="A74" s="26">
        <v>216</v>
      </c>
      <c r="B74" s="26">
        <f t="shared" si="17"/>
        <v>3.6</v>
      </c>
      <c r="C74" s="26">
        <v>20</v>
      </c>
      <c r="D74" s="26">
        <f t="shared" si="18"/>
        <v>29.146000000000001</v>
      </c>
      <c r="E74" s="26">
        <f t="shared" si="19"/>
        <v>4.8576666666666667E-7</v>
      </c>
      <c r="F74" s="26">
        <v>21.1</v>
      </c>
      <c r="G74" s="26">
        <f t="shared" si="20"/>
        <v>294.10000000000002</v>
      </c>
      <c r="H74" s="26">
        <v>101.3</v>
      </c>
      <c r="I74" s="26">
        <f t="shared" si="21"/>
        <v>101300</v>
      </c>
      <c r="J74" s="26">
        <f t="shared" si="22"/>
        <v>2.0124824921938581E-5</v>
      </c>
      <c r="K74" s="20">
        <v>279.52475247524751</v>
      </c>
      <c r="L74" s="27">
        <f t="shared" si="23"/>
        <v>2.7952475247524749E-4</v>
      </c>
      <c r="M74" s="29">
        <f t="shared" si="31"/>
        <v>4.7762865441819992E-3</v>
      </c>
      <c r="N74" s="33">
        <f t="shared" si="24"/>
        <v>1.1777741249140222E-6</v>
      </c>
      <c r="O74" s="21">
        <f t="shared" si="32"/>
        <v>2.032E-3</v>
      </c>
      <c r="P74" s="21">
        <v>1.0571269522665299E-10</v>
      </c>
      <c r="Q74" s="2">
        <v>0.31</v>
      </c>
      <c r="R74" s="27">
        <f t="shared" si="25"/>
        <v>131000</v>
      </c>
      <c r="S74" s="2">
        <f t="shared" si="33"/>
        <v>5.2493374855265302E-3</v>
      </c>
      <c r="T74" s="11">
        <v>0.06</v>
      </c>
      <c r="U74" s="30">
        <f t="shared" si="26"/>
        <v>106000</v>
      </c>
      <c r="V74" s="30">
        <f t="shared" si="27"/>
        <v>29.629623762376234</v>
      </c>
      <c r="W74" s="11">
        <f t="shared" si="28"/>
        <v>788.62002117743725</v>
      </c>
      <c r="X74" s="9">
        <f t="shared" si="29"/>
        <v>4.7480749105031403E-14</v>
      </c>
      <c r="Y74" s="9">
        <f t="shared" si="30"/>
        <v>28592907111.049911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4" customFormat="1" x14ac:dyDescent="0.25">
      <c r="A75" s="26">
        <v>219</v>
      </c>
      <c r="B75" s="26">
        <f t="shared" si="17"/>
        <v>3.65</v>
      </c>
      <c r="C75" s="26">
        <v>20</v>
      </c>
      <c r="D75" s="26">
        <f t="shared" si="18"/>
        <v>29.146000000000001</v>
      </c>
      <c r="E75" s="26">
        <f t="shared" si="19"/>
        <v>4.8576666666666667E-7</v>
      </c>
      <c r="F75" s="26">
        <v>21.1</v>
      </c>
      <c r="G75" s="26">
        <f t="shared" si="20"/>
        <v>294.10000000000002</v>
      </c>
      <c r="H75" s="26">
        <v>101.3</v>
      </c>
      <c r="I75" s="26">
        <f t="shared" si="21"/>
        <v>101300</v>
      </c>
      <c r="J75" s="26">
        <f t="shared" si="22"/>
        <v>2.0124824921938581E-5</v>
      </c>
      <c r="K75" s="20">
        <v>288.16336633663366</v>
      </c>
      <c r="L75" s="27">
        <f t="shared" si="23"/>
        <v>2.8816336633663363E-4</v>
      </c>
      <c r="M75" s="29">
        <f t="shared" si="31"/>
        <v>4.7762865441819992E-3</v>
      </c>
      <c r="N75" s="33">
        <f t="shared" si="24"/>
        <v>1.2141728187361917E-6</v>
      </c>
      <c r="O75" s="21">
        <f t="shared" si="32"/>
        <v>2.032E-3</v>
      </c>
      <c r="P75" s="21">
        <v>1.0571269522665299E-10</v>
      </c>
      <c r="Q75" s="2">
        <v>0.31</v>
      </c>
      <c r="R75" s="27">
        <f t="shared" si="25"/>
        <v>131000</v>
      </c>
      <c r="S75" s="2">
        <f t="shared" si="33"/>
        <v>5.2493374855265302E-3</v>
      </c>
      <c r="T75" s="11">
        <v>0.06</v>
      </c>
      <c r="U75" s="30">
        <f t="shared" si="26"/>
        <v>106000</v>
      </c>
      <c r="V75" s="30">
        <f t="shared" si="27"/>
        <v>30.545316831683166</v>
      </c>
      <c r="W75" s="11">
        <f t="shared" si="28"/>
        <v>833.21728760681697</v>
      </c>
      <c r="X75" s="9">
        <f t="shared" si="29"/>
        <v>4.8964895332643644E-14</v>
      </c>
      <c r="Y75" s="9">
        <f t="shared" si="30"/>
        <v>29486659969.318005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4" customFormat="1" x14ac:dyDescent="0.25">
      <c r="A76" s="26">
        <v>222</v>
      </c>
      <c r="B76" s="26">
        <f t="shared" si="17"/>
        <v>3.7</v>
      </c>
      <c r="C76" s="26">
        <v>20</v>
      </c>
      <c r="D76" s="26">
        <f t="shared" si="18"/>
        <v>29.146000000000001</v>
      </c>
      <c r="E76" s="26">
        <f t="shared" si="19"/>
        <v>4.8576666666666667E-7</v>
      </c>
      <c r="F76" s="26">
        <v>21.1</v>
      </c>
      <c r="G76" s="26">
        <f t="shared" si="20"/>
        <v>294.10000000000002</v>
      </c>
      <c r="H76" s="26">
        <v>101.3</v>
      </c>
      <c r="I76" s="26">
        <f t="shared" si="21"/>
        <v>101300</v>
      </c>
      <c r="J76" s="26">
        <f t="shared" si="22"/>
        <v>2.0124824921938581E-5</v>
      </c>
      <c r="K76" s="20">
        <v>274.97029702970298</v>
      </c>
      <c r="L76" s="27">
        <f t="shared" si="23"/>
        <v>2.74970297029703E-4</v>
      </c>
      <c r="M76" s="29">
        <f t="shared" si="31"/>
        <v>4.7762865441819992E-3</v>
      </c>
      <c r="N76" s="33">
        <f t="shared" si="24"/>
        <v>1.158583982612363E-6</v>
      </c>
      <c r="O76" s="21">
        <f t="shared" si="32"/>
        <v>2.032E-3</v>
      </c>
      <c r="P76" s="21">
        <v>1.0571269522665299E-10</v>
      </c>
      <c r="Q76" s="2">
        <v>0.31</v>
      </c>
      <c r="R76" s="27">
        <f t="shared" si="25"/>
        <v>131000</v>
      </c>
      <c r="S76" s="2">
        <f t="shared" si="33"/>
        <v>5.2493374855265302E-3</v>
      </c>
      <c r="T76" s="11">
        <v>0.06</v>
      </c>
      <c r="U76" s="30">
        <f t="shared" si="26"/>
        <v>106000</v>
      </c>
      <c r="V76" s="30">
        <f t="shared" si="27"/>
        <v>29.146851485148517</v>
      </c>
      <c r="W76" s="11">
        <f t="shared" si="28"/>
        <v>765.57247620062878</v>
      </c>
      <c r="X76" s="9">
        <f t="shared" si="29"/>
        <v>4.6698852566816803E-14</v>
      </c>
      <c r="Y76" s="9">
        <f t="shared" si="30"/>
        <v>28122049015.73708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4" customFormat="1" x14ac:dyDescent="0.25">
      <c r="A77" s="26">
        <v>225</v>
      </c>
      <c r="B77" s="26">
        <f t="shared" si="17"/>
        <v>3.75</v>
      </c>
      <c r="C77" s="26">
        <v>20</v>
      </c>
      <c r="D77" s="26">
        <f t="shared" si="18"/>
        <v>29.146000000000001</v>
      </c>
      <c r="E77" s="26">
        <f t="shared" si="19"/>
        <v>4.8576666666666667E-7</v>
      </c>
      <c r="F77" s="26">
        <v>21.1</v>
      </c>
      <c r="G77" s="26">
        <f t="shared" si="20"/>
        <v>294.10000000000002</v>
      </c>
      <c r="H77" s="26">
        <v>101.3</v>
      </c>
      <c r="I77" s="26">
        <f t="shared" si="21"/>
        <v>101300</v>
      </c>
      <c r="J77" s="26">
        <f t="shared" si="22"/>
        <v>2.0124824921938581E-5</v>
      </c>
      <c r="K77" s="20">
        <v>277.24752475247527</v>
      </c>
      <c r="L77" s="27">
        <f t="shared" si="23"/>
        <v>2.7724752475247525E-4</v>
      </c>
      <c r="M77" s="29">
        <f t="shared" si="31"/>
        <v>4.7762865441819992E-3</v>
      </c>
      <c r="N77" s="33">
        <f t="shared" si="24"/>
        <v>1.1681790537631928E-6</v>
      </c>
      <c r="O77" s="21">
        <f t="shared" si="32"/>
        <v>2.032E-3</v>
      </c>
      <c r="P77" s="21">
        <v>1.0571269522665299E-10</v>
      </c>
      <c r="Q77" s="2">
        <v>0.31</v>
      </c>
      <c r="R77" s="27">
        <f t="shared" si="25"/>
        <v>131000</v>
      </c>
      <c r="S77" s="2">
        <f t="shared" si="33"/>
        <v>5.2493374855265302E-3</v>
      </c>
      <c r="T77" s="11">
        <v>0.06</v>
      </c>
      <c r="U77" s="30">
        <f t="shared" si="26"/>
        <v>106000</v>
      </c>
      <c r="V77" s="30">
        <f t="shared" si="27"/>
        <v>29.388237623762375</v>
      </c>
      <c r="W77" s="11">
        <f t="shared" si="28"/>
        <v>777.0560728686828</v>
      </c>
      <c r="X77" s="9">
        <f t="shared" si="29"/>
        <v>4.7089751711936477E-14</v>
      </c>
      <c r="Y77" s="9">
        <f t="shared" si="30"/>
        <v>28357448480.928146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4" customFormat="1" x14ac:dyDescent="0.25">
      <c r="A78" s="26">
        <v>228</v>
      </c>
      <c r="B78" s="26">
        <f t="shared" si="17"/>
        <v>3.8</v>
      </c>
      <c r="C78" s="26">
        <v>20</v>
      </c>
      <c r="D78" s="26">
        <f t="shared" si="18"/>
        <v>29.146000000000001</v>
      </c>
      <c r="E78" s="26">
        <f t="shared" si="19"/>
        <v>4.8576666666666667E-7</v>
      </c>
      <c r="F78" s="26">
        <v>21.1</v>
      </c>
      <c r="G78" s="26">
        <f t="shared" si="20"/>
        <v>294.10000000000002</v>
      </c>
      <c r="H78" s="26">
        <v>101.3</v>
      </c>
      <c r="I78" s="26">
        <f t="shared" si="21"/>
        <v>101300</v>
      </c>
      <c r="J78" s="26">
        <f t="shared" si="22"/>
        <v>2.0124824921938581E-5</v>
      </c>
      <c r="K78" s="20">
        <v>283.55940594059405</v>
      </c>
      <c r="L78" s="27">
        <f t="shared" si="23"/>
        <v>2.8355940594059403E-4</v>
      </c>
      <c r="M78" s="29">
        <f t="shared" si="31"/>
        <v>4.7762865441819992E-3</v>
      </c>
      <c r="N78" s="33">
        <f t="shared" si="24"/>
        <v>1.1947740879312533E-6</v>
      </c>
      <c r="O78" s="21">
        <f t="shared" si="32"/>
        <v>2.032E-3</v>
      </c>
      <c r="P78" s="21">
        <v>1.0571269522665299E-10</v>
      </c>
      <c r="Q78" s="2">
        <v>0.31</v>
      </c>
      <c r="R78" s="27">
        <f t="shared" si="25"/>
        <v>131000</v>
      </c>
      <c r="S78" s="2">
        <f t="shared" si="33"/>
        <v>5.2493374855265302E-3</v>
      </c>
      <c r="T78" s="11">
        <v>0.06</v>
      </c>
      <c r="U78" s="30">
        <f t="shared" si="26"/>
        <v>106000</v>
      </c>
      <c r="V78" s="30">
        <f t="shared" si="27"/>
        <v>30.057297029702969</v>
      </c>
      <c r="W78" s="11">
        <f t="shared" si="28"/>
        <v>809.30546140469835</v>
      </c>
      <c r="X78" s="9">
        <f t="shared" si="29"/>
        <v>4.8173737982894151E-14</v>
      </c>
      <c r="Y78" s="9">
        <f t="shared" si="30"/>
        <v>29010225013.298859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</row>
    <row r="79" spans="1:76" s="4" customFormat="1" x14ac:dyDescent="0.25">
      <c r="A79" s="26">
        <v>231</v>
      </c>
      <c r="B79" s="26">
        <f t="shared" si="17"/>
        <v>3.85</v>
      </c>
      <c r="C79" s="26">
        <v>20</v>
      </c>
      <c r="D79" s="26">
        <f t="shared" si="18"/>
        <v>29.146000000000001</v>
      </c>
      <c r="E79" s="26">
        <f t="shared" si="19"/>
        <v>4.8576666666666667E-7</v>
      </c>
      <c r="F79" s="26">
        <v>21.1</v>
      </c>
      <c r="G79" s="26">
        <f t="shared" si="20"/>
        <v>294.10000000000002</v>
      </c>
      <c r="H79" s="26">
        <v>101.3</v>
      </c>
      <c r="I79" s="26">
        <f t="shared" si="21"/>
        <v>101300</v>
      </c>
      <c r="J79" s="26">
        <f t="shared" si="22"/>
        <v>2.0124824921938581E-5</v>
      </c>
      <c r="K79" s="20">
        <v>278.58415841584161</v>
      </c>
      <c r="L79" s="27">
        <f t="shared" si="23"/>
        <v>2.785841584158416E-4</v>
      </c>
      <c r="M79" s="29">
        <f t="shared" si="31"/>
        <v>4.7762865441819992E-3</v>
      </c>
      <c r="N79" s="33">
        <f t="shared" si="24"/>
        <v>1.1738109433517233E-6</v>
      </c>
      <c r="O79" s="21">
        <f t="shared" si="32"/>
        <v>2.032E-3</v>
      </c>
      <c r="P79" s="21">
        <v>1.0571269522665299E-10</v>
      </c>
      <c r="Q79" s="2">
        <v>0.31</v>
      </c>
      <c r="R79" s="27">
        <f t="shared" si="25"/>
        <v>131000</v>
      </c>
      <c r="S79" s="2">
        <f t="shared" si="33"/>
        <v>5.2493374855265302E-3</v>
      </c>
      <c r="T79" s="11">
        <v>0.06</v>
      </c>
      <c r="U79" s="30">
        <f t="shared" si="26"/>
        <v>106000</v>
      </c>
      <c r="V79" s="30">
        <f t="shared" si="27"/>
        <v>29.52992079207921</v>
      </c>
      <c r="W79" s="11">
        <f t="shared" si="28"/>
        <v>783.83387081562194</v>
      </c>
      <c r="X79" s="9">
        <f t="shared" si="29"/>
        <v>4.7319238225341032E-14</v>
      </c>
      <c r="Y79" s="9">
        <f t="shared" si="30"/>
        <v>28495645259.300369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4" customFormat="1" x14ac:dyDescent="0.25">
      <c r="A80" s="26">
        <v>234</v>
      </c>
      <c r="B80" s="26">
        <f t="shared" si="17"/>
        <v>3.9</v>
      </c>
      <c r="C80" s="26">
        <v>20</v>
      </c>
      <c r="D80" s="26">
        <f t="shared" si="18"/>
        <v>29.146000000000001</v>
      </c>
      <c r="E80" s="26">
        <f t="shared" si="19"/>
        <v>4.8576666666666667E-7</v>
      </c>
      <c r="F80" s="26">
        <v>21.1</v>
      </c>
      <c r="G80" s="26">
        <f t="shared" si="20"/>
        <v>294.10000000000002</v>
      </c>
      <c r="H80" s="26">
        <v>101.3</v>
      </c>
      <c r="I80" s="26">
        <f t="shared" si="21"/>
        <v>101300</v>
      </c>
      <c r="J80" s="26">
        <f t="shared" si="22"/>
        <v>2.0124824921938581E-5</v>
      </c>
      <c r="K80" s="20">
        <v>284.02970297029702</v>
      </c>
      <c r="L80" s="27">
        <f t="shared" si="23"/>
        <v>2.8402970297029703E-4</v>
      </c>
      <c r="M80" s="29">
        <f t="shared" si="31"/>
        <v>4.7762865441819992E-3</v>
      </c>
      <c r="N80" s="33">
        <f t="shared" si="24"/>
        <v>1.1967556787124031E-6</v>
      </c>
      <c r="O80" s="21">
        <f t="shared" si="32"/>
        <v>2.032E-3</v>
      </c>
      <c r="P80" s="21">
        <v>1.0571269522665299E-10</v>
      </c>
      <c r="Q80" s="2">
        <v>0.31</v>
      </c>
      <c r="R80" s="27">
        <f t="shared" si="25"/>
        <v>131000</v>
      </c>
      <c r="S80" s="2">
        <f t="shared" si="33"/>
        <v>5.2493374855265302E-3</v>
      </c>
      <c r="T80" s="11">
        <v>0.06</v>
      </c>
      <c r="U80" s="30">
        <f t="shared" si="26"/>
        <v>106000</v>
      </c>
      <c r="V80" s="30">
        <f t="shared" si="27"/>
        <v>30.107148514851485</v>
      </c>
      <c r="W80" s="11">
        <f t="shared" si="28"/>
        <v>811.73303874212138</v>
      </c>
      <c r="X80" s="9">
        <f t="shared" si="29"/>
        <v>4.8254536233677993E-14</v>
      </c>
      <c r="Y80" s="9">
        <f t="shared" si="30"/>
        <v>29058881719.920887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4" customFormat="1" x14ac:dyDescent="0.25">
      <c r="A81" s="26">
        <v>237</v>
      </c>
      <c r="B81" s="26">
        <f t="shared" si="17"/>
        <v>3.95</v>
      </c>
      <c r="C81" s="26">
        <v>20</v>
      </c>
      <c r="D81" s="26">
        <f t="shared" si="18"/>
        <v>29.146000000000001</v>
      </c>
      <c r="E81" s="26">
        <f t="shared" si="19"/>
        <v>4.8576666666666667E-7</v>
      </c>
      <c r="F81" s="26">
        <v>21.1</v>
      </c>
      <c r="G81" s="26">
        <f t="shared" si="20"/>
        <v>294.10000000000002</v>
      </c>
      <c r="H81" s="26">
        <v>101.3</v>
      </c>
      <c r="I81" s="26">
        <f t="shared" si="21"/>
        <v>101300</v>
      </c>
      <c r="J81" s="26">
        <f t="shared" si="22"/>
        <v>2.0124824921938581E-5</v>
      </c>
      <c r="K81" s="20">
        <v>275.06930693069307</v>
      </c>
      <c r="L81" s="27">
        <f t="shared" si="23"/>
        <v>2.7506930693069307E-4</v>
      </c>
      <c r="M81" s="29">
        <f t="shared" si="31"/>
        <v>4.7762865441819992E-3</v>
      </c>
      <c r="N81" s="33">
        <f t="shared" si="24"/>
        <v>1.1590011596189207E-6</v>
      </c>
      <c r="O81" s="21">
        <f t="shared" si="32"/>
        <v>2.032E-3</v>
      </c>
      <c r="P81" s="21">
        <v>1.0571269522665299E-10</v>
      </c>
      <c r="Q81" s="2">
        <v>0.31</v>
      </c>
      <c r="R81" s="27">
        <f t="shared" si="25"/>
        <v>131000</v>
      </c>
      <c r="S81" s="2">
        <f t="shared" si="33"/>
        <v>5.2493374855265302E-3</v>
      </c>
      <c r="T81" s="11">
        <v>0.06</v>
      </c>
      <c r="U81" s="30">
        <f t="shared" si="26"/>
        <v>106000</v>
      </c>
      <c r="V81" s="30">
        <f t="shared" si="27"/>
        <v>29.157346534653463</v>
      </c>
      <c r="W81" s="11">
        <f t="shared" si="28"/>
        <v>766.07009149610383</v>
      </c>
      <c r="X81" s="9">
        <f t="shared" si="29"/>
        <v>4.6715846148777323E-14</v>
      </c>
      <c r="Y81" s="9">
        <f t="shared" si="30"/>
        <v>28132282550.793705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4" customFormat="1" x14ac:dyDescent="0.25">
      <c r="A82" s="26">
        <v>240</v>
      </c>
      <c r="B82" s="26">
        <f t="shared" si="17"/>
        <v>4</v>
      </c>
      <c r="C82" s="26">
        <v>20</v>
      </c>
      <c r="D82" s="26">
        <f t="shared" si="18"/>
        <v>29.146000000000001</v>
      </c>
      <c r="E82" s="26">
        <f t="shared" si="19"/>
        <v>4.8576666666666667E-7</v>
      </c>
      <c r="F82" s="26">
        <v>21.1</v>
      </c>
      <c r="G82" s="26">
        <f t="shared" si="20"/>
        <v>294.10000000000002</v>
      </c>
      <c r="H82" s="26">
        <v>101.3</v>
      </c>
      <c r="I82" s="26">
        <f t="shared" si="21"/>
        <v>101300</v>
      </c>
      <c r="J82" s="26">
        <f t="shared" si="22"/>
        <v>2.0124824921938581E-5</v>
      </c>
      <c r="K82" s="20">
        <v>282.29702970297029</v>
      </c>
      <c r="L82" s="27">
        <f t="shared" si="23"/>
        <v>2.8229702970297026E-4</v>
      </c>
      <c r="M82" s="29">
        <f t="shared" si="31"/>
        <v>4.7762865441819992E-3</v>
      </c>
      <c r="N82" s="33">
        <f t="shared" si="24"/>
        <v>1.1894550810976411E-6</v>
      </c>
      <c r="O82" s="21">
        <f t="shared" si="32"/>
        <v>2.032E-3</v>
      </c>
      <c r="P82" s="21">
        <v>1.0571269522665299E-10</v>
      </c>
      <c r="Q82" s="2">
        <v>0.31</v>
      </c>
      <c r="R82" s="27">
        <f t="shared" si="25"/>
        <v>131000</v>
      </c>
      <c r="S82" s="2">
        <f t="shared" si="33"/>
        <v>5.2493374855265302E-3</v>
      </c>
      <c r="T82" s="11">
        <v>0.06</v>
      </c>
      <c r="U82" s="30">
        <f t="shared" si="26"/>
        <v>106000</v>
      </c>
      <c r="V82" s="30">
        <f t="shared" si="27"/>
        <v>29.92348514851485</v>
      </c>
      <c r="W82" s="11">
        <f t="shared" si="28"/>
        <v>802.80625048701063</v>
      </c>
      <c r="X82" s="9">
        <f t="shared" si="29"/>
        <v>4.7956879597331585E-14</v>
      </c>
      <c r="Y82" s="9">
        <f t="shared" si="30"/>
        <v>28879632893.513081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s="4" customFormat="1" x14ac:dyDescent="0.25">
      <c r="A83" s="26">
        <v>243</v>
      </c>
      <c r="B83" s="26">
        <f t="shared" si="17"/>
        <v>4.05</v>
      </c>
      <c r="C83" s="26">
        <v>20</v>
      </c>
      <c r="D83" s="26">
        <f t="shared" si="18"/>
        <v>29.146000000000001</v>
      </c>
      <c r="E83" s="26">
        <f t="shared" si="19"/>
        <v>4.8576666666666667E-7</v>
      </c>
      <c r="F83" s="26">
        <v>21.1</v>
      </c>
      <c r="G83" s="26">
        <f t="shared" si="20"/>
        <v>294.10000000000002</v>
      </c>
      <c r="H83" s="26">
        <v>101.3</v>
      </c>
      <c r="I83" s="26">
        <f t="shared" si="21"/>
        <v>101300</v>
      </c>
      <c r="J83" s="26">
        <f t="shared" si="22"/>
        <v>2.0124824921938581E-5</v>
      </c>
      <c r="K83" s="20">
        <v>285.11881188118815</v>
      </c>
      <c r="L83" s="27">
        <f t="shared" si="23"/>
        <v>2.8511881188118815E-4</v>
      </c>
      <c r="M83" s="29">
        <f t="shared" si="31"/>
        <v>4.7762865441819992E-3</v>
      </c>
      <c r="N83" s="33">
        <f t="shared" si="24"/>
        <v>1.2013446257845391E-6</v>
      </c>
      <c r="O83" s="21">
        <f t="shared" si="32"/>
        <v>2.032E-3</v>
      </c>
      <c r="P83" s="21">
        <v>1.0571269522665299E-10</v>
      </c>
      <c r="Q83" s="2">
        <v>0.31</v>
      </c>
      <c r="R83" s="27">
        <f t="shared" si="25"/>
        <v>131000</v>
      </c>
      <c r="S83" s="2">
        <f t="shared" si="33"/>
        <v>5.2493374855265302E-3</v>
      </c>
      <c r="T83" s="11">
        <v>0.06</v>
      </c>
      <c r="U83" s="30">
        <f t="shared" si="26"/>
        <v>106000</v>
      </c>
      <c r="V83" s="30">
        <f t="shared" si="27"/>
        <v>30.222594059405942</v>
      </c>
      <c r="W83" s="11">
        <f t="shared" si="28"/>
        <v>817.36792959761897</v>
      </c>
      <c r="X83" s="9">
        <f t="shared" si="29"/>
        <v>4.8441664428448599E-14</v>
      </c>
      <c r="Y83" s="9">
        <f t="shared" si="30"/>
        <v>29171570318.811749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s="4" customFormat="1" x14ac:dyDescent="0.25">
      <c r="A84" s="26">
        <v>246</v>
      </c>
      <c r="B84" s="26">
        <f t="shared" si="17"/>
        <v>4.0999999999999996</v>
      </c>
      <c r="C84" s="26">
        <v>20</v>
      </c>
      <c r="D84" s="26">
        <f t="shared" si="18"/>
        <v>29.146000000000001</v>
      </c>
      <c r="E84" s="26">
        <f t="shared" si="19"/>
        <v>4.8576666666666667E-7</v>
      </c>
      <c r="F84" s="26">
        <v>21.1</v>
      </c>
      <c r="G84" s="26">
        <f t="shared" si="20"/>
        <v>294.10000000000002</v>
      </c>
      <c r="H84" s="26">
        <v>101.3</v>
      </c>
      <c r="I84" s="26">
        <f t="shared" si="21"/>
        <v>101300</v>
      </c>
      <c r="J84" s="26">
        <f t="shared" si="22"/>
        <v>2.0124824921938581E-5</v>
      </c>
      <c r="K84" s="20">
        <v>272.91584158415844</v>
      </c>
      <c r="L84" s="27">
        <f t="shared" si="23"/>
        <v>2.7291584158415847E-4</v>
      </c>
      <c r="M84" s="29">
        <f t="shared" si="31"/>
        <v>4.7762865441819992E-3</v>
      </c>
      <c r="N84" s="33">
        <f t="shared" si="24"/>
        <v>1.1499275597262885E-6</v>
      </c>
      <c r="O84" s="21">
        <f t="shared" si="32"/>
        <v>2.032E-3</v>
      </c>
      <c r="P84" s="21">
        <v>1.0571269522665299E-10</v>
      </c>
      <c r="Q84" s="2">
        <v>0.31</v>
      </c>
      <c r="R84" s="27">
        <f t="shared" si="25"/>
        <v>131000</v>
      </c>
      <c r="S84" s="2">
        <f t="shared" si="33"/>
        <v>5.2493374855265302E-3</v>
      </c>
      <c r="T84" s="11">
        <v>0.06</v>
      </c>
      <c r="U84" s="30">
        <f t="shared" si="26"/>
        <v>106000</v>
      </c>
      <c r="V84" s="30">
        <f t="shared" si="27"/>
        <v>28.929079207920797</v>
      </c>
      <c r="W84" s="11">
        <f t="shared" si="28"/>
        <v>755.28126249204286</v>
      </c>
      <c r="X84" s="9">
        <f t="shared" si="29"/>
        <v>4.6346277249650206E-14</v>
      </c>
      <c r="Y84" s="9">
        <f t="shared" si="30"/>
        <v>27909728159.739353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s="4" customFormat="1" x14ac:dyDescent="0.25">
      <c r="A85" s="26">
        <v>249</v>
      </c>
      <c r="B85" s="26">
        <f t="shared" si="17"/>
        <v>4.1500000000000004</v>
      </c>
      <c r="C85" s="26">
        <v>20</v>
      </c>
      <c r="D85" s="26">
        <f t="shared" si="18"/>
        <v>29.146000000000001</v>
      </c>
      <c r="E85" s="26">
        <f t="shared" si="19"/>
        <v>4.8576666666666667E-7</v>
      </c>
      <c r="F85" s="26">
        <v>21.1</v>
      </c>
      <c r="G85" s="26">
        <f t="shared" si="20"/>
        <v>294.10000000000002</v>
      </c>
      <c r="H85" s="26">
        <v>101.3</v>
      </c>
      <c r="I85" s="26">
        <f t="shared" si="21"/>
        <v>101300</v>
      </c>
      <c r="J85" s="26">
        <f t="shared" si="22"/>
        <v>2.0124824921938581E-5</v>
      </c>
      <c r="K85" s="20">
        <v>281.50495049504951</v>
      </c>
      <c r="L85" s="27">
        <f t="shared" si="23"/>
        <v>2.815049504950495E-4</v>
      </c>
      <c r="M85" s="29">
        <f t="shared" si="31"/>
        <v>4.7762865441819992E-3</v>
      </c>
      <c r="N85" s="33">
        <f t="shared" si="24"/>
        <v>1.1861176650451786E-6</v>
      </c>
      <c r="O85" s="21">
        <f t="shared" si="32"/>
        <v>2.032E-3</v>
      </c>
      <c r="P85" s="21">
        <v>1.0571269522665299E-10</v>
      </c>
      <c r="Q85" s="2">
        <v>0.31</v>
      </c>
      <c r="R85" s="27">
        <f t="shared" si="25"/>
        <v>131000</v>
      </c>
      <c r="S85" s="2">
        <f t="shared" si="33"/>
        <v>5.2493374855265302E-3</v>
      </c>
      <c r="T85" s="11">
        <v>0.06</v>
      </c>
      <c r="U85" s="30">
        <f t="shared" si="26"/>
        <v>106000</v>
      </c>
      <c r="V85" s="30">
        <f t="shared" si="27"/>
        <v>29.839524752475246</v>
      </c>
      <c r="W85" s="11">
        <f t="shared" si="28"/>
        <v>798.74090347993445</v>
      </c>
      <c r="X85" s="9">
        <f t="shared" si="29"/>
        <v>4.7820827268276935E-14</v>
      </c>
      <c r="Y85" s="9">
        <f t="shared" si="30"/>
        <v>28797702180.956371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s="4" customFormat="1" x14ac:dyDescent="0.25">
      <c r="A86" s="26">
        <v>252</v>
      </c>
      <c r="B86" s="26">
        <f t="shared" si="17"/>
        <v>4.2</v>
      </c>
      <c r="C86" s="26">
        <v>20</v>
      </c>
      <c r="D86" s="26">
        <f t="shared" si="18"/>
        <v>29.146000000000001</v>
      </c>
      <c r="E86" s="26">
        <f t="shared" si="19"/>
        <v>4.8576666666666667E-7</v>
      </c>
      <c r="F86" s="26">
        <v>21.1</v>
      </c>
      <c r="G86" s="26">
        <f t="shared" si="20"/>
        <v>294.10000000000002</v>
      </c>
      <c r="H86" s="26">
        <v>101.3</v>
      </c>
      <c r="I86" s="26">
        <f t="shared" si="21"/>
        <v>101300</v>
      </c>
      <c r="J86" s="26">
        <f t="shared" si="22"/>
        <v>2.0124824921938581E-5</v>
      </c>
      <c r="K86" s="20">
        <v>286.0594059405941</v>
      </c>
      <c r="L86" s="27">
        <f t="shared" si="23"/>
        <v>2.8605940594059409E-4</v>
      </c>
      <c r="M86" s="29">
        <f t="shared" si="31"/>
        <v>4.7762865441819992E-3</v>
      </c>
      <c r="N86" s="33">
        <f t="shared" si="24"/>
        <v>1.2053078073468384E-6</v>
      </c>
      <c r="O86" s="21">
        <f t="shared" si="32"/>
        <v>2.032E-3</v>
      </c>
      <c r="P86" s="21">
        <v>1.0571269522665299E-10</v>
      </c>
      <c r="Q86" s="2">
        <v>0.31</v>
      </c>
      <c r="R86" s="27">
        <f t="shared" si="25"/>
        <v>131000</v>
      </c>
      <c r="S86" s="2">
        <f t="shared" si="33"/>
        <v>5.2493374855265302E-3</v>
      </c>
      <c r="T86" s="11">
        <v>0.06</v>
      </c>
      <c r="U86" s="30">
        <f t="shared" si="26"/>
        <v>106000</v>
      </c>
      <c r="V86" s="30">
        <f t="shared" si="27"/>
        <v>30.322297029702973</v>
      </c>
      <c r="W86" s="11">
        <f t="shared" si="28"/>
        <v>822.24918553865837</v>
      </c>
      <c r="X86" s="9">
        <f t="shared" si="29"/>
        <v>4.8603293689728425E-14</v>
      </c>
      <c r="Y86" s="9">
        <f t="shared" si="30"/>
        <v>29268903459.95446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s="4" customFormat="1" x14ac:dyDescent="0.25">
      <c r="A87" s="26">
        <v>255</v>
      </c>
      <c r="B87" s="26">
        <f t="shared" si="17"/>
        <v>4.25</v>
      </c>
      <c r="C87" s="26">
        <v>20</v>
      </c>
      <c r="D87" s="26">
        <f t="shared" si="18"/>
        <v>29.146000000000001</v>
      </c>
      <c r="E87" s="26">
        <f t="shared" si="19"/>
        <v>4.8576666666666667E-7</v>
      </c>
      <c r="F87" s="26">
        <v>21.1</v>
      </c>
      <c r="G87" s="26">
        <f t="shared" si="20"/>
        <v>294.10000000000002</v>
      </c>
      <c r="H87" s="26">
        <v>101.3</v>
      </c>
      <c r="I87" s="26">
        <f t="shared" si="21"/>
        <v>101300</v>
      </c>
      <c r="J87" s="26">
        <f t="shared" si="22"/>
        <v>2.0124824921938581E-5</v>
      </c>
      <c r="K87" s="20">
        <v>277.12376237623766</v>
      </c>
      <c r="L87" s="27">
        <f t="shared" si="23"/>
        <v>2.7712376237623766E-4</v>
      </c>
      <c r="M87" s="29">
        <f t="shared" si="31"/>
        <v>4.7762865441819992E-3</v>
      </c>
      <c r="N87" s="33">
        <f t="shared" si="24"/>
        <v>1.1676575825049957E-6</v>
      </c>
      <c r="O87" s="21">
        <f t="shared" si="32"/>
        <v>2.032E-3</v>
      </c>
      <c r="P87" s="21">
        <v>1.0571269522665299E-10</v>
      </c>
      <c r="Q87" s="2">
        <v>0.31</v>
      </c>
      <c r="R87" s="27">
        <f t="shared" si="25"/>
        <v>131000</v>
      </c>
      <c r="S87" s="2">
        <f t="shared" si="33"/>
        <v>5.2493374855265302E-3</v>
      </c>
      <c r="T87" s="11">
        <v>0.06</v>
      </c>
      <c r="U87" s="30">
        <f t="shared" si="26"/>
        <v>106000</v>
      </c>
      <c r="V87" s="30">
        <f t="shared" si="27"/>
        <v>29.37511881188119</v>
      </c>
      <c r="W87" s="11">
        <f t="shared" si="28"/>
        <v>776.4298990954062</v>
      </c>
      <c r="X87" s="9">
        <f t="shared" si="29"/>
        <v>4.7068504675100927E-14</v>
      </c>
      <c r="Y87" s="9">
        <f t="shared" si="30"/>
        <v>28344653515.345779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s="4" customFormat="1" x14ac:dyDescent="0.25">
      <c r="A88" s="26">
        <v>258</v>
      </c>
      <c r="B88" s="26">
        <f t="shared" si="17"/>
        <v>4.3</v>
      </c>
      <c r="C88" s="26">
        <v>20</v>
      </c>
      <c r="D88" s="26">
        <f t="shared" si="18"/>
        <v>29.146000000000001</v>
      </c>
      <c r="E88" s="26">
        <f t="shared" si="19"/>
        <v>4.8576666666666667E-7</v>
      </c>
      <c r="F88" s="26">
        <v>21.1</v>
      </c>
      <c r="G88" s="26">
        <f t="shared" si="20"/>
        <v>294.10000000000002</v>
      </c>
      <c r="H88" s="26">
        <v>101.3</v>
      </c>
      <c r="I88" s="26">
        <f t="shared" si="21"/>
        <v>101300</v>
      </c>
      <c r="J88" s="26">
        <f t="shared" si="22"/>
        <v>2.0124824921938581E-5</v>
      </c>
      <c r="K88" s="20">
        <v>288.83168316831689</v>
      </c>
      <c r="L88" s="27">
        <f t="shared" si="23"/>
        <v>2.8883168316831687E-4</v>
      </c>
      <c r="M88" s="29">
        <f t="shared" si="31"/>
        <v>4.7762865441819992E-3</v>
      </c>
      <c r="N88" s="33">
        <f t="shared" si="24"/>
        <v>1.2169887635304571E-6</v>
      </c>
      <c r="O88" s="21">
        <f t="shared" si="32"/>
        <v>2.032E-3</v>
      </c>
      <c r="P88" s="21">
        <v>1.0571269522665299E-10</v>
      </c>
      <c r="Q88" s="2">
        <v>0.31</v>
      </c>
      <c r="R88" s="27">
        <f t="shared" si="25"/>
        <v>131000</v>
      </c>
      <c r="S88" s="2">
        <f t="shared" si="33"/>
        <v>5.2493374855265302E-3</v>
      </c>
      <c r="T88" s="11">
        <v>0.06</v>
      </c>
      <c r="U88" s="30">
        <f t="shared" si="26"/>
        <v>106000</v>
      </c>
      <c r="V88" s="30">
        <f t="shared" si="27"/>
        <v>30.616158415841589</v>
      </c>
      <c r="W88" s="11">
        <f t="shared" si="28"/>
        <v>836.71558660811797</v>
      </c>
      <c r="X88" s="9">
        <f t="shared" si="29"/>
        <v>4.907977518127024E-14</v>
      </c>
      <c r="Y88" s="9">
        <f t="shared" si="30"/>
        <v>29555840614.160938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s="4" customFormat="1" x14ac:dyDescent="0.25">
      <c r="A89" s="26">
        <v>261</v>
      </c>
      <c r="B89" s="26">
        <f t="shared" si="17"/>
        <v>4.3499999999999996</v>
      </c>
      <c r="C89" s="26">
        <v>20</v>
      </c>
      <c r="D89" s="26">
        <f t="shared" si="18"/>
        <v>29.146000000000001</v>
      </c>
      <c r="E89" s="26">
        <f t="shared" si="19"/>
        <v>4.8576666666666667E-7</v>
      </c>
      <c r="F89" s="26">
        <v>21.1</v>
      </c>
      <c r="G89" s="26">
        <f t="shared" si="20"/>
        <v>294.10000000000002</v>
      </c>
      <c r="H89" s="26">
        <v>101.3</v>
      </c>
      <c r="I89" s="26">
        <f t="shared" si="21"/>
        <v>101300</v>
      </c>
      <c r="J89" s="26">
        <f t="shared" si="22"/>
        <v>2.0124824921938581E-5</v>
      </c>
      <c r="K89" s="20">
        <v>279.35148514851488</v>
      </c>
      <c r="L89" s="27">
        <f t="shared" si="23"/>
        <v>2.793514851485149E-4</v>
      </c>
      <c r="M89" s="29">
        <f t="shared" si="31"/>
        <v>4.7762865441819992E-3</v>
      </c>
      <c r="N89" s="33">
        <f t="shared" si="24"/>
        <v>1.1770440651525466E-6</v>
      </c>
      <c r="O89" s="21">
        <f t="shared" si="32"/>
        <v>2.032E-3</v>
      </c>
      <c r="P89" s="21">
        <v>1.0571269522665299E-10</v>
      </c>
      <c r="Q89" s="2">
        <v>0.31</v>
      </c>
      <c r="R89" s="27">
        <f t="shared" si="25"/>
        <v>131000</v>
      </c>
      <c r="S89" s="2">
        <f t="shared" si="33"/>
        <v>5.2493374855265302E-3</v>
      </c>
      <c r="T89" s="11">
        <v>0.06</v>
      </c>
      <c r="U89" s="30">
        <f t="shared" si="26"/>
        <v>106000</v>
      </c>
      <c r="V89" s="30">
        <f t="shared" si="27"/>
        <v>29.611257425742579</v>
      </c>
      <c r="W89" s="11">
        <f t="shared" si="28"/>
        <v>787.73733241336697</v>
      </c>
      <c r="X89" s="9">
        <f t="shared" si="29"/>
        <v>4.7450995833588574E-14</v>
      </c>
      <c r="Y89" s="9">
        <f t="shared" si="30"/>
        <v>28574989690.987041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s="4" customFormat="1" x14ac:dyDescent="0.25">
      <c r="A90" s="26">
        <v>264</v>
      </c>
      <c r="B90" s="26">
        <f t="shared" si="17"/>
        <v>4.4000000000000004</v>
      </c>
      <c r="C90" s="26">
        <v>20</v>
      </c>
      <c r="D90" s="26">
        <f t="shared" si="18"/>
        <v>29.146000000000001</v>
      </c>
      <c r="E90" s="26">
        <f t="shared" si="19"/>
        <v>4.8576666666666667E-7</v>
      </c>
      <c r="F90" s="26">
        <v>21.1</v>
      </c>
      <c r="G90" s="26">
        <f t="shared" si="20"/>
        <v>294.10000000000002</v>
      </c>
      <c r="H90" s="26">
        <v>101.3</v>
      </c>
      <c r="I90" s="26">
        <f t="shared" si="21"/>
        <v>101300</v>
      </c>
      <c r="J90" s="26">
        <f t="shared" si="22"/>
        <v>2.0124824921938581E-5</v>
      </c>
      <c r="K90" s="20">
        <v>280.71287128712873</v>
      </c>
      <c r="L90" s="27">
        <f t="shared" si="23"/>
        <v>2.8071287128712873E-4</v>
      </c>
      <c r="M90" s="29">
        <f t="shared" si="31"/>
        <v>4.7762865441819992E-3</v>
      </c>
      <c r="N90" s="33">
        <f t="shared" si="24"/>
        <v>1.1827802489927161E-6</v>
      </c>
      <c r="O90" s="21">
        <f t="shared" si="32"/>
        <v>2.032E-3</v>
      </c>
      <c r="P90" s="21">
        <v>1.0571269522665299E-10</v>
      </c>
      <c r="Q90" s="2">
        <v>0.31</v>
      </c>
      <c r="R90" s="27">
        <f t="shared" si="25"/>
        <v>131000</v>
      </c>
      <c r="S90" s="2">
        <f t="shared" si="33"/>
        <v>5.2493374855265302E-3</v>
      </c>
      <c r="T90" s="11">
        <v>0.06</v>
      </c>
      <c r="U90" s="30">
        <f t="shared" si="26"/>
        <v>106000</v>
      </c>
      <c r="V90" s="30">
        <f t="shared" si="27"/>
        <v>29.755564356435645</v>
      </c>
      <c r="W90" s="11">
        <f t="shared" si="28"/>
        <v>794.68526633603528</v>
      </c>
      <c r="X90" s="9">
        <f t="shared" si="29"/>
        <v>4.7684786991053669E-14</v>
      </c>
      <c r="Y90" s="9">
        <f t="shared" si="30"/>
        <v>28715778726.01252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s="4" customFormat="1" x14ac:dyDescent="0.25">
      <c r="A91" s="26">
        <v>267</v>
      </c>
      <c r="B91" s="26">
        <f t="shared" si="17"/>
        <v>4.45</v>
      </c>
      <c r="C91" s="26">
        <v>20</v>
      </c>
      <c r="D91" s="26">
        <f t="shared" si="18"/>
        <v>29.146000000000001</v>
      </c>
      <c r="E91" s="26">
        <f t="shared" si="19"/>
        <v>4.8576666666666667E-7</v>
      </c>
      <c r="F91" s="26">
        <v>21.1</v>
      </c>
      <c r="G91" s="26">
        <f t="shared" si="20"/>
        <v>294.10000000000002</v>
      </c>
      <c r="H91" s="26">
        <v>101.3</v>
      </c>
      <c r="I91" s="26">
        <f t="shared" si="21"/>
        <v>101300</v>
      </c>
      <c r="J91" s="26">
        <f t="shared" si="22"/>
        <v>2.0124824921938581E-5</v>
      </c>
      <c r="K91" s="20">
        <v>285.63861386138615</v>
      </c>
      <c r="L91" s="27">
        <f t="shared" si="23"/>
        <v>2.8563861386138615E-4</v>
      </c>
      <c r="M91" s="29">
        <f t="shared" si="31"/>
        <v>4.7762865441819992E-3</v>
      </c>
      <c r="N91" s="33">
        <f t="shared" si="24"/>
        <v>1.2035348050689675E-6</v>
      </c>
      <c r="O91" s="21">
        <f t="shared" si="32"/>
        <v>2.032E-3</v>
      </c>
      <c r="P91" s="21">
        <v>1.0571269522665299E-10</v>
      </c>
      <c r="Q91" s="2">
        <v>0.31</v>
      </c>
      <c r="R91" s="27">
        <f t="shared" si="25"/>
        <v>131000</v>
      </c>
      <c r="S91" s="2">
        <f t="shared" si="33"/>
        <v>5.2493374855265302E-3</v>
      </c>
      <c r="T91" s="11">
        <v>0.06</v>
      </c>
      <c r="U91" s="30">
        <f t="shared" si="26"/>
        <v>106000</v>
      </c>
      <c r="V91" s="30">
        <f t="shared" si="27"/>
        <v>30.277693069306931</v>
      </c>
      <c r="W91" s="11">
        <f t="shared" si="28"/>
        <v>820.06377504473653</v>
      </c>
      <c r="X91" s="9">
        <f t="shared" si="29"/>
        <v>4.8530983733676869E-14</v>
      </c>
      <c r="Y91" s="9">
        <f t="shared" si="30"/>
        <v>29225358404.420212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s="4" customFormat="1" x14ac:dyDescent="0.25">
      <c r="A92" s="26">
        <v>270</v>
      </c>
      <c r="B92" s="26">
        <f t="shared" si="17"/>
        <v>4.5</v>
      </c>
      <c r="C92" s="26">
        <v>20</v>
      </c>
      <c r="D92" s="26">
        <f t="shared" si="18"/>
        <v>29.146000000000001</v>
      </c>
      <c r="E92" s="26">
        <f t="shared" si="19"/>
        <v>4.8576666666666667E-7</v>
      </c>
      <c r="F92" s="26">
        <v>21.1</v>
      </c>
      <c r="G92" s="26">
        <f t="shared" si="20"/>
        <v>294.10000000000002</v>
      </c>
      <c r="H92" s="26">
        <v>101.3</v>
      </c>
      <c r="I92" s="26">
        <f t="shared" si="21"/>
        <v>101300</v>
      </c>
      <c r="J92" s="26">
        <f t="shared" si="22"/>
        <v>2.0124824921938581E-5</v>
      </c>
      <c r="K92" s="20">
        <v>279.32673267326737</v>
      </c>
      <c r="L92" s="27">
        <f t="shared" si="23"/>
        <v>2.7932673267326737E-4</v>
      </c>
      <c r="M92" s="29">
        <f t="shared" si="31"/>
        <v>4.7762865441819992E-3</v>
      </c>
      <c r="N92" s="33">
        <f t="shared" si="24"/>
        <v>1.176939770900907E-6</v>
      </c>
      <c r="O92" s="21">
        <f t="shared" si="32"/>
        <v>2.032E-3</v>
      </c>
      <c r="P92" s="21">
        <v>1.0571269522665299E-10</v>
      </c>
      <c r="Q92" s="2">
        <v>0.31</v>
      </c>
      <c r="R92" s="27">
        <f t="shared" si="25"/>
        <v>131000</v>
      </c>
      <c r="S92" s="2">
        <f t="shared" si="33"/>
        <v>5.2493374855265302E-3</v>
      </c>
      <c r="T92" s="11">
        <v>0.06</v>
      </c>
      <c r="U92" s="30">
        <f t="shared" si="26"/>
        <v>106000</v>
      </c>
      <c r="V92" s="30">
        <f t="shared" si="27"/>
        <v>29.608633663366341</v>
      </c>
      <c r="W92" s="11">
        <f t="shared" si="28"/>
        <v>787.61127196936184</v>
      </c>
      <c r="X92" s="9">
        <f t="shared" si="29"/>
        <v>4.744674541299752E-14</v>
      </c>
      <c r="Y92" s="9">
        <f t="shared" si="30"/>
        <v>28572430087.707108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</row>
    <row r="93" spans="1:76" s="4" customFormat="1" x14ac:dyDescent="0.25">
      <c r="A93" s="26">
        <v>273</v>
      </c>
      <c r="B93" s="26">
        <f t="shared" si="17"/>
        <v>4.55</v>
      </c>
      <c r="C93" s="26">
        <v>20</v>
      </c>
      <c r="D93" s="26">
        <f t="shared" si="18"/>
        <v>29.146000000000001</v>
      </c>
      <c r="E93" s="26">
        <f t="shared" si="19"/>
        <v>4.8576666666666667E-7</v>
      </c>
      <c r="F93" s="26">
        <v>21.1</v>
      </c>
      <c r="G93" s="26">
        <f t="shared" si="20"/>
        <v>294.10000000000002</v>
      </c>
      <c r="H93" s="26">
        <v>101.3</v>
      </c>
      <c r="I93" s="26">
        <f t="shared" si="21"/>
        <v>101300</v>
      </c>
      <c r="J93" s="26">
        <f t="shared" si="22"/>
        <v>2.0124824921938581E-5</v>
      </c>
      <c r="K93" s="20">
        <v>278.78217821782181</v>
      </c>
      <c r="L93" s="27">
        <f t="shared" si="23"/>
        <v>2.7878217821782178E-4</v>
      </c>
      <c r="M93" s="29">
        <f t="shared" si="31"/>
        <v>4.7762865441819992E-3</v>
      </c>
      <c r="N93" s="33">
        <f t="shared" si="24"/>
        <v>1.1746452973648387E-6</v>
      </c>
      <c r="O93" s="21">
        <f t="shared" si="32"/>
        <v>2.032E-3</v>
      </c>
      <c r="P93" s="21">
        <v>1.0571269522665299E-10</v>
      </c>
      <c r="Q93" s="2">
        <v>0.31</v>
      </c>
      <c r="R93" s="27">
        <f t="shared" si="25"/>
        <v>131000</v>
      </c>
      <c r="S93" s="2">
        <f t="shared" si="33"/>
        <v>5.2493374855265302E-3</v>
      </c>
      <c r="T93" s="11">
        <v>0.06</v>
      </c>
      <c r="U93" s="30">
        <f t="shared" si="26"/>
        <v>106000</v>
      </c>
      <c r="V93" s="30">
        <f t="shared" si="27"/>
        <v>29.55091089108911</v>
      </c>
      <c r="W93" s="11">
        <f t="shared" si="28"/>
        <v>784.8403427559025</v>
      </c>
      <c r="X93" s="9">
        <f t="shared" si="29"/>
        <v>4.7353239115056258E-14</v>
      </c>
      <c r="Y93" s="9">
        <f t="shared" si="30"/>
        <v>28516120595.08688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</row>
    <row r="94" spans="1:76" s="4" customFormat="1" x14ac:dyDescent="0.25">
      <c r="A94" s="26">
        <v>276</v>
      </c>
      <c r="B94" s="26">
        <f t="shared" si="17"/>
        <v>4.5999999999999996</v>
      </c>
      <c r="C94" s="26">
        <v>20</v>
      </c>
      <c r="D94" s="26">
        <f t="shared" si="18"/>
        <v>29.146000000000001</v>
      </c>
      <c r="E94" s="26">
        <f t="shared" si="19"/>
        <v>4.8576666666666667E-7</v>
      </c>
      <c r="F94" s="26">
        <v>21.1</v>
      </c>
      <c r="G94" s="26">
        <f t="shared" si="20"/>
        <v>294.10000000000002</v>
      </c>
      <c r="H94" s="26">
        <v>101.3</v>
      </c>
      <c r="I94" s="26">
        <f t="shared" si="21"/>
        <v>101300</v>
      </c>
      <c r="J94" s="26">
        <f t="shared" si="22"/>
        <v>2.0124824921938581E-5</v>
      </c>
      <c r="K94" s="20">
        <v>277.59405940594064</v>
      </c>
      <c r="L94" s="27">
        <f t="shared" si="23"/>
        <v>2.7759405940594066E-4</v>
      </c>
      <c r="M94" s="29">
        <f t="shared" si="31"/>
        <v>4.7762865441819992E-3</v>
      </c>
      <c r="N94" s="33">
        <f t="shared" si="24"/>
        <v>1.1696391732861454E-6</v>
      </c>
      <c r="O94" s="21">
        <f t="shared" si="32"/>
        <v>2.032E-3</v>
      </c>
      <c r="P94" s="21">
        <v>1.0571269522665299E-10</v>
      </c>
      <c r="Q94" s="2">
        <v>0.31</v>
      </c>
      <c r="R94" s="27">
        <f t="shared" si="25"/>
        <v>131000</v>
      </c>
      <c r="S94" s="2">
        <f t="shared" si="33"/>
        <v>5.2493374855265302E-3</v>
      </c>
      <c r="T94" s="11">
        <v>0.06</v>
      </c>
      <c r="U94" s="30">
        <f t="shared" si="26"/>
        <v>106000</v>
      </c>
      <c r="V94" s="30">
        <f t="shared" si="27"/>
        <v>29.424970297029709</v>
      </c>
      <c r="W94" s="11">
        <f t="shared" si="28"/>
        <v>778.81062202152589</v>
      </c>
      <c r="X94" s="9">
        <f t="shared" si="29"/>
        <v>4.7149244959280972E-14</v>
      </c>
      <c r="Y94" s="9">
        <f t="shared" si="30"/>
        <v>28393275314.479004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</row>
    <row r="95" spans="1:76" s="4" customFormat="1" x14ac:dyDescent="0.25">
      <c r="A95" s="26">
        <v>279</v>
      </c>
      <c r="B95" s="26">
        <f t="shared" si="17"/>
        <v>4.6500000000000004</v>
      </c>
      <c r="C95" s="26">
        <v>20</v>
      </c>
      <c r="D95" s="26">
        <f t="shared" si="18"/>
        <v>29.146000000000001</v>
      </c>
      <c r="E95" s="26">
        <f t="shared" si="19"/>
        <v>4.8576666666666667E-7</v>
      </c>
      <c r="F95" s="26">
        <v>21.1</v>
      </c>
      <c r="G95" s="26">
        <f t="shared" si="20"/>
        <v>294.10000000000002</v>
      </c>
      <c r="H95" s="26">
        <v>101.3</v>
      </c>
      <c r="I95" s="26">
        <f t="shared" si="21"/>
        <v>101300</v>
      </c>
      <c r="J95" s="26">
        <f t="shared" si="22"/>
        <v>2.0124824921938581E-5</v>
      </c>
      <c r="K95" s="20">
        <v>276.00990099009903</v>
      </c>
      <c r="L95" s="27">
        <f t="shared" si="23"/>
        <v>2.7600990099009901E-4</v>
      </c>
      <c r="M95" s="29">
        <f t="shared" si="31"/>
        <v>4.7762865441819992E-3</v>
      </c>
      <c r="N95" s="33">
        <f t="shared" si="24"/>
        <v>1.16296434118122E-6</v>
      </c>
      <c r="O95" s="21">
        <f t="shared" si="32"/>
        <v>2.032E-3</v>
      </c>
      <c r="P95" s="21">
        <v>1.0571269522665299E-10</v>
      </c>
      <c r="Q95" s="2">
        <v>0.31</v>
      </c>
      <c r="R95" s="27">
        <f t="shared" si="25"/>
        <v>131000</v>
      </c>
      <c r="S95" s="2">
        <f t="shared" si="33"/>
        <v>5.2493374855265302E-3</v>
      </c>
      <c r="T95" s="11">
        <v>0.06</v>
      </c>
      <c r="U95" s="30">
        <f t="shared" si="26"/>
        <v>106000</v>
      </c>
      <c r="V95" s="30">
        <f t="shared" si="27"/>
        <v>29.257049504950494</v>
      </c>
      <c r="W95" s="11">
        <f t="shared" si="28"/>
        <v>770.80501648022107</v>
      </c>
      <c r="X95" s="9">
        <f t="shared" si="29"/>
        <v>4.6877294382920757E-14</v>
      </c>
      <c r="Y95" s="9">
        <f t="shared" si="30"/>
        <v>28229506677.394882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</row>
    <row r="96" spans="1:76" s="4" customFormat="1" x14ac:dyDescent="0.25">
      <c r="A96" s="26">
        <v>282</v>
      </c>
      <c r="B96" s="26">
        <f t="shared" si="17"/>
        <v>4.7</v>
      </c>
      <c r="C96" s="26">
        <v>20</v>
      </c>
      <c r="D96" s="26">
        <f t="shared" si="18"/>
        <v>29.146000000000001</v>
      </c>
      <c r="E96" s="26">
        <f t="shared" si="19"/>
        <v>4.8576666666666667E-7</v>
      </c>
      <c r="F96" s="26">
        <v>21.1</v>
      </c>
      <c r="G96" s="26">
        <f t="shared" si="20"/>
        <v>294.10000000000002</v>
      </c>
      <c r="H96" s="26">
        <v>101.3</v>
      </c>
      <c r="I96" s="26">
        <f t="shared" si="21"/>
        <v>101300</v>
      </c>
      <c r="J96" s="26">
        <f t="shared" si="22"/>
        <v>2.0124824921938581E-5</v>
      </c>
      <c r="K96" s="20">
        <v>279.42574257425741</v>
      </c>
      <c r="L96" s="27">
        <f t="shared" si="23"/>
        <v>2.7942574257425743E-4</v>
      </c>
      <c r="M96" s="29">
        <f t="shared" si="31"/>
        <v>4.7762865441819992E-3</v>
      </c>
      <c r="N96" s="33">
        <f t="shared" si="24"/>
        <v>1.1773569479074647E-6</v>
      </c>
      <c r="O96" s="21">
        <f t="shared" si="32"/>
        <v>2.032E-3</v>
      </c>
      <c r="P96" s="21">
        <v>1.0571269522665299E-10</v>
      </c>
      <c r="Q96" s="2">
        <v>0.31</v>
      </c>
      <c r="R96" s="27">
        <f t="shared" si="25"/>
        <v>131000</v>
      </c>
      <c r="S96" s="2">
        <f t="shared" si="33"/>
        <v>5.2493374855265302E-3</v>
      </c>
      <c r="T96" s="11">
        <v>0.06</v>
      </c>
      <c r="U96" s="30">
        <f t="shared" si="26"/>
        <v>106000</v>
      </c>
      <c r="V96" s="30">
        <f t="shared" si="27"/>
        <v>29.619128712871287</v>
      </c>
      <c r="W96" s="11">
        <f t="shared" si="28"/>
        <v>788.11557067218871</v>
      </c>
      <c r="X96" s="9">
        <f t="shared" si="29"/>
        <v>4.7463747165491085E-14</v>
      </c>
      <c r="Y96" s="9">
        <f t="shared" si="30"/>
        <v>28582668543.058731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</row>
    <row r="97" spans="1:76" s="4" customFormat="1" x14ac:dyDescent="0.25">
      <c r="A97" s="26">
        <v>285</v>
      </c>
      <c r="B97" s="26">
        <f t="shared" si="17"/>
        <v>4.75</v>
      </c>
      <c r="C97" s="26">
        <v>20</v>
      </c>
      <c r="D97" s="26">
        <f t="shared" si="18"/>
        <v>29.146000000000001</v>
      </c>
      <c r="E97" s="26">
        <f t="shared" si="19"/>
        <v>4.8576666666666667E-7</v>
      </c>
      <c r="F97" s="26">
        <v>21.1</v>
      </c>
      <c r="G97" s="26">
        <f t="shared" si="20"/>
        <v>294.10000000000002</v>
      </c>
      <c r="H97" s="26">
        <v>101.3</v>
      </c>
      <c r="I97" s="26">
        <f t="shared" si="21"/>
        <v>101300</v>
      </c>
      <c r="J97" s="26">
        <f t="shared" si="22"/>
        <v>2.0124824921938581E-5</v>
      </c>
      <c r="K97" s="20">
        <v>274.15346534653469</v>
      </c>
      <c r="L97" s="27">
        <f t="shared" si="23"/>
        <v>2.7415346534653471E-4</v>
      </c>
      <c r="M97" s="29">
        <f t="shared" si="31"/>
        <v>4.7762865441819992E-3</v>
      </c>
      <c r="N97" s="33">
        <f t="shared" si="24"/>
        <v>1.1551422723082611E-6</v>
      </c>
      <c r="O97" s="21">
        <f t="shared" si="32"/>
        <v>2.032E-3</v>
      </c>
      <c r="P97" s="21">
        <v>1.0571269522665299E-10</v>
      </c>
      <c r="Q97" s="2">
        <v>0.31</v>
      </c>
      <c r="R97" s="27">
        <f t="shared" si="25"/>
        <v>131000</v>
      </c>
      <c r="S97" s="2">
        <f t="shared" si="33"/>
        <v>5.2493374855265302E-3</v>
      </c>
      <c r="T97" s="11">
        <v>0.06</v>
      </c>
      <c r="U97" s="30">
        <f t="shared" si="26"/>
        <v>106000</v>
      </c>
      <c r="V97" s="30">
        <f t="shared" si="27"/>
        <v>29.060267326732678</v>
      </c>
      <c r="W97" s="11">
        <f t="shared" si="28"/>
        <v>761.47294975438786</v>
      </c>
      <c r="X97" s="9">
        <f t="shared" si="29"/>
        <v>4.6558662543877526E-14</v>
      </c>
      <c r="Y97" s="9">
        <f t="shared" si="30"/>
        <v>28037626583.923046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</row>
    <row r="98" spans="1:76" s="4" customFormat="1" x14ac:dyDescent="0.25">
      <c r="A98" s="26">
        <v>288</v>
      </c>
      <c r="B98" s="26">
        <f t="shared" si="17"/>
        <v>4.8</v>
      </c>
      <c r="C98" s="26">
        <v>20</v>
      </c>
      <c r="D98" s="26">
        <f t="shared" si="18"/>
        <v>29.146000000000001</v>
      </c>
      <c r="E98" s="26">
        <f t="shared" si="19"/>
        <v>4.8576666666666667E-7</v>
      </c>
      <c r="F98" s="26">
        <v>21.1</v>
      </c>
      <c r="G98" s="26">
        <f t="shared" si="20"/>
        <v>294.10000000000002</v>
      </c>
      <c r="H98" s="26">
        <v>101.3</v>
      </c>
      <c r="I98" s="26">
        <f t="shared" si="21"/>
        <v>101300</v>
      </c>
      <c r="J98" s="26">
        <f t="shared" si="22"/>
        <v>2.0124824921938581E-5</v>
      </c>
      <c r="K98" s="20">
        <v>280.56435643564362</v>
      </c>
      <c r="L98" s="27">
        <f t="shared" si="23"/>
        <v>2.8056435643564361E-4</v>
      </c>
      <c r="M98" s="29">
        <f t="shared" si="31"/>
        <v>4.7762865441819992E-3</v>
      </c>
      <c r="N98" s="33">
        <f t="shared" si="24"/>
        <v>1.1821544834828798E-6</v>
      </c>
      <c r="O98" s="21">
        <f t="shared" si="32"/>
        <v>2.032E-3</v>
      </c>
      <c r="P98" s="21">
        <v>1.0571269522665299E-10</v>
      </c>
      <c r="Q98" s="2">
        <v>0.31</v>
      </c>
      <c r="R98" s="27">
        <f t="shared" si="25"/>
        <v>131000</v>
      </c>
      <c r="S98" s="2">
        <f t="shared" si="33"/>
        <v>5.2493374855265302E-3</v>
      </c>
      <c r="T98" s="11">
        <v>0.06</v>
      </c>
      <c r="U98" s="30">
        <f t="shared" si="26"/>
        <v>106000</v>
      </c>
      <c r="V98" s="30">
        <f t="shared" si="27"/>
        <v>29.739821782178222</v>
      </c>
      <c r="W98" s="11">
        <f t="shared" si="28"/>
        <v>793.92591552154022</v>
      </c>
      <c r="X98" s="9">
        <f t="shared" si="29"/>
        <v>4.7659280778281907E-14</v>
      </c>
      <c r="Y98" s="9">
        <f t="shared" si="30"/>
        <v>28700418884.681366</v>
      </c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</row>
    <row r="99" spans="1:76" s="4" customFormat="1" x14ac:dyDescent="0.25">
      <c r="A99" s="26">
        <v>291</v>
      </c>
      <c r="B99" s="26">
        <f t="shared" si="17"/>
        <v>4.8499999999999996</v>
      </c>
      <c r="C99" s="26">
        <v>20</v>
      </c>
      <c r="D99" s="26">
        <f t="shared" si="18"/>
        <v>29.146000000000001</v>
      </c>
      <c r="E99" s="26">
        <f t="shared" si="19"/>
        <v>4.8576666666666667E-7</v>
      </c>
      <c r="F99" s="26">
        <v>21.1</v>
      </c>
      <c r="G99" s="26">
        <f t="shared" si="20"/>
        <v>294.10000000000002</v>
      </c>
      <c r="H99" s="26">
        <v>101.3</v>
      </c>
      <c r="I99" s="26">
        <f t="shared" si="21"/>
        <v>101300</v>
      </c>
      <c r="J99" s="26">
        <f t="shared" si="22"/>
        <v>2.0124824921938581E-5</v>
      </c>
      <c r="K99" s="20">
        <v>284.47524752475249</v>
      </c>
      <c r="L99" s="27">
        <f t="shared" si="23"/>
        <v>2.844752475247525E-4</v>
      </c>
      <c r="M99" s="29">
        <f t="shared" si="31"/>
        <v>4.7762865441819992E-3</v>
      </c>
      <c r="N99" s="33">
        <f t="shared" si="24"/>
        <v>1.1986329752419134E-6</v>
      </c>
      <c r="O99" s="21">
        <f t="shared" si="32"/>
        <v>2.032E-3</v>
      </c>
      <c r="P99" s="21">
        <v>1.0571269522665299E-10</v>
      </c>
      <c r="Q99" s="2">
        <v>0.31</v>
      </c>
      <c r="R99" s="27">
        <f t="shared" si="25"/>
        <v>131000</v>
      </c>
      <c r="S99" s="2">
        <f t="shared" si="33"/>
        <v>5.2493374855265302E-3</v>
      </c>
      <c r="T99" s="11">
        <v>0.06</v>
      </c>
      <c r="U99" s="30">
        <f t="shared" si="26"/>
        <v>106000</v>
      </c>
      <c r="V99" s="30">
        <f t="shared" si="27"/>
        <v>30.154376237623765</v>
      </c>
      <c r="W99" s="11">
        <f t="shared" si="28"/>
        <v>814.03600431757593</v>
      </c>
      <c r="X99" s="9">
        <f t="shared" si="29"/>
        <v>4.8331085895974485E-14</v>
      </c>
      <c r="Y99" s="9">
        <f t="shared" si="30"/>
        <v>29104979926.555836</v>
      </c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</row>
    <row r="100" spans="1:76" s="4" customFormat="1" x14ac:dyDescent="0.25">
      <c r="A100" s="26">
        <v>294</v>
      </c>
      <c r="B100" s="26">
        <f t="shared" si="17"/>
        <v>4.9000000000000004</v>
      </c>
      <c r="C100" s="26">
        <v>20</v>
      </c>
      <c r="D100" s="26">
        <f t="shared" si="18"/>
        <v>29.146000000000001</v>
      </c>
      <c r="E100" s="26">
        <f t="shared" si="19"/>
        <v>4.8576666666666667E-7</v>
      </c>
      <c r="F100" s="26">
        <v>21.1</v>
      </c>
      <c r="G100" s="26">
        <f t="shared" si="20"/>
        <v>294.10000000000002</v>
      </c>
      <c r="H100" s="26">
        <v>101.3</v>
      </c>
      <c r="I100" s="26">
        <f t="shared" si="21"/>
        <v>101300</v>
      </c>
      <c r="J100" s="26">
        <f t="shared" si="22"/>
        <v>2.0124824921938581E-5</v>
      </c>
      <c r="K100" s="20">
        <v>278.08910891089107</v>
      </c>
      <c r="L100" s="27">
        <f t="shared" si="23"/>
        <v>2.7808910891089108E-4</v>
      </c>
      <c r="M100" s="29">
        <f t="shared" si="31"/>
        <v>4.7762865441819992E-3</v>
      </c>
      <c r="N100" s="33">
        <f t="shared" si="24"/>
        <v>1.1717250583189342E-6</v>
      </c>
      <c r="O100" s="21">
        <f t="shared" si="32"/>
        <v>2.032E-3</v>
      </c>
      <c r="P100" s="21">
        <v>1.0571269522665299E-10</v>
      </c>
      <c r="Q100" s="2">
        <v>0.31</v>
      </c>
      <c r="R100" s="27">
        <f t="shared" si="25"/>
        <v>131000</v>
      </c>
      <c r="S100" s="2">
        <f t="shared" si="33"/>
        <v>5.2493374855265302E-3</v>
      </c>
      <c r="T100" s="11">
        <v>0.06</v>
      </c>
      <c r="U100" s="30">
        <f t="shared" si="26"/>
        <v>106000</v>
      </c>
      <c r="V100" s="30">
        <f t="shared" si="27"/>
        <v>29.477445544554453</v>
      </c>
      <c r="W100" s="11">
        <f t="shared" si="28"/>
        <v>781.32034819227158</v>
      </c>
      <c r="X100" s="9">
        <f t="shared" si="29"/>
        <v>4.7234239264373882E-14</v>
      </c>
      <c r="Y100" s="9">
        <f t="shared" si="30"/>
        <v>28444458885.005955</v>
      </c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</row>
    <row r="101" spans="1:76" s="4" customFormat="1" x14ac:dyDescent="0.25">
      <c r="A101" s="26">
        <v>297</v>
      </c>
      <c r="B101" s="26">
        <f t="shared" si="17"/>
        <v>4.95</v>
      </c>
      <c r="C101" s="26">
        <v>20</v>
      </c>
      <c r="D101" s="26">
        <f t="shared" si="18"/>
        <v>29.146000000000001</v>
      </c>
      <c r="E101" s="26">
        <f t="shared" si="19"/>
        <v>4.8576666666666667E-7</v>
      </c>
      <c r="F101" s="26">
        <v>21.1</v>
      </c>
      <c r="G101" s="26">
        <f t="shared" si="20"/>
        <v>294.10000000000002</v>
      </c>
      <c r="H101" s="26">
        <v>101.3</v>
      </c>
      <c r="I101" s="26">
        <f t="shared" si="21"/>
        <v>101300</v>
      </c>
      <c r="J101" s="26">
        <f t="shared" si="22"/>
        <v>2.0124824921938581E-5</v>
      </c>
      <c r="K101" s="20">
        <v>274.05445544554453</v>
      </c>
      <c r="L101" s="27">
        <f t="shared" si="23"/>
        <v>2.7405445544554453E-4</v>
      </c>
      <c r="M101" s="29">
        <f t="shared" si="31"/>
        <v>4.7762865441819992E-3</v>
      </c>
      <c r="N101" s="33">
        <f t="shared" si="24"/>
        <v>1.154725095301703E-6</v>
      </c>
      <c r="O101" s="21">
        <f t="shared" si="32"/>
        <v>2.032E-3</v>
      </c>
      <c r="P101" s="21">
        <v>1.0571269522665299E-10</v>
      </c>
      <c r="Q101" s="2">
        <v>0.31</v>
      </c>
      <c r="R101" s="27">
        <f t="shared" si="25"/>
        <v>131000</v>
      </c>
      <c r="S101" s="2">
        <f t="shared" si="33"/>
        <v>5.2493374855265302E-3</v>
      </c>
      <c r="T101" s="11">
        <v>0.06</v>
      </c>
      <c r="U101" s="30">
        <f t="shared" si="26"/>
        <v>106000</v>
      </c>
      <c r="V101" s="30">
        <f t="shared" si="27"/>
        <v>29.049772277227721</v>
      </c>
      <c r="W101" s="11">
        <f t="shared" si="28"/>
        <v>760.97674052350635</v>
      </c>
      <c r="X101" s="9">
        <f t="shared" si="29"/>
        <v>4.65416706647819E-14</v>
      </c>
      <c r="Y101" s="9">
        <f t="shared" si="30"/>
        <v>28027394074.331661</v>
      </c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</row>
    <row r="102" spans="1:76" s="4" customFormat="1" x14ac:dyDescent="0.25">
      <c r="A102" s="26">
        <v>300</v>
      </c>
      <c r="B102" s="26">
        <f t="shared" si="17"/>
        <v>5</v>
      </c>
      <c r="C102" s="26">
        <v>20</v>
      </c>
      <c r="D102" s="26">
        <f t="shared" si="18"/>
        <v>29.146000000000001</v>
      </c>
      <c r="E102" s="26">
        <f t="shared" si="19"/>
        <v>4.8576666666666667E-7</v>
      </c>
      <c r="F102" s="26">
        <v>21.1</v>
      </c>
      <c r="G102" s="26">
        <f t="shared" si="20"/>
        <v>294.10000000000002</v>
      </c>
      <c r="H102" s="26">
        <v>101.3</v>
      </c>
      <c r="I102" s="26">
        <f t="shared" si="21"/>
        <v>101300</v>
      </c>
      <c r="J102" s="26">
        <f t="shared" si="22"/>
        <v>2.0124824921938581E-5</v>
      </c>
      <c r="K102" s="20">
        <v>284.10396039603961</v>
      </c>
      <c r="L102" s="27">
        <f t="shared" si="23"/>
        <v>2.8410396039603962E-4</v>
      </c>
      <c r="M102" s="29">
        <f t="shared" si="31"/>
        <v>4.7762865441819992E-3</v>
      </c>
      <c r="N102" s="33">
        <f t="shared" si="24"/>
        <v>1.1970685614673213E-6</v>
      </c>
      <c r="O102" s="21">
        <f t="shared" si="32"/>
        <v>2.032E-3</v>
      </c>
      <c r="P102" s="21">
        <v>1.0571269522665299E-10</v>
      </c>
      <c r="Q102" s="2">
        <v>0.31</v>
      </c>
      <c r="R102" s="27">
        <f t="shared" si="25"/>
        <v>131000</v>
      </c>
      <c r="S102" s="2">
        <f t="shared" si="33"/>
        <v>5.2493374855265302E-3</v>
      </c>
      <c r="T102" s="11">
        <v>0.06</v>
      </c>
      <c r="U102" s="30">
        <f t="shared" si="26"/>
        <v>106000</v>
      </c>
      <c r="V102" s="30">
        <f t="shared" si="27"/>
        <v>30.1150198019802</v>
      </c>
      <c r="W102" s="11">
        <f t="shared" si="28"/>
        <v>812.11665314118454</v>
      </c>
      <c r="X102" s="9">
        <f t="shared" si="29"/>
        <v>4.8267294243610926E-14</v>
      </c>
      <c r="Y102" s="9">
        <f t="shared" si="30"/>
        <v>29066564593.502502</v>
      </c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</row>
    <row r="103" spans="1:76" s="4" customFormat="1" x14ac:dyDescent="0.25">
      <c r="A103" s="26">
        <v>303</v>
      </c>
      <c r="B103" s="26">
        <f t="shared" si="17"/>
        <v>5.05</v>
      </c>
      <c r="C103" s="26">
        <v>20</v>
      </c>
      <c r="D103" s="26">
        <f t="shared" si="18"/>
        <v>29.146000000000001</v>
      </c>
      <c r="E103" s="26">
        <f t="shared" si="19"/>
        <v>4.8576666666666667E-7</v>
      </c>
      <c r="F103" s="26">
        <v>21.1</v>
      </c>
      <c r="G103" s="26">
        <f t="shared" si="20"/>
        <v>294.10000000000002</v>
      </c>
      <c r="H103" s="26">
        <v>101.3</v>
      </c>
      <c r="I103" s="26">
        <f t="shared" si="21"/>
        <v>101300</v>
      </c>
      <c r="J103" s="26">
        <f t="shared" si="22"/>
        <v>2.0124824921938581E-5</v>
      </c>
      <c r="K103" s="20">
        <v>270.71287128712873</v>
      </c>
      <c r="L103" s="27">
        <f t="shared" si="23"/>
        <v>2.7071287128712876E-4</v>
      </c>
      <c r="M103" s="29">
        <f t="shared" si="31"/>
        <v>4.7762865441819992E-3</v>
      </c>
      <c r="N103" s="33">
        <f t="shared" si="24"/>
        <v>1.140645371330377E-6</v>
      </c>
      <c r="O103" s="21">
        <f t="shared" si="32"/>
        <v>2.032E-3</v>
      </c>
      <c r="P103" s="21">
        <v>1.0571269522665299E-10</v>
      </c>
      <c r="Q103" s="2">
        <v>0.31</v>
      </c>
      <c r="R103" s="27">
        <f t="shared" si="25"/>
        <v>131000</v>
      </c>
      <c r="S103" s="2">
        <f t="shared" si="33"/>
        <v>5.2493374855265302E-3</v>
      </c>
      <c r="T103" s="11">
        <v>0.06</v>
      </c>
      <c r="U103" s="30">
        <f t="shared" si="26"/>
        <v>106000</v>
      </c>
      <c r="V103" s="30">
        <f t="shared" si="27"/>
        <v>28.695564356435646</v>
      </c>
      <c r="W103" s="11">
        <f t="shared" si="28"/>
        <v>744.31885672832686</v>
      </c>
      <c r="X103" s="9">
        <f t="shared" si="29"/>
        <v>4.5968302133639154E-14</v>
      </c>
      <c r="Y103" s="9">
        <f t="shared" si="30"/>
        <v>27682111544.877499</v>
      </c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</row>
    <row r="104" spans="1:76" s="4" customFormat="1" x14ac:dyDescent="0.25">
      <c r="A104" s="26">
        <v>306</v>
      </c>
      <c r="B104" s="26">
        <f t="shared" si="17"/>
        <v>5.0999999999999996</v>
      </c>
      <c r="C104" s="26">
        <v>20</v>
      </c>
      <c r="D104" s="26">
        <f t="shared" si="18"/>
        <v>29.146000000000001</v>
      </c>
      <c r="E104" s="26">
        <f t="shared" si="19"/>
        <v>4.8576666666666667E-7</v>
      </c>
      <c r="F104" s="26">
        <v>21.1</v>
      </c>
      <c r="G104" s="26">
        <f t="shared" si="20"/>
        <v>294.10000000000002</v>
      </c>
      <c r="H104" s="26">
        <v>101.3</v>
      </c>
      <c r="I104" s="26">
        <f t="shared" si="21"/>
        <v>101300</v>
      </c>
      <c r="J104" s="26">
        <f t="shared" si="22"/>
        <v>2.0124824921938581E-5</v>
      </c>
      <c r="K104" s="20">
        <v>292.84158415841586</v>
      </c>
      <c r="L104" s="27">
        <f t="shared" si="23"/>
        <v>2.9284158415841588E-4</v>
      </c>
      <c r="M104" s="29">
        <f t="shared" si="31"/>
        <v>4.7762865441819992E-3</v>
      </c>
      <c r="N104" s="33">
        <f t="shared" si="24"/>
        <v>1.2338844322960486E-6</v>
      </c>
      <c r="O104" s="21">
        <f t="shared" si="32"/>
        <v>2.032E-3</v>
      </c>
      <c r="P104" s="21">
        <v>1.0571269522665299E-10</v>
      </c>
      <c r="Q104" s="2">
        <v>0.31</v>
      </c>
      <c r="R104" s="27">
        <f t="shared" si="25"/>
        <v>131000</v>
      </c>
      <c r="S104" s="2">
        <f t="shared" si="33"/>
        <v>5.2493374855265302E-3</v>
      </c>
      <c r="T104" s="11">
        <v>0.06</v>
      </c>
      <c r="U104" s="30">
        <f t="shared" si="26"/>
        <v>106000</v>
      </c>
      <c r="V104" s="30">
        <f t="shared" si="27"/>
        <v>31.041207920792083</v>
      </c>
      <c r="W104" s="11">
        <f t="shared" si="28"/>
        <v>857.85022083492424</v>
      </c>
      <c r="X104" s="9">
        <f t="shared" si="29"/>
        <v>4.9769239360576541E-14</v>
      </c>
      <c r="Y104" s="9">
        <f t="shared" si="30"/>
        <v>29971035942.939194</v>
      </c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</row>
    <row r="105" spans="1:76" s="4" customFormat="1" x14ac:dyDescent="0.25">
      <c r="A105" s="26">
        <v>309</v>
      </c>
      <c r="B105" s="26">
        <f t="shared" si="17"/>
        <v>5.15</v>
      </c>
      <c r="C105" s="26">
        <v>20</v>
      </c>
      <c r="D105" s="26">
        <f t="shared" si="18"/>
        <v>29.146000000000001</v>
      </c>
      <c r="E105" s="26">
        <f t="shared" si="19"/>
        <v>4.8576666666666667E-7</v>
      </c>
      <c r="F105" s="26">
        <v>21.1</v>
      </c>
      <c r="G105" s="26">
        <f t="shared" si="20"/>
        <v>294.10000000000002</v>
      </c>
      <c r="H105" s="26">
        <v>101.3</v>
      </c>
      <c r="I105" s="26">
        <f t="shared" si="21"/>
        <v>101300</v>
      </c>
      <c r="J105" s="26">
        <f t="shared" si="22"/>
        <v>2.0124824921938581E-5</v>
      </c>
      <c r="K105" s="20">
        <v>282.79207920792084</v>
      </c>
      <c r="L105" s="27">
        <f t="shared" si="23"/>
        <v>2.8279207920792085E-4</v>
      </c>
      <c r="M105" s="29">
        <f t="shared" si="31"/>
        <v>4.7762865441819992E-3</v>
      </c>
      <c r="N105" s="33">
        <f t="shared" si="24"/>
        <v>1.1915409661304305E-6</v>
      </c>
      <c r="O105" s="21">
        <f t="shared" si="32"/>
        <v>2.032E-3</v>
      </c>
      <c r="P105" s="21">
        <v>1.0571269522665299E-10</v>
      </c>
      <c r="Q105" s="2">
        <v>0.31</v>
      </c>
      <c r="R105" s="27">
        <f t="shared" si="25"/>
        <v>131000</v>
      </c>
      <c r="S105" s="2">
        <f t="shared" si="33"/>
        <v>5.2493374855265302E-3</v>
      </c>
      <c r="T105" s="11">
        <v>0.06</v>
      </c>
      <c r="U105" s="30">
        <f t="shared" si="26"/>
        <v>106000</v>
      </c>
      <c r="V105" s="30">
        <f t="shared" si="27"/>
        <v>29.975960396039611</v>
      </c>
      <c r="W105" s="11">
        <f t="shared" si="28"/>
        <v>805.35202223333658</v>
      </c>
      <c r="X105" s="9">
        <f t="shared" si="29"/>
        <v>4.8041918436747859E-14</v>
      </c>
      <c r="Y105" s="9">
        <f t="shared" si="30"/>
        <v>28930843282.609562</v>
      </c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</row>
    <row r="106" spans="1:76" s="4" customFormat="1" x14ac:dyDescent="0.25">
      <c r="A106" s="26">
        <v>312</v>
      </c>
      <c r="B106" s="26">
        <f t="shared" si="17"/>
        <v>5.2</v>
      </c>
      <c r="C106" s="26">
        <v>20</v>
      </c>
      <c r="D106" s="26">
        <f t="shared" si="18"/>
        <v>29.146000000000001</v>
      </c>
      <c r="E106" s="26">
        <f t="shared" si="19"/>
        <v>4.8576666666666667E-7</v>
      </c>
      <c r="F106" s="26">
        <v>21.1</v>
      </c>
      <c r="G106" s="26">
        <f t="shared" si="20"/>
        <v>294.10000000000002</v>
      </c>
      <c r="H106" s="26">
        <v>101.3</v>
      </c>
      <c r="I106" s="26">
        <f t="shared" si="21"/>
        <v>101300</v>
      </c>
      <c r="J106" s="26">
        <f t="shared" si="22"/>
        <v>2.0124824921938581E-5</v>
      </c>
      <c r="K106" s="20">
        <v>272.32178217821786</v>
      </c>
      <c r="L106" s="27">
        <f t="shared" si="23"/>
        <v>2.7232178217821788E-4</v>
      </c>
      <c r="M106" s="29">
        <f t="shared" si="31"/>
        <v>4.7762865441819992E-3</v>
      </c>
      <c r="N106" s="33">
        <f t="shared" si="24"/>
        <v>1.1474244976869417E-6</v>
      </c>
      <c r="O106" s="21">
        <f t="shared" si="32"/>
        <v>2.032E-3</v>
      </c>
      <c r="P106" s="21">
        <v>1.0571269522665299E-10</v>
      </c>
      <c r="Q106" s="2">
        <v>0.31</v>
      </c>
      <c r="R106" s="27">
        <f t="shared" si="25"/>
        <v>131000</v>
      </c>
      <c r="S106" s="2">
        <f t="shared" si="33"/>
        <v>5.2493374855265302E-3</v>
      </c>
      <c r="T106" s="11">
        <v>0.06</v>
      </c>
      <c r="U106" s="30">
        <f t="shared" si="26"/>
        <v>106000</v>
      </c>
      <c r="V106" s="30">
        <f t="shared" si="27"/>
        <v>28.866108910891096</v>
      </c>
      <c r="W106" s="11">
        <f t="shared" si="28"/>
        <v>752.31769239310313</v>
      </c>
      <c r="X106" s="9">
        <f t="shared" si="29"/>
        <v>4.6244342477391907E-14</v>
      </c>
      <c r="Y106" s="9">
        <f t="shared" si="30"/>
        <v>27848343039.885406</v>
      </c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</row>
    <row r="107" spans="1:76" s="4" customFormat="1" x14ac:dyDescent="0.25">
      <c r="A107" s="26">
        <v>315</v>
      </c>
      <c r="B107" s="26">
        <f t="shared" si="17"/>
        <v>5.25</v>
      </c>
      <c r="C107" s="26">
        <v>20</v>
      </c>
      <c r="D107" s="26">
        <f t="shared" si="18"/>
        <v>29.146000000000001</v>
      </c>
      <c r="E107" s="26">
        <f t="shared" si="19"/>
        <v>4.8576666666666667E-7</v>
      </c>
      <c r="F107" s="26">
        <v>21.1</v>
      </c>
      <c r="G107" s="26">
        <f t="shared" si="20"/>
        <v>294.10000000000002</v>
      </c>
      <c r="H107" s="26">
        <v>101.3</v>
      </c>
      <c r="I107" s="26">
        <f t="shared" si="21"/>
        <v>101300</v>
      </c>
      <c r="J107" s="26">
        <f t="shared" si="22"/>
        <v>2.0124824921938581E-5</v>
      </c>
      <c r="K107" s="20">
        <v>270.24257425742576</v>
      </c>
      <c r="L107" s="27">
        <f t="shared" si="23"/>
        <v>2.7024257425742576E-4</v>
      </c>
      <c r="M107" s="29">
        <f t="shared" si="31"/>
        <v>4.7762865441819992E-3</v>
      </c>
      <c r="N107" s="33">
        <f t="shared" si="24"/>
        <v>1.1386637805492273E-6</v>
      </c>
      <c r="O107" s="21">
        <f t="shared" si="32"/>
        <v>2.032E-3</v>
      </c>
      <c r="P107" s="21">
        <v>1.0571269522665299E-10</v>
      </c>
      <c r="Q107" s="2">
        <v>0.31</v>
      </c>
      <c r="R107" s="27">
        <f t="shared" si="25"/>
        <v>131000</v>
      </c>
      <c r="S107" s="2">
        <f t="shared" si="33"/>
        <v>5.2493374855265302E-3</v>
      </c>
      <c r="T107" s="11">
        <v>0.06</v>
      </c>
      <c r="U107" s="30">
        <f t="shared" si="26"/>
        <v>106000</v>
      </c>
      <c r="V107" s="30">
        <f t="shared" si="27"/>
        <v>28.645712871287131</v>
      </c>
      <c r="W107" s="11">
        <f t="shared" si="28"/>
        <v>741.98832432757069</v>
      </c>
      <c r="X107" s="9">
        <f t="shared" si="29"/>
        <v>4.5887622494430784E-14</v>
      </c>
      <c r="Y107" s="9">
        <f t="shared" si="30"/>
        <v>27633526266.146217</v>
      </c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</row>
    <row r="108" spans="1:76" s="4" customFormat="1" x14ac:dyDescent="0.25">
      <c r="A108" s="26">
        <v>318</v>
      </c>
      <c r="B108" s="26">
        <f t="shared" si="17"/>
        <v>5.3</v>
      </c>
      <c r="C108" s="26">
        <v>20</v>
      </c>
      <c r="D108" s="26">
        <f t="shared" si="18"/>
        <v>29.146000000000001</v>
      </c>
      <c r="E108" s="26">
        <f t="shared" si="19"/>
        <v>4.8576666666666667E-7</v>
      </c>
      <c r="F108" s="26">
        <v>21.1</v>
      </c>
      <c r="G108" s="26">
        <f t="shared" si="20"/>
        <v>294.10000000000002</v>
      </c>
      <c r="H108" s="26">
        <v>101.3</v>
      </c>
      <c r="I108" s="26">
        <f t="shared" si="21"/>
        <v>101300</v>
      </c>
      <c r="J108" s="26">
        <f t="shared" si="22"/>
        <v>2.0124824921938581E-5</v>
      </c>
      <c r="K108" s="20">
        <v>286.20792079207922</v>
      </c>
      <c r="L108" s="27">
        <f t="shared" si="23"/>
        <v>2.8620792079207921E-4</v>
      </c>
      <c r="M108" s="29">
        <f t="shared" si="31"/>
        <v>4.7762865441819992E-3</v>
      </c>
      <c r="N108" s="33">
        <f t="shared" si="24"/>
        <v>1.2059335728566749E-6</v>
      </c>
      <c r="O108" s="21">
        <f t="shared" si="32"/>
        <v>2.032E-3</v>
      </c>
      <c r="P108" s="21">
        <v>1.0571269522665299E-10</v>
      </c>
      <c r="Q108" s="2">
        <v>0.31</v>
      </c>
      <c r="R108" s="27">
        <f t="shared" si="25"/>
        <v>131000</v>
      </c>
      <c r="S108" s="2">
        <f t="shared" si="33"/>
        <v>5.2493374855265302E-3</v>
      </c>
      <c r="T108" s="11">
        <v>0.06</v>
      </c>
      <c r="U108" s="30">
        <f t="shared" si="26"/>
        <v>106000</v>
      </c>
      <c r="V108" s="30">
        <f t="shared" si="27"/>
        <v>30.338039603960397</v>
      </c>
      <c r="W108" s="11">
        <f t="shared" si="28"/>
        <v>823.02116038643476</v>
      </c>
      <c r="X108" s="9">
        <f t="shared" si="29"/>
        <v>4.8628815674474094E-14</v>
      </c>
      <c r="Y108" s="9">
        <f t="shared" si="30"/>
        <v>29284272799.168301</v>
      </c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</row>
    <row r="109" spans="1:76" s="4" customFormat="1" x14ac:dyDescent="0.25">
      <c r="A109" s="26">
        <v>321</v>
      </c>
      <c r="B109" s="26">
        <f t="shared" si="17"/>
        <v>5.35</v>
      </c>
      <c r="C109" s="26">
        <v>20</v>
      </c>
      <c r="D109" s="26">
        <f t="shared" si="18"/>
        <v>29.146000000000001</v>
      </c>
      <c r="E109" s="26">
        <f t="shared" si="19"/>
        <v>4.8576666666666667E-7</v>
      </c>
      <c r="F109" s="26">
        <v>21.1</v>
      </c>
      <c r="G109" s="26">
        <f t="shared" si="20"/>
        <v>294.10000000000002</v>
      </c>
      <c r="H109" s="26">
        <v>101.3</v>
      </c>
      <c r="I109" s="26">
        <f t="shared" si="21"/>
        <v>101300</v>
      </c>
      <c r="J109" s="26">
        <f t="shared" si="22"/>
        <v>2.0124824921938581E-5</v>
      </c>
      <c r="K109" s="20">
        <v>285.21782178217825</v>
      </c>
      <c r="L109" s="27">
        <f t="shared" si="23"/>
        <v>2.8521782178217827E-4</v>
      </c>
      <c r="M109" s="29">
        <f t="shared" si="31"/>
        <v>4.7762865441819992E-3</v>
      </c>
      <c r="N109" s="33">
        <f t="shared" si="24"/>
        <v>1.201761802791097E-6</v>
      </c>
      <c r="O109" s="21">
        <f t="shared" si="32"/>
        <v>2.032E-3</v>
      </c>
      <c r="P109" s="21">
        <v>1.0571269522665299E-10</v>
      </c>
      <c r="Q109" s="2">
        <v>0.31</v>
      </c>
      <c r="R109" s="27">
        <f t="shared" si="25"/>
        <v>131000</v>
      </c>
      <c r="S109" s="2">
        <f t="shared" si="33"/>
        <v>5.2493374855265302E-3</v>
      </c>
      <c r="T109" s="11">
        <v>0.06</v>
      </c>
      <c r="U109" s="30">
        <f t="shared" si="26"/>
        <v>106000</v>
      </c>
      <c r="V109" s="30">
        <f t="shared" si="27"/>
        <v>30.233089108910896</v>
      </c>
      <c r="W109" s="11">
        <f t="shared" si="28"/>
        <v>817.8811019005758</v>
      </c>
      <c r="X109" s="9">
        <f t="shared" si="29"/>
        <v>4.8458677224352251E-14</v>
      </c>
      <c r="Y109" s="9">
        <f t="shared" si="30"/>
        <v>29181815424.504925</v>
      </c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</row>
    <row r="110" spans="1:76" s="4" customFormat="1" x14ac:dyDescent="0.25">
      <c r="A110" s="26">
        <v>324</v>
      </c>
      <c r="B110" s="26">
        <f t="shared" si="17"/>
        <v>5.4</v>
      </c>
      <c r="C110" s="26">
        <v>20</v>
      </c>
      <c r="D110" s="26">
        <f t="shared" si="18"/>
        <v>29.146000000000001</v>
      </c>
      <c r="E110" s="26">
        <f t="shared" si="19"/>
        <v>4.8576666666666667E-7</v>
      </c>
      <c r="F110" s="26">
        <v>21.1</v>
      </c>
      <c r="G110" s="26">
        <f t="shared" si="20"/>
        <v>294.10000000000002</v>
      </c>
      <c r="H110" s="26">
        <v>101.3</v>
      </c>
      <c r="I110" s="26">
        <f t="shared" si="21"/>
        <v>101300</v>
      </c>
      <c r="J110" s="26">
        <f t="shared" si="22"/>
        <v>2.0124824921938581E-5</v>
      </c>
      <c r="K110" s="20">
        <v>274.20297029702971</v>
      </c>
      <c r="L110" s="27">
        <f t="shared" si="23"/>
        <v>2.7420297029702971E-4</v>
      </c>
      <c r="M110" s="29">
        <f t="shared" si="31"/>
        <v>4.7762865441819992E-3</v>
      </c>
      <c r="N110" s="33">
        <f t="shared" si="24"/>
        <v>1.15535086081154E-6</v>
      </c>
      <c r="O110" s="21">
        <f t="shared" si="32"/>
        <v>2.032E-3</v>
      </c>
      <c r="P110" s="21">
        <v>1.0571269522665299E-10</v>
      </c>
      <c r="Q110" s="2">
        <v>0.31</v>
      </c>
      <c r="R110" s="27">
        <f t="shared" si="25"/>
        <v>131000</v>
      </c>
      <c r="S110" s="2">
        <f t="shared" si="33"/>
        <v>5.2493374855265302E-3</v>
      </c>
      <c r="T110" s="11">
        <v>0.06</v>
      </c>
      <c r="U110" s="30">
        <f t="shared" si="26"/>
        <v>106000</v>
      </c>
      <c r="V110" s="30">
        <f t="shared" si="27"/>
        <v>29.065514851485148</v>
      </c>
      <c r="W110" s="11">
        <f t="shared" si="28"/>
        <v>761.72111137924207</v>
      </c>
      <c r="X110" s="9">
        <f t="shared" si="29"/>
        <v>4.6567158552363673E-14</v>
      </c>
      <c r="Y110" s="9">
        <f t="shared" si="30"/>
        <v>28042742880.233406</v>
      </c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</row>
    <row r="111" spans="1:76" s="4" customFormat="1" x14ac:dyDescent="0.25">
      <c r="A111" s="26">
        <v>327</v>
      </c>
      <c r="B111" s="26">
        <f t="shared" si="17"/>
        <v>5.45</v>
      </c>
      <c r="C111" s="26">
        <v>20</v>
      </c>
      <c r="D111" s="26">
        <f t="shared" si="18"/>
        <v>29.146000000000001</v>
      </c>
      <c r="E111" s="26">
        <f t="shared" si="19"/>
        <v>4.8576666666666667E-7</v>
      </c>
      <c r="F111" s="26">
        <v>21.1</v>
      </c>
      <c r="G111" s="26">
        <f t="shared" si="20"/>
        <v>294.10000000000002</v>
      </c>
      <c r="H111" s="26">
        <v>101.3</v>
      </c>
      <c r="I111" s="26">
        <f t="shared" si="21"/>
        <v>101300</v>
      </c>
      <c r="J111" s="26">
        <f t="shared" si="22"/>
        <v>2.0124824921938581E-5</v>
      </c>
      <c r="K111" s="20">
        <v>280.29207920792084</v>
      </c>
      <c r="L111" s="27">
        <f t="shared" si="23"/>
        <v>2.8029207920792084E-4</v>
      </c>
      <c r="M111" s="29">
        <f t="shared" si="31"/>
        <v>4.7762865441819992E-3</v>
      </c>
      <c r="N111" s="33">
        <f t="shared" si="24"/>
        <v>1.1810072467148456E-6</v>
      </c>
      <c r="O111" s="21">
        <f t="shared" si="32"/>
        <v>2.032E-3</v>
      </c>
      <c r="P111" s="21">
        <v>1.0571269522665299E-10</v>
      </c>
      <c r="Q111" s="2">
        <v>0.31</v>
      </c>
      <c r="R111" s="27">
        <f t="shared" si="25"/>
        <v>131000</v>
      </c>
      <c r="S111" s="2">
        <f t="shared" si="33"/>
        <v>5.2493374855265302E-3</v>
      </c>
      <c r="T111" s="11">
        <v>0.06</v>
      </c>
      <c r="U111" s="30">
        <f t="shared" si="26"/>
        <v>106000</v>
      </c>
      <c r="V111" s="30">
        <f t="shared" si="27"/>
        <v>29.71096039603961</v>
      </c>
      <c r="W111" s="11">
        <f t="shared" si="28"/>
        <v>792.53465919165433</v>
      </c>
      <c r="X111" s="9">
        <f t="shared" si="29"/>
        <v>4.7612520485150169E-14</v>
      </c>
      <c r="Y111" s="9">
        <f t="shared" si="30"/>
        <v>28672259836.157433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</row>
    <row r="112" spans="1:76" s="4" customFormat="1" x14ac:dyDescent="0.25">
      <c r="A112" s="26">
        <v>330</v>
      </c>
      <c r="B112" s="26">
        <f t="shared" si="17"/>
        <v>5.5</v>
      </c>
      <c r="C112" s="26">
        <v>20</v>
      </c>
      <c r="D112" s="26">
        <f t="shared" si="18"/>
        <v>29.146000000000001</v>
      </c>
      <c r="E112" s="26">
        <f t="shared" si="19"/>
        <v>4.8576666666666667E-7</v>
      </c>
      <c r="F112" s="26">
        <v>21.1</v>
      </c>
      <c r="G112" s="26">
        <f t="shared" si="20"/>
        <v>294.10000000000002</v>
      </c>
      <c r="H112" s="26">
        <v>101.3</v>
      </c>
      <c r="I112" s="26">
        <f t="shared" si="21"/>
        <v>101300</v>
      </c>
      <c r="J112" s="26">
        <f t="shared" si="22"/>
        <v>2.0124824921938581E-5</v>
      </c>
      <c r="K112" s="20">
        <v>279.25247524752479</v>
      </c>
      <c r="L112" s="27">
        <f t="shared" si="23"/>
        <v>2.7925247524752478E-4</v>
      </c>
      <c r="M112" s="29">
        <f t="shared" si="31"/>
        <v>4.7762865441819992E-3</v>
      </c>
      <c r="N112" s="33">
        <f t="shared" si="24"/>
        <v>1.1766268881459887E-6</v>
      </c>
      <c r="O112" s="21">
        <f t="shared" si="32"/>
        <v>2.032E-3</v>
      </c>
      <c r="P112" s="21">
        <v>1.0571269522665299E-10</v>
      </c>
      <c r="Q112" s="2">
        <v>0.31</v>
      </c>
      <c r="R112" s="27">
        <f t="shared" si="25"/>
        <v>131000</v>
      </c>
      <c r="S112" s="2">
        <f t="shared" si="33"/>
        <v>5.2493374855265302E-3</v>
      </c>
      <c r="T112" s="11">
        <v>0.06</v>
      </c>
      <c r="U112" s="30">
        <f t="shared" si="26"/>
        <v>106000</v>
      </c>
      <c r="V112" s="30">
        <f t="shared" si="27"/>
        <v>29.600762376237626</v>
      </c>
      <c r="W112" s="11">
        <f t="shared" si="28"/>
        <v>787.23314756505363</v>
      </c>
      <c r="X112" s="9">
        <f t="shared" si="29"/>
        <v>4.74339942213406E-14</v>
      </c>
      <c r="Y112" s="9">
        <f t="shared" si="30"/>
        <v>28564751320.091309</v>
      </c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</row>
    <row r="113" spans="1:76" s="4" customFormat="1" x14ac:dyDescent="0.25">
      <c r="A113" s="26">
        <v>333</v>
      </c>
      <c r="B113" s="26">
        <f t="shared" si="17"/>
        <v>5.55</v>
      </c>
      <c r="C113" s="26">
        <v>20</v>
      </c>
      <c r="D113" s="26">
        <f t="shared" si="18"/>
        <v>29.146000000000001</v>
      </c>
      <c r="E113" s="26">
        <f t="shared" si="19"/>
        <v>4.8576666666666667E-7</v>
      </c>
      <c r="F113" s="26">
        <v>21.1</v>
      </c>
      <c r="G113" s="26">
        <f t="shared" si="20"/>
        <v>294.10000000000002</v>
      </c>
      <c r="H113" s="26">
        <v>101.3</v>
      </c>
      <c r="I113" s="26">
        <f t="shared" si="21"/>
        <v>101300</v>
      </c>
      <c r="J113" s="26">
        <f t="shared" si="22"/>
        <v>2.0124824921938581E-5</v>
      </c>
      <c r="K113" s="20">
        <v>277.02475247524757</v>
      </c>
      <c r="L113" s="27">
        <f t="shared" si="23"/>
        <v>2.7702475247524754E-4</v>
      </c>
      <c r="M113" s="29">
        <f t="shared" si="31"/>
        <v>4.7762865441819992E-3</v>
      </c>
      <c r="N113" s="33">
        <f t="shared" si="24"/>
        <v>1.1672404054984378E-6</v>
      </c>
      <c r="O113" s="21">
        <f t="shared" si="32"/>
        <v>2.032E-3</v>
      </c>
      <c r="P113" s="21">
        <v>1.0571269522665299E-10</v>
      </c>
      <c r="Q113" s="2">
        <v>0.31</v>
      </c>
      <c r="R113" s="27">
        <f t="shared" si="25"/>
        <v>131000</v>
      </c>
      <c r="S113" s="2">
        <f t="shared" si="33"/>
        <v>5.2493374855265302E-3</v>
      </c>
      <c r="T113" s="11">
        <v>0.06</v>
      </c>
      <c r="U113" s="30">
        <f t="shared" si="26"/>
        <v>106000</v>
      </c>
      <c r="V113" s="30">
        <f t="shared" si="27"/>
        <v>29.36462376237624</v>
      </c>
      <c r="W113" s="11">
        <f t="shared" si="28"/>
        <v>775.92913096227664</v>
      </c>
      <c r="X113" s="9">
        <f t="shared" si="29"/>
        <v>4.7051507254492983E-14</v>
      </c>
      <c r="Y113" s="9">
        <f t="shared" si="30"/>
        <v>28334417668.655674</v>
      </c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</row>
    <row r="114" spans="1:76" s="4" customFormat="1" x14ac:dyDescent="0.25">
      <c r="A114" s="26">
        <v>336</v>
      </c>
      <c r="B114" s="26">
        <f t="shared" si="17"/>
        <v>5.6</v>
      </c>
      <c r="C114" s="26">
        <v>20</v>
      </c>
      <c r="D114" s="26">
        <f t="shared" si="18"/>
        <v>29.146000000000001</v>
      </c>
      <c r="E114" s="26">
        <f t="shared" si="19"/>
        <v>4.8576666666666667E-7</v>
      </c>
      <c r="F114" s="26">
        <v>21.1</v>
      </c>
      <c r="G114" s="26">
        <f t="shared" si="20"/>
        <v>294.10000000000002</v>
      </c>
      <c r="H114" s="26">
        <v>101.3</v>
      </c>
      <c r="I114" s="26">
        <f t="shared" si="21"/>
        <v>101300</v>
      </c>
      <c r="J114" s="26">
        <f t="shared" si="22"/>
        <v>2.0124824921938581E-5</v>
      </c>
      <c r="K114" s="20">
        <v>285.63861386138615</v>
      </c>
      <c r="L114" s="27">
        <f t="shared" si="23"/>
        <v>2.8563861386138615E-4</v>
      </c>
      <c r="M114" s="29">
        <f t="shared" si="31"/>
        <v>4.7762865441819992E-3</v>
      </c>
      <c r="N114" s="33">
        <f t="shared" si="24"/>
        <v>1.2035348050689675E-6</v>
      </c>
      <c r="O114" s="21">
        <f t="shared" si="32"/>
        <v>2.032E-3</v>
      </c>
      <c r="P114" s="21">
        <v>1.0571269522665299E-10</v>
      </c>
      <c r="Q114" s="2">
        <v>0.31</v>
      </c>
      <c r="R114" s="27">
        <f t="shared" si="25"/>
        <v>131000</v>
      </c>
      <c r="S114" s="2">
        <f t="shared" si="33"/>
        <v>5.2493374855265302E-3</v>
      </c>
      <c r="T114" s="11">
        <v>0.06</v>
      </c>
      <c r="U114" s="30">
        <f t="shared" si="26"/>
        <v>106000</v>
      </c>
      <c r="V114" s="30">
        <f t="shared" si="27"/>
        <v>30.277693069306931</v>
      </c>
      <c r="W114" s="11">
        <f t="shared" si="28"/>
        <v>820.06377504473653</v>
      </c>
      <c r="X114" s="9">
        <f t="shared" si="29"/>
        <v>4.8530983733676869E-14</v>
      </c>
      <c r="Y114" s="9">
        <f t="shared" si="30"/>
        <v>29225358404.420212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</row>
    <row r="115" spans="1:76" s="4" customFormat="1" x14ac:dyDescent="0.25">
      <c r="A115" s="26">
        <v>339</v>
      </c>
      <c r="B115" s="26">
        <f t="shared" si="17"/>
        <v>5.65</v>
      </c>
      <c r="C115" s="26">
        <v>20</v>
      </c>
      <c r="D115" s="26">
        <f t="shared" si="18"/>
        <v>29.146000000000001</v>
      </c>
      <c r="E115" s="26">
        <f t="shared" si="19"/>
        <v>4.8576666666666667E-7</v>
      </c>
      <c r="F115" s="26">
        <v>21.1</v>
      </c>
      <c r="G115" s="26">
        <f t="shared" si="20"/>
        <v>294.10000000000002</v>
      </c>
      <c r="H115" s="26">
        <v>101.3</v>
      </c>
      <c r="I115" s="26">
        <f t="shared" si="21"/>
        <v>101300</v>
      </c>
      <c r="J115" s="26">
        <f t="shared" si="22"/>
        <v>2.0124824921938581E-5</v>
      </c>
      <c r="K115" s="20">
        <v>284.20297029702971</v>
      </c>
      <c r="L115" s="27">
        <f t="shared" si="23"/>
        <v>2.8420297029702968E-4</v>
      </c>
      <c r="M115" s="29">
        <f t="shared" si="31"/>
        <v>4.7762865441819992E-3</v>
      </c>
      <c r="N115" s="33">
        <f t="shared" si="24"/>
        <v>1.1974857384738793E-6</v>
      </c>
      <c r="O115" s="21">
        <f t="shared" si="32"/>
        <v>2.032E-3</v>
      </c>
      <c r="P115" s="21">
        <v>1.0571269522665299E-10</v>
      </c>
      <c r="Q115" s="2">
        <v>0.31</v>
      </c>
      <c r="R115" s="27">
        <f t="shared" si="25"/>
        <v>131000</v>
      </c>
      <c r="S115" s="2">
        <f t="shared" si="33"/>
        <v>5.2493374855265302E-3</v>
      </c>
      <c r="T115" s="11">
        <v>0.06</v>
      </c>
      <c r="U115" s="30">
        <f t="shared" si="26"/>
        <v>106000</v>
      </c>
      <c r="V115" s="30">
        <f t="shared" si="27"/>
        <v>30.125514851485146</v>
      </c>
      <c r="W115" s="11">
        <f t="shared" si="28"/>
        <v>812.62827166563079</v>
      </c>
      <c r="X115" s="9">
        <f t="shared" si="29"/>
        <v>4.828430508967905E-14</v>
      </c>
      <c r="Y115" s="9">
        <f t="shared" si="30"/>
        <v>29076808525.004726</v>
      </c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</row>
    <row r="116" spans="1:76" s="4" customFormat="1" x14ac:dyDescent="0.25">
      <c r="A116" s="26">
        <v>342</v>
      </c>
      <c r="B116" s="26">
        <f t="shared" si="17"/>
        <v>5.7</v>
      </c>
      <c r="C116" s="26">
        <v>20</v>
      </c>
      <c r="D116" s="26">
        <f t="shared" si="18"/>
        <v>29.146000000000001</v>
      </c>
      <c r="E116" s="26">
        <f t="shared" si="19"/>
        <v>4.8576666666666667E-7</v>
      </c>
      <c r="F116" s="26">
        <v>21.1</v>
      </c>
      <c r="G116" s="26">
        <f t="shared" si="20"/>
        <v>294.10000000000002</v>
      </c>
      <c r="H116" s="26">
        <v>101.3</v>
      </c>
      <c r="I116" s="26">
        <f t="shared" si="21"/>
        <v>101300</v>
      </c>
      <c r="J116" s="26">
        <f t="shared" si="22"/>
        <v>2.0124824921938581E-5</v>
      </c>
      <c r="K116" s="20">
        <v>285.61386138613864</v>
      </c>
      <c r="L116" s="27">
        <f t="shared" si="23"/>
        <v>2.8561386138613862E-4</v>
      </c>
      <c r="M116" s="29">
        <f t="shared" si="31"/>
        <v>4.7762865441819992E-3</v>
      </c>
      <c r="N116" s="33">
        <f t="shared" si="24"/>
        <v>1.2034305108173283E-6</v>
      </c>
      <c r="O116" s="21">
        <f t="shared" si="32"/>
        <v>2.032E-3</v>
      </c>
      <c r="P116" s="21">
        <v>1.0571269522665299E-10</v>
      </c>
      <c r="Q116" s="2">
        <v>0.31</v>
      </c>
      <c r="R116" s="27">
        <f t="shared" si="25"/>
        <v>131000</v>
      </c>
      <c r="S116" s="2">
        <f t="shared" si="33"/>
        <v>5.2493374855265302E-3</v>
      </c>
      <c r="T116" s="11">
        <v>0.06</v>
      </c>
      <c r="U116" s="30">
        <f t="shared" si="26"/>
        <v>106000</v>
      </c>
      <c r="V116" s="30">
        <f t="shared" si="27"/>
        <v>30.275069306930693</v>
      </c>
      <c r="W116" s="11">
        <f t="shared" si="28"/>
        <v>819.93530672947463</v>
      </c>
      <c r="X116" s="9">
        <f t="shared" si="29"/>
        <v>4.8526730314232983E-14</v>
      </c>
      <c r="Y116" s="9">
        <f t="shared" si="30"/>
        <v>29222796995.231102</v>
      </c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</row>
    <row r="117" spans="1:76" s="4" customFormat="1" x14ac:dyDescent="0.25">
      <c r="A117" s="26">
        <v>345</v>
      </c>
      <c r="B117" s="26">
        <f t="shared" si="17"/>
        <v>5.75</v>
      </c>
      <c r="C117" s="26">
        <v>20</v>
      </c>
      <c r="D117" s="26">
        <f t="shared" si="18"/>
        <v>29.146000000000001</v>
      </c>
      <c r="E117" s="26">
        <f t="shared" si="19"/>
        <v>4.8576666666666667E-7</v>
      </c>
      <c r="F117" s="26">
        <v>21.1</v>
      </c>
      <c r="G117" s="26">
        <f t="shared" si="20"/>
        <v>294.10000000000002</v>
      </c>
      <c r="H117" s="26">
        <v>101.3</v>
      </c>
      <c r="I117" s="26">
        <f t="shared" si="21"/>
        <v>101300</v>
      </c>
      <c r="J117" s="26">
        <f t="shared" si="22"/>
        <v>2.0124824921938581E-5</v>
      </c>
      <c r="K117" s="20">
        <v>277.09900990099015</v>
      </c>
      <c r="L117" s="27">
        <f t="shared" si="23"/>
        <v>2.7709900990099013E-4</v>
      </c>
      <c r="M117" s="29">
        <f t="shared" si="31"/>
        <v>4.7762865441819992E-3</v>
      </c>
      <c r="N117" s="33">
        <f t="shared" si="24"/>
        <v>1.1675532882533562E-6</v>
      </c>
      <c r="O117" s="21">
        <f t="shared" si="32"/>
        <v>2.032E-3</v>
      </c>
      <c r="P117" s="21">
        <v>1.0571269522665299E-10</v>
      </c>
      <c r="Q117" s="2">
        <v>0.31</v>
      </c>
      <c r="R117" s="27">
        <f t="shared" si="25"/>
        <v>131000</v>
      </c>
      <c r="S117" s="2">
        <f t="shared" si="33"/>
        <v>5.2493374855265302E-3</v>
      </c>
      <c r="T117" s="11">
        <v>0.06</v>
      </c>
      <c r="U117" s="30">
        <f t="shared" si="26"/>
        <v>106000</v>
      </c>
      <c r="V117" s="30">
        <f t="shared" si="27"/>
        <v>29.372495049504952</v>
      </c>
      <c r="W117" s="11">
        <f t="shared" si="28"/>
        <v>776.30469282147135</v>
      </c>
      <c r="X117" s="9">
        <f t="shared" si="29"/>
        <v>4.7064255302546725E-14</v>
      </c>
      <c r="Y117" s="9">
        <f t="shared" si="30"/>
        <v>28342094543.193638</v>
      </c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</row>
    <row r="118" spans="1:76" s="4" customFormat="1" x14ac:dyDescent="0.25">
      <c r="A118" s="26">
        <v>348</v>
      </c>
      <c r="B118" s="26">
        <f t="shared" si="17"/>
        <v>5.8</v>
      </c>
      <c r="C118" s="26">
        <v>20</v>
      </c>
      <c r="D118" s="26">
        <f t="shared" si="18"/>
        <v>29.146000000000001</v>
      </c>
      <c r="E118" s="26">
        <f t="shared" si="19"/>
        <v>4.8576666666666667E-7</v>
      </c>
      <c r="F118" s="26">
        <v>21.1</v>
      </c>
      <c r="G118" s="26">
        <f t="shared" si="20"/>
        <v>294.10000000000002</v>
      </c>
      <c r="H118" s="26">
        <v>101.3</v>
      </c>
      <c r="I118" s="26">
        <f t="shared" si="21"/>
        <v>101300</v>
      </c>
      <c r="J118" s="26">
        <f t="shared" si="22"/>
        <v>2.0124824921938581E-5</v>
      </c>
      <c r="K118" s="20">
        <v>276.480198019802</v>
      </c>
      <c r="L118" s="27">
        <f t="shared" si="23"/>
        <v>2.7648019801980201E-4</v>
      </c>
      <c r="M118" s="29">
        <f t="shared" si="31"/>
        <v>4.7762865441819992E-3</v>
      </c>
      <c r="N118" s="33">
        <f t="shared" si="24"/>
        <v>1.1649459319623697E-6</v>
      </c>
      <c r="O118" s="21">
        <f t="shared" si="32"/>
        <v>2.032E-3</v>
      </c>
      <c r="P118" s="21">
        <v>1.0571269522665299E-10</v>
      </c>
      <c r="Q118" s="2">
        <v>0.31</v>
      </c>
      <c r="R118" s="27">
        <f t="shared" si="25"/>
        <v>131000</v>
      </c>
      <c r="S118" s="2">
        <f t="shared" si="33"/>
        <v>5.2493374855265302E-3</v>
      </c>
      <c r="T118" s="11">
        <v>0.06</v>
      </c>
      <c r="U118" s="30">
        <f t="shared" si="26"/>
        <v>106000</v>
      </c>
      <c r="V118" s="30">
        <f t="shared" si="27"/>
        <v>29.306900990099013</v>
      </c>
      <c r="W118" s="11">
        <f t="shared" si="28"/>
        <v>773.17762160295888</v>
      </c>
      <c r="X118" s="9">
        <f t="shared" si="29"/>
        <v>4.69580247569347E-14</v>
      </c>
      <c r="Y118" s="9">
        <f t="shared" si="30"/>
        <v>28278122508.626076</v>
      </c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</row>
    <row r="119" spans="1:76" s="4" customFormat="1" x14ac:dyDescent="0.25">
      <c r="A119" s="26">
        <v>351</v>
      </c>
      <c r="B119" s="26">
        <f t="shared" si="17"/>
        <v>5.85</v>
      </c>
      <c r="C119" s="26">
        <v>20</v>
      </c>
      <c r="D119" s="26">
        <f t="shared" si="18"/>
        <v>29.146000000000001</v>
      </c>
      <c r="E119" s="26">
        <f t="shared" si="19"/>
        <v>4.8576666666666667E-7</v>
      </c>
      <c r="F119" s="26">
        <v>21.1</v>
      </c>
      <c r="G119" s="26">
        <f t="shared" si="20"/>
        <v>294.10000000000002</v>
      </c>
      <c r="H119" s="26">
        <v>101.3</v>
      </c>
      <c r="I119" s="26">
        <f t="shared" si="21"/>
        <v>101300</v>
      </c>
      <c r="J119" s="26">
        <f t="shared" si="22"/>
        <v>2.0124824921938581E-5</v>
      </c>
      <c r="K119" s="20">
        <v>278.55940594059405</v>
      </c>
      <c r="L119" s="27">
        <f t="shared" si="23"/>
        <v>2.7855940594059407E-4</v>
      </c>
      <c r="M119" s="29">
        <f t="shared" si="31"/>
        <v>4.7762865441819992E-3</v>
      </c>
      <c r="N119" s="33">
        <f t="shared" si="24"/>
        <v>1.1737066491000837E-6</v>
      </c>
      <c r="O119" s="21">
        <f t="shared" si="32"/>
        <v>2.032E-3</v>
      </c>
      <c r="P119" s="21">
        <v>1.0571269522665299E-10</v>
      </c>
      <c r="Q119" s="2">
        <v>0.31</v>
      </c>
      <c r="R119" s="27">
        <f t="shared" si="25"/>
        <v>131000</v>
      </c>
      <c r="S119" s="2">
        <f t="shared" si="33"/>
        <v>5.2493374855265302E-3</v>
      </c>
      <c r="T119" s="11">
        <v>0.06</v>
      </c>
      <c r="U119" s="30">
        <f t="shared" si="26"/>
        <v>106000</v>
      </c>
      <c r="V119" s="30">
        <f t="shared" si="27"/>
        <v>29.527297029702972</v>
      </c>
      <c r="W119" s="11">
        <f t="shared" si="28"/>
        <v>783.70810452668707</v>
      </c>
      <c r="X119" s="9">
        <f t="shared" si="29"/>
        <v>4.7314988166599623E-14</v>
      </c>
      <c r="Y119" s="9">
        <f t="shared" si="30"/>
        <v>28493085873.926296</v>
      </c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</row>
    <row r="120" spans="1:76" s="4" customFormat="1" x14ac:dyDescent="0.25">
      <c r="A120" s="26">
        <v>354</v>
      </c>
      <c r="B120" s="26">
        <f t="shared" si="17"/>
        <v>5.9</v>
      </c>
      <c r="C120" s="26">
        <v>20</v>
      </c>
      <c r="D120" s="26">
        <f t="shared" si="18"/>
        <v>29.146000000000001</v>
      </c>
      <c r="E120" s="26">
        <f t="shared" si="19"/>
        <v>4.8576666666666667E-7</v>
      </c>
      <c r="F120" s="26">
        <v>21.1</v>
      </c>
      <c r="G120" s="26">
        <f t="shared" si="20"/>
        <v>294.10000000000002</v>
      </c>
      <c r="H120" s="26">
        <v>101.3</v>
      </c>
      <c r="I120" s="26">
        <f t="shared" si="21"/>
        <v>101300</v>
      </c>
      <c r="J120" s="26">
        <f t="shared" si="22"/>
        <v>2.0124824921938581E-5</v>
      </c>
      <c r="K120" s="20">
        <v>271.35643564356434</v>
      </c>
      <c r="L120" s="27">
        <f t="shared" si="23"/>
        <v>2.7135643564356435E-4</v>
      </c>
      <c r="M120" s="29">
        <f t="shared" si="31"/>
        <v>4.7762865441819992E-3</v>
      </c>
      <c r="N120" s="33">
        <f t="shared" si="24"/>
        <v>1.1433570218730027E-6</v>
      </c>
      <c r="O120" s="21">
        <f t="shared" si="32"/>
        <v>2.032E-3</v>
      </c>
      <c r="P120" s="21">
        <v>1.0571269522665299E-10</v>
      </c>
      <c r="Q120" s="2">
        <v>0.31</v>
      </c>
      <c r="R120" s="27">
        <f t="shared" si="25"/>
        <v>131000</v>
      </c>
      <c r="S120" s="2">
        <f t="shared" si="33"/>
        <v>5.2493374855265302E-3</v>
      </c>
      <c r="T120" s="11">
        <v>0.06</v>
      </c>
      <c r="U120" s="30">
        <f t="shared" si="26"/>
        <v>106000</v>
      </c>
      <c r="V120" s="30">
        <f t="shared" si="27"/>
        <v>28.76378217821782</v>
      </c>
      <c r="W120" s="11">
        <f t="shared" si="28"/>
        <v>747.5135700535152</v>
      </c>
      <c r="X120" s="9">
        <f t="shared" si="29"/>
        <v>4.6078712497253602E-14</v>
      </c>
      <c r="Y120" s="9">
        <f t="shared" si="30"/>
        <v>27748600665.846119</v>
      </c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</row>
    <row r="121" spans="1:76" s="4" customFormat="1" x14ac:dyDescent="0.25">
      <c r="A121" s="26">
        <v>357</v>
      </c>
      <c r="B121" s="26">
        <f t="shared" si="17"/>
        <v>5.95</v>
      </c>
      <c r="C121" s="26">
        <v>20</v>
      </c>
      <c r="D121" s="26">
        <f t="shared" si="18"/>
        <v>29.146000000000001</v>
      </c>
      <c r="E121" s="26">
        <f t="shared" si="19"/>
        <v>4.8576666666666667E-7</v>
      </c>
      <c r="F121" s="26">
        <v>21.1</v>
      </c>
      <c r="G121" s="26">
        <f t="shared" si="20"/>
        <v>294.10000000000002</v>
      </c>
      <c r="H121" s="26">
        <v>101.3</v>
      </c>
      <c r="I121" s="26">
        <f t="shared" si="21"/>
        <v>101300</v>
      </c>
      <c r="J121" s="26">
        <f t="shared" si="22"/>
        <v>2.0124824921938581E-5</v>
      </c>
      <c r="K121" s="20">
        <v>278.36138613861391</v>
      </c>
      <c r="L121" s="27">
        <f t="shared" si="23"/>
        <v>2.783613861386139E-4</v>
      </c>
      <c r="M121" s="29">
        <f t="shared" si="31"/>
        <v>4.7762865441819992E-3</v>
      </c>
      <c r="N121" s="33">
        <f t="shared" si="24"/>
        <v>1.1728722950869683E-6</v>
      </c>
      <c r="O121" s="21">
        <f t="shared" si="32"/>
        <v>2.032E-3</v>
      </c>
      <c r="P121" s="21">
        <v>1.0571269522665299E-10</v>
      </c>
      <c r="Q121" s="2">
        <v>0.31</v>
      </c>
      <c r="R121" s="27">
        <f t="shared" si="25"/>
        <v>131000</v>
      </c>
      <c r="S121" s="2">
        <f t="shared" si="33"/>
        <v>5.2493374855265302E-3</v>
      </c>
      <c r="T121" s="11">
        <v>0.06</v>
      </c>
      <c r="U121" s="30">
        <f t="shared" si="26"/>
        <v>106000</v>
      </c>
      <c r="V121" s="30">
        <f t="shared" si="27"/>
        <v>29.506306930693071</v>
      </c>
      <c r="W121" s="11">
        <f t="shared" si="28"/>
        <v>782.70231585717352</v>
      </c>
      <c r="X121" s="9">
        <f t="shared" si="29"/>
        <v>4.7280988116260831E-14</v>
      </c>
      <c r="Y121" s="9">
        <f t="shared" si="30"/>
        <v>28472611043.612274</v>
      </c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</row>
    <row r="122" spans="1:76" s="4" customFormat="1" x14ac:dyDescent="0.25">
      <c r="A122" s="26">
        <v>360</v>
      </c>
      <c r="B122" s="26">
        <f t="shared" si="17"/>
        <v>6</v>
      </c>
      <c r="C122" s="26">
        <v>20</v>
      </c>
      <c r="D122" s="26">
        <f t="shared" si="18"/>
        <v>29.146000000000001</v>
      </c>
      <c r="E122" s="26">
        <f t="shared" si="19"/>
        <v>4.8576666666666667E-7</v>
      </c>
      <c r="F122" s="26">
        <v>21.1</v>
      </c>
      <c r="G122" s="26">
        <f t="shared" si="20"/>
        <v>294.10000000000002</v>
      </c>
      <c r="H122" s="26">
        <v>101.3</v>
      </c>
      <c r="I122" s="26">
        <f t="shared" si="21"/>
        <v>101300</v>
      </c>
      <c r="J122" s="26">
        <f t="shared" si="22"/>
        <v>2.0124824921938581E-5</v>
      </c>
      <c r="K122" s="20">
        <v>273.55940594059405</v>
      </c>
      <c r="L122" s="27">
        <f t="shared" si="23"/>
        <v>2.7355940594059406E-4</v>
      </c>
      <c r="M122" s="29">
        <f t="shared" si="31"/>
        <v>4.7762865441819992E-3</v>
      </c>
      <c r="N122" s="33">
        <f t="shared" si="24"/>
        <v>1.152639210268914E-6</v>
      </c>
      <c r="O122" s="21">
        <f t="shared" si="32"/>
        <v>2.032E-3</v>
      </c>
      <c r="P122" s="21">
        <v>1.0571269522665299E-10</v>
      </c>
      <c r="Q122" s="2">
        <v>0.31</v>
      </c>
      <c r="R122" s="27">
        <f t="shared" si="25"/>
        <v>131000</v>
      </c>
      <c r="S122" s="2">
        <f t="shared" si="33"/>
        <v>5.2493374855265302E-3</v>
      </c>
      <c r="T122" s="11">
        <v>0.06</v>
      </c>
      <c r="U122" s="30">
        <f t="shared" si="26"/>
        <v>106000</v>
      </c>
      <c r="V122" s="30">
        <f t="shared" si="27"/>
        <v>28.99729702970297</v>
      </c>
      <c r="W122" s="11">
        <f t="shared" si="28"/>
        <v>758.49797488320382</v>
      </c>
      <c r="X122" s="9">
        <f t="shared" si="29"/>
        <v>4.645671402488481E-14</v>
      </c>
      <c r="Y122" s="9">
        <f t="shared" si="30"/>
        <v>27976233185.785633</v>
      </c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</row>
    <row r="123" spans="1:76" s="4" customFormat="1" x14ac:dyDescent="0.25">
      <c r="A123" s="26">
        <v>363</v>
      </c>
      <c r="B123" s="26">
        <f t="shared" si="17"/>
        <v>6.05</v>
      </c>
      <c r="C123" s="26">
        <v>20</v>
      </c>
      <c r="D123" s="26">
        <f t="shared" si="18"/>
        <v>29.146000000000001</v>
      </c>
      <c r="E123" s="26">
        <f t="shared" si="19"/>
        <v>4.8576666666666667E-7</v>
      </c>
      <c r="F123" s="26">
        <v>21.1</v>
      </c>
      <c r="G123" s="26">
        <f t="shared" si="20"/>
        <v>294.10000000000002</v>
      </c>
      <c r="H123" s="26">
        <v>101.3</v>
      </c>
      <c r="I123" s="26">
        <f t="shared" si="21"/>
        <v>101300</v>
      </c>
      <c r="J123" s="26">
        <f t="shared" si="22"/>
        <v>2.0124824921938581E-5</v>
      </c>
      <c r="K123" s="20">
        <v>276.52970297029708</v>
      </c>
      <c r="L123" s="27">
        <f t="shared" si="23"/>
        <v>2.7652970297029707E-4</v>
      </c>
      <c r="M123" s="29">
        <f t="shared" si="31"/>
        <v>4.7762865441819992E-3</v>
      </c>
      <c r="N123" s="33">
        <f t="shared" si="24"/>
        <v>1.1651545204656488E-6</v>
      </c>
      <c r="O123" s="21">
        <f t="shared" si="32"/>
        <v>2.032E-3</v>
      </c>
      <c r="P123" s="21">
        <v>1.0571269522665299E-10</v>
      </c>
      <c r="Q123" s="2">
        <v>0.31</v>
      </c>
      <c r="R123" s="27">
        <f t="shared" si="25"/>
        <v>131000</v>
      </c>
      <c r="S123" s="2">
        <f t="shared" si="33"/>
        <v>5.2493374855265302E-3</v>
      </c>
      <c r="T123" s="11">
        <v>0.06</v>
      </c>
      <c r="U123" s="30">
        <f t="shared" si="26"/>
        <v>106000</v>
      </c>
      <c r="V123" s="30">
        <f t="shared" si="27"/>
        <v>29.31214851485149</v>
      </c>
      <c r="W123" s="11">
        <f t="shared" si="28"/>
        <v>773.42756892080524</v>
      </c>
      <c r="X123" s="9">
        <f t="shared" si="29"/>
        <v>4.6966522934080828E-14</v>
      </c>
      <c r="Y123" s="9">
        <f t="shared" si="30"/>
        <v>28283240110.903477</v>
      </c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</row>
    <row r="124" spans="1:76" s="4" customFormat="1" x14ac:dyDescent="0.25">
      <c r="A124" s="26">
        <v>366</v>
      </c>
      <c r="B124" s="26">
        <f t="shared" si="17"/>
        <v>6.1</v>
      </c>
      <c r="C124" s="26">
        <v>20</v>
      </c>
      <c r="D124" s="26">
        <f t="shared" si="18"/>
        <v>29.146000000000001</v>
      </c>
      <c r="E124" s="26">
        <f t="shared" si="19"/>
        <v>4.8576666666666667E-7</v>
      </c>
      <c r="F124" s="26">
        <v>21.1</v>
      </c>
      <c r="G124" s="26">
        <f t="shared" si="20"/>
        <v>294.10000000000002</v>
      </c>
      <c r="H124" s="26">
        <v>101.3</v>
      </c>
      <c r="I124" s="26">
        <f t="shared" si="21"/>
        <v>101300</v>
      </c>
      <c r="J124" s="26">
        <f t="shared" si="22"/>
        <v>2.0124824921938581E-5</v>
      </c>
      <c r="K124" s="20">
        <v>272.71782178217825</v>
      </c>
      <c r="L124" s="27">
        <f t="shared" si="23"/>
        <v>2.7271782178217823E-4</v>
      </c>
      <c r="M124" s="29">
        <f t="shared" si="31"/>
        <v>4.7762865441819992E-3</v>
      </c>
      <c r="N124" s="33">
        <f t="shared" si="24"/>
        <v>1.1490932057131727E-6</v>
      </c>
      <c r="O124" s="21">
        <f t="shared" si="32"/>
        <v>2.032E-3</v>
      </c>
      <c r="P124" s="21">
        <v>1.0571269522665299E-10</v>
      </c>
      <c r="Q124" s="2">
        <v>0.31</v>
      </c>
      <c r="R124" s="27">
        <f t="shared" si="25"/>
        <v>131000</v>
      </c>
      <c r="S124" s="2">
        <f t="shared" si="33"/>
        <v>5.2493374855265302E-3</v>
      </c>
      <c r="T124" s="11">
        <v>0.06</v>
      </c>
      <c r="U124" s="30">
        <f t="shared" si="26"/>
        <v>106000</v>
      </c>
      <c r="V124" s="30">
        <f t="shared" si="27"/>
        <v>28.908089108910893</v>
      </c>
      <c r="W124" s="11">
        <f t="shared" si="28"/>
        <v>754.29279743720042</v>
      </c>
      <c r="X124" s="9">
        <f t="shared" si="29"/>
        <v>4.6312298260493581E-14</v>
      </c>
      <c r="Y124" s="9">
        <f t="shared" si="30"/>
        <v>27889266012.469234</v>
      </c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</row>
    <row r="125" spans="1:76" s="4" customFormat="1" x14ac:dyDescent="0.25">
      <c r="A125" s="26">
        <v>369</v>
      </c>
      <c r="B125" s="26">
        <f t="shared" si="17"/>
        <v>6.15</v>
      </c>
      <c r="C125" s="26">
        <v>20</v>
      </c>
      <c r="D125" s="26">
        <f t="shared" si="18"/>
        <v>29.146000000000001</v>
      </c>
      <c r="E125" s="26">
        <f t="shared" si="19"/>
        <v>4.8576666666666667E-7</v>
      </c>
      <c r="F125" s="26">
        <v>21.1</v>
      </c>
      <c r="G125" s="26">
        <f t="shared" si="20"/>
        <v>294.10000000000002</v>
      </c>
      <c r="H125" s="26">
        <v>101.3</v>
      </c>
      <c r="I125" s="26">
        <f t="shared" si="21"/>
        <v>101300</v>
      </c>
      <c r="J125" s="26">
        <f t="shared" si="22"/>
        <v>2.0124824921938581E-5</v>
      </c>
      <c r="K125" s="20">
        <v>279.84653465346537</v>
      </c>
      <c r="L125" s="27">
        <f t="shared" si="23"/>
        <v>2.7984653465346537E-4</v>
      </c>
      <c r="M125" s="29">
        <f t="shared" si="31"/>
        <v>4.7762865441819992E-3</v>
      </c>
      <c r="N125" s="33">
        <f t="shared" si="24"/>
        <v>1.1791299501853355E-6</v>
      </c>
      <c r="O125" s="21">
        <f t="shared" si="32"/>
        <v>2.032E-3</v>
      </c>
      <c r="P125" s="21">
        <v>1.0571269522665299E-10</v>
      </c>
      <c r="Q125" s="2">
        <v>0.31</v>
      </c>
      <c r="R125" s="27">
        <f t="shared" si="25"/>
        <v>131000</v>
      </c>
      <c r="S125" s="2">
        <f t="shared" si="33"/>
        <v>5.2493374855265302E-3</v>
      </c>
      <c r="T125" s="11">
        <v>0.06</v>
      </c>
      <c r="U125" s="30">
        <f t="shared" si="26"/>
        <v>106000</v>
      </c>
      <c r="V125" s="30">
        <f t="shared" si="27"/>
        <v>29.663732673267329</v>
      </c>
      <c r="W125" s="11">
        <f t="shared" si="28"/>
        <v>790.26053365533198</v>
      </c>
      <c r="X125" s="9">
        <f t="shared" si="29"/>
        <v>4.7536006701055971E-14</v>
      </c>
      <c r="Y125" s="9">
        <f t="shared" si="30"/>
        <v>28626183235.375908</v>
      </c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</row>
    <row r="126" spans="1:76" s="4" customFormat="1" x14ac:dyDescent="0.25">
      <c r="A126" s="26">
        <v>372</v>
      </c>
      <c r="B126" s="26">
        <f t="shared" si="17"/>
        <v>6.2</v>
      </c>
      <c r="C126" s="26">
        <v>20</v>
      </c>
      <c r="D126" s="26">
        <f t="shared" si="18"/>
        <v>29.146000000000001</v>
      </c>
      <c r="E126" s="26">
        <f t="shared" si="19"/>
        <v>4.8576666666666667E-7</v>
      </c>
      <c r="F126" s="26">
        <v>21.1</v>
      </c>
      <c r="G126" s="26">
        <f t="shared" si="20"/>
        <v>294.10000000000002</v>
      </c>
      <c r="H126" s="26">
        <v>101.3</v>
      </c>
      <c r="I126" s="26">
        <f t="shared" si="21"/>
        <v>101300</v>
      </c>
      <c r="J126" s="26">
        <f t="shared" si="22"/>
        <v>2.0124824921938581E-5</v>
      </c>
      <c r="K126" s="20">
        <v>279.62376237623766</v>
      </c>
      <c r="L126" s="27">
        <f t="shared" si="23"/>
        <v>2.7962376237623766E-4</v>
      </c>
      <c r="M126" s="29">
        <f t="shared" si="31"/>
        <v>4.7762865441819992E-3</v>
      </c>
      <c r="N126" s="33">
        <f t="shared" si="24"/>
        <v>1.1781913019205805E-6</v>
      </c>
      <c r="O126" s="21">
        <f t="shared" si="32"/>
        <v>2.032E-3</v>
      </c>
      <c r="P126" s="21">
        <v>1.0571269522665299E-10</v>
      </c>
      <c r="Q126" s="2">
        <v>0.31</v>
      </c>
      <c r="R126" s="27">
        <f t="shared" si="25"/>
        <v>131000</v>
      </c>
      <c r="S126" s="2">
        <f t="shared" si="33"/>
        <v>5.2493374855265302E-3</v>
      </c>
      <c r="T126" s="11">
        <v>0.06</v>
      </c>
      <c r="U126" s="30">
        <f t="shared" si="26"/>
        <v>106000</v>
      </c>
      <c r="V126" s="30">
        <f t="shared" si="27"/>
        <v>29.640118811881191</v>
      </c>
      <c r="W126" s="11">
        <f t="shared" si="28"/>
        <v>789.12462348100019</v>
      </c>
      <c r="X126" s="9">
        <f t="shared" si="29"/>
        <v>4.7497751231678635E-14</v>
      </c>
      <c r="Y126" s="9">
        <f t="shared" si="30"/>
        <v>28603145791.716877</v>
      </c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</row>
    <row r="127" spans="1:76" s="4" customFormat="1" x14ac:dyDescent="0.25">
      <c r="A127" s="26">
        <v>375</v>
      </c>
      <c r="B127" s="26">
        <f t="shared" ref="B127:B142" si="34">(A127/60)</f>
        <v>6.25</v>
      </c>
      <c r="C127" s="26">
        <v>20</v>
      </c>
      <c r="D127" s="26">
        <f t="shared" ref="D127:D142" si="35">(C127*1.4573)</f>
        <v>29.146000000000001</v>
      </c>
      <c r="E127" s="26">
        <f t="shared" ref="E127:E142" si="36">(D127/(1000000*60))</f>
        <v>4.8576666666666667E-7</v>
      </c>
      <c r="F127" s="26">
        <v>21.1</v>
      </c>
      <c r="G127" s="26">
        <f t="shared" ref="G127:G142" si="37">(273+F127)</f>
        <v>294.10000000000002</v>
      </c>
      <c r="H127" s="26">
        <v>101.3</v>
      </c>
      <c r="I127" s="26">
        <f t="shared" ref="I127:I142" si="38">(H127*1000)</f>
        <v>101300</v>
      </c>
      <c r="J127" s="26">
        <f t="shared" ref="J127:J142" si="39">((I127*E127)/(8.314*G127))</f>
        <v>2.0124824921938581E-5</v>
      </c>
      <c r="K127" s="20">
        <v>277.00000000000006</v>
      </c>
      <c r="L127" s="27">
        <f t="shared" ref="L127:L142" si="40">(K127/1000000)</f>
        <v>2.7700000000000007E-4</v>
      </c>
      <c r="M127" s="29">
        <f t="shared" si="31"/>
        <v>4.7762865441819992E-3</v>
      </c>
      <c r="N127" s="33">
        <f t="shared" ref="N127:N142" si="41">(L127*J127)/M127</f>
        <v>1.1671361112467983E-6</v>
      </c>
      <c r="O127" s="21">
        <f t="shared" si="32"/>
        <v>2.032E-3</v>
      </c>
      <c r="P127" s="21">
        <v>1.0571269522665299E-10</v>
      </c>
      <c r="Q127" s="2">
        <v>0.31</v>
      </c>
      <c r="R127" s="27">
        <f t="shared" ref="R127:R142" si="42">(1+Q127)*100000*1</f>
        <v>131000</v>
      </c>
      <c r="S127" s="2">
        <f t="shared" si="33"/>
        <v>5.2493374855265302E-3</v>
      </c>
      <c r="T127" s="11">
        <v>0.06</v>
      </c>
      <c r="U127" s="30">
        <f t="shared" ref="U127:U142" si="43">(1+T127)*100000</f>
        <v>106000</v>
      </c>
      <c r="V127" s="30">
        <f t="shared" ref="V127:V142" si="44">(L127*U127)</f>
        <v>29.362000000000005</v>
      </c>
      <c r="W127" s="11">
        <f t="shared" ref="W127:W142" si="45">((N127*O127/P127) + SQRT(V127))^2</f>
        <v>775.80396266363232</v>
      </c>
      <c r="X127" s="9">
        <f t="shared" ref="X127:X142" si="46">(N127*S127)/(R127-W127)</f>
        <v>4.7047257928341573E-14</v>
      </c>
      <c r="Y127" s="9">
        <f t="shared" ref="Y127:Y142" si="47">(X127*6.022E+23)</f>
        <v>28331858724.447296</v>
      </c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</row>
    <row r="128" spans="1:76" s="4" customFormat="1" x14ac:dyDescent="0.25">
      <c r="A128" s="26">
        <v>378</v>
      </c>
      <c r="B128" s="26">
        <f t="shared" si="34"/>
        <v>6.3</v>
      </c>
      <c r="C128" s="26">
        <v>20</v>
      </c>
      <c r="D128" s="26">
        <f t="shared" si="35"/>
        <v>29.146000000000001</v>
      </c>
      <c r="E128" s="26">
        <f t="shared" si="36"/>
        <v>4.8576666666666667E-7</v>
      </c>
      <c r="F128" s="26">
        <v>21.1</v>
      </c>
      <c r="G128" s="26">
        <f t="shared" si="37"/>
        <v>294.10000000000002</v>
      </c>
      <c r="H128" s="26">
        <v>101.3</v>
      </c>
      <c r="I128" s="26">
        <f t="shared" si="38"/>
        <v>101300</v>
      </c>
      <c r="J128" s="26">
        <f t="shared" si="39"/>
        <v>2.0124824921938581E-5</v>
      </c>
      <c r="K128" s="20">
        <v>267.17326732673268</v>
      </c>
      <c r="L128" s="27">
        <f t="shared" si="40"/>
        <v>2.6717326732673269E-4</v>
      </c>
      <c r="M128" s="29">
        <f t="shared" si="31"/>
        <v>4.7762865441819992E-3</v>
      </c>
      <c r="N128" s="33">
        <f t="shared" si="41"/>
        <v>1.1257312933459352E-6</v>
      </c>
      <c r="O128" s="21">
        <f t="shared" si="32"/>
        <v>2.032E-3</v>
      </c>
      <c r="P128" s="21">
        <v>1.0571269522665299E-10</v>
      </c>
      <c r="Q128" s="2">
        <v>0.31</v>
      </c>
      <c r="R128" s="27">
        <f t="shared" si="42"/>
        <v>131000</v>
      </c>
      <c r="S128" s="2">
        <f t="shared" si="33"/>
        <v>5.2493374855265302E-3</v>
      </c>
      <c r="T128" s="11">
        <v>0.06</v>
      </c>
      <c r="U128" s="30">
        <f t="shared" si="43"/>
        <v>106000</v>
      </c>
      <c r="V128" s="30">
        <f t="shared" si="44"/>
        <v>28.320366336633665</v>
      </c>
      <c r="W128" s="11">
        <f t="shared" si="45"/>
        <v>726.86288904191679</v>
      </c>
      <c r="X128" s="9">
        <f t="shared" si="46"/>
        <v>4.5361181958471532E-14</v>
      </c>
      <c r="Y128" s="9">
        <f t="shared" si="47"/>
        <v>27316503775.39156</v>
      </c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</row>
    <row r="129" spans="1:76" s="4" customFormat="1" x14ac:dyDescent="0.25">
      <c r="A129" s="26">
        <v>381</v>
      </c>
      <c r="B129" s="26">
        <f t="shared" si="34"/>
        <v>6.35</v>
      </c>
      <c r="C129" s="26">
        <v>20</v>
      </c>
      <c r="D129" s="26">
        <f t="shared" si="35"/>
        <v>29.146000000000001</v>
      </c>
      <c r="E129" s="26">
        <f t="shared" si="36"/>
        <v>4.8576666666666667E-7</v>
      </c>
      <c r="F129" s="26">
        <v>21.1</v>
      </c>
      <c r="G129" s="26">
        <f t="shared" si="37"/>
        <v>294.10000000000002</v>
      </c>
      <c r="H129" s="26">
        <v>101.3</v>
      </c>
      <c r="I129" s="26">
        <f t="shared" si="38"/>
        <v>101300</v>
      </c>
      <c r="J129" s="26">
        <f t="shared" si="39"/>
        <v>2.0124824921938581E-5</v>
      </c>
      <c r="K129" s="20">
        <v>274.20297029702971</v>
      </c>
      <c r="L129" s="27">
        <f t="shared" si="40"/>
        <v>2.7420297029702971E-4</v>
      </c>
      <c r="M129" s="29">
        <f t="shared" si="31"/>
        <v>4.7762865441819992E-3</v>
      </c>
      <c r="N129" s="33">
        <f t="shared" si="41"/>
        <v>1.15535086081154E-6</v>
      </c>
      <c r="O129" s="21">
        <f t="shared" si="32"/>
        <v>2.032E-3</v>
      </c>
      <c r="P129" s="21">
        <v>1.0571269522665299E-10</v>
      </c>
      <c r="Q129" s="2">
        <v>0.31</v>
      </c>
      <c r="R129" s="27">
        <f t="shared" si="42"/>
        <v>131000</v>
      </c>
      <c r="S129" s="2">
        <f t="shared" si="33"/>
        <v>5.2493374855265302E-3</v>
      </c>
      <c r="T129" s="11">
        <v>0.06</v>
      </c>
      <c r="U129" s="30">
        <f t="shared" si="43"/>
        <v>106000</v>
      </c>
      <c r="V129" s="30">
        <f t="shared" si="44"/>
        <v>29.065514851485148</v>
      </c>
      <c r="W129" s="11">
        <f t="shared" si="45"/>
        <v>761.72111137924207</v>
      </c>
      <c r="X129" s="9">
        <f t="shared" si="46"/>
        <v>4.6567158552363673E-14</v>
      </c>
      <c r="Y129" s="9">
        <f t="shared" si="47"/>
        <v>28042742880.233406</v>
      </c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</row>
    <row r="130" spans="1:76" s="4" customFormat="1" x14ac:dyDescent="0.25">
      <c r="A130" s="26">
        <v>384</v>
      </c>
      <c r="B130" s="26">
        <f t="shared" si="34"/>
        <v>6.4</v>
      </c>
      <c r="C130" s="26">
        <v>20</v>
      </c>
      <c r="D130" s="26">
        <f t="shared" si="35"/>
        <v>29.146000000000001</v>
      </c>
      <c r="E130" s="26">
        <f t="shared" si="36"/>
        <v>4.8576666666666667E-7</v>
      </c>
      <c r="F130" s="26">
        <v>21.1</v>
      </c>
      <c r="G130" s="26">
        <f t="shared" si="37"/>
        <v>294.10000000000002</v>
      </c>
      <c r="H130" s="26">
        <v>101.3</v>
      </c>
      <c r="I130" s="26">
        <f t="shared" si="38"/>
        <v>101300</v>
      </c>
      <c r="J130" s="26">
        <f t="shared" si="39"/>
        <v>2.0124824921938581E-5</v>
      </c>
      <c r="K130" s="20">
        <v>281.03465346534654</v>
      </c>
      <c r="L130" s="27">
        <f t="shared" si="40"/>
        <v>2.8103465346534655E-4</v>
      </c>
      <c r="M130" s="29">
        <f t="shared" si="31"/>
        <v>4.7762865441819992E-3</v>
      </c>
      <c r="N130" s="33">
        <f t="shared" si="41"/>
        <v>1.1841360742640291E-6</v>
      </c>
      <c r="O130" s="21">
        <f t="shared" si="32"/>
        <v>2.032E-3</v>
      </c>
      <c r="P130" s="21">
        <v>1.0571269522665299E-10</v>
      </c>
      <c r="Q130" s="2">
        <v>0.31</v>
      </c>
      <c r="R130" s="27">
        <f t="shared" si="42"/>
        <v>131000</v>
      </c>
      <c r="S130" s="2">
        <f t="shared" si="33"/>
        <v>5.2493374855265302E-3</v>
      </c>
      <c r="T130" s="11">
        <v>0.06</v>
      </c>
      <c r="U130" s="30">
        <f t="shared" si="43"/>
        <v>106000</v>
      </c>
      <c r="V130" s="30">
        <f t="shared" si="44"/>
        <v>29.789673267326734</v>
      </c>
      <c r="W130" s="11">
        <f t="shared" si="45"/>
        <v>796.33169772974054</v>
      </c>
      <c r="X130" s="9">
        <f t="shared" si="46"/>
        <v>4.7740051902132254E-14</v>
      </c>
      <c r="Y130" s="9">
        <f t="shared" si="47"/>
        <v>28749059255.464043</v>
      </c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</row>
    <row r="131" spans="1:76" s="4" customFormat="1" x14ac:dyDescent="0.25">
      <c r="A131" s="26">
        <v>387</v>
      </c>
      <c r="B131" s="26">
        <f t="shared" si="34"/>
        <v>6.45</v>
      </c>
      <c r="C131" s="26">
        <v>20</v>
      </c>
      <c r="D131" s="26">
        <f t="shared" si="35"/>
        <v>29.146000000000001</v>
      </c>
      <c r="E131" s="26">
        <f t="shared" si="36"/>
        <v>4.8576666666666667E-7</v>
      </c>
      <c r="F131" s="26">
        <v>21.1</v>
      </c>
      <c r="G131" s="26">
        <f t="shared" si="37"/>
        <v>294.10000000000002</v>
      </c>
      <c r="H131" s="26">
        <v>101.3</v>
      </c>
      <c r="I131" s="26">
        <f t="shared" si="38"/>
        <v>101300</v>
      </c>
      <c r="J131" s="26">
        <f t="shared" si="39"/>
        <v>2.0124824921938581E-5</v>
      </c>
      <c r="K131" s="20">
        <v>269.9207920792079</v>
      </c>
      <c r="L131" s="27">
        <f t="shared" si="40"/>
        <v>2.6992079207920788E-4</v>
      </c>
      <c r="M131" s="29">
        <f t="shared" ref="M131:M142" si="48">(3.142*3.07*3.07*25.4*25.4)/(4*1000000)</f>
        <v>4.7762865441819992E-3</v>
      </c>
      <c r="N131" s="33">
        <f t="shared" si="41"/>
        <v>1.1373079552779141E-6</v>
      </c>
      <c r="O131" s="21">
        <f t="shared" ref="O131:O142" si="49">(2.032/1000)</f>
        <v>2.032E-3</v>
      </c>
      <c r="P131" s="21">
        <v>1.0571269522665299E-10</v>
      </c>
      <c r="Q131" s="2">
        <v>0.31</v>
      </c>
      <c r="R131" s="27">
        <f t="shared" si="42"/>
        <v>131000</v>
      </c>
      <c r="S131" s="2">
        <f t="shared" ref="S131:S142" si="50">(5.24933748552653/1000)</f>
        <v>5.2493374855265302E-3</v>
      </c>
      <c r="T131" s="11">
        <v>0.06</v>
      </c>
      <c r="U131" s="30">
        <f t="shared" si="43"/>
        <v>106000</v>
      </c>
      <c r="V131" s="30">
        <f t="shared" si="44"/>
        <v>28.611603960396035</v>
      </c>
      <c r="W131" s="11">
        <f t="shared" si="45"/>
        <v>740.3957280110975</v>
      </c>
      <c r="X131" s="9">
        <f t="shared" si="46"/>
        <v>4.5832422995558736E-14</v>
      </c>
      <c r="Y131" s="9">
        <f t="shared" si="47"/>
        <v>27600285127.925472</v>
      </c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</row>
    <row r="132" spans="1:76" s="4" customFormat="1" x14ac:dyDescent="0.25">
      <c r="A132" s="26">
        <v>390</v>
      </c>
      <c r="B132" s="26">
        <f t="shared" si="34"/>
        <v>6.5</v>
      </c>
      <c r="C132" s="26">
        <v>20</v>
      </c>
      <c r="D132" s="26">
        <f t="shared" si="35"/>
        <v>29.146000000000001</v>
      </c>
      <c r="E132" s="26">
        <f t="shared" si="36"/>
        <v>4.8576666666666667E-7</v>
      </c>
      <c r="F132" s="26">
        <v>21.1</v>
      </c>
      <c r="G132" s="26">
        <f t="shared" si="37"/>
        <v>294.10000000000002</v>
      </c>
      <c r="H132" s="26">
        <v>101.3</v>
      </c>
      <c r="I132" s="26">
        <f t="shared" si="38"/>
        <v>101300</v>
      </c>
      <c r="J132" s="26">
        <f t="shared" si="39"/>
        <v>2.0124824921938581E-5</v>
      </c>
      <c r="K132" s="20">
        <v>280.21782178217825</v>
      </c>
      <c r="L132" s="27">
        <f t="shared" si="40"/>
        <v>2.8021782178217825E-4</v>
      </c>
      <c r="M132" s="29">
        <f t="shared" si="48"/>
        <v>4.7762865441819992E-3</v>
      </c>
      <c r="N132" s="33">
        <f t="shared" si="41"/>
        <v>1.1806943639599272E-6</v>
      </c>
      <c r="O132" s="21">
        <f t="shared" si="49"/>
        <v>2.032E-3</v>
      </c>
      <c r="P132" s="21">
        <v>1.0571269522665299E-10</v>
      </c>
      <c r="Q132" s="2">
        <v>0.31</v>
      </c>
      <c r="R132" s="27">
        <f t="shared" si="42"/>
        <v>131000</v>
      </c>
      <c r="S132" s="2">
        <f t="shared" si="50"/>
        <v>5.2493374855265302E-3</v>
      </c>
      <c r="T132" s="11">
        <v>0.06</v>
      </c>
      <c r="U132" s="30">
        <f t="shared" si="43"/>
        <v>106000</v>
      </c>
      <c r="V132" s="30">
        <f t="shared" si="44"/>
        <v>29.703089108910895</v>
      </c>
      <c r="W132" s="11">
        <f t="shared" si="45"/>
        <v>792.15542483715501</v>
      </c>
      <c r="X132" s="9">
        <f t="shared" si="46"/>
        <v>4.7599767924174612E-14</v>
      </c>
      <c r="Y132" s="9">
        <f t="shared" si="47"/>
        <v>28664580243.937954</v>
      </c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</row>
    <row r="133" spans="1:76" s="4" customFormat="1" x14ac:dyDescent="0.25">
      <c r="A133" s="26">
        <v>393</v>
      </c>
      <c r="B133" s="26">
        <f t="shared" si="34"/>
        <v>6.55</v>
      </c>
      <c r="C133" s="26">
        <v>20</v>
      </c>
      <c r="D133" s="26">
        <f t="shared" si="35"/>
        <v>29.146000000000001</v>
      </c>
      <c r="E133" s="26">
        <f t="shared" si="36"/>
        <v>4.8576666666666667E-7</v>
      </c>
      <c r="F133" s="26">
        <v>21.1</v>
      </c>
      <c r="G133" s="26">
        <f t="shared" si="37"/>
        <v>294.10000000000002</v>
      </c>
      <c r="H133" s="26">
        <v>101.3</v>
      </c>
      <c r="I133" s="26">
        <f t="shared" si="38"/>
        <v>101300</v>
      </c>
      <c r="J133" s="26">
        <f t="shared" si="39"/>
        <v>2.0124824921938581E-5</v>
      </c>
      <c r="K133" s="20">
        <v>270.66336633663371</v>
      </c>
      <c r="L133" s="27">
        <f t="shared" si="40"/>
        <v>2.706633663366337E-4</v>
      </c>
      <c r="M133" s="29">
        <f t="shared" si="48"/>
        <v>4.7762865441819992E-3</v>
      </c>
      <c r="N133" s="33">
        <f t="shared" si="41"/>
        <v>1.1404367828270982E-6</v>
      </c>
      <c r="O133" s="21">
        <f t="shared" si="49"/>
        <v>2.032E-3</v>
      </c>
      <c r="P133" s="21">
        <v>1.0571269522665299E-10</v>
      </c>
      <c r="Q133" s="2">
        <v>0.31</v>
      </c>
      <c r="R133" s="27">
        <f t="shared" si="42"/>
        <v>131000</v>
      </c>
      <c r="S133" s="2">
        <f t="shared" si="50"/>
        <v>5.2493374855265302E-3</v>
      </c>
      <c r="T133" s="11">
        <v>0.06</v>
      </c>
      <c r="U133" s="30">
        <f t="shared" si="43"/>
        <v>106000</v>
      </c>
      <c r="V133" s="30">
        <f t="shared" si="44"/>
        <v>28.690316831683173</v>
      </c>
      <c r="W133" s="11">
        <f t="shared" si="45"/>
        <v>744.07337583669221</v>
      </c>
      <c r="X133" s="9">
        <f t="shared" si="46"/>
        <v>4.5959809347032234E-14</v>
      </c>
      <c r="Y133" s="9">
        <f t="shared" si="47"/>
        <v>27676997188.782814</v>
      </c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</row>
    <row r="134" spans="1:76" s="4" customFormat="1" x14ac:dyDescent="0.25">
      <c r="A134" s="26">
        <v>396</v>
      </c>
      <c r="B134" s="26">
        <f t="shared" si="34"/>
        <v>6.6</v>
      </c>
      <c r="C134" s="26">
        <v>20</v>
      </c>
      <c r="D134" s="26">
        <f t="shared" si="35"/>
        <v>29.146000000000001</v>
      </c>
      <c r="E134" s="26">
        <f t="shared" si="36"/>
        <v>4.8576666666666667E-7</v>
      </c>
      <c r="F134" s="26">
        <v>21.1</v>
      </c>
      <c r="G134" s="26">
        <f t="shared" si="37"/>
        <v>294.10000000000002</v>
      </c>
      <c r="H134" s="26">
        <v>101.3</v>
      </c>
      <c r="I134" s="26">
        <f t="shared" si="38"/>
        <v>101300</v>
      </c>
      <c r="J134" s="26">
        <f t="shared" si="39"/>
        <v>2.0124824921938581E-5</v>
      </c>
      <c r="K134" s="20">
        <v>271.52970297029708</v>
      </c>
      <c r="L134" s="27">
        <f t="shared" si="40"/>
        <v>2.7152970297029711E-4</v>
      </c>
      <c r="M134" s="29">
        <f t="shared" si="48"/>
        <v>4.7762865441819992E-3</v>
      </c>
      <c r="N134" s="33">
        <f t="shared" si="41"/>
        <v>1.1440870816344792E-6</v>
      </c>
      <c r="O134" s="21">
        <f t="shared" si="49"/>
        <v>2.032E-3</v>
      </c>
      <c r="P134" s="21">
        <v>1.0571269522665299E-10</v>
      </c>
      <c r="Q134" s="2">
        <v>0.31</v>
      </c>
      <c r="R134" s="27">
        <f t="shared" si="42"/>
        <v>131000</v>
      </c>
      <c r="S134" s="2">
        <f t="shared" si="50"/>
        <v>5.2493374855265302E-3</v>
      </c>
      <c r="T134" s="11">
        <v>0.06</v>
      </c>
      <c r="U134" s="30">
        <f t="shared" si="43"/>
        <v>106000</v>
      </c>
      <c r="V134" s="30">
        <f t="shared" si="44"/>
        <v>28.782148514851492</v>
      </c>
      <c r="W134" s="11">
        <f t="shared" si="45"/>
        <v>748.37478352377775</v>
      </c>
      <c r="X134" s="9">
        <f t="shared" si="46"/>
        <v>4.610843967857708E-14</v>
      </c>
      <c r="Y134" s="9">
        <f t="shared" si="47"/>
        <v>27766502374.439117</v>
      </c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</row>
    <row r="135" spans="1:76" s="4" customFormat="1" x14ac:dyDescent="0.25">
      <c r="A135" s="26">
        <v>399</v>
      </c>
      <c r="B135" s="26">
        <f t="shared" si="34"/>
        <v>6.65</v>
      </c>
      <c r="C135" s="26">
        <v>20</v>
      </c>
      <c r="D135" s="26">
        <f t="shared" si="35"/>
        <v>29.146000000000001</v>
      </c>
      <c r="E135" s="26">
        <f t="shared" si="36"/>
        <v>4.8576666666666667E-7</v>
      </c>
      <c r="F135" s="26">
        <v>21.1</v>
      </c>
      <c r="G135" s="26">
        <f t="shared" si="37"/>
        <v>294.10000000000002</v>
      </c>
      <c r="H135" s="26">
        <v>101.3</v>
      </c>
      <c r="I135" s="26">
        <f t="shared" si="38"/>
        <v>101300</v>
      </c>
      <c r="J135" s="26">
        <f t="shared" si="39"/>
        <v>2.0124824921938581E-5</v>
      </c>
      <c r="K135" s="20">
        <v>267.49504950495054</v>
      </c>
      <c r="L135" s="27">
        <f t="shared" si="40"/>
        <v>2.6749504950495057E-4</v>
      </c>
      <c r="M135" s="29">
        <f t="shared" si="48"/>
        <v>4.7762865441819992E-3</v>
      </c>
      <c r="N135" s="33">
        <f t="shared" si="41"/>
        <v>1.1270871186172482E-6</v>
      </c>
      <c r="O135" s="21">
        <f t="shared" si="49"/>
        <v>2.032E-3</v>
      </c>
      <c r="P135" s="21">
        <v>1.0571269522665299E-10</v>
      </c>
      <c r="Q135" s="2">
        <v>0.31</v>
      </c>
      <c r="R135" s="27">
        <f t="shared" si="42"/>
        <v>131000</v>
      </c>
      <c r="S135" s="2">
        <f t="shared" si="50"/>
        <v>5.2493374855265302E-3</v>
      </c>
      <c r="T135" s="11">
        <v>0.06</v>
      </c>
      <c r="U135" s="30">
        <f t="shared" si="43"/>
        <v>106000</v>
      </c>
      <c r="V135" s="30">
        <f t="shared" si="44"/>
        <v>28.354475247524761</v>
      </c>
      <c r="W135" s="11">
        <f t="shared" si="45"/>
        <v>728.44175335791329</v>
      </c>
      <c r="X135" s="9">
        <f t="shared" si="46"/>
        <v>4.5416365174737684E-14</v>
      </c>
      <c r="Y135" s="9">
        <f t="shared" si="47"/>
        <v>27349735108.227036</v>
      </c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</row>
    <row r="136" spans="1:76" s="4" customFormat="1" x14ac:dyDescent="0.25">
      <c r="A136" s="26">
        <v>402</v>
      </c>
      <c r="B136" s="26">
        <f t="shared" si="34"/>
        <v>6.7</v>
      </c>
      <c r="C136" s="26">
        <v>20</v>
      </c>
      <c r="D136" s="26">
        <f t="shared" si="35"/>
        <v>29.146000000000001</v>
      </c>
      <c r="E136" s="26">
        <f t="shared" si="36"/>
        <v>4.8576666666666667E-7</v>
      </c>
      <c r="F136" s="26">
        <v>21.1</v>
      </c>
      <c r="G136" s="26">
        <f t="shared" si="37"/>
        <v>294.10000000000002</v>
      </c>
      <c r="H136" s="26">
        <v>101.3</v>
      </c>
      <c r="I136" s="26">
        <f t="shared" si="38"/>
        <v>101300</v>
      </c>
      <c r="J136" s="26">
        <f t="shared" si="39"/>
        <v>2.0124824921938581E-5</v>
      </c>
      <c r="K136" s="20">
        <v>277.32178217821786</v>
      </c>
      <c r="L136" s="27">
        <f t="shared" si="40"/>
        <v>2.7732178217821784E-4</v>
      </c>
      <c r="M136" s="29">
        <f t="shared" si="48"/>
        <v>4.7762865441819992E-3</v>
      </c>
      <c r="N136" s="33">
        <f t="shared" si="41"/>
        <v>1.1684919365181111E-6</v>
      </c>
      <c r="O136" s="21">
        <f t="shared" si="49"/>
        <v>2.032E-3</v>
      </c>
      <c r="P136" s="21">
        <v>1.0571269522665299E-10</v>
      </c>
      <c r="Q136" s="2">
        <v>0.31</v>
      </c>
      <c r="R136" s="27">
        <f t="shared" si="42"/>
        <v>131000</v>
      </c>
      <c r="S136" s="2">
        <f t="shared" si="50"/>
        <v>5.2493374855265302E-3</v>
      </c>
      <c r="T136" s="11">
        <v>0.06</v>
      </c>
      <c r="U136" s="30">
        <f t="shared" si="43"/>
        <v>106000</v>
      </c>
      <c r="V136" s="30">
        <f t="shared" si="44"/>
        <v>29.39610891089109</v>
      </c>
      <c r="W136" s="11">
        <f t="shared" si="45"/>
        <v>777.4318910531905</v>
      </c>
      <c r="X136" s="9">
        <f t="shared" si="46"/>
        <v>4.7102500073323233E-14</v>
      </c>
      <c r="Y136" s="9">
        <f t="shared" si="47"/>
        <v>28365125544.155251</v>
      </c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</row>
    <row r="137" spans="1:76" s="4" customFormat="1" x14ac:dyDescent="0.25">
      <c r="A137" s="26">
        <v>405</v>
      </c>
      <c r="B137" s="26">
        <f t="shared" si="34"/>
        <v>6.75</v>
      </c>
      <c r="C137" s="26">
        <v>20</v>
      </c>
      <c r="D137" s="26">
        <f t="shared" si="35"/>
        <v>29.146000000000001</v>
      </c>
      <c r="E137" s="26">
        <f t="shared" si="36"/>
        <v>4.8576666666666667E-7</v>
      </c>
      <c r="F137" s="26">
        <v>21.1</v>
      </c>
      <c r="G137" s="26">
        <f t="shared" si="37"/>
        <v>294.10000000000002</v>
      </c>
      <c r="H137" s="26">
        <v>101.3</v>
      </c>
      <c r="I137" s="26">
        <f t="shared" si="38"/>
        <v>101300</v>
      </c>
      <c r="J137" s="26">
        <f t="shared" si="39"/>
        <v>2.0124824921938581E-5</v>
      </c>
      <c r="K137" s="20">
        <v>264.77227722772278</v>
      </c>
      <c r="L137" s="27">
        <f t="shared" si="40"/>
        <v>2.647722772277228E-4</v>
      </c>
      <c r="M137" s="29">
        <f t="shared" si="48"/>
        <v>4.7762865441819992E-3</v>
      </c>
      <c r="N137" s="33">
        <f t="shared" si="41"/>
        <v>1.1156147509369081E-6</v>
      </c>
      <c r="O137" s="21">
        <f t="shared" si="49"/>
        <v>2.032E-3</v>
      </c>
      <c r="P137" s="21">
        <v>1.0571269522665299E-10</v>
      </c>
      <c r="Q137" s="2">
        <v>0.31</v>
      </c>
      <c r="R137" s="27">
        <f t="shared" si="42"/>
        <v>131000</v>
      </c>
      <c r="S137" s="2">
        <f t="shared" si="50"/>
        <v>5.2493374855265302E-3</v>
      </c>
      <c r="T137" s="11">
        <v>0.06</v>
      </c>
      <c r="U137" s="30">
        <f t="shared" si="43"/>
        <v>106000</v>
      </c>
      <c r="V137" s="30">
        <f t="shared" si="44"/>
        <v>28.065861386138618</v>
      </c>
      <c r="W137" s="11">
        <f t="shared" si="45"/>
        <v>715.13293449531557</v>
      </c>
      <c r="X137" s="9">
        <f t="shared" si="46"/>
        <v>4.4949490016788011E-14</v>
      </c>
      <c r="Y137" s="9">
        <f t="shared" si="47"/>
        <v>27068582888.109741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</row>
    <row r="138" spans="1:76" s="4" customFormat="1" x14ac:dyDescent="0.25">
      <c r="A138" s="26">
        <v>408</v>
      </c>
      <c r="B138" s="26">
        <f t="shared" si="34"/>
        <v>6.8</v>
      </c>
      <c r="C138" s="26">
        <v>20</v>
      </c>
      <c r="D138" s="26">
        <f t="shared" si="35"/>
        <v>29.146000000000001</v>
      </c>
      <c r="E138" s="26">
        <f t="shared" si="36"/>
        <v>4.8576666666666667E-7</v>
      </c>
      <c r="F138" s="26">
        <v>21.1</v>
      </c>
      <c r="G138" s="26">
        <f t="shared" si="37"/>
        <v>294.10000000000002</v>
      </c>
      <c r="H138" s="26">
        <v>101.3</v>
      </c>
      <c r="I138" s="26">
        <f t="shared" si="38"/>
        <v>101300</v>
      </c>
      <c r="J138" s="26">
        <f t="shared" si="39"/>
        <v>2.0124824921938581E-5</v>
      </c>
      <c r="K138" s="20">
        <v>272.99009900990103</v>
      </c>
      <c r="L138" s="27">
        <f t="shared" si="40"/>
        <v>2.7299009900990105E-4</v>
      </c>
      <c r="M138" s="29">
        <f t="shared" si="48"/>
        <v>4.7762865441819992E-3</v>
      </c>
      <c r="N138" s="33">
        <f t="shared" si="41"/>
        <v>1.150240442481207E-6</v>
      </c>
      <c r="O138" s="21">
        <f t="shared" si="49"/>
        <v>2.032E-3</v>
      </c>
      <c r="P138" s="21">
        <v>1.0571269522665299E-10</v>
      </c>
      <c r="Q138" s="2">
        <v>0.31</v>
      </c>
      <c r="R138" s="27">
        <f t="shared" si="42"/>
        <v>131000</v>
      </c>
      <c r="S138" s="2">
        <f t="shared" si="50"/>
        <v>5.2493374855265302E-3</v>
      </c>
      <c r="T138" s="11">
        <v>0.06</v>
      </c>
      <c r="U138" s="30">
        <f t="shared" si="43"/>
        <v>106000</v>
      </c>
      <c r="V138" s="30">
        <f t="shared" si="44"/>
        <v>28.936950495049512</v>
      </c>
      <c r="W138" s="11">
        <f t="shared" si="45"/>
        <v>755.65209371929461</v>
      </c>
      <c r="X138" s="9">
        <f t="shared" si="46"/>
        <v>4.6359019559374336E-14</v>
      </c>
      <c r="Y138" s="9">
        <f t="shared" si="47"/>
        <v>27917401578.655228</v>
      </c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1:76" s="4" customFormat="1" x14ac:dyDescent="0.25">
      <c r="A139" s="26">
        <v>411</v>
      </c>
      <c r="B139" s="26">
        <f t="shared" si="34"/>
        <v>6.85</v>
      </c>
      <c r="C139" s="26">
        <v>20</v>
      </c>
      <c r="D139" s="26">
        <f t="shared" si="35"/>
        <v>29.146000000000001</v>
      </c>
      <c r="E139" s="26">
        <f t="shared" si="36"/>
        <v>4.8576666666666667E-7</v>
      </c>
      <c r="F139" s="26">
        <v>21.1</v>
      </c>
      <c r="G139" s="26">
        <f t="shared" si="37"/>
        <v>294.10000000000002</v>
      </c>
      <c r="H139" s="26">
        <v>101.3</v>
      </c>
      <c r="I139" s="26">
        <f t="shared" si="38"/>
        <v>101300</v>
      </c>
      <c r="J139" s="26">
        <f t="shared" si="39"/>
        <v>2.0124824921938581E-5</v>
      </c>
      <c r="K139" s="20">
        <v>279.57425742574259</v>
      </c>
      <c r="L139" s="27">
        <f t="shared" si="40"/>
        <v>2.795742574257426E-4</v>
      </c>
      <c r="M139" s="29">
        <f t="shared" si="48"/>
        <v>4.7762865441819992E-3</v>
      </c>
      <c r="N139" s="33">
        <f t="shared" si="41"/>
        <v>1.1779827134173016E-6</v>
      </c>
      <c r="O139" s="21">
        <f t="shared" si="49"/>
        <v>2.032E-3</v>
      </c>
      <c r="P139" s="21">
        <v>1.0571269522665299E-10</v>
      </c>
      <c r="Q139" s="2">
        <v>0.31</v>
      </c>
      <c r="R139" s="27">
        <f t="shared" si="42"/>
        <v>131000</v>
      </c>
      <c r="S139" s="2">
        <f t="shared" si="50"/>
        <v>5.2493374855265302E-3</v>
      </c>
      <c r="T139" s="11">
        <v>0.06</v>
      </c>
      <c r="U139" s="30">
        <f t="shared" si="43"/>
        <v>106000</v>
      </c>
      <c r="V139" s="30">
        <f t="shared" si="44"/>
        <v>29.634871287128718</v>
      </c>
      <c r="W139" s="11">
        <f t="shared" si="45"/>
        <v>788.87230335468644</v>
      </c>
      <c r="X139" s="9">
        <f t="shared" si="46"/>
        <v>4.7489250144962908E-14</v>
      </c>
      <c r="Y139" s="9">
        <f t="shared" si="47"/>
        <v>28598026437.296665</v>
      </c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1:76" s="4" customFormat="1" x14ac:dyDescent="0.25">
      <c r="A140" s="26">
        <v>414</v>
      </c>
      <c r="B140" s="26">
        <f t="shared" si="34"/>
        <v>6.9</v>
      </c>
      <c r="C140" s="26">
        <v>20</v>
      </c>
      <c r="D140" s="26">
        <f t="shared" si="35"/>
        <v>29.146000000000001</v>
      </c>
      <c r="E140" s="26">
        <f t="shared" si="36"/>
        <v>4.8576666666666667E-7</v>
      </c>
      <c r="F140" s="26">
        <v>21.1</v>
      </c>
      <c r="G140" s="26">
        <f t="shared" si="37"/>
        <v>294.10000000000002</v>
      </c>
      <c r="H140" s="26">
        <v>101.3</v>
      </c>
      <c r="I140" s="26">
        <f t="shared" si="38"/>
        <v>101300</v>
      </c>
      <c r="J140" s="26">
        <f t="shared" si="39"/>
        <v>2.0124824921938581E-5</v>
      </c>
      <c r="K140" s="20">
        <v>275.83663366336634</v>
      </c>
      <c r="L140" s="27">
        <f t="shared" si="40"/>
        <v>2.7583663366336636E-4</v>
      </c>
      <c r="M140" s="29">
        <f t="shared" si="48"/>
        <v>4.7762865441819992E-3</v>
      </c>
      <c r="N140" s="33">
        <f t="shared" si="41"/>
        <v>1.162234281419744E-6</v>
      </c>
      <c r="O140" s="21">
        <f t="shared" si="49"/>
        <v>2.032E-3</v>
      </c>
      <c r="P140" s="21">
        <v>1.0571269522665299E-10</v>
      </c>
      <c r="Q140" s="2">
        <v>0.31</v>
      </c>
      <c r="R140" s="27">
        <f t="shared" si="42"/>
        <v>131000</v>
      </c>
      <c r="S140" s="2">
        <f t="shared" si="50"/>
        <v>5.2493374855265302E-3</v>
      </c>
      <c r="T140" s="11">
        <v>0.06</v>
      </c>
      <c r="U140" s="30">
        <f t="shared" si="43"/>
        <v>106000</v>
      </c>
      <c r="V140" s="30">
        <f t="shared" si="44"/>
        <v>29.238683168316832</v>
      </c>
      <c r="W140" s="11">
        <f t="shared" si="45"/>
        <v>769.93176296973593</v>
      </c>
      <c r="X140" s="9">
        <f t="shared" si="46"/>
        <v>4.6847552665920173E-14</v>
      </c>
      <c r="Y140" s="9">
        <f t="shared" si="47"/>
        <v>28211596215.41713</v>
      </c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1:76" s="4" customFormat="1" x14ac:dyDescent="0.25">
      <c r="A141" s="26">
        <v>417</v>
      </c>
      <c r="B141" s="26">
        <f t="shared" si="34"/>
        <v>6.95</v>
      </c>
      <c r="C141" s="26">
        <v>20</v>
      </c>
      <c r="D141" s="26">
        <f t="shared" si="35"/>
        <v>29.146000000000001</v>
      </c>
      <c r="E141" s="26">
        <f t="shared" si="36"/>
        <v>4.8576666666666667E-7</v>
      </c>
      <c r="F141" s="26">
        <v>21.1</v>
      </c>
      <c r="G141" s="26">
        <f t="shared" si="37"/>
        <v>294.10000000000002</v>
      </c>
      <c r="H141" s="26">
        <v>101.3</v>
      </c>
      <c r="I141" s="26">
        <f t="shared" si="38"/>
        <v>101300</v>
      </c>
      <c r="J141" s="26">
        <f t="shared" si="39"/>
        <v>2.0124824921938581E-5</v>
      </c>
      <c r="K141" s="20">
        <v>270.88613861386142</v>
      </c>
      <c r="L141" s="27">
        <f t="shared" si="40"/>
        <v>2.708861386138614E-4</v>
      </c>
      <c r="M141" s="29">
        <f t="shared" si="48"/>
        <v>4.7762865441819992E-3</v>
      </c>
      <c r="N141" s="33">
        <f t="shared" si="41"/>
        <v>1.1413754310918532E-6</v>
      </c>
      <c r="O141" s="21">
        <f t="shared" si="49"/>
        <v>2.032E-3</v>
      </c>
      <c r="P141" s="21">
        <v>1.0571269522665299E-10</v>
      </c>
      <c r="Q141" s="2">
        <v>0.31</v>
      </c>
      <c r="R141" s="27">
        <f t="shared" si="42"/>
        <v>131000</v>
      </c>
      <c r="S141" s="2">
        <f t="shared" si="50"/>
        <v>5.2493374855265302E-3</v>
      </c>
      <c r="T141" s="11">
        <v>0.06</v>
      </c>
      <c r="U141" s="30">
        <f t="shared" si="43"/>
        <v>106000</v>
      </c>
      <c r="V141" s="30">
        <f t="shared" si="44"/>
        <v>28.713930693069308</v>
      </c>
      <c r="W141" s="11">
        <f t="shared" si="45"/>
        <v>745.17833943559617</v>
      </c>
      <c r="X141" s="9">
        <f t="shared" si="46"/>
        <v>4.5998027244648468E-14</v>
      </c>
      <c r="Y141" s="9">
        <f t="shared" si="47"/>
        <v>27700012006.72731</v>
      </c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</row>
    <row r="142" spans="1:76" s="4" customFormat="1" x14ac:dyDescent="0.25">
      <c r="A142" s="26">
        <v>420</v>
      </c>
      <c r="B142" s="26">
        <f t="shared" si="34"/>
        <v>7</v>
      </c>
      <c r="C142" s="26">
        <v>20</v>
      </c>
      <c r="D142" s="26">
        <f t="shared" si="35"/>
        <v>29.146000000000001</v>
      </c>
      <c r="E142" s="26">
        <f t="shared" si="36"/>
        <v>4.8576666666666667E-7</v>
      </c>
      <c r="F142" s="26">
        <v>21.1</v>
      </c>
      <c r="G142" s="26">
        <f t="shared" si="37"/>
        <v>294.10000000000002</v>
      </c>
      <c r="H142" s="26">
        <v>101.3</v>
      </c>
      <c r="I142" s="26">
        <f t="shared" si="38"/>
        <v>101300</v>
      </c>
      <c r="J142" s="26">
        <f t="shared" si="39"/>
        <v>2.0124824921938581E-5</v>
      </c>
      <c r="K142" s="20">
        <v>278.18811881188122</v>
      </c>
      <c r="L142" s="27">
        <f t="shared" si="40"/>
        <v>2.7818811881188125E-4</v>
      </c>
      <c r="M142" s="29">
        <f t="shared" si="48"/>
        <v>4.7762865441819992E-3</v>
      </c>
      <c r="N142" s="33">
        <f t="shared" si="41"/>
        <v>1.1721422353254923E-6</v>
      </c>
      <c r="O142" s="21">
        <f t="shared" si="49"/>
        <v>2.032E-3</v>
      </c>
      <c r="P142" s="21">
        <v>1.0571269522665299E-10</v>
      </c>
      <c r="Q142" s="2">
        <v>0.31</v>
      </c>
      <c r="R142" s="27">
        <f t="shared" si="42"/>
        <v>131000</v>
      </c>
      <c r="S142" s="2">
        <f t="shared" si="50"/>
        <v>5.2493374855265302E-3</v>
      </c>
      <c r="T142" s="11">
        <v>0.06</v>
      </c>
      <c r="U142" s="30">
        <f t="shared" si="43"/>
        <v>106000</v>
      </c>
      <c r="V142" s="30">
        <f t="shared" si="44"/>
        <v>29.487940594059413</v>
      </c>
      <c r="W142" s="11">
        <f t="shared" si="45"/>
        <v>781.82274901728817</v>
      </c>
      <c r="X142" s="9">
        <f t="shared" si="46"/>
        <v>4.7251238683856878E-14</v>
      </c>
      <c r="Y142" s="9">
        <f t="shared" si="47"/>
        <v>28454695935.418613</v>
      </c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</row>
    <row r="143" spans="1:76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1"/>
      <c r="O143" s="21"/>
      <c r="P143" s="21"/>
      <c r="Q143" s="2"/>
      <c r="R143" s="2"/>
      <c r="S143" s="2"/>
      <c r="T143" s="11"/>
      <c r="U143" s="2"/>
      <c r="V143" s="11"/>
      <c r="W143" s="5"/>
      <c r="X143" s="2"/>
      <c r="Y143" s="5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</row>
    <row r="144" spans="1:76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3"/>
      <c r="O144" s="23"/>
      <c r="P144" s="23"/>
      <c r="Q144" s="8"/>
      <c r="R144" s="8"/>
      <c r="S144" s="8"/>
      <c r="T144" s="13"/>
      <c r="U144" s="8"/>
      <c r="V144" s="13"/>
      <c r="W144" s="19"/>
      <c r="X144" s="8"/>
      <c r="Y144" s="19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</row>
    <row r="145" spans="1:76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3"/>
      <c r="O145" s="23"/>
      <c r="P145" s="23"/>
      <c r="Q145" s="8"/>
      <c r="R145" s="8"/>
      <c r="S145" s="8"/>
      <c r="T145" s="13"/>
      <c r="U145" s="8"/>
      <c r="V145" s="13"/>
      <c r="W145" s="19"/>
      <c r="X145" s="32">
        <f>AVERAGE(X70:X142)</f>
        <v>4.7341186783425936E-14</v>
      </c>
      <c r="Y145" s="32">
        <f>AVERAGE(Y70:Y142)</f>
        <v>28508862680.979126</v>
      </c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</row>
    <row r="146" spans="1:76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3"/>
      <c r="O146" s="23"/>
      <c r="P146" s="23"/>
      <c r="Q146" s="8"/>
      <c r="R146" s="8"/>
      <c r="S146" s="8"/>
      <c r="T146" s="13"/>
      <c r="U146" s="8"/>
      <c r="V146" s="13"/>
      <c r="W146" s="19"/>
      <c r="X146" s="8"/>
      <c r="Y146" s="19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</row>
    <row r="147" spans="1:76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3"/>
      <c r="O147" s="23"/>
      <c r="P147" s="23"/>
      <c r="Q147" s="8"/>
      <c r="R147" s="8"/>
      <c r="S147" s="8"/>
      <c r="T147" s="13"/>
      <c r="U147" s="8"/>
      <c r="V147" s="13"/>
      <c r="W147" s="19"/>
      <c r="X147" s="8"/>
      <c r="Y147" s="19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</row>
    <row r="148" spans="1:76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3"/>
      <c r="O148" s="23"/>
      <c r="P148" s="23"/>
      <c r="Q148" s="8"/>
      <c r="R148" s="8"/>
      <c r="S148" s="8"/>
      <c r="T148" s="13"/>
      <c r="U148" s="8"/>
      <c r="V148" s="13"/>
      <c r="W148" s="19"/>
      <c r="X148" s="8"/>
      <c r="Y148" s="19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</row>
    <row r="149" spans="1:76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3"/>
      <c r="O149" s="23"/>
      <c r="P149" s="23"/>
      <c r="Q149" s="8"/>
      <c r="R149" s="8"/>
      <c r="S149" s="8"/>
      <c r="T149" s="13"/>
      <c r="U149" s="8"/>
      <c r="V149" s="13"/>
      <c r="W149" s="19"/>
      <c r="X149" s="8"/>
      <c r="Y149" s="19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</row>
    <row r="150" spans="1:76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3"/>
      <c r="O150" s="23"/>
      <c r="P150" s="23"/>
      <c r="Q150" s="8"/>
      <c r="R150" s="8"/>
      <c r="S150" s="8"/>
      <c r="T150" s="13"/>
      <c r="U150" s="8"/>
      <c r="V150" s="13"/>
      <c r="W150" s="19"/>
      <c r="X150" s="8"/>
      <c r="Y150" s="19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</row>
    <row r="151" spans="1:76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3"/>
      <c r="O151" s="23"/>
      <c r="P151" s="23"/>
      <c r="Q151" s="8"/>
      <c r="R151" s="8"/>
      <c r="S151" s="8"/>
      <c r="T151" s="13"/>
      <c r="U151" s="8"/>
      <c r="V151" s="13"/>
      <c r="W151" s="19"/>
      <c r="X151" s="8"/>
      <c r="Y151" s="19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</row>
    <row r="152" spans="1:76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3"/>
      <c r="O152" s="23"/>
      <c r="P152" s="23"/>
      <c r="Q152" s="8"/>
      <c r="R152" s="8"/>
      <c r="S152" s="8"/>
      <c r="T152" s="13"/>
      <c r="U152" s="8"/>
      <c r="V152" s="13"/>
      <c r="W152" s="19"/>
      <c r="X152" s="8"/>
      <c r="Y152" s="19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</row>
    <row r="153" spans="1:76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3"/>
      <c r="O153" s="23"/>
      <c r="P153" s="23"/>
      <c r="Q153" s="8"/>
      <c r="R153" s="8"/>
      <c r="S153" s="8"/>
      <c r="T153" s="13"/>
      <c r="U153" s="8"/>
      <c r="V153" s="13"/>
      <c r="W153" s="19"/>
      <c r="X153" s="8"/>
      <c r="Y153" s="19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</row>
    <row r="154" spans="1:76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3"/>
      <c r="O154" s="23"/>
      <c r="P154" s="23"/>
      <c r="Q154" s="8"/>
      <c r="R154" s="8"/>
      <c r="S154" s="8"/>
      <c r="T154" s="13"/>
      <c r="U154" s="8"/>
      <c r="V154" s="13"/>
      <c r="W154" s="19"/>
      <c r="X154" s="8"/>
      <c r="Y154" s="19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</row>
    <row r="155" spans="1:76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3"/>
      <c r="O155" s="23"/>
      <c r="P155" s="23"/>
      <c r="Q155" s="8"/>
      <c r="R155" s="8"/>
      <c r="S155" s="8"/>
      <c r="T155" s="13"/>
      <c r="U155" s="8"/>
      <c r="V155" s="13"/>
      <c r="W155" s="19"/>
      <c r="X155" s="8"/>
      <c r="Y155" s="19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</row>
    <row r="156" spans="1:76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3"/>
      <c r="O156" s="23"/>
      <c r="P156" s="23"/>
      <c r="Q156" s="8"/>
      <c r="R156" s="8"/>
      <c r="S156" s="8"/>
      <c r="T156" s="13"/>
      <c r="U156" s="8"/>
      <c r="V156" s="13"/>
      <c r="W156" s="19"/>
      <c r="X156" s="8"/>
      <c r="Y156" s="19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</row>
    <row r="157" spans="1:76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3"/>
      <c r="O157" s="23"/>
      <c r="P157" s="23"/>
      <c r="Q157" s="8"/>
      <c r="R157" s="8"/>
      <c r="S157" s="8"/>
      <c r="T157" s="13"/>
      <c r="U157" s="8"/>
      <c r="V157" s="13"/>
      <c r="W157" s="19"/>
      <c r="X157" s="8"/>
      <c r="Y157" s="19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</row>
    <row r="158" spans="1:76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3"/>
      <c r="O158" s="23"/>
      <c r="P158" s="23"/>
      <c r="Q158" s="8"/>
      <c r="R158" s="8"/>
      <c r="S158" s="8"/>
      <c r="T158" s="13"/>
      <c r="U158" s="8"/>
      <c r="V158" s="13"/>
      <c r="W158" s="19"/>
      <c r="X158" s="8"/>
      <c r="Y158" s="19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</row>
    <row r="159" spans="1:76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3"/>
      <c r="O159" s="23"/>
      <c r="P159" s="23"/>
      <c r="Q159" s="8"/>
      <c r="R159" s="8"/>
      <c r="S159" s="8"/>
      <c r="T159" s="13"/>
      <c r="U159" s="8"/>
      <c r="V159" s="13"/>
      <c r="W159" s="19"/>
      <c r="X159" s="8"/>
      <c r="Y159" s="19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</row>
    <row r="160" spans="1:76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3"/>
      <c r="O160" s="23"/>
      <c r="P160" s="23"/>
      <c r="Q160" s="8"/>
      <c r="R160" s="8"/>
      <c r="S160" s="8"/>
      <c r="T160" s="13"/>
      <c r="U160" s="8"/>
      <c r="V160" s="13"/>
      <c r="W160" s="19"/>
      <c r="X160" s="8"/>
      <c r="Y160" s="19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</row>
    <row r="161" spans="1:76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3"/>
      <c r="O161" s="23"/>
      <c r="P161" s="23"/>
      <c r="Q161" s="8"/>
      <c r="R161" s="8"/>
      <c r="S161" s="8"/>
      <c r="T161" s="13"/>
      <c r="U161" s="8"/>
      <c r="V161" s="13"/>
      <c r="W161" s="19"/>
      <c r="X161" s="8"/>
      <c r="Y161" s="19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</row>
    <row r="162" spans="1:76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3"/>
      <c r="O162" s="23"/>
      <c r="P162" s="23"/>
      <c r="Q162" s="8"/>
      <c r="R162" s="8"/>
      <c r="S162" s="8"/>
      <c r="T162" s="13"/>
      <c r="U162" s="8"/>
      <c r="V162" s="13"/>
      <c r="W162" s="19"/>
      <c r="X162" s="8"/>
      <c r="Y162" s="19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</row>
    <row r="163" spans="1:76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3"/>
      <c r="O163" s="23"/>
      <c r="P163" s="23"/>
      <c r="Q163" s="8"/>
      <c r="R163" s="8"/>
      <c r="S163" s="8"/>
      <c r="T163" s="13"/>
      <c r="U163" s="8"/>
      <c r="V163" s="13"/>
      <c r="W163" s="19"/>
      <c r="X163" s="8"/>
      <c r="Y163" s="19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</row>
    <row r="164" spans="1:76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23"/>
      <c r="O164" s="23"/>
      <c r="P164" s="23"/>
      <c r="Q164" s="8"/>
      <c r="R164" s="8"/>
      <c r="S164" s="8"/>
      <c r="T164" s="13"/>
      <c r="U164" s="8"/>
      <c r="V164" s="13"/>
      <c r="W164" s="19"/>
      <c r="X164" s="8"/>
      <c r="Y164" s="19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</row>
    <row r="165" spans="1:76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23"/>
      <c r="O165" s="23"/>
      <c r="P165" s="23"/>
      <c r="Q165" s="8"/>
      <c r="R165" s="8"/>
      <c r="S165" s="8"/>
      <c r="T165" s="13"/>
      <c r="U165" s="8"/>
      <c r="V165" s="13"/>
      <c r="W165" s="19"/>
      <c r="X165" s="8"/>
      <c r="Y165" s="19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</row>
    <row r="166" spans="1:76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23"/>
      <c r="O166" s="23"/>
      <c r="P166" s="23"/>
      <c r="Q166" s="8"/>
      <c r="R166" s="8"/>
      <c r="S166" s="8"/>
      <c r="T166" s="13"/>
      <c r="U166" s="8"/>
      <c r="V166" s="13"/>
      <c r="W166" s="19"/>
      <c r="X166" s="8"/>
      <c r="Y166" s="19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</row>
    <row r="167" spans="1:76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23"/>
      <c r="O167" s="23"/>
      <c r="P167" s="23"/>
      <c r="Q167" s="8"/>
      <c r="R167" s="8"/>
      <c r="S167" s="8"/>
      <c r="T167" s="13"/>
      <c r="U167" s="8"/>
      <c r="V167" s="13"/>
      <c r="W167" s="19"/>
      <c r="X167" s="8"/>
      <c r="Y167" s="19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</row>
    <row r="168" spans="1:76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23"/>
      <c r="O168" s="23"/>
      <c r="P168" s="23"/>
      <c r="Q168" s="8"/>
      <c r="R168" s="8"/>
      <c r="S168" s="8"/>
      <c r="T168" s="13"/>
      <c r="U168" s="8"/>
      <c r="V168" s="13"/>
      <c r="W168" s="19"/>
      <c r="X168" s="8"/>
      <c r="Y168" s="19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</row>
    <row r="169" spans="1:76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23"/>
      <c r="O169" s="23"/>
      <c r="P169" s="23"/>
      <c r="Q169" s="8"/>
      <c r="R169" s="8"/>
      <c r="S169" s="8"/>
      <c r="T169" s="13"/>
      <c r="U169" s="8"/>
      <c r="V169" s="13"/>
      <c r="W169" s="19"/>
      <c r="X169" s="8"/>
      <c r="Y169" s="19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</row>
    <row r="170" spans="1:76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23"/>
      <c r="O170" s="23"/>
      <c r="P170" s="23"/>
      <c r="Q170" s="8"/>
      <c r="R170" s="8"/>
      <c r="S170" s="8"/>
      <c r="T170" s="13"/>
      <c r="U170" s="8"/>
      <c r="V170" s="13"/>
      <c r="W170" s="19"/>
      <c r="X170" s="8"/>
      <c r="Y170" s="19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</row>
    <row r="171" spans="1:76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23"/>
      <c r="O171" s="23"/>
      <c r="P171" s="23"/>
      <c r="Q171" s="8"/>
      <c r="R171" s="8"/>
      <c r="S171" s="8"/>
      <c r="T171" s="13"/>
      <c r="U171" s="8"/>
      <c r="V171" s="13"/>
      <c r="W171" s="19"/>
      <c r="X171" s="8"/>
      <c r="Y171" s="19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</row>
    <row r="172" spans="1:76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23"/>
      <c r="O172" s="23"/>
      <c r="P172" s="23"/>
      <c r="Q172" s="8"/>
      <c r="R172" s="8"/>
      <c r="S172" s="8"/>
      <c r="T172" s="13"/>
      <c r="U172" s="8"/>
      <c r="V172" s="13"/>
      <c r="W172" s="19"/>
      <c r="X172" s="8"/>
      <c r="Y172" s="19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</row>
    <row r="173" spans="1:76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23"/>
      <c r="O173" s="23"/>
      <c r="P173" s="23"/>
      <c r="Q173" s="8"/>
      <c r="R173" s="8"/>
      <c r="S173" s="8"/>
      <c r="T173" s="13"/>
      <c r="U173" s="8"/>
      <c r="V173" s="13"/>
      <c r="W173" s="19"/>
      <c r="X173" s="8"/>
      <c r="Y173" s="19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</row>
    <row r="174" spans="1:76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23"/>
      <c r="O174" s="23"/>
      <c r="P174" s="23"/>
      <c r="Q174" s="8"/>
      <c r="R174" s="8"/>
      <c r="S174" s="8"/>
      <c r="T174" s="13"/>
      <c r="U174" s="8"/>
      <c r="V174" s="13"/>
      <c r="W174" s="19"/>
      <c r="X174" s="8"/>
      <c r="Y174" s="19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</row>
    <row r="175" spans="1:76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23"/>
      <c r="O175" s="23"/>
      <c r="P175" s="23"/>
      <c r="Q175" s="8"/>
      <c r="R175" s="8"/>
      <c r="S175" s="8"/>
      <c r="T175" s="13"/>
      <c r="U175" s="8"/>
      <c r="V175" s="13"/>
      <c r="W175" s="19"/>
      <c r="X175" s="8"/>
      <c r="Y175" s="19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</row>
    <row r="176" spans="1:76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23"/>
      <c r="O176" s="23"/>
      <c r="P176" s="23"/>
      <c r="Q176" s="8"/>
      <c r="R176" s="8"/>
      <c r="S176" s="8"/>
      <c r="T176" s="13"/>
      <c r="U176" s="8"/>
      <c r="V176" s="13"/>
      <c r="W176" s="19"/>
      <c r="X176" s="8"/>
      <c r="Y176" s="19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</row>
    <row r="177" spans="1:76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23"/>
      <c r="O177" s="23"/>
      <c r="P177" s="23"/>
      <c r="Q177" s="8"/>
      <c r="R177" s="8"/>
      <c r="S177" s="8"/>
      <c r="T177" s="13"/>
      <c r="U177" s="8"/>
      <c r="V177" s="13"/>
      <c r="W177" s="19"/>
      <c r="X177" s="8"/>
      <c r="Y177" s="19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</row>
    <row r="178" spans="1:76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23"/>
      <c r="O178" s="23"/>
      <c r="P178" s="23"/>
      <c r="Q178" s="8"/>
      <c r="R178" s="8"/>
      <c r="S178" s="8"/>
      <c r="T178" s="13"/>
      <c r="U178" s="8"/>
      <c r="V178" s="13"/>
      <c r="W178" s="19"/>
      <c r="X178" s="8"/>
      <c r="Y178" s="19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</row>
    <row r="179" spans="1:76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23"/>
      <c r="O179" s="23"/>
      <c r="P179" s="23"/>
      <c r="Q179" s="8"/>
      <c r="R179" s="8"/>
      <c r="S179" s="8"/>
      <c r="T179" s="13"/>
      <c r="U179" s="8"/>
      <c r="V179" s="13"/>
      <c r="W179" s="19"/>
      <c r="X179" s="8"/>
      <c r="Y179" s="19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</row>
    <row r="180" spans="1:76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23"/>
      <c r="O180" s="23"/>
      <c r="P180" s="23"/>
      <c r="Q180" s="8"/>
      <c r="R180" s="8"/>
      <c r="S180" s="8"/>
      <c r="T180" s="13"/>
      <c r="U180" s="8"/>
      <c r="V180" s="13"/>
      <c r="W180" s="19"/>
      <c r="X180" s="8"/>
      <c r="Y180" s="19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</row>
    <row r="181" spans="1:76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23"/>
      <c r="O181" s="23"/>
      <c r="P181" s="23"/>
      <c r="Q181" s="8"/>
      <c r="R181" s="8"/>
      <c r="S181" s="8"/>
      <c r="T181" s="13"/>
      <c r="U181" s="8"/>
      <c r="V181" s="13"/>
      <c r="W181" s="19"/>
      <c r="X181" s="8"/>
      <c r="Y181" s="19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</row>
    <row r="182" spans="1:76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23"/>
      <c r="O182" s="23"/>
      <c r="P182" s="23"/>
      <c r="Q182" s="8"/>
      <c r="R182" s="8"/>
      <c r="S182" s="8"/>
      <c r="T182" s="13"/>
      <c r="U182" s="8"/>
      <c r="V182" s="13"/>
      <c r="W182" s="19"/>
      <c r="X182" s="8"/>
      <c r="Y182" s="19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</row>
    <row r="183" spans="1:76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23"/>
      <c r="O183" s="23"/>
      <c r="P183" s="23"/>
      <c r="Q183" s="8"/>
      <c r="R183" s="8"/>
      <c r="S183" s="8"/>
      <c r="T183" s="13"/>
      <c r="U183" s="8"/>
      <c r="V183" s="13"/>
      <c r="W183" s="19"/>
      <c r="X183" s="8"/>
      <c r="Y183" s="19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</row>
    <row r="184" spans="1:76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23"/>
      <c r="O184" s="23"/>
      <c r="P184" s="23"/>
      <c r="Q184" s="8"/>
      <c r="R184" s="8"/>
      <c r="S184" s="8"/>
      <c r="T184" s="13"/>
      <c r="U184" s="8"/>
      <c r="V184" s="13"/>
      <c r="W184" s="19"/>
      <c r="X184" s="8"/>
      <c r="Y184" s="19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</row>
    <row r="185" spans="1:76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23"/>
      <c r="O185" s="23"/>
      <c r="P185" s="23"/>
      <c r="Q185" s="8"/>
      <c r="R185" s="8"/>
      <c r="S185" s="8"/>
      <c r="T185" s="13"/>
      <c r="U185" s="8"/>
      <c r="V185" s="13"/>
      <c r="W185" s="19"/>
      <c r="X185" s="8"/>
      <c r="Y185" s="19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</row>
    <row r="186" spans="1:76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23"/>
      <c r="O186" s="23"/>
      <c r="P186" s="23"/>
      <c r="Q186" s="8"/>
      <c r="R186" s="8"/>
      <c r="S186" s="8"/>
      <c r="T186" s="13"/>
      <c r="U186" s="8"/>
      <c r="V186" s="13"/>
      <c r="W186" s="19"/>
      <c r="X186" s="8"/>
      <c r="Y186" s="19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</row>
    <row r="187" spans="1:76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23"/>
      <c r="O187" s="23"/>
      <c r="P187" s="23"/>
      <c r="Q187" s="8"/>
      <c r="R187" s="8"/>
      <c r="S187" s="8"/>
      <c r="T187" s="13"/>
      <c r="U187" s="8"/>
      <c r="V187" s="13"/>
      <c r="W187" s="19"/>
      <c r="X187" s="8"/>
      <c r="Y187" s="19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</row>
    <row r="188" spans="1:76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23"/>
      <c r="O188" s="23"/>
      <c r="P188" s="23"/>
      <c r="Q188" s="8"/>
      <c r="R188" s="8"/>
      <c r="S188" s="8"/>
      <c r="T188" s="13"/>
      <c r="U188" s="8"/>
      <c r="V188" s="13"/>
      <c r="W188" s="19"/>
      <c r="X188" s="8"/>
      <c r="Y188" s="19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05C1-BD1C-43D8-ADC7-EC0D512A91CF}">
  <dimension ref="A1:BX188"/>
  <sheetViews>
    <sheetView topLeftCell="I57" zoomScale="120" zoomScaleNormal="12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4" customWidth="1"/>
    <col min="12" max="12" width="20.88671875" style="3" customWidth="1"/>
    <col min="13" max="13" width="27.33203125" style="3" customWidth="1"/>
    <col min="14" max="15" width="20.6640625" style="23" customWidth="1"/>
    <col min="16" max="16" width="32.88671875" style="23" customWidth="1"/>
    <col min="17" max="17" width="23.21875" style="8" customWidth="1"/>
    <col min="18" max="18" width="30.88671875" style="8" customWidth="1"/>
    <col min="19" max="19" width="20.6640625" style="8" customWidth="1"/>
    <col min="20" max="20" width="20.6640625" style="13" customWidth="1"/>
    <col min="21" max="21" width="20.6640625" style="8" customWidth="1"/>
    <col min="22" max="22" width="20.6640625" style="13" customWidth="1"/>
    <col min="23" max="23" width="23.77734375" style="19" customWidth="1"/>
    <col min="24" max="24" width="47.33203125" style="8" customWidth="1"/>
    <col min="25" max="25" width="51.6640625" style="19" customWidth="1"/>
    <col min="26" max="16384" width="8.88671875" style="6"/>
  </cols>
  <sheetData>
    <row r="1" spans="1:25" s="24" customFormat="1" ht="53.4" customHeight="1" x14ac:dyDescent="0.3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19</v>
      </c>
      <c r="N1" s="22" t="s">
        <v>26</v>
      </c>
      <c r="O1" s="22" t="s">
        <v>17</v>
      </c>
      <c r="P1" s="22" t="s">
        <v>18</v>
      </c>
      <c r="Q1" s="18" t="s">
        <v>12</v>
      </c>
      <c r="R1" s="17" t="s">
        <v>15</v>
      </c>
      <c r="S1" s="17" t="s">
        <v>16</v>
      </c>
      <c r="T1" s="12" t="s">
        <v>13</v>
      </c>
      <c r="U1" s="17" t="s">
        <v>14</v>
      </c>
      <c r="V1" s="12" t="s">
        <v>22</v>
      </c>
      <c r="W1" s="12" t="s">
        <v>21</v>
      </c>
      <c r="X1" s="25" t="s">
        <v>23</v>
      </c>
      <c r="Y1" s="25" t="s">
        <v>20</v>
      </c>
    </row>
    <row r="2" spans="1:25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4">
        <v>27.544554455445546</v>
      </c>
      <c r="L2" s="2">
        <f>(K2/1000000)</f>
        <v>2.7544554455445545E-5</v>
      </c>
      <c r="M2" s="3">
        <f>(3.142*3.07*3.07*25.4*25.4)/(4*1000000)</f>
        <v>4.7762865441819992E-3</v>
      </c>
      <c r="N2" s="21">
        <f>(L2*J2)/M2</f>
        <v>1.1605864322438404E-7</v>
      </c>
      <c r="O2" s="21">
        <f>(2.032/1000)</f>
        <v>2.032E-3</v>
      </c>
      <c r="P2" s="21">
        <v>1.0571269522665299E-10</v>
      </c>
      <c r="Q2" s="2">
        <v>0.33</v>
      </c>
      <c r="R2" s="2">
        <f>(1+Q2)*100000*1</f>
        <v>133000</v>
      </c>
      <c r="S2" s="2">
        <f>(5.24933748552653/1000)</f>
        <v>5.2493374855265302E-3</v>
      </c>
      <c r="T2" s="11">
        <v>0.13</v>
      </c>
      <c r="U2" s="11">
        <f>(1+T2)*100000</f>
        <v>112999.99999999999</v>
      </c>
      <c r="V2" s="11">
        <f t="shared" ref="V2:V62" si="1">(L2*U2)</f>
        <v>3.112534653465346</v>
      </c>
      <c r="W2" s="11">
        <f>((N2*O2/P2) + SQRT(V2))^2</f>
        <v>15.960876643846216</v>
      </c>
      <c r="X2" s="2">
        <f>(N2*S2)/(R2-W2)</f>
        <v>4.5812338865116387E-15</v>
      </c>
      <c r="Y2" s="2">
        <f>(X2*6.022E+23)</f>
        <v>2758819046.4573088</v>
      </c>
    </row>
    <row r="3" spans="1:25" x14ac:dyDescent="0.25">
      <c r="A3" s="26">
        <v>3</v>
      </c>
      <c r="B3" s="26">
        <f t="shared" ref="B3:B62" si="2">(A3/60)</f>
        <v>0.05</v>
      </c>
      <c r="C3" s="26">
        <v>20</v>
      </c>
      <c r="D3" s="26">
        <f t="shared" si="0"/>
        <v>29.146000000000001</v>
      </c>
      <c r="E3" s="26">
        <f t="shared" ref="E3:E62" si="3">(D3/(1000000*60))</f>
        <v>4.8576666666666667E-7</v>
      </c>
      <c r="F3" s="26">
        <v>21.1</v>
      </c>
      <c r="G3" s="26">
        <f t="shared" ref="G3:G62" si="4">(273+F3)</f>
        <v>294.10000000000002</v>
      </c>
      <c r="H3" s="26">
        <v>101.3</v>
      </c>
      <c r="I3" s="26">
        <f t="shared" ref="I3:I62" si="5">(H3*1000)</f>
        <v>101300</v>
      </c>
      <c r="J3" s="26">
        <f t="shared" ref="J3:J62" si="6">((I3*E3)/(8.314*G3))</f>
        <v>2.0124824921938581E-5</v>
      </c>
      <c r="K3" s="28">
        <v>25.415841584158414</v>
      </c>
      <c r="L3" s="27">
        <f t="shared" ref="L3:L62" si="7">(K3/1000000)</f>
        <v>2.5415841584158414E-5</v>
      </c>
      <c r="M3" s="29">
        <f t="shared" ref="M3:M62" si="8">(3.142*3.07*3.07*25.4*25.4)/(4*1000000)</f>
        <v>4.7762865441819992E-3</v>
      </c>
      <c r="N3" s="33">
        <f t="shared" ref="N3:N62" si="9">(L3*J3)/M3</f>
        <v>1.0708933758339102E-7</v>
      </c>
      <c r="O3" s="21">
        <f t="shared" ref="O3:O62" si="10">(2.032/1000)</f>
        <v>2.032E-3</v>
      </c>
      <c r="P3" s="21">
        <v>1.0571269522665299E-10</v>
      </c>
      <c r="Q3" s="2">
        <v>0.33</v>
      </c>
      <c r="R3" s="27">
        <f t="shared" ref="R3:R62" si="11">(1+Q3)*100000*1</f>
        <v>133000</v>
      </c>
      <c r="S3" s="2">
        <f t="shared" ref="S3:S62" si="12">(5.24933748552653/1000)</f>
        <v>5.2493374855265302E-3</v>
      </c>
      <c r="T3" s="11">
        <v>0.13</v>
      </c>
      <c r="U3" s="30">
        <f t="shared" ref="U3:U62" si="13">(1+T3)*100000</f>
        <v>112999.99999999999</v>
      </c>
      <c r="V3" s="30">
        <f t="shared" si="1"/>
        <v>2.8719900990099005</v>
      </c>
      <c r="W3" s="11">
        <f t="shared" ref="W3:W62" si="14">((N3*O3/P3) + SQRT(V3))^2</f>
        <v>14.086182877178555</v>
      </c>
      <c r="X3" s="2">
        <f t="shared" ref="X3:X62" si="15">(N3*S3)/(R3-W3)</f>
        <v>4.2271249483591502E-15</v>
      </c>
      <c r="Y3" s="2">
        <f t="shared" ref="Y3:Y62" si="16">(X3*6.022E+23)</f>
        <v>2545574643.9018803</v>
      </c>
    </row>
    <row r="4" spans="1:25" x14ac:dyDescent="0.25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21.801980198019802</v>
      </c>
      <c r="L4" s="27">
        <f t="shared" si="7"/>
        <v>2.18019801980198E-5</v>
      </c>
      <c r="M4" s="29">
        <f t="shared" si="8"/>
        <v>4.7762865441819992E-3</v>
      </c>
      <c r="N4" s="33">
        <f t="shared" si="9"/>
        <v>9.1862376844030791E-8</v>
      </c>
      <c r="O4" s="21">
        <f t="shared" si="10"/>
        <v>2.032E-3</v>
      </c>
      <c r="P4" s="21">
        <v>1.0571269522665299E-10</v>
      </c>
      <c r="Q4" s="2">
        <v>0.33</v>
      </c>
      <c r="R4" s="27">
        <f t="shared" si="11"/>
        <v>133000</v>
      </c>
      <c r="S4" s="2">
        <f t="shared" si="12"/>
        <v>5.2493374855265302E-3</v>
      </c>
      <c r="T4" s="11">
        <v>0.13</v>
      </c>
      <c r="U4" s="30">
        <f t="shared" si="13"/>
        <v>112999.99999999999</v>
      </c>
      <c r="V4" s="30">
        <f t="shared" si="1"/>
        <v>2.4636237623762369</v>
      </c>
      <c r="W4" s="11">
        <f t="shared" si="14"/>
        <v>11.124652462280306</v>
      </c>
      <c r="X4" s="2">
        <f t="shared" si="15"/>
        <v>3.6259921517252191E-15</v>
      </c>
      <c r="Y4" s="2">
        <f t="shared" si="16"/>
        <v>2183572473.7689271</v>
      </c>
    </row>
    <row r="5" spans="1:25" x14ac:dyDescent="0.25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23.732673267326732</v>
      </c>
      <c r="L5" s="27">
        <f t="shared" si="7"/>
        <v>2.3732673267326732E-5</v>
      </c>
      <c r="M5" s="29">
        <f t="shared" si="8"/>
        <v>4.7762865441819992E-3</v>
      </c>
      <c r="N5" s="33">
        <f t="shared" si="9"/>
        <v>9.9997328471908185E-8</v>
      </c>
      <c r="O5" s="21">
        <f t="shared" si="10"/>
        <v>2.032E-3</v>
      </c>
      <c r="P5" s="21">
        <v>1.0571269522665299E-10</v>
      </c>
      <c r="Q5" s="2">
        <v>0.33</v>
      </c>
      <c r="R5" s="27">
        <f t="shared" si="11"/>
        <v>133000</v>
      </c>
      <c r="S5" s="2">
        <f t="shared" si="12"/>
        <v>5.2493374855265302E-3</v>
      </c>
      <c r="T5" s="11">
        <v>0.13</v>
      </c>
      <c r="U5" s="30">
        <f t="shared" si="13"/>
        <v>112999.99999999999</v>
      </c>
      <c r="V5" s="30">
        <f t="shared" si="1"/>
        <v>2.6817920792079204</v>
      </c>
      <c r="W5" s="11">
        <f t="shared" si="14"/>
        <v>12.671873716208141</v>
      </c>
      <c r="X5" s="2">
        <f t="shared" si="15"/>
        <v>3.9471409208374882E-15</v>
      </c>
      <c r="Y5" s="2">
        <f t="shared" si="16"/>
        <v>2376968262.5283356</v>
      </c>
    </row>
    <row r="6" spans="1:25" x14ac:dyDescent="0.25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21.504950495049506</v>
      </c>
      <c r="L6" s="27">
        <f t="shared" si="7"/>
        <v>2.1504950495049505E-5</v>
      </c>
      <c r="M6" s="29">
        <f t="shared" si="8"/>
        <v>4.7762865441819992E-3</v>
      </c>
      <c r="N6" s="33">
        <f t="shared" si="9"/>
        <v>9.0610845824357356E-8</v>
      </c>
      <c r="O6" s="21">
        <f t="shared" si="10"/>
        <v>2.032E-3</v>
      </c>
      <c r="P6" s="21">
        <v>1.0571269522665299E-10</v>
      </c>
      <c r="Q6" s="2">
        <v>0.33</v>
      </c>
      <c r="R6" s="27">
        <f t="shared" si="11"/>
        <v>133000</v>
      </c>
      <c r="S6" s="2">
        <f t="shared" si="12"/>
        <v>5.2493374855265302E-3</v>
      </c>
      <c r="T6" s="11">
        <v>0.13</v>
      </c>
      <c r="U6" s="30">
        <f t="shared" si="13"/>
        <v>112999.99999999999</v>
      </c>
      <c r="V6" s="30">
        <f t="shared" si="1"/>
        <v>2.430059405940594</v>
      </c>
      <c r="W6" s="11">
        <f t="shared" si="14"/>
        <v>10.893817634330105</v>
      </c>
      <c r="X6" s="2">
        <f t="shared" si="15"/>
        <v>3.5765855056489943E-15</v>
      </c>
      <c r="Y6" s="2">
        <f t="shared" si="16"/>
        <v>2153819791.5018244</v>
      </c>
    </row>
    <row r="7" spans="1:25" x14ac:dyDescent="0.25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24.846534653465348</v>
      </c>
      <c r="L7" s="27">
        <f t="shared" si="7"/>
        <v>2.4846534653465349E-5</v>
      </c>
      <c r="M7" s="29">
        <f t="shared" si="8"/>
        <v>4.7762865441819992E-3</v>
      </c>
      <c r="N7" s="33">
        <f t="shared" si="9"/>
        <v>1.0469056979568361E-7</v>
      </c>
      <c r="O7" s="21">
        <f t="shared" si="10"/>
        <v>2.032E-3</v>
      </c>
      <c r="P7" s="21">
        <v>1.0571269522665299E-10</v>
      </c>
      <c r="Q7" s="2">
        <v>0.33</v>
      </c>
      <c r="R7" s="27">
        <f t="shared" si="11"/>
        <v>133000</v>
      </c>
      <c r="S7" s="2">
        <f t="shared" si="12"/>
        <v>5.2493374855265302E-3</v>
      </c>
      <c r="T7" s="11">
        <v>0.13</v>
      </c>
      <c r="U7" s="30">
        <f t="shared" si="13"/>
        <v>112999.99999999999</v>
      </c>
      <c r="V7" s="30">
        <f t="shared" si="1"/>
        <v>2.8076584158415843</v>
      </c>
      <c r="W7" s="11">
        <f t="shared" si="14"/>
        <v>13.601046571677292</v>
      </c>
      <c r="X7" s="2">
        <f t="shared" si="15"/>
        <v>4.1324235916942708E-15</v>
      </c>
      <c r="Y7" s="2">
        <f t="shared" si="16"/>
        <v>2488545486.9182901</v>
      </c>
    </row>
    <row r="8" spans="1:25" x14ac:dyDescent="0.25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15.564356435643566</v>
      </c>
      <c r="L8" s="27">
        <f t="shared" si="7"/>
        <v>1.5564356435643566E-5</v>
      </c>
      <c r="M8" s="29">
        <f t="shared" si="8"/>
        <v>4.7762865441819992E-3</v>
      </c>
      <c r="N8" s="33">
        <f t="shared" si="9"/>
        <v>6.5580225430888484E-8</v>
      </c>
      <c r="O8" s="21">
        <f t="shared" si="10"/>
        <v>2.032E-3</v>
      </c>
      <c r="P8" s="21">
        <v>1.0571269522665299E-10</v>
      </c>
      <c r="Q8" s="2">
        <v>0.33</v>
      </c>
      <c r="R8" s="27">
        <f t="shared" si="11"/>
        <v>133000</v>
      </c>
      <c r="S8" s="2">
        <f t="shared" si="12"/>
        <v>5.2493374855265302E-3</v>
      </c>
      <c r="T8" s="11">
        <v>0.13</v>
      </c>
      <c r="U8" s="30">
        <f t="shared" si="13"/>
        <v>112999.99999999999</v>
      </c>
      <c r="V8" s="30">
        <f t="shared" si="1"/>
        <v>1.7587722772277228</v>
      </c>
      <c r="W8" s="11">
        <f t="shared" si="14"/>
        <v>6.6913498782810086</v>
      </c>
      <c r="X8" s="2">
        <f t="shared" si="15"/>
        <v>2.5884966631614669E-15</v>
      </c>
      <c r="Y8" s="2">
        <f t="shared" si="16"/>
        <v>1558792690.5558355</v>
      </c>
    </row>
    <row r="9" spans="1:25" x14ac:dyDescent="0.25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20.490099009900991</v>
      </c>
      <c r="L9" s="27">
        <f t="shared" si="7"/>
        <v>2.0490099009900991E-5</v>
      </c>
      <c r="M9" s="29">
        <f t="shared" si="8"/>
        <v>4.7762865441819992E-3</v>
      </c>
      <c r="N9" s="33">
        <f t="shared" si="9"/>
        <v>8.633478150713976E-8</v>
      </c>
      <c r="O9" s="21">
        <f t="shared" si="10"/>
        <v>2.032E-3</v>
      </c>
      <c r="P9" s="21">
        <v>1.0571269522665299E-10</v>
      </c>
      <c r="Q9" s="2">
        <v>0.33</v>
      </c>
      <c r="R9" s="27">
        <f t="shared" si="11"/>
        <v>133000</v>
      </c>
      <c r="S9" s="2">
        <f t="shared" si="12"/>
        <v>5.2493374855265302E-3</v>
      </c>
      <c r="T9" s="11">
        <v>0.13</v>
      </c>
      <c r="U9" s="30">
        <f t="shared" si="13"/>
        <v>112999.99999999999</v>
      </c>
      <c r="V9" s="30">
        <f t="shared" si="1"/>
        <v>2.3153811881188116</v>
      </c>
      <c r="W9" s="11">
        <f t="shared" si="14"/>
        <v>10.119760731194626</v>
      </c>
      <c r="X9" s="2">
        <f t="shared" si="15"/>
        <v>3.4077811338336101E-15</v>
      </c>
      <c r="Y9" s="2">
        <f t="shared" si="16"/>
        <v>2052165798.7946</v>
      </c>
    </row>
    <row r="10" spans="1:25" x14ac:dyDescent="0.25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33.60891089108911</v>
      </c>
      <c r="L10" s="27">
        <f t="shared" si="7"/>
        <v>3.3608910891089113E-5</v>
      </c>
      <c r="M10" s="29">
        <f t="shared" si="8"/>
        <v>4.7762865441819992E-3</v>
      </c>
      <c r="N10" s="33">
        <f t="shared" si="9"/>
        <v>1.416107348760502E-7</v>
      </c>
      <c r="O10" s="21">
        <f t="shared" si="10"/>
        <v>2.032E-3</v>
      </c>
      <c r="P10" s="21">
        <v>1.0571269522665299E-10</v>
      </c>
      <c r="Q10" s="2">
        <v>0.33</v>
      </c>
      <c r="R10" s="27">
        <f t="shared" si="11"/>
        <v>133000</v>
      </c>
      <c r="S10" s="2">
        <f t="shared" si="12"/>
        <v>5.2493374855265302E-3</v>
      </c>
      <c r="T10" s="11">
        <v>0.13</v>
      </c>
      <c r="U10" s="30">
        <f t="shared" si="13"/>
        <v>112999.99999999999</v>
      </c>
      <c r="V10" s="30">
        <f t="shared" si="1"/>
        <v>3.7978069306930693</v>
      </c>
      <c r="W10" s="11">
        <f t="shared" si="14"/>
        <v>21.81660799346556</v>
      </c>
      <c r="X10" s="2">
        <f t="shared" si="15"/>
        <v>5.5901089936418385E-15</v>
      </c>
      <c r="Y10" s="2">
        <f t="shared" si="16"/>
        <v>3366363635.9711151</v>
      </c>
    </row>
    <row r="11" spans="1:25" x14ac:dyDescent="0.25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50.366336633663373</v>
      </c>
      <c r="L11" s="27">
        <f t="shared" si="7"/>
        <v>5.0366336633663374E-5</v>
      </c>
      <c r="M11" s="29">
        <f t="shared" si="8"/>
        <v>4.7762865441819992E-3</v>
      </c>
      <c r="N11" s="33">
        <f t="shared" si="9"/>
        <v>2.1221794323596038E-7</v>
      </c>
      <c r="O11" s="21">
        <f t="shared" si="10"/>
        <v>2.032E-3</v>
      </c>
      <c r="P11" s="21">
        <v>1.0571269522665299E-10</v>
      </c>
      <c r="Q11" s="2">
        <v>0.33</v>
      </c>
      <c r="R11" s="27">
        <f t="shared" si="11"/>
        <v>133000</v>
      </c>
      <c r="S11" s="2">
        <f t="shared" si="12"/>
        <v>5.2493374855265302E-3</v>
      </c>
      <c r="T11" s="11">
        <v>0.13</v>
      </c>
      <c r="U11" s="30">
        <f t="shared" si="13"/>
        <v>112999.99999999999</v>
      </c>
      <c r="V11" s="30">
        <f t="shared" si="1"/>
        <v>5.6913960396039602</v>
      </c>
      <c r="W11" s="11">
        <f t="shared" si="14"/>
        <v>41.794920042941705</v>
      </c>
      <c r="X11" s="2">
        <f t="shared" si="15"/>
        <v>8.378599905586422E-15</v>
      </c>
      <c r="Y11" s="2">
        <f t="shared" si="16"/>
        <v>5045592863.1441431</v>
      </c>
    </row>
    <row r="12" spans="1:25" x14ac:dyDescent="0.25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68.534653465346537</v>
      </c>
      <c r="L12" s="27">
        <f t="shared" si="7"/>
        <v>6.8534653465346536E-5</v>
      </c>
      <c r="M12" s="29">
        <f t="shared" si="8"/>
        <v>4.7762865441819992E-3</v>
      </c>
      <c r="N12" s="33">
        <f t="shared" si="9"/>
        <v>2.8876992393931935E-7</v>
      </c>
      <c r="O12" s="21">
        <f t="shared" si="10"/>
        <v>2.032E-3</v>
      </c>
      <c r="P12" s="21">
        <v>1.0571269522665299E-10</v>
      </c>
      <c r="Q12" s="2">
        <v>0.33</v>
      </c>
      <c r="R12" s="27">
        <f t="shared" si="11"/>
        <v>133000</v>
      </c>
      <c r="S12" s="2">
        <f t="shared" si="12"/>
        <v>5.2493374855265302E-3</v>
      </c>
      <c r="T12" s="11">
        <v>0.13</v>
      </c>
      <c r="U12" s="30">
        <f t="shared" si="13"/>
        <v>112999.99999999999</v>
      </c>
      <c r="V12" s="30">
        <f t="shared" si="1"/>
        <v>7.744415841584158</v>
      </c>
      <c r="W12" s="11">
        <f t="shared" si="14"/>
        <v>69.448701973662509</v>
      </c>
      <c r="X12" s="2">
        <f t="shared" si="15"/>
        <v>1.1403328818134678E-14</v>
      </c>
      <c r="Y12" s="2">
        <f t="shared" si="16"/>
        <v>6867084614.2807035</v>
      </c>
    </row>
    <row r="13" spans="1:25" x14ac:dyDescent="0.25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97.148514851485146</v>
      </c>
      <c r="L13" s="27">
        <f t="shared" si="7"/>
        <v>9.7148514851485147E-5</v>
      </c>
      <c r="M13" s="29">
        <f t="shared" si="8"/>
        <v>4.7762865441819992E-3</v>
      </c>
      <c r="N13" s="33">
        <f t="shared" si="9"/>
        <v>4.0933407883452777E-7</v>
      </c>
      <c r="O13" s="21">
        <f t="shared" si="10"/>
        <v>2.032E-3</v>
      </c>
      <c r="P13" s="21">
        <v>1.0571269522665299E-10</v>
      </c>
      <c r="Q13" s="2">
        <v>0.33</v>
      </c>
      <c r="R13" s="27">
        <f t="shared" si="11"/>
        <v>133000</v>
      </c>
      <c r="S13" s="2">
        <f t="shared" si="12"/>
        <v>5.2493374855265302E-3</v>
      </c>
      <c r="T13" s="11">
        <v>0.13</v>
      </c>
      <c r="U13" s="30">
        <f t="shared" si="13"/>
        <v>112999.99999999999</v>
      </c>
      <c r="V13" s="30">
        <f t="shared" si="1"/>
        <v>10.97778217821782</v>
      </c>
      <c r="W13" s="11">
        <f t="shared" si="14"/>
        <v>125.02497601119401</v>
      </c>
      <c r="X13" s="2">
        <f t="shared" si="15"/>
        <v>1.6171086570226135E-14</v>
      </c>
      <c r="Y13" s="2">
        <f t="shared" si="16"/>
        <v>9738228332.5901794</v>
      </c>
    </row>
    <row r="14" spans="1:25" x14ac:dyDescent="0.25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111.67821782178218</v>
      </c>
      <c r="L14" s="27">
        <f t="shared" si="7"/>
        <v>1.1167821782178219E-4</v>
      </c>
      <c r="M14" s="29">
        <f t="shared" si="8"/>
        <v>4.7762865441819992E-3</v>
      </c>
      <c r="N14" s="33">
        <f t="shared" si="9"/>
        <v>4.7055480454688708E-7</v>
      </c>
      <c r="O14" s="21">
        <f t="shared" si="10"/>
        <v>2.032E-3</v>
      </c>
      <c r="P14" s="21">
        <v>1.0571269522665299E-10</v>
      </c>
      <c r="Q14" s="2">
        <v>0.33</v>
      </c>
      <c r="R14" s="27">
        <f t="shared" si="11"/>
        <v>133000</v>
      </c>
      <c r="S14" s="2">
        <f t="shared" si="12"/>
        <v>5.2493374855265302E-3</v>
      </c>
      <c r="T14" s="11">
        <v>0.13</v>
      </c>
      <c r="U14" s="30">
        <f t="shared" si="13"/>
        <v>112999.99999999999</v>
      </c>
      <c r="V14" s="30">
        <f t="shared" si="1"/>
        <v>12.619638613861385</v>
      </c>
      <c r="W14" s="11">
        <f t="shared" si="14"/>
        <v>158.69387092996027</v>
      </c>
      <c r="X14" s="2">
        <f t="shared" si="15"/>
        <v>1.8594374343945457E-14</v>
      </c>
      <c r="Y14" s="2">
        <f t="shared" si="16"/>
        <v>11197532229.923954</v>
      </c>
    </row>
    <row r="15" spans="1:25" x14ac:dyDescent="0.25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142.0990099009901</v>
      </c>
      <c r="L15" s="27">
        <f t="shared" si="7"/>
        <v>1.420990099009901E-4</v>
      </c>
      <c r="M15" s="29">
        <f t="shared" si="8"/>
        <v>4.7762865441819992E-3</v>
      </c>
      <c r="N15" s="33">
        <f t="shared" si="9"/>
        <v>5.9873243981177565E-7</v>
      </c>
      <c r="O15" s="21">
        <f t="shared" si="10"/>
        <v>2.032E-3</v>
      </c>
      <c r="P15" s="21">
        <v>1.0571269522665299E-10</v>
      </c>
      <c r="Q15" s="2">
        <v>0.33</v>
      </c>
      <c r="R15" s="27">
        <f t="shared" si="11"/>
        <v>133000</v>
      </c>
      <c r="S15" s="2">
        <f t="shared" si="12"/>
        <v>5.2493374855265302E-3</v>
      </c>
      <c r="T15" s="11">
        <v>0.13</v>
      </c>
      <c r="U15" s="30">
        <f t="shared" si="13"/>
        <v>112999.99999999999</v>
      </c>
      <c r="V15" s="30">
        <f t="shared" si="1"/>
        <v>16.057188118811879</v>
      </c>
      <c r="W15" s="11">
        <f t="shared" si="14"/>
        <v>240.7438882834158</v>
      </c>
      <c r="X15" s="2">
        <f t="shared" si="15"/>
        <v>2.3674045276812395E-14</v>
      </c>
      <c r="Y15" s="2">
        <f t="shared" si="16"/>
        <v>14256510065.696424</v>
      </c>
    </row>
    <row r="16" spans="1:25" x14ac:dyDescent="0.25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158.11386138613864</v>
      </c>
      <c r="L16" s="27">
        <f t="shared" si="7"/>
        <v>1.5811386138613864E-4</v>
      </c>
      <c r="M16" s="29">
        <f t="shared" si="8"/>
        <v>4.7762865441819992E-3</v>
      </c>
      <c r="N16" s="33">
        <f t="shared" si="9"/>
        <v>6.6621082062250234E-7</v>
      </c>
      <c r="O16" s="21">
        <f t="shared" si="10"/>
        <v>2.032E-3</v>
      </c>
      <c r="P16" s="21">
        <v>1.0571269522665299E-10</v>
      </c>
      <c r="Q16" s="2">
        <v>0.33</v>
      </c>
      <c r="R16" s="27">
        <f t="shared" si="11"/>
        <v>133000</v>
      </c>
      <c r="S16" s="2">
        <f t="shared" si="12"/>
        <v>5.2493374855265302E-3</v>
      </c>
      <c r="T16" s="11">
        <v>0.13</v>
      </c>
      <c r="U16" s="30">
        <f t="shared" si="13"/>
        <v>112999.99999999999</v>
      </c>
      <c r="V16" s="30">
        <f t="shared" si="1"/>
        <v>17.866866336633663</v>
      </c>
      <c r="W16" s="11">
        <f t="shared" si="14"/>
        <v>290.11513787343216</v>
      </c>
      <c r="X16" s="2">
        <f t="shared" si="15"/>
        <v>2.6351958918435708E-14</v>
      </c>
      <c r="Y16" s="2">
        <f t="shared" si="16"/>
        <v>15869149660.681984</v>
      </c>
    </row>
    <row r="17" spans="1:76" s="4" customFormat="1" x14ac:dyDescent="0.25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183.50990099009903</v>
      </c>
      <c r="L17" s="27">
        <f t="shared" si="7"/>
        <v>1.8350990099009904E-4</v>
      </c>
      <c r="M17" s="29">
        <f t="shared" si="8"/>
        <v>4.7762865441819992E-3</v>
      </c>
      <c r="N17" s="33">
        <f t="shared" si="9"/>
        <v>7.7321672280458173E-7</v>
      </c>
      <c r="O17" s="21">
        <f t="shared" si="10"/>
        <v>2.032E-3</v>
      </c>
      <c r="P17" s="21">
        <v>1.0571269522665299E-10</v>
      </c>
      <c r="Q17" s="2">
        <v>0.33</v>
      </c>
      <c r="R17" s="27">
        <f t="shared" si="11"/>
        <v>133000</v>
      </c>
      <c r="S17" s="2">
        <f t="shared" si="12"/>
        <v>5.2493374855265302E-3</v>
      </c>
      <c r="T17" s="11">
        <v>0.13</v>
      </c>
      <c r="U17" s="30">
        <f t="shared" si="13"/>
        <v>112999.99999999999</v>
      </c>
      <c r="V17" s="30">
        <f t="shared" si="1"/>
        <v>20.73661881188119</v>
      </c>
      <c r="W17" s="11">
        <f t="shared" si="14"/>
        <v>376.99855644161738</v>
      </c>
      <c r="X17" s="2">
        <f t="shared" si="15"/>
        <v>3.0604612196033285E-14</v>
      </c>
      <c r="Y17" s="2">
        <f t="shared" si="16"/>
        <v>18430097464.451244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4" customFormat="1" x14ac:dyDescent="0.25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214.40099009900993</v>
      </c>
      <c r="L18" s="27">
        <f t="shared" si="7"/>
        <v>2.1440099009900992E-4</v>
      </c>
      <c r="M18" s="29">
        <f t="shared" si="8"/>
        <v>4.7762865441819992E-3</v>
      </c>
      <c r="N18" s="33">
        <f t="shared" si="9"/>
        <v>9.0337594885061992E-7</v>
      </c>
      <c r="O18" s="21">
        <f t="shared" si="10"/>
        <v>2.032E-3</v>
      </c>
      <c r="P18" s="21">
        <v>1.0571269522665299E-10</v>
      </c>
      <c r="Q18" s="2">
        <v>0.33</v>
      </c>
      <c r="R18" s="27">
        <f t="shared" si="11"/>
        <v>133000</v>
      </c>
      <c r="S18" s="2">
        <f t="shared" si="12"/>
        <v>5.2493374855265302E-3</v>
      </c>
      <c r="T18" s="11">
        <v>0.13</v>
      </c>
      <c r="U18" s="30">
        <f t="shared" si="13"/>
        <v>112999.99999999999</v>
      </c>
      <c r="V18" s="30">
        <f t="shared" si="1"/>
        <v>24.227311881188118</v>
      </c>
      <c r="W18" s="11">
        <f t="shared" si="14"/>
        <v>496.69863079691021</v>
      </c>
      <c r="X18" s="2">
        <f t="shared" si="15"/>
        <v>3.5788732679281296E-14</v>
      </c>
      <c r="Y18" s="2">
        <f t="shared" si="16"/>
        <v>21551974819.463196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4" customFormat="1" x14ac:dyDescent="0.25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217.14851485148517</v>
      </c>
      <c r="L19" s="27">
        <f t="shared" si="7"/>
        <v>2.1714851485148516E-4</v>
      </c>
      <c r="M19" s="29">
        <f t="shared" si="8"/>
        <v>4.7762865441819992E-3</v>
      </c>
      <c r="N19" s="33">
        <f t="shared" si="9"/>
        <v>9.1495261078259922E-7</v>
      </c>
      <c r="O19" s="21">
        <f t="shared" si="10"/>
        <v>2.032E-3</v>
      </c>
      <c r="P19" s="21">
        <v>1.0571269522665299E-10</v>
      </c>
      <c r="Q19" s="2">
        <v>0.33</v>
      </c>
      <c r="R19" s="27">
        <f t="shared" si="11"/>
        <v>133000</v>
      </c>
      <c r="S19" s="2">
        <f t="shared" si="12"/>
        <v>5.2493374855265302E-3</v>
      </c>
      <c r="T19" s="11">
        <v>0.13</v>
      </c>
      <c r="U19" s="30">
        <f t="shared" si="13"/>
        <v>112999.99999999999</v>
      </c>
      <c r="V19" s="30">
        <f t="shared" si="1"/>
        <v>24.537782178217821</v>
      </c>
      <c r="W19" s="11">
        <f t="shared" si="14"/>
        <v>508.08315927283621</v>
      </c>
      <c r="X19" s="2">
        <f t="shared" si="15"/>
        <v>3.6250475891560845E-14</v>
      </c>
      <c r="Y19" s="2">
        <f t="shared" si="16"/>
        <v>21830036581.897942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4" customFormat="1" x14ac:dyDescent="0.25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229.970297029703</v>
      </c>
      <c r="L20" s="27">
        <f t="shared" si="7"/>
        <v>2.2997029702970299E-4</v>
      </c>
      <c r="M20" s="29">
        <f t="shared" si="8"/>
        <v>4.7762865441819992E-3</v>
      </c>
      <c r="N20" s="33">
        <f t="shared" si="9"/>
        <v>9.689770331318362E-7</v>
      </c>
      <c r="O20" s="21">
        <f t="shared" si="10"/>
        <v>2.032E-3</v>
      </c>
      <c r="P20" s="21">
        <v>1.0571269522665299E-10</v>
      </c>
      <c r="Q20" s="2">
        <v>0.33</v>
      </c>
      <c r="R20" s="27">
        <f t="shared" si="11"/>
        <v>133000</v>
      </c>
      <c r="S20" s="2">
        <f t="shared" si="12"/>
        <v>5.2493374855265302E-3</v>
      </c>
      <c r="T20" s="11">
        <v>0.13</v>
      </c>
      <c r="U20" s="30">
        <f t="shared" si="13"/>
        <v>112999.99999999999</v>
      </c>
      <c r="V20" s="30">
        <f t="shared" si="1"/>
        <v>25.986643564356434</v>
      </c>
      <c r="W20" s="11">
        <f t="shared" si="14"/>
        <v>562.79495125792971</v>
      </c>
      <c r="X20" s="2">
        <f t="shared" si="15"/>
        <v>3.8406786527707261E-14</v>
      </c>
      <c r="Y20" s="2">
        <f t="shared" si="16"/>
        <v>23128566846.985313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4" customFormat="1" x14ac:dyDescent="0.25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262.64356435643566</v>
      </c>
      <c r="L21" s="27">
        <f t="shared" si="7"/>
        <v>2.6264356435643567E-4</v>
      </c>
      <c r="M21" s="29">
        <f t="shared" si="8"/>
        <v>4.7762865441819992E-3</v>
      </c>
      <c r="N21" s="33">
        <f t="shared" si="9"/>
        <v>1.1066454452959151E-6</v>
      </c>
      <c r="O21" s="21">
        <f t="shared" si="10"/>
        <v>2.032E-3</v>
      </c>
      <c r="P21" s="21">
        <v>1.0571269522665299E-10</v>
      </c>
      <c r="Q21" s="2">
        <v>0.33</v>
      </c>
      <c r="R21" s="27">
        <f t="shared" si="11"/>
        <v>133000</v>
      </c>
      <c r="S21" s="2">
        <f t="shared" si="12"/>
        <v>5.2493374855265302E-3</v>
      </c>
      <c r="T21" s="11">
        <v>0.13</v>
      </c>
      <c r="U21" s="30">
        <f t="shared" si="13"/>
        <v>112999.99999999999</v>
      </c>
      <c r="V21" s="30">
        <f t="shared" si="1"/>
        <v>29.678722772277226</v>
      </c>
      <c r="W21" s="11">
        <f t="shared" si="14"/>
        <v>713.94013555877848</v>
      </c>
      <c r="X21" s="2">
        <f t="shared" si="15"/>
        <v>4.3913587154473559E-14</v>
      </c>
      <c r="Y21" s="2">
        <f t="shared" si="16"/>
        <v>26444762184.423977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4" customFormat="1" x14ac:dyDescent="0.25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278.21287128712873</v>
      </c>
      <c r="L22" s="27">
        <f t="shared" si="7"/>
        <v>2.7821287128712872E-4</v>
      </c>
      <c r="M22" s="29">
        <f t="shared" si="8"/>
        <v>4.7762865441819992E-3</v>
      </c>
      <c r="N22" s="33">
        <f t="shared" si="9"/>
        <v>1.1722465295771313E-6</v>
      </c>
      <c r="O22" s="21">
        <f t="shared" si="10"/>
        <v>2.032E-3</v>
      </c>
      <c r="P22" s="21">
        <v>1.0571269522665299E-10</v>
      </c>
      <c r="Q22" s="2">
        <v>0.33</v>
      </c>
      <c r="R22" s="27">
        <f t="shared" si="11"/>
        <v>133000</v>
      </c>
      <c r="S22" s="2">
        <f t="shared" si="12"/>
        <v>5.2493374855265302E-3</v>
      </c>
      <c r="T22" s="11">
        <v>0.13</v>
      </c>
      <c r="U22" s="30">
        <f t="shared" si="13"/>
        <v>112999.99999999999</v>
      </c>
      <c r="V22" s="30">
        <f t="shared" si="1"/>
        <v>31.438054455445542</v>
      </c>
      <c r="W22" s="11">
        <f t="shared" si="14"/>
        <v>791.84739095490693</v>
      </c>
      <c r="X22" s="2">
        <f t="shared" si="15"/>
        <v>4.6544161827782954E-14</v>
      </c>
      <c r="Y22" s="2">
        <f t="shared" si="16"/>
        <v>28028894252.690895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4" customFormat="1" x14ac:dyDescent="0.25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280.83663366336634</v>
      </c>
      <c r="L23" s="27">
        <f t="shared" si="7"/>
        <v>2.8083663366336632E-4</v>
      </c>
      <c r="M23" s="29">
        <f t="shared" si="8"/>
        <v>4.7762865441819992E-3</v>
      </c>
      <c r="N23" s="33">
        <f t="shared" si="9"/>
        <v>1.1833017202509135E-6</v>
      </c>
      <c r="O23" s="21">
        <f t="shared" si="10"/>
        <v>2.032E-3</v>
      </c>
      <c r="P23" s="21">
        <v>1.0571269522665299E-10</v>
      </c>
      <c r="Q23" s="2">
        <v>0.33</v>
      </c>
      <c r="R23" s="27">
        <f t="shared" si="11"/>
        <v>133000</v>
      </c>
      <c r="S23" s="2">
        <f t="shared" si="12"/>
        <v>5.2493374855265302E-3</v>
      </c>
      <c r="T23" s="11">
        <v>0.13</v>
      </c>
      <c r="U23" s="30">
        <f t="shared" si="13"/>
        <v>112999.99999999999</v>
      </c>
      <c r="V23" s="30">
        <f t="shared" si="1"/>
        <v>31.734539603960389</v>
      </c>
      <c r="W23" s="11">
        <f t="shared" si="14"/>
        <v>805.34845220749287</v>
      </c>
      <c r="X23" s="2">
        <f t="shared" si="15"/>
        <v>4.6987907635245568E-14</v>
      </c>
      <c r="Y23" s="2">
        <f t="shared" si="16"/>
        <v>28296117977.944881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</row>
    <row r="24" spans="1:76" s="4" customFormat="1" x14ac:dyDescent="0.25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288.33663366336634</v>
      </c>
      <c r="L24" s="27">
        <f t="shared" si="7"/>
        <v>2.8833663366336634E-4</v>
      </c>
      <c r="M24" s="29">
        <f t="shared" si="8"/>
        <v>4.7762865441819992E-3</v>
      </c>
      <c r="N24" s="33">
        <f t="shared" si="9"/>
        <v>1.2149028784976679E-6</v>
      </c>
      <c r="O24" s="21">
        <f t="shared" si="10"/>
        <v>2.032E-3</v>
      </c>
      <c r="P24" s="21">
        <v>1.0571269522665299E-10</v>
      </c>
      <c r="Q24" s="2">
        <v>0.33</v>
      </c>
      <c r="R24" s="27">
        <f t="shared" si="11"/>
        <v>133000</v>
      </c>
      <c r="S24" s="2">
        <f t="shared" si="12"/>
        <v>5.2493374855265302E-3</v>
      </c>
      <c r="T24" s="11">
        <v>0.13</v>
      </c>
      <c r="U24" s="30">
        <f t="shared" si="13"/>
        <v>112999.99999999999</v>
      </c>
      <c r="V24" s="30">
        <f t="shared" si="1"/>
        <v>32.582039603960389</v>
      </c>
      <c r="W24" s="11">
        <f t="shared" si="14"/>
        <v>844.5314173348836</v>
      </c>
      <c r="X24" s="2">
        <f t="shared" si="15"/>
        <v>4.8257066391336773E-14</v>
      </c>
      <c r="Y24" s="2">
        <f t="shared" si="16"/>
        <v>29060405380.863007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4" customFormat="1" x14ac:dyDescent="0.25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299.32673267326737</v>
      </c>
      <c r="L25" s="27">
        <f t="shared" si="7"/>
        <v>2.9932673267326737E-4</v>
      </c>
      <c r="M25" s="29">
        <f t="shared" si="8"/>
        <v>4.7762865441819992E-3</v>
      </c>
      <c r="N25" s="33">
        <f t="shared" si="9"/>
        <v>1.2612095262255855E-6</v>
      </c>
      <c r="O25" s="21">
        <f t="shared" si="10"/>
        <v>2.032E-3</v>
      </c>
      <c r="P25" s="21">
        <v>1.0571269522665299E-10</v>
      </c>
      <c r="Q25" s="2">
        <v>0.33</v>
      </c>
      <c r="R25" s="27">
        <f t="shared" si="11"/>
        <v>133000</v>
      </c>
      <c r="S25" s="2">
        <f t="shared" si="12"/>
        <v>5.2493374855265302E-3</v>
      </c>
      <c r="T25" s="11">
        <v>0.13</v>
      </c>
      <c r="U25" s="30">
        <f t="shared" si="13"/>
        <v>112999.99999999999</v>
      </c>
      <c r="V25" s="30">
        <f t="shared" si="1"/>
        <v>33.823920792079207</v>
      </c>
      <c r="W25" s="11">
        <f t="shared" si="14"/>
        <v>903.52488446375082</v>
      </c>
      <c r="X25" s="2">
        <f t="shared" si="15"/>
        <v>5.0118782029032836E-14</v>
      </c>
      <c r="Y25" s="2">
        <f t="shared" si="16"/>
        <v>30181530537.883575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4" customFormat="1" x14ac:dyDescent="0.25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315.06930693069307</v>
      </c>
      <c r="L26" s="27">
        <f t="shared" si="7"/>
        <v>3.1506930693069306E-4</v>
      </c>
      <c r="M26" s="29">
        <f t="shared" si="8"/>
        <v>4.7762865441819992E-3</v>
      </c>
      <c r="N26" s="33">
        <f t="shared" si="9"/>
        <v>1.3275406702682779E-6</v>
      </c>
      <c r="O26" s="21">
        <f t="shared" si="10"/>
        <v>2.032E-3</v>
      </c>
      <c r="P26" s="21">
        <v>1.0571269522665299E-10</v>
      </c>
      <c r="Q26" s="2">
        <v>0.33</v>
      </c>
      <c r="R26" s="27">
        <f t="shared" si="11"/>
        <v>133000</v>
      </c>
      <c r="S26" s="2">
        <f t="shared" si="12"/>
        <v>5.2493374855265302E-3</v>
      </c>
      <c r="T26" s="11">
        <v>0.13</v>
      </c>
      <c r="U26" s="30">
        <f t="shared" si="13"/>
        <v>112999.99999999999</v>
      </c>
      <c r="V26" s="30">
        <f t="shared" si="1"/>
        <v>35.602831683168311</v>
      </c>
      <c r="W26" s="11">
        <f t="shared" si="14"/>
        <v>991.28502548507686</v>
      </c>
      <c r="X26" s="2">
        <f t="shared" si="15"/>
        <v>5.2789764716258603E-14</v>
      </c>
      <c r="Y26" s="2">
        <f t="shared" si="16"/>
        <v>31789996312.130932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4" customFormat="1" x14ac:dyDescent="0.25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316.03465346534659</v>
      </c>
      <c r="L27" s="27">
        <f t="shared" si="7"/>
        <v>3.1603465346534659E-4</v>
      </c>
      <c r="M27" s="29">
        <f t="shared" si="8"/>
        <v>4.7762865441819992E-3</v>
      </c>
      <c r="N27" s="33">
        <f t="shared" si="9"/>
        <v>1.3316081460822168E-6</v>
      </c>
      <c r="O27" s="21">
        <f t="shared" si="10"/>
        <v>2.032E-3</v>
      </c>
      <c r="P27" s="21">
        <v>1.0571269522665299E-10</v>
      </c>
      <c r="Q27" s="2">
        <v>0.33</v>
      </c>
      <c r="R27" s="27">
        <f t="shared" si="11"/>
        <v>133000</v>
      </c>
      <c r="S27" s="2">
        <f t="shared" si="12"/>
        <v>5.2493374855265302E-3</v>
      </c>
      <c r="T27" s="11">
        <v>0.13</v>
      </c>
      <c r="U27" s="30">
        <f t="shared" si="13"/>
        <v>112999.99999999999</v>
      </c>
      <c r="V27" s="30">
        <f t="shared" si="1"/>
        <v>35.711915841584158</v>
      </c>
      <c r="W27" s="11">
        <f t="shared" si="14"/>
        <v>996.79104473020084</v>
      </c>
      <c r="X27" s="2">
        <f t="shared" si="15"/>
        <v>5.2953716902673924E-14</v>
      </c>
      <c r="Y27" s="2">
        <f t="shared" si="16"/>
        <v>31888728318.790237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4" customFormat="1" x14ac:dyDescent="0.25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305.71287128712873</v>
      </c>
      <c r="L28" s="27">
        <f t="shared" si="7"/>
        <v>3.0571287128712874E-4</v>
      </c>
      <c r="M28" s="29">
        <f t="shared" si="8"/>
        <v>4.7762865441819992E-3</v>
      </c>
      <c r="N28" s="33">
        <f t="shared" si="9"/>
        <v>1.2881174431485646E-6</v>
      </c>
      <c r="O28" s="21">
        <f t="shared" si="10"/>
        <v>2.032E-3</v>
      </c>
      <c r="P28" s="21">
        <v>1.0571269522665299E-10</v>
      </c>
      <c r="Q28" s="2">
        <v>0.33</v>
      </c>
      <c r="R28" s="27">
        <f t="shared" si="11"/>
        <v>133000</v>
      </c>
      <c r="S28" s="2">
        <f t="shared" si="12"/>
        <v>5.2493374855265302E-3</v>
      </c>
      <c r="T28" s="11">
        <v>0.13</v>
      </c>
      <c r="U28" s="30">
        <f t="shared" si="13"/>
        <v>112999.99999999999</v>
      </c>
      <c r="V28" s="30">
        <f t="shared" si="1"/>
        <v>34.54555445544554</v>
      </c>
      <c r="W28" s="11">
        <f t="shared" si="14"/>
        <v>938.6640810417282</v>
      </c>
      <c r="X28" s="2">
        <f t="shared" si="15"/>
        <v>5.1201686951204414E-14</v>
      </c>
      <c r="Y28" s="2">
        <f t="shared" si="16"/>
        <v>30833655882.015301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4" customFormat="1" x14ac:dyDescent="0.25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0">
        <v>323.83168316831689</v>
      </c>
      <c r="L29" s="27">
        <f t="shared" si="7"/>
        <v>3.238316831683169E-4</v>
      </c>
      <c r="M29" s="29">
        <f t="shared" si="8"/>
        <v>4.7762865441819992E-3</v>
      </c>
      <c r="N29" s="33">
        <f t="shared" si="9"/>
        <v>1.3644608353486448E-6</v>
      </c>
      <c r="O29" s="21">
        <f t="shared" si="10"/>
        <v>2.032E-3</v>
      </c>
      <c r="P29" s="21">
        <v>1.0571269522665299E-10</v>
      </c>
      <c r="Q29" s="2">
        <v>0.33</v>
      </c>
      <c r="R29" s="27">
        <f t="shared" si="11"/>
        <v>133000</v>
      </c>
      <c r="S29" s="2">
        <f t="shared" si="12"/>
        <v>5.2493374855265302E-3</v>
      </c>
      <c r="T29" s="11">
        <v>0.13</v>
      </c>
      <c r="U29" s="30">
        <f t="shared" si="13"/>
        <v>112999.99999999999</v>
      </c>
      <c r="V29" s="30">
        <f t="shared" si="1"/>
        <v>36.592980198019802</v>
      </c>
      <c r="W29" s="11">
        <f t="shared" si="14"/>
        <v>1041.7890863568887</v>
      </c>
      <c r="X29" s="9">
        <f t="shared" si="15"/>
        <v>5.4278664138723586E-14</v>
      </c>
      <c r="Y29" s="9">
        <f t="shared" si="16"/>
        <v>32686611544.339344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4" customFormat="1" x14ac:dyDescent="0.25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0">
        <v>326.95049504950498</v>
      </c>
      <c r="L30" s="27">
        <f t="shared" si="7"/>
        <v>3.2695049504950498E-4</v>
      </c>
      <c r="M30" s="29">
        <f t="shared" si="8"/>
        <v>4.7762865441819992E-3</v>
      </c>
      <c r="N30" s="33">
        <f t="shared" si="9"/>
        <v>1.3776019110552157E-6</v>
      </c>
      <c r="O30" s="21">
        <f t="shared" si="10"/>
        <v>2.032E-3</v>
      </c>
      <c r="P30" s="21">
        <v>1.0571269522665299E-10</v>
      </c>
      <c r="Q30" s="2">
        <v>0.33</v>
      </c>
      <c r="R30" s="27">
        <f t="shared" si="11"/>
        <v>133000</v>
      </c>
      <c r="S30" s="2">
        <f t="shared" si="12"/>
        <v>5.2493374855265302E-3</v>
      </c>
      <c r="T30" s="11">
        <v>0.13</v>
      </c>
      <c r="U30" s="30">
        <f t="shared" si="13"/>
        <v>112999.99999999999</v>
      </c>
      <c r="V30" s="30">
        <f t="shared" si="1"/>
        <v>36.945405940594057</v>
      </c>
      <c r="W30" s="11">
        <f t="shared" si="14"/>
        <v>1060.050344788458</v>
      </c>
      <c r="X30" s="9">
        <f t="shared" si="15"/>
        <v>5.4809004935447087E-14</v>
      </c>
      <c r="Y30" s="9">
        <f t="shared" si="16"/>
        <v>33005982772.126236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4" customFormat="1" x14ac:dyDescent="0.25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0">
        <v>326.85148514851488</v>
      </c>
      <c r="L31" s="27">
        <f t="shared" si="7"/>
        <v>3.2685148514851486E-4</v>
      </c>
      <c r="M31" s="29">
        <f t="shared" si="8"/>
        <v>4.7762865441819992E-3</v>
      </c>
      <c r="N31" s="33">
        <f t="shared" si="9"/>
        <v>1.377184734048658E-6</v>
      </c>
      <c r="O31" s="21">
        <f t="shared" si="10"/>
        <v>2.032E-3</v>
      </c>
      <c r="P31" s="21">
        <v>1.0571269522665299E-10</v>
      </c>
      <c r="Q31" s="2">
        <v>0.33</v>
      </c>
      <c r="R31" s="27">
        <f t="shared" si="11"/>
        <v>133000</v>
      </c>
      <c r="S31" s="2">
        <f t="shared" si="12"/>
        <v>5.2493374855265302E-3</v>
      </c>
      <c r="T31" s="11">
        <v>0.13</v>
      </c>
      <c r="U31" s="30">
        <f t="shared" si="13"/>
        <v>112999.99999999999</v>
      </c>
      <c r="V31" s="30">
        <f t="shared" si="1"/>
        <v>36.934217821782177</v>
      </c>
      <c r="W31" s="11">
        <f t="shared" si="14"/>
        <v>1059.4683228486954</v>
      </c>
      <c r="X31" s="9">
        <f t="shared" si="15"/>
        <v>5.4792165508519285E-14</v>
      </c>
      <c r="Y31" s="9">
        <f t="shared" si="16"/>
        <v>32995842069.230316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4" customFormat="1" x14ac:dyDescent="0.25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0">
        <v>324.12871287128718</v>
      </c>
      <c r="L32" s="27">
        <f t="shared" si="7"/>
        <v>3.241287128712872E-4</v>
      </c>
      <c r="M32" s="29">
        <f t="shared" si="8"/>
        <v>4.7762865441819992E-3</v>
      </c>
      <c r="N32" s="33">
        <f t="shared" si="9"/>
        <v>1.3657123663683184E-6</v>
      </c>
      <c r="O32" s="21">
        <f t="shared" si="10"/>
        <v>2.032E-3</v>
      </c>
      <c r="P32" s="21">
        <v>1.0571269522665299E-10</v>
      </c>
      <c r="Q32" s="2">
        <v>0.33</v>
      </c>
      <c r="R32" s="27">
        <f t="shared" si="11"/>
        <v>133000</v>
      </c>
      <c r="S32" s="2">
        <f t="shared" si="12"/>
        <v>5.2493374855265302E-3</v>
      </c>
      <c r="T32" s="11">
        <v>0.13</v>
      </c>
      <c r="U32" s="30">
        <f t="shared" si="13"/>
        <v>112999.99999999999</v>
      </c>
      <c r="V32" s="30">
        <f t="shared" si="1"/>
        <v>36.62654455445545</v>
      </c>
      <c r="W32" s="11">
        <f t="shared" si="14"/>
        <v>1043.5218065048693</v>
      </c>
      <c r="X32" s="9">
        <f t="shared" si="15"/>
        <v>5.4329163807417829E-14</v>
      </c>
      <c r="Y32" s="9">
        <f t="shared" si="16"/>
        <v>32717022444.827019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4" customFormat="1" x14ac:dyDescent="0.25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0">
        <v>323.58415841584161</v>
      </c>
      <c r="L33" s="27">
        <f t="shared" si="7"/>
        <v>3.2358415841584161E-4</v>
      </c>
      <c r="M33" s="29">
        <f t="shared" si="8"/>
        <v>4.7762865441819992E-3</v>
      </c>
      <c r="N33" s="33">
        <f t="shared" si="9"/>
        <v>1.3634178928322501E-6</v>
      </c>
      <c r="O33" s="21">
        <f t="shared" si="10"/>
        <v>2.032E-3</v>
      </c>
      <c r="P33" s="21">
        <v>1.0571269522665299E-10</v>
      </c>
      <c r="Q33" s="2">
        <v>0.33</v>
      </c>
      <c r="R33" s="27">
        <f t="shared" si="11"/>
        <v>133000</v>
      </c>
      <c r="S33" s="2">
        <f t="shared" si="12"/>
        <v>5.2493374855265302E-3</v>
      </c>
      <c r="T33" s="11">
        <v>0.13</v>
      </c>
      <c r="U33" s="30">
        <f t="shared" si="13"/>
        <v>112999.99999999999</v>
      </c>
      <c r="V33" s="30">
        <f t="shared" si="1"/>
        <v>36.565009900990098</v>
      </c>
      <c r="W33" s="11">
        <f t="shared" si="14"/>
        <v>1040.3461900142386</v>
      </c>
      <c r="X33" s="9">
        <f t="shared" si="15"/>
        <v>5.423658252080327E-14</v>
      </c>
      <c r="Y33" s="9">
        <f t="shared" si="16"/>
        <v>32661269994.027729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4" customFormat="1" x14ac:dyDescent="0.25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0">
        <v>326.72772277227722</v>
      </c>
      <c r="L34" s="27">
        <f t="shared" si="7"/>
        <v>3.2672772277227721E-4</v>
      </c>
      <c r="M34" s="29">
        <f t="shared" si="8"/>
        <v>4.7762865441819992E-3</v>
      </c>
      <c r="N34" s="33">
        <f t="shared" si="9"/>
        <v>1.3766632627904605E-6</v>
      </c>
      <c r="O34" s="21">
        <f t="shared" si="10"/>
        <v>2.032E-3</v>
      </c>
      <c r="P34" s="21">
        <v>1.0571269522665299E-10</v>
      </c>
      <c r="Q34" s="2">
        <v>0.33</v>
      </c>
      <c r="R34" s="27">
        <f t="shared" si="11"/>
        <v>133000</v>
      </c>
      <c r="S34" s="2">
        <f t="shared" si="12"/>
        <v>5.2493374855265302E-3</v>
      </c>
      <c r="T34" s="11">
        <v>0.13</v>
      </c>
      <c r="U34" s="30">
        <f t="shared" si="13"/>
        <v>112999.99999999999</v>
      </c>
      <c r="V34" s="30">
        <f t="shared" si="1"/>
        <v>36.920232673267321</v>
      </c>
      <c r="W34" s="11">
        <f t="shared" si="14"/>
        <v>1058.7410074172803</v>
      </c>
      <c r="X34" s="9">
        <f t="shared" si="15"/>
        <v>5.477111652178093E-14</v>
      </c>
      <c r="Y34" s="9">
        <f t="shared" si="16"/>
        <v>32983166369.416477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4" customFormat="1" x14ac:dyDescent="0.25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0">
        <v>326.45544554455449</v>
      </c>
      <c r="L35" s="27">
        <f t="shared" si="7"/>
        <v>3.264554455445545E-4</v>
      </c>
      <c r="M35" s="29">
        <f t="shared" si="8"/>
        <v>4.7762865441819992E-3</v>
      </c>
      <c r="N35" s="33">
        <f t="shared" si="9"/>
        <v>1.3755160260224268E-6</v>
      </c>
      <c r="O35" s="21">
        <f t="shared" si="10"/>
        <v>2.032E-3</v>
      </c>
      <c r="P35" s="21">
        <v>1.0571269522665299E-10</v>
      </c>
      <c r="Q35" s="2">
        <v>0.33</v>
      </c>
      <c r="R35" s="27">
        <f t="shared" si="11"/>
        <v>133000</v>
      </c>
      <c r="S35" s="2">
        <f t="shared" si="12"/>
        <v>5.2493374855265302E-3</v>
      </c>
      <c r="T35" s="11">
        <v>0.13</v>
      </c>
      <c r="U35" s="30">
        <f t="shared" si="13"/>
        <v>112999.99999999999</v>
      </c>
      <c r="V35" s="30">
        <f t="shared" si="1"/>
        <v>36.889465346534656</v>
      </c>
      <c r="W35" s="11">
        <f t="shared" si="14"/>
        <v>1057.141742628233</v>
      </c>
      <c r="X35" s="9">
        <f t="shared" si="15"/>
        <v>5.4724809911707315E-14</v>
      </c>
      <c r="Y35" s="9">
        <f t="shared" si="16"/>
        <v>32955280528.830147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4" customFormat="1" x14ac:dyDescent="0.25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0">
        <v>324.22772277227727</v>
      </c>
      <c r="L36" s="27">
        <f t="shared" si="7"/>
        <v>3.2422772277227726E-4</v>
      </c>
      <c r="M36" s="29">
        <f t="shared" si="8"/>
        <v>4.7762865441819992E-3</v>
      </c>
      <c r="N36" s="33">
        <f t="shared" si="9"/>
        <v>1.3661295433748759E-6</v>
      </c>
      <c r="O36" s="21">
        <f t="shared" si="10"/>
        <v>2.032E-3</v>
      </c>
      <c r="P36" s="21">
        <v>1.0571269522665299E-10</v>
      </c>
      <c r="Q36" s="2">
        <v>0.33</v>
      </c>
      <c r="R36" s="27">
        <f t="shared" si="11"/>
        <v>133000</v>
      </c>
      <c r="S36" s="2">
        <f t="shared" si="12"/>
        <v>5.2493374855265302E-3</v>
      </c>
      <c r="T36" s="11">
        <v>0.13</v>
      </c>
      <c r="U36" s="30">
        <f t="shared" si="13"/>
        <v>112999.99999999999</v>
      </c>
      <c r="V36" s="30">
        <f t="shared" si="1"/>
        <v>36.637732673267323</v>
      </c>
      <c r="W36" s="11">
        <f t="shared" si="14"/>
        <v>1044.0996815786903</v>
      </c>
      <c r="X36" s="9">
        <f t="shared" si="15"/>
        <v>5.4345997449284607E-14</v>
      </c>
      <c r="Y36" s="9">
        <f t="shared" si="16"/>
        <v>32727159663.95919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4" customFormat="1" x14ac:dyDescent="0.25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0">
        <v>337.74257425742576</v>
      </c>
      <c r="L37" s="27">
        <f t="shared" si="7"/>
        <v>3.3774257425742577E-4</v>
      </c>
      <c r="M37" s="29">
        <f t="shared" si="8"/>
        <v>4.7762865441819992E-3</v>
      </c>
      <c r="N37" s="33">
        <f t="shared" si="9"/>
        <v>1.4230742047700175E-6</v>
      </c>
      <c r="O37" s="21">
        <f t="shared" si="10"/>
        <v>2.032E-3</v>
      </c>
      <c r="P37" s="21">
        <v>1.0571269522665299E-10</v>
      </c>
      <c r="Q37" s="2">
        <v>0.33</v>
      </c>
      <c r="R37" s="27">
        <f t="shared" si="11"/>
        <v>133000</v>
      </c>
      <c r="S37" s="2">
        <f t="shared" si="12"/>
        <v>5.2493374855265302E-3</v>
      </c>
      <c r="T37" s="11">
        <v>0.13</v>
      </c>
      <c r="U37" s="30">
        <f t="shared" si="13"/>
        <v>112999.99999999999</v>
      </c>
      <c r="V37" s="30">
        <f t="shared" si="1"/>
        <v>38.164910891089107</v>
      </c>
      <c r="W37" s="11">
        <f t="shared" si="14"/>
        <v>1124.3937506911827</v>
      </c>
      <c r="X37" s="9">
        <f t="shared" si="15"/>
        <v>5.6645781431804883E-14</v>
      </c>
      <c r="Y37" s="9">
        <f t="shared" si="16"/>
        <v>34112089578.232903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4" customFormat="1" x14ac:dyDescent="0.25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0">
        <v>327.69306930693074</v>
      </c>
      <c r="L38" s="27">
        <f t="shared" si="7"/>
        <v>3.2769306930693074E-4</v>
      </c>
      <c r="M38" s="29">
        <f t="shared" si="8"/>
        <v>4.7762865441819992E-3</v>
      </c>
      <c r="N38" s="33">
        <f t="shared" si="9"/>
        <v>1.3807307386043996E-6</v>
      </c>
      <c r="O38" s="21">
        <f t="shared" si="10"/>
        <v>2.032E-3</v>
      </c>
      <c r="P38" s="21">
        <v>1.0571269522665299E-10</v>
      </c>
      <c r="Q38" s="2">
        <v>0.33</v>
      </c>
      <c r="R38" s="27">
        <f t="shared" si="11"/>
        <v>133000</v>
      </c>
      <c r="S38" s="2">
        <f t="shared" si="12"/>
        <v>5.2493374855265302E-3</v>
      </c>
      <c r="T38" s="11">
        <v>0.13</v>
      </c>
      <c r="U38" s="30">
        <f t="shared" si="13"/>
        <v>112999.99999999999</v>
      </c>
      <c r="V38" s="30">
        <f t="shared" si="1"/>
        <v>37.029316831683168</v>
      </c>
      <c r="W38" s="11">
        <f t="shared" si="14"/>
        <v>1064.4203141707685</v>
      </c>
      <c r="X38" s="9">
        <f t="shared" si="15"/>
        <v>5.4935307373749186E-14</v>
      </c>
      <c r="Y38" s="9">
        <f t="shared" si="16"/>
        <v>33082042100.47176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4" customFormat="1" x14ac:dyDescent="0.25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0">
        <v>323.58415841584161</v>
      </c>
      <c r="L39" s="27">
        <f t="shared" si="7"/>
        <v>3.2358415841584161E-4</v>
      </c>
      <c r="M39" s="29">
        <f t="shared" si="8"/>
        <v>4.7762865441819992E-3</v>
      </c>
      <c r="N39" s="33">
        <f t="shared" si="9"/>
        <v>1.3634178928322501E-6</v>
      </c>
      <c r="O39" s="21">
        <f t="shared" si="10"/>
        <v>2.032E-3</v>
      </c>
      <c r="P39" s="21">
        <v>1.0571269522665299E-10</v>
      </c>
      <c r="Q39" s="2">
        <v>0.33</v>
      </c>
      <c r="R39" s="27">
        <f t="shared" si="11"/>
        <v>133000</v>
      </c>
      <c r="S39" s="2">
        <f t="shared" si="12"/>
        <v>5.2493374855265302E-3</v>
      </c>
      <c r="T39" s="11">
        <v>0.13</v>
      </c>
      <c r="U39" s="30">
        <f t="shared" si="13"/>
        <v>112999.99999999999</v>
      </c>
      <c r="V39" s="30">
        <f t="shared" si="1"/>
        <v>36.565009900990098</v>
      </c>
      <c r="W39" s="11">
        <f t="shared" si="14"/>
        <v>1040.3461900142386</v>
      </c>
      <c r="X39" s="9">
        <f t="shared" si="15"/>
        <v>5.423658252080327E-14</v>
      </c>
      <c r="Y39" s="9">
        <f t="shared" si="16"/>
        <v>32661269994.027729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4" customFormat="1" x14ac:dyDescent="0.25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0">
        <v>325.39108910891093</v>
      </c>
      <c r="L40" s="27">
        <f t="shared" si="7"/>
        <v>3.2539108910891091E-4</v>
      </c>
      <c r="M40" s="29">
        <f t="shared" si="8"/>
        <v>4.7762865441819992E-3</v>
      </c>
      <c r="N40" s="33">
        <f t="shared" si="9"/>
        <v>1.3710313732019302E-6</v>
      </c>
      <c r="O40" s="21">
        <f t="shared" si="10"/>
        <v>2.032E-3</v>
      </c>
      <c r="P40" s="21">
        <v>1.0571269522665299E-10</v>
      </c>
      <c r="Q40" s="2">
        <v>0.33</v>
      </c>
      <c r="R40" s="27">
        <f t="shared" si="11"/>
        <v>133000</v>
      </c>
      <c r="S40" s="2">
        <f t="shared" si="12"/>
        <v>5.2493374855265302E-3</v>
      </c>
      <c r="T40" s="11">
        <v>0.13</v>
      </c>
      <c r="U40" s="30">
        <f t="shared" si="13"/>
        <v>112999.99999999999</v>
      </c>
      <c r="V40" s="30">
        <f t="shared" si="1"/>
        <v>36.76919306930693</v>
      </c>
      <c r="W40" s="11">
        <f t="shared" si="14"/>
        <v>1050.9010116389099</v>
      </c>
      <c r="X40" s="9">
        <f t="shared" si="15"/>
        <v>5.4543808456142892E-14</v>
      </c>
      <c r="Y40" s="9">
        <f t="shared" si="16"/>
        <v>32846281452.289249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4" customFormat="1" x14ac:dyDescent="0.25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0">
        <v>321.3564356435644</v>
      </c>
      <c r="L41" s="27">
        <f t="shared" si="7"/>
        <v>3.2135643564356437E-4</v>
      </c>
      <c r="M41" s="29">
        <f t="shared" si="8"/>
        <v>4.7762865441819992E-3</v>
      </c>
      <c r="N41" s="33">
        <f t="shared" si="9"/>
        <v>1.3540314101846992E-6</v>
      </c>
      <c r="O41" s="21">
        <f t="shared" si="10"/>
        <v>2.032E-3</v>
      </c>
      <c r="P41" s="21">
        <v>1.0571269522665299E-10</v>
      </c>
      <c r="Q41" s="2">
        <v>0.33</v>
      </c>
      <c r="R41" s="27">
        <f t="shared" si="11"/>
        <v>133000</v>
      </c>
      <c r="S41" s="2">
        <f t="shared" si="12"/>
        <v>5.2493374855265302E-3</v>
      </c>
      <c r="T41" s="11">
        <v>0.13</v>
      </c>
      <c r="U41" s="30">
        <f t="shared" si="13"/>
        <v>112999.99999999999</v>
      </c>
      <c r="V41" s="30">
        <f t="shared" si="1"/>
        <v>36.313277227722772</v>
      </c>
      <c r="W41" s="11">
        <f t="shared" si="14"/>
        <v>1027.4025592738781</v>
      </c>
      <c r="X41" s="9">
        <f t="shared" si="15"/>
        <v>5.3857906685933479E-14</v>
      </c>
      <c r="Y41" s="9">
        <f t="shared" si="16"/>
        <v>32433231406.269142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4" customFormat="1" x14ac:dyDescent="0.25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0">
        <v>314.1782178217822</v>
      </c>
      <c r="L42" s="27">
        <f t="shared" si="7"/>
        <v>3.1417821782178218E-4</v>
      </c>
      <c r="M42" s="29">
        <f t="shared" si="8"/>
        <v>4.7762865441819992E-3</v>
      </c>
      <c r="N42" s="33">
        <f t="shared" si="9"/>
        <v>1.3237860772092577E-6</v>
      </c>
      <c r="O42" s="21">
        <f t="shared" si="10"/>
        <v>2.032E-3</v>
      </c>
      <c r="P42" s="21">
        <v>1.0571269522665299E-10</v>
      </c>
      <c r="Q42" s="2">
        <v>0.33</v>
      </c>
      <c r="R42" s="27">
        <f t="shared" si="11"/>
        <v>133000</v>
      </c>
      <c r="S42" s="2">
        <f t="shared" si="12"/>
        <v>5.2493374855265302E-3</v>
      </c>
      <c r="T42" s="11">
        <v>0.13</v>
      </c>
      <c r="U42" s="30">
        <f t="shared" si="13"/>
        <v>112999.99999999999</v>
      </c>
      <c r="V42" s="30">
        <f t="shared" si="1"/>
        <v>35.502138613861383</v>
      </c>
      <c r="W42" s="11">
        <f t="shared" si="14"/>
        <v>986.21530029571989</v>
      </c>
      <c r="X42" s="9">
        <f t="shared" si="15"/>
        <v>5.263844146063816E-14</v>
      </c>
      <c r="Y42" s="9">
        <f t="shared" si="16"/>
        <v>31698869447.596302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4" customFormat="1" x14ac:dyDescent="0.25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0">
        <v>320.6386138613862</v>
      </c>
      <c r="L43" s="27">
        <f t="shared" si="7"/>
        <v>3.2063861386138619E-4</v>
      </c>
      <c r="M43" s="29">
        <f t="shared" si="8"/>
        <v>4.7762865441819992E-3</v>
      </c>
      <c r="N43" s="33">
        <f t="shared" si="9"/>
        <v>1.3510068768871552E-6</v>
      </c>
      <c r="O43" s="21">
        <f t="shared" si="10"/>
        <v>2.032E-3</v>
      </c>
      <c r="P43" s="21">
        <v>1.0571269522665299E-10</v>
      </c>
      <c r="Q43" s="2">
        <v>0.33</v>
      </c>
      <c r="R43" s="27">
        <f t="shared" si="11"/>
        <v>133000</v>
      </c>
      <c r="S43" s="2">
        <f t="shared" si="12"/>
        <v>5.2493374855265302E-3</v>
      </c>
      <c r="T43" s="11">
        <v>0.13</v>
      </c>
      <c r="U43" s="30">
        <f t="shared" si="13"/>
        <v>112999.99999999999</v>
      </c>
      <c r="V43" s="30">
        <f t="shared" si="1"/>
        <v>36.232163366336636</v>
      </c>
      <c r="W43" s="11">
        <f t="shared" si="14"/>
        <v>1023.248109763191</v>
      </c>
      <c r="X43" s="9">
        <f t="shared" si="15"/>
        <v>5.373591136676932E-14</v>
      </c>
      <c r="Y43" s="9">
        <f t="shared" si="16"/>
        <v>32359765825.068485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4" customFormat="1" x14ac:dyDescent="0.25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0">
        <v>309.25247524752479</v>
      </c>
      <c r="L44" s="27">
        <f t="shared" si="7"/>
        <v>3.0925247524752481E-4</v>
      </c>
      <c r="M44" s="29">
        <f t="shared" si="8"/>
        <v>4.7762865441819992E-3</v>
      </c>
      <c r="N44" s="33">
        <f t="shared" si="9"/>
        <v>1.3030315211330066E-6</v>
      </c>
      <c r="O44" s="21">
        <f t="shared" si="10"/>
        <v>2.032E-3</v>
      </c>
      <c r="P44" s="21">
        <v>1.0571269522665299E-10</v>
      </c>
      <c r="Q44" s="2">
        <v>0.33</v>
      </c>
      <c r="R44" s="27">
        <f t="shared" si="11"/>
        <v>133000</v>
      </c>
      <c r="S44" s="2">
        <f t="shared" si="12"/>
        <v>5.2493374855265302E-3</v>
      </c>
      <c r="T44" s="11">
        <v>0.13</v>
      </c>
      <c r="U44" s="30">
        <f t="shared" si="13"/>
        <v>112999.99999999999</v>
      </c>
      <c r="V44" s="30">
        <f t="shared" si="1"/>
        <v>34.945529702970298</v>
      </c>
      <c r="W44" s="11">
        <f t="shared" si="14"/>
        <v>958.41201109713109</v>
      </c>
      <c r="X44" s="9">
        <f t="shared" si="15"/>
        <v>5.1802256492712003E-14</v>
      </c>
      <c r="Y44" s="9">
        <f t="shared" si="16"/>
        <v>31195318859.911171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4" customFormat="1" x14ac:dyDescent="0.25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0">
        <v>314.69801980198025</v>
      </c>
      <c r="L45" s="27">
        <f t="shared" si="7"/>
        <v>3.1469801980198023E-4</v>
      </c>
      <c r="M45" s="29">
        <f t="shared" si="8"/>
        <v>4.7762865441819992E-3</v>
      </c>
      <c r="N45" s="33">
        <f t="shared" si="9"/>
        <v>1.3259762564936863E-6</v>
      </c>
      <c r="O45" s="21">
        <f t="shared" si="10"/>
        <v>2.032E-3</v>
      </c>
      <c r="P45" s="21">
        <v>1.0571269522665299E-10</v>
      </c>
      <c r="Q45" s="2">
        <v>0.33</v>
      </c>
      <c r="R45" s="27">
        <f t="shared" si="11"/>
        <v>133000</v>
      </c>
      <c r="S45" s="2">
        <f t="shared" si="12"/>
        <v>5.2493374855265302E-3</v>
      </c>
      <c r="T45" s="11">
        <v>0.13</v>
      </c>
      <c r="U45" s="30">
        <f t="shared" si="13"/>
        <v>112999.99999999999</v>
      </c>
      <c r="V45" s="30">
        <f t="shared" si="1"/>
        <v>35.560876237623759</v>
      </c>
      <c r="W45" s="11">
        <f t="shared" si="14"/>
        <v>989.1711518525309</v>
      </c>
      <c r="X45" s="9">
        <f t="shared" si="15"/>
        <v>5.2726711352877973E-14</v>
      </c>
      <c r="Y45" s="9">
        <f t="shared" si="16"/>
        <v>31752025576.703117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4" customFormat="1" x14ac:dyDescent="0.25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0">
        <v>324.72277227722776</v>
      </c>
      <c r="L46" s="27">
        <f t="shared" si="7"/>
        <v>3.2472277227722773E-4</v>
      </c>
      <c r="M46" s="29">
        <f t="shared" si="8"/>
        <v>4.7762865441819992E-3</v>
      </c>
      <c r="N46" s="33">
        <f t="shared" si="9"/>
        <v>1.3682154284076648E-6</v>
      </c>
      <c r="O46" s="21">
        <f t="shared" si="10"/>
        <v>2.032E-3</v>
      </c>
      <c r="P46" s="21">
        <v>1.0571269522665299E-10</v>
      </c>
      <c r="Q46" s="2">
        <v>0.33</v>
      </c>
      <c r="R46" s="27">
        <f t="shared" si="11"/>
        <v>133000</v>
      </c>
      <c r="S46" s="2">
        <f t="shared" si="12"/>
        <v>5.2493374855265302E-3</v>
      </c>
      <c r="T46" s="11">
        <v>0.13</v>
      </c>
      <c r="U46" s="30">
        <f t="shared" si="13"/>
        <v>112999.99999999999</v>
      </c>
      <c r="V46" s="30">
        <f t="shared" si="1"/>
        <v>36.69367326732673</v>
      </c>
      <c r="W46" s="11">
        <f t="shared" si="14"/>
        <v>1046.9913194787462</v>
      </c>
      <c r="X46" s="9">
        <f t="shared" si="15"/>
        <v>5.4430168803542619E-14</v>
      </c>
      <c r="Y46" s="9">
        <f t="shared" si="16"/>
        <v>32777847653.493366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4" customFormat="1" x14ac:dyDescent="0.25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0">
        <v>316.18316831683171</v>
      </c>
      <c r="L47" s="27">
        <f t="shared" si="7"/>
        <v>3.1618316831683171E-4</v>
      </c>
      <c r="M47" s="29">
        <f t="shared" si="8"/>
        <v>4.7762865441819992E-3</v>
      </c>
      <c r="N47" s="33">
        <f t="shared" si="9"/>
        <v>1.3322339115920534E-6</v>
      </c>
      <c r="O47" s="21">
        <f t="shared" si="10"/>
        <v>2.032E-3</v>
      </c>
      <c r="P47" s="21">
        <v>1.0571269522665299E-10</v>
      </c>
      <c r="Q47" s="2">
        <v>0.33</v>
      </c>
      <c r="R47" s="27">
        <f t="shared" si="11"/>
        <v>133000</v>
      </c>
      <c r="S47" s="2">
        <f t="shared" si="12"/>
        <v>5.2493374855265302E-3</v>
      </c>
      <c r="T47" s="11">
        <v>0.13</v>
      </c>
      <c r="U47" s="30">
        <f t="shared" si="13"/>
        <v>112999.99999999999</v>
      </c>
      <c r="V47" s="30">
        <f t="shared" si="1"/>
        <v>35.728698019801982</v>
      </c>
      <c r="W47" s="11">
        <f t="shared" si="14"/>
        <v>997.63939982390468</v>
      </c>
      <c r="X47" s="9">
        <f t="shared" si="15"/>
        <v>5.2978942041741596E-14</v>
      </c>
      <c r="Y47" s="9">
        <f t="shared" si="16"/>
        <v>31903918897.536789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4" customFormat="1" x14ac:dyDescent="0.25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0">
        <v>313.73267326732679</v>
      </c>
      <c r="L48" s="27">
        <f t="shared" si="7"/>
        <v>3.1373267326732682E-4</v>
      </c>
      <c r="M48" s="29">
        <f t="shared" si="8"/>
        <v>4.7762865441819992E-3</v>
      </c>
      <c r="N48" s="33">
        <f t="shared" si="9"/>
        <v>1.3219087806797478E-6</v>
      </c>
      <c r="O48" s="21">
        <f t="shared" si="10"/>
        <v>2.032E-3</v>
      </c>
      <c r="P48" s="21">
        <v>1.0571269522665299E-10</v>
      </c>
      <c r="Q48" s="2">
        <v>0.33</v>
      </c>
      <c r="R48" s="27">
        <f t="shared" si="11"/>
        <v>133000</v>
      </c>
      <c r="S48" s="2">
        <f t="shared" si="12"/>
        <v>5.2493374855265302E-3</v>
      </c>
      <c r="T48" s="11">
        <v>0.13</v>
      </c>
      <c r="U48" s="30">
        <f t="shared" si="13"/>
        <v>112999.99999999999</v>
      </c>
      <c r="V48" s="30">
        <f t="shared" si="1"/>
        <v>35.451792079207927</v>
      </c>
      <c r="W48" s="11">
        <f t="shared" si="14"/>
        <v>983.6850300175048</v>
      </c>
      <c r="X48" s="9">
        <f t="shared" si="15"/>
        <v>5.256278601964214E-14</v>
      </c>
      <c r="Y48" s="9">
        <f t="shared" si="16"/>
        <v>31653309741.0285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4" customFormat="1" x14ac:dyDescent="0.25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0">
        <v>315.93564356435644</v>
      </c>
      <c r="L49" s="27">
        <f t="shared" si="7"/>
        <v>3.1593564356435642E-4</v>
      </c>
      <c r="M49" s="29">
        <f t="shared" si="8"/>
        <v>4.7762865441819992E-3</v>
      </c>
      <c r="N49" s="33">
        <f t="shared" si="9"/>
        <v>1.3311909690756587E-6</v>
      </c>
      <c r="O49" s="21">
        <f t="shared" si="10"/>
        <v>2.032E-3</v>
      </c>
      <c r="P49" s="21">
        <v>1.0571269522665299E-10</v>
      </c>
      <c r="Q49" s="2">
        <v>0.33</v>
      </c>
      <c r="R49" s="27">
        <f t="shared" si="11"/>
        <v>133000</v>
      </c>
      <c r="S49" s="2">
        <f t="shared" si="12"/>
        <v>5.2493374855265302E-3</v>
      </c>
      <c r="T49" s="11">
        <v>0.13</v>
      </c>
      <c r="U49" s="30">
        <f t="shared" si="13"/>
        <v>112999.99999999999</v>
      </c>
      <c r="V49" s="30">
        <f t="shared" si="1"/>
        <v>35.700727722772271</v>
      </c>
      <c r="W49" s="11">
        <f t="shared" si="14"/>
        <v>996.22566357483208</v>
      </c>
      <c r="X49" s="9">
        <f t="shared" si="15"/>
        <v>5.2936900399180534E-14</v>
      </c>
      <c r="Y49" s="9">
        <f t="shared" si="16"/>
        <v>31878601420.38652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4" customFormat="1" x14ac:dyDescent="0.25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0">
        <v>318.8564356435644</v>
      </c>
      <c r="L50" s="27">
        <f t="shared" si="7"/>
        <v>3.1885643564356442E-4</v>
      </c>
      <c r="M50" s="29">
        <f t="shared" si="8"/>
        <v>4.7762865441819992E-3</v>
      </c>
      <c r="N50" s="33">
        <f t="shared" si="9"/>
        <v>1.3434976907691146E-6</v>
      </c>
      <c r="O50" s="21">
        <f t="shared" si="10"/>
        <v>2.032E-3</v>
      </c>
      <c r="P50" s="21">
        <v>1.0571269522665299E-10</v>
      </c>
      <c r="Q50" s="2">
        <v>0.33</v>
      </c>
      <c r="R50" s="27">
        <f t="shared" si="11"/>
        <v>133000</v>
      </c>
      <c r="S50" s="2">
        <f t="shared" si="12"/>
        <v>5.2493374855265302E-3</v>
      </c>
      <c r="T50" s="11">
        <v>0.13</v>
      </c>
      <c r="U50" s="30">
        <f t="shared" si="13"/>
        <v>112999.99999999999</v>
      </c>
      <c r="V50" s="30">
        <f t="shared" si="1"/>
        <v>36.030777227722773</v>
      </c>
      <c r="W50" s="11">
        <f t="shared" si="14"/>
        <v>1012.9679238156136</v>
      </c>
      <c r="X50" s="9">
        <f t="shared" si="15"/>
        <v>5.3433073529540984E-14</v>
      </c>
      <c r="Y50" s="9">
        <f t="shared" si="16"/>
        <v>32177396879.489582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4" customFormat="1" x14ac:dyDescent="0.25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0">
        <v>312.24752475247527</v>
      </c>
      <c r="L51" s="27">
        <f t="shared" si="7"/>
        <v>3.1224752475247529E-4</v>
      </c>
      <c r="M51" s="29">
        <f t="shared" si="8"/>
        <v>4.7762865441819992E-3</v>
      </c>
      <c r="N51" s="33">
        <f t="shared" si="9"/>
        <v>1.3156511255813803E-6</v>
      </c>
      <c r="O51" s="21">
        <f t="shared" si="10"/>
        <v>2.032E-3</v>
      </c>
      <c r="P51" s="21">
        <v>1.0571269522665299E-10</v>
      </c>
      <c r="Q51" s="2">
        <v>0.33</v>
      </c>
      <c r="R51" s="27">
        <f t="shared" si="11"/>
        <v>133000</v>
      </c>
      <c r="S51" s="2">
        <f t="shared" si="12"/>
        <v>5.2493374855265302E-3</v>
      </c>
      <c r="T51" s="11">
        <v>0.13</v>
      </c>
      <c r="U51" s="30">
        <f t="shared" si="13"/>
        <v>112999.99999999999</v>
      </c>
      <c r="V51" s="30">
        <f t="shared" si="1"/>
        <v>35.283970297029704</v>
      </c>
      <c r="W51" s="11">
        <f t="shared" si="14"/>
        <v>975.27291186351215</v>
      </c>
      <c r="X51" s="9">
        <f t="shared" si="15"/>
        <v>5.2310630922789463E-14</v>
      </c>
      <c r="Y51" s="9">
        <f t="shared" si="16"/>
        <v>31501461941.703815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4" customFormat="1" x14ac:dyDescent="0.25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0">
        <v>301.85148514851488</v>
      </c>
      <c r="L52" s="27">
        <f t="shared" si="7"/>
        <v>3.018514851485149E-4</v>
      </c>
      <c r="M52" s="29">
        <f t="shared" si="8"/>
        <v>4.7762865441819992E-3</v>
      </c>
      <c r="N52" s="33">
        <f t="shared" si="9"/>
        <v>1.27184753989281E-6</v>
      </c>
      <c r="O52" s="21">
        <f t="shared" si="10"/>
        <v>2.032E-3</v>
      </c>
      <c r="P52" s="21">
        <v>1.0571269522665299E-10</v>
      </c>
      <c r="Q52" s="2">
        <v>0.33</v>
      </c>
      <c r="R52" s="27">
        <f t="shared" si="11"/>
        <v>133000</v>
      </c>
      <c r="S52" s="2">
        <f t="shared" si="12"/>
        <v>5.2493374855265302E-3</v>
      </c>
      <c r="T52" s="11">
        <v>0.13</v>
      </c>
      <c r="U52" s="30">
        <f t="shared" si="13"/>
        <v>112999.99999999999</v>
      </c>
      <c r="V52" s="30">
        <f t="shared" si="1"/>
        <v>34.109217821782181</v>
      </c>
      <c r="W52" s="11">
        <f t="shared" si="14"/>
        <v>917.34172574248589</v>
      </c>
      <c r="X52" s="9">
        <f t="shared" si="15"/>
        <v>5.0546809507506908E-14</v>
      </c>
      <c r="Y52" s="9">
        <f t="shared" si="16"/>
        <v>30439288685.420662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4" customFormat="1" x14ac:dyDescent="0.25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0">
        <v>308.88118811881191</v>
      </c>
      <c r="L53" s="27">
        <f t="shared" si="7"/>
        <v>3.0888118811881192E-4</v>
      </c>
      <c r="M53" s="29">
        <f t="shared" si="8"/>
        <v>4.7762865441819992E-3</v>
      </c>
      <c r="N53" s="33">
        <f t="shared" si="9"/>
        <v>1.3014671073584147E-6</v>
      </c>
      <c r="O53" s="21">
        <f t="shared" si="10"/>
        <v>2.032E-3</v>
      </c>
      <c r="P53" s="21">
        <v>1.0571269522665299E-10</v>
      </c>
      <c r="Q53" s="2">
        <v>0.33</v>
      </c>
      <c r="R53" s="27">
        <f t="shared" si="11"/>
        <v>133000</v>
      </c>
      <c r="S53" s="2">
        <f t="shared" si="12"/>
        <v>5.2493374855265302E-3</v>
      </c>
      <c r="T53" s="11">
        <v>0.13</v>
      </c>
      <c r="U53" s="30">
        <f t="shared" si="13"/>
        <v>112999.99999999999</v>
      </c>
      <c r="V53" s="30">
        <f t="shared" si="1"/>
        <v>34.903574257425745</v>
      </c>
      <c r="W53" s="11">
        <f t="shared" si="14"/>
        <v>956.33146469908036</v>
      </c>
      <c r="X53" s="9">
        <f t="shared" si="15"/>
        <v>5.173924769448423E-14</v>
      </c>
      <c r="Y53" s="9">
        <f t="shared" si="16"/>
        <v>31157374961.618404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4" customFormat="1" x14ac:dyDescent="0.25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0">
        <v>305.71287128712873</v>
      </c>
      <c r="L54" s="27">
        <f t="shared" si="7"/>
        <v>3.0571287128712874E-4</v>
      </c>
      <c r="M54" s="29">
        <f t="shared" si="8"/>
        <v>4.7762865441819992E-3</v>
      </c>
      <c r="N54" s="33">
        <f t="shared" si="9"/>
        <v>1.2881174431485646E-6</v>
      </c>
      <c r="O54" s="21">
        <f t="shared" si="10"/>
        <v>2.032E-3</v>
      </c>
      <c r="P54" s="21">
        <v>1.0571269522665299E-10</v>
      </c>
      <c r="Q54" s="2">
        <v>0.33</v>
      </c>
      <c r="R54" s="27">
        <f t="shared" si="11"/>
        <v>133000</v>
      </c>
      <c r="S54" s="2">
        <f t="shared" si="12"/>
        <v>5.2493374855265302E-3</v>
      </c>
      <c r="T54" s="11">
        <v>0.13</v>
      </c>
      <c r="U54" s="30">
        <f t="shared" si="13"/>
        <v>112999.99999999999</v>
      </c>
      <c r="V54" s="30">
        <f t="shared" si="1"/>
        <v>34.54555445544554</v>
      </c>
      <c r="W54" s="11">
        <f t="shared" si="14"/>
        <v>938.6640810417282</v>
      </c>
      <c r="X54" s="9">
        <f t="shared" si="15"/>
        <v>5.1201686951204414E-14</v>
      </c>
      <c r="Y54" s="9">
        <f t="shared" si="16"/>
        <v>30833655882.015301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4" customFormat="1" x14ac:dyDescent="0.25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0">
        <v>299.97029702970298</v>
      </c>
      <c r="L55" s="27">
        <f t="shared" si="7"/>
        <v>2.9997029702970296E-4</v>
      </c>
      <c r="M55" s="29">
        <f t="shared" si="8"/>
        <v>4.7762865441819992E-3</v>
      </c>
      <c r="N55" s="33">
        <f t="shared" si="9"/>
        <v>1.2639211767682111E-6</v>
      </c>
      <c r="O55" s="21">
        <f t="shared" si="10"/>
        <v>2.032E-3</v>
      </c>
      <c r="P55" s="21">
        <v>1.0571269522665299E-10</v>
      </c>
      <c r="Q55" s="2">
        <v>0.33</v>
      </c>
      <c r="R55" s="27">
        <f t="shared" si="11"/>
        <v>133000</v>
      </c>
      <c r="S55" s="2">
        <f t="shared" si="12"/>
        <v>5.2493374855265302E-3</v>
      </c>
      <c r="T55" s="11">
        <v>0.13</v>
      </c>
      <c r="U55" s="30">
        <f t="shared" si="13"/>
        <v>112999.99999999999</v>
      </c>
      <c r="V55" s="30">
        <f t="shared" si="1"/>
        <v>33.896643564356431</v>
      </c>
      <c r="W55" s="11">
        <f t="shared" si="14"/>
        <v>907.03745657987201</v>
      </c>
      <c r="X55" s="9">
        <f t="shared" si="15"/>
        <v>5.0227875007188778E-14</v>
      </c>
      <c r="Y55" s="9">
        <f t="shared" si="16"/>
        <v>30247226329.329082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4" customFormat="1" x14ac:dyDescent="0.25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0">
        <v>315.78712871287127</v>
      </c>
      <c r="L56" s="27">
        <f t="shared" si="7"/>
        <v>3.1578712871287124E-4</v>
      </c>
      <c r="M56" s="29">
        <f t="shared" si="8"/>
        <v>4.7762865441819992E-3</v>
      </c>
      <c r="N56" s="33">
        <f t="shared" si="9"/>
        <v>1.3305652035658219E-6</v>
      </c>
      <c r="O56" s="21">
        <f t="shared" si="10"/>
        <v>2.032E-3</v>
      </c>
      <c r="P56" s="21">
        <v>1.0571269522665299E-10</v>
      </c>
      <c r="Q56" s="2">
        <v>0.33</v>
      </c>
      <c r="R56" s="27">
        <f t="shared" si="11"/>
        <v>133000</v>
      </c>
      <c r="S56" s="2">
        <f t="shared" si="12"/>
        <v>5.2493374855265302E-3</v>
      </c>
      <c r="T56" s="11">
        <v>0.13</v>
      </c>
      <c r="U56" s="30">
        <f t="shared" si="13"/>
        <v>112999.99999999999</v>
      </c>
      <c r="V56" s="30">
        <f t="shared" si="1"/>
        <v>35.683945544554447</v>
      </c>
      <c r="W56" s="11">
        <f t="shared" si="14"/>
        <v>995.37787521125256</v>
      </c>
      <c r="X56" s="9">
        <f t="shared" si="15"/>
        <v>5.2911676027620646E-14</v>
      </c>
      <c r="Y56" s="9">
        <f t="shared" si="16"/>
        <v>31863411303.833153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4" customFormat="1" x14ac:dyDescent="0.25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294.0792079207921</v>
      </c>
      <c r="L57" s="27">
        <f t="shared" si="7"/>
        <v>2.9407920792079212E-4</v>
      </c>
      <c r="M57" s="29">
        <f t="shared" si="8"/>
        <v>4.7762865441819992E-3</v>
      </c>
      <c r="N57" s="33">
        <f t="shared" si="9"/>
        <v>1.2390991448780214E-6</v>
      </c>
      <c r="O57" s="21">
        <f t="shared" si="10"/>
        <v>2.032E-3</v>
      </c>
      <c r="P57" s="21">
        <v>1.0571269522665299E-10</v>
      </c>
      <c r="Q57" s="2">
        <v>0.33</v>
      </c>
      <c r="R57" s="27">
        <f t="shared" si="11"/>
        <v>133000</v>
      </c>
      <c r="S57" s="2">
        <f t="shared" si="12"/>
        <v>5.2493374855265302E-3</v>
      </c>
      <c r="T57" s="11">
        <v>0.13</v>
      </c>
      <c r="U57" s="30">
        <f t="shared" si="13"/>
        <v>112999.99999999999</v>
      </c>
      <c r="V57" s="30">
        <f t="shared" si="1"/>
        <v>33.230950495049505</v>
      </c>
      <c r="W57" s="11">
        <f t="shared" si="14"/>
        <v>875.12327186203004</v>
      </c>
      <c r="X57" s="9">
        <f t="shared" si="15"/>
        <v>4.9229560326294301E-14</v>
      </c>
      <c r="Y57" s="9">
        <f t="shared" si="16"/>
        <v>29646041228.494431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4" customFormat="1" x14ac:dyDescent="0.25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303.13861386138615</v>
      </c>
      <c r="L58" s="27">
        <f t="shared" si="7"/>
        <v>3.0313861386138614E-4</v>
      </c>
      <c r="M58" s="29">
        <f t="shared" si="8"/>
        <v>4.7762865441819992E-3</v>
      </c>
      <c r="N58" s="33">
        <f t="shared" si="9"/>
        <v>1.2772708409780612E-6</v>
      </c>
      <c r="O58" s="21">
        <f t="shared" si="10"/>
        <v>2.032E-3</v>
      </c>
      <c r="P58" s="21">
        <v>1.0571269522665299E-10</v>
      </c>
      <c r="Q58" s="2">
        <v>0.33</v>
      </c>
      <c r="R58" s="27">
        <f t="shared" si="11"/>
        <v>133000</v>
      </c>
      <c r="S58" s="2">
        <f t="shared" si="12"/>
        <v>5.2493374855265302E-3</v>
      </c>
      <c r="T58" s="11">
        <v>0.13</v>
      </c>
      <c r="U58" s="30">
        <f t="shared" si="13"/>
        <v>112999.99999999999</v>
      </c>
      <c r="V58" s="30">
        <f t="shared" si="1"/>
        <v>34.254663366336629</v>
      </c>
      <c r="W58" s="11">
        <f t="shared" si="14"/>
        <v>924.42355979690524</v>
      </c>
      <c r="X58" s="9">
        <f t="shared" si="15"/>
        <v>5.0765068648038246E-14</v>
      </c>
      <c r="Y58" s="9">
        <f t="shared" si="16"/>
        <v>30570724339.848633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4" customFormat="1" x14ac:dyDescent="0.25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303.78217821782181</v>
      </c>
      <c r="L59" s="27">
        <f t="shared" si="7"/>
        <v>3.0378217821782179E-4</v>
      </c>
      <c r="M59" s="29">
        <f t="shared" si="8"/>
        <v>4.7762865441819992E-3</v>
      </c>
      <c r="N59" s="33">
        <f t="shared" si="9"/>
        <v>1.279982491520687E-6</v>
      </c>
      <c r="O59" s="21">
        <f t="shared" si="10"/>
        <v>2.032E-3</v>
      </c>
      <c r="P59" s="21">
        <v>1.0571269522665299E-10</v>
      </c>
      <c r="Q59" s="2">
        <v>0.33</v>
      </c>
      <c r="R59" s="27">
        <f t="shared" si="11"/>
        <v>133000</v>
      </c>
      <c r="S59" s="2">
        <f t="shared" si="12"/>
        <v>5.2493374855265302E-3</v>
      </c>
      <c r="T59" s="11">
        <v>0.13</v>
      </c>
      <c r="U59" s="30">
        <f t="shared" si="13"/>
        <v>112999.99999999999</v>
      </c>
      <c r="V59" s="30">
        <f t="shared" si="1"/>
        <v>34.327386138613861</v>
      </c>
      <c r="W59" s="11">
        <f t="shared" si="14"/>
        <v>927.97408500927349</v>
      </c>
      <c r="X59" s="9">
        <f t="shared" si="15"/>
        <v>5.0874210696835725E-14</v>
      </c>
      <c r="Y59" s="9">
        <f t="shared" si="16"/>
        <v>30636449681.634476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4" customFormat="1" x14ac:dyDescent="0.25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292.32178217821786</v>
      </c>
      <c r="L60" s="27">
        <f t="shared" si="7"/>
        <v>2.9232178217821787E-4</v>
      </c>
      <c r="M60" s="29">
        <f t="shared" si="8"/>
        <v>4.7762865441819992E-3</v>
      </c>
      <c r="N60" s="33">
        <f t="shared" si="9"/>
        <v>1.2316942530116202E-6</v>
      </c>
      <c r="O60" s="21">
        <f t="shared" si="10"/>
        <v>2.032E-3</v>
      </c>
      <c r="P60" s="21">
        <v>1.0571269522665299E-10</v>
      </c>
      <c r="Q60" s="2">
        <v>0.33</v>
      </c>
      <c r="R60" s="27">
        <f t="shared" si="11"/>
        <v>133000</v>
      </c>
      <c r="S60" s="2">
        <f t="shared" si="12"/>
        <v>5.2493374855265302E-3</v>
      </c>
      <c r="T60" s="11">
        <v>0.13</v>
      </c>
      <c r="U60" s="30">
        <f t="shared" si="13"/>
        <v>112999.99999999999</v>
      </c>
      <c r="V60" s="30">
        <f t="shared" si="1"/>
        <v>33.032361386138618</v>
      </c>
      <c r="W60" s="11">
        <f t="shared" si="14"/>
        <v>865.70679373570022</v>
      </c>
      <c r="X60" s="9">
        <f t="shared" si="15"/>
        <v>4.893187571638649E-14</v>
      </c>
      <c r="Y60" s="9">
        <f t="shared" si="16"/>
        <v>29466775556.407944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4" customFormat="1" x14ac:dyDescent="0.25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300.19306930693074</v>
      </c>
      <c r="L61" s="27">
        <f t="shared" si="7"/>
        <v>3.0019306930693072E-4</v>
      </c>
      <c r="M61" s="29">
        <f t="shared" si="8"/>
        <v>4.7762865441819992E-3</v>
      </c>
      <c r="N61" s="33">
        <f t="shared" si="9"/>
        <v>1.2648598250329665E-6</v>
      </c>
      <c r="O61" s="21">
        <f t="shared" si="10"/>
        <v>2.032E-3</v>
      </c>
      <c r="P61" s="21">
        <v>1.0571269522665299E-10</v>
      </c>
      <c r="Q61" s="2">
        <v>0.33</v>
      </c>
      <c r="R61" s="27">
        <f t="shared" si="11"/>
        <v>133000</v>
      </c>
      <c r="S61" s="2">
        <f t="shared" si="12"/>
        <v>5.2493374855265302E-3</v>
      </c>
      <c r="T61" s="11">
        <v>0.13</v>
      </c>
      <c r="U61" s="30">
        <f t="shared" si="13"/>
        <v>112999.99999999999</v>
      </c>
      <c r="V61" s="30">
        <f t="shared" si="1"/>
        <v>33.921816831683167</v>
      </c>
      <c r="W61" s="11">
        <f t="shared" si="14"/>
        <v>908.25484048853912</v>
      </c>
      <c r="X61" s="9">
        <f t="shared" si="15"/>
        <v>5.0265639881312298E-14</v>
      </c>
      <c r="Y61" s="9">
        <f t="shared" si="16"/>
        <v>30269968336.526268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4" customFormat="1" x14ac:dyDescent="0.25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302.79207920792084</v>
      </c>
      <c r="L62" s="27">
        <f t="shared" si="7"/>
        <v>3.0279207920792085E-4</v>
      </c>
      <c r="M62" s="29">
        <f t="shared" si="8"/>
        <v>4.7762865441819992E-3</v>
      </c>
      <c r="N62" s="33">
        <f t="shared" si="9"/>
        <v>1.2758107214551091E-6</v>
      </c>
      <c r="O62" s="21">
        <f t="shared" si="10"/>
        <v>2.032E-3</v>
      </c>
      <c r="P62" s="21">
        <v>1.0571269522665299E-10</v>
      </c>
      <c r="Q62" s="2">
        <v>0.33</v>
      </c>
      <c r="R62" s="27">
        <f t="shared" si="11"/>
        <v>133000</v>
      </c>
      <c r="S62" s="2">
        <f t="shared" si="12"/>
        <v>5.2493374855265302E-3</v>
      </c>
      <c r="T62" s="11">
        <v>0.13</v>
      </c>
      <c r="U62" s="30">
        <f t="shared" si="13"/>
        <v>112999.99999999999</v>
      </c>
      <c r="V62" s="30">
        <f t="shared" si="1"/>
        <v>34.215504950495053</v>
      </c>
      <c r="W62" s="11">
        <f t="shared" si="14"/>
        <v>922.5143914681363</v>
      </c>
      <c r="X62" s="9">
        <f t="shared" si="15"/>
        <v>5.0706303301539622E-14</v>
      </c>
      <c r="Y62" s="9">
        <f t="shared" si="16"/>
        <v>30535335848.18716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4"/>
      <c r="L63" s="3"/>
      <c r="M63" s="3"/>
      <c r="N63" s="21"/>
      <c r="O63" s="21"/>
      <c r="P63" s="21"/>
      <c r="Q63" s="2"/>
      <c r="R63" s="2"/>
      <c r="S63" s="2"/>
      <c r="T63" s="11"/>
      <c r="U63" s="2"/>
      <c r="V63" s="11"/>
      <c r="W63" s="5"/>
      <c r="X63" s="2"/>
      <c r="Y63" s="5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4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4"/>
      <c r="L64" s="3"/>
      <c r="M64" s="3"/>
      <c r="N64" s="21"/>
      <c r="O64" s="21"/>
      <c r="P64" s="21"/>
      <c r="Q64" s="2"/>
      <c r="R64" s="2"/>
      <c r="S64" s="2"/>
      <c r="T64" s="11"/>
      <c r="U64" s="2"/>
      <c r="V64" s="11"/>
      <c r="W64" s="5"/>
      <c r="X64" s="2"/>
      <c r="Y64" s="5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4"/>
      <c r="L65" s="3"/>
      <c r="M65" s="3"/>
      <c r="N65" s="21"/>
      <c r="O65" s="21"/>
      <c r="P65" s="21"/>
      <c r="Q65" s="2"/>
      <c r="R65" s="2"/>
      <c r="S65" s="2"/>
      <c r="T65" s="11"/>
      <c r="U65" s="2"/>
      <c r="V65" s="11"/>
      <c r="W65" s="5"/>
      <c r="X65" s="31"/>
      <c r="Y65" s="31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4"/>
      <c r="L66" s="3"/>
      <c r="M66" s="3"/>
      <c r="N66" s="21"/>
      <c r="O66" s="21"/>
      <c r="P66" s="21"/>
      <c r="Q66" s="2"/>
      <c r="R66" s="2"/>
      <c r="S66" s="2"/>
      <c r="T66" s="11"/>
      <c r="U66" s="2"/>
      <c r="V66" s="11"/>
      <c r="W66" s="5"/>
      <c r="X66" s="32">
        <f>AVERAGE(X29:X62)</f>
        <v>5.2866549041469524E-14</v>
      </c>
      <c r="Y66" s="32">
        <f>AVERAGE(Y29:Y62)</f>
        <v>31836235832.772949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4"/>
      <c r="L67" s="3"/>
      <c r="M67" s="3"/>
      <c r="N67" s="21"/>
      <c r="O67" s="21"/>
      <c r="P67" s="21"/>
      <c r="Q67" s="2"/>
      <c r="R67" s="2"/>
      <c r="S67" s="2"/>
      <c r="T67" s="11"/>
      <c r="U67" s="2"/>
      <c r="V67" s="11"/>
      <c r="W67" s="5"/>
      <c r="X67" s="2"/>
      <c r="Y67" s="5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4"/>
      <c r="L68" s="3"/>
      <c r="M68" s="3"/>
      <c r="N68" s="21"/>
      <c r="O68" s="21"/>
      <c r="P68" s="21"/>
      <c r="Q68" s="2"/>
      <c r="R68" s="2"/>
      <c r="S68" s="2"/>
      <c r="T68" s="11"/>
      <c r="U68" s="2"/>
      <c r="V68" s="11"/>
      <c r="W68" s="5"/>
      <c r="X68" s="2"/>
      <c r="Y68" s="5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4"/>
      <c r="L69" s="3"/>
      <c r="M69" s="3"/>
      <c r="N69" s="21"/>
      <c r="O69" s="21"/>
      <c r="P69" s="21"/>
      <c r="Q69" s="2"/>
      <c r="R69" s="2"/>
      <c r="S69" s="2"/>
      <c r="T69" s="11"/>
      <c r="U69" s="2"/>
      <c r="V69" s="11"/>
      <c r="W69" s="5"/>
      <c r="X69" s="2"/>
      <c r="Y69" s="5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4"/>
      <c r="L70" s="3"/>
      <c r="M70" s="3"/>
      <c r="N70" s="21"/>
      <c r="O70" s="21"/>
      <c r="P70" s="21"/>
      <c r="Q70" s="2"/>
      <c r="R70" s="2"/>
      <c r="S70" s="2"/>
      <c r="T70" s="11"/>
      <c r="U70" s="2"/>
      <c r="V70" s="11"/>
      <c r="W70" s="5"/>
      <c r="X70" s="2"/>
      <c r="Y70" s="5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4"/>
      <c r="L71" s="3"/>
      <c r="M71" s="3"/>
      <c r="N71" s="21"/>
      <c r="O71" s="21"/>
      <c r="P71" s="21"/>
      <c r="Q71" s="2"/>
      <c r="R71" s="2"/>
      <c r="S71" s="2"/>
      <c r="T71" s="11"/>
      <c r="U71" s="2"/>
      <c r="V71" s="11"/>
      <c r="W71" s="5"/>
      <c r="X71" s="2"/>
      <c r="Y71" s="5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4"/>
      <c r="L72" s="3"/>
      <c r="M72" s="3"/>
      <c r="N72" s="21"/>
      <c r="O72" s="21"/>
      <c r="P72" s="21"/>
      <c r="Q72" s="2"/>
      <c r="R72" s="2"/>
      <c r="S72" s="2"/>
      <c r="T72" s="11"/>
      <c r="U72" s="2"/>
      <c r="V72" s="11"/>
      <c r="W72" s="5"/>
      <c r="X72" s="2"/>
      <c r="Y72" s="5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4"/>
      <c r="L73" s="3"/>
      <c r="M73" s="3"/>
      <c r="N73" s="21"/>
      <c r="O73" s="21"/>
      <c r="P73" s="21"/>
      <c r="Q73" s="2"/>
      <c r="R73" s="2"/>
      <c r="S73" s="2"/>
      <c r="T73" s="11"/>
      <c r="U73" s="2"/>
      <c r="V73" s="11"/>
      <c r="W73" s="5"/>
      <c r="X73" s="2"/>
      <c r="Y73" s="5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4"/>
      <c r="L74" s="3"/>
      <c r="M74" s="3"/>
      <c r="N74" s="21"/>
      <c r="O74" s="21"/>
      <c r="P74" s="21"/>
      <c r="Q74" s="2"/>
      <c r="R74" s="2"/>
      <c r="S74" s="2"/>
      <c r="T74" s="11"/>
      <c r="U74" s="2"/>
      <c r="V74" s="11"/>
      <c r="W74" s="5"/>
      <c r="X74" s="2"/>
      <c r="Y74" s="5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4"/>
      <c r="L75" s="3"/>
      <c r="M75" s="3"/>
      <c r="N75" s="21"/>
      <c r="O75" s="21"/>
      <c r="P75" s="21"/>
      <c r="Q75" s="2"/>
      <c r="R75" s="2"/>
      <c r="S75" s="2"/>
      <c r="T75" s="11"/>
      <c r="U75" s="2"/>
      <c r="V75" s="11"/>
      <c r="W75" s="5"/>
      <c r="X75" s="2"/>
      <c r="Y75" s="5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4"/>
      <c r="L76" s="3"/>
      <c r="M76" s="3"/>
      <c r="N76" s="21"/>
      <c r="O76" s="21"/>
      <c r="P76" s="21"/>
      <c r="Q76" s="2"/>
      <c r="R76" s="2"/>
      <c r="S76" s="2"/>
      <c r="T76" s="11"/>
      <c r="U76" s="2"/>
      <c r="V76" s="11"/>
      <c r="W76" s="5"/>
      <c r="X76" s="2"/>
      <c r="Y76" s="5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4"/>
      <c r="L77" s="3"/>
      <c r="M77" s="3"/>
      <c r="N77" s="21"/>
      <c r="O77" s="21"/>
      <c r="P77" s="21"/>
      <c r="Q77" s="2"/>
      <c r="R77" s="2"/>
      <c r="S77" s="2"/>
      <c r="T77" s="11"/>
      <c r="U77" s="2"/>
      <c r="V77" s="11"/>
      <c r="W77" s="5"/>
      <c r="X77" s="2"/>
      <c r="Y77" s="5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4"/>
      <c r="L78" s="3"/>
      <c r="M78" s="3"/>
      <c r="N78" s="21"/>
      <c r="O78" s="21"/>
      <c r="P78" s="21"/>
      <c r="Q78" s="2"/>
      <c r="R78" s="2"/>
      <c r="S78" s="2"/>
      <c r="T78" s="11"/>
      <c r="U78" s="2"/>
      <c r="V78" s="11"/>
      <c r="W78" s="5"/>
      <c r="X78" s="2"/>
      <c r="Y78" s="5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</row>
    <row r="79" spans="1:76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4"/>
      <c r="L79" s="3"/>
      <c r="M79" s="3"/>
      <c r="N79" s="21"/>
      <c r="O79" s="21"/>
      <c r="P79" s="21"/>
      <c r="Q79" s="2"/>
      <c r="R79" s="2"/>
      <c r="S79" s="2"/>
      <c r="T79" s="11"/>
      <c r="U79" s="2"/>
      <c r="V79" s="11"/>
      <c r="W79" s="5"/>
      <c r="X79" s="2"/>
      <c r="Y79" s="5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4"/>
      <c r="L80" s="3"/>
      <c r="M80" s="3"/>
      <c r="N80" s="21"/>
      <c r="O80" s="21"/>
      <c r="P80" s="21"/>
      <c r="Q80" s="2"/>
      <c r="R80" s="2"/>
      <c r="S80" s="2"/>
      <c r="T80" s="11"/>
      <c r="U80" s="2"/>
      <c r="V80" s="11"/>
      <c r="W80" s="5"/>
      <c r="X80" s="2"/>
      <c r="Y80" s="5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4"/>
      <c r="L81" s="3"/>
      <c r="M81" s="3"/>
      <c r="N81" s="21"/>
      <c r="O81" s="21"/>
      <c r="P81" s="21"/>
      <c r="Q81" s="2"/>
      <c r="R81" s="2"/>
      <c r="S81" s="2"/>
      <c r="T81" s="11"/>
      <c r="U81" s="2"/>
      <c r="V81" s="11"/>
      <c r="W81" s="5"/>
      <c r="X81" s="2"/>
      <c r="Y81" s="5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4"/>
      <c r="L82" s="3"/>
      <c r="M82" s="3"/>
      <c r="N82" s="21"/>
      <c r="O82" s="21"/>
      <c r="P82" s="21"/>
      <c r="Q82" s="2"/>
      <c r="R82" s="2"/>
      <c r="S82" s="2"/>
      <c r="T82" s="11"/>
      <c r="U82" s="2"/>
      <c r="V82" s="11"/>
      <c r="W82" s="5"/>
      <c r="X82" s="2"/>
      <c r="Y82" s="5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4"/>
      <c r="L83" s="3"/>
      <c r="M83" s="3"/>
      <c r="N83" s="21"/>
      <c r="O83" s="21"/>
      <c r="P83" s="21"/>
      <c r="Q83" s="2"/>
      <c r="R83" s="2"/>
      <c r="S83" s="2"/>
      <c r="T83" s="11"/>
      <c r="U83" s="2"/>
      <c r="V83" s="11"/>
      <c r="W83" s="5"/>
      <c r="X83" s="2"/>
      <c r="Y83" s="5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4"/>
      <c r="L84" s="3"/>
      <c r="M84" s="3"/>
      <c r="N84" s="21"/>
      <c r="O84" s="21"/>
      <c r="P84" s="21"/>
      <c r="Q84" s="2"/>
      <c r="R84" s="2"/>
      <c r="S84" s="2"/>
      <c r="T84" s="11"/>
      <c r="U84" s="2"/>
      <c r="V84" s="11"/>
      <c r="W84" s="5"/>
      <c r="X84" s="2"/>
      <c r="Y84" s="5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4"/>
      <c r="L85" s="3"/>
      <c r="M85" s="3"/>
      <c r="N85" s="21"/>
      <c r="O85" s="21"/>
      <c r="P85" s="21"/>
      <c r="Q85" s="2"/>
      <c r="R85" s="2"/>
      <c r="S85" s="2"/>
      <c r="T85" s="11"/>
      <c r="U85" s="2"/>
      <c r="V85" s="11"/>
      <c r="W85" s="5"/>
      <c r="X85" s="2"/>
      <c r="Y85" s="5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4"/>
      <c r="L86" s="3"/>
      <c r="M86" s="3"/>
      <c r="N86" s="21"/>
      <c r="O86" s="21"/>
      <c r="P86" s="21"/>
      <c r="Q86" s="2"/>
      <c r="R86" s="2"/>
      <c r="S86" s="2"/>
      <c r="T86" s="11"/>
      <c r="U86" s="2"/>
      <c r="V86" s="11"/>
      <c r="W86" s="5"/>
      <c r="X86" s="2"/>
      <c r="Y86" s="5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4"/>
      <c r="L87" s="3"/>
      <c r="M87" s="3"/>
      <c r="N87" s="21"/>
      <c r="O87" s="21"/>
      <c r="P87" s="21"/>
      <c r="Q87" s="2"/>
      <c r="R87" s="2"/>
      <c r="S87" s="2"/>
      <c r="T87" s="11"/>
      <c r="U87" s="2"/>
      <c r="V87" s="11"/>
      <c r="W87" s="5"/>
      <c r="X87" s="2"/>
      <c r="Y87" s="5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4"/>
      <c r="L88" s="3"/>
      <c r="M88" s="3"/>
      <c r="N88" s="21"/>
      <c r="O88" s="21"/>
      <c r="P88" s="21"/>
      <c r="Q88" s="2"/>
      <c r="R88" s="2"/>
      <c r="S88" s="2"/>
      <c r="T88" s="11"/>
      <c r="U88" s="2"/>
      <c r="V88" s="11"/>
      <c r="W88" s="5"/>
      <c r="X88" s="2"/>
      <c r="Y88" s="5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4"/>
      <c r="L89" s="3"/>
      <c r="M89" s="3"/>
      <c r="N89" s="21"/>
      <c r="O89" s="21"/>
      <c r="P89" s="21"/>
      <c r="Q89" s="2"/>
      <c r="R89" s="2"/>
      <c r="S89" s="2"/>
      <c r="T89" s="11"/>
      <c r="U89" s="2"/>
      <c r="V89" s="11"/>
      <c r="W89" s="5"/>
      <c r="X89" s="2"/>
      <c r="Y89" s="5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4"/>
      <c r="L90" s="3"/>
      <c r="M90" s="3"/>
      <c r="N90" s="21"/>
      <c r="O90" s="21"/>
      <c r="P90" s="21"/>
      <c r="Q90" s="2"/>
      <c r="R90" s="2"/>
      <c r="S90" s="2"/>
      <c r="T90" s="11"/>
      <c r="U90" s="2"/>
      <c r="V90" s="11"/>
      <c r="W90" s="5"/>
      <c r="X90" s="2"/>
      <c r="Y90" s="5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4"/>
      <c r="L91" s="3"/>
      <c r="M91" s="3"/>
      <c r="N91" s="21"/>
      <c r="O91" s="21"/>
      <c r="P91" s="21"/>
      <c r="Q91" s="2"/>
      <c r="R91" s="2"/>
      <c r="S91" s="2"/>
      <c r="T91" s="11"/>
      <c r="U91" s="2"/>
      <c r="V91" s="11"/>
      <c r="W91" s="5"/>
      <c r="X91" s="2"/>
      <c r="Y91" s="5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4"/>
      <c r="L92" s="3"/>
      <c r="M92" s="3"/>
      <c r="N92" s="21"/>
      <c r="O92" s="21"/>
      <c r="P92" s="21"/>
      <c r="Q92" s="2"/>
      <c r="R92" s="2"/>
      <c r="S92" s="2"/>
      <c r="T92" s="11"/>
      <c r="U92" s="2"/>
      <c r="V92" s="11"/>
      <c r="W92" s="5"/>
      <c r="X92" s="2"/>
      <c r="Y92" s="5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</row>
    <row r="93" spans="1:76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4"/>
      <c r="L93" s="3"/>
      <c r="M93" s="3"/>
      <c r="N93" s="21"/>
      <c r="O93" s="21"/>
      <c r="P93" s="21"/>
      <c r="Q93" s="2"/>
      <c r="R93" s="2"/>
      <c r="S93" s="2"/>
      <c r="T93" s="11"/>
      <c r="U93" s="2"/>
      <c r="V93" s="11"/>
      <c r="W93" s="5"/>
      <c r="X93" s="2"/>
      <c r="Y93" s="5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</row>
    <row r="94" spans="1:76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4"/>
      <c r="L94" s="3"/>
      <c r="M94" s="3"/>
      <c r="N94" s="21"/>
      <c r="O94" s="21"/>
      <c r="P94" s="21"/>
      <c r="Q94" s="2"/>
      <c r="R94" s="2"/>
      <c r="S94" s="2"/>
      <c r="T94" s="11"/>
      <c r="U94" s="2"/>
      <c r="V94" s="11"/>
      <c r="W94" s="5"/>
      <c r="X94" s="2"/>
      <c r="Y94" s="5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</row>
    <row r="95" spans="1:76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4"/>
      <c r="L95" s="3"/>
      <c r="M95" s="3"/>
      <c r="N95" s="21"/>
      <c r="O95" s="21"/>
      <c r="P95" s="21"/>
      <c r="Q95" s="2"/>
      <c r="R95" s="2"/>
      <c r="S95" s="2"/>
      <c r="T95" s="11"/>
      <c r="U95" s="2"/>
      <c r="V95" s="11"/>
      <c r="W95" s="5"/>
      <c r="X95" s="2"/>
      <c r="Y95" s="5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</row>
    <row r="96" spans="1:76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4"/>
      <c r="L96" s="3"/>
      <c r="M96" s="3"/>
      <c r="N96" s="21"/>
      <c r="O96" s="21"/>
      <c r="P96" s="21"/>
      <c r="Q96" s="2"/>
      <c r="R96" s="2"/>
      <c r="S96" s="2"/>
      <c r="T96" s="11"/>
      <c r="U96" s="2"/>
      <c r="V96" s="11"/>
      <c r="W96" s="5"/>
      <c r="X96" s="2"/>
      <c r="Y96" s="5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</row>
    <row r="97" spans="1:76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4"/>
      <c r="L97" s="3"/>
      <c r="M97" s="3"/>
      <c r="N97" s="21"/>
      <c r="O97" s="21"/>
      <c r="P97" s="21"/>
      <c r="Q97" s="2"/>
      <c r="R97" s="2"/>
      <c r="S97" s="2"/>
      <c r="T97" s="11"/>
      <c r="U97" s="2"/>
      <c r="V97" s="11"/>
      <c r="W97" s="5"/>
      <c r="X97" s="2"/>
      <c r="Y97" s="5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</row>
    <row r="98" spans="1:76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1"/>
      <c r="O98" s="21"/>
      <c r="P98" s="21"/>
      <c r="Q98" s="2"/>
      <c r="R98" s="2"/>
      <c r="S98" s="2"/>
      <c r="T98" s="11"/>
      <c r="U98" s="2"/>
      <c r="V98" s="11"/>
      <c r="W98" s="5"/>
      <c r="X98" s="2"/>
      <c r="Y98" s="5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</row>
    <row r="99" spans="1:76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1"/>
      <c r="O99" s="21"/>
      <c r="P99" s="21"/>
      <c r="Q99" s="2"/>
      <c r="R99" s="2"/>
      <c r="S99" s="2"/>
      <c r="T99" s="11"/>
      <c r="U99" s="2"/>
      <c r="V99" s="11"/>
      <c r="W99" s="5"/>
      <c r="X99" s="2"/>
      <c r="Y99" s="5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</row>
    <row r="100" spans="1:76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1"/>
      <c r="O100" s="21"/>
      <c r="P100" s="21"/>
      <c r="Q100" s="2"/>
      <c r="R100" s="2"/>
      <c r="S100" s="2"/>
      <c r="T100" s="11"/>
      <c r="U100" s="2"/>
      <c r="V100" s="11"/>
      <c r="W100" s="5"/>
      <c r="X100" s="2"/>
      <c r="Y100" s="5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</row>
    <row r="101" spans="1:76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1"/>
      <c r="O101" s="21"/>
      <c r="P101" s="21"/>
      <c r="Q101" s="2"/>
      <c r="R101" s="2"/>
      <c r="S101" s="2"/>
      <c r="T101" s="11"/>
      <c r="U101" s="2"/>
      <c r="V101" s="11"/>
      <c r="W101" s="5"/>
      <c r="X101" s="2"/>
      <c r="Y101" s="5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</row>
    <row r="102" spans="1:76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1"/>
      <c r="O102" s="21"/>
      <c r="P102" s="21"/>
      <c r="Q102" s="2"/>
      <c r="R102" s="2"/>
      <c r="S102" s="2"/>
      <c r="T102" s="11"/>
      <c r="U102" s="2"/>
      <c r="V102" s="11"/>
      <c r="W102" s="5"/>
      <c r="X102" s="2"/>
      <c r="Y102" s="5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</row>
    <row r="103" spans="1:76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33"/>
      <c r="O103" s="21"/>
      <c r="P103" s="21"/>
      <c r="Q103" s="2"/>
      <c r="R103" s="2"/>
      <c r="S103" s="2"/>
      <c r="T103" s="11"/>
      <c r="U103" s="2"/>
      <c r="V103" s="11"/>
      <c r="W103" s="5"/>
      <c r="X103" s="2"/>
      <c r="Y103" s="5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</row>
    <row r="104" spans="1:76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1"/>
      <c r="O104" s="21"/>
      <c r="P104" s="21"/>
      <c r="Q104" s="2"/>
      <c r="R104" s="2"/>
      <c r="S104" s="2"/>
      <c r="T104" s="11"/>
      <c r="U104" s="2"/>
      <c r="V104" s="11"/>
      <c r="W104" s="5"/>
      <c r="X104" s="2"/>
      <c r="Y104" s="5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</row>
    <row r="105" spans="1:76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1"/>
      <c r="O105" s="21"/>
      <c r="P105" s="21"/>
      <c r="Q105" s="2"/>
      <c r="R105" s="2"/>
      <c r="S105" s="2"/>
      <c r="T105" s="11"/>
      <c r="U105" s="2"/>
      <c r="V105" s="11"/>
      <c r="W105" s="5"/>
      <c r="X105" s="2"/>
      <c r="Y105" s="5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</row>
    <row r="106" spans="1:76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1"/>
      <c r="O106" s="21"/>
      <c r="P106" s="21"/>
      <c r="Q106" s="2"/>
      <c r="R106" s="2"/>
      <c r="S106" s="2"/>
      <c r="T106" s="11"/>
      <c r="U106" s="2"/>
      <c r="V106" s="11"/>
      <c r="W106" s="5"/>
      <c r="X106" s="2"/>
      <c r="Y106" s="5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</row>
    <row r="107" spans="1:76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1"/>
      <c r="O107" s="21"/>
      <c r="P107" s="21"/>
      <c r="Q107" s="2"/>
      <c r="R107" s="2"/>
      <c r="S107" s="2"/>
      <c r="T107" s="11"/>
      <c r="U107" s="2"/>
      <c r="V107" s="11"/>
      <c r="W107" s="5"/>
      <c r="X107" s="2"/>
      <c r="Y107" s="5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</row>
    <row r="108" spans="1:76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1"/>
      <c r="O108" s="21"/>
      <c r="P108" s="21"/>
      <c r="Q108" s="2"/>
      <c r="R108" s="2"/>
      <c r="S108" s="2"/>
      <c r="T108" s="11"/>
      <c r="U108" s="2"/>
      <c r="V108" s="11"/>
      <c r="W108" s="5"/>
      <c r="X108" s="2"/>
      <c r="Y108" s="5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</row>
    <row r="109" spans="1:76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1"/>
      <c r="O109" s="21"/>
      <c r="P109" s="21"/>
      <c r="Q109" s="2"/>
      <c r="R109" s="2"/>
      <c r="S109" s="2"/>
      <c r="T109" s="11"/>
      <c r="U109" s="2"/>
      <c r="V109" s="11"/>
      <c r="W109" s="5"/>
      <c r="X109" s="2"/>
      <c r="Y109" s="5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</row>
    <row r="110" spans="1:76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1"/>
      <c r="O110" s="21"/>
      <c r="P110" s="21"/>
      <c r="Q110" s="2"/>
      <c r="R110" s="2"/>
      <c r="S110" s="2"/>
      <c r="T110" s="11"/>
      <c r="U110" s="2"/>
      <c r="V110" s="11"/>
      <c r="W110" s="5"/>
      <c r="X110" s="2"/>
      <c r="Y110" s="5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</row>
    <row r="111" spans="1:76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1"/>
      <c r="O111" s="21"/>
      <c r="P111" s="21"/>
      <c r="Q111" s="2"/>
      <c r="R111" s="2"/>
      <c r="S111" s="2"/>
      <c r="T111" s="11"/>
      <c r="U111" s="2"/>
      <c r="V111" s="11"/>
      <c r="W111" s="5"/>
      <c r="X111" s="2"/>
      <c r="Y111" s="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</row>
    <row r="112" spans="1:76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1"/>
      <c r="O112" s="21"/>
      <c r="P112" s="21"/>
      <c r="Q112" s="2"/>
      <c r="R112" s="2"/>
      <c r="S112" s="2"/>
      <c r="T112" s="11"/>
      <c r="U112" s="2"/>
      <c r="V112" s="11"/>
      <c r="W112" s="5"/>
      <c r="X112" s="2"/>
      <c r="Y112" s="5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</row>
    <row r="113" spans="1:76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1"/>
      <c r="O113" s="21"/>
      <c r="P113" s="21"/>
      <c r="Q113" s="2"/>
      <c r="R113" s="2"/>
      <c r="S113" s="2"/>
      <c r="T113" s="11"/>
      <c r="U113" s="2"/>
      <c r="V113" s="11"/>
      <c r="W113" s="5"/>
      <c r="X113" s="2"/>
      <c r="Y113" s="5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</row>
    <row r="114" spans="1:76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1"/>
      <c r="O114" s="21"/>
      <c r="P114" s="21"/>
      <c r="Q114" s="2"/>
      <c r="R114" s="2"/>
      <c r="S114" s="2"/>
      <c r="T114" s="11"/>
      <c r="U114" s="2"/>
      <c r="V114" s="11"/>
      <c r="W114" s="5"/>
      <c r="X114" s="2"/>
      <c r="Y114" s="5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</row>
    <row r="115" spans="1:76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1"/>
      <c r="O115" s="21"/>
      <c r="P115" s="21"/>
      <c r="Q115" s="2"/>
      <c r="R115" s="2"/>
      <c r="S115" s="2"/>
      <c r="T115" s="11"/>
      <c r="U115" s="2"/>
      <c r="V115" s="11"/>
      <c r="W115" s="5"/>
      <c r="X115" s="2"/>
      <c r="Y115" s="5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</row>
    <row r="116" spans="1:76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1"/>
      <c r="O116" s="21"/>
      <c r="P116" s="21"/>
      <c r="Q116" s="2"/>
      <c r="R116" s="2"/>
      <c r="S116" s="2"/>
      <c r="T116" s="11"/>
      <c r="U116" s="2"/>
      <c r="V116" s="11"/>
      <c r="W116" s="5"/>
      <c r="X116" s="2"/>
      <c r="Y116" s="5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</row>
    <row r="117" spans="1:76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1"/>
      <c r="O117" s="21"/>
      <c r="P117" s="21"/>
      <c r="Q117" s="2"/>
      <c r="R117" s="2"/>
      <c r="S117" s="2"/>
      <c r="T117" s="11"/>
      <c r="U117" s="2"/>
      <c r="V117" s="11"/>
      <c r="W117" s="5"/>
      <c r="X117" s="2"/>
      <c r="Y117" s="5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</row>
    <row r="118" spans="1:76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1"/>
      <c r="O118" s="21"/>
      <c r="P118" s="21"/>
      <c r="Q118" s="2"/>
      <c r="R118" s="2"/>
      <c r="S118" s="2"/>
      <c r="T118" s="11"/>
      <c r="U118" s="2"/>
      <c r="V118" s="11"/>
      <c r="W118" s="5"/>
      <c r="X118" s="2"/>
      <c r="Y118" s="5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</row>
    <row r="119" spans="1:76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1"/>
      <c r="O119" s="21"/>
      <c r="P119" s="21"/>
      <c r="Q119" s="2"/>
      <c r="R119" s="2"/>
      <c r="S119" s="2"/>
      <c r="T119" s="11"/>
      <c r="U119" s="2"/>
      <c r="V119" s="11"/>
      <c r="W119" s="5"/>
      <c r="X119" s="2"/>
      <c r="Y119" s="5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</row>
    <row r="120" spans="1:76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1"/>
      <c r="O120" s="21"/>
      <c r="P120" s="21"/>
      <c r="Q120" s="2"/>
      <c r="R120" s="2"/>
      <c r="S120" s="2"/>
      <c r="T120" s="11"/>
      <c r="U120" s="2"/>
      <c r="V120" s="11"/>
      <c r="W120" s="5"/>
      <c r="X120" s="2"/>
      <c r="Y120" s="5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</row>
    <row r="121" spans="1:76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1"/>
      <c r="O121" s="21"/>
      <c r="P121" s="21"/>
      <c r="Q121" s="2"/>
      <c r="R121" s="2"/>
      <c r="S121" s="2"/>
      <c r="T121" s="11"/>
      <c r="U121" s="2"/>
      <c r="V121" s="11"/>
      <c r="W121" s="5"/>
      <c r="X121" s="2"/>
      <c r="Y121" s="5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</row>
    <row r="122" spans="1:76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1"/>
      <c r="O122" s="21"/>
      <c r="P122" s="21"/>
      <c r="Q122" s="2"/>
      <c r="R122" s="2"/>
      <c r="S122" s="2"/>
      <c r="T122" s="11"/>
      <c r="U122" s="2"/>
      <c r="V122" s="11"/>
      <c r="W122" s="5"/>
      <c r="X122" s="2"/>
      <c r="Y122" s="5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</row>
    <row r="123" spans="1:76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1"/>
      <c r="O123" s="21"/>
      <c r="P123" s="21"/>
      <c r="Q123" s="2"/>
      <c r="R123" s="2"/>
      <c r="S123" s="2"/>
      <c r="T123" s="11"/>
      <c r="U123" s="2"/>
      <c r="V123" s="11"/>
      <c r="W123" s="5"/>
      <c r="X123" s="2"/>
      <c r="Y123" s="5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</row>
    <row r="124" spans="1:76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1"/>
      <c r="O124" s="21"/>
      <c r="P124" s="21"/>
      <c r="Q124" s="2"/>
      <c r="R124" s="2"/>
      <c r="S124" s="2"/>
      <c r="T124" s="11"/>
      <c r="U124" s="2"/>
      <c r="V124" s="11"/>
      <c r="W124" s="5"/>
      <c r="X124" s="2"/>
      <c r="Y124" s="5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</row>
    <row r="125" spans="1:76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1"/>
      <c r="O125" s="21"/>
      <c r="P125" s="21"/>
      <c r="Q125" s="2"/>
      <c r="R125" s="2"/>
      <c r="S125" s="2"/>
      <c r="T125" s="11"/>
      <c r="U125" s="2"/>
      <c r="V125" s="11"/>
      <c r="W125" s="5"/>
      <c r="X125" s="2"/>
      <c r="Y125" s="5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</row>
    <row r="126" spans="1:76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1"/>
      <c r="O126" s="21"/>
      <c r="P126" s="21"/>
      <c r="Q126" s="2"/>
      <c r="R126" s="2"/>
      <c r="S126" s="2"/>
      <c r="T126" s="11"/>
      <c r="U126" s="2"/>
      <c r="V126" s="11"/>
      <c r="W126" s="5"/>
      <c r="X126" s="2"/>
      <c r="Y126" s="5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</row>
    <row r="127" spans="1:76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1"/>
      <c r="O127" s="21"/>
      <c r="P127" s="21"/>
      <c r="Q127" s="2"/>
      <c r="R127" s="2"/>
      <c r="S127" s="2"/>
      <c r="T127" s="11"/>
      <c r="U127" s="2"/>
      <c r="V127" s="11"/>
      <c r="W127" s="5"/>
      <c r="X127" s="2"/>
      <c r="Y127" s="5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</row>
    <row r="128" spans="1:76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21"/>
      <c r="O128" s="21"/>
      <c r="P128" s="21"/>
      <c r="Q128" s="2"/>
      <c r="R128" s="2"/>
      <c r="S128" s="2"/>
      <c r="T128" s="11"/>
      <c r="U128" s="2"/>
      <c r="V128" s="11"/>
      <c r="W128" s="5"/>
      <c r="X128" s="2"/>
      <c r="Y128" s="5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</row>
    <row r="129" spans="1:76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1"/>
      <c r="O129" s="21"/>
      <c r="P129" s="21"/>
      <c r="Q129" s="2"/>
      <c r="R129" s="2"/>
      <c r="S129" s="2"/>
      <c r="T129" s="11"/>
      <c r="U129" s="2"/>
      <c r="V129" s="11"/>
      <c r="W129" s="5"/>
      <c r="X129" s="2"/>
      <c r="Y129" s="5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</row>
    <row r="130" spans="1:76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1"/>
      <c r="O130" s="21"/>
      <c r="P130" s="21"/>
      <c r="Q130" s="2"/>
      <c r="R130" s="2"/>
      <c r="S130" s="2"/>
      <c r="T130" s="11"/>
      <c r="U130" s="2"/>
      <c r="V130" s="11"/>
      <c r="W130" s="5"/>
      <c r="X130" s="2"/>
      <c r="Y130" s="5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</row>
    <row r="131" spans="1:76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1"/>
      <c r="O131" s="21"/>
      <c r="P131" s="21"/>
      <c r="Q131" s="2"/>
      <c r="R131" s="2"/>
      <c r="S131" s="2"/>
      <c r="T131" s="11"/>
      <c r="U131" s="2"/>
      <c r="V131" s="11"/>
      <c r="W131" s="5"/>
      <c r="X131" s="2"/>
      <c r="Y131" s="5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</row>
    <row r="132" spans="1:76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1"/>
      <c r="O132" s="21"/>
      <c r="P132" s="21"/>
      <c r="Q132" s="2"/>
      <c r="R132" s="2"/>
      <c r="S132" s="2"/>
      <c r="T132" s="11"/>
      <c r="U132" s="2"/>
      <c r="V132" s="11"/>
      <c r="W132" s="5"/>
      <c r="X132" s="2"/>
      <c r="Y132" s="5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</row>
    <row r="133" spans="1:76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1"/>
      <c r="O133" s="21"/>
      <c r="P133" s="21"/>
      <c r="Q133" s="2"/>
      <c r="R133" s="2"/>
      <c r="S133" s="2"/>
      <c r="T133" s="11"/>
      <c r="U133" s="2"/>
      <c r="V133" s="11"/>
      <c r="W133" s="5"/>
      <c r="X133" s="2"/>
      <c r="Y133" s="5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</row>
    <row r="134" spans="1:76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1"/>
      <c r="O134" s="21"/>
      <c r="P134" s="21"/>
      <c r="Q134" s="2"/>
      <c r="R134" s="2"/>
      <c r="S134" s="2"/>
      <c r="T134" s="11"/>
      <c r="U134" s="2"/>
      <c r="V134" s="11"/>
      <c r="W134" s="5"/>
      <c r="X134" s="2"/>
      <c r="Y134" s="5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</row>
    <row r="135" spans="1:76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1"/>
      <c r="O135" s="21"/>
      <c r="P135" s="21"/>
      <c r="Q135" s="2"/>
      <c r="R135" s="2"/>
      <c r="S135" s="2"/>
      <c r="T135" s="11"/>
      <c r="U135" s="2"/>
      <c r="V135" s="11"/>
      <c r="W135" s="5"/>
      <c r="X135" s="2"/>
      <c r="Y135" s="5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</row>
    <row r="136" spans="1:76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1"/>
      <c r="O136" s="21"/>
      <c r="P136" s="21"/>
      <c r="Q136" s="2"/>
      <c r="R136" s="2"/>
      <c r="S136" s="2"/>
      <c r="T136" s="11"/>
      <c r="U136" s="2"/>
      <c r="V136" s="11"/>
      <c r="W136" s="5"/>
      <c r="X136" s="2"/>
      <c r="Y136" s="5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</row>
    <row r="137" spans="1:76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1"/>
      <c r="O137" s="21"/>
      <c r="P137" s="21"/>
      <c r="Q137" s="2"/>
      <c r="R137" s="2"/>
      <c r="S137" s="2"/>
      <c r="T137" s="11"/>
      <c r="U137" s="2"/>
      <c r="V137" s="11"/>
      <c r="W137" s="5"/>
      <c r="X137" s="2"/>
      <c r="Y137" s="5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</row>
    <row r="138" spans="1:76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21"/>
      <c r="O138" s="21"/>
      <c r="P138" s="21"/>
      <c r="Q138" s="2"/>
      <c r="R138" s="2"/>
      <c r="S138" s="2"/>
      <c r="T138" s="11"/>
      <c r="U138" s="2"/>
      <c r="V138" s="11"/>
      <c r="W138" s="5"/>
      <c r="X138" s="2"/>
      <c r="Y138" s="5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1:76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1"/>
      <c r="O139" s="21"/>
      <c r="P139" s="21"/>
      <c r="Q139" s="2"/>
      <c r="R139" s="2"/>
      <c r="S139" s="2"/>
      <c r="T139" s="11"/>
      <c r="U139" s="2"/>
      <c r="V139" s="11"/>
      <c r="W139" s="5"/>
      <c r="X139" s="2"/>
      <c r="Y139" s="5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1:76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1"/>
      <c r="O140" s="21"/>
      <c r="P140" s="21"/>
      <c r="Q140" s="2"/>
      <c r="R140" s="2"/>
      <c r="S140" s="2"/>
      <c r="T140" s="11"/>
      <c r="U140" s="2"/>
      <c r="V140" s="11"/>
      <c r="W140" s="5"/>
      <c r="X140" s="2"/>
      <c r="Y140" s="5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1:76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1"/>
      <c r="O141" s="21"/>
      <c r="P141" s="21"/>
      <c r="Q141" s="2"/>
      <c r="R141" s="2"/>
      <c r="S141" s="2"/>
      <c r="T141" s="11"/>
      <c r="U141" s="2"/>
      <c r="V141" s="11"/>
      <c r="W141" s="5"/>
      <c r="X141" s="2"/>
      <c r="Y141" s="5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</row>
    <row r="142" spans="1:76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1"/>
      <c r="O142" s="21"/>
      <c r="P142" s="21"/>
      <c r="Q142" s="2"/>
      <c r="R142" s="2"/>
      <c r="S142" s="2"/>
      <c r="T142" s="11"/>
      <c r="U142" s="2"/>
      <c r="V142" s="11"/>
      <c r="W142" s="5"/>
      <c r="X142" s="2"/>
      <c r="Y142" s="5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</row>
    <row r="143" spans="1:76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1"/>
      <c r="O143" s="21"/>
      <c r="P143" s="21"/>
      <c r="Q143" s="2"/>
      <c r="R143" s="2"/>
      <c r="S143" s="2"/>
      <c r="T143" s="11"/>
      <c r="U143" s="2"/>
      <c r="V143" s="11"/>
      <c r="W143" s="5"/>
      <c r="X143" s="2"/>
      <c r="Y143" s="5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</row>
    <row r="144" spans="1:76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3"/>
      <c r="O144" s="23"/>
      <c r="P144" s="23"/>
      <c r="Q144" s="8"/>
      <c r="R144" s="8"/>
      <c r="S144" s="8"/>
      <c r="T144" s="13"/>
      <c r="U144" s="8"/>
      <c r="V144" s="13"/>
      <c r="W144" s="19"/>
      <c r="X144" s="8"/>
      <c r="Y144" s="19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</row>
    <row r="145" spans="1:76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3"/>
      <c r="O145" s="23"/>
      <c r="P145" s="23"/>
      <c r="Q145" s="8"/>
      <c r="R145" s="8"/>
      <c r="S145" s="8"/>
      <c r="T145" s="13"/>
      <c r="U145" s="8"/>
      <c r="V145" s="13"/>
      <c r="W145" s="19"/>
      <c r="X145" s="8"/>
      <c r="Y145" s="19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</row>
    <row r="146" spans="1:76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3"/>
      <c r="O146" s="23"/>
      <c r="P146" s="23"/>
      <c r="Q146" s="8"/>
      <c r="R146" s="8"/>
      <c r="S146" s="8"/>
      <c r="T146" s="13"/>
      <c r="U146" s="8"/>
      <c r="V146" s="13"/>
      <c r="W146" s="19"/>
      <c r="X146" s="8"/>
      <c r="Y146" s="19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</row>
    <row r="147" spans="1:76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3"/>
      <c r="O147" s="23"/>
      <c r="P147" s="23"/>
      <c r="Q147" s="8"/>
      <c r="R147" s="8"/>
      <c r="S147" s="8"/>
      <c r="T147" s="13"/>
      <c r="U147" s="8"/>
      <c r="V147" s="13"/>
      <c r="W147" s="19"/>
      <c r="X147" s="8"/>
      <c r="Y147" s="19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</row>
    <row r="148" spans="1:76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3"/>
      <c r="O148" s="23"/>
      <c r="P148" s="23"/>
      <c r="Q148" s="8"/>
      <c r="R148" s="8"/>
      <c r="S148" s="8"/>
      <c r="T148" s="13"/>
      <c r="U148" s="8"/>
      <c r="V148" s="13"/>
      <c r="W148" s="19"/>
      <c r="X148" s="8"/>
      <c r="Y148" s="19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</row>
    <row r="149" spans="1:76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3"/>
      <c r="O149" s="23"/>
      <c r="P149" s="23"/>
      <c r="Q149" s="8"/>
      <c r="R149" s="8"/>
      <c r="S149" s="8"/>
      <c r="T149" s="13"/>
      <c r="U149" s="8"/>
      <c r="V149" s="13"/>
      <c r="W149" s="19"/>
      <c r="X149" s="8"/>
      <c r="Y149" s="19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</row>
    <row r="150" spans="1:76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3"/>
      <c r="O150" s="23"/>
      <c r="P150" s="23"/>
      <c r="Q150" s="8"/>
      <c r="R150" s="8"/>
      <c r="S150" s="8"/>
      <c r="T150" s="13"/>
      <c r="U150" s="8"/>
      <c r="V150" s="13"/>
      <c r="W150" s="19"/>
      <c r="X150" s="8"/>
      <c r="Y150" s="19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</row>
    <row r="151" spans="1:76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3"/>
      <c r="O151" s="23"/>
      <c r="P151" s="23"/>
      <c r="Q151" s="8"/>
      <c r="R151" s="8"/>
      <c r="S151" s="8"/>
      <c r="T151" s="13"/>
      <c r="U151" s="8"/>
      <c r="V151" s="13"/>
      <c r="W151" s="19"/>
      <c r="X151" s="8"/>
      <c r="Y151" s="19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</row>
    <row r="152" spans="1:76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3"/>
      <c r="O152" s="23"/>
      <c r="P152" s="23"/>
      <c r="Q152" s="8"/>
      <c r="R152" s="8"/>
      <c r="S152" s="8"/>
      <c r="T152" s="13"/>
      <c r="U152" s="8"/>
      <c r="V152" s="13"/>
      <c r="W152" s="19"/>
      <c r="X152" s="8"/>
      <c r="Y152" s="19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</row>
    <row r="153" spans="1:76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3"/>
      <c r="O153" s="23"/>
      <c r="P153" s="23"/>
      <c r="Q153" s="8"/>
      <c r="R153" s="8"/>
      <c r="S153" s="8"/>
      <c r="T153" s="13"/>
      <c r="U153" s="8"/>
      <c r="V153" s="13"/>
      <c r="W153" s="19"/>
      <c r="X153" s="8"/>
      <c r="Y153" s="19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</row>
    <row r="154" spans="1:76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3"/>
      <c r="O154" s="23"/>
      <c r="P154" s="23"/>
      <c r="Q154" s="8"/>
      <c r="R154" s="8"/>
      <c r="S154" s="8"/>
      <c r="T154" s="13"/>
      <c r="U154" s="8"/>
      <c r="V154" s="13"/>
      <c r="W154" s="19"/>
      <c r="X154" s="8"/>
      <c r="Y154" s="19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</row>
    <row r="155" spans="1:76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3"/>
      <c r="O155" s="23"/>
      <c r="P155" s="23"/>
      <c r="Q155" s="8"/>
      <c r="R155" s="8"/>
      <c r="S155" s="8"/>
      <c r="T155" s="13"/>
      <c r="U155" s="8"/>
      <c r="V155" s="13"/>
      <c r="W155" s="19"/>
      <c r="X155" s="8"/>
      <c r="Y155" s="19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</row>
    <row r="156" spans="1:76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3"/>
      <c r="O156" s="23"/>
      <c r="P156" s="23"/>
      <c r="Q156" s="8"/>
      <c r="R156" s="8"/>
      <c r="S156" s="8"/>
      <c r="T156" s="13"/>
      <c r="U156" s="8"/>
      <c r="V156" s="13"/>
      <c r="W156" s="19"/>
      <c r="X156" s="8"/>
      <c r="Y156" s="19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</row>
    <row r="157" spans="1:76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3"/>
      <c r="O157" s="23"/>
      <c r="P157" s="23"/>
      <c r="Q157" s="8"/>
      <c r="R157" s="8"/>
      <c r="S157" s="8"/>
      <c r="T157" s="13"/>
      <c r="U157" s="8"/>
      <c r="V157" s="13"/>
      <c r="W157" s="19"/>
      <c r="X157" s="8"/>
      <c r="Y157" s="19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</row>
    <row r="158" spans="1:76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3"/>
      <c r="O158" s="23"/>
      <c r="P158" s="23"/>
      <c r="Q158" s="8"/>
      <c r="R158" s="8"/>
      <c r="S158" s="8"/>
      <c r="T158" s="13"/>
      <c r="U158" s="8"/>
      <c r="V158" s="13"/>
      <c r="W158" s="19"/>
      <c r="X158" s="8"/>
      <c r="Y158" s="19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</row>
    <row r="159" spans="1:76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3"/>
      <c r="O159" s="23"/>
      <c r="P159" s="23"/>
      <c r="Q159" s="8"/>
      <c r="R159" s="8"/>
      <c r="S159" s="8"/>
      <c r="T159" s="13"/>
      <c r="U159" s="8"/>
      <c r="V159" s="13"/>
      <c r="W159" s="19"/>
      <c r="X159" s="8"/>
      <c r="Y159" s="19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</row>
    <row r="160" spans="1:76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3"/>
      <c r="O160" s="23"/>
      <c r="P160" s="23"/>
      <c r="Q160" s="8"/>
      <c r="R160" s="8"/>
      <c r="S160" s="8"/>
      <c r="T160" s="13"/>
      <c r="U160" s="8"/>
      <c r="V160" s="13"/>
      <c r="W160" s="19"/>
      <c r="X160" s="8"/>
      <c r="Y160" s="19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</row>
    <row r="161" spans="1:76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3"/>
      <c r="O161" s="23"/>
      <c r="P161" s="23"/>
      <c r="Q161" s="8"/>
      <c r="R161" s="8"/>
      <c r="S161" s="8"/>
      <c r="T161" s="13"/>
      <c r="U161" s="8"/>
      <c r="V161" s="13"/>
      <c r="W161" s="19"/>
      <c r="X161" s="8"/>
      <c r="Y161" s="19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</row>
    <row r="162" spans="1:76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3"/>
      <c r="O162" s="23"/>
      <c r="P162" s="23"/>
      <c r="Q162" s="8"/>
      <c r="R162" s="8"/>
      <c r="S162" s="8"/>
      <c r="T162" s="13"/>
      <c r="U162" s="8"/>
      <c r="V162" s="13"/>
      <c r="W162" s="19"/>
      <c r="X162" s="8"/>
      <c r="Y162" s="19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</row>
    <row r="163" spans="1:76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3"/>
      <c r="O163" s="23"/>
      <c r="P163" s="23"/>
      <c r="Q163" s="8"/>
      <c r="R163" s="8"/>
      <c r="S163" s="8"/>
      <c r="T163" s="13"/>
      <c r="U163" s="8"/>
      <c r="V163" s="13"/>
      <c r="W163" s="19"/>
      <c r="X163" s="8"/>
      <c r="Y163" s="19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</row>
    <row r="164" spans="1:76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23"/>
      <c r="O164" s="23"/>
      <c r="P164" s="23"/>
      <c r="Q164" s="8"/>
      <c r="R164" s="8"/>
      <c r="S164" s="8"/>
      <c r="T164" s="13"/>
      <c r="U164" s="8"/>
      <c r="V164" s="13"/>
      <c r="W164" s="19"/>
      <c r="X164" s="8"/>
      <c r="Y164" s="19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</row>
    <row r="165" spans="1:76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23"/>
      <c r="O165" s="23"/>
      <c r="P165" s="23"/>
      <c r="Q165" s="8"/>
      <c r="R165" s="8"/>
      <c r="S165" s="8"/>
      <c r="T165" s="13"/>
      <c r="U165" s="8"/>
      <c r="V165" s="13"/>
      <c r="W165" s="19"/>
      <c r="X165" s="8"/>
      <c r="Y165" s="19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</row>
    <row r="166" spans="1:76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23"/>
      <c r="O166" s="23"/>
      <c r="P166" s="23"/>
      <c r="Q166" s="8"/>
      <c r="R166" s="8"/>
      <c r="S166" s="8"/>
      <c r="T166" s="13"/>
      <c r="U166" s="8"/>
      <c r="V166" s="13"/>
      <c r="W166" s="19"/>
      <c r="X166" s="8"/>
      <c r="Y166" s="19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</row>
    <row r="167" spans="1:76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23"/>
      <c r="O167" s="23"/>
      <c r="P167" s="23"/>
      <c r="Q167" s="8"/>
      <c r="R167" s="8"/>
      <c r="S167" s="8"/>
      <c r="T167" s="13"/>
      <c r="U167" s="8"/>
      <c r="V167" s="13"/>
      <c r="W167" s="19"/>
      <c r="X167" s="8"/>
      <c r="Y167" s="19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</row>
    <row r="168" spans="1:76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23"/>
      <c r="O168" s="23"/>
      <c r="P168" s="23"/>
      <c r="Q168" s="8"/>
      <c r="R168" s="8"/>
      <c r="S168" s="8"/>
      <c r="T168" s="13"/>
      <c r="U168" s="8"/>
      <c r="V168" s="13"/>
      <c r="W168" s="19"/>
      <c r="X168" s="8"/>
      <c r="Y168" s="19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</row>
    <row r="169" spans="1:76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23"/>
      <c r="O169" s="23"/>
      <c r="P169" s="23"/>
      <c r="Q169" s="8"/>
      <c r="R169" s="8"/>
      <c r="S169" s="8"/>
      <c r="T169" s="13"/>
      <c r="U169" s="8"/>
      <c r="V169" s="13"/>
      <c r="W169" s="19"/>
      <c r="X169" s="8"/>
      <c r="Y169" s="19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</row>
    <row r="170" spans="1:76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23"/>
      <c r="O170" s="23"/>
      <c r="P170" s="23"/>
      <c r="Q170" s="8"/>
      <c r="R170" s="8"/>
      <c r="S170" s="8"/>
      <c r="T170" s="13"/>
      <c r="U170" s="8"/>
      <c r="V170" s="13"/>
      <c r="W170" s="19"/>
      <c r="X170" s="8"/>
      <c r="Y170" s="19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</row>
    <row r="171" spans="1:76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23"/>
      <c r="O171" s="23"/>
      <c r="P171" s="23"/>
      <c r="Q171" s="8"/>
      <c r="R171" s="8"/>
      <c r="S171" s="8"/>
      <c r="T171" s="13"/>
      <c r="U171" s="8"/>
      <c r="V171" s="13"/>
      <c r="W171" s="19"/>
      <c r="X171" s="8"/>
      <c r="Y171" s="19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</row>
    <row r="172" spans="1:76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23"/>
      <c r="O172" s="23"/>
      <c r="P172" s="23"/>
      <c r="Q172" s="8"/>
      <c r="R172" s="8"/>
      <c r="S172" s="8"/>
      <c r="T172" s="13"/>
      <c r="U172" s="8"/>
      <c r="V172" s="13"/>
      <c r="W172" s="19"/>
      <c r="X172" s="8"/>
      <c r="Y172" s="19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</row>
    <row r="173" spans="1:76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23"/>
      <c r="O173" s="23"/>
      <c r="P173" s="23"/>
      <c r="Q173" s="8"/>
      <c r="R173" s="8"/>
      <c r="S173" s="8"/>
      <c r="T173" s="13"/>
      <c r="U173" s="8"/>
      <c r="V173" s="13"/>
      <c r="W173" s="19"/>
      <c r="X173" s="8"/>
      <c r="Y173" s="19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</row>
    <row r="174" spans="1:76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23"/>
      <c r="O174" s="23"/>
      <c r="P174" s="23"/>
      <c r="Q174" s="8"/>
      <c r="R174" s="8"/>
      <c r="S174" s="8"/>
      <c r="T174" s="13"/>
      <c r="U174" s="8"/>
      <c r="V174" s="13"/>
      <c r="W174" s="19"/>
      <c r="X174" s="8"/>
      <c r="Y174" s="19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</row>
    <row r="175" spans="1:76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23"/>
      <c r="O175" s="23"/>
      <c r="P175" s="23"/>
      <c r="Q175" s="8"/>
      <c r="R175" s="8"/>
      <c r="S175" s="8"/>
      <c r="T175" s="13"/>
      <c r="U175" s="8"/>
      <c r="V175" s="13"/>
      <c r="W175" s="19"/>
      <c r="X175" s="8"/>
      <c r="Y175" s="19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</row>
    <row r="176" spans="1:76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23"/>
      <c r="O176" s="23"/>
      <c r="P176" s="23"/>
      <c r="Q176" s="8"/>
      <c r="R176" s="8"/>
      <c r="S176" s="8"/>
      <c r="T176" s="13"/>
      <c r="U176" s="8"/>
      <c r="V176" s="13"/>
      <c r="W176" s="19"/>
      <c r="X176" s="8"/>
      <c r="Y176" s="19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</row>
    <row r="177" spans="1:76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23"/>
      <c r="O177" s="23"/>
      <c r="P177" s="23"/>
      <c r="Q177" s="8"/>
      <c r="R177" s="8"/>
      <c r="S177" s="8"/>
      <c r="T177" s="13"/>
      <c r="U177" s="8"/>
      <c r="V177" s="13"/>
      <c r="W177" s="19"/>
      <c r="X177" s="8"/>
      <c r="Y177" s="19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</row>
    <row r="178" spans="1:76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23"/>
      <c r="O178" s="23"/>
      <c r="P178" s="23"/>
      <c r="Q178" s="8"/>
      <c r="R178" s="8"/>
      <c r="S178" s="8"/>
      <c r="T178" s="13"/>
      <c r="U178" s="8"/>
      <c r="V178" s="13"/>
      <c r="W178" s="19"/>
      <c r="X178" s="8"/>
      <c r="Y178" s="19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</row>
    <row r="179" spans="1:76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23"/>
      <c r="O179" s="23"/>
      <c r="P179" s="23"/>
      <c r="Q179" s="8"/>
      <c r="R179" s="8"/>
      <c r="S179" s="8"/>
      <c r="T179" s="13"/>
      <c r="U179" s="8"/>
      <c r="V179" s="13"/>
      <c r="W179" s="19"/>
      <c r="X179" s="8"/>
      <c r="Y179" s="19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</row>
    <row r="180" spans="1:76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23"/>
      <c r="O180" s="23"/>
      <c r="P180" s="23"/>
      <c r="Q180" s="8"/>
      <c r="R180" s="8"/>
      <c r="S180" s="8"/>
      <c r="T180" s="13"/>
      <c r="U180" s="8"/>
      <c r="V180" s="13"/>
      <c r="W180" s="19"/>
      <c r="X180" s="8"/>
      <c r="Y180" s="19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</row>
    <row r="181" spans="1:76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23"/>
      <c r="O181" s="23"/>
      <c r="P181" s="23"/>
      <c r="Q181" s="8"/>
      <c r="R181" s="8"/>
      <c r="S181" s="8"/>
      <c r="T181" s="13"/>
      <c r="U181" s="8"/>
      <c r="V181" s="13"/>
      <c r="W181" s="19"/>
      <c r="X181" s="8"/>
      <c r="Y181" s="19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</row>
    <row r="182" spans="1:76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23"/>
      <c r="O182" s="23"/>
      <c r="P182" s="23"/>
      <c r="Q182" s="8"/>
      <c r="R182" s="8"/>
      <c r="S182" s="8"/>
      <c r="T182" s="13"/>
      <c r="U182" s="8"/>
      <c r="V182" s="13"/>
      <c r="W182" s="19"/>
      <c r="X182" s="8"/>
      <c r="Y182" s="19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</row>
    <row r="183" spans="1:76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23"/>
      <c r="O183" s="23"/>
      <c r="P183" s="23"/>
      <c r="Q183" s="8"/>
      <c r="R183" s="8"/>
      <c r="S183" s="8"/>
      <c r="T183" s="13"/>
      <c r="U183" s="8"/>
      <c r="V183" s="13"/>
      <c r="W183" s="19"/>
      <c r="X183" s="8"/>
      <c r="Y183" s="19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</row>
    <row r="184" spans="1:76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23"/>
      <c r="O184" s="23"/>
      <c r="P184" s="23"/>
      <c r="Q184" s="8"/>
      <c r="R184" s="8"/>
      <c r="S184" s="8"/>
      <c r="T184" s="13"/>
      <c r="U184" s="8"/>
      <c r="V184" s="13"/>
      <c r="W184" s="19"/>
      <c r="X184" s="8"/>
      <c r="Y184" s="19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</row>
    <row r="185" spans="1:76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23"/>
      <c r="O185" s="23"/>
      <c r="P185" s="23"/>
      <c r="Q185" s="8"/>
      <c r="R185" s="8"/>
      <c r="S185" s="8"/>
      <c r="T185" s="13"/>
      <c r="U185" s="8"/>
      <c r="V185" s="13"/>
      <c r="W185" s="19"/>
      <c r="X185" s="8"/>
      <c r="Y185" s="19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</row>
    <row r="186" spans="1:76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23"/>
      <c r="O186" s="23"/>
      <c r="P186" s="23"/>
      <c r="Q186" s="8"/>
      <c r="R186" s="8"/>
      <c r="S186" s="8"/>
      <c r="T186" s="13"/>
      <c r="U186" s="8"/>
      <c r="V186" s="13"/>
      <c r="W186" s="19"/>
      <c r="X186" s="8"/>
      <c r="Y186" s="19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</row>
    <row r="187" spans="1:76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23"/>
      <c r="O187" s="23"/>
      <c r="P187" s="23"/>
      <c r="Q187" s="8"/>
      <c r="R187" s="8"/>
      <c r="S187" s="8"/>
      <c r="T187" s="13"/>
      <c r="U187" s="8"/>
      <c r="V187" s="13"/>
      <c r="W187" s="19"/>
      <c r="X187" s="8"/>
      <c r="Y187" s="19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</row>
    <row r="188" spans="1:76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23"/>
      <c r="O188" s="23"/>
      <c r="P188" s="23"/>
      <c r="Q188" s="8"/>
      <c r="R188" s="8"/>
      <c r="S188" s="8"/>
      <c r="T188" s="13"/>
      <c r="U188" s="8"/>
      <c r="V188" s="13"/>
      <c r="W188" s="19"/>
      <c r="X188" s="8"/>
      <c r="Y188" s="19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A451-15A0-4A07-A6D3-6DDF26527A60}">
  <dimension ref="A1:BX188"/>
  <sheetViews>
    <sheetView tabSelected="1" topLeftCell="M1" zoomScale="120" zoomScaleNormal="120" workbookViewId="0">
      <selection activeCell="X75" sqref="X75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4" customWidth="1"/>
    <col min="12" max="12" width="20.88671875" style="3" customWidth="1"/>
    <col min="13" max="13" width="27.33203125" style="3" customWidth="1"/>
    <col min="14" max="15" width="20.6640625" style="23" customWidth="1"/>
    <col min="16" max="16" width="32.88671875" style="23" customWidth="1"/>
    <col min="17" max="17" width="23.21875" style="8" customWidth="1"/>
    <col min="18" max="18" width="30.88671875" style="8" customWidth="1"/>
    <col min="19" max="19" width="20.6640625" style="8" customWidth="1"/>
    <col min="20" max="20" width="20.6640625" style="13" customWidth="1"/>
    <col min="21" max="21" width="20.6640625" style="8" customWidth="1"/>
    <col min="22" max="22" width="20.6640625" style="13" customWidth="1"/>
    <col min="23" max="23" width="23.77734375" style="19" customWidth="1"/>
    <col min="24" max="24" width="47.33203125" style="8" customWidth="1"/>
    <col min="25" max="25" width="51.6640625" style="19" customWidth="1"/>
    <col min="26" max="16384" width="8.88671875" style="6"/>
  </cols>
  <sheetData>
    <row r="1" spans="1:25" s="24" customFormat="1" ht="53.4" customHeight="1" x14ac:dyDescent="0.3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19</v>
      </c>
      <c r="N1" s="22" t="s">
        <v>26</v>
      </c>
      <c r="O1" s="22" t="s">
        <v>17</v>
      </c>
      <c r="P1" s="22" t="s">
        <v>29</v>
      </c>
      <c r="Q1" s="18" t="s">
        <v>12</v>
      </c>
      <c r="R1" s="17" t="s">
        <v>15</v>
      </c>
      <c r="S1" s="17" t="s">
        <v>30</v>
      </c>
      <c r="T1" s="12" t="s">
        <v>13</v>
      </c>
      <c r="U1" s="17" t="s">
        <v>14</v>
      </c>
      <c r="V1" s="12" t="s">
        <v>22</v>
      </c>
      <c r="W1" s="12" t="s">
        <v>21</v>
      </c>
      <c r="X1" s="25" t="s">
        <v>23</v>
      </c>
      <c r="Y1" s="25" t="s">
        <v>20</v>
      </c>
    </row>
    <row r="2" spans="1:25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4">
        <v>25.712871287128714</v>
      </c>
      <c r="L2" s="2">
        <f>(K2/1000000)</f>
        <v>2.5712871287128712E-5</v>
      </c>
      <c r="M2" s="3">
        <f>(3.142*3.07*3.07*25.4*25.4)/(4*1000000)</f>
        <v>4.7762865441819992E-3</v>
      </c>
      <c r="N2" s="21">
        <f>(L2*J2)/M2</f>
        <v>1.0834086860306447E-7</v>
      </c>
      <c r="O2" s="21">
        <f>(2.032/1000)</f>
        <v>2.032E-3</v>
      </c>
      <c r="P2" s="21">
        <v>1.9414958079189685E-10</v>
      </c>
      <c r="Q2" s="2">
        <v>0.32</v>
      </c>
      <c r="R2" s="2">
        <f>(1+Q2)*100000*1</f>
        <v>132000</v>
      </c>
      <c r="S2" s="2">
        <f>(5.36358238306597/1000)</f>
        <v>5.36358238306597E-3</v>
      </c>
      <c r="T2" s="11">
        <v>0.09</v>
      </c>
      <c r="U2" s="11">
        <f>(1+T2)*100000</f>
        <v>109000.00000000001</v>
      </c>
      <c r="V2" s="11">
        <f t="shared" ref="V2:V62" si="1">(L2*U2)</f>
        <v>2.8027029702970299</v>
      </c>
      <c r="W2" s="11">
        <f>((N2*O2/P2) + SQRT(V2))^2</f>
        <v>7.8850890276210865</v>
      </c>
      <c r="X2" s="2">
        <f>(N2*S2)/(R2-W2)</f>
        <v>4.4024991538123748E-15</v>
      </c>
      <c r="Y2" s="2">
        <f>(X2*6.022E+23)</f>
        <v>2651184990.4258122</v>
      </c>
    </row>
    <row r="3" spans="1:25" x14ac:dyDescent="0.25">
      <c r="A3" s="26">
        <v>3</v>
      </c>
      <c r="B3" s="26">
        <f t="shared" ref="B3:B62" si="2">(A3/60)</f>
        <v>0.05</v>
      </c>
      <c r="C3" s="26">
        <v>20</v>
      </c>
      <c r="D3" s="26">
        <f t="shared" si="0"/>
        <v>29.146000000000001</v>
      </c>
      <c r="E3" s="26">
        <f t="shared" ref="E3:E62" si="3">(D3/(1000000*60))</f>
        <v>4.8576666666666667E-7</v>
      </c>
      <c r="F3" s="26">
        <v>21.1</v>
      </c>
      <c r="G3" s="26">
        <f t="shared" ref="G3:G62" si="4">(273+F3)</f>
        <v>294.10000000000002</v>
      </c>
      <c r="H3" s="26">
        <v>101.3</v>
      </c>
      <c r="I3" s="26">
        <f t="shared" ref="I3:I62" si="5">(H3*1000)</f>
        <v>101300</v>
      </c>
      <c r="J3" s="26">
        <f t="shared" ref="J3:J62" si="6">((I3*E3)/(8.314*G3))</f>
        <v>2.0124824921938581E-5</v>
      </c>
      <c r="K3" s="14">
        <v>23.361386138613863</v>
      </c>
      <c r="L3" s="27">
        <f t="shared" ref="L3:L62" si="7">(K3/1000000)</f>
        <v>2.3361386138613863E-5</v>
      </c>
      <c r="M3" s="29">
        <f t="shared" ref="M3:M66" si="8">(3.142*3.07*3.07*25.4*25.4)/(4*1000000)</f>
        <v>4.7762865441819992E-3</v>
      </c>
      <c r="N3" s="33">
        <f t="shared" ref="N3:N62" si="9">(L3*J3)/M3</f>
        <v>9.8432914697316391E-8</v>
      </c>
      <c r="O3" s="21">
        <f t="shared" ref="O3:O66" si="10">(2.032/1000)</f>
        <v>2.032E-3</v>
      </c>
      <c r="P3" s="21">
        <v>1.9414958079189685E-10</v>
      </c>
      <c r="Q3" s="2">
        <v>0.32</v>
      </c>
      <c r="R3" s="27">
        <f t="shared" ref="R3:R62" si="11">(1+Q3)*100000*1</f>
        <v>132000</v>
      </c>
      <c r="S3" s="2">
        <f t="shared" ref="S3:S66" si="12">(5.36358238306597/1000)</f>
        <v>5.36358238306597E-3</v>
      </c>
      <c r="T3" s="11">
        <v>0.09</v>
      </c>
      <c r="U3" s="30">
        <f t="shared" ref="U3:U62" si="13">(1+T3)*100000</f>
        <v>109000.00000000001</v>
      </c>
      <c r="V3" s="30">
        <f t="shared" si="1"/>
        <v>2.5463910891089117</v>
      </c>
      <c r="W3" s="11">
        <f t="shared" ref="W3:W62" si="14">((N3*O3/P3) + SQRT(V3))^2</f>
        <v>6.8956443391063056</v>
      </c>
      <c r="X3" s="2">
        <f t="shared" ref="X3:X62" si="15">(N3*S3)/(R3-W3)</f>
        <v>3.9998532481043111E-15</v>
      </c>
      <c r="Y3" s="2">
        <f t="shared" ref="Y3:Y62" si="16">(X3*6.022E+23)</f>
        <v>2408711626.0084162</v>
      </c>
    </row>
    <row r="4" spans="1:25" x14ac:dyDescent="0.25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14">
        <v>19.82178217821782</v>
      </c>
      <c r="L4" s="27">
        <f t="shared" si="7"/>
        <v>1.982178217821782E-5</v>
      </c>
      <c r="M4" s="29">
        <f t="shared" si="8"/>
        <v>4.7762865441819992E-3</v>
      </c>
      <c r="N4" s="33">
        <f t="shared" si="9"/>
        <v>8.3518836712874505E-8</v>
      </c>
      <c r="O4" s="21">
        <f t="shared" si="10"/>
        <v>2.032E-3</v>
      </c>
      <c r="P4" s="21">
        <v>1.9414958079189685E-10</v>
      </c>
      <c r="Q4" s="2">
        <v>0.32</v>
      </c>
      <c r="R4" s="27">
        <f t="shared" si="11"/>
        <v>132000</v>
      </c>
      <c r="S4" s="2">
        <f t="shared" si="12"/>
        <v>5.36358238306597E-3</v>
      </c>
      <c r="T4" s="11">
        <v>0.09</v>
      </c>
      <c r="U4" s="30">
        <f t="shared" si="13"/>
        <v>109000.00000000001</v>
      </c>
      <c r="V4" s="30">
        <f t="shared" si="1"/>
        <v>2.1605742574257429</v>
      </c>
      <c r="W4" s="11">
        <f t="shared" si="14"/>
        <v>5.4943850322912642</v>
      </c>
      <c r="X4" s="2">
        <f t="shared" si="15"/>
        <v>3.3937788482957882E-15</v>
      </c>
      <c r="Y4" s="2">
        <f t="shared" si="16"/>
        <v>2043733622.4437237</v>
      </c>
    </row>
    <row r="5" spans="1:25" x14ac:dyDescent="0.25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14">
        <v>25.93564356435644</v>
      </c>
      <c r="L5" s="27">
        <f t="shared" si="7"/>
        <v>2.593564356435644E-5</v>
      </c>
      <c r="M5" s="29">
        <f t="shared" si="8"/>
        <v>4.7762865441819992E-3</v>
      </c>
      <c r="N5" s="33">
        <f t="shared" si="9"/>
        <v>1.0927951686781959E-7</v>
      </c>
      <c r="O5" s="21">
        <f t="shared" si="10"/>
        <v>2.032E-3</v>
      </c>
      <c r="P5" s="21">
        <v>1.9414958079189685E-10</v>
      </c>
      <c r="Q5" s="2">
        <v>0.32</v>
      </c>
      <c r="R5" s="27">
        <f t="shared" si="11"/>
        <v>132000</v>
      </c>
      <c r="S5" s="2">
        <f t="shared" si="12"/>
        <v>5.36358238306597E-3</v>
      </c>
      <c r="T5" s="11">
        <v>0.09</v>
      </c>
      <c r="U5" s="30">
        <f t="shared" si="13"/>
        <v>109000.00000000001</v>
      </c>
      <c r="V5" s="30">
        <f t="shared" si="1"/>
        <v>2.8269851485148525</v>
      </c>
      <c r="W5" s="11">
        <f t="shared" si="14"/>
        <v>7.9811937251527372</v>
      </c>
      <c r="X5" s="2">
        <f t="shared" si="15"/>
        <v>4.4406449481044937E-15</v>
      </c>
      <c r="Y5" s="2">
        <f t="shared" si="16"/>
        <v>2674156387.7485261</v>
      </c>
    </row>
    <row r="6" spans="1:25" x14ac:dyDescent="0.25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14">
        <v>24.574257425742573</v>
      </c>
      <c r="L6" s="27">
        <f t="shared" si="7"/>
        <v>2.4574257425742573E-5</v>
      </c>
      <c r="M6" s="29">
        <f t="shared" si="8"/>
        <v>4.7762865441819992E-3</v>
      </c>
      <c r="N6" s="33">
        <f t="shared" si="9"/>
        <v>1.0354333302764961E-7</v>
      </c>
      <c r="O6" s="21">
        <f t="shared" si="10"/>
        <v>2.032E-3</v>
      </c>
      <c r="P6" s="21">
        <v>1.9414958079189685E-10</v>
      </c>
      <c r="Q6" s="2">
        <v>0.32</v>
      </c>
      <c r="R6" s="27">
        <f t="shared" si="11"/>
        <v>132000</v>
      </c>
      <c r="S6" s="2">
        <f t="shared" si="12"/>
        <v>5.36358238306597E-3</v>
      </c>
      <c r="T6" s="11">
        <v>0.09</v>
      </c>
      <c r="U6" s="30">
        <f t="shared" si="13"/>
        <v>109000.00000000001</v>
      </c>
      <c r="V6" s="30">
        <f t="shared" si="1"/>
        <v>2.678594059405941</v>
      </c>
      <c r="W6" s="11">
        <f t="shared" si="14"/>
        <v>7.4002599088928385</v>
      </c>
      <c r="X6" s="2">
        <f t="shared" si="15"/>
        <v>4.2075328314209241E-15</v>
      </c>
      <c r="Y6" s="2">
        <f t="shared" si="16"/>
        <v>2533776271.0816808</v>
      </c>
    </row>
    <row r="7" spans="1:25" x14ac:dyDescent="0.25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14">
        <v>26.702970297029704</v>
      </c>
      <c r="L7" s="27">
        <f t="shared" si="7"/>
        <v>2.6702970297029704E-5</v>
      </c>
      <c r="M7" s="29">
        <f t="shared" si="8"/>
        <v>4.7762865441819992E-3</v>
      </c>
      <c r="N7" s="33">
        <f t="shared" si="9"/>
        <v>1.1251263866864263E-7</v>
      </c>
      <c r="O7" s="21">
        <f t="shared" si="10"/>
        <v>2.032E-3</v>
      </c>
      <c r="P7" s="21">
        <v>1.9414958079189685E-10</v>
      </c>
      <c r="Q7" s="2">
        <v>0.32</v>
      </c>
      <c r="R7" s="27">
        <f t="shared" si="11"/>
        <v>132000</v>
      </c>
      <c r="S7" s="2">
        <f t="shared" si="12"/>
        <v>5.36358238306597E-3</v>
      </c>
      <c r="T7" s="11">
        <v>0.09</v>
      </c>
      <c r="U7" s="30">
        <f t="shared" si="13"/>
        <v>109000.00000000001</v>
      </c>
      <c r="V7" s="30">
        <f t="shared" si="1"/>
        <v>2.9106237623762383</v>
      </c>
      <c r="W7" s="11">
        <f t="shared" si="14"/>
        <v>8.3153218232277943</v>
      </c>
      <c r="X7" s="2">
        <f t="shared" si="15"/>
        <v>4.5720365499295364E-15</v>
      </c>
      <c r="Y7" s="2">
        <f t="shared" si="16"/>
        <v>2753280410.3675671</v>
      </c>
    </row>
    <row r="8" spans="1:25" x14ac:dyDescent="0.25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14">
        <v>27.594059405940595</v>
      </c>
      <c r="L8" s="27">
        <f t="shared" si="7"/>
        <v>2.7594059405940596E-5</v>
      </c>
      <c r="M8" s="29">
        <f t="shared" si="8"/>
        <v>4.7762865441819992E-3</v>
      </c>
      <c r="N8" s="33">
        <f t="shared" si="9"/>
        <v>1.1626723172766297E-7</v>
      </c>
      <c r="O8" s="21">
        <f t="shared" si="10"/>
        <v>2.032E-3</v>
      </c>
      <c r="P8" s="21">
        <v>1.9414958079189685E-10</v>
      </c>
      <c r="Q8" s="2">
        <v>0.32</v>
      </c>
      <c r="R8" s="27">
        <f t="shared" si="11"/>
        <v>132000</v>
      </c>
      <c r="S8" s="2">
        <f t="shared" si="12"/>
        <v>5.36358238306597E-3</v>
      </c>
      <c r="T8" s="11">
        <v>0.09</v>
      </c>
      <c r="U8" s="30">
        <f t="shared" si="13"/>
        <v>109000.00000000001</v>
      </c>
      <c r="V8" s="30">
        <f t="shared" si="1"/>
        <v>3.0077524752475253</v>
      </c>
      <c r="W8" s="11">
        <f t="shared" si="14"/>
        <v>8.7093359918782891</v>
      </c>
      <c r="X8" s="2">
        <f t="shared" si="15"/>
        <v>4.7246213949811009E-15</v>
      </c>
      <c r="Y8" s="2">
        <f t="shared" si="16"/>
        <v>2845167004.0576191</v>
      </c>
    </row>
    <row r="9" spans="1:25" x14ac:dyDescent="0.25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14">
        <v>30.267326732673265</v>
      </c>
      <c r="L9" s="27">
        <f t="shared" si="7"/>
        <v>3.0267326732673266E-5</v>
      </c>
      <c r="M9" s="29">
        <f t="shared" si="8"/>
        <v>4.7762865441819992E-3</v>
      </c>
      <c r="N9" s="33">
        <f t="shared" si="9"/>
        <v>1.2753101090472395E-7</v>
      </c>
      <c r="O9" s="21">
        <f t="shared" si="10"/>
        <v>2.032E-3</v>
      </c>
      <c r="P9" s="21">
        <v>1.9414958079189685E-10</v>
      </c>
      <c r="Q9" s="2">
        <v>0.32</v>
      </c>
      <c r="R9" s="27">
        <f t="shared" si="11"/>
        <v>132000</v>
      </c>
      <c r="S9" s="2">
        <f t="shared" si="12"/>
        <v>5.36358238306597E-3</v>
      </c>
      <c r="T9" s="11">
        <v>0.09</v>
      </c>
      <c r="U9" s="30">
        <f t="shared" si="13"/>
        <v>109000.00000000001</v>
      </c>
      <c r="V9" s="30">
        <f t="shared" si="1"/>
        <v>3.2991386138613863</v>
      </c>
      <c r="W9" s="11">
        <f t="shared" si="14"/>
        <v>9.9295112144334698</v>
      </c>
      <c r="X9" s="2">
        <f t="shared" si="15"/>
        <v>5.1823828932744526E-15</v>
      </c>
      <c r="Y9" s="2">
        <f t="shared" si="16"/>
        <v>3120830978.3298755</v>
      </c>
    </row>
    <row r="10" spans="1:25" x14ac:dyDescent="0.25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14">
        <v>47.816831683168317</v>
      </c>
      <c r="L10" s="27">
        <f t="shared" si="7"/>
        <v>4.7816831683168316E-5</v>
      </c>
      <c r="M10" s="29">
        <f t="shared" si="8"/>
        <v>4.7762865441819992E-3</v>
      </c>
      <c r="N10" s="33">
        <f t="shared" si="9"/>
        <v>2.014756353170966E-7</v>
      </c>
      <c r="O10" s="21">
        <f t="shared" si="10"/>
        <v>2.032E-3</v>
      </c>
      <c r="P10" s="21">
        <v>1.9414958079189685E-10</v>
      </c>
      <c r="Q10" s="2">
        <v>0.32</v>
      </c>
      <c r="R10" s="27">
        <f t="shared" si="11"/>
        <v>132000</v>
      </c>
      <c r="S10" s="2">
        <f t="shared" si="12"/>
        <v>5.36358238306597E-3</v>
      </c>
      <c r="T10" s="11">
        <v>0.09</v>
      </c>
      <c r="U10" s="30">
        <f t="shared" si="13"/>
        <v>109000.00000000001</v>
      </c>
      <c r="V10" s="30">
        <f t="shared" si="1"/>
        <v>5.2120346534653468</v>
      </c>
      <c r="W10" s="11">
        <f t="shared" si="14"/>
        <v>19.286710357854474</v>
      </c>
      <c r="X10" s="2">
        <f t="shared" si="15"/>
        <v>8.1877960898140656E-15</v>
      </c>
      <c r="Y10" s="2">
        <f t="shared" si="16"/>
        <v>4930690805.2860308</v>
      </c>
    </row>
    <row r="11" spans="1:25" x14ac:dyDescent="0.25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14">
        <v>62.049504950495056</v>
      </c>
      <c r="L11" s="27">
        <f t="shared" si="7"/>
        <v>6.2049504950495061E-5</v>
      </c>
      <c r="M11" s="29">
        <f t="shared" si="8"/>
        <v>4.7762865441819992E-3</v>
      </c>
      <c r="N11" s="33">
        <f t="shared" si="9"/>
        <v>2.6144483000978248E-7</v>
      </c>
      <c r="O11" s="21">
        <f t="shared" si="10"/>
        <v>2.032E-3</v>
      </c>
      <c r="P11" s="21">
        <v>1.9414958079189685E-10</v>
      </c>
      <c r="Q11" s="2">
        <v>0.32</v>
      </c>
      <c r="R11" s="27">
        <f t="shared" si="11"/>
        <v>132000</v>
      </c>
      <c r="S11" s="2">
        <f t="shared" si="12"/>
        <v>5.36358238306597E-3</v>
      </c>
      <c r="T11" s="11">
        <v>0.09</v>
      </c>
      <c r="U11" s="30">
        <f t="shared" si="13"/>
        <v>109000.00000000001</v>
      </c>
      <c r="V11" s="30">
        <f t="shared" si="1"/>
        <v>6.763396039603963</v>
      </c>
      <c r="W11" s="11">
        <f t="shared" si="14"/>
        <v>28.483309070194775</v>
      </c>
      <c r="X11" s="2">
        <f t="shared" si="15"/>
        <v>1.0625632860371024E-14</v>
      </c>
      <c r="Y11" s="2">
        <f t="shared" si="16"/>
        <v>6398756108.5154305</v>
      </c>
    </row>
    <row r="12" spans="1:25" x14ac:dyDescent="0.25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14">
        <v>82.816831683168317</v>
      </c>
      <c r="L12" s="27">
        <f t="shared" si="7"/>
        <v>8.2816831683168313E-5</v>
      </c>
      <c r="M12" s="29">
        <f t="shared" si="8"/>
        <v>4.7762865441819992E-3</v>
      </c>
      <c r="N12" s="33">
        <f t="shared" si="9"/>
        <v>3.4894770713528408E-7</v>
      </c>
      <c r="O12" s="21">
        <f t="shared" si="10"/>
        <v>2.032E-3</v>
      </c>
      <c r="P12" s="21">
        <v>1.9414958079189685E-10</v>
      </c>
      <c r="Q12" s="2">
        <v>0.32</v>
      </c>
      <c r="R12" s="27">
        <f t="shared" si="11"/>
        <v>132000</v>
      </c>
      <c r="S12" s="2">
        <f t="shared" si="12"/>
        <v>5.36358238306597E-3</v>
      </c>
      <c r="T12" s="11">
        <v>0.09</v>
      </c>
      <c r="U12" s="30">
        <f t="shared" si="13"/>
        <v>109000.00000000001</v>
      </c>
      <c r="V12" s="30">
        <f t="shared" si="1"/>
        <v>9.0270346534653481</v>
      </c>
      <c r="W12" s="11">
        <f t="shared" si="14"/>
        <v>44.310907949355801</v>
      </c>
      <c r="X12" s="2">
        <f t="shared" si="15"/>
        <v>1.4183623210792081E-14</v>
      </c>
      <c r="Y12" s="2">
        <f t="shared" si="16"/>
        <v>8541377897.5389919</v>
      </c>
    </row>
    <row r="13" spans="1:25" x14ac:dyDescent="0.25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14">
        <v>112.39603960396042</v>
      </c>
      <c r="L13" s="27">
        <f t="shared" si="7"/>
        <v>1.1239603960396042E-4</v>
      </c>
      <c r="M13" s="29">
        <f t="shared" si="8"/>
        <v>4.7762865441819992E-3</v>
      </c>
      <c r="N13" s="33">
        <f t="shared" si="9"/>
        <v>4.7357933784443135E-7</v>
      </c>
      <c r="O13" s="21">
        <f t="shared" si="10"/>
        <v>2.032E-3</v>
      </c>
      <c r="P13" s="21">
        <v>1.9414958079189685E-10</v>
      </c>
      <c r="Q13" s="2">
        <v>0.32</v>
      </c>
      <c r="R13" s="27">
        <f t="shared" si="11"/>
        <v>132000</v>
      </c>
      <c r="S13" s="2">
        <f t="shared" si="12"/>
        <v>5.36358238306597E-3</v>
      </c>
      <c r="T13" s="11">
        <v>0.09</v>
      </c>
      <c r="U13" s="30">
        <f t="shared" si="13"/>
        <v>109000.00000000001</v>
      </c>
      <c r="V13" s="30">
        <f t="shared" si="1"/>
        <v>12.251168316831688</v>
      </c>
      <c r="W13" s="11">
        <f t="shared" si="14"/>
        <v>71.51615738315077</v>
      </c>
      <c r="X13" s="2">
        <f t="shared" si="15"/>
        <v>1.9253475212196114E-14</v>
      </c>
      <c r="Y13" s="2">
        <f t="shared" si="16"/>
        <v>11594442772.7845</v>
      </c>
    </row>
    <row r="14" spans="1:25" x14ac:dyDescent="0.25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14">
        <v>140.66336633663369</v>
      </c>
      <c r="L14" s="27">
        <f t="shared" si="7"/>
        <v>1.4066336633663368E-4</v>
      </c>
      <c r="M14" s="29">
        <f t="shared" si="8"/>
        <v>4.7762865441819992E-3</v>
      </c>
      <c r="N14" s="33">
        <f t="shared" si="9"/>
        <v>5.9268337321668732E-7</v>
      </c>
      <c r="O14" s="21">
        <f t="shared" si="10"/>
        <v>2.032E-3</v>
      </c>
      <c r="P14" s="21">
        <v>1.9414958079189685E-10</v>
      </c>
      <c r="Q14" s="2">
        <v>0.32</v>
      </c>
      <c r="R14" s="27">
        <f t="shared" si="11"/>
        <v>132000</v>
      </c>
      <c r="S14" s="2">
        <f t="shared" si="12"/>
        <v>5.36358238306597E-3</v>
      </c>
      <c r="T14" s="11">
        <v>0.09</v>
      </c>
      <c r="U14" s="30">
        <f t="shared" si="13"/>
        <v>109000.00000000001</v>
      </c>
      <c r="V14" s="30">
        <f t="shared" si="1"/>
        <v>15.332306930693074</v>
      </c>
      <c r="W14" s="11">
        <f t="shared" si="14"/>
        <v>102.38943007884484</v>
      </c>
      <c r="X14" s="2">
        <f t="shared" si="15"/>
        <v>2.4101316813741262E-14</v>
      </c>
      <c r="Y14" s="2">
        <f t="shared" si="16"/>
        <v>14513812985.234989</v>
      </c>
    </row>
    <row r="15" spans="1:25" x14ac:dyDescent="0.25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14">
        <v>168.36138613861388</v>
      </c>
      <c r="L15" s="27">
        <f t="shared" si="7"/>
        <v>1.6836138613861388E-4</v>
      </c>
      <c r="M15" s="29">
        <f t="shared" si="8"/>
        <v>4.7762865441819992E-3</v>
      </c>
      <c r="N15" s="33">
        <f t="shared" si="9"/>
        <v>7.0938864080123612E-7</v>
      </c>
      <c r="O15" s="21">
        <f t="shared" si="10"/>
        <v>2.032E-3</v>
      </c>
      <c r="P15" s="21">
        <v>1.9414958079189685E-10</v>
      </c>
      <c r="Q15" s="2">
        <v>0.32</v>
      </c>
      <c r="R15" s="27">
        <f t="shared" si="11"/>
        <v>132000</v>
      </c>
      <c r="S15" s="2">
        <f t="shared" si="12"/>
        <v>5.36358238306597E-3</v>
      </c>
      <c r="T15" s="11">
        <v>0.09</v>
      </c>
      <c r="U15" s="30">
        <f t="shared" si="13"/>
        <v>109000.00000000001</v>
      </c>
      <c r="V15" s="30">
        <f t="shared" si="1"/>
        <v>18.351391089108915</v>
      </c>
      <c r="W15" s="11">
        <f t="shared" si="14"/>
        <v>137.08722243994495</v>
      </c>
      <c r="X15" s="2">
        <f t="shared" si="15"/>
        <v>2.8854697173018317E-14</v>
      </c>
      <c r="Y15" s="2">
        <f t="shared" si="16"/>
        <v>17376298637.591633</v>
      </c>
    </row>
    <row r="16" spans="1:25" x14ac:dyDescent="0.25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14">
        <v>200.36633663366339</v>
      </c>
      <c r="L16" s="27">
        <f t="shared" si="7"/>
        <v>2.0036633663366338E-4</v>
      </c>
      <c r="M16" s="29">
        <f t="shared" si="8"/>
        <v>4.7762865441819992E-3</v>
      </c>
      <c r="N16" s="33">
        <f t="shared" si="9"/>
        <v>8.4424110817104977E-7</v>
      </c>
      <c r="O16" s="21">
        <f t="shared" si="10"/>
        <v>2.032E-3</v>
      </c>
      <c r="P16" s="21">
        <v>1.9414958079189685E-10</v>
      </c>
      <c r="Q16" s="2">
        <v>0.32</v>
      </c>
      <c r="R16" s="27">
        <f t="shared" si="11"/>
        <v>132000</v>
      </c>
      <c r="S16" s="2">
        <f t="shared" si="12"/>
        <v>5.36358238306597E-3</v>
      </c>
      <c r="T16" s="11">
        <v>0.09</v>
      </c>
      <c r="U16" s="30">
        <f t="shared" si="13"/>
        <v>109000.00000000001</v>
      </c>
      <c r="V16" s="30">
        <f t="shared" si="1"/>
        <v>21.839930693069313</v>
      </c>
      <c r="W16" s="11">
        <f t="shared" si="14"/>
        <v>182.50067780825356</v>
      </c>
      <c r="X16" s="2">
        <f t="shared" si="15"/>
        <v>3.435171170846214E-14</v>
      </c>
      <c r="Y16" s="2">
        <f t="shared" si="16"/>
        <v>20686600790.835903</v>
      </c>
    </row>
    <row r="17" spans="1:76" s="4" customFormat="1" x14ac:dyDescent="0.25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14">
        <v>220.56435643564356</v>
      </c>
      <c r="L17" s="27">
        <f t="shared" si="7"/>
        <v>2.2056435643564356E-4</v>
      </c>
      <c r="M17" s="29">
        <f t="shared" si="8"/>
        <v>4.7762865441819992E-3</v>
      </c>
      <c r="N17" s="33">
        <f t="shared" si="9"/>
        <v>9.2934521750884377E-7</v>
      </c>
      <c r="O17" s="21">
        <f t="shared" si="10"/>
        <v>2.032E-3</v>
      </c>
      <c r="P17" s="21">
        <v>1.9414958079189685E-10</v>
      </c>
      <c r="Q17" s="2">
        <v>0.32</v>
      </c>
      <c r="R17" s="27">
        <f t="shared" si="11"/>
        <v>132000</v>
      </c>
      <c r="S17" s="2">
        <f t="shared" si="12"/>
        <v>5.36358238306597E-3</v>
      </c>
      <c r="T17" s="11">
        <v>0.09</v>
      </c>
      <c r="U17" s="30">
        <f t="shared" si="13"/>
        <v>109000.00000000001</v>
      </c>
      <c r="V17" s="30">
        <f t="shared" si="1"/>
        <v>24.04151485148515</v>
      </c>
      <c r="W17" s="11">
        <f t="shared" si="14"/>
        <v>214.03361495550214</v>
      </c>
      <c r="X17" s="2">
        <f t="shared" si="15"/>
        <v>3.7823599683241517E-14</v>
      </c>
      <c r="Y17" s="2">
        <f t="shared" si="16"/>
        <v>22777371729.248043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</row>
    <row r="18" spans="1:76" s="4" customFormat="1" x14ac:dyDescent="0.25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14">
        <v>258.90594059405947</v>
      </c>
      <c r="L18" s="27">
        <f t="shared" si="7"/>
        <v>2.5890594059405948E-4</v>
      </c>
      <c r="M18" s="29">
        <f t="shared" si="8"/>
        <v>4.7762865441819992E-3</v>
      </c>
      <c r="N18" s="33">
        <f t="shared" si="9"/>
        <v>1.0908970132983579E-6</v>
      </c>
      <c r="O18" s="21">
        <f t="shared" si="10"/>
        <v>2.032E-3</v>
      </c>
      <c r="P18" s="21">
        <v>1.9414958079189685E-10</v>
      </c>
      <c r="Q18" s="2">
        <v>0.32</v>
      </c>
      <c r="R18" s="27">
        <f t="shared" si="11"/>
        <v>132000</v>
      </c>
      <c r="S18" s="2">
        <f t="shared" si="12"/>
        <v>5.36358238306597E-3</v>
      </c>
      <c r="T18" s="11">
        <v>0.09</v>
      </c>
      <c r="U18" s="30">
        <f t="shared" si="13"/>
        <v>109000.00000000001</v>
      </c>
      <c r="V18" s="30">
        <f t="shared" si="1"/>
        <v>28.220747524752486</v>
      </c>
      <c r="W18" s="11">
        <f t="shared" si="14"/>
        <v>279.88687046234219</v>
      </c>
      <c r="X18" s="2">
        <f t="shared" si="15"/>
        <v>4.4420824301237768E-14</v>
      </c>
      <c r="Y18" s="2">
        <f t="shared" si="16"/>
        <v>26750220394.205387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</row>
    <row r="19" spans="1:76" s="4" customFormat="1" x14ac:dyDescent="0.25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14">
        <v>281.03465346534654</v>
      </c>
      <c r="L19" s="27">
        <f t="shared" si="7"/>
        <v>2.8103465346534655E-4</v>
      </c>
      <c r="M19" s="29">
        <f t="shared" si="8"/>
        <v>4.7762865441819992E-3</v>
      </c>
      <c r="N19" s="33">
        <f t="shared" si="9"/>
        <v>1.1841360742640291E-6</v>
      </c>
      <c r="O19" s="21">
        <f t="shared" si="10"/>
        <v>2.032E-3</v>
      </c>
      <c r="P19" s="21">
        <v>1.9414958079189685E-10</v>
      </c>
      <c r="Q19" s="2">
        <v>0.32</v>
      </c>
      <c r="R19" s="27">
        <f t="shared" si="11"/>
        <v>132000</v>
      </c>
      <c r="S19" s="2">
        <f t="shared" si="12"/>
        <v>5.36358238306597E-3</v>
      </c>
      <c r="T19" s="11">
        <v>0.09</v>
      </c>
      <c r="U19" s="30">
        <f t="shared" si="13"/>
        <v>109000.00000000001</v>
      </c>
      <c r="V19" s="30">
        <f t="shared" si="1"/>
        <v>30.632777227722777</v>
      </c>
      <c r="W19" s="11">
        <f t="shared" si="14"/>
        <v>321.41471283881287</v>
      </c>
      <c r="X19" s="2">
        <f t="shared" si="15"/>
        <v>4.8232682430669255E-14</v>
      </c>
      <c r="Y19" s="2">
        <f t="shared" si="16"/>
        <v>29045721359.749027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</row>
    <row r="20" spans="1:76" s="4" customFormat="1" x14ac:dyDescent="0.25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14">
        <v>298.8564356435644</v>
      </c>
      <c r="L20" s="27">
        <f t="shared" si="7"/>
        <v>2.9885643564356442E-4</v>
      </c>
      <c r="M20" s="29">
        <f t="shared" si="8"/>
        <v>4.7762865441819992E-3</v>
      </c>
      <c r="N20" s="33">
        <f t="shared" si="9"/>
        <v>1.259227935444436E-6</v>
      </c>
      <c r="O20" s="21">
        <f t="shared" si="10"/>
        <v>2.032E-3</v>
      </c>
      <c r="P20" s="21">
        <v>1.9414958079189685E-10</v>
      </c>
      <c r="Q20" s="2">
        <v>0.32</v>
      </c>
      <c r="R20" s="27">
        <f t="shared" si="11"/>
        <v>132000</v>
      </c>
      <c r="S20" s="2">
        <f t="shared" si="12"/>
        <v>5.36358238306597E-3</v>
      </c>
      <c r="T20" s="11">
        <v>0.09</v>
      </c>
      <c r="U20" s="30">
        <f t="shared" si="13"/>
        <v>109000.00000000001</v>
      </c>
      <c r="V20" s="30">
        <f t="shared" si="1"/>
        <v>32.575351485148524</v>
      </c>
      <c r="W20" s="11">
        <f t="shared" si="14"/>
        <v>356.70967955580124</v>
      </c>
      <c r="X20" s="2">
        <f t="shared" si="15"/>
        <v>5.1305104531905011E-14</v>
      </c>
      <c r="Y20" s="2">
        <f t="shared" si="16"/>
        <v>30895933949.113197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</row>
    <row r="21" spans="1:76" s="4" customFormat="1" x14ac:dyDescent="0.25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14">
        <v>316.08415841584161</v>
      </c>
      <c r="L21" s="27">
        <f t="shared" si="7"/>
        <v>3.1608415841584159E-4</v>
      </c>
      <c r="M21" s="29">
        <f t="shared" si="8"/>
        <v>4.7762865441819992E-3</v>
      </c>
      <c r="N21" s="33">
        <f t="shared" si="9"/>
        <v>1.3318167345854957E-6</v>
      </c>
      <c r="O21" s="21">
        <f t="shared" si="10"/>
        <v>2.032E-3</v>
      </c>
      <c r="P21" s="21">
        <v>1.9414958079189685E-10</v>
      </c>
      <c r="Q21" s="2">
        <v>0.32</v>
      </c>
      <c r="R21" s="27">
        <f t="shared" si="11"/>
        <v>132000</v>
      </c>
      <c r="S21" s="2">
        <f t="shared" si="12"/>
        <v>5.36358238306597E-3</v>
      </c>
      <c r="T21" s="11">
        <v>0.09</v>
      </c>
      <c r="U21" s="30">
        <f t="shared" si="13"/>
        <v>109000.00000000001</v>
      </c>
      <c r="V21" s="30">
        <f t="shared" si="1"/>
        <v>34.45317326732674</v>
      </c>
      <c r="W21" s="11">
        <f t="shared" si="14"/>
        <v>392.38402649581064</v>
      </c>
      <c r="X21" s="2">
        <f t="shared" si="15"/>
        <v>5.4277320672181555E-14</v>
      </c>
      <c r="Y21" s="2">
        <f t="shared" si="16"/>
        <v>32685802508.787735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</row>
    <row r="22" spans="1:76" s="4" customFormat="1" x14ac:dyDescent="0.25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14">
        <v>337.74257425742576</v>
      </c>
      <c r="L22" s="27">
        <f t="shared" si="7"/>
        <v>3.3774257425742577E-4</v>
      </c>
      <c r="M22" s="29">
        <f t="shared" si="8"/>
        <v>4.7762865441819992E-3</v>
      </c>
      <c r="N22" s="33">
        <f t="shared" si="9"/>
        <v>1.4230742047700175E-6</v>
      </c>
      <c r="O22" s="21">
        <f t="shared" si="10"/>
        <v>2.032E-3</v>
      </c>
      <c r="P22" s="21">
        <v>1.9414958079189685E-10</v>
      </c>
      <c r="Q22" s="2">
        <v>0.32</v>
      </c>
      <c r="R22" s="27">
        <f t="shared" si="11"/>
        <v>132000</v>
      </c>
      <c r="S22" s="2">
        <f t="shared" si="12"/>
        <v>5.36358238306597E-3</v>
      </c>
      <c r="T22" s="11">
        <v>0.09</v>
      </c>
      <c r="U22" s="30">
        <f t="shared" si="13"/>
        <v>109000.00000000001</v>
      </c>
      <c r="V22" s="30">
        <f t="shared" si="1"/>
        <v>36.813940594059417</v>
      </c>
      <c r="W22" s="11">
        <f t="shared" si="14"/>
        <v>439.38730615645937</v>
      </c>
      <c r="X22" s="2">
        <f t="shared" si="15"/>
        <v>5.8017179900662335E-14</v>
      </c>
      <c r="Y22" s="2">
        <f t="shared" si="16"/>
        <v>34937945736.178864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</row>
    <row r="23" spans="1:76" s="4" customFormat="1" x14ac:dyDescent="0.25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14">
        <v>343.36138613861391</v>
      </c>
      <c r="L23" s="27">
        <f t="shared" si="7"/>
        <v>3.433613861386139E-4</v>
      </c>
      <c r="M23" s="29">
        <f t="shared" si="8"/>
        <v>4.7762865441819992E-3</v>
      </c>
      <c r="N23" s="33">
        <f t="shared" si="9"/>
        <v>1.4467489998921737E-6</v>
      </c>
      <c r="O23" s="21">
        <f t="shared" si="10"/>
        <v>2.032E-3</v>
      </c>
      <c r="P23" s="21">
        <v>1.9414958079189685E-10</v>
      </c>
      <c r="Q23" s="2">
        <v>0.32</v>
      </c>
      <c r="R23" s="27">
        <f t="shared" si="11"/>
        <v>132000</v>
      </c>
      <c r="S23" s="2">
        <f t="shared" si="12"/>
        <v>5.36358238306597E-3</v>
      </c>
      <c r="T23" s="11">
        <v>0.09</v>
      </c>
      <c r="U23" s="30">
        <f t="shared" si="13"/>
        <v>109000.00000000001</v>
      </c>
      <c r="V23" s="30">
        <f t="shared" si="1"/>
        <v>37.426391089108918</v>
      </c>
      <c r="W23" s="11">
        <f t="shared" si="14"/>
        <v>451.9711652809579</v>
      </c>
      <c r="X23" s="2">
        <f t="shared" si="15"/>
        <v>5.8988017663796166E-14</v>
      </c>
      <c r="Y23" s="2">
        <f t="shared" si="16"/>
        <v>35522584237.138054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</row>
    <row r="24" spans="1:76" s="4" customFormat="1" x14ac:dyDescent="0.25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14">
        <v>354.82178217821786</v>
      </c>
      <c r="L24" s="27">
        <f t="shared" si="7"/>
        <v>3.5482178217821788E-4</v>
      </c>
      <c r="M24" s="29">
        <f t="shared" si="8"/>
        <v>4.7762865441819992E-3</v>
      </c>
      <c r="N24" s="33">
        <f t="shared" si="9"/>
        <v>1.4950372384012406E-6</v>
      </c>
      <c r="O24" s="21">
        <f t="shared" si="10"/>
        <v>2.032E-3</v>
      </c>
      <c r="P24" s="21">
        <v>1.9414958079189685E-10</v>
      </c>
      <c r="Q24" s="2">
        <v>0.32</v>
      </c>
      <c r="R24" s="27">
        <f t="shared" si="11"/>
        <v>132000</v>
      </c>
      <c r="S24" s="2">
        <f t="shared" si="12"/>
        <v>5.36358238306597E-3</v>
      </c>
      <c r="T24" s="11">
        <v>0.09</v>
      </c>
      <c r="U24" s="30">
        <f t="shared" si="13"/>
        <v>109000.00000000001</v>
      </c>
      <c r="V24" s="30">
        <f t="shared" si="1"/>
        <v>38.675574257425751</v>
      </c>
      <c r="W24" s="11">
        <f t="shared" si="14"/>
        <v>478.13347551754242</v>
      </c>
      <c r="X24" s="2">
        <f t="shared" si="15"/>
        <v>6.0968990220525962E-14</v>
      </c>
      <c r="Y24" s="2">
        <f t="shared" si="16"/>
        <v>36715525910.800735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s="4" customFormat="1" x14ac:dyDescent="0.25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14">
        <v>362.89108910891093</v>
      </c>
      <c r="L25" s="27">
        <f t="shared" si="7"/>
        <v>3.6289108910891096E-4</v>
      </c>
      <c r="M25" s="29">
        <f t="shared" si="8"/>
        <v>4.7762865441819992E-3</v>
      </c>
      <c r="N25" s="33">
        <f t="shared" si="9"/>
        <v>1.5290371644357028E-6</v>
      </c>
      <c r="O25" s="21">
        <f t="shared" si="10"/>
        <v>2.032E-3</v>
      </c>
      <c r="P25" s="21">
        <v>1.9414958079189685E-10</v>
      </c>
      <c r="Q25" s="2">
        <v>0.32</v>
      </c>
      <c r="R25" s="27">
        <f t="shared" si="11"/>
        <v>132000</v>
      </c>
      <c r="S25" s="2">
        <f t="shared" si="12"/>
        <v>5.36358238306597E-3</v>
      </c>
      <c r="T25" s="11">
        <v>0.09</v>
      </c>
      <c r="U25" s="30">
        <f t="shared" si="13"/>
        <v>109000.00000000001</v>
      </c>
      <c r="V25" s="30">
        <f t="shared" si="1"/>
        <v>39.555128712871301</v>
      </c>
      <c r="W25" s="11">
        <f t="shared" si="14"/>
        <v>496.95243037152557</v>
      </c>
      <c r="X25" s="2">
        <f t="shared" si="15"/>
        <v>6.2364461887304458E-14</v>
      </c>
      <c r="Y25" s="2">
        <f t="shared" si="16"/>
        <v>37555878948.534744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</row>
    <row r="26" spans="1:76" s="4" customFormat="1" x14ac:dyDescent="0.25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14">
        <v>384.69801980198019</v>
      </c>
      <c r="L26" s="27">
        <f t="shared" si="7"/>
        <v>3.846980198019802E-4</v>
      </c>
      <c r="M26" s="29">
        <f t="shared" si="8"/>
        <v>4.7762865441819992E-3</v>
      </c>
      <c r="N26" s="33">
        <f t="shared" si="9"/>
        <v>1.6209204001300612E-6</v>
      </c>
      <c r="O26" s="21">
        <f t="shared" si="10"/>
        <v>2.032E-3</v>
      </c>
      <c r="P26" s="21">
        <v>1.9414958079189685E-10</v>
      </c>
      <c r="Q26" s="2">
        <v>0.32</v>
      </c>
      <c r="R26" s="27">
        <f t="shared" si="11"/>
        <v>132000</v>
      </c>
      <c r="S26" s="2">
        <f t="shared" si="12"/>
        <v>5.36358238306597E-3</v>
      </c>
      <c r="T26" s="11">
        <v>0.09</v>
      </c>
      <c r="U26" s="30">
        <f t="shared" si="13"/>
        <v>109000.00000000001</v>
      </c>
      <c r="V26" s="30">
        <f t="shared" si="1"/>
        <v>41.932084158415847</v>
      </c>
      <c r="W26" s="11">
        <f t="shared" si="14"/>
        <v>549.44795472274654</v>
      </c>
      <c r="X26" s="2">
        <f t="shared" si="15"/>
        <v>6.6138483005345383E-14</v>
      </c>
      <c r="Y26" s="2">
        <f t="shared" si="16"/>
        <v>39828594465.818993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</row>
    <row r="27" spans="1:76" s="4" customFormat="1" x14ac:dyDescent="0.25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14">
        <v>376.15841584158414</v>
      </c>
      <c r="L27" s="27">
        <f t="shared" si="7"/>
        <v>3.7615841584158412E-4</v>
      </c>
      <c r="M27" s="29">
        <f t="shared" si="8"/>
        <v>4.7762865441819992E-3</v>
      </c>
      <c r="N27" s="33">
        <f t="shared" si="9"/>
        <v>1.5849388833144495E-6</v>
      </c>
      <c r="O27" s="21">
        <f t="shared" si="10"/>
        <v>2.032E-3</v>
      </c>
      <c r="P27" s="21">
        <v>1.9414958079189685E-10</v>
      </c>
      <c r="Q27" s="2">
        <v>0.32</v>
      </c>
      <c r="R27" s="27">
        <f t="shared" si="11"/>
        <v>132000</v>
      </c>
      <c r="S27" s="2">
        <f t="shared" si="12"/>
        <v>5.36358238306597E-3</v>
      </c>
      <c r="T27" s="11">
        <v>0.09</v>
      </c>
      <c r="U27" s="30">
        <f t="shared" si="13"/>
        <v>109000.00000000001</v>
      </c>
      <c r="V27" s="30">
        <f t="shared" si="1"/>
        <v>41.001267326732673</v>
      </c>
      <c r="W27" s="11">
        <f t="shared" si="14"/>
        <v>528.60642524139189</v>
      </c>
      <c r="X27" s="2">
        <f t="shared" si="15"/>
        <v>6.4660075790158378E-14</v>
      </c>
      <c r="Y27" s="2">
        <f t="shared" si="16"/>
        <v>38938297640.833374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</row>
    <row r="28" spans="1:76" s="4" customFormat="1" x14ac:dyDescent="0.25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14">
        <v>373.11386138613864</v>
      </c>
      <c r="L28" s="27">
        <f t="shared" si="7"/>
        <v>3.7311386138613864E-4</v>
      </c>
      <c r="M28" s="29">
        <f t="shared" si="8"/>
        <v>4.7762865441819992E-3</v>
      </c>
      <c r="N28" s="33">
        <f t="shared" si="9"/>
        <v>1.5721106903627969E-6</v>
      </c>
      <c r="O28" s="21">
        <f t="shared" si="10"/>
        <v>2.032E-3</v>
      </c>
      <c r="P28" s="21">
        <v>1.9414958079189685E-10</v>
      </c>
      <c r="Q28" s="2">
        <v>0.32</v>
      </c>
      <c r="R28" s="27">
        <f t="shared" si="11"/>
        <v>132000</v>
      </c>
      <c r="S28" s="2">
        <f t="shared" si="12"/>
        <v>5.36358238306597E-3</v>
      </c>
      <c r="T28" s="11">
        <v>0.09</v>
      </c>
      <c r="U28" s="30">
        <f t="shared" si="13"/>
        <v>109000.00000000001</v>
      </c>
      <c r="V28" s="30">
        <f t="shared" si="1"/>
        <v>40.669410891089115</v>
      </c>
      <c r="W28" s="11">
        <f t="shared" si="14"/>
        <v>521.26436340716759</v>
      </c>
      <c r="X28" s="2">
        <f t="shared" si="15"/>
        <v>6.413314793630221E-14</v>
      </c>
      <c r="Y28" s="2">
        <f t="shared" si="16"/>
        <v>38620981687.241196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</row>
    <row r="29" spans="1:76" s="4" customFormat="1" x14ac:dyDescent="0.25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14">
        <v>389.37623762376239</v>
      </c>
      <c r="L29" s="27">
        <f t="shared" si="7"/>
        <v>3.8937623762376239E-4</v>
      </c>
      <c r="M29" s="29">
        <f t="shared" si="8"/>
        <v>4.7762865441819992E-3</v>
      </c>
      <c r="N29" s="33">
        <f t="shared" si="9"/>
        <v>1.6406320136899179E-6</v>
      </c>
      <c r="O29" s="21">
        <f t="shared" si="10"/>
        <v>2.032E-3</v>
      </c>
      <c r="P29" s="21">
        <v>1.9414958079189685E-10</v>
      </c>
      <c r="Q29" s="2">
        <v>0.32</v>
      </c>
      <c r="R29" s="27">
        <f t="shared" si="11"/>
        <v>132000</v>
      </c>
      <c r="S29" s="2">
        <f t="shared" si="12"/>
        <v>5.36358238306597E-3</v>
      </c>
      <c r="T29" s="11">
        <v>0.09</v>
      </c>
      <c r="U29" s="30">
        <f t="shared" si="13"/>
        <v>109000.00000000001</v>
      </c>
      <c r="V29" s="30">
        <f t="shared" si="1"/>
        <v>42.442009900990108</v>
      </c>
      <c r="W29" s="11">
        <f t="shared" si="14"/>
        <v>561.02022610412894</v>
      </c>
      <c r="X29" s="2">
        <f t="shared" si="15"/>
        <v>6.6948670636813085E-14</v>
      </c>
      <c r="Y29" s="2">
        <f t="shared" si="16"/>
        <v>40316489457.488838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</row>
    <row r="30" spans="1:76" s="4" customFormat="1" x14ac:dyDescent="0.25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14">
        <v>382.71782178217825</v>
      </c>
      <c r="L30" s="27">
        <f t="shared" si="7"/>
        <v>3.8271782178217825E-4</v>
      </c>
      <c r="M30" s="29">
        <f t="shared" si="8"/>
        <v>4.7762865441819992E-3</v>
      </c>
      <c r="N30" s="33">
        <f t="shared" si="9"/>
        <v>1.6125768599989049E-6</v>
      </c>
      <c r="O30" s="21">
        <f t="shared" si="10"/>
        <v>2.032E-3</v>
      </c>
      <c r="P30" s="21">
        <v>1.9414958079189685E-10</v>
      </c>
      <c r="Q30" s="2">
        <v>0.32</v>
      </c>
      <c r="R30" s="27">
        <f t="shared" si="11"/>
        <v>132000</v>
      </c>
      <c r="S30" s="2">
        <f t="shared" si="12"/>
        <v>5.36358238306597E-3</v>
      </c>
      <c r="T30" s="11">
        <v>0.09</v>
      </c>
      <c r="U30" s="30">
        <f t="shared" si="13"/>
        <v>109000.00000000001</v>
      </c>
      <c r="V30" s="30">
        <f t="shared" si="1"/>
        <v>41.716242574257436</v>
      </c>
      <c r="W30" s="11">
        <f t="shared" si="14"/>
        <v>544.58261187152652</v>
      </c>
      <c r="X30" s="2">
        <f t="shared" si="15"/>
        <v>6.5795605913241434E-14</v>
      </c>
      <c r="Y30" s="2">
        <f t="shared" si="16"/>
        <v>39622113880.953995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</row>
    <row r="31" spans="1:76" s="4" customFormat="1" x14ac:dyDescent="0.25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14">
        <v>387.94059405940595</v>
      </c>
      <c r="L31" s="27">
        <f t="shared" si="7"/>
        <v>3.8794059405940597E-4</v>
      </c>
      <c r="M31" s="29">
        <f t="shared" si="8"/>
        <v>4.7762865441819992E-3</v>
      </c>
      <c r="N31" s="33">
        <f t="shared" si="9"/>
        <v>1.6345829470948296E-6</v>
      </c>
      <c r="O31" s="21">
        <f t="shared" si="10"/>
        <v>2.032E-3</v>
      </c>
      <c r="P31" s="21">
        <v>1.9414958079189685E-10</v>
      </c>
      <c r="Q31" s="2">
        <v>0.32</v>
      </c>
      <c r="R31" s="27">
        <f t="shared" si="11"/>
        <v>132000</v>
      </c>
      <c r="S31" s="2">
        <f t="shared" si="12"/>
        <v>5.36358238306597E-3</v>
      </c>
      <c r="T31" s="11">
        <v>0.09</v>
      </c>
      <c r="U31" s="30">
        <f t="shared" si="13"/>
        <v>109000.00000000001</v>
      </c>
      <c r="V31" s="30">
        <f t="shared" si="1"/>
        <v>42.285524752475254</v>
      </c>
      <c r="W31" s="11">
        <f t="shared" si="14"/>
        <v>557.45731118369395</v>
      </c>
      <c r="X31" s="2">
        <f t="shared" si="15"/>
        <v>6.6700020551594471E-14</v>
      </c>
      <c r="Y31" s="2">
        <f t="shared" si="16"/>
        <v>40166752376.170189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</row>
    <row r="32" spans="1:76" s="4" customFormat="1" x14ac:dyDescent="0.25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0">
        <v>388.93069306930693</v>
      </c>
      <c r="L32" s="27">
        <f t="shared" si="7"/>
        <v>3.8893069306930692E-4</v>
      </c>
      <c r="M32" s="29">
        <f t="shared" si="8"/>
        <v>4.7762865441819992E-3</v>
      </c>
      <c r="N32" s="33">
        <f t="shared" si="9"/>
        <v>1.6387547171604075E-6</v>
      </c>
      <c r="O32" s="21">
        <f t="shared" si="10"/>
        <v>2.032E-3</v>
      </c>
      <c r="P32" s="21">
        <v>1.9414958079189685E-10</v>
      </c>
      <c r="Q32" s="2">
        <v>0.32</v>
      </c>
      <c r="R32" s="27">
        <f t="shared" si="11"/>
        <v>132000</v>
      </c>
      <c r="S32" s="2">
        <f t="shared" si="12"/>
        <v>5.36358238306597E-3</v>
      </c>
      <c r="T32" s="11">
        <v>0.09</v>
      </c>
      <c r="U32" s="30">
        <f t="shared" si="13"/>
        <v>109000.00000000001</v>
      </c>
      <c r="V32" s="30">
        <f t="shared" si="1"/>
        <v>42.39344554455446</v>
      </c>
      <c r="W32" s="11">
        <f t="shared" si="14"/>
        <v>559.91339169656669</v>
      </c>
      <c r="X32" s="9">
        <f t="shared" si="15"/>
        <v>6.6871501365646216E-14</v>
      </c>
      <c r="Y32" s="9">
        <f t="shared" si="16"/>
        <v>40270018122.392151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</row>
    <row r="33" spans="1:76" s="4" customFormat="1" x14ac:dyDescent="0.25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0">
        <v>384.05445544554459</v>
      </c>
      <c r="L33" s="27">
        <f t="shared" si="7"/>
        <v>3.8405445544554461E-4</v>
      </c>
      <c r="M33" s="29">
        <f t="shared" si="8"/>
        <v>4.7762865441819992E-3</v>
      </c>
      <c r="N33" s="33">
        <f t="shared" si="9"/>
        <v>1.6182087495874357E-6</v>
      </c>
      <c r="O33" s="21">
        <f t="shared" si="10"/>
        <v>2.032E-3</v>
      </c>
      <c r="P33" s="21">
        <v>1.9414958079189685E-10</v>
      </c>
      <c r="Q33" s="2">
        <v>0.32</v>
      </c>
      <c r="R33" s="27">
        <f t="shared" si="11"/>
        <v>132000</v>
      </c>
      <c r="S33" s="2">
        <f t="shared" si="12"/>
        <v>5.36358238306597E-3</v>
      </c>
      <c r="T33" s="11">
        <v>0.09</v>
      </c>
      <c r="U33" s="30">
        <f t="shared" si="13"/>
        <v>109000.00000000001</v>
      </c>
      <c r="V33" s="30">
        <f t="shared" si="1"/>
        <v>41.861935643564365</v>
      </c>
      <c r="W33" s="11">
        <f t="shared" si="14"/>
        <v>547.86456597662198</v>
      </c>
      <c r="X33" s="9">
        <f t="shared" si="15"/>
        <v>6.6027044085309854E-14</v>
      </c>
      <c r="Y33" s="9">
        <f t="shared" si="16"/>
        <v>39761485948.173599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</row>
    <row r="34" spans="1:76" s="4" customFormat="1" x14ac:dyDescent="0.25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0">
        <v>390.91089108910893</v>
      </c>
      <c r="L34" s="27">
        <f t="shared" si="7"/>
        <v>3.9091089108910892E-4</v>
      </c>
      <c r="M34" s="29">
        <f t="shared" si="8"/>
        <v>4.7762865441819992E-3</v>
      </c>
      <c r="N34" s="33">
        <f t="shared" si="9"/>
        <v>1.647098257291564E-6</v>
      </c>
      <c r="O34" s="21">
        <f t="shared" si="10"/>
        <v>2.032E-3</v>
      </c>
      <c r="P34" s="21">
        <v>1.9414958079189685E-10</v>
      </c>
      <c r="Q34" s="2">
        <v>0.32</v>
      </c>
      <c r="R34" s="27">
        <f t="shared" si="11"/>
        <v>132000</v>
      </c>
      <c r="S34" s="2">
        <f t="shared" si="12"/>
        <v>5.36358238306597E-3</v>
      </c>
      <c r="T34" s="11">
        <v>0.09</v>
      </c>
      <c r="U34" s="30">
        <f t="shared" si="13"/>
        <v>109000.00000000001</v>
      </c>
      <c r="V34" s="30">
        <f t="shared" si="1"/>
        <v>42.609287128712879</v>
      </c>
      <c r="W34" s="11">
        <f t="shared" si="14"/>
        <v>564.84024646188675</v>
      </c>
      <c r="X34" s="9">
        <f t="shared" si="15"/>
        <v>6.721448973435649E-14</v>
      </c>
      <c r="Y34" s="9">
        <f t="shared" si="16"/>
        <v>40476565718.02948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</row>
    <row r="35" spans="1:76" s="4" customFormat="1" x14ac:dyDescent="0.25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0">
        <v>382.54455445544556</v>
      </c>
      <c r="L35" s="27">
        <f t="shared" si="7"/>
        <v>3.8254455445544555E-4</v>
      </c>
      <c r="M35" s="29">
        <f t="shared" si="8"/>
        <v>4.7762865441819992E-3</v>
      </c>
      <c r="N35" s="33">
        <f t="shared" si="9"/>
        <v>1.6118468002374287E-6</v>
      </c>
      <c r="O35" s="21">
        <f t="shared" si="10"/>
        <v>2.032E-3</v>
      </c>
      <c r="P35" s="21">
        <v>1.9414958079189685E-10</v>
      </c>
      <c r="Q35" s="2">
        <v>0.32</v>
      </c>
      <c r="R35" s="27">
        <f t="shared" si="11"/>
        <v>132000</v>
      </c>
      <c r="S35" s="2">
        <f t="shared" si="12"/>
        <v>5.36358238306597E-3</v>
      </c>
      <c r="T35" s="11">
        <v>0.09</v>
      </c>
      <c r="U35" s="30">
        <f t="shared" si="13"/>
        <v>109000.00000000001</v>
      </c>
      <c r="V35" s="30">
        <f t="shared" si="1"/>
        <v>41.69735643564357</v>
      </c>
      <c r="W35" s="11">
        <f t="shared" si="14"/>
        <v>544.15782810013491</v>
      </c>
      <c r="X35" s="9">
        <f t="shared" si="15"/>
        <v>6.5765605842375786E-14</v>
      </c>
      <c r="Y35" s="9">
        <f t="shared" si="16"/>
        <v>39604047838.278702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</row>
    <row r="36" spans="1:76" s="4" customFormat="1" x14ac:dyDescent="0.25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0">
        <v>389.74752475247527</v>
      </c>
      <c r="L36" s="27">
        <f t="shared" si="7"/>
        <v>3.8974752475247527E-4</v>
      </c>
      <c r="M36" s="29">
        <f t="shared" si="8"/>
        <v>4.7762865441819992E-3</v>
      </c>
      <c r="N36" s="33">
        <f t="shared" si="9"/>
        <v>1.6421964274645097E-6</v>
      </c>
      <c r="O36" s="21">
        <f t="shared" si="10"/>
        <v>2.032E-3</v>
      </c>
      <c r="P36" s="21">
        <v>1.9414958079189685E-10</v>
      </c>
      <c r="Q36" s="2">
        <v>0.32</v>
      </c>
      <c r="R36" s="27">
        <f t="shared" si="11"/>
        <v>132000</v>
      </c>
      <c r="S36" s="2">
        <f t="shared" si="12"/>
        <v>5.36358238306597E-3</v>
      </c>
      <c r="T36" s="11">
        <v>0.09</v>
      </c>
      <c r="U36" s="30">
        <f t="shared" si="13"/>
        <v>109000.00000000001</v>
      </c>
      <c r="V36" s="30">
        <f t="shared" si="1"/>
        <v>42.482480198019807</v>
      </c>
      <c r="W36" s="11">
        <f t="shared" si="14"/>
        <v>561.9433457366664</v>
      </c>
      <c r="X36" s="9">
        <f t="shared" si="15"/>
        <v>6.7012979741867006E-14</v>
      </c>
      <c r="Y36" s="9">
        <f t="shared" si="16"/>
        <v>40355216400.552315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</row>
    <row r="37" spans="1:76" s="4" customFormat="1" x14ac:dyDescent="0.25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0">
        <v>385.31683168316835</v>
      </c>
      <c r="L37" s="27">
        <f t="shared" si="7"/>
        <v>3.8531683168316832E-4</v>
      </c>
      <c r="M37" s="29">
        <f t="shared" si="8"/>
        <v>4.7762865441819992E-3</v>
      </c>
      <c r="N37" s="33">
        <f t="shared" si="9"/>
        <v>1.6235277564210475E-6</v>
      </c>
      <c r="O37" s="21">
        <f t="shared" si="10"/>
        <v>2.032E-3</v>
      </c>
      <c r="P37" s="21">
        <v>1.9414958079189685E-10</v>
      </c>
      <c r="Q37" s="2">
        <v>0.32</v>
      </c>
      <c r="R37" s="27">
        <f t="shared" si="11"/>
        <v>132000</v>
      </c>
      <c r="S37" s="2">
        <f t="shared" si="12"/>
        <v>5.36358238306597E-3</v>
      </c>
      <c r="T37" s="11">
        <v>0.09</v>
      </c>
      <c r="U37" s="30">
        <f t="shared" si="13"/>
        <v>109000.00000000001</v>
      </c>
      <c r="V37" s="30">
        <f t="shared" si="1"/>
        <v>41.999534653465354</v>
      </c>
      <c r="W37" s="11">
        <f t="shared" si="14"/>
        <v>550.97239797468444</v>
      </c>
      <c r="X37" s="9">
        <f t="shared" si="15"/>
        <v>6.624563932966196E-14</v>
      </c>
      <c r="Y37" s="9">
        <f t="shared" si="16"/>
        <v>39893124004.322433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</row>
    <row r="38" spans="1:76" s="4" customFormat="1" x14ac:dyDescent="0.25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0">
        <v>382.81683168316835</v>
      </c>
      <c r="L38" s="27">
        <f t="shared" si="7"/>
        <v>3.8281683168316837E-4</v>
      </c>
      <c r="M38" s="29">
        <f t="shared" si="8"/>
        <v>4.7762865441819992E-3</v>
      </c>
      <c r="N38" s="33">
        <f t="shared" si="9"/>
        <v>1.6129940370054629E-6</v>
      </c>
      <c r="O38" s="21">
        <f t="shared" si="10"/>
        <v>2.032E-3</v>
      </c>
      <c r="P38" s="21">
        <v>1.9414958079189685E-10</v>
      </c>
      <c r="Q38" s="2">
        <v>0.32</v>
      </c>
      <c r="R38" s="27">
        <f t="shared" si="11"/>
        <v>132000</v>
      </c>
      <c r="S38" s="2">
        <f t="shared" si="12"/>
        <v>5.36358238306597E-3</v>
      </c>
      <c r="T38" s="11">
        <v>0.09</v>
      </c>
      <c r="U38" s="30">
        <f t="shared" si="13"/>
        <v>109000.00000000001</v>
      </c>
      <c r="V38" s="30">
        <f t="shared" si="1"/>
        <v>41.72703465346536</v>
      </c>
      <c r="W38" s="11">
        <f t="shared" si="14"/>
        <v>544.82541292895394</v>
      </c>
      <c r="X38" s="9">
        <f t="shared" si="15"/>
        <v>6.5812748931709602E-14</v>
      </c>
      <c r="Y38" s="9">
        <f t="shared" si="16"/>
        <v>39632437406.675522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</row>
    <row r="39" spans="1:76" s="4" customFormat="1" x14ac:dyDescent="0.25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0">
        <v>371.90099009900996</v>
      </c>
      <c r="L39" s="27">
        <f t="shared" si="7"/>
        <v>3.7190099009900998E-4</v>
      </c>
      <c r="M39" s="29">
        <f t="shared" si="8"/>
        <v>4.7762865441819992E-3</v>
      </c>
      <c r="N39" s="33">
        <f t="shared" si="9"/>
        <v>1.5670002720324639E-6</v>
      </c>
      <c r="O39" s="21">
        <f t="shared" si="10"/>
        <v>2.032E-3</v>
      </c>
      <c r="P39" s="21">
        <v>1.9414958079189685E-10</v>
      </c>
      <c r="Q39" s="2">
        <v>0.32</v>
      </c>
      <c r="R39" s="27">
        <f t="shared" si="11"/>
        <v>132000</v>
      </c>
      <c r="S39" s="2">
        <f t="shared" si="12"/>
        <v>5.36358238306597E-3</v>
      </c>
      <c r="T39" s="11">
        <v>0.09</v>
      </c>
      <c r="U39" s="30">
        <f t="shared" si="13"/>
        <v>109000.00000000001</v>
      </c>
      <c r="V39" s="30">
        <f t="shared" si="1"/>
        <v>40.537207920792092</v>
      </c>
      <c r="W39" s="11">
        <f t="shared" si="14"/>
        <v>518.35243566637564</v>
      </c>
      <c r="X39" s="9">
        <f t="shared" si="15"/>
        <v>6.3923256279706198E-14</v>
      </c>
      <c r="Y39" s="9">
        <f t="shared" si="16"/>
        <v>38494584931.639076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s="4" customFormat="1" x14ac:dyDescent="0.25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0">
        <v>388.53465346534654</v>
      </c>
      <c r="L40" s="27">
        <f t="shared" si="7"/>
        <v>3.8853465346534656E-4</v>
      </c>
      <c r="M40" s="29">
        <f t="shared" si="8"/>
        <v>4.7762865441819992E-3</v>
      </c>
      <c r="N40" s="33">
        <f t="shared" si="9"/>
        <v>1.6370860091341765E-6</v>
      </c>
      <c r="O40" s="21">
        <f t="shared" si="10"/>
        <v>2.032E-3</v>
      </c>
      <c r="P40" s="21">
        <v>1.9414958079189685E-10</v>
      </c>
      <c r="Q40" s="2">
        <v>0.32</v>
      </c>
      <c r="R40" s="27">
        <f t="shared" si="11"/>
        <v>132000</v>
      </c>
      <c r="S40" s="2">
        <f t="shared" si="12"/>
        <v>5.36358238306597E-3</v>
      </c>
      <c r="T40" s="11">
        <v>0.09</v>
      </c>
      <c r="U40" s="30">
        <f t="shared" si="13"/>
        <v>109000.00000000001</v>
      </c>
      <c r="V40" s="30">
        <f t="shared" si="1"/>
        <v>42.350277227722778</v>
      </c>
      <c r="W40" s="11">
        <f t="shared" si="14"/>
        <v>558.93037160926178</v>
      </c>
      <c r="X40" s="9">
        <f t="shared" si="15"/>
        <v>6.6802907972222261E-14</v>
      </c>
      <c r="Y40" s="9">
        <f t="shared" si="16"/>
        <v>40228711180.872246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</row>
    <row r="41" spans="1:76" s="4" customFormat="1" x14ac:dyDescent="0.25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0">
        <v>373.18811881188122</v>
      </c>
      <c r="L41" s="27">
        <f t="shared" si="7"/>
        <v>3.7318811881188122E-4</v>
      </c>
      <c r="M41" s="29">
        <f t="shared" si="8"/>
        <v>4.7762865441819992E-3</v>
      </c>
      <c r="N41" s="33">
        <f t="shared" si="9"/>
        <v>1.5724235731177152E-6</v>
      </c>
      <c r="O41" s="21">
        <f t="shared" si="10"/>
        <v>2.032E-3</v>
      </c>
      <c r="P41" s="21">
        <v>1.9414958079189685E-10</v>
      </c>
      <c r="Q41" s="2">
        <v>0.32</v>
      </c>
      <c r="R41" s="27">
        <f t="shared" si="11"/>
        <v>132000</v>
      </c>
      <c r="S41" s="2">
        <f t="shared" si="12"/>
        <v>5.36358238306597E-3</v>
      </c>
      <c r="T41" s="11">
        <v>0.09</v>
      </c>
      <c r="U41" s="30">
        <f t="shared" si="13"/>
        <v>109000.00000000001</v>
      </c>
      <c r="V41" s="30">
        <f t="shared" si="1"/>
        <v>40.677504950495056</v>
      </c>
      <c r="W41" s="11">
        <f t="shared" si="14"/>
        <v>521.44288463065152</v>
      </c>
      <c r="X41" s="9">
        <f t="shared" si="15"/>
        <v>6.4145998864980995E-14</v>
      </c>
      <c r="Y41" s="9">
        <f t="shared" si="16"/>
        <v>38628720516.491554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</row>
    <row r="42" spans="1:76" s="4" customFormat="1" x14ac:dyDescent="0.25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0">
        <v>373.36138613861385</v>
      </c>
      <c r="L42" s="27">
        <f t="shared" si="7"/>
        <v>3.7336138613861387E-4</v>
      </c>
      <c r="M42" s="29">
        <f t="shared" si="8"/>
        <v>4.7762865441819992E-3</v>
      </c>
      <c r="N42" s="33">
        <f t="shared" si="9"/>
        <v>1.5731536328791914E-6</v>
      </c>
      <c r="O42" s="21">
        <f t="shared" si="10"/>
        <v>2.032E-3</v>
      </c>
      <c r="P42" s="21">
        <v>1.9414958079189685E-10</v>
      </c>
      <c r="Q42" s="2">
        <v>0.32</v>
      </c>
      <c r="R42" s="27">
        <f t="shared" si="11"/>
        <v>132000</v>
      </c>
      <c r="S42" s="2">
        <f t="shared" si="12"/>
        <v>5.36358238306597E-3</v>
      </c>
      <c r="T42" s="11">
        <v>0.09</v>
      </c>
      <c r="U42" s="30">
        <f t="shared" si="13"/>
        <v>109000.00000000001</v>
      </c>
      <c r="V42" s="30">
        <f t="shared" si="1"/>
        <v>40.696391089108914</v>
      </c>
      <c r="W42" s="11">
        <f t="shared" si="14"/>
        <v>521.85954179863154</v>
      </c>
      <c r="X42" s="9">
        <f t="shared" si="15"/>
        <v>6.4175984553489551E-14</v>
      </c>
      <c r="Y42" s="9">
        <f t="shared" si="16"/>
        <v>38646777898.111412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</row>
    <row r="43" spans="1:76" s="4" customFormat="1" x14ac:dyDescent="0.25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0">
        <v>375.56435643564362</v>
      </c>
      <c r="L43" s="27">
        <f t="shared" si="7"/>
        <v>3.7556435643564364E-4</v>
      </c>
      <c r="M43" s="29">
        <f t="shared" si="8"/>
        <v>4.7762865441819992E-3</v>
      </c>
      <c r="N43" s="33">
        <f t="shared" si="9"/>
        <v>1.5824358212751029E-6</v>
      </c>
      <c r="O43" s="21">
        <f t="shared" si="10"/>
        <v>2.032E-3</v>
      </c>
      <c r="P43" s="21">
        <v>1.9414958079189685E-10</v>
      </c>
      <c r="Q43" s="2">
        <v>0.32</v>
      </c>
      <c r="R43" s="27">
        <f t="shared" si="11"/>
        <v>132000</v>
      </c>
      <c r="S43" s="2">
        <f t="shared" si="12"/>
        <v>5.36358238306597E-3</v>
      </c>
      <c r="T43" s="11">
        <v>0.09</v>
      </c>
      <c r="U43" s="30">
        <f t="shared" si="13"/>
        <v>109000.00000000001</v>
      </c>
      <c r="V43" s="30">
        <f t="shared" si="1"/>
        <v>40.936514851485164</v>
      </c>
      <c r="W43" s="11">
        <f t="shared" si="14"/>
        <v>527.17017587332612</v>
      </c>
      <c r="X43" s="9">
        <f t="shared" si="15"/>
        <v>6.4557254184591376E-14</v>
      </c>
      <c r="Y43" s="9">
        <f t="shared" si="16"/>
        <v>38876378469.96093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</row>
    <row r="44" spans="1:76" s="4" customFormat="1" x14ac:dyDescent="0.25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0">
        <v>383.50990099009903</v>
      </c>
      <c r="L44" s="27">
        <f t="shared" si="7"/>
        <v>3.8350990099009902E-4</v>
      </c>
      <c r="M44" s="29">
        <f t="shared" si="8"/>
        <v>4.7762865441819992E-3</v>
      </c>
      <c r="N44" s="33">
        <f t="shared" si="9"/>
        <v>1.6159142760513672E-6</v>
      </c>
      <c r="O44" s="21">
        <f t="shared" si="10"/>
        <v>2.032E-3</v>
      </c>
      <c r="P44" s="21">
        <v>1.9414958079189685E-10</v>
      </c>
      <c r="Q44" s="2">
        <v>0.32</v>
      </c>
      <c r="R44" s="27">
        <f t="shared" si="11"/>
        <v>132000</v>
      </c>
      <c r="S44" s="2">
        <f t="shared" si="12"/>
        <v>5.36358238306597E-3</v>
      </c>
      <c r="T44" s="11">
        <v>0.09</v>
      </c>
      <c r="U44" s="30">
        <f t="shared" si="13"/>
        <v>109000.00000000001</v>
      </c>
      <c r="V44" s="30">
        <f t="shared" si="1"/>
        <v>41.8025792079208</v>
      </c>
      <c r="W44" s="11">
        <f t="shared" si="14"/>
        <v>546.52639421364586</v>
      </c>
      <c r="X44" s="9">
        <f t="shared" si="15"/>
        <v>6.593275252326541E-14</v>
      </c>
      <c r="Y44" s="9">
        <f t="shared" si="16"/>
        <v>39704703569.510429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</row>
    <row r="45" spans="1:76" s="4" customFormat="1" x14ac:dyDescent="0.25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0">
        <v>376.82673267326737</v>
      </c>
      <c r="L45" s="27">
        <f t="shared" si="7"/>
        <v>3.7682673267326735E-4</v>
      </c>
      <c r="M45" s="29">
        <f t="shared" si="8"/>
        <v>4.7762865441819992E-3</v>
      </c>
      <c r="N45" s="33">
        <f t="shared" si="9"/>
        <v>1.5877548281087149E-6</v>
      </c>
      <c r="O45" s="21">
        <f t="shared" si="10"/>
        <v>2.032E-3</v>
      </c>
      <c r="P45" s="21">
        <v>1.9414958079189685E-10</v>
      </c>
      <c r="Q45" s="2">
        <v>0.32</v>
      </c>
      <c r="R45" s="27">
        <f t="shared" si="11"/>
        <v>132000</v>
      </c>
      <c r="S45" s="2">
        <f t="shared" si="12"/>
        <v>5.36358238306597E-3</v>
      </c>
      <c r="T45" s="11">
        <v>0.09</v>
      </c>
      <c r="U45" s="30">
        <f t="shared" si="13"/>
        <v>109000.00000000001</v>
      </c>
      <c r="V45" s="30">
        <f t="shared" si="1"/>
        <v>41.074113861386145</v>
      </c>
      <c r="W45" s="11">
        <f t="shared" si="14"/>
        <v>530.224321460223</v>
      </c>
      <c r="X45" s="9">
        <f t="shared" si="15"/>
        <v>6.4775753824169212E-14</v>
      </c>
      <c r="Y45" s="9">
        <f t="shared" si="16"/>
        <v>39007958952.914703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</row>
    <row r="46" spans="1:76" s="4" customFormat="1" x14ac:dyDescent="0.25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0">
        <v>379.12871287128718</v>
      </c>
      <c r="L46" s="27">
        <f t="shared" si="7"/>
        <v>3.7912871287128718E-4</v>
      </c>
      <c r="M46" s="29">
        <f t="shared" si="8"/>
        <v>4.7762865441819992E-3</v>
      </c>
      <c r="N46" s="33">
        <f t="shared" si="9"/>
        <v>1.5974541935111843E-6</v>
      </c>
      <c r="O46" s="21">
        <f t="shared" si="10"/>
        <v>2.032E-3</v>
      </c>
      <c r="P46" s="21">
        <v>1.9414958079189685E-10</v>
      </c>
      <c r="Q46" s="2">
        <v>0.32</v>
      </c>
      <c r="R46" s="27">
        <f t="shared" si="11"/>
        <v>132000</v>
      </c>
      <c r="S46" s="2">
        <f t="shared" si="12"/>
        <v>5.36358238306597E-3</v>
      </c>
      <c r="T46" s="11">
        <v>0.09</v>
      </c>
      <c r="U46" s="30">
        <f t="shared" si="13"/>
        <v>109000.00000000001</v>
      </c>
      <c r="V46" s="30">
        <f t="shared" si="1"/>
        <v>41.325029702970305</v>
      </c>
      <c r="W46" s="11">
        <f t="shared" si="14"/>
        <v>535.81421572719955</v>
      </c>
      <c r="X46" s="9">
        <f t="shared" si="15"/>
        <v>6.5174230677024837E-14</v>
      </c>
      <c r="Y46" s="9">
        <f t="shared" si="16"/>
        <v>39247921713.704361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</row>
    <row r="47" spans="1:76" s="4" customFormat="1" x14ac:dyDescent="0.25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0">
        <v>372.32178217821786</v>
      </c>
      <c r="L47" s="27">
        <f t="shared" si="7"/>
        <v>3.7232178217821787E-4</v>
      </c>
      <c r="M47" s="29">
        <f t="shared" si="8"/>
        <v>4.7762865441819992E-3</v>
      </c>
      <c r="N47" s="33">
        <f t="shared" si="9"/>
        <v>1.5687732743103344E-6</v>
      </c>
      <c r="O47" s="21">
        <f t="shared" si="10"/>
        <v>2.032E-3</v>
      </c>
      <c r="P47" s="21">
        <v>1.9414958079189685E-10</v>
      </c>
      <c r="Q47" s="2">
        <v>0.32</v>
      </c>
      <c r="R47" s="27">
        <f t="shared" si="11"/>
        <v>132000</v>
      </c>
      <c r="S47" s="2">
        <f t="shared" si="12"/>
        <v>5.36358238306597E-3</v>
      </c>
      <c r="T47" s="11">
        <v>0.09</v>
      </c>
      <c r="U47" s="30">
        <f t="shared" si="13"/>
        <v>109000.00000000001</v>
      </c>
      <c r="V47" s="30">
        <f t="shared" si="1"/>
        <v>40.58307425742575</v>
      </c>
      <c r="W47" s="11">
        <f t="shared" si="14"/>
        <v>519.36185954784105</v>
      </c>
      <c r="X47" s="9">
        <f t="shared" si="15"/>
        <v>6.3996074373530516E-14</v>
      </c>
      <c r="Y47" s="9">
        <f t="shared" si="16"/>
        <v>38538435987.740082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</row>
    <row r="48" spans="1:76" s="4" customFormat="1" x14ac:dyDescent="0.25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0">
        <v>370.14356435643566</v>
      </c>
      <c r="L48" s="27">
        <f t="shared" si="7"/>
        <v>3.7014356435643569E-4</v>
      </c>
      <c r="M48" s="29">
        <f t="shared" si="8"/>
        <v>4.7762865441819992E-3</v>
      </c>
      <c r="N48" s="33">
        <f t="shared" si="9"/>
        <v>1.5595953801660625E-6</v>
      </c>
      <c r="O48" s="21">
        <f t="shared" si="10"/>
        <v>2.032E-3</v>
      </c>
      <c r="P48" s="21">
        <v>1.9414958079189685E-10</v>
      </c>
      <c r="Q48" s="2">
        <v>0.32</v>
      </c>
      <c r="R48" s="27">
        <f t="shared" si="11"/>
        <v>132000</v>
      </c>
      <c r="S48" s="2">
        <f t="shared" si="12"/>
        <v>5.36358238306597E-3</v>
      </c>
      <c r="T48" s="11">
        <v>0.09</v>
      </c>
      <c r="U48" s="30">
        <f t="shared" si="13"/>
        <v>109000.00000000001</v>
      </c>
      <c r="V48" s="30">
        <f t="shared" si="1"/>
        <v>40.345648514851497</v>
      </c>
      <c r="W48" s="11">
        <f t="shared" si="14"/>
        <v>514.14621987262558</v>
      </c>
      <c r="X48" s="9">
        <f t="shared" si="15"/>
        <v>6.3619150389804496E-14</v>
      </c>
      <c r="Y48" s="9">
        <f t="shared" si="16"/>
        <v>38311452364.740273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</row>
    <row r="49" spans="1:76" s="4" customFormat="1" x14ac:dyDescent="0.25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0">
        <v>376.30693069306932</v>
      </c>
      <c r="L49" s="27">
        <f t="shared" si="7"/>
        <v>3.763069306930693E-4</v>
      </c>
      <c r="M49" s="29">
        <f t="shared" si="8"/>
        <v>4.7762865441819992E-3</v>
      </c>
      <c r="N49" s="33">
        <f t="shared" si="9"/>
        <v>1.5855646488242863E-6</v>
      </c>
      <c r="O49" s="21">
        <f t="shared" si="10"/>
        <v>2.032E-3</v>
      </c>
      <c r="P49" s="21">
        <v>1.9414958079189685E-10</v>
      </c>
      <c r="Q49" s="2">
        <v>0.32</v>
      </c>
      <c r="R49" s="27">
        <f t="shared" si="11"/>
        <v>132000</v>
      </c>
      <c r="S49" s="2">
        <f t="shared" si="12"/>
        <v>5.36358238306597E-3</v>
      </c>
      <c r="T49" s="11">
        <v>0.09</v>
      </c>
      <c r="U49" s="30">
        <f t="shared" si="13"/>
        <v>109000.00000000001</v>
      </c>
      <c r="V49" s="30">
        <f t="shared" si="1"/>
        <v>41.017455445544556</v>
      </c>
      <c r="W49" s="11">
        <f t="shared" si="14"/>
        <v>528.96576415715083</v>
      </c>
      <c r="X49" s="9">
        <f t="shared" si="15"/>
        <v>6.4685781678650558E-14</v>
      </c>
      <c r="Y49" s="9">
        <f t="shared" si="16"/>
        <v>38953777726.883369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</row>
    <row r="50" spans="1:76" s="4" customFormat="1" x14ac:dyDescent="0.25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0">
        <v>376.30693069306932</v>
      </c>
      <c r="L50" s="27">
        <f t="shared" si="7"/>
        <v>3.763069306930693E-4</v>
      </c>
      <c r="M50" s="29">
        <f t="shared" si="8"/>
        <v>4.7762865441819992E-3</v>
      </c>
      <c r="N50" s="33">
        <f t="shared" si="9"/>
        <v>1.5855646488242863E-6</v>
      </c>
      <c r="O50" s="21">
        <f t="shared" si="10"/>
        <v>2.032E-3</v>
      </c>
      <c r="P50" s="21">
        <v>1.9414958079189685E-10</v>
      </c>
      <c r="Q50" s="2">
        <v>0.32</v>
      </c>
      <c r="R50" s="27">
        <f t="shared" si="11"/>
        <v>132000</v>
      </c>
      <c r="S50" s="2">
        <f t="shared" si="12"/>
        <v>5.36358238306597E-3</v>
      </c>
      <c r="T50" s="11">
        <v>0.09</v>
      </c>
      <c r="U50" s="30">
        <f t="shared" si="13"/>
        <v>109000.00000000001</v>
      </c>
      <c r="V50" s="30">
        <f t="shared" si="1"/>
        <v>41.017455445544556</v>
      </c>
      <c r="W50" s="11">
        <f t="shared" si="14"/>
        <v>528.96576415715083</v>
      </c>
      <c r="X50" s="9">
        <f t="shared" si="15"/>
        <v>6.4685781678650558E-14</v>
      </c>
      <c r="Y50" s="9">
        <f t="shared" si="16"/>
        <v>38953777726.883369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</row>
    <row r="51" spans="1:76" s="4" customFormat="1" x14ac:dyDescent="0.25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0">
        <v>380.98514851485152</v>
      </c>
      <c r="L51" s="27">
        <f t="shared" si="7"/>
        <v>3.8098514851485154E-4</v>
      </c>
      <c r="M51" s="29">
        <f t="shared" si="8"/>
        <v>4.7762865441819992E-3</v>
      </c>
      <c r="N51" s="33">
        <f t="shared" si="9"/>
        <v>1.6052762623841432E-6</v>
      </c>
      <c r="O51" s="21">
        <f t="shared" si="10"/>
        <v>2.032E-3</v>
      </c>
      <c r="P51" s="21">
        <v>1.9414958079189685E-10</v>
      </c>
      <c r="Q51" s="2">
        <v>0.32</v>
      </c>
      <c r="R51" s="27">
        <f t="shared" si="11"/>
        <v>132000</v>
      </c>
      <c r="S51" s="2">
        <f t="shared" si="12"/>
        <v>5.36358238306597E-3</v>
      </c>
      <c r="T51" s="11">
        <v>0.09</v>
      </c>
      <c r="U51" s="30">
        <f t="shared" si="13"/>
        <v>109000.00000000001</v>
      </c>
      <c r="V51" s="30">
        <f t="shared" si="1"/>
        <v>41.527381188118824</v>
      </c>
      <c r="W51" s="11">
        <f t="shared" si="14"/>
        <v>540.34153807520306</v>
      </c>
      <c r="X51" s="9">
        <f t="shared" si="15"/>
        <v>6.5495617298985565E-14</v>
      </c>
      <c r="Y51" s="9">
        <f t="shared" si="16"/>
        <v>39441460737.449112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</row>
    <row r="52" spans="1:76" s="4" customFormat="1" x14ac:dyDescent="0.25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0">
        <v>372.54455445544556</v>
      </c>
      <c r="L52" s="27">
        <f t="shared" si="7"/>
        <v>3.7254455445544558E-4</v>
      </c>
      <c r="M52" s="29">
        <f t="shared" si="8"/>
        <v>4.7762865441819992E-3</v>
      </c>
      <c r="N52" s="33">
        <f t="shared" si="9"/>
        <v>1.5697119225750894E-6</v>
      </c>
      <c r="O52" s="21">
        <f t="shared" si="10"/>
        <v>2.032E-3</v>
      </c>
      <c r="P52" s="21">
        <v>1.9414958079189685E-10</v>
      </c>
      <c r="Q52" s="2">
        <v>0.32</v>
      </c>
      <c r="R52" s="27">
        <f t="shared" si="11"/>
        <v>132000</v>
      </c>
      <c r="S52" s="2">
        <f t="shared" si="12"/>
        <v>5.36358238306597E-3</v>
      </c>
      <c r="T52" s="11">
        <v>0.09</v>
      </c>
      <c r="U52" s="30">
        <f t="shared" si="13"/>
        <v>109000.00000000001</v>
      </c>
      <c r="V52" s="30">
        <f t="shared" si="1"/>
        <v>40.607356435643574</v>
      </c>
      <c r="W52" s="11">
        <f t="shared" si="14"/>
        <v>519.89662037820017</v>
      </c>
      <c r="X52" s="9">
        <f t="shared" si="15"/>
        <v>6.4034625757050272E-14</v>
      </c>
      <c r="Y52" s="9">
        <f t="shared" si="16"/>
        <v>38561651630.895676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</row>
    <row r="53" spans="1:76" s="4" customFormat="1" x14ac:dyDescent="0.25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0">
        <v>364.32673267326732</v>
      </c>
      <c r="L53" s="27">
        <f t="shared" si="7"/>
        <v>3.6432673267326732E-4</v>
      </c>
      <c r="M53" s="29">
        <f t="shared" si="8"/>
        <v>4.7762865441819992E-3</v>
      </c>
      <c r="N53" s="33">
        <f t="shared" si="9"/>
        <v>1.5350862310307908E-6</v>
      </c>
      <c r="O53" s="21">
        <f t="shared" si="10"/>
        <v>2.032E-3</v>
      </c>
      <c r="P53" s="21">
        <v>1.9414958079189685E-10</v>
      </c>
      <c r="Q53" s="2">
        <v>0.32</v>
      </c>
      <c r="R53" s="27">
        <f t="shared" si="11"/>
        <v>132000</v>
      </c>
      <c r="S53" s="2">
        <f t="shared" si="12"/>
        <v>5.36358238306597E-3</v>
      </c>
      <c r="T53" s="11">
        <v>0.09</v>
      </c>
      <c r="U53" s="30">
        <f t="shared" si="13"/>
        <v>109000.00000000001</v>
      </c>
      <c r="V53" s="30">
        <f t="shared" si="1"/>
        <v>39.711613861386141</v>
      </c>
      <c r="W53" s="11">
        <f t="shared" si="14"/>
        <v>500.33497107605763</v>
      </c>
      <c r="X53" s="9">
        <f t="shared" si="15"/>
        <v>6.2612794210790411E-14</v>
      </c>
      <c r="Y53" s="9">
        <f t="shared" si="16"/>
        <v>37705424673.737984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</row>
    <row r="54" spans="1:76" s="4" customFormat="1" x14ac:dyDescent="0.25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0">
        <v>361.08415841584161</v>
      </c>
      <c r="L54" s="27">
        <f t="shared" si="7"/>
        <v>3.610841584158416E-4</v>
      </c>
      <c r="M54" s="29">
        <f t="shared" si="8"/>
        <v>4.7762865441819992E-3</v>
      </c>
      <c r="N54" s="33">
        <f t="shared" si="9"/>
        <v>1.5214236840660223E-6</v>
      </c>
      <c r="O54" s="21">
        <f t="shared" si="10"/>
        <v>2.032E-3</v>
      </c>
      <c r="P54" s="21">
        <v>1.9414958079189685E-10</v>
      </c>
      <c r="Q54" s="2">
        <v>0.32</v>
      </c>
      <c r="R54" s="27">
        <f t="shared" si="11"/>
        <v>132000</v>
      </c>
      <c r="S54" s="2">
        <f t="shared" si="12"/>
        <v>5.36358238306597E-3</v>
      </c>
      <c r="T54" s="11">
        <v>0.09</v>
      </c>
      <c r="U54" s="30">
        <f t="shared" si="13"/>
        <v>109000.00000000001</v>
      </c>
      <c r="V54" s="30">
        <f t="shared" si="1"/>
        <v>39.358173267326741</v>
      </c>
      <c r="W54" s="11">
        <f t="shared" si="14"/>
        <v>492.70984809095694</v>
      </c>
      <c r="X54" s="9">
        <f t="shared" si="15"/>
        <v>6.2051930806342319E-14</v>
      </c>
      <c r="Y54" s="9">
        <f t="shared" si="16"/>
        <v>37367672731.579346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s="4" customFormat="1" x14ac:dyDescent="0.25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0">
        <v>369.54950495049508</v>
      </c>
      <c r="L55" s="27">
        <f t="shared" si="7"/>
        <v>3.6954950495049509E-4</v>
      </c>
      <c r="M55" s="29">
        <f t="shared" si="8"/>
        <v>4.7762865441819992E-3</v>
      </c>
      <c r="N55" s="33">
        <f t="shared" si="9"/>
        <v>1.5570923181267157E-6</v>
      </c>
      <c r="O55" s="21">
        <f t="shared" si="10"/>
        <v>2.032E-3</v>
      </c>
      <c r="P55" s="21">
        <v>1.9414958079189685E-10</v>
      </c>
      <c r="Q55" s="2">
        <v>0.32</v>
      </c>
      <c r="R55" s="27">
        <f t="shared" si="11"/>
        <v>132000</v>
      </c>
      <c r="S55" s="2">
        <f t="shared" si="12"/>
        <v>5.36358238306597E-3</v>
      </c>
      <c r="T55" s="11">
        <v>0.09</v>
      </c>
      <c r="U55" s="30">
        <f t="shared" si="13"/>
        <v>109000.00000000001</v>
      </c>
      <c r="V55" s="30">
        <f t="shared" si="1"/>
        <v>40.280896039603974</v>
      </c>
      <c r="W55" s="11">
        <f t="shared" si="14"/>
        <v>512.72790951142872</v>
      </c>
      <c r="X55" s="9">
        <f t="shared" si="15"/>
        <v>6.3516360127726277E-14</v>
      </c>
      <c r="Y55" s="9">
        <f t="shared" si="16"/>
        <v>38249552068.916763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</row>
    <row r="56" spans="1:76" s="4" customFormat="1" x14ac:dyDescent="0.25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0">
        <v>364.30198019801981</v>
      </c>
      <c r="L56" s="27">
        <f t="shared" si="7"/>
        <v>3.6430198019801979E-4</v>
      </c>
      <c r="M56" s="29">
        <f t="shared" si="8"/>
        <v>4.7762865441819992E-3</v>
      </c>
      <c r="N56" s="33">
        <f t="shared" si="9"/>
        <v>1.5349819367791511E-6</v>
      </c>
      <c r="O56" s="21">
        <f t="shared" si="10"/>
        <v>2.032E-3</v>
      </c>
      <c r="P56" s="21">
        <v>1.9414958079189685E-10</v>
      </c>
      <c r="Q56" s="2">
        <v>0.32</v>
      </c>
      <c r="R56" s="27">
        <f t="shared" si="11"/>
        <v>132000</v>
      </c>
      <c r="S56" s="2">
        <f t="shared" si="12"/>
        <v>5.36358238306597E-3</v>
      </c>
      <c r="T56" s="11">
        <v>0.09</v>
      </c>
      <c r="U56" s="30">
        <f t="shared" si="13"/>
        <v>109000.00000000001</v>
      </c>
      <c r="V56" s="30">
        <f t="shared" si="1"/>
        <v>39.708915841584165</v>
      </c>
      <c r="W56" s="11">
        <f t="shared" si="14"/>
        <v>500.27656350085226</v>
      </c>
      <c r="X56" s="9">
        <f t="shared" si="15"/>
        <v>6.2608512468916555E-14</v>
      </c>
      <c r="Y56" s="9">
        <f t="shared" si="16"/>
        <v>37702846208.781548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</row>
    <row r="57" spans="1:76" s="4" customFormat="1" x14ac:dyDescent="0.25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362.47029702970298</v>
      </c>
      <c r="L57" s="27">
        <f t="shared" si="7"/>
        <v>3.6247029702970296E-4</v>
      </c>
      <c r="M57" s="29">
        <f t="shared" si="8"/>
        <v>4.7762865441819992E-3</v>
      </c>
      <c r="N57" s="33">
        <f t="shared" si="9"/>
        <v>1.5272641621578317E-6</v>
      </c>
      <c r="O57" s="21">
        <f t="shared" si="10"/>
        <v>2.032E-3</v>
      </c>
      <c r="P57" s="21">
        <v>1.9414958079189685E-10</v>
      </c>
      <c r="Q57" s="2">
        <v>0.32</v>
      </c>
      <c r="R57" s="27">
        <f t="shared" si="11"/>
        <v>132000</v>
      </c>
      <c r="S57" s="2">
        <f t="shared" si="12"/>
        <v>5.36358238306597E-3</v>
      </c>
      <c r="T57" s="11">
        <v>0.09</v>
      </c>
      <c r="U57" s="30">
        <f t="shared" si="13"/>
        <v>109000.00000000001</v>
      </c>
      <c r="V57" s="30">
        <f t="shared" si="1"/>
        <v>39.509262376237629</v>
      </c>
      <c r="W57" s="11">
        <f t="shared" si="14"/>
        <v>495.96296276344538</v>
      </c>
      <c r="X57" s="9">
        <f t="shared" si="15"/>
        <v>6.2291678179569701E-14</v>
      </c>
      <c r="Y57" s="9">
        <f t="shared" si="16"/>
        <v>37512048599.736877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</row>
    <row r="58" spans="1:76" s="4" customFormat="1" x14ac:dyDescent="0.25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360.24257425742576</v>
      </c>
      <c r="L58" s="27">
        <f t="shared" si="7"/>
        <v>3.6024257425742578E-4</v>
      </c>
      <c r="M58" s="29">
        <f t="shared" si="8"/>
        <v>4.7762865441819992E-3</v>
      </c>
      <c r="N58" s="33">
        <f t="shared" si="9"/>
        <v>1.517877679510281E-6</v>
      </c>
      <c r="O58" s="21">
        <f t="shared" si="10"/>
        <v>2.032E-3</v>
      </c>
      <c r="P58" s="21">
        <v>1.9414958079189685E-10</v>
      </c>
      <c r="Q58" s="2">
        <v>0.32</v>
      </c>
      <c r="R58" s="27">
        <f t="shared" si="11"/>
        <v>132000</v>
      </c>
      <c r="S58" s="2">
        <f t="shared" si="12"/>
        <v>5.36358238306597E-3</v>
      </c>
      <c r="T58" s="11">
        <v>0.09</v>
      </c>
      <c r="U58" s="30">
        <f t="shared" si="13"/>
        <v>109000.00000000001</v>
      </c>
      <c r="V58" s="30">
        <f t="shared" si="1"/>
        <v>39.266440594059418</v>
      </c>
      <c r="W58" s="11">
        <f t="shared" si="14"/>
        <v>490.73946583691907</v>
      </c>
      <c r="X58" s="9">
        <f t="shared" si="15"/>
        <v>6.1906377911352375E-14</v>
      </c>
      <c r="Y58" s="9">
        <f t="shared" si="16"/>
        <v>37280020778.2164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</row>
    <row r="59" spans="1:76" s="4" customFormat="1" x14ac:dyDescent="0.25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357.56930693069307</v>
      </c>
      <c r="L59" s="27">
        <f t="shared" si="7"/>
        <v>3.5756930693069307E-4</v>
      </c>
      <c r="M59" s="29">
        <f t="shared" si="8"/>
        <v>4.7762865441819992E-3</v>
      </c>
      <c r="N59" s="33">
        <f t="shared" si="9"/>
        <v>1.5066139003332199E-6</v>
      </c>
      <c r="O59" s="21">
        <f t="shared" si="10"/>
        <v>2.032E-3</v>
      </c>
      <c r="P59" s="21">
        <v>1.9414958079189685E-10</v>
      </c>
      <c r="Q59" s="2">
        <v>0.32</v>
      </c>
      <c r="R59" s="27">
        <f t="shared" si="11"/>
        <v>132000</v>
      </c>
      <c r="S59" s="2">
        <f t="shared" si="12"/>
        <v>5.36358238306597E-3</v>
      </c>
      <c r="T59" s="11">
        <v>0.09</v>
      </c>
      <c r="U59" s="30">
        <f t="shared" si="13"/>
        <v>109000.00000000001</v>
      </c>
      <c r="V59" s="30">
        <f t="shared" si="1"/>
        <v>38.975054455445552</v>
      </c>
      <c r="W59" s="11">
        <f t="shared" si="14"/>
        <v>484.50428779152389</v>
      </c>
      <c r="X59" s="9">
        <f t="shared" si="15"/>
        <v>6.1444073416205279E-14</v>
      </c>
      <c r="Y59" s="9">
        <f t="shared" si="16"/>
        <v>37001621011.238823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</row>
    <row r="60" spans="1:76" s="4" customFormat="1" x14ac:dyDescent="0.25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371.13366336633663</v>
      </c>
      <c r="L60" s="27">
        <f t="shared" si="7"/>
        <v>3.7113366336633663E-4</v>
      </c>
      <c r="M60" s="29">
        <f t="shared" si="8"/>
        <v>4.7762865441819992E-3</v>
      </c>
      <c r="N60" s="33">
        <f t="shared" si="9"/>
        <v>1.5637671502316407E-6</v>
      </c>
      <c r="O60" s="21">
        <f t="shared" si="10"/>
        <v>2.032E-3</v>
      </c>
      <c r="P60" s="21">
        <v>1.9414958079189685E-10</v>
      </c>
      <c r="Q60" s="2">
        <v>0.32</v>
      </c>
      <c r="R60" s="27">
        <f t="shared" si="11"/>
        <v>132000</v>
      </c>
      <c r="S60" s="2">
        <f t="shared" si="12"/>
        <v>5.36358238306597E-3</v>
      </c>
      <c r="T60" s="11">
        <v>0.09</v>
      </c>
      <c r="U60" s="30">
        <f t="shared" si="13"/>
        <v>109000.00000000001</v>
      </c>
      <c r="V60" s="30">
        <f t="shared" si="1"/>
        <v>40.453569306930696</v>
      </c>
      <c r="W60" s="11">
        <f t="shared" si="14"/>
        <v>516.5140107810148</v>
      </c>
      <c r="X60" s="9">
        <f t="shared" si="15"/>
        <v>6.3790474332932045E-14</v>
      </c>
      <c r="Y60" s="9">
        <f t="shared" si="16"/>
        <v>38414623643.291679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</row>
    <row r="61" spans="1:76" s="4" customFormat="1" x14ac:dyDescent="0.25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353.38613861386142</v>
      </c>
      <c r="L61" s="27">
        <f t="shared" si="7"/>
        <v>3.533861386138614E-4</v>
      </c>
      <c r="M61" s="29">
        <f t="shared" si="8"/>
        <v>4.7762865441819992E-3</v>
      </c>
      <c r="N61" s="33">
        <f t="shared" si="9"/>
        <v>1.4889881718061522E-6</v>
      </c>
      <c r="O61" s="21">
        <f t="shared" si="10"/>
        <v>2.032E-3</v>
      </c>
      <c r="P61" s="21">
        <v>1.9414958079189685E-10</v>
      </c>
      <c r="Q61" s="2">
        <v>0.32</v>
      </c>
      <c r="R61" s="27">
        <f t="shared" si="11"/>
        <v>132000</v>
      </c>
      <c r="S61" s="2">
        <f t="shared" si="12"/>
        <v>5.36358238306597E-3</v>
      </c>
      <c r="T61" s="11">
        <v>0.09</v>
      </c>
      <c r="U61" s="30">
        <f t="shared" si="13"/>
        <v>109000.00000000001</v>
      </c>
      <c r="V61" s="30">
        <f t="shared" si="1"/>
        <v>38.519089108910897</v>
      </c>
      <c r="W61" s="11">
        <f t="shared" si="14"/>
        <v>474.81974096828912</v>
      </c>
      <c r="X61" s="9">
        <f t="shared" si="15"/>
        <v>6.0720773856112407E-14</v>
      </c>
      <c r="Y61" s="9">
        <f t="shared" si="16"/>
        <v>36566050016.150894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</row>
    <row r="62" spans="1:76" s="4" customFormat="1" x14ac:dyDescent="0.25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362.49504950495049</v>
      </c>
      <c r="L62" s="27">
        <f t="shared" si="7"/>
        <v>3.6249504950495049E-4</v>
      </c>
      <c r="M62" s="29">
        <f t="shared" si="8"/>
        <v>4.7762865441819992E-3</v>
      </c>
      <c r="N62" s="33">
        <f t="shared" si="9"/>
        <v>1.5273684564094711E-6</v>
      </c>
      <c r="O62" s="21">
        <f t="shared" si="10"/>
        <v>2.032E-3</v>
      </c>
      <c r="P62" s="21">
        <v>1.9414958079189685E-10</v>
      </c>
      <c r="Q62" s="2">
        <v>0.32</v>
      </c>
      <c r="R62" s="27">
        <f t="shared" si="11"/>
        <v>132000</v>
      </c>
      <c r="S62" s="2">
        <f t="shared" si="12"/>
        <v>5.36358238306597E-3</v>
      </c>
      <c r="T62" s="11">
        <v>0.09</v>
      </c>
      <c r="U62" s="30">
        <f t="shared" si="13"/>
        <v>109000.00000000001</v>
      </c>
      <c r="V62" s="30">
        <f t="shared" si="1"/>
        <v>39.511960396039612</v>
      </c>
      <c r="W62" s="11">
        <f t="shared" si="14"/>
        <v>496.0211420550541</v>
      </c>
      <c r="X62" s="9">
        <f t="shared" si="15"/>
        <v>6.2295959532129126E-14</v>
      </c>
      <c r="Y62" s="9">
        <f t="shared" si="16"/>
        <v>37514626830.248161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</row>
    <row r="63" spans="1:76" s="4" customFormat="1" x14ac:dyDescent="0.25">
      <c r="A63" s="26">
        <v>183</v>
      </c>
      <c r="B63" s="26">
        <f t="shared" ref="B63:B66" si="17">(A63/60)</f>
        <v>3.05</v>
      </c>
      <c r="C63" s="26">
        <v>20</v>
      </c>
      <c r="D63" s="26">
        <f t="shared" ref="D63:D66" si="18">(C63*1.4573)</f>
        <v>29.146000000000001</v>
      </c>
      <c r="E63" s="26">
        <f t="shared" ref="E63:E66" si="19">(D63/(1000000*60))</f>
        <v>4.8576666666666667E-7</v>
      </c>
      <c r="F63" s="26">
        <v>21.1</v>
      </c>
      <c r="G63" s="26">
        <f t="shared" ref="G63:G66" si="20">(273+F63)</f>
        <v>294.10000000000002</v>
      </c>
      <c r="H63" s="26">
        <v>101.3</v>
      </c>
      <c r="I63" s="26">
        <f t="shared" ref="I63:I66" si="21">(H63*1000)</f>
        <v>101300</v>
      </c>
      <c r="J63" s="26">
        <f t="shared" ref="J63:J66" si="22">((I63*E63)/(8.314*G63))</f>
        <v>2.0124824921938581E-5</v>
      </c>
      <c r="K63" s="20">
        <v>368.11386138613864</v>
      </c>
      <c r="L63" s="27">
        <f t="shared" ref="L63:L66" si="23">(K63/1000000)</f>
        <v>3.6811386138613862E-4</v>
      </c>
      <c r="M63" s="29">
        <f t="shared" si="8"/>
        <v>4.7762865441819992E-3</v>
      </c>
      <c r="N63" s="33">
        <f t="shared" ref="N63:N66" si="24">(L63*J63)/M63</f>
        <v>1.5510432515316272E-6</v>
      </c>
      <c r="O63" s="21">
        <f t="shared" si="10"/>
        <v>2.032E-3</v>
      </c>
      <c r="P63" s="21">
        <v>1.9414958079189685E-10</v>
      </c>
      <c r="Q63" s="2">
        <v>0.32</v>
      </c>
      <c r="R63" s="27">
        <f t="shared" ref="R63:R66" si="25">(1+Q63)*100000*1</f>
        <v>132000</v>
      </c>
      <c r="S63" s="2">
        <f t="shared" si="12"/>
        <v>5.36358238306597E-3</v>
      </c>
      <c r="T63" s="11">
        <v>0.09</v>
      </c>
      <c r="U63" s="30">
        <f t="shared" ref="U63:U66" si="26">(1+T63)*100000</f>
        <v>109000.00000000001</v>
      </c>
      <c r="V63" s="30">
        <f t="shared" ref="V63:V66" si="27">(L63*U63)</f>
        <v>40.124410891089113</v>
      </c>
      <c r="W63" s="11">
        <f t="shared" ref="W63:W66" si="28">((N63*O63/P63) + SQRT(V63))^2</f>
        <v>509.30764874156392</v>
      </c>
      <c r="X63" s="9">
        <f t="shared" ref="X63:X66" si="29">(N63*S63)/(R63-W63)</f>
        <v>6.3267963005814813E-14</v>
      </c>
      <c r="Y63" s="9">
        <f t="shared" ref="Y63:Y66" si="30">(X63*6.022E+23)</f>
        <v>38099967322.101685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</row>
    <row r="64" spans="1:76" s="4" customFormat="1" x14ac:dyDescent="0.25">
      <c r="A64" s="26">
        <v>186</v>
      </c>
      <c r="B64" s="26">
        <f t="shared" si="17"/>
        <v>3.1</v>
      </c>
      <c r="C64" s="26">
        <v>20</v>
      </c>
      <c r="D64" s="26">
        <f t="shared" si="18"/>
        <v>29.146000000000001</v>
      </c>
      <c r="E64" s="26">
        <f t="shared" si="19"/>
        <v>4.8576666666666667E-7</v>
      </c>
      <c r="F64" s="26">
        <v>21.1</v>
      </c>
      <c r="G64" s="26">
        <f t="shared" si="20"/>
        <v>294.10000000000002</v>
      </c>
      <c r="H64" s="26">
        <v>101.3</v>
      </c>
      <c r="I64" s="26">
        <f t="shared" si="21"/>
        <v>101300</v>
      </c>
      <c r="J64" s="26">
        <f t="shared" si="22"/>
        <v>2.0124824921938581E-5</v>
      </c>
      <c r="K64" s="20">
        <v>358.60891089108912</v>
      </c>
      <c r="L64" s="27">
        <f t="shared" si="23"/>
        <v>3.5860891089108913E-4</v>
      </c>
      <c r="M64" s="29">
        <f t="shared" si="8"/>
        <v>4.7762865441819992E-3</v>
      </c>
      <c r="N64" s="33">
        <f t="shared" si="24"/>
        <v>1.5109942589020769E-6</v>
      </c>
      <c r="O64" s="21">
        <f t="shared" si="10"/>
        <v>2.032E-3</v>
      </c>
      <c r="P64" s="21">
        <v>1.9414958079189685E-10</v>
      </c>
      <c r="Q64" s="2">
        <v>0.32</v>
      </c>
      <c r="R64" s="27">
        <f t="shared" si="25"/>
        <v>132000</v>
      </c>
      <c r="S64" s="2">
        <f t="shared" si="12"/>
        <v>5.36358238306597E-3</v>
      </c>
      <c r="T64" s="11">
        <v>0.09</v>
      </c>
      <c r="U64" s="30">
        <f t="shared" si="26"/>
        <v>109000.00000000001</v>
      </c>
      <c r="V64" s="30">
        <f t="shared" si="27"/>
        <v>39.088371287128723</v>
      </c>
      <c r="W64" s="11">
        <f t="shared" si="28"/>
        <v>486.92479735861599</v>
      </c>
      <c r="X64" s="9">
        <f t="shared" si="29"/>
        <v>6.1623851282265717E-14</v>
      </c>
      <c r="Y64" s="9">
        <f t="shared" si="30"/>
        <v>37109883242.18042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</row>
    <row r="65" spans="1:76" s="4" customFormat="1" x14ac:dyDescent="0.25">
      <c r="A65" s="26">
        <v>189</v>
      </c>
      <c r="B65" s="26">
        <f t="shared" si="17"/>
        <v>3.15</v>
      </c>
      <c r="C65" s="26">
        <v>20</v>
      </c>
      <c r="D65" s="26">
        <f t="shared" si="18"/>
        <v>29.146000000000001</v>
      </c>
      <c r="E65" s="26">
        <f t="shared" si="19"/>
        <v>4.8576666666666667E-7</v>
      </c>
      <c r="F65" s="26">
        <v>21.1</v>
      </c>
      <c r="G65" s="26">
        <f t="shared" si="20"/>
        <v>294.10000000000002</v>
      </c>
      <c r="H65" s="26">
        <v>101.3</v>
      </c>
      <c r="I65" s="26">
        <f t="shared" si="21"/>
        <v>101300</v>
      </c>
      <c r="J65" s="26">
        <f t="shared" si="22"/>
        <v>2.0124824921938581E-5</v>
      </c>
      <c r="K65" s="20">
        <v>360.63861386138615</v>
      </c>
      <c r="L65" s="27">
        <f t="shared" si="23"/>
        <v>3.6063861386138613E-4</v>
      </c>
      <c r="M65" s="29">
        <f t="shared" si="8"/>
        <v>4.7762865441819992E-3</v>
      </c>
      <c r="N65" s="33">
        <f t="shared" si="24"/>
        <v>1.5195463875365122E-6</v>
      </c>
      <c r="O65" s="21">
        <f t="shared" si="10"/>
        <v>2.032E-3</v>
      </c>
      <c r="P65" s="21">
        <v>1.9414958079189685E-10</v>
      </c>
      <c r="Q65" s="2">
        <v>0.32</v>
      </c>
      <c r="R65" s="27">
        <f t="shared" si="25"/>
        <v>132000</v>
      </c>
      <c r="S65" s="2">
        <f t="shared" si="12"/>
        <v>5.36358238306597E-3</v>
      </c>
      <c r="T65" s="11">
        <v>0.09</v>
      </c>
      <c r="U65" s="30">
        <f t="shared" si="26"/>
        <v>109000.00000000001</v>
      </c>
      <c r="V65" s="30">
        <f t="shared" si="27"/>
        <v>39.309608910891093</v>
      </c>
      <c r="W65" s="11">
        <f t="shared" si="28"/>
        <v>491.66625993354</v>
      </c>
      <c r="X65" s="9">
        <f t="shared" si="29"/>
        <v>6.1974872638503051E-14</v>
      </c>
      <c r="Y65" s="9">
        <f t="shared" si="30"/>
        <v>37321268302.90654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</row>
    <row r="66" spans="1:76" s="4" customFormat="1" x14ac:dyDescent="0.25">
      <c r="A66" s="26">
        <v>192</v>
      </c>
      <c r="B66" s="26">
        <f t="shared" si="17"/>
        <v>3.2</v>
      </c>
      <c r="C66" s="26">
        <v>20</v>
      </c>
      <c r="D66" s="26">
        <f t="shared" si="18"/>
        <v>29.146000000000001</v>
      </c>
      <c r="E66" s="26">
        <f t="shared" si="19"/>
        <v>4.8576666666666667E-7</v>
      </c>
      <c r="F66" s="26">
        <v>21.1</v>
      </c>
      <c r="G66" s="26">
        <f t="shared" si="20"/>
        <v>294.10000000000002</v>
      </c>
      <c r="H66" s="26">
        <v>101.3</v>
      </c>
      <c r="I66" s="26">
        <f t="shared" si="21"/>
        <v>101300</v>
      </c>
      <c r="J66" s="26">
        <f t="shared" si="22"/>
        <v>2.0124824921938581E-5</v>
      </c>
      <c r="K66" s="20">
        <v>364.57425742574259</v>
      </c>
      <c r="L66" s="27">
        <f t="shared" si="23"/>
        <v>3.6457425742574261E-4</v>
      </c>
      <c r="M66" s="29">
        <f t="shared" si="8"/>
        <v>4.7762865441819992E-3</v>
      </c>
      <c r="N66" s="33">
        <f t="shared" si="24"/>
        <v>1.5361291735471855E-6</v>
      </c>
      <c r="O66" s="21">
        <f t="shared" si="10"/>
        <v>2.032E-3</v>
      </c>
      <c r="P66" s="21">
        <v>1.9414958079189685E-10</v>
      </c>
      <c r="Q66" s="2">
        <v>0.32</v>
      </c>
      <c r="R66" s="27">
        <f t="shared" si="25"/>
        <v>132000</v>
      </c>
      <c r="S66" s="2">
        <f t="shared" si="12"/>
        <v>5.36358238306597E-3</v>
      </c>
      <c r="T66" s="11">
        <v>0.09</v>
      </c>
      <c r="U66" s="30">
        <f t="shared" si="26"/>
        <v>109000.00000000001</v>
      </c>
      <c r="V66" s="30">
        <f t="shared" si="27"/>
        <v>39.738594059405948</v>
      </c>
      <c r="W66" s="11">
        <f t="shared" si="28"/>
        <v>500.9192164451826</v>
      </c>
      <c r="X66" s="9">
        <f t="shared" si="29"/>
        <v>6.2655611919545492E-14</v>
      </c>
      <c r="Y66" s="9">
        <f t="shared" si="30"/>
        <v>37731209497.950294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</row>
    <row r="67" spans="1:76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4"/>
      <c r="L67" s="3"/>
      <c r="M67" s="3"/>
      <c r="N67" s="21"/>
      <c r="O67" s="21"/>
      <c r="P67" s="21"/>
      <c r="Q67" s="2"/>
      <c r="R67" s="2"/>
      <c r="S67" s="2"/>
      <c r="T67" s="11"/>
      <c r="U67" s="2"/>
      <c r="V67" s="11"/>
      <c r="W67" s="5"/>
      <c r="X67" s="2"/>
      <c r="Y67" s="5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</row>
    <row r="68" spans="1:76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4"/>
      <c r="L68" s="3"/>
      <c r="M68" s="3"/>
      <c r="N68" s="21"/>
      <c r="O68" s="21"/>
      <c r="P68" s="21"/>
      <c r="Q68" s="2"/>
      <c r="R68" s="2"/>
      <c r="S68" s="2"/>
      <c r="T68" s="11"/>
      <c r="U68" s="2"/>
      <c r="V68" s="11"/>
      <c r="W68" s="5"/>
      <c r="X68" s="2"/>
      <c r="Y68" s="5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</row>
    <row r="69" spans="1:76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4"/>
      <c r="L69" s="3"/>
      <c r="M69" s="3"/>
      <c r="N69" s="21"/>
      <c r="O69" s="21"/>
      <c r="P69" s="21"/>
      <c r="Q69" s="2"/>
      <c r="R69" s="2"/>
      <c r="S69" s="2"/>
      <c r="T69" s="11"/>
      <c r="U69" s="2"/>
      <c r="V69" s="11"/>
      <c r="W69" s="5"/>
      <c r="X69" s="2"/>
      <c r="Y69" s="5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4"/>
      <c r="L70" s="3"/>
      <c r="M70" s="3"/>
      <c r="N70" s="21"/>
      <c r="O70" s="21"/>
      <c r="P70" s="21"/>
      <c r="Q70" s="2"/>
      <c r="R70" s="2"/>
      <c r="S70" s="2"/>
      <c r="T70" s="11"/>
      <c r="U70" s="2"/>
      <c r="V70" s="11"/>
      <c r="W70" s="5"/>
      <c r="X70" s="2"/>
      <c r="Y70" s="5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</row>
    <row r="71" spans="1:76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4"/>
      <c r="L71" s="3"/>
      <c r="M71" s="3"/>
      <c r="N71" s="21"/>
      <c r="O71" s="21"/>
      <c r="P71" s="21"/>
      <c r="Q71" s="2"/>
      <c r="R71" s="2"/>
      <c r="S71" s="2"/>
      <c r="T71" s="11"/>
      <c r="U71" s="2"/>
      <c r="V71" s="11"/>
      <c r="W71" s="5"/>
      <c r="X71" s="32">
        <f>AVERAGE(X32:X66)</f>
        <v>6.4106183222150126E-14</v>
      </c>
      <c r="Y71" s="32">
        <f>AVERAGE(Y32:Y66)</f>
        <v>38604743536.378792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</row>
    <row r="72" spans="1:76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4"/>
      <c r="L72" s="3"/>
      <c r="M72" s="3"/>
      <c r="N72" s="21"/>
      <c r="O72" s="21"/>
      <c r="P72" s="21"/>
      <c r="Q72" s="2"/>
      <c r="R72" s="2"/>
      <c r="S72" s="2"/>
      <c r="T72" s="11"/>
      <c r="U72" s="2"/>
      <c r="V72" s="11"/>
      <c r="W72" s="5"/>
      <c r="X72" s="2"/>
      <c r="Y72" s="5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</row>
    <row r="73" spans="1:76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4"/>
      <c r="L73" s="3"/>
      <c r="M73" s="3"/>
      <c r="N73" s="21"/>
      <c r="O73" s="21"/>
      <c r="P73" s="21"/>
      <c r="Q73" s="2"/>
      <c r="R73" s="2"/>
      <c r="S73" s="2"/>
      <c r="T73" s="11"/>
      <c r="U73" s="2"/>
      <c r="V73" s="11"/>
      <c r="W73" s="5"/>
      <c r="X73" s="2"/>
      <c r="Y73" s="5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</row>
    <row r="74" spans="1:76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4"/>
      <c r="L74" s="3"/>
      <c r="M74" s="3"/>
      <c r="N74" s="21"/>
      <c r="O74" s="21"/>
      <c r="P74" s="21"/>
      <c r="Q74" s="2"/>
      <c r="R74" s="2"/>
      <c r="S74" s="2"/>
      <c r="T74" s="11"/>
      <c r="U74" s="2"/>
      <c r="V74" s="11"/>
      <c r="W74" s="5"/>
      <c r="X74" s="2"/>
      <c r="Y74" s="5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</row>
    <row r="75" spans="1:76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4"/>
      <c r="L75" s="3"/>
      <c r="M75" s="3"/>
      <c r="N75" s="21"/>
      <c r="O75" s="21"/>
      <c r="P75" s="21"/>
      <c r="Q75" s="2"/>
      <c r="R75" s="2"/>
      <c r="S75" s="2"/>
      <c r="T75" s="11"/>
      <c r="U75" s="2"/>
      <c r="V75" s="11"/>
      <c r="W75" s="5"/>
      <c r="X75" s="2"/>
      <c r="Y75" s="5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</row>
    <row r="76" spans="1:76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4"/>
      <c r="L76" s="3"/>
      <c r="M76" s="3"/>
      <c r="N76" s="21"/>
      <c r="O76" s="21"/>
      <c r="P76" s="21"/>
      <c r="Q76" s="2"/>
      <c r="R76" s="2"/>
      <c r="S76" s="2"/>
      <c r="T76" s="11"/>
      <c r="U76" s="2"/>
      <c r="V76" s="11"/>
      <c r="W76" s="5"/>
      <c r="X76" s="2"/>
      <c r="Y76" s="5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</row>
    <row r="77" spans="1:76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4"/>
      <c r="L77" s="3"/>
      <c r="M77" s="3"/>
      <c r="N77" s="21"/>
      <c r="O77" s="21"/>
      <c r="P77" s="21"/>
      <c r="Q77" s="2"/>
      <c r="R77" s="2"/>
      <c r="S77" s="2"/>
      <c r="T77" s="11"/>
      <c r="U77" s="2"/>
      <c r="V77" s="11"/>
      <c r="W77" s="5"/>
      <c r="X77" s="2"/>
      <c r="Y77" s="5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</row>
    <row r="78" spans="1:76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4"/>
      <c r="L78" s="3"/>
      <c r="M78" s="3"/>
      <c r="N78" s="21"/>
      <c r="O78" s="21"/>
      <c r="P78" s="21"/>
      <c r="Q78" s="2"/>
      <c r="R78" s="2"/>
      <c r="S78" s="2"/>
      <c r="T78" s="11"/>
      <c r="U78" s="2"/>
      <c r="V78" s="11"/>
      <c r="W78" s="5"/>
      <c r="X78" s="2"/>
      <c r="Y78" s="5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</row>
    <row r="79" spans="1:76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4"/>
      <c r="L79" s="3"/>
      <c r="M79" s="3"/>
      <c r="N79" s="21"/>
      <c r="O79" s="21"/>
      <c r="P79" s="21"/>
      <c r="Q79" s="2"/>
      <c r="R79" s="2"/>
      <c r="S79" s="2"/>
      <c r="T79" s="11"/>
      <c r="U79" s="2"/>
      <c r="V79" s="11"/>
      <c r="W79" s="5"/>
      <c r="X79" s="2"/>
      <c r="Y79" s="5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</row>
    <row r="80" spans="1:76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4"/>
      <c r="L80" s="3"/>
      <c r="M80" s="3"/>
      <c r="N80" s="21"/>
      <c r="O80" s="21"/>
      <c r="P80" s="21"/>
      <c r="Q80" s="2"/>
      <c r="R80" s="2"/>
      <c r="S80" s="2"/>
      <c r="T80" s="11"/>
      <c r="U80" s="2"/>
      <c r="V80" s="11"/>
      <c r="W80" s="5"/>
      <c r="X80" s="2"/>
      <c r="Y80" s="5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</row>
    <row r="81" spans="1:76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4"/>
      <c r="L81" s="3"/>
      <c r="M81" s="3"/>
      <c r="N81" s="21"/>
      <c r="O81" s="21"/>
      <c r="P81" s="21"/>
      <c r="Q81" s="2"/>
      <c r="R81" s="2"/>
      <c r="S81" s="2"/>
      <c r="T81" s="11"/>
      <c r="U81" s="2"/>
      <c r="V81" s="11"/>
      <c r="W81" s="5"/>
      <c r="X81" s="2"/>
      <c r="Y81" s="5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</row>
    <row r="82" spans="1:76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4"/>
      <c r="L82" s="3"/>
      <c r="M82" s="3"/>
      <c r="N82" s="21"/>
      <c r="O82" s="21"/>
      <c r="P82" s="21"/>
      <c r="Q82" s="2"/>
      <c r="R82" s="2"/>
      <c r="S82" s="2"/>
      <c r="T82" s="11"/>
      <c r="U82" s="2"/>
      <c r="V82" s="11"/>
      <c r="W82" s="5"/>
      <c r="X82" s="2"/>
      <c r="Y82" s="5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</row>
    <row r="83" spans="1:76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4"/>
      <c r="L83" s="3"/>
      <c r="M83" s="3"/>
      <c r="N83" s="21"/>
      <c r="O83" s="21"/>
      <c r="P83" s="21"/>
      <c r="Q83" s="2"/>
      <c r="R83" s="2"/>
      <c r="S83" s="2"/>
      <c r="T83" s="11"/>
      <c r="U83" s="2"/>
      <c r="V83" s="11"/>
      <c r="W83" s="5"/>
      <c r="X83" s="2"/>
      <c r="Y83" s="5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</row>
    <row r="84" spans="1:76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4"/>
      <c r="L84" s="3"/>
      <c r="M84" s="3"/>
      <c r="N84" s="21"/>
      <c r="O84" s="21"/>
      <c r="P84" s="21"/>
      <c r="Q84" s="2"/>
      <c r="R84" s="2"/>
      <c r="S84" s="2"/>
      <c r="T84" s="11"/>
      <c r="U84" s="2"/>
      <c r="V84" s="11"/>
      <c r="W84" s="5"/>
      <c r="X84" s="2"/>
      <c r="Y84" s="5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4"/>
      <c r="L85" s="3"/>
      <c r="M85" s="3"/>
      <c r="N85" s="21"/>
      <c r="O85" s="21"/>
      <c r="P85" s="21"/>
      <c r="Q85" s="2"/>
      <c r="R85" s="2"/>
      <c r="S85" s="2"/>
      <c r="T85" s="11"/>
      <c r="U85" s="2"/>
      <c r="V85" s="11"/>
      <c r="W85" s="5"/>
      <c r="X85" s="2"/>
      <c r="Y85" s="5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</row>
    <row r="86" spans="1:76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4"/>
      <c r="L86" s="3"/>
      <c r="M86" s="3"/>
      <c r="N86" s="21"/>
      <c r="O86" s="21"/>
      <c r="P86" s="21"/>
      <c r="Q86" s="2"/>
      <c r="R86" s="2"/>
      <c r="S86" s="2"/>
      <c r="T86" s="11"/>
      <c r="U86" s="2"/>
      <c r="V86" s="11"/>
      <c r="W86" s="5"/>
      <c r="X86" s="2"/>
      <c r="Y86" s="5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</row>
    <row r="87" spans="1:76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4"/>
      <c r="L87" s="3"/>
      <c r="M87" s="3"/>
      <c r="N87" s="21"/>
      <c r="O87" s="21"/>
      <c r="P87" s="21"/>
      <c r="Q87" s="2"/>
      <c r="R87" s="2"/>
      <c r="S87" s="2"/>
      <c r="T87" s="11"/>
      <c r="U87" s="2"/>
      <c r="V87" s="11"/>
      <c r="W87" s="5"/>
      <c r="X87" s="2"/>
      <c r="Y87" s="5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</row>
    <row r="88" spans="1:76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4"/>
      <c r="L88" s="3"/>
      <c r="M88" s="3"/>
      <c r="N88" s="21"/>
      <c r="O88" s="21"/>
      <c r="P88" s="21"/>
      <c r="Q88" s="2"/>
      <c r="R88" s="2"/>
      <c r="S88" s="2"/>
      <c r="T88" s="11"/>
      <c r="U88" s="2"/>
      <c r="V88" s="11"/>
      <c r="W88" s="5"/>
      <c r="X88" s="2"/>
      <c r="Y88" s="5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</row>
    <row r="89" spans="1:76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4"/>
      <c r="L89" s="3"/>
      <c r="M89" s="3"/>
      <c r="N89" s="21"/>
      <c r="O89" s="21"/>
      <c r="P89" s="21"/>
      <c r="Q89" s="2"/>
      <c r="R89" s="2"/>
      <c r="S89" s="2"/>
      <c r="T89" s="11"/>
      <c r="U89" s="2"/>
      <c r="V89" s="11"/>
      <c r="W89" s="5"/>
      <c r="X89" s="2"/>
      <c r="Y89" s="5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</row>
    <row r="90" spans="1:76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4"/>
      <c r="L90" s="3"/>
      <c r="M90" s="3"/>
      <c r="N90" s="21"/>
      <c r="O90" s="21"/>
      <c r="P90" s="21"/>
      <c r="Q90" s="2"/>
      <c r="R90" s="2"/>
      <c r="S90" s="2"/>
      <c r="T90" s="11"/>
      <c r="U90" s="2"/>
      <c r="V90" s="11"/>
      <c r="W90" s="5"/>
      <c r="X90" s="2"/>
      <c r="Y90" s="5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</row>
    <row r="91" spans="1:76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4"/>
      <c r="L91" s="3"/>
      <c r="M91" s="3"/>
      <c r="N91" s="21"/>
      <c r="O91" s="21"/>
      <c r="P91" s="21"/>
      <c r="Q91" s="2"/>
      <c r="R91" s="2"/>
      <c r="S91" s="2"/>
      <c r="T91" s="11"/>
      <c r="U91" s="2"/>
      <c r="V91" s="11"/>
      <c r="W91" s="5"/>
      <c r="X91" s="2"/>
      <c r="Y91" s="5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</row>
    <row r="92" spans="1:76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4"/>
      <c r="L92" s="3"/>
      <c r="M92" s="3"/>
      <c r="N92" s="21"/>
      <c r="O92" s="21"/>
      <c r="P92" s="21"/>
      <c r="Q92" s="2"/>
      <c r="R92" s="2"/>
      <c r="S92" s="2"/>
      <c r="T92" s="11"/>
      <c r="U92" s="2"/>
      <c r="V92" s="11"/>
      <c r="W92" s="5"/>
      <c r="X92" s="2"/>
      <c r="Y92" s="5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</row>
    <row r="93" spans="1:76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4"/>
      <c r="L93" s="3"/>
      <c r="M93" s="3"/>
      <c r="N93" s="21"/>
      <c r="O93" s="21"/>
      <c r="P93" s="21"/>
      <c r="Q93" s="2"/>
      <c r="R93" s="2"/>
      <c r="S93" s="2"/>
      <c r="T93" s="11"/>
      <c r="U93" s="2"/>
      <c r="V93" s="11"/>
      <c r="W93" s="5"/>
      <c r="X93" s="2"/>
      <c r="Y93" s="5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</row>
    <row r="94" spans="1:76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4"/>
      <c r="L94" s="3"/>
      <c r="M94" s="3"/>
      <c r="N94" s="21"/>
      <c r="O94" s="21"/>
      <c r="P94" s="21"/>
      <c r="Q94" s="2"/>
      <c r="R94" s="2"/>
      <c r="S94" s="2"/>
      <c r="T94" s="11"/>
      <c r="U94" s="2"/>
      <c r="V94" s="11"/>
      <c r="W94" s="5"/>
      <c r="X94" s="2"/>
      <c r="Y94" s="5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</row>
    <row r="95" spans="1:76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4"/>
      <c r="L95" s="3"/>
      <c r="M95" s="3"/>
      <c r="N95" s="21"/>
      <c r="O95" s="21"/>
      <c r="P95" s="21"/>
      <c r="Q95" s="2"/>
      <c r="R95" s="2"/>
      <c r="S95" s="2"/>
      <c r="T95" s="11"/>
      <c r="U95" s="2"/>
      <c r="V95" s="11"/>
      <c r="W95" s="5"/>
      <c r="X95" s="2"/>
      <c r="Y95" s="5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</row>
    <row r="96" spans="1:76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4"/>
      <c r="L96" s="3"/>
      <c r="M96" s="3"/>
      <c r="N96" s="21"/>
      <c r="O96" s="21"/>
      <c r="P96" s="21"/>
      <c r="Q96" s="2"/>
      <c r="R96" s="2"/>
      <c r="S96" s="2"/>
      <c r="T96" s="11"/>
      <c r="U96" s="2"/>
      <c r="V96" s="11"/>
      <c r="W96" s="5"/>
      <c r="X96" s="2"/>
      <c r="Y96" s="5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</row>
    <row r="97" spans="1:76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4"/>
      <c r="L97" s="3"/>
      <c r="M97" s="3"/>
      <c r="N97" s="21"/>
      <c r="O97" s="21"/>
      <c r="P97" s="21"/>
      <c r="Q97" s="2"/>
      <c r="R97" s="2"/>
      <c r="S97" s="2"/>
      <c r="T97" s="11"/>
      <c r="U97" s="2"/>
      <c r="V97" s="11"/>
      <c r="W97" s="5"/>
      <c r="X97" s="2"/>
      <c r="Y97" s="5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</row>
    <row r="98" spans="1:76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1"/>
      <c r="O98" s="21"/>
      <c r="P98" s="21"/>
      <c r="Q98" s="2"/>
      <c r="R98" s="2"/>
      <c r="S98" s="2"/>
      <c r="T98" s="11"/>
      <c r="U98" s="2"/>
      <c r="V98" s="11"/>
      <c r="W98" s="5"/>
      <c r="X98" s="2"/>
      <c r="Y98" s="5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</row>
    <row r="99" spans="1:76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1"/>
      <c r="O99" s="21"/>
      <c r="P99" s="21"/>
      <c r="Q99" s="2"/>
      <c r="R99" s="2"/>
      <c r="S99" s="2"/>
      <c r="T99" s="11"/>
      <c r="U99" s="2"/>
      <c r="V99" s="11"/>
      <c r="W99" s="5"/>
      <c r="X99" s="2"/>
      <c r="Y99" s="5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</row>
    <row r="100" spans="1:76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1"/>
      <c r="O100" s="21"/>
      <c r="P100" s="21"/>
      <c r="Q100" s="2"/>
      <c r="R100" s="2"/>
      <c r="S100" s="2"/>
      <c r="T100" s="11"/>
      <c r="U100" s="2"/>
      <c r="V100" s="11"/>
      <c r="W100" s="5"/>
      <c r="X100" s="2"/>
      <c r="Y100" s="5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</row>
    <row r="101" spans="1:76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1"/>
      <c r="O101" s="21"/>
      <c r="P101" s="21"/>
      <c r="Q101" s="2"/>
      <c r="R101" s="2"/>
      <c r="S101" s="2"/>
      <c r="T101" s="11"/>
      <c r="U101" s="2"/>
      <c r="V101" s="11"/>
      <c r="W101" s="5"/>
      <c r="X101" s="2"/>
      <c r="Y101" s="5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</row>
    <row r="102" spans="1:76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1"/>
      <c r="O102" s="21"/>
      <c r="P102" s="21"/>
      <c r="Q102" s="2"/>
      <c r="R102" s="2"/>
      <c r="S102" s="2"/>
      <c r="T102" s="11"/>
      <c r="U102" s="2"/>
      <c r="V102" s="11"/>
      <c r="W102" s="5"/>
      <c r="X102" s="2"/>
      <c r="Y102" s="5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</row>
    <row r="103" spans="1:76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33"/>
      <c r="O103" s="21"/>
      <c r="P103" s="21"/>
      <c r="Q103" s="2"/>
      <c r="R103" s="2"/>
      <c r="S103" s="2"/>
      <c r="T103" s="11"/>
      <c r="U103" s="2"/>
      <c r="V103" s="11"/>
      <c r="W103" s="5"/>
      <c r="X103" s="2"/>
      <c r="Y103" s="5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</row>
    <row r="104" spans="1:76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1"/>
      <c r="O104" s="21"/>
      <c r="P104" s="21"/>
      <c r="Q104" s="2"/>
      <c r="R104" s="2"/>
      <c r="S104" s="2"/>
      <c r="T104" s="11"/>
      <c r="U104" s="2"/>
      <c r="V104" s="11"/>
      <c r="W104" s="5"/>
      <c r="X104" s="2"/>
      <c r="Y104" s="5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</row>
    <row r="105" spans="1:76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1"/>
      <c r="O105" s="21"/>
      <c r="P105" s="21"/>
      <c r="Q105" s="2"/>
      <c r="R105" s="2"/>
      <c r="S105" s="2"/>
      <c r="T105" s="11"/>
      <c r="U105" s="2"/>
      <c r="V105" s="11"/>
      <c r="W105" s="5"/>
      <c r="X105" s="2"/>
      <c r="Y105" s="5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</row>
    <row r="106" spans="1:76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1"/>
      <c r="O106" s="21"/>
      <c r="P106" s="21"/>
      <c r="Q106" s="2"/>
      <c r="R106" s="2"/>
      <c r="S106" s="2"/>
      <c r="T106" s="11"/>
      <c r="U106" s="2"/>
      <c r="V106" s="11"/>
      <c r="W106" s="5"/>
      <c r="X106" s="2"/>
      <c r="Y106" s="5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</row>
    <row r="107" spans="1:76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1"/>
      <c r="O107" s="21"/>
      <c r="P107" s="21"/>
      <c r="Q107" s="2"/>
      <c r="R107" s="2"/>
      <c r="S107" s="2"/>
      <c r="T107" s="11"/>
      <c r="U107" s="2"/>
      <c r="V107" s="11"/>
      <c r="W107" s="5"/>
      <c r="X107" s="2"/>
      <c r="Y107" s="5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</row>
    <row r="108" spans="1:76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1"/>
      <c r="O108" s="21"/>
      <c r="P108" s="21"/>
      <c r="Q108" s="2"/>
      <c r="R108" s="2"/>
      <c r="S108" s="2"/>
      <c r="T108" s="11"/>
      <c r="U108" s="2"/>
      <c r="V108" s="11"/>
      <c r="W108" s="5"/>
      <c r="X108" s="2"/>
      <c r="Y108" s="5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</row>
    <row r="109" spans="1:76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1"/>
      <c r="O109" s="21"/>
      <c r="P109" s="21"/>
      <c r="Q109" s="2"/>
      <c r="R109" s="2"/>
      <c r="S109" s="2"/>
      <c r="T109" s="11"/>
      <c r="U109" s="2"/>
      <c r="V109" s="11"/>
      <c r="W109" s="5"/>
      <c r="X109" s="2"/>
      <c r="Y109" s="5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</row>
    <row r="110" spans="1:76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1"/>
      <c r="O110" s="21"/>
      <c r="P110" s="21"/>
      <c r="Q110" s="2"/>
      <c r="R110" s="2"/>
      <c r="S110" s="2"/>
      <c r="T110" s="11"/>
      <c r="U110" s="2"/>
      <c r="V110" s="11"/>
      <c r="W110" s="5"/>
      <c r="X110" s="2"/>
      <c r="Y110" s="5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</row>
    <row r="111" spans="1:76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1"/>
      <c r="O111" s="21"/>
      <c r="P111" s="21"/>
      <c r="Q111" s="2"/>
      <c r="R111" s="2"/>
      <c r="S111" s="2"/>
      <c r="T111" s="11"/>
      <c r="U111" s="2"/>
      <c r="V111" s="11"/>
      <c r="W111" s="5"/>
      <c r="X111" s="2"/>
      <c r="Y111" s="5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</row>
    <row r="112" spans="1:76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1"/>
      <c r="O112" s="21"/>
      <c r="P112" s="21"/>
      <c r="Q112" s="2"/>
      <c r="R112" s="2"/>
      <c r="S112" s="2"/>
      <c r="T112" s="11"/>
      <c r="U112" s="2"/>
      <c r="V112" s="11"/>
      <c r="W112" s="5"/>
      <c r="X112" s="2"/>
      <c r="Y112" s="5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</row>
    <row r="113" spans="1:76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1"/>
      <c r="O113" s="21"/>
      <c r="P113" s="21"/>
      <c r="Q113" s="2"/>
      <c r="R113" s="2"/>
      <c r="S113" s="2"/>
      <c r="T113" s="11"/>
      <c r="U113" s="2"/>
      <c r="V113" s="11"/>
      <c r="W113" s="5"/>
      <c r="X113" s="2"/>
      <c r="Y113" s="5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</row>
    <row r="114" spans="1:76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1"/>
      <c r="O114" s="21"/>
      <c r="P114" s="21"/>
      <c r="Q114" s="2"/>
      <c r="R114" s="2"/>
      <c r="S114" s="2"/>
      <c r="T114" s="11"/>
      <c r="U114" s="2"/>
      <c r="V114" s="11"/>
      <c r="W114" s="5"/>
      <c r="X114" s="2"/>
      <c r="Y114" s="5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</row>
    <row r="115" spans="1:76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1"/>
      <c r="O115" s="21"/>
      <c r="P115" s="21"/>
      <c r="Q115" s="2"/>
      <c r="R115" s="2"/>
      <c r="S115" s="2"/>
      <c r="T115" s="11"/>
      <c r="U115" s="2"/>
      <c r="V115" s="11"/>
      <c r="W115" s="5"/>
      <c r="X115" s="2"/>
      <c r="Y115" s="5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</row>
    <row r="116" spans="1:76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1"/>
      <c r="O116" s="21"/>
      <c r="P116" s="21"/>
      <c r="Q116" s="2"/>
      <c r="R116" s="2"/>
      <c r="S116" s="2"/>
      <c r="T116" s="11"/>
      <c r="U116" s="2"/>
      <c r="V116" s="11"/>
      <c r="W116" s="5"/>
      <c r="X116" s="2"/>
      <c r="Y116" s="5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</row>
    <row r="117" spans="1:76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1"/>
      <c r="O117" s="21"/>
      <c r="P117" s="21"/>
      <c r="Q117" s="2"/>
      <c r="R117" s="2"/>
      <c r="S117" s="2"/>
      <c r="T117" s="11"/>
      <c r="U117" s="2"/>
      <c r="V117" s="11"/>
      <c r="W117" s="5"/>
      <c r="X117" s="2"/>
      <c r="Y117" s="5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</row>
    <row r="118" spans="1:76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1"/>
      <c r="O118" s="21"/>
      <c r="P118" s="21"/>
      <c r="Q118" s="2"/>
      <c r="R118" s="2"/>
      <c r="S118" s="2"/>
      <c r="T118" s="11"/>
      <c r="U118" s="2"/>
      <c r="V118" s="11"/>
      <c r="W118" s="5"/>
      <c r="X118" s="2"/>
      <c r="Y118" s="5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</row>
    <row r="119" spans="1:76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1"/>
      <c r="O119" s="21"/>
      <c r="P119" s="21"/>
      <c r="Q119" s="2"/>
      <c r="R119" s="2"/>
      <c r="S119" s="2"/>
      <c r="T119" s="11"/>
      <c r="U119" s="2"/>
      <c r="V119" s="11"/>
      <c r="W119" s="5"/>
      <c r="X119" s="2"/>
      <c r="Y119" s="5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</row>
    <row r="120" spans="1:76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1"/>
      <c r="O120" s="21"/>
      <c r="P120" s="21"/>
      <c r="Q120" s="2"/>
      <c r="R120" s="2"/>
      <c r="S120" s="2"/>
      <c r="T120" s="11"/>
      <c r="U120" s="2"/>
      <c r="V120" s="11"/>
      <c r="W120" s="5"/>
      <c r="X120" s="2"/>
      <c r="Y120" s="5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</row>
    <row r="121" spans="1:76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1"/>
      <c r="O121" s="21"/>
      <c r="P121" s="21"/>
      <c r="Q121" s="2"/>
      <c r="R121" s="2"/>
      <c r="S121" s="2"/>
      <c r="T121" s="11"/>
      <c r="U121" s="2"/>
      <c r="V121" s="11"/>
      <c r="W121" s="5"/>
      <c r="X121" s="2"/>
      <c r="Y121" s="5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</row>
    <row r="122" spans="1:76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1"/>
      <c r="O122" s="21"/>
      <c r="P122" s="21"/>
      <c r="Q122" s="2"/>
      <c r="R122" s="2"/>
      <c r="S122" s="2"/>
      <c r="T122" s="11"/>
      <c r="U122" s="2"/>
      <c r="V122" s="11"/>
      <c r="W122" s="5"/>
      <c r="X122" s="2"/>
      <c r="Y122" s="5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</row>
    <row r="123" spans="1:76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1"/>
      <c r="O123" s="21"/>
      <c r="P123" s="21"/>
      <c r="Q123" s="2"/>
      <c r="R123" s="2"/>
      <c r="S123" s="2"/>
      <c r="T123" s="11"/>
      <c r="U123" s="2"/>
      <c r="V123" s="11"/>
      <c r="W123" s="5"/>
      <c r="X123" s="2"/>
      <c r="Y123" s="5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</row>
    <row r="124" spans="1:76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1"/>
      <c r="O124" s="21"/>
      <c r="P124" s="21"/>
      <c r="Q124" s="2"/>
      <c r="R124" s="2"/>
      <c r="S124" s="2"/>
      <c r="T124" s="11"/>
      <c r="U124" s="2"/>
      <c r="V124" s="11"/>
      <c r="W124" s="5"/>
      <c r="X124" s="2"/>
      <c r="Y124" s="5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</row>
    <row r="125" spans="1:76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1"/>
      <c r="O125" s="21"/>
      <c r="P125" s="21"/>
      <c r="Q125" s="2"/>
      <c r="R125" s="2"/>
      <c r="S125" s="2"/>
      <c r="T125" s="11"/>
      <c r="U125" s="2"/>
      <c r="V125" s="11"/>
      <c r="W125" s="5"/>
      <c r="X125" s="2"/>
      <c r="Y125" s="5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</row>
    <row r="126" spans="1:76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1"/>
      <c r="O126" s="21"/>
      <c r="P126" s="21"/>
      <c r="Q126" s="2"/>
      <c r="R126" s="2"/>
      <c r="S126" s="2"/>
      <c r="T126" s="11"/>
      <c r="U126" s="2"/>
      <c r="V126" s="11"/>
      <c r="W126" s="5"/>
      <c r="X126" s="2"/>
      <c r="Y126" s="5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</row>
    <row r="127" spans="1:76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1"/>
      <c r="O127" s="21"/>
      <c r="P127" s="21"/>
      <c r="Q127" s="2"/>
      <c r="R127" s="2"/>
      <c r="S127" s="2"/>
      <c r="T127" s="11"/>
      <c r="U127" s="2"/>
      <c r="V127" s="11"/>
      <c r="W127" s="5"/>
      <c r="X127" s="2"/>
      <c r="Y127" s="5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</row>
    <row r="128" spans="1:76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21"/>
      <c r="O128" s="21"/>
      <c r="P128" s="21"/>
      <c r="Q128" s="2"/>
      <c r="R128" s="2"/>
      <c r="S128" s="2"/>
      <c r="T128" s="11"/>
      <c r="U128" s="2"/>
      <c r="V128" s="11"/>
      <c r="W128" s="5"/>
      <c r="X128" s="2"/>
      <c r="Y128" s="5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</row>
    <row r="129" spans="1:76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1"/>
      <c r="O129" s="21"/>
      <c r="P129" s="21"/>
      <c r="Q129" s="2"/>
      <c r="R129" s="2"/>
      <c r="S129" s="2"/>
      <c r="T129" s="11"/>
      <c r="U129" s="2"/>
      <c r="V129" s="11"/>
      <c r="W129" s="5"/>
      <c r="X129" s="2"/>
      <c r="Y129" s="5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</row>
    <row r="130" spans="1:76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1"/>
      <c r="O130" s="21"/>
      <c r="P130" s="21"/>
      <c r="Q130" s="2"/>
      <c r="R130" s="2"/>
      <c r="S130" s="2"/>
      <c r="T130" s="11"/>
      <c r="U130" s="2"/>
      <c r="V130" s="11"/>
      <c r="W130" s="5"/>
      <c r="X130" s="2"/>
      <c r="Y130" s="5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</row>
    <row r="131" spans="1:76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1"/>
      <c r="O131" s="21"/>
      <c r="P131" s="21"/>
      <c r="Q131" s="2"/>
      <c r="R131" s="2"/>
      <c r="S131" s="2"/>
      <c r="T131" s="11"/>
      <c r="U131" s="2"/>
      <c r="V131" s="11"/>
      <c r="W131" s="5"/>
      <c r="X131" s="2"/>
      <c r="Y131" s="5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</row>
    <row r="132" spans="1:76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1"/>
      <c r="O132" s="21"/>
      <c r="P132" s="21"/>
      <c r="Q132" s="2"/>
      <c r="R132" s="2"/>
      <c r="S132" s="2"/>
      <c r="T132" s="11"/>
      <c r="U132" s="2"/>
      <c r="V132" s="11"/>
      <c r="W132" s="5"/>
      <c r="X132" s="2"/>
      <c r="Y132" s="5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</row>
    <row r="133" spans="1:76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1"/>
      <c r="O133" s="21"/>
      <c r="P133" s="21"/>
      <c r="Q133" s="2"/>
      <c r="R133" s="2"/>
      <c r="S133" s="2"/>
      <c r="T133" s="11"/>
      <c r="U133" s="2"/>
      <c r="V133" s="11"/>
      <c r="W133" s="5"/>
      <c r="X133" s="2"/>
      <c r="Y133" s="5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</row>
    <row r="134" spans="1:76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1"/>
      <c r="O134" s="21"/>
      <c r="P134" s="21"/>
      <c r="Q134" s="2"/>
      <c r="R134" s="2"/>
      <c r="S134" s="2"/>
      <c r="T134" s="11"/>
      <c r="U134" s="2"/>
      <c r="V134" s="11"/>
      <c r="W134" s="5"/>
      <c r="X134" s="2"/>
      <c r="Y134" s="5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</row>
    <row r="135" spans="1:76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1"/>
      <c r="O135" s="21"/>
      <c r="P135" s="21"/>
      <c r="Q135" s="2"/>
      <c r="R135" s="2"/>
      <c r="S135" s="2"/>
      <c r="T135" s="11"/>
      <c r="U135" s="2"/>
      <c r="V135" s="11"/>
      <c r="W135" s="5"/>
      <c r="X135" s="2"/>
      <c r="Y135" s="5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</row>
    <row r="136" spans="1:76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1"/>
      <c r="O136" s="21"/>
      <c r="P136" s="21"/>
      <c r="Q136" s="2"/>
      <c r="R136" s="2"/>
      <c r="S136" s="2"/>
      <c r="T136" s="11"/>
      <c r="U136" s="2"/>
      <c r="V136" s="11"/>
      <c r="W136" s="5"/>
      <c r="X136" s="2"/>
      <c r="Y136" s="5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</row>
    <row r="137" spans="1:76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1"/>
      <c r="O137" s="21"/>
      <c r="P137" s="21"/>
      <c r="Q137" s="2"/>
      <c r="R137" s="2"/>
      <c r="S137" s="2"/>
      <c r="T137" s="11"/>
      <c r="U137" s="2"/>
      <c r="V137" s="11"/>
      <c r="W137" s="5"/>
      <c r="X137" s="2"/>
      <c r="Y137" s="5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</row>
    <row r="138" spans="1:76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21"/>
      <c r="O138" s="21"/>
      <c r="P138" s="21"/>
      <c r="Q138" s="2"/>
      <c r="R138" s="2"/>
      <c r="S138" s="2"/>
      <c r="T138" s="11"/>
      <c r="U138" s="2"/>
      <c r="V138" s="11"/>
      <c r="W138" s="5"/>
      <c r="X138" s="2"/>
      <c r="Y138" s="5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1:76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1"/>
      <c r="O139" s="21"/>
      <c r="P139" s="21"/>
      <c r="Q139" s="2"/>
      <c r="R139" s="2"/>
      <c r="S139" s="2"/>
      <c r="T139" s="11"/>
      <c r="U139" s="2"/>
      <c r="V139" s="11"/>
      <c r="W139" s="5"/>
      <c r="X139" s="2"/>
      <c r="Y139" s="5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1:76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1"/>
      <c r="O140" s="21"/>
      <c r="P140" s="21"/>
      <c r="Q140" s="2"/>
      <c r="R140" s="2"/>
      <c r="S140" s="2"/>
      <c r="T140" s="11"/>
      <c r="U140" s="2"/>
      <c r="V140" s="11"/>
      <c r="W140" s="5"/>
      <c r="X140" s="2"/>
      <c r="Y140" s="5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1:76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1"/>
      <c r="O141" s="21"/>
      <c r="P141" s="21"/>
      <c r="Q141" s="2"/>
      <c r="R141" s="2"/>
      <c r="S141" s="2"/>
      <c r="T141" s="11"/>
      <c r="U141" s="2"/>
      <c r="V141" s="11"/>
      <c r="W141" s="5"/>
      <c r="X141" s="2"/>
      <c r="Y141" s="5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</row>
    <row r="142" spans="1:76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1"/>
      <c r="O142" s="21"/>
      <c r="P142" s="21"/>
      <c r="Q142" s="2"/>
      <c r="R142" s="2"/>
      <c r="S142" s="2"/>
      <c r="T142" s="11"/>
      <c r="U142" s="2"/>
      <c r="V142" s="11"/>
      <c r="W142" s="5"/>
      <c r="X142" s="2"/>
      <c r="Y142" s="5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</row>
    <row r="143" spans="1:76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1"/>
      <c r="O143" s="21"/>
      <c r="P143" s="21"/>
      <c r="Q143" s="2"/>
      <c r="R143" s="2"/>
      <c r="S143" s="2"/>
      <c r="T143" s="11"/>
      <c r="U143" s="2"/>
      <c r="V143" s="11"/>
      <c r="W143" s="5"/>
      <c r="X143" s="2"/>
      <c r="Y143" s="5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</row>
    <row r="144" spans="1:76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3"/>
      <c r="O144" s="23"/>
      <c r="P144" s="23"/>
      <c r="Q144" s="8"/>
      <c r="R144" s="8"/>
      <c r="S144" s="8"/>
      <c r="T144" s="13"/>
      <c r="U144" s="8"/>
      <c r="V144" s="13"/>
      <c r="W144" s="19"/>
      <c r="X144" s="8"/>
      <c r="Y144" s="19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</row>
    <row r="145" spans="1:76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3"/>
      <c r="O145" s="23"/>
      <c r="P145" s="23"/>
      <c r="Q145" s="8"/>
      <c r="R145" s="8"/>
      <c r="S145" s="8"/>
      <c r="T145" s="13"/>
      <c r="U145" s="8"/>
      <c r="V145" s="13"/>
      <c r="W145" s="19"/>
      <c r="X145" s="8"/>
      <c r="Y145" s="19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</row>
    <row r="146" spans="1:76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3"/>
      <c r="O146" s="23"/>
      <c r="P146" s="23"/>
      <c r="Q146" s="8"/>
      <c r="R146" s="8"/>
      <c r="S146" s="8"/>
      <c r="T146" s="13"/>
      <c r="U146" s="8"/>
      <c r="V146" s="13"/>
      <c r="W146" s="19"/>
      <c r="X146" s="8"/>
      <c r="Y146" s="19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</row>
    <row r="147" spans="1:76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3"/>
      <c r="O147" s="23"/>
      <c r="P147" s="23"/>
      <c r="Q147" s="8"/>
      <c r="R147" s="8"/>
      <c r="S147" s="8"/>
      <c r="T147" s="13"/>
      <c r="U147" s="8"/>
      <c r="V147" s="13"/>
      <c r="W147" s="19"/>
      <c r="X147" s="8"/>
      <c r="Y147" s="19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</row>
    <row r="148" spans="1:76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3"/>
      <c r="O148" s="23"/>
      <c r="P148" s="23"/>
      <c r="Q148" s="8"/>
      <c r="R148" s="8"/>
      <c r="S148" s="8"/>
      <c r="T148" s="13"/>
      <c r="U148" s="8"/>
      <c r="V148" s="13"/>
      <c r="W148" s="19"/>
      <c r="X148" s="8"/>
      <c r="Y148" s="19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</row>
    <row r="149" spans="1:76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3"/>
      <c r="O149" s="23"/>
      <c r="P149" s="23"/>
      <c r="Q149" s="8"/>
      <c r="R149" s="8"/>
      <c r="S149" s="8"/>
      <c r="T149" s="13"/>
      <c r="U149" s="8"/>
      <c r="V149" s="13"/>
      <c r="W149" s="19"/>
      <c r="X149" s="8"/>
      <c r="Y149" s="19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</row>
    <row r="150" spans="1:76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3"/>
      <c r="O150" s="23"/>
      <c r="P150" s="23"/>
      <c r="Q150" s="8"/>
      <c r="R150" s="8"/>
      <c r="S150" s="8"/>
      <c r="T150" s="13"/>
      <c r="U150" s="8"/>
      <c r="V150" s="13"/>
      <c r="W150" s="19"/>
      <c r="X150" s="8"/>
      <c r="Y150" s="19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</row>
    <row r="151" spans="1:76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3"/>
      <c r="O151" s="23"/>
      <c r="P151" s="23"/>
      <c r="Q151" s="8"/>
      <c r="R151" s="8"/>
      <c r="S151" s="8"/>
      <c r="T151" s="13"/>
      <c r="U151" s="8"/>
      <c r="V151" s="13"/>
      <c r="W151" s="19"/>
      <c r="X151" s="8"/>
      <c r="Y151" s="19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</row>
    <row r="152" spans="1:76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3"/>
      <c r="O152" s="23"/>
      <c r="P152" s="23"/>
      <c r="Q152" s="8"/>
      <c r="R152" s="8"/>
      <c r="S152" s="8"/>
      <c r="T152" s="13"/>
      <c r="U152" s="8"/>
      <c r="V152" s="13"/>
      <c r="W152" s="19"/>
      <c r="X152" s="8"/>
      <c r="Y152" s="19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</row>
    <row r="153" spans="1:76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3"/>
      <c r="O153" s="23"/>
      <c r="P153" s="23"/>
      <c r="Q153" s="8"/>
      <c r="R153" s="8"/>
      <c r="S153" s="8"/>
      <c r="T153" s="13"/>
      <c r="U153" s="8"/>
      <c r="V153" s="13"/>
      <c r="W153" s="19"/>
      <c r="X153" s="8"/>
      <c r="Y153" s="19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</row>
    <row r="154" spans="1:76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3"/>
      <c r="O154" s="23"/>
      <c r="P154" s="23"/>
      <c r="Q154" s="8"/>
      <c r="R154" s="8"/>
      <c r="S154" s="8"/>
      <c r="T154" s="13"/>
      <c r="U154" s="8"/>
      <c r="V154" s="13"/>
      <c r="W154" s="19"/>
      <c r="X154" s="8"/>
      <c r="Y154" s="19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</row>
    <row r="155" spans="1:76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3"/>
      <c r="O155" s="23"/>
      <c r="P155" s="23"/>
      <c r="Q155" s="8"/>
      <c r="R155" s="8"/>
      <c r="S155" s="8"/>
      <c r="T155" s="13"/>
      <c r="U155" s="8"/>
      <c r="V155" s="13"/>
      <c r="W155" s="19"/>
      <c r="X155" s="8"/>
      <c r="Y155" s="19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</row>
    <row r="156" spans="1:76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3"/>
      <c r="O156" s="23"/>
      <c r="P156" s="23"/>
      <c r="Q156" s="8"/>
      <c r="R156" s="8"/>
      <c r="S156" s="8"/>
      <c r="T156" s="13"/>
      <c r="U156" s="8"/>
      <c r="V156" s="13"/>
      <c r="W156" s="19"/>
      <c r="X156" s="8"/>
      <c r="Y156" s="19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</row>
    <row r="157" spans="1:76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3"/>
      <c r="O157" s="23"/>
      <c r="P157" s="23"/>
      <c r="Q157" s="8"/>
      <c r="R157" s="8"/>
      <c r="S157" s="8"/>
      <c r="T157" s="13"/>
      <c r="U157" s="8"/>
      <c r="V157" s="13"/>
      <c r="W157" s="19"/>
      <c r="X157" s="8"/>
      <c r="Y157" s="19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</row>
    <row r="158" spans="1:76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3"/>
      <c r="O158" s="23"/>
      <c r="P158" s="23"/>
      <c r="Q158" s="8"/>
      <c r="R158" s="8"/>
      <c r="S158" s="8"/>
      <c r="T158" s="13"/>
      <c r="U158" s="8"/>
      <c r="V158" s="13"/>
      <c r="W158" s="19"/>
      <c r="X158" s="8"/>
      <c r="Y158" s="19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</row>
    <row r="159" spans="1:76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3"/>
      <c r="O159" s="23"/>
      <c r="P159" s="23"/>
      <c r="Q159" s="8"/>
      <c r="R159" s="8"/>
      <c r="S159" s="8"/>
      <c r="T159" s="13"/>
      <c r="U159" s="8"/>
      <c r="V159" s="13"/>
      <c r="W159" s="19"/>
      <c r="X159" s="8"/>
      <c r="Y159" s="19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</row>
    <row r="160" spans="1:76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3"/>
      <c r="O160" s="23"/>
      <c r="P160" s="23"/>
      <c r="Q160" s="8"/>
      <c r="R160" s="8"/>
      <c r="S160" s="8"/>
      <c r="T160" s="13"/>
      <c r="U160" s="8"/>
      <c r="V160" s="13"/>
      <c r="W160" s="19"/>
      <c r="X160" s="8"/>
      <c r="Y160" s="19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</row>
    <row r="161" spans="1:76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3"/>
      <c r="O161" s="23"/>
      <c r="P161" s="23"/>
      <c r="Q161" s="8"/>
      <c r="R161" s="8"/>
      <c r="S161" s="8"/>
      <c r="T161" s="13"/>
      <c r="U161" s="8"/>
      <c r="V161" s="13"/>
      <c r="W161" s="19"/>
      <c r="X161" s="8"/>
      <c r="Y161" s="19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</row>
    <row r="162" spans="1:76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3"/>
      <c r="O162" s="23"/>
      <c r="P162" s="23"/>
      <c r="Q162" s="8"/>
      <c r="R162" s="8"/>
      <c r="S162" s="8"/>
      <c r="T162" s="13"/>
      <c r="U162" s="8"/>
      <c r="V162" s="13"/>
      <c r="W162" s="19"/>
      <c r="X162" s="8"/>
      <c r="Y162" s="19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</row>
    <row r="163" spans="1:76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3"/>
      <c r="O163" s="23"/>
      <c r="P163" s="23"/>
      <c r="Q163" s="8"/>
      <c r="R163" s="8"/>
      <c r="S163" s="8"/>
      <c r="T163" s="13"/>
      <c r="U163" s="8"/>
      <c r="V163" s="13"/>
      <c r="W163" s="19"/>
      <c r="X163" s="8"/>
      <c r="Y163" s="19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</row>
    <row r="164" spans="1:76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23"/>
      <c r="O164" s="23"/>
      <c r="P164" s="23"/>
      <c r="Q164" s="8"/>
      <c r="R164" s="8"/>
      <c r="S164" s="8"/>
      <c r="T164" s="13"/>
      <c r="U164" s="8"/>
      <c r="V164" s="13"/>
      <c r="W164" s="19"/>
      <c r="X164" s="8"/>
      <c r="Y164" s="19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</row>
    <row r="165" spans="1:76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23"/>
      <c r="O165" s="23"/>
      <c r="P165" s="23"/>
      <c r="Q165" s="8"/>
      <c r="R165" s="8"/>
      <c r="S165" s="8"/>
      <c r="T165" s="13"/>
      <c r="U165" s="8"/>
      <c r="V165" s="13"/>
      <c r="W165" s="19"/>
      <c r="X165" s="8"/>
      <c r="Y165" s="19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</row>
    <row r="166" spans="1:76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23"/>
      <c r="O166" s="23"/>
      <c r="P166" s="23"/>
      <c r="Q166" s="8"/>
      <c r="R166" s="8"/>
      <c r="S166" s="8"/>
      <c r="T166" s="13"/>
      <c r="U166" s="8"/>
      <c r="V166" s="13"/>
      <c r="W166" s="19"/>
      <c r="X166" s="8"/>
      <c r="Y166" s="19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</row>
    <row r="167" spans="1:76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23"/>
      <c r="O167" s="23"/>
      <c r="P167" s="23"/>
      <c r="Q167" s="8"/>
      <c r="R167" s="8"/>
      <c r="S167" s="8"/>
      <c r="T167" s="13"/>
      <c r="U167" s="8"/>
      <c r="V167" s="13"/>
      <c r="W167" s="19"/>
      <c r="X167" s="8"/>
      <c r="Y167" s="19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</row>
    <row r="168" spans="1:76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23"/>
      <c r="O168" s="23"/>
      <c r="P168" s="23"/>
      <c r="Q168" s="8"/>
      <c r="R168" s="8"/>
      <c r="S168" s="8"/>
      <c r="T168" s="13"/>
      <c r="U168" s="8"/>
      <c r="V168" s="13"/>
      <c r="W168" s="19"/>
      <c r="X168" s="8"/>
      <c r="Y168" s="19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</row>
    <row r="169" spans="1:76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23"/>
      <c r="O169" s="23"/>
      <c r="P169" s="23"/>
      <c r="Q169" s="8"/>
      <c r="R169" s="8"/>
      <c r="S169" s="8"/>
      <c r="T169" s="13"/>
      <c r="U169" s="8"/>
      <c r="V169" s="13"/>
      <c r="W169" s="19"/>
      <c r="X169" s="8"/>
      <c r="Y169" s="19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</row>
    <row r="170" spans="1:76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23"/>
      <c r="O170" s="23"/>
      <c r="P170" s="23"/>
      <c r="Q170" s="8"/>
      <c r="R170" s="8"/>
      <c r="S170" s="8"/>
      <c r="T170" s="13"/>
      <c r="U170" s="8"/>
      <c r="V170" s="13"/>
      <c r="W170" s="19"/>
      <c r="X170" s="8"/>
      <c r="Y170" s="19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</row>
    <row r="171" spans="1:76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23"/>
      <c r="O171" s="23"/>
      <c r="P171" s="23"/>
      <c r="Q171" s="8"/>
      <c r="R171" s="8"/>
      <c r="S171" s="8"/>
      <c r="T171" s="13"/>
      <c r="U171" s="8"/>
      <c r="V171" s="13"/>
      <c r="W171" s="19"/>
      <c r="X171" s="8"/>
      <c r="Y171" s="19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</row>
    <row r="172" spans="1:76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23"/>
      <c r="O172" s="23"/>
      <c r="P172" s="23"/>
      <c r="Q172" s="8"/>
      <c r="R172" s="8"/>
      <c r="S172" s="8"/>
      <c r="T172" s="13"/>
      <c r="U172" s="8"/>
      <c r="V172" s="13"/>
      <c r="W172" s="19"/>
      <c r="X172" s="8"/>
      <c r="Y172" s="19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</row>
    <row r="173" spans="1:76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23"/>
      <c r="O173" s="23"/>
      <c r="P173" s="23"/>
      <c r="Q173" s="8"/>
      <c r="R173" s="8"/>
      <c r="S173" s="8"/>
      <c r="T173" s="13"/>
      <c r="U173" s="8"/>
      <c r="V173" s="13"/>
      <c r="W173" s="19"/>
      <c r="X173" s="8"/>
      <c r="Y173" s="19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</row>
    <row r="174" spans="1:76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23"/>
      <c r="O174" s="23"/>
      <c r="P174" s="23"/>
      <c r="Q174" s="8"/>
      <c r="R174" s="8"/>
      <c r="S174" s="8"/>
      <c r="T174" s="13"/>
      <c r="U174" s="8"/>
      <c r="V174" s="13"/>
      <c r="W174" s="19"/>
      <c r="X174" s="8"/>
      <c r="Y174" s="19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</row>
    <row r="175" spans="1:76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23"/>
      <c r="O175" s="23"/>
      <c r="P175" s="23"/>
      <c r="Q175" s="8"/>
      <c r="R175" s="8"/>
      <c r="S175" s="8"/>
      <c r="T175" s="13"/>
      <c r="U175" s="8"/>
      <c r="V175" s="13"/>
      <c r="W175" s="19"/>
      <c r="X175" s="8"/>
      <c r="Y175" s="19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</row>
    <row r="176" spans="1:76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23"/>
      <c r="O176" s="23"/>
      <c r="P176" s="23"/>
      <c r="Q176" s="8"/>
      <c r="R176" s="8"/>
      <c r="S176" s="8"/>
      <c r="T176" s="13"/>
      <c r="U176" s="8"/>
      <c r="V176" s="13"/>
      <c r="W176" s="19"/>
      <c r="X176" s="8"/>
      <c r="Y176" s="19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</row>
    <row r="177" spans="1:76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23"/>
      <c r="O177" s="23"/>
      <c r="P177" s="23"/>
      <c r="Q177" s="8"/>
      <c r="R177" s="8"/>
      <c r="S177" s="8"/>
      <c r="T177" s="13"/>
      <c r="U177" s="8"/>
      <c r="V177" s="13"/>
      <c r="W177" s="19"/>
      <c r="X177" s="8"/>
      <c r="Y177" s="19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</row>
    <row r="178" spans="1:76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23"/>
      <c r="O178" s="23"/>
      <c r="P178" s="23"/>
      <c r="Q178" s="8"/>
      <c r="R178" s="8"/>
      <c r="S178" s="8"/>
      <c r="T178" s="13"/>
      <c r="U178" s="8"/>
      <c r="V178" s="13"/>
      <c r="W178" s="19"/>
      <c r="X178" s="8"/>
      <c r="Y178" s="19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</row>
    <row r="179" spans="1:76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23"/>
      <c r="O179" s="23"/>
      <c r="P179" s="23"/>
      <c r="Q179" s="8"/>
      <c r="R179" s="8"/>
      <c r="S179" s="8"/>
      <c r="T179" s="13"/>
      <c r="U179" s="8"/>
      <c r="V179" s="13"/>
      <c r="W179" s="19"/>
      <c r="X179" s="8"/>
      <c r="Y179" s="19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</row>
    <row r="180" spans="1:76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23"/>
      <c r="O180" s="23"/>
      <c r="P180" s="23"/>
      <c r="Q180" s="8"/>
      <c r="R180" s="8"/>
      <c r="S180" s="8"/>
      <c r="T180" s="13"/>
      <c r="U180" s="8"/>
      <c r="V180" s="13"/>
      <c r="W180" s="19"/>
      <c r="X180" s="8"/>
      <c r="Y180" s="19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</row>
    <row r="181" spans="1:76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23"/>
      <c r="O181" s="23"/>
      <c r="P181" s="23"/>
      <c r="Q181" s="8"/>
      <c r="R181" s="8"/>
      <c r="S181" s="8"/>
      <c r="T181" s="13"/>
      <c r="U181" s="8"/>
      <c r="V181" s="13"/>
      <c r="W181" s="19"/>
      <c r="X181" s="8"/>
      <c r="Y181" s="19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</row>
    <row r="182" spans="1:76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23"/>
      <c r="O182" s="23"/>
      <c r="P182" s="23"/>
      <c r="Q182" s="8"/>
      <c r="R182" s="8"/>
      <c r="S182" s="8"/>
      <c r="T182" s="13"/>
      <c r="U182" s="8"/>
      <c r="V182" s="13"/>
      <c r="W182" s="19"/>
      <c r="X182" s="8"/>
      <c r="Y182" s="19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</row>
    <row r="183" spans="1:76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23"/>
      <c r="O183" s="23"/>
      <c r="P183" s="23"/>
      <c r="Q183" s="8"/>
      <c r="R183" s="8"/>
      <c r="S183" s="8"/>
      <c r="T183" s="13"/>
      <c r="U183" s="8"/>
      <c r="V183" s="13"/>
      <c r="W183" s="19"/>
      <c r="X183" s="8"/>
      <c r="Y183" s="19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</row>
    <row r="184" spans="1:76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23"/>
      <c r="O184" s="23"/>
      <c r="P184" s="23"/>
      <c r="Q184" s="8"/>
      <c r="R184" s="8"/>
      <c r="S184" s="8"/>
      <c r="T184" s="13"/>
      <c r="U184" s="8"/>
      <c r="V184" s="13"/>
      <c r="W184" s="19"/>
      <c r="X184" s="8"/>
      <c r="Y184" s="19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</row>
    <row r="185" spans="1:76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23"/>
      <c r="O185" s="23"/>
      <c r="P185" s="23"/>
      <c r="Q185" s="8"/>
      <c r="R185" s="8"/>
      <c r="S185" s="8"/>
      <c r="T185" s="13"/>
      <c r="U185" s="8"/>
      <c r="V185" s="13"/>
      <c r="W185" s="19"/>
      <c r="X185" s="8"/>
      <c r="Y185" s="19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</row>
    <row r="186" spans="1:76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23"/>
      <c r="O186" s="23"/>
      <c r="P186" s="23"/>
      <c r="Q186" s="8"/>
      <c r="R186" s="8"/>
      <c r="S186" s="8"/>
      <c r="T186" s="13"/>
      <c r="U186" s="8"/>
      <c r="V186" s="13"/>
      <c r="W186" s="19"/>
      <c r="X186" s="8"/>
      <c r="Y186" s="19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</row>
    <row r="187" spans="1:76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23"/>
      <c r="O187" s="23"/>
      <c r="P187" s="23"/>
      <c r="Q187" s="8"/>
      <c r="R187" s="8"/>
      <c r="S187" s="8"/>
      <c r="T187" s="13"/>
      <c r="U187" s="8"/>
      <c r="V187" s="13"/>
      <c r="W187" s="19"/>
      <c r="X187" s="8"/>
      <c r="Y187" s="19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</row>
    <row r="188" spans="1:76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23"/>
      <c r="O188" s="23"/>
      <c r="P188" s="23"/>
      <c r="Q188" s="8"/>
      <c r="R188" s="8"/>
      <c r="S188" s="8"/>
      <c r="T188" s="13"/>
      <c r="U188" s="8"/>
      <c r="V188" s="13"/>
      <c r="W188" s="19"/>
      <c r="X188" s="8"/>
      <c r="Y188" s="19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500C_5mm_coated+swapped+dewar_1</vt:lpstr>
      <vt:lpstr>550C_5mm_coated+swapped+dewar_1</vt:lpstr>
      <vt:lpstr>600C_5mm_coated+swapped+dewar_1</vt:lpstr>
      <vt:lpstr>600C_5mm_coated+swapped+dewar_2</vt:lpstr>
      <vt:lpstr>700C_5 mm_coated+swapped+dewar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2026-03-24T17:20:58Z</dcterms:modified>
</cp:coreProperties>
</file>