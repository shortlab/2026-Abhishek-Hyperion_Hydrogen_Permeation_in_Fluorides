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6. H2 Permeation flux_FLiBe_Salt side charging_No shaking_Done\Transparent\"/>
    </mc:Choice>
  </mc:AlternateContent>
  <xr:revisionPtr revIDLastSave="0" documentId="13_ncr:1_{B3054F25-0A5A-4A0F-9C9C-D92BBADA62EC}" xr6:coauthVersionLast="47" xr6:coauthVersionMax="47" xr10:uidLastSave="{00000000-0000-0000-0000-000000000000}"/>
  <bookViews>
    <workbookView xWindow="-108" yWindow="-108" windowWidth="23256" windowHeight="12456" tabRatio="774" firstSheet="2" activeTab="4" xr2:uid="{00000000-000D-0000-FFFF-FFFF00000000}"/>
  </bookViews>
  <sheets>
    <sheet name="500C_5mm_coated+swapped+dewar_1" sheetId="24" r:id="rId1"/>
    <sheet name="550C_5mm_coated+swapped+dewar_1" sheetId="23" r:id="rId2"/>
    <sheet name="600C_5mm_coated+swapped+dewar_1" sheetId="29" r:id="rId3"/>
    <sheet name="600C_5mm_coated+swapped+dewar_2" sheetId="25" r:id="rId4"/>
    <sheet name="700C_5mm_coated+swapped+dewar_1" sheetId="2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5" i="29" l="1"/>
  <c r="Z145" i="29"/>
  <c r="U63" i="29"/>
  <c r="W63" i="29"/>
  <c r="U64" i="29"/>
  <c r="V64" i="29" s="1"/>
  <c r="W64" i="29"/>
  <c r="U65" i="29"/>
  <c r="V65" i="29"/>
  <c r="W65" i="29"/>
  <c r="U66" i="29"/>
  <c r="V66" i="29"/>
  <c r="W66" i="29"/>
  <c r="U67" i="29"/>
  <c r="W67" i="29"/>
  <c r="U68" i="29"/>
  <c r="W68" i="29"/>
  <c r="U69" i="29"/>
  <c r="W69" i="29"/>
  <c r="U70" i="29"/>
  <c r="W70" i="29"/>
  <c r="U71" i="29"/>
  <c r="V71" i="29"/>
  <c r="W71" i="29"/>
  <c r="U72" i="29"/>
  <c r="W72" i="29"/>
  <c r="U73" i="29"/>
  <c r="W73" i="29"/>
  <c r="U74" i="29"/>
  <c r="W74" i="29"/>
  <c r="U75" i="29"/>
  <c r="W75" i="29"/>
  <c r="U76" i="29"/>
  <c r="V76" i="29"/>
  <c r="W76" i="29"/>
  <c r="U77" i="29"/>
  <c r="W77" i="29"/>
  <c r="U78" i="29"/>
  <c r="W78" i="29"/>
  <c r="U79" i="29"/>
  <c r="V79" i="29"/>
  <c r="W79" i="29"/>
  <c r="U80" i="29"/>
  <c r="W80" i="29"/>
  <c r="U81" i="29"/>
  <c r="W81" i="29"/>
  <c r="U82" i="29"/>
  <c r="W82" i="29"/>
  <c r="U83" i="29"/>
  <c r="W83" i="29"/>
  <c r="U84" i="29"/>
  <c r="W84" i="29"/>
  <c r="U85" i="29"/>
  <c r="V85" i="29"/>
  <c r="W85" i="29"/>
  <c r="U86" i="29"/>
  <c r="W86" i="29"/>
  <c r="U87" i="29"/>
  <c r="W87" i="29"/>
  <c r="U88" i="29"/>
  <c r="V88" i="29"/>
  <c r="W88" i="29"/>
  <c r="U89" i="29"/>
  <c r="W89" i="29"/>
  <c r="U90" i="29"/>
  <c r="W90" i="29"/>
  <c r="U91" i="29"/>
  <c r="W91" i="29"/>
  <c r="U92" i="29"/>
  <c r="W92" i="29"/>
  <c r="U93" i="29"/>
  <c r="W93" i="29"/>
  <c r="U94" i="29"/>
  <c r="V94" i="29"/>
  <c r="W94" i="29"/>
  <c r="U95" i="29"/>
  <c r="W95" i="29"/>
  <c r="U96" i="29"/>
  <c r="W96" i="29"/>
  <c r="U97" i="29"/>
  <c r="W97" i="29"/>
  <c r="U98" i="29"/>
  <c r="W98" i="29"/>
  <c r="U99" i="29"/>
  <c r="W99" i="29"/>
  <c r="U100" i="29"/>
  <c r="W100" i="29"/>
  <c r="U101" i="29"/>
  <c r="V101" i="29"/>
  <c r="W101" i="29"/>
  <c r="U102" i="29"/>
  <c r="W102" i="29"/>
  <c r="U103" i="29"/>
  <c r="W103" i="29"/>
  <c r="U104" i="29"/>
  <c r="W104" i="29"/>
  <c r="U105" i="29"/>
  <c r="W105" i="29"/>
  <c r="U106" i="29"/>
  <c r="W106" i="29"/>
  <c r="U107" i="29"/>
  <c r="W107" i="29"/>
  <c r="U108" i="29"/>
  <c r="W108" i="29"/>
  <c r="U109" i="29"/>
  <c r="W109" i="29"/>
  <c r="U110" i="29"/>
  <c r="W110" i="29"/>
  <c r="U111" i="29"/>
  <c r="V111" i="29"/>
  <c r="W111" i="29"/>
  <c r="U112" i="29"/>
  <c r="W112" i="29"/>
  <c r="U113" i="29"/>
  <c r="W113" i="29"/>
  <c r="U114" i="29"/>
  <c r="W114" i="29"/>
  <c r="U115" i="29"/>
  <c r="W115" i="29"/>
  <c r="U116" i="29"/>
  <c r="W116" i="29"/>
  <c r="U117" i="29"/>
  <c r="V117" i="29" s="1"/>
  <c r="W117" i="29"/>
  <c r="U118" i="29"/>
  <c r="W118" i="29"/>
  <c r="U119" i="29"/>
  <c r="W119" i="29"/>
  <c r="U120" i="29"/>
  <c r="W120" i="29"/>
  <c r="U121" i="29"/>
  <c r="W121" i="29"/>
  <c r="U122" i="29"/>
  <c r="W122" i="29"/>
  <c r="U123" i="29"/>
  <c r="W123" i="29"/>
  <c r="U124" i="29"/>
  <c r="W124" i="29"/>
  <c r="U125" i="29"/>
  <c r="W125" i="29"/>
  <c r="U126" i="29"/>
  <c r="W126" i="29"/>
  <c r="U127" i="29"/>
  <c r="W127" i="29"/>
  <c r="U128" i="29"/>
  <c r="W128" i="29"/>
  <c r="U129" i="29"/>
  <c r="W129" i="29"/>
  <c r="U130" i="29"/>
  <c r="W130" i="29"/>
  <c r="U131" i="29"/>
  <c r="W131" i="29"/>
  <c r="U132" i="29"/>
  <c r="V132" i="29" s="1"/>
  <c r="W132" i="29"/>
  <c r="U133" i="29"/>
  <c r="V133" i="29"/>
  <c r="W133" i="29"/>
  <c r="U134" i="29"/>
  <c r="W134" i="29"/>
  <c r="U135" i="29"/>
  <c r="W135" i="29"/>
  <c r="U136" i="29"/>
  <c r="W136" i="29"/>
  <c r="U137" i="29"/>
  <c r="W137" i="29"/>
  <c r="U138" i="29"/>
  <c r="V138" i="29" s="1"/>
  <c r="W138" i="29"/>
  <c r="U139" i="29"/>
  <c r="W139" i="29"/>
  <c r="U140" i="29"/>
  <c r="W140" i="29"/>
  <c r="U141" i="29"/>
  <c r="V141" i="29" s="1"/>
  <c r="W141" i="29"/>
  <c r="U142" i="29"/>
  <c r="W142" i="29"/>
  <c r="L63" i="29"/>
  <c r="V63" i="29" s="1"/>
  <c r="M63" i="29"/>
  <c r="O63" i="29"/>
  <c r="R63" i="29"/>
  <c r="L64" i="29"/>
  <c r="M64" i="29"/>
  <c r="O64" i="29"/>
  <c r="R64" i="29"/>
  <c r="L65" i="29"/>
  <c r="M65" i="29"/>
  <c r="O65" i="29"/>
  <c r="R65" i="29"/>
  <c r="L66" i="29"/>
  <c r="M66" i="29"/>
  <c r="O66" i="29"/>
  <c r="R66" i="29"/>
  <c r="L67" i="29"/>
  <c r="M67" i="29"/>
  <c r="O67" i="29"/>
  <c r="R67" i="29"/>
  <c r="L68" i="29"/>
  <c r="M68" i="29"/>
  <c r="O68" i="29"/>
  <c r="R68" i="29"/>
  <c r="L69" i="29"/>
  <c r="M69" i="29"/>
  <c r="O69" i="29"/>
  <c r="R69" i="29"/>
  <c r="L70" i="29"/>
  <c r="M70" i="29"/>
  <c r="O70" i="29"/>
  <c r="R70" i="29"/>
  <c r="L71" i="29"/>
  <c r="M71" i="29"/>
  <c r="O71" i="29"/>
  <c r="R71" i="29"/>
  <c r="L72" i="29"/>
  <c r="M72" i="29"/>
  <c r="O72" i="29"/>
  <c r="R72" i="29"/>
  <c r="L73" i="29"/>
  <c r="M73" i="29"/>
  <c r="O73" i="29"/>
  <c r="R73" i="29"/>
  <c r="L74" i="29"/>
  <c r="M74" i="29"/>
  <c r="O74" i="29"/>
  <c r="R74" i="29"/>
  <c r="L75" i="29"/>
  <c r="M75" i="29"/>
  <c r="O75" i="29"/>
  <c r="R75" i="29"/>
  <c r="L76" i="29"/>
  <c r="M76" i="29"/>
  <c r="O76" i="29"/>
  <c r="R76" i="29"/>
  <c r="L77" i="29"/>
  <c r="M77" i="29"/>
  <c r="O77" i="29"/>
  <c r="R77" i="29"/>
  <c r="L78" i="29"/>
  <c r="M78" i="29"/>
  <c r="O78" i="29"/>
  <c r="R78" i="29"/>
  <c r="L79" i="29"/>
  <c r="M79" i="29"/>
  <c r="O79" i="29"/>
  <c r="R79" i="29"/>
  <c r="L80" i="29"/>
  <c r="M80" i="29"/>
  <c r="O80" i="29"/>
  <c r="R80" i="29"/>
  <c r="L81" i="29"/>
  <c r="M81" i="29"/>
  <c r="O81" i="29"/>
  <c r="R81" i="29"/>
  <c r="L82" i="29"/>
  <c r="V82" i="29" s="1"/>
  <c r="M82" i="29"/>
  <c r="O82" i="29"/>
  <c r="R82" i="29"/>
  <c r="L83" i="29"/>
  <c r="M83" i="29"/>
  <c r="O83" i="29"/>
  <c r="R83" i="29"/>
  <c r="L84" i="29"/>
  <c r="M84" i="29"/>
  <c r="O84" i="29"/>
  <c r="R84" i="29"/>
  <c r="L85" i="29"/>
  <c r="M85" i="29"/>
  <c r="O85" i="29"/>
  <c r="R85" i="29"/>
  <c r="L86" i="29"/>
  <c r="M86" i="29"/>
  <c r="O86" i="29"/>
  <c r="R86" i="29"/>
  <c r="L87" i="29"/>
  <c r="M87" i="29"/>
  <c r="O87" i="29"/>
  <c r="R87" i="29"/>
  <c r="L88" i="29"/>
  <c r="M88" i="29"/>
  <c r="O88" i="29"/>
  <c r="R88" i="29"/>
  <c r="L89" i="29"/>
  <c r="M89" i="29"/>
  <c r="O89" i="29"/>
  <c r="R89" i="29"/>
  <c r="L90" i="29"/>
  <c r="M90" i="29"/>
  <c r="O90" i="29"/>
  <c r="R90" i="29"/>
  <c r="L91" i="29"/>
  <c r="M91" i="29"/>
  <c r="O91" i="29"/>
  <c r="R91" i="29"/>
  <c r="L92" i="29"/>
  <c r="M92" i="29"/>
  <c r="O92" i="29"/>
  <c r="R92" i="29"/>
  <c r="L93" i="29"/>
  <c r="M93" i="29"/>
  <c r="O93" i="29"/>
  <c r="R93" i="29"/>
  <c r="L94" i="29"/>
  <c r="M94" i="29"/>
  <c r="O94" i="29"/>
  <c r="R94" i="29"/>
  <c r="L95" i="29"/>
  <c r="M95" i="29"/>
  <c r="O95" i="29"/>
  <c r="R95" i="29"/>
  <c r="L96" i="29"/>
  <c r="M96" i="29"/>
  <c r="O96" i="29"/>
  <c r="R96" i="29"/>
  <c r="L97" i="29"/>
  <c r="M97" i="29"/>
  <c r="O97" i="29"/>
  <c r="R97" i="29"/>
  <c r="L98" i="29"/>
  <c r="M98" i="29"/>
  <c r="O98" i="29"/>
  <c r="R98" i="29"/>
  <c r="L99" i="29"/>
  <c r="M99" i="29"/>
  <c r="O99" i="29"/>
  <c r="R99" i="29"/>
  <c r="L100" i="29"/>
  <c r="M100" i="29"/>
  <c r="O100" i="29"/>
  <c r="R100" i="29"/>
  <c r="L101" i="29"/>
  <c r="M101" i="29"/>
  <c r="O101" i="29"/>
  <c r="R101" i="29"/>
  <c r="L102" i="29"/>
  <c r="V102" i="29" s="1"/>
  <c r="M102" i="29"/>
  <c r="O102" i="29"/>
  <c r="R102" i="29"/>
  <c r="L103" i="29"/>
  <c r="M103" i="29"/>
  <c r="O103" i="29"/>
  <c r="R103" i="29"/>
  <c r="L104" i="29"/>
  <c r="M104" i="29"/>
  <c r="O104" i="29"/>
  <c r="R104" i="29"/>
  <c r="L105" i="29"/>
  <c r="M105" i="29"/>
  <c r="O105" i="29"/>
  <c r="R105" i="29"/>
  <c r="L106" i="29"/>
  <c r="M106" i="29"/>
  <c r="O106" i="29"/>
  <c r="R106" i="29"/>
  <c r="L107" i="29"/>
  <c r="M107" i="29"/>
  <c r="O107" i="29"/>
  <c r="R107" i="29"/>
  <c r="L108" i="29"/>
  <c r="M108" i="29"/>
  <c r="O108" i="29"/>
  <c r="R108" i="29"/>
  <c r="L109" i="29"/>
  <c r="V109" i="29" s="1"/>
  <c r="M109" i="29"/>
  <c r="O109" i="29"/>
  <c r="R109" i="29"/>
  <c r="L110" i="29"/>
  <c r="M110" i="29"/>
  <c r="O110" i="29"/>
  <c r="R110" i="29"/>
  <c r="L111" i="29"/>
  <c r="M111" i="29"/>
  <c r="O111" i="29"/>
  <c r="R111" i="29"/>
  <c r="L112" i="29"/>
  <c r="M112" i="29"/>
  <c r="O112" i="29"/>
  <c r="R112" i="29"/>
  <c r="L113" i="29"/>
  <c r="M113" i="29"/>
  <c r="O113" i="29"/>
  <c r="R113" i="29"/>
  <c r="L114" i="29"/>
  <c r="M114" i="29"/>
  <c r="O114" i="29"/>
  <c r="R114" i="29"/>
  <c r="L115" i="29"/>
  <c r="M115" i="29"/>
  <c r="O115" i="29"/>
  <c r="R115" i="29"/>
  <c r="L116" i="29"/>
  <c r="M116" i="29"/>
  <c r="O116" i="29"/>
  <c r="R116" i="29"/>
  <c r="L117" i="29"/>
  <c r="M117" i="29"/>
  <c r="O117" i="29"/>
  <c r="R117" i="29"/>
  <c r="L118" i="29"/>
  <c r="M118" i="29"/>
  <c r="O118" i="29"/>
  <c r="R118" i="29"/>
  <c r="L119" i="29"/>
  <c r="M119" i="29"/>
  <c r="O119" i="29"/>
  <c r="R119" i="29"/>
  <c r="L120" i="29"/>
  <c r="V120" i="29" s="1"/>
  <c r="M120" i="29"/>
  <c r="O120" i="29"/>
  <c r="R120" i="29"/>
  <c r="L121" i="29"/>
  <c r="M121" i="29"/>
  <c r="O121" i="29"/>
  <c r="R121" i="29"/>
  <c r="L122" i="29"/>
  <c r="M122" i="29"/>
  <c r="O122" i="29"/>
  <c r="R122" i="29"/>
  <c r="L123" i="29"/>
  <c r="M123" i="29"/>
  <c r="O123" i="29"/>
  <c r="R123" i="29"/>
  <c r="L124" i="29"/>
  <c r="V124" i="29" s="1"/>
  <c r="M124" i="29"/>
  <c r="O124" i="29"/>
  <c r="R124" i="29"/>
  <c r="L125" i="29"/>
  <c r="M125" i="29"/>
  <c r="O125" i="29"/>
  <c r="R125" i="29"/>
  <c r="L126" i="29"/>
  <c r="M126" i="29"/>
  <c r="O126" i="29"/>
  <c r="R126" i="29"/>
  <c r="L127" i="29"/>
  <c r="M127" i="29"/>
  <c r="O127" i="29"/>
  <c r="R127" i="29"/>
  <c r="L128" i="29"/>
  <c r="M128" i="29"/>
  <c r="O128" i="29"/>
  <c r="R128" i="29"/>
  <c r="L129" i="29"/>
  <c r="M129" i="29"/>
  <c r="O129" i="29"/>
  <c r="R129" i="29"/>
  <c r="L130" i="29"/>
  <c r="M130" i="29"/>
  <c r="O130" i="29"/>
  <c r="R130" i="29"/>
  <c r="L131" i="29"/>
  <c r="M131" i="29"/>
  <c r="O131" i="29"/>
  <c r="R131" i="29"/>
  <c r="L132" i="29"/>
  <c r="M132" i="29"/>
  <c r="O132" i="29"/>
  <c r="R132" i="29"/>
  <c r="L133" i="29"/>
  <c r="M133" i="29"/>
  <c r="O133" i="29"/>
  <c r="R133" i="29"/>
  <c r="L134" i="29"/>
  <c r="N134" i="29" s="1"/>
  <c r="M134" i="29"/>
  <c r="O134" i="29"/>
  <c r="R134" i="29"/>
  <c r="L135" i="29"/>
  <c r="M135" i="29"/>
  <c r="O135" i="29"/>
  <c r="R135" i="29"/>
  <c r="L136" i="29"/>
  <c r="M136" i="29"/>
  <c r="O136" i="29"/>
  <c r="R136" i="29"/>
  <c r="L137" i="29"/>
  <c r="M137" i="29"/>
  <c r="O137" i="29"/>
  <c r="R137" i="29"/>
  <c r="L138" i="29"/>
  <c r="M138" i="29"/>
  <c r="O138" i="29"/>
  <c r="R138" i="29"/>
  <c r="L139" i="29"/>
  <c r="V139" i="29" s="1"/>
  <c r="M139" i="29"/>
  <c r="O139" i="29"/>
  <c r="R139" i="29"/>
  <c r="L140" i="29"/>
  <c r="M140" i="29"/>
  <c r="O140" i="29"/>
  <c r="R140" i="29"/>
  <c r="L141" i="29"/>
  <c r="M141" i="29"/>
  <c r="O141" i="29"/>
  <c r="R141" i="29"/>
  <c r="L142" i="29"/>
  <c r="M142" i="29"/>
  <c r="O142" i="29"/>
  <c r="R142" i="29"/>
  <c r="B63" i="29"/>
  <c r="D63" i="29"/>
  <c r="E63" i="29" s="1"/>
  <c r="G63" i="29"/>
  <c r="I63" i="29"/>
  <c r="B64" i="29"/>
  <c r="D64" i="29"/>
  <c r="E64" i="29"/>
  <c r="G64" i="29"/>
  <c r="I64" i="29"/>
  <c r="J64" i="29" s="1"/>
  <c r="N64" i="29" s="1"/>
  <c r="B65" i="29"/>
  <c r="D65" i="29"/>
  <c r="E65" i="29" s="1"/>
  <c r="G65" i="29"/>
  <c r="I65" i="29"/>
  <c r="B66" i="29"/>
  <c r="D66" i="29"/>
  <c r="E66" i="29"/>
  <c r="G66" i="29"/>
  <c r="I66" i="29"/>
  <c r="J66" i="29"/>
  <c r="B67" i="29"/>
  <c r="D67" i="29"/>
  <c r="E67" i="29" s="1"/>
  <c r="G67" i="29"/>
  <c r="I67" i="29"/>
  <c r="B68" i="29"/>
  <c r="D68" i="29"/>
  <c r="E68" i="29"/>
  <c r="G68" i="29"/>
  <c r="I68" i="29"/>
  <c r="J68" i="29"/>
  <c r="N68" i="29" s="1"/>
  <c r="B69" i="29"/>
  <c r="D69" i="29"/>
  <c r="E69" i="29"/>
  <c r="G69" i="29"/>
  <c r="I69" i="29"/>
  <c r="B70" i="29"/>
  <c r="D70" i="29"/>
  <c r="E70" i="29" s="1"/>
  <c r="J70" i="29" s="1"/>
  <c r="G70" i="29"/>
  <c r="I70" i="29"/>
  <c r="B71" i="29"/>
  <c r="D71" i="29"/>
  <c r="E71" i="29" s="1"/>
  <c r="G71" i="29"/>
  <c r="I71" i="29"/>
  <c r="B72" i="29"/>
  <c r="D72" i="29"/>
  <c r="E72" i="29" s="1"/>
  <c r="J72" i="29" s="1"/>
  <c r="N72" i="29" s="1"/>
  <c r="G72" i="29"/>
  <c r="I72" i="29"/>
  <c r="B73" i="29"/>
  <c r="D73" i="29"/>
  <c r="E73" i="29"/>
  <c r="G73" i="29"/>
  <c r="I73" i="29"/>
  <c r="B74" i="29"/>
  <c r="D74" i="29"/>
  <c r="E74" i="29"/>
  <c r="G74" i="29"/>
  <c r="I74" i="29"/>
  <c r="J74" i="29" s="1"/>
  <c r="N74" i="29" s="1"/>
  <c r="B75" i="29"/>
  <c r="D75" i="29"/>
  <c r="E75" i="29"/>
  <c r="G75" i="29"/>
  <c r="I75" i="29"/>
  <c r="B76" i="29"/>
  <c r="D76" i="29"/>
  <c r="E76" i="29"/>
  <c r="J76" i="29" s="1"/>
  <c r="N76" i="29" s="1"/>
  <c r="G76" i="29"/>
  <c r="I76" i="29"/>
  <c r="B77" i="29"/>
  <c r="D77" i="29"/>
  <c r="E77" i="29" s="1"/>
  <c r="G77" i="29"/>
  <c r="I77" i="29"/>
  <c r="B78" i="29"/>
  <c r="D78" i="29"/>
  <c r="E78" i="29" s="1"/>
  <c r="G78" i="29"/>
  <c r="I78" i="29"/>
  <c r="B79" i="29"/>
  <c r="D79" i="29"/>
  <c r="E79" i="29" s="1"/>
  <c r="G79" i="29"/>
  <c r="I79" i="29"/>
  <c r="B80" i="29"/>
  <c r="D80" i="29"/>
  <c r="E80" i="29"/>
  <c r="G80" i="29"/>
  <c r="I80" i="29"/>
  <c r="B81" i="29"/>
  <c r="D81" i="29"/>
  <c r="E81" i="29" s="1"/>
  <c r="G81" i="29"/>
  <c r="I81" i="29"/>
  <c r="B82" i="29"/>
  <c r="D82" i="29"/>
  <c r="E82" i="29" s="1"/>
  <c r="G82" i="29"/>
  <c r="I82" i="29"/>
  <c r="B83" i="29"/>
  <c r="D83" i="29"/>
  <c r="E83" i="29"/>
  <c r="G83" i="29"/>
  <c r="I83" i="29"/>
  <c r="B84" i="29"/>
  <c r="D84" i="29"/>
  <c r="E84" i="29" s="1"/>
  <c r="G84" i="29"/>
  <c r="I84" i="29"/>
  <c r="B85" i="29"/>
  <c r="D85" i="29"/>
  <c r="E85" i="29"/>
  <c r="G85" i="29"/>
  <c r="I85" i="29"/>
  <c r="B86" i="29"/>
  <c r="D86" i="29"/>
  <c r="E86" i="29" s="1"/>
  <c r="G86" i="29"/>
  <c r="I86" i="29"/>
  <c r="B87" i="29"/>
  <c r="D87" i="29"/>
  <c r="E87" i="29" s="1"/>
  <c r="G87" i="29"/>
  <c r="I87" i="29"/>
  <c r="B88" i="29"/>
  <c r="D88" i="29"/>
  <c r="E88" i="29"/>
  <c r="G88" i="29"/>
  <c r="I88" i="29"/>
  <c r="B89" i="29"/>
  <c r="D89" i="29"/>
  <c r="E89" i="29"/>
  <c r="G89" i="29"/>
  <c r="I89" i="29"/>
  <c r="B90" i="29"/>
  <c r="D90" i="29"/>
  <c r="E90" i="29"/>
  <c r="G90" i="29"/>
  <c r="I90" i="29"/>
  <c r="J90" i="29" s="1"/>
  <c r="B91" i="29"/>
  <c r="D91" i="29"/>
  <c r="E91" i="29" s="1"/>
  <c r="G91" i="29"/>
  <c r="I91" i="29"/>
  <c r="B92" i="29"/>
  <c r="D92" i="29"/>
  <c r="E92" i="29" s="1"/>
  <c r="J92" i="29" s="1"/>
  <c r="N92" i="29" s="1"/>
  <c r="G92" i="29"/>
  <c r="I92" i="29"/>
  <c r="B93" i="29"/>
  <c r="D93" i="29"/>
  <c r="E93" i="29"/>
  <c r="G93" i="29"/>
  <c r="I93" i="29"/>
  <c r="B94" i="29"/>
  <c r="D94" i="29"/>
  <c r="E94" i="29"/>
  <c r="G94" i="29"/>
  <c r="I94" i="29"/>
  <c r="J94" i="29" s="1"/>
  <c r="B95" i="29"/>
  <c r="D95" i="29"/>
  <c r="E95" i="29" s="1"/>
  <c r="G95" i="29"/>
  <c r="I95" i="29"/>
  <c r="B96" i="29"/>
  <c r="D96" i="29"/>
  <c r="E96" i="29"/>
  <c r="G96" i="29"/>
  <c r="I96" i="29"/>
  <c r="J96" i="29" s="1"/>
  <c r="N96" i="29" s="1"/>
  <c r="B97" i="29"/>
  <c r="D97" i="29"/>
  <c r="E97" i="29"/>
  <c r="G97" i="29"/>
  <c r="I97" i="29"/>
  <c r="B98" i="29"/>
  <c r="D98" i="29"/>
  <c r="E98" i="29"/>
  <c r="G98" i="29"/>
  <c r="I98" i="29"/>
  <c r="J98" i="29"/>
  <c r="B99" i="29"/>
  <c r="D99" i="29"/>
  <c r="E99" i="29" s="1"/>
  <c r="G99" i="29"/>
  <c r="I99" i="29"/>
  <c r="B100" i="29"/>
  <c r="D100" i="29"/>
  <c r="E100" i="29"/>
  <c r="G100" i="29"/>
  <c r="I100" i="29"/>
  <c r="J100" i="29"/>
  <c r="N100" i="29" s="1"/>
  <c r="B101" i="29"/>
  <c r="D101" i="29"/>
  <c r="E101" i="29" s="1"/>
  <c r="G101" i="29"/>
  <c r="I101" i="29"/>
  <c r="B102" i="29"/>
  <c r="D102" i="29"/>
  <c r="E102" i="29" s="1"/>
  <c r="G102" i="29"/>
  <c r="I102" i="29"/>
  <c r="B103" i="29"/>
  <c r="D103" i="29"/>
  <c r="E103" i="29"/>
  <c r="G103" i="29"/>
  <c r="I103" i="29"/>
  <c r="B104" i="29"/>
  <c r="D104" i="29"/>
  <c r="E104" i="29"/>
  <c r="G104" i="29"/>
  <c r="I104" i="29"/>
  <c r="B105" i="29"/>
  <c r="D105" i="29"/>
  <c r="E105" i="29"/>
  <c r="G105" i="29"/>
  <c r="I105" i="29"/>
  <c r="B106" i="29"/>
  <c r="D106" i="29"/>
  <c r="E106" i="29" s="1"/>
  <c r="G106" i="29"/>
  <c r="I106" i="29"/>
  <c r="B107" i="29"/>
  <c r="D107" i="29"/>
  <c r="E107" i="29"/>
  <c r="G107" i="29"/>
  <c r="I107" i="29"/>
  <c r="B108" i="29"/>
  <c r="D108" i="29"/>
  <c r="E108" i="29"/>
  <c r="G108" i="29"/>
  <c r="I108" i="29"/>
  <c r="B109" i="29"/>
  <c r="D109" i="29"/>
  <c r="E109" i="29"/>
  <c r="G109" i="29"/>
  <c r="I109" i="29"/>
  <c r="B110" i="29"/>
  <c r="D110" i="29"/>
  <c r="E110" i="29"/>
  <c r="G110" i="29"/>
  <c r="I110" i="29"/>
  <c r="J110" i="29"/>
  <c r="N110" i="29" s="1"/>
  <c r="B111" i="29"/>
  <c r="D111" i="29"/>
  <c r="E111" i="29" s="1"/>
  <c r="G111" i="29"/>
  <c r="I111" i="29"/>
  <c r="B112" i="29"/>
  <c r="D112" i="29"/>
  <c r="E112" i="29" s="1"/>
  <c r="G112" i="29"/>
  <c r="I112" i="29"/>
  <c r="B113" i="29"/>
  <c r="D113" i="29"/>
  <c r="E113" i="29"/>
  <c r="G113" i="29"/>
  <c r="I113" i="29"/>
  <c r="B114" i="29"/>
  <c r="D114" i="29"/>
  <c r="E114" i="29" s="1"/>
  <c r="G114" i="29"/>
  <c r="I114" i="29"/>
  <c r="B115" i="29"/>
  <c r="D115" i="29"/>
  <c r="E115" i="29" s="1"/>
  <c r="G115" i="29"/>
  <c r="I115" i="29"/>
  <c r="B116" i="29"/>
  <c r="D116" i="29"/>
  <c r="E116" i="29" s="1"/>
  <c r="J116" i="29" s="1"/>
  <c r="N116" i="29" s="1"/>
  <c r="G116" i="29"/>
  <c r="I116" i="29"/>
  <c r="B117" i="29"/>
  <c r="D117" i="29"/>
  <c r="E117" i="29"/>
  <c r="G117" i="29"/>
  <c r="I117" i="29"/>
  <c r="B118" i="29"/>
  <c r="D118" i="29"/>
  <c r="E118" i="29"/>
  <c r="G118" i="29"/>
  <c r="I118" i="29"/>
  <c r="B119" i="29"/>
  <c r="D119" i="29"/>
  <c r="E119" i="29" s="1"/>
  <c r="G119" i="29"/>
  <c r="J119" i="29" s="1"/>
  <c r="I119" i="29"/>
  <c r="B120" i="29"/>
  <c r="D120" i="29"/>
  <c r="E120" i="29"/>
  <c r="G120" i="29"/>
  <c r="I120" i="29"/>
  <c r="J120" i="29"/>
  <c r="N120" i="29" s="1"/>
  <c r="B121" i="29"/>
  <c r="D121" i="29"/>
  <c r="E121" i="29" s="1"/>
  <c r="G121" i="29"/>
  <c r="I121" i="29"/>
  <c r="B122" i="29"/>
  <c r="D122" i="29"/>
  <c r="E122" i="29"/>
  <c r="G122" i="29"/>
  <c r="I122" i="29"/>
  <c r="J122" i="29"/>
  <c r="B123" i="29"/>
  <c r="D123" i="29"/>
  <c r="E123" i="29" s="1"/>
  <c r="G123" i="29"/>
  <c r="I123" i="29"/>
  <c r="B124" i="29"/>
  <c r="D124" i="29"/>
  <c r="E124" i="29" s="1"/>
  <c r="J124" i="29" s="1"/>
  <c r="G124" i="29"/>
  <c r="I124" i="29"/>
  <c r="B125" i="29"/>
  <c r="D125" i="29"/>
  <c r="E125" i="29"/>
  <c r="G125" i="29"/>
  <c r="I125" i="29"/>
  <c r="B126" i="29"/>
  <c r="D126" i="29"/>
  <c r="E126" i="29" s="1"/>
  <c r="G126" i="29"/>
  <c r="I126" i="29"/>
  <c r="B127" i="29"/>
  <c r="D127" i="29"/>
  <c r="E127" i="29"/>
  <c r="G127" i="29"/>
  <c r="I127" i="29"/>
  <c r="B128" i="29"/>
  <c r="D128" i="29"/>
  <c r="E128" i="29" s="1"/>
  <c r="J128" i="29" s="1"/>
  <c r="N128" i="29" s="1"/>
  <c r="G128" i="29"/>
  <c r="I128" i="29"/>
  <c r="B129" i="29"/>
  <c r="D129" i="29"/>
  <c r="E129" i="29"/>
  <c r="G129" i="29"/>
  <c r="I129" i="29"/>
  <c r="B130" i="29"/>
  <c r="D130" i="29"/>
  <c r="E130" i="29" s="1"/>
  <c r="G130" i="29"/>
  <c r="I130" i="29"/>
  <c r="B131" i="29"/>
  <c r="D131" i="29"/>
  <c r="E131" i="29" s="1"/>
  <c r="G131" i="29"/>
  <c r="I131" i="29"/>
  <c r="B132" i="29"/>
  <c r="D132" i="29"/>
  <c r="E132" i="29"/>
  <c r="G132" i="29"/>
  <c r="I132" i="29"/>
  <c r="J132" i="29" s="1"/>
  <c r="B133" i="29"/>
  <c r="D133" i="29"/>
  <c r="E133" i="29" s="1"/>
  <c r="G133" i="29"/>
  <c r="I133" i="29"/>
  <c r="B134" i="29"/>
  <c r="D134" i="29"/>
  <c r="E134" i="29"/>
  <c r="G134" i="29"/>
  <c r="I134" i="29"/>
  <c r="J134" i="29"/>
  <c r="B135" i="29"/>
  <c r="D135" i="29"/>
  <c r="E135" i="29"/>
  <c r="G135" i="29"/>
  <c r="I135" i="29"/>
  <c r="B136" i="29"/>
  <c r="D136" i="29"/>
  <c r="E136" i="29" s="1"/>
  <c r="G136" i="29"/>
  <c r="I136" i="29"/>
  <c r="B137" i="29"/>
  <c r="D137" i="29"/>
  <c r="E137" i="29"/>
  <c r="G137" i="29"/>
  <c r="I137" i="29"/>
  <c r="B138" i="29"/>
  <c r="D138" i="29"/>
  <c r="E138" i="29" s="1"/>
  <c r="J138" i="29" s="1"/>
  <c r="N138" i="29" s="1"/>
  <c r="G138" i="29"/>
  <c r="I138" i="29"/>
  <c r="B139" i="29"/>
  <c r="D139" i="29"/>
  <c r="E139" i="29" s="1"/>
  <c r="G139" i="29"/>
  <c r="I139" i="29"/>
  <c r="B140" i="29"/>
  <c r="D140" i="29"/>
  <c r="E140" i="29" s="1"/>
  <c r="J140" i="29" s="1"/>
  <c r="N140" i="29" s="1"/>
  <c r="G140" i="29"/>
  <c r="I140" i="29"/>
  <c r="B141" i="29"/>
  <c r="D141" i="29"/>
  <c r="E141" i="29"/>
  <c r="G141" i="29"/>
  <c r="I141" i="29"/>
  <c r="B142" i="29"/>
  <c r="D142" i="29"/>
  <c r="E142" i="29"/>
  <c r="G142" i="29"/>
  <c r="I142" i="29"/>
  <c r="W62" i="29"/>
  <c r="U62" i="29"/>
  <c r="R62" i="29"/>
  <c r="O62" i="29"/>
  <c r="M62" i="29"/>
  <c r="L62" i="29"/>
  <c r="I62" i="29"/>
  <c r="G62" i="29"/>
  <c r="D62" i="29"/>
  <c r="E62" i="29" s="1"/>
  <c r="B62" i="29"/>
  <c r="W61" i="29"/>
  <c r="U61" i="29"/>
  <c r="R61" i="29"/>
  <c r="O61" i="29"/>
  <c r="M61" i="29"/>
  <c r="L61" i="29"/>
  <c r="I61" i="29"/>
  <c r="G61" i="29"/>
  <c r="D61" i="29"/>
  <c r="E61" i="29" s="1"/>
  <c r="B61" i="29"/>
  <c r="W60" i="29"/>
  <c r="U60" i="29"/>
  <c r="R60" i="29"/>
  <c r="O60" i="29"/>
  <c r="M60" i="29"/>
  <c r="L60" i="29"/>
  <c r="I60" i="29"/>
  <c r="G60" i="29"/>
  <c r="D60" i="29"/>
  <c r="E60" i="29" s="1"/>
  <c r="B60" i="29"/>
  <c r="W59" i="29"/>
  <c r="U59" i="29"/>
  <c r="R59" i="29"/>
  <c r="O59" i="29"/>
  <c r="M59" i="29"/>
  <c r="L59" i="29"/>
  <c r="I59" i="29"/>
  <c r="G59" i="29"/>
  <c r="D59" i="29"/>
  <c r="E59" i="29" s="1"/>
  <c r="B59" i="29"/>
  <c r="W58" i="29"/>
  <c r="U58" i="29"/>
  <c r="R58" i="29"/>
  <c r="O58" i="29"/>
  <c r="M58" i="29"/>
  <c r="L58" i="29"/>
  <c r="I58" i="29"/>
  <c r="G58" i="29"/>
  <c r="D58" i="29"/>
  <c r="E58" i="29" s="1"/>
  <c r="B58" i="29"/>
  <c r="W57" i="29"/>
  <c r="U57" i="29"/>
  <c r="R57" i="29"/>
  <c r="O57" i="29"/>
  <c r="M57" i="29"/>
  <c r="L57" i="29"/>
  <c r="I57" i="29"/>
  <c r="G57" i="29"/>
  <c r="D57" i="29"/>
  <c r="E57" i="29" s="1"/>
  <c r="B57" i="29"/>
  <c r="W56" i="29"/>
  <c r="U56" i="29"/>
  <c r="R56" i="29"/>
  <c r="O56" i="29"/>
  <c r="M56" i="29"/>
  <c r="L56" i="29"/>
  <c r="I56" i="29"/>
  <c r="G56" i="29"/>
  <c r="D56" i="29"/>
  <c r="E56" i="29" s="1"/>
  <c r="B56" i="29"/>
  <c r="W55" i="29"/>
  <c r="U55" i="29"/>
  <c r="R55" i="29"/>
  <c r="O55" i="29"/>
  <c r="M55" i="29"/>
  <c r="L55" i="29"/>
  <c r="I55" i="29"/>
  <c r="G55" i="29"/>
  <c r="D55" i="29"/>
  <c r="E55" i="29" s="1"/>
  <c r="B55" i="29"/>
  <c r="W54" i="29"/>
  <c r="U54" i="29"/>
  <c r="R54" i="29"/>
  <c r="O54" i="29"/>
  <c r="M54" i="29"/>
  <c r="L54" i="29"/>
  <c r="I54" i="29"/>
  <c r="G54" i="29"/>
  <c r="D54" i="29"/>
  <c r="E54" i="29" s="1"/>
  <c r="B54" i="29"/>
  <c r="W53" i="29"/>
  <c r="U53" i="29"/>
  <c r="R53" i="29"/>
  <c r="O53" i="29"/>
  <c r="M53" i="29"/>
  <c r="L53" i="29"/>
  <c r="I53" i="29"/>
  <c r="G53" i="29"/>
  <c r="D53" i="29"/>
  <c r="E53" i="29" s="1"/>
  <c r="B53" i="29"/>
  <c r="W52" i="29"/>
  <c r="U52" i="29"/>
  <c r="R52" i="29"/>
  <c r="O52" i="29"/>
  <c r="M52" i="29"/>
  <c r="L52" i="29"/>
  <c r="I52" i="29"/>
  <c r="G52" i="29"/>
  <c r="D52" i="29"/>
  <c r="E52" i="29" s="1"/>
  <c r="B52" i="29"/>
  <c r="W51" i="29"/>
  <c r="U51" i="29"/>
  <c r="R51" i="29"/>
  <c r="O51" i="29"/>
  <c r="M51" i="29"/>
  <c r="L51" i="29"/>
  <c r="I51" i="29"/>
  <c r="G51" i="29"/>
  <c r="D51" i="29"/>
  <c r="E51" i="29" s="1"/>
  <c r="B51" i="29"/>
  <c r="W50" i="29"/>
  <c r="U50" i="29"/>
  <c r="R50" i="29"/>
  <c r="O50" i="29"/>
  <c r="M50" i="29"/>
  <c r="L50" i="29"/>
  <c r="I50" i="29"/>
  <c r="G50" i="29"/>
  <c r="D50" i="29"/>
  <c r="E50" i="29" s="1"/>
  <c r="B50" i="29"/>
  <c r="W49" i="29"/>
  <c r="U49" i="29"/>
  <c r="R49" i="29"/>
  <c r="O49" i="29"/>
  <c r="M49" i="29"/>
  <c r="L49" i="29"/>
  <c r="I49" i="29"/>
  <c r="G49" i="29"/>
  <c r="D49" i="29"/>
  <c r="E49" i="29" s="1"/>
  <c r="B49" i="29"/>
  <c r="W48" i="29"/>
  <c r="U48" i="29"/>
  <c r="R48" i="29"/>
  <c r="O48" i="29"/>
  <c r="M48" i="29"/>
  <c r="L48" i="29"/>
  <c r="I48" i="29"/>
  <c r="G48" i="29"/>
  <c r="D48" i="29"/>
  <c r="E48" i="29" s="1"/>
  <c r="B48" i="29"/>
  <c r="W47" i="29"/>
  <c r="U47" i="29"/>
  <c r="R47" i="29"/>
  <c r="O47" i="29"/>
  <c r="M47" i="29"/>
  <c r="L47" i="29"/>
  <c r="I47" i="29"/>
  <c r="G47" i="29"/>
  <c r="D47" i="29"/>
  <c r="E47" i="29" s="1"/>
  <c r="B47" i="29"/>
  <c r="W46" i="29"/>
  <c r="U46" i="29"/>
  <c r="R46" i="29"/>
  <c r="O46" i="29"/>
  <c r="M46" i="29"/>
  <c r="L46" i="29"/>
  <c r="I46" i="29"/>
  <c r="G46" i="29"/>
  <c r="D46" i="29"/>
  <c r="E46" i="29" s="1"/>
  <c r="B46" i="29"/>
  <c r="W45" i="29"/>
  <c r="U45" i="29"/>
  <c r="R45" i="29"/>
  <c r="O45" i="29"/>
  <c r="M45" i="29"/>
  <c r="L45" i="29"/>
  <c r="V45" i="29" s="1"/>
  <c r="I45" i="29"/>
  <c r="G45" i="29"/>
  <c r="D45" i="29"/>
  <c r="E45" i="29" s="1"/>
  <c r="B45" i="29"/>
  <c r="W44" i="29"/>
  <c r="U44" i="29"/>
  <c r="R44" i="29"/>
  <c r="O44" i="29"/>
  <c r="M44" i="29"/>
  <c r="L44" i="29"/>
  <c r="I44" i="29"/>
  <c r="G44" i="29"/>
  <c r="D44" i="29"/>
  <c r="E44" i="29" s="1"/>
  <c r="B44" i="29"/>
  <c r="W43" i="29"/>
  <c r="U43" i="29"/>
  <c r="R43" i="29"/>
  <c r="O43" i="29"/>
  <c r="M43" i="29"/>
  <c r="L43" i="29"/>
  <c r="I43" i="29"/>
  <c r="G43" i="29"/>
  <c r="D43" i="29"/>
  <c r="E43" i="29" s="1"/>
  <c r="B43" i="29"/>
  <c r="W42" i="29"/>
  <c r="U42" i="29"/>
  <c r="R42" i="29"/>
  <c r="O42" i="29"/>
  <c r="M42" i="29"/>
  <c r="L42" i="29"/>
  <c r="I42" i="29"/>
  <c r="G42" i="29"/>
  <c r="D42" i="29"/>
  <c r="E42" i="29" s="1"/>
  <c r="B42" i="29"/>
  <c r="W41" i="29"/>
  <c r="U41" i="29"/>
  <c r="R41" i="29"/>
  <c r="O41" i="29"/>
  <c r="M41" i="29"/>
  <c r="L41" i="29"/>
  <c r="I41" i="29"/>
  <c r="G41" i="29"/>
  <c r="D41" i="29"/>
  <c r="E41" i="29" s="1"/>
  <c r="B41" i="29"/>
  <c r="W40" i="29"/>
  <c r="U40" i="29"/>
  <c r="R40" i="29"/>
  <c r="O40" i="29"/>
  <c r="M40" i="29"/>
  <c r="L40" i="29"/>
  <c r="I40" i="29"/>
  <c r="G40" i="29"/>
  <c r="D40" i="29"/>
  <c r="E40" i="29" s="1"/>
  <c r="B40" i="29"/>
  <c r="W39" i="29"/>
  <c r="U39" i="29"/>
  <c r="R39" i="29"/>
  <c r="O39" i="29"/>
  <c r="M39" i="29"/>
  <c r="L39" i="29"/>
  <c r="I39" i="29"/>
  <c r="G39" i="29"/>
  <c r="D39" i="29"/>
  <c r="E39" i="29" s="1"/>
  <c r="B39" i="29"/>
  <c r="W38" i="29"/>
  <c r="U38" i="29"/>
  <c r="R38" i="29"/>
  <c r="O38" i="29"/>
  <c r="M38" i="29"/>
  <c r="L38" i="29"/>
  <c r="I38" i="29"/>
  <c r="G38" i="29"/>
  <c r="D38" i="29"/>
  <c r="E38" i="29" s="1"/>
  <c r="B38" i="29"/>
  <c r="W37" i="29"/>
  <c r="U37" i="29"/>
  <c r="R37" i="29"/>
  <c r="O37" i="29"/>
  <c r="M37" i="29"/>
  <c r="L37" i="29"/>
  <c r="I37" i="29"/>
  <c r="G37" i="29"/>
  <c r="D37" i="29"/>
  <c r="E37" i="29" s="1"/>
  <c r="B37" i="29"/>
  <c r="W36" i="29"/>
  <c r="U36" i="29"/>
  <c r="R36" i="29"/>
  <c r="O36" i="29"/>
  <c r="M36" i="29"/>
  <c r="L36" i="29"/>
  <c r="V36" i="29" s="1"/>
  <c r="I36" i="29"/>
  <c r="G36" i="29"/>
  <c r="D36" i="29"/>
  <c r="E36" i="29" s="1"/>
  <c r="B36" i="29"/>
  <c r="W35" i="29"/>
  <c r="U35" i="29"/>
  <c r="R35" i="29"/>
  <c r="O35" i="29"/>
  <c r="M35" i="29"/>
  <c r="L35" i="29"/>
  <c r="I35" i="29"/>
  <c r="G35" i="29"/>
  <c r="D35" i="29"/>
  <c r="E35" i="29" s="1"/>
  <c r="B35" i="29"/>
  <c r="W34" i="29"/>
  <c r="U34" i="29"/>
  <c r="R34" i="29"/>
  <c r="O34" i="29"/>
  <c r="M34" i="29"/>
  <c r="L34" i="29"/>
  <c r="I34" i="29"/>
  <c r="G34" i="29"/>
  <c r="D34" i="29"/>
  <c r="E34" i="29" s="1"/>
  <c r="B34" i="29"/>
  <c r="W33" i="29"/>
  <c r="U33" i="29"/>
  <c r="R33" i="29"/>
  <c r="O33" i="29"/>
  <c r="M33" i="29"/>
  <c r="L33" i="29"/>
  <c r="I33" i="29"/>
  <c r="G33" i="29"/>
  <c r="E33" i="29"/>
  <c r="D33" i="29"/>
  <c r="B33" i="29"/>
  <c r="W32" i="29"/>
  <c r="U32" i="29"/>
  <c r="R32" i="29"/>
  <c r="O32" i="29"/>
  <c r="M32" i="29"/>
  <c r="L32" i="29"/>
  <c r="I32" i="29"/>
  <c r="G32" i="29"/>
  <c r="D32" i="29"/>
  <c r="E32" i="29" s="1"/>
  <c r="B32" i="29"/>
  <c r="W31" i="29"/>
  <c r="U31" i="29"/>
  <c r="R31" i="29"/>
  <c r="O31" i="29"/>
  <c r="M31" i="29"/>
  <c r="L31" i="29"/>
  <c r="I31" i="29"/>
  <c r="G31" i="29"/>
  <c r="D31" i="29"/>
  <c r="E31" i="29" s="1"/>
  <c r="B31" i="29"/>
  <c r="W30" i="29"/>
  <c r="U30" i="29"/>
  <c r="R30" i="29"/>
  <c r="O30" i="29"/>
  <c r="M30" i="29"/>
  <c r="L30" i="29"/>
  <c r="V30" i="29" s="1"/>
  <c r="I30" i="29"/>
  <c r="G30" i="29"/>
  <c r="D30" i="29"/>
  <c r="E30" i="29" s="1"/>
  <c r="B30" i="29"/>
  <c r="W29" i="29"/>
  <c r="U29" i="29"/>
  <c r="R29" i="29"/>
  <c r="O29" i="29"/>
  <c r="M29" i="29"/>
  <c r="L29" i="29"/>
  <c r="I29" i="29"/>
  <c r="G29" i="29"/>
  <c r="D29" i="29"/>
  <c r="E29" i="29" s="1"/>
  <c r="B29" i="29"/>
  <c r="W28" i="29"/>
  <c r="U28" i="29"/>
  <c r="R28" i="29"/>
  <c r="O28" i="29"/>
  <c r="M28" i="29"/>
  <c r="L28" i="29"/>
  <c r="I28" i="29"/>
  <c r="G28" i="29"/>
  <c r="D28" i="29"/>
  <c r="E28" i="29" s="1"/>
  <c r="B28" i="29"/>
  <c r="W27" i="29"/>
  <c r="U27" i="29"/>
  <c r="R27" i="29"/>
  <c r="O27" i="29"/>
  <c r="M27" i="29"/>
  <c r="L27" i="29"/>
  <c r="I27" i="29"/>
  <c r="G27" i="29"/>
  <c r="D27" i="29"/>
  <c r="E27" i="29" s="1"/>
  <c r="J27" i="29" s="1"/>
  <c r="B27" i="29"/>
  <c r="W26" i="29"/>
  <c r="U26" i="29"/>
  <c r="R26" i="29"/>
  <c r="O26" i="29"/>
  <c r="M26" i="29"/>
  <c r="L26" i="29"/>
  <c r="I26" i="29"/>
  <c r="G26" i="29"/>
  <c r="D26" i="29"/>
  <c r="E26" i="29" s="1"/>
  <c r="B26" i="29"/>
  <c r="W25" i="29"/>
  <c r="U25" i="29"/>
  <c r="R25" i="29"/>
  <c r="O25" i="29"/>
  <c r="M25" i="29"/>
  <c r="L25" i="29"/>
  <c r="I25" i="29"/>
  <c r="G25" i="29"/>
  <c r="D25" i="29"/>
  <c r="E25" i="29" s="1"/>
  <c r="B25" i="29"/>
  <c r="W24" i="29"/>
  <c r="U24" i="29"/>
  <c r="R24" i="29"/>
  <c r="O24" i="29"/>
  <c r="M24" i="29"/>
  <c r="L24" i="29"/>
  <c r="I24" i="29"/>
  <c r="G24" i="29"/>
  <c r="D24" i="29"/>
  <c r="E24" i="29" s="1"/>
  <c r="B24" i="29"/>
  <c r="W23" i="29"/>
  <c r="U23" i="29"/>
  <c r="R23" i="29"/>
  <c r="O23" i="29"/>
  <c r="M23" i="29"/>
  <c r="L23" i="29"/>
  <c r="V23" i="29" s="1"/>
  <c r="I23" i="29"/>
  <c r="G23" i="29"/>
  <c r="D23" i="29"/>
  <c r="E23" i="29" s="1"/>
  <c r="B23" i="29"/>
  <c r="W22" i="29"/>
  <c r="U22" i="29"/>
  <c r="R22" i="29"/>
  <c r="O22" i="29"/>
  <c r="M22" i="29"/>
  <c r="L22" i="29"/>
  <c r="V22" i="29" s="1"/>
  <c r="I22" i="29"/>
  <c r="G22" i="29"/>
  <c r="D22" i="29"/>
  <c r="E22" i="29" s="1"/>
  <c r="B22" i="29"/>
  <c r="W21" i="29"/>
  <c r="U21" i="29"/>
  <c r="R21" i="29"/>
  <c r="O21" i="29"/>
  <c r="M21" i="29"/>
  <c r="L21" i="29"/>
  <c r="V21" i="29" s="1"/>
  <c r="I21" i="29"/>
  <c r="G21" i="29"/>
  <c r="D21" i="29"/>
  <c r="E21" i="29" s="1"/>
  <c r="B21" i="29"/>
  <c r="W20" i="29"/>
  <c r="U20" i="29"/>
  <c r="R20" i="29"/>
  <c r="O20" i="29"/>
  <c r="M20" i="29"/>
  <c r="L20" i="29"/>
  <c r="I20" i="29"/>
  <c r="G20" i="29"/>
  <c r="D20" i="29"/>
  <c r="E20" i="29" s="1"/>
  <c r="B20" i="29"/>
  <c r="W19" i="29"/>
  <c r="U19" i="29"/>
  <c r="R19" i="29"/>
  <c r="O19" i="29"/>
  <c r="M19" i="29"/>
  <c r="L19" i="29"/>
  <c r="I19" i="29"/>
  <c r="G19" i="29"/>
  <c r="D19" i="29"/>
  <c r="E19" i="29" s="1"/>
  <c r="B19" i="29"/>
  <c r="W18" i="29"/>
  <c r="U18" i="29"/>
  <c r="R18" i="29"/>
  <c r="O18" i="29"/>
  <c r="M18" i="29"/>
  <c r="L18" i="29"/>
  <c r="I18" i="29"/>
  <c r="G18" i="29"/>
  <c r="D18" i="29"/>
  <c r="E18" i="29" s="1"/>
  <c r="B18" i="29"/>
  <c r="W17" i="29"/>
  <c r="U17" i="29"/>
  <c r="R17" i="29"/>
  <c r="O17" i="29"/>
  <c r="M17" i="29"/>
  <c r="L17" i="29"/>
  <c r="I17" i="29"/>
  <c r="G17" i="29"/>
  <c r="D17" i="29"/>
  <c r="E17" i="29" s="1"/>
  <c r="B17" i="29"/>
  <c r="W16" i="29"/>
  <c r="U16" i="29"/>
  <c r="R16" i="29"/>
  <c r="O16" i="29"/>
  <c r="M16" i="29"/>
  <c r="L16" i="29"/>
  <c r="I16" i="29"/>
  <c r="G16" i="29"/>
  <c r="D16" i="29"/>
  <c r="E16" i="29" s="1"/>
  <c r="B16" i="29"/>
  <c r="W15" i="29"/>
  <c r="U15" i="29"/>
  <c r="R15" i="29"/>
  <c r="O15" i="29"/>
  <c r="M15" i="29"/>
  <c r="L15" i="29"/>
  <c r="V15" i="29" s="1"/>
  <c r="I15" i="29"/>
  <c r="G15" i="29"/>
  <c r="D15" i="29"/>
  <c r="E15" i="29" s="1"/>
  <c r="B15" i="29"/>
  <c r="W14" i="29"/>
  <c r="U14" i="29"/>
  <c r="R14" i="29"/>
  <c r="O14" i="29"/>
  <c r="M14" i="29"/>
  <c r="L14" i="29"/>
  <c r="I14" i="29"/>
  <c r="G14" i="29"/>
  <c r="D14" i="29"/>
  <c r="E14" i="29" s="1"/>
  <c r="B14" i="29"/>
  <c r="W13" i="29"/>
  <c r="U13" i="29"/>
  <c r="R13" i="29"/>
  <c r="O13" i="29"/>
  <c r="M13" i="29"/>
  <c r="L13" i="29"/>
  <c r="I13" i="29"/>
  <c r="G13" i="29"/>
  <c r="D13" i="29"/>
  <c r="E13" i="29" s="1"/>
  <c r="B13" i="29"/>
  <c r="W12" i="29"/>
  <c r="U12" i="29"/>
  <c r="R12" i="29"/>
  <c r="O12" i="29"/>
  <c r="M12" i="29"/>
  <c r="L12" i="29"/>
  <c r="I12" i="29"/>
  <c r="G12" i="29"/>
  <c r="D12" i="29"/>
  <c r="E12" i="29" s="1"/>
  <c r="B12" i="29"/>
  <c r="W11" i="29"/>
  <c r="U11" i="29"/>
  <c r="R11" i="29"/>
  <c r="O11" i="29"/>
  <c r="M11" i="29"/>
  <c r="L11" i="29"/>
  <c r="I11" i="29"/>
  <c r="G11" i="29"/>
  <c r="D11" i="29"/>
  <c r="E11" i="29" s="1"/>
  <c r="B11" i="29"/>
  <c r="W10" i="29"/>
  <c r="U10" i="29"/>
  <c r="R10" i="29"/>
  <c r="O10" i="29"/>
  <c r="M10" i="29"/>
  <c r="L10" i="29"/>
  <c r="I10" i="29"/>
  <c r="G10" i="29"/>
  <c r="D10" i="29"/>
  <c r="E10" i="29" s="1"/>
  <c r="B10" i="29"/>
  <c r="W9" i="29"/>
  <c r="U9" i="29"/>
  <c r="R9" i="29"/>
  <c r="O9" i="29"/>
  <c r="M9" i="29"/>
  <c r="L9" i="29"/>
  <c r="I9" i="29"/>
  <c r="G9" i="29"/>
  <c r="D9" i="29"/>
  <c r="E9" i="29" s="1"/>
  <c r="B9" i="29"/>
  <c r="W8" i="29"/>
  <c r="U8" i="29"/>
  <c r="R8" i="29"/>
  <c r="O8" i="29"/>
  <c r="M8" i="29"/>
  <c r="L8" i="29"/>
  <c r="I8" i="29"/>
  <c r="G8" i="29"/>
  <c r="D8" i="29"/>
  <c r="E8" i="29" s="1"/>
  <c r="B8" i="29"/>
  <c r="W7" i="29"/>
  <c r="U7" i="29"/>
  <c r="R7" i="29"/>
  <c r="O7" i="29"/>
  <c r="M7" i="29"/>
  <c r="L7" i="29"/>
  <c r="I7" i="29"/>
  <c r="G7" i="29"/>
  <c r="D7" i="29"/>
  <c r="E7" i="29" s="1"/>
  <c r="B7" i="29"/>
  <c r="W6" i="29"/>
  <c r="U6" i="29"/>
  <c r="R6" i="29"/>
  <c r="O6" i="29"/>
  <c r="M6" i="29"/>
  <c r="L6" i="29"/>
  <c r="I6" i="29"/>
  <c r="G6" i="29"/>
  <c r="D6" i="29"/>
  <c r="E6" i="29" s="1"/>
  <c r="B6" i="29"/>
  <c r="W5" i="29"/>
  <c r="U5" i="29"/>
  <c r="R5" i="29"/>
  <c r="O5" i="29"/>
  <c r="M5" i="29"/>
  <c r="L5" i="29"/>
  <c r="I5" i="29"/>
  <c r="G5" i="29"/>
  <c r="D5" i="29"/>
  <c r="E5" i="29" s="1"/>
  <c r="B5" i="29"/>
  <c r="W4" i="29"/>
  <c r="U4" i="29"/>
  <c r="R4" i="29"/>
  <c r="O4" i="29"/>
  <c r="M4" i="29"/>
  <c r="L4" i="29"/>
  <c r="I4" i="29"/>
  <c r="G4" i="29"/>
  <c r="E4" i="29"/>
  <c r="D4" i="29"/>
  <c r="B4" i="29"/>
  <c r="W3" i="29"/>
  <c r="U3" i="29"/>
  <c r="R3" i="29"/>
  <c r="O3" i="29"/>
  <c r="M3" i="29"/>
  <c r="L3" i="29"/>
  <c r="V3" i="29" s="1"/>
  <c r="I3" i="29"/>
  <c r="G3" i="29"/>
  <c r="D3" i="29"/>
  <c r="E3" i="29" s="1"/>
  <c r="B3" i="29"/>
  <c r="W2" i="29"/>
  <c r="U2" i="29"/>
  <c r="R2" i="29"/>
  <c r="O2" i="29"/>
  <c r="M2" i="29"/>
  <c r="L2" i="29"/>
  <c r="V2" i="29" s="1"/>
  <c r="I2" i="29"/>
  <c r="G2" i="29"/>
  <c r="D2" i="29"/>
  <c r="E2" i="29" s="1"/>
  <c r="B2" i="29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2" i="26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2" i="25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2" i="23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2" i="24"/>
  <c r="W3" i="26"/>
  <c r="W4" i="26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31" i="26"/>
  <c r="W32" i="26"/>
  <c r="W33" i="26"/>
  <c r="W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58" i="26"/>
  <c r="W59" i="26"/>
  <c r="W60" i="26"/>
  <c r="W61" i="26"/>
  <c r="W62" i="26"/>
  <c r="W63" i="26"/>
  <c r="W64" i="26"/>
  <c r="W65" i="26"/>
  <c r="W66" i="26"/>
  <c r="W2" i="26"/>
  <c r="S3" i="26"/>
  <c r="S4" i="26"/>
  <c r="S5" i="26"/>
  <c r="S6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65" i="26"/>
  <c r="S66" i="26"/>
  <c r="S2" i="26"/>
  <c r="V135" i="29" l="1"/>
  <c r="V129" i="29"/>
  <c r="V123" i="29"/>
  <c r="V99" i="29"/>
  <c r="V93" i="29"/>
  <c r="V87" i="29"/>
  <c r="V84" i="29"/>
  <c r="V81" i="29"/>
  <c r="V78" i="29"/>
  <c r="V14" i="29"/>
  <c r="X76" i="29"/>
  <c r="Y76" i="29" s="1"/>
  <c r="V56" i="29"/>
  <c r="V31" i="29"/>
  <c r="V37" i="29"/>
  <c r="V55" i="29"/>
  <c r="V61" i="29"/>
  <c r="V131" i="29"/>
  <c r="V122" i="29"/>
  <c r="X122" i="29" s="1"/>
  <c r="Y122" i="29" s="1"/>
  <c r="V107" i="29"/>
  <c r="X107" i="29" s="1"/>
  <c r="V86" i="29"/>
  <c r="V74" i="29"/>
  <c r="X74" i="29" s="1"/>
  <c r="Y74" i="29" s="1"/>
  <c r="Z74" i="29" s="1"/>
  <c r="AA74" i="29" s="1"/>
  <c r="J35" i="29"/>
  <c r="J102" i="29"/>
  <c r="N102" i="29" s="1"/>
  <c r="J80" i="29"/>
  <c r="V121" i="29"/>
  <c r="V106" i="29"/>
  <c r="V104" i="29"/>
  <c r="J19" i="29"/>
  <c r="N19" i="29" s="1"/>
  <c r="J109" i="29"/>
  <c r="V125" i="29"/>
  <c r="V69" i="29"/>
  <c r="X69" i="29" s="1"/>
  <c r="V96" i="29"/>
  <c r="X96" i="29" s="1"/>
  <c r="J142" i="29"/>
  <c r="V128" i="29"/>
  <c r="J57" i="29"/>
  <c r="N57" i="29" s="1"/>
  <c r="X57" i="29" s="1"/>
  <c r="N122" i="29"/>
  <c r="X64" i="29"/>
  <c r="Y64" i="29" s="1"/>
  <c r="N119" i="29"/>
  <c r="N104" i="29"/>
  <c r="V72" i="29"/>
  <c r="X72" i="29" s="1"/>
  <c r="J78" i="29"/>
  <c r="N78" i="29" s="1"/>
  <c r="J71" i="29"/>
  <c r="N71" i="29" s="1"/>
  <c r="N66" i="29"/>
  <c r="X66" i="29" s="1"/>
  <c r="J86" i="29"/>
  <c r="N86" i="29" s="1"/>
  <c r="X86" i="29" s="1"/>
  <c r="Y86" i="29" s="1"/>
  <c r="Z86" i="29" s="1"/>
  <c r="AA86" i="29" s="1"/>
  <c r="V116" i="29"/>
  <c r="X116" i="29" s="1"/>
  <c r="V39" i="29"/>
  <c r="V58" i="29"/>
  <c r="J136" i="29"/>
  <c r="N136" i="29" s="1"/>
  <c r="J107" i="29"/>
  <c r="N107" i="29" s="1"/>
  <c r="J75" i="29"/>
  <c r="N75" i="29" s="1"/>
  <c r="V136" i="29"/>
  <c r="J7" i="29"/>
  <c r="N7" i="29" s="1"/>
  <c r="V20" i="29"/>
  <c r="J41" i="29"/>
  <c r="N41" i="29" s="1"/>
  <c r="V48" i="29"/>
  <c r="J114" i="29"/>
  <c r="J104" i="29"/>
  <c r="J99" i="29"/>
  <c r="V100" i="29"/>
  <c r="X100" i="29" s="1"/>
  <c r="V83" i="29"/>
  <c r="V60" i="29"/>
  <c r="J126" i="29"/>
  <c r="N126" i="29" s="1"/>
  <c r="N132" i="29"/>
  <c r="X132" i="29" s="1"/>
  <c r="Y132" i="29" s="1"/>
  <c r="V140" i="29"/>
  <c r="X140" i="29" s="1"/>
  <c r="V108" i="29"/>
  <c r="V68" i="29"/>
  <c r="X68" i="29" s="1"/>
  <c r="Y68" i="29" s="1"/>
  <c r="Z68" i="29" s="1"/>
  <c r="AA68" i="29" s="1"/>
  <c r="J33" i="29"/>
  <c r="V47" i="29"/>
  <c r="V53" i="29"/>
  <c r="V126" i="29"/>
  <c r="X126" i="29" s="1"/>
  <c r="V105" i="29"/>
  <c r="V113" i="29"/>
  <c r="V73" i="29"/>
  <c r="V59" i="29"/>
  <c r="J118" i="29"/>
  <c r="N118" i="29" s="1"/>
  <c r="J108" i="29"/>
  <c r="N108" i="29" s="1"/>
  <c r="N127" i="29"/>
  <c r="N114" i="29"/>
  <c r="V137" i="29"/>
  <c r="N90" i="29"/>
  <c r="X90" i="29" s="1"/>
  <c r="J14" i="29"/>
  <c r="J22" i="29"/>
  <c r="N22" i="29" s="1"/>
  <c r="X22" i="29" s="1"/>
  <c r="J130" i="29"/>
  <c r="N130" i="29" s="1"/>
  <c r="J83" i="29"/>
  <c r="N83" i="29" s="1"/>
  <c r="X83" i="29" s="1"/>
  <c r="N70" i="29"/>
  <c r="V70" i="29"/>
  <c r="X120" i="29"/>
  <c r="V90" i="29"/>
  <c r="J5" i="29"/>
  <c r="N5" i="29" s="1"/>
  <c r="J21" i="29"/>
  <c r="J127" i="29"/>
  <c r="J101" i="29"/>
  <c r="N101" i="29" s="1"/>
  <c r="X101" i="29" s="1"/>
  <c r="N142" i="29"/>
  <c r="X121" i="29"/>
  <c r="V98" i="29"/>
  <c r="N98" i="29"/>
  <c r="X98" i="29" s="1"/>
  <c r="J13" i="29"/>
  <c r="N13" i="29" s="1"/>
  <c r="J47" i="29"/>
  <c r="N47" i="29" s="1"/>
  <c r="J85" i="29"/>
  <c r="V103" i="29"/>
  <c r="V75" i="29"/>
  <c r="X136" i="29"/>
  <c r="Y136" i="29" s="1"/>
  <c r="Z136" i="29" s="1"/>
  <c r="AA136" i="29" s="1"/>
  <c r="J46" i="29"/>
  <c r="N46" i="29" s="1"/>
  <c r="J129" i="29"/>
  <c r="N129" i="29" s="1"/>
  <c r="X129" i="29" s="1"/>
  <c r="J106" i="29"/>
  <c r="N106" i="29" s="1"/>
  <c r="V119" i="29"/>
  <c r="V89" i="29"/>
  <c r="J11" i="29"/>
  <c r="J45" i="29"/>
  <c r="N45" i="29" s="1"/>
  <c r="X45" i="29" s="1"/>
  <c r="J103" i="29"/>
  <c r="N103" i="29" s="1"/>
  <c r="J77" i="29"/>
  <c r="N77" i="29" s="1"/>
  <c r="X104" i="29"/>
  <c r="V11" i="29"/>
  <c r="J59" i="29"/>
  <c r="N59" i="29" s="1"/>
  <c r="X59" i="29" s="1"/>
  <c r="Y59" i="29" s="1"/>
  <c r="Z59" i="29" s="1"/>
  <c r="AA59" i="29" s="1"/>
  <c r="N80" i="29"/>
  <c r="J51" i="29"/>
  <c r="N51" i="29" s="1"/>
  <c r="J131" i="29"/>
  <c r="N131" i="29" s="1"/>
  <c r="X131" i="29" s="1"/>
  <c r="Y131" i="29" s="1"/>
  <c r="Z131" i="29" s="1"/>
  <c r="AA131" i="29" s="1"/>
  <c r="J112" i="29"/>
  <c r="N112" i="29" s="1"/>
  <c r="J105" i="29"/>
  <c r="N105" i="29" s="1"/>
  <c r="J84" i="29"/>
  <c r="N84" i="29" s="1"/>
  <c r="J82" i="29"/>
  <c r="N82" i="29" s="1"/>
  <c r="X82" i="29" s="1"/>
  <c r="V115" i="29"/>
  <c r="V97" i="29"/>
  <c r="X97" i="29" s="1"/>
  <c r="Y97" i="29" s="1"/>
  <c r="N94" i="29"/>
  <c r="X94" i="29" s="1"/>
  <c r="V77" i="29"/>
  <c r="V114" i="29"/>
  <c r="V110" i="29"/>
  <c r="X110" i="29" s="1"/>
  <c r="Y110" i="29" s="1"/>
  <c r="Z110" i="29" s="1"/>
  <c r="AA110" i="29" s="1"/>
  <c r="J17" i="29"/>
  <c r="J34" i="29"/>
  <c r="N34" i="29" s="1"/>
  <c r="J43" i="29"/>
  <c r="N43" i="29" s="1"/>
  <c r="V51" i="29"/>
  <c r="J79" i="29"/>
  <c r="N79" i="29" s="1"/>
  <c r="X79" i="29" s="1"/>
  <c r="N99" i="29"/>
  <c r="V91" i="29"/>
  <c r="X71" i="29"/>
  <c r="Y71" i="29" s="1"/>
  <c r="V67" i="29"/>
  <c r="X67" i="29" s="1"/>
  <c r="Y67" i="29" s="1"/>
  <c r="J25" i="29"/>
  <c r="V35" i="29"/>
  <c r="J133" i="29"/>
  <c r="N133" i="29" s="1"/>
  <c r="X133" i="29" s="1"/>
  <c r="V112" i="29"/>
  <c r="N85" i="29"/>
  <c r="X85" i="29" s="1"/>
  <c r="V50" i="29"/>
  <c r="J123" i="29"/>
  <c r="N123" i="29" s="1"/>
  <c r="J88" i="29"/>
  <c r="N88" i="29" s="1"/>
  <c r="X88" i="29" s="1"/>
  <c r="J81" i="29"/>
  <c r="N81" i="29" s="1"/>
  <c r="N124" i="29"/>
  <c r="X124" i="29" s="1"/>
  <c r="Y124" i="29" s="1"/>
  <c r="N109" i="29"/>
  <c r="X109" i="29" s="1"/>
  <c r="V142" i="29"/>
  <c r="X138" i="29"/>
  <c r="Y138" i="29" s="1"/>
  <c r="V24" i="29"/>
  <c r="J125" i="29"/>
  <c r="N125" i="29" s="1"/>
  <c r="J95" i="29"/>
  <c r="N95" i="29" s="1"/>
  <c r="N65" i="29"/>
  <c r="X65" i="29" s="1"/>
  <c r="Y65" i="29" s="1"/>
  <c r="Z65" i="29" s="1"/>
  <c r="AA65" i="29" s="1"/>
  <c r="V44" i="29"/>
  <c r="V54" i="29"/>
  <c r="J111" i="29"/>
  <c r="N111" i="29" s="1"/>
  <c r="X111" i="29" s="1"/>
  <c r="Y111" i="29" s="1"/>
  <c r="V134" i="29"/>
  <c r="X134" i="29" s="1"/>
  <c r="Y134" i="29" s="1"/>
  <c r="J9" i="29"/>
  <c r="N9" i="29" s="1"/>
  <c r="J137" i="29"/>
  <c r="N137" i="29" s="1"/>
  <c r="J113" i="29"/>
  <c r="N113" i="29" s="1"/>
  <c r="J89" i="29"/>
  <c r="N89" i="29" s="1"/>
  <c r="J65" i="29"/>
  <c r="X128" i="29"/>
  <c r="Y128" i="29" s="1"/>
  <c r="V95" i="29"/>
  <c r="V29" i="29"/>
  <c r="V43" i="29"/>
  <c r="V52" i="29"/>
  <c r="V62" i="29"/>
  <c r="J139" i="29"/>
  <c r="N139" i="29" s="1"/>
  <c r="X139" i="29" s="1"/>
  <c r="J115" i="29"/>
  <c r="N115" i="29" s="1"/>
  <c r="J91" i="29"/>
  <c r="N91" i="29" s="1"/>
  <c r="J67" i="29"/>
  <c r="N67" i="29" s="1"/>
  <c r="J53" i="29"/>
  <c r="N53" i="29" s="1"/>
  <c r="J135" i="29"/>
  <c r="N135" i="29" s="1"/>
  <c r="X135" i="29" s="1"/>
  <c r="Y135" i="29" s="1"/>
  <c r="J87" i="29"/>
  <c r="N87" i="29" s="1"/>
  <c r="X87" i="29" s="1"/>
  <c r="J63" i="29"/>
  <c r="N63" i="29" s="1"/>
  <c r="X63" i="29" s="1"/>
  <c r="J29" i="29"/>
  <c r="N29" i="29" s="1"/>
  <c r="X29" i="29" s="1"/>
  <c r="Y29" i="29" s="1"/>
  <c r="Z29" i="29" s="1"/>
  <c r="J18" i="29"/>
  <c r="N18" i="29" s="1"/>
  <c r="V19" i="29"/>
  <c r="V28" i="29"/>
  <c r="J61" i="29"/>
  <c r="N61" i="29" s="1"/>
  <c r="X61" i="29" s="1"/>
  <c r="Y61" i="29" s="1"/>
  <c r="Z61" i="29" s="1"/>
  <c r="AA61" i="29" s="1"/>
  <c r="J141" i="29"/>
  <c r="N141" i="29" s="1"/>
  <c r="X141" i="29" s="1"/>
  <c r="Y141" i="29" s="1"/>
  <c r="Z141" i="29" s="1"/>
  <c r="AA141" i="29" s="1"/>
  <c r="J117" i="29"/>
  <c r="N117" i="29" s="1"/>
  <c r="X117" i="29" s="1"/>
  <c r="Y117" i="29" s="1"/>
  <c r="Z117" i="29" s="1"/>
  <c r="AA117" i="29" s="1"/>
  <c r="J93" i="29"/>
  <c r="N93" i="29" s="1"/>
  <c r="X93" i="29" s="1"/>
  <c r="J69" i="29"/>
  <c r="N69" i="29" s="1"/>
  <c r="V127" i="29"/>
  <c r="V118" i="29"/>
  <c r="V92" i="29"/>
  <c r="X92" i="29" s="1"/>
  <c r="V7" i="29"/>
  <c r="V27" i="29"/>
  <c r="J37" i="29"/>
  <c r="N37" i="29" s="1"/>
  <c r="X37" i="29" s="1"/>
  <c r="J49" i="29"/>
  <c r="N49" i="29" s="1"/>
  <c r="J121" i="29"/>
  <c r="N121" i="29" s="1"/>
  <c r="J97" i="29"/>
  <c r="N97" i="29" s="1"/>
  <c r="J73" i="29"/>
  <c r="N73" i="29" s="1"/>
  <c r="V130" i="29"/>
  <c r="V80" i="29"/>
  <c r="Z135" i="29"/>
  <c r="AA135" i="29" s="1"/>
  <c r="Z64" i="29"/>
  <c r="AA64" i="29" s="1"/>
  <c r="X102" i="29"/>
  <c r="V12" i="29"/>
  <c r="N11" i="29"/>
  <c r="V8" i="29"/>
  <c r="V34" i="29"/>
  <c r="N27" i="29"/>
  <c r="V4" i="29"/>
  <c r="V16" i="29"/>
  <c r="N21" i="29"/>
  <c r="X21" i="29" s="1"/>
  <c r="Y21" i="29" s="1"/>
  <c r="V26" i="29"/>
  <c r="V42" i="29"/>
  <c r="V9" i="29"/>
  <c r="J3" i="29"/>
  <c r="N3" i="29" s="1"/>
  <c r="X3" i="29" s="1"/>
  <c r="J15" i="29"/>
  <c r="N15" i="29" s="1"/>
  <c r="X15" i="29" s="1"/>
  <c r="V17" i="29"/>
  <c r="N17" i="29"/>
  <c r="V13" i="29"/>
  <c r="V41" i="29"/>
  <c r="J54" i="29"/>
  <c r="N54" i="29" s="1"/>
  <c r="X54" i="29" s="1"/>
  <c r="J2" i="29"/>
  <c r="N2" i="29" s="1"/>
  <c r="X2" i="29" s="1"/>
  <c r="V5" i="29"/>
  <c r="J10" i="29"/>
  <c r="N10" i="29" s="1"/>
  <c r="J23" i="29"/>
  <c r="N23" i="29" s="1"/>
  <c r="X23" i="29" s="1"/>
  <c r="J36" i="29"/>
  <c r="N36" i="29" s="1"/>
  <c r="X36" i="29" s="1"/>
  <c r="J42" i="29"/>
  <c r="N42" i="29" s="1"/>
  <c r="J55" i="29"/>
  <c r="N55" i="29" s="1"/>
  <c r="X55" i="29" s="1"/>
  <c r="J6" i="29"/>
  <c r="N6" i="29" s="1"/>
  <c r="V10" i="29"/>
  <c r="N14" i="29"/>
  <c r="J62" i="29"/>
  <c r="N62" i="29" s="1"/>
  <c r="J30" i="29"/>
  <c r="N30" i="29" s="1"/>
  <c r="X30" i="29" s="1"/>
  <c r="N35" i="29"/>
  <c r="V49" i="29"/>
  <c r="J20" i="29"/>
  <c r="N20" i="29" s="1"/>
  <c r="J31" i="29"/>
  <c r="N31" i="29" s="1"/>
  <c r="X31" i="29" s="1"/>
  <c r="J44" i="29"/>
  <c r="N44" i="29" s="1"/>
  <c r="J50" i="29"/>
  <c r="N50" i="29" s="1"/>
  <c r="V18" i="29"/>
  <c r="V25" i="29"/>
  <c r="N25" i="29"/>
  <c r="J38" i="29"/>
  <c r="N38" i="29" s="1"/>
  <c r="V57" i="29"/>
  <c r="J12" i="29"/>
  <c r="N12" i="29" s="1"/>
  <c r="J26" i="29"/>
  <c r="N26" i="29" s="1"/>
  <c r="V32" i="29"/>
  <c r="V38" i="29"/>
  <c r="J39" i="29"/>
  <c r="N39" i="29" s="1"/>
  <c r="J52" i="29"/>
  <c r="N52" i="29" s="1"/>
  <c r="J58" i="29"/>
  <c r="V6" i="29"/>
  <c r="N58" i="29"/>
  <c r="V33" i="29"/>
  <c r="N33" i="29"/>
  <c r="X33" i="29" s="1"/>
  <c r="J28" i="29"/>
  <c r="N28" i="29" s="1"/>
  <c r="V40" i="29"/>
  <c r="V46" i="29"/>
  <c r="J60" i="29"/>
  <c r="N60" i="29" s="1"/>
  <c r="J8" i="29"/>
  <c r="N8" i="29" s="1"/>
  <c r="J4" i="29"/>
  <c r="N4" i="29" s="1"/>
  <c r="J16" i="29"/>
  <c r="N16" i="29" s="1"/>
  <c r="J24" i="29"/>
  <c r="N24" i="29" s="1"/>
  <c r="J32" i="29"/>
  <c r="N32" i="29" s="1"/>
  <c r="J40" i="29"/>
  <c r="N40" i="29" s="1"/>
  <c r="J48" i="29"/>
  <c r="N48" i="29" s="1"/>
  <c r="J56" i="29"/>
  <c r="N56" i="29" s="1"/>
  <c r="X56" i="29" s="1"/>
  <c r="L63" i="26"/>
  <c r="M63" i="26"/>
  <c r="N63" i="26"/>
  <c r="R63" i="26"/>
  <c r="U63" i="26"/>
  <c r="V63" i="26"/>
  <c r="X63" i="26"/>
  <c r="Y63" i="26" s="1"/>
  <c r="L64" i="26"/>
  <c r="M64" i="26"/>
  <c r="N64" i="26"/>
  <c r="R64" i="26"/>
  <c r="U64" i="26"/>
  <c r="V64" i="26"/>
  <c r="X64" i="26"/>
  <c r="Y64" i="26" s="1"/>
  <c r="L65" i="26"/>
  <c r="M65" i="26"/>
  <c r="N65" i="26"/>
  <c r="R65" i="26"/>
  <c r="U65" i="26"/>
  <c r="V65" i="26" s="1"/>
  <c r="X65" i="26" s="1"/>
  <c r="Y65" i="26" s="1"/>
  <c r="L66" i="26"/>
  <c r="M66" i="26"/>
  <c r="N66" i="26"/>
  <c r="R66" i="26"/>
  <c r="U66" i="26"/>
  <c r="V66" i="26"/>
  <c r="X66" i="26"/>
  <c r="Y66" i="26" s="1"/>
  <c r="B63" i="26"/>
  <c r="D63" i="26"/>
  <c r="E63" i="26"/>
  <c r="G63" i="26"/>
  <c r="I63" i="26"/>
  <c r="J63" i="26"/>
  <c r="B64" i="26"/>
  <c r="D64" i="26"/>
  <c r="E64" i="26"/>
  <c r="G64" i="26"/>
  <c r="I64" i="26"/>
  <c r="J64" i="26"/>
  <c r="B65" i="26"/>
  <c r="D65" i="26"/>
  <c r="E65" i="26"/>
  <c r="G65" i="26"/>
  <c r="I65" i="26"/>
  <c r="J65" i="26"/>
  <c r="B66" i="26"/>
  <c r="D66" i="26"/>
  <c r="E66" i="26"/>
  <c r="G66" i="26"/>
  <c r="I66" i="26"/>
  <c r="J66" i="26"/>
  <c r="U62" i="26"/>
  <c r="R62" i="26"/>
  <c r="M62" i="26"/>
  <c r="L62" i="26"/>
  <c r="I62" i="26"/>
  <c r="J62" i="26" s="1"/>
  <c r="N62" i="26" s="1"/>
  <c r="G62" i="26"/>
  <c r="D62" i="26"/>
  <c r="E62" i="26" s="1"/>
  <c r="B62" i="26"/>
  <c r="U61" i="26"/>
  <c r="R61" i="26"/>
  <c r="M61" i="26"/>
  <c r="L61" i="26"/>
  <c r="I61" i="26"/>
  <c r="J61" i="26" s="1"/>
  <c r="G61" i="26"/>
  <c r="E61" i="26"/>
  <c r="D61" i="26"/>
  <c r="B61" i="26"/>
  <c r="U60" i="26"/>
  <c r="V60" i="26" s="1"/>
  <c r="R60" i="26"/>
  <c r="M60" i="26"/>
  <c r="L60" i="26"/>
  <c r="I60" i="26"/>
  <c r="J60" i="26" s="1"/>
  <c r="N60" i="26" s="1"/>
  <c r="G60" i="26"/>
  <c r="D60" i="26"/>
  <c r="E60" i="26" s="1"/>
  <c r="B60" i="26"/>
  <c r="U59" i="26"/>
  <c r="R59" i="26"/>
  <c r="M59" i="26"/>
  <c r="L59" i="26"/>
  <c r="I59" i="26"/>
  <c r="J59" i="26" s="1"/>
  <c r="G59" i="26"/>
  <c r="E59" i="26"/>
  <c r="D59" i="26"/>
  <c r="B59" i="26"/>
  <c r="U58" i="26"/>
  <c r="V58" i="26" s="1"/>
  <c r="R58" i="26"/>
  <c r="M58" i="26"/>
  <c r="L58" i="26"/>
  <c r="I58" i="26"/>
  <c r="G58" i="26"/>
  <c r="D58" i="26"/>
  <c r="E58" i="26" s="1"/>
  <c r="B58" i="26"/>
  <c r="U57" i="26"/>
  <c r="R57" i="26"/>
  <c r="M57" i="26"/>
  <c r="L57" i="26"/>
  <c r="I57" i="26"/>
  <c r="G57" i="26"/>
  <c r="E57" i="26"/>
  <c r="D57" i="26"/>
  <c r="B57" i="26"/>
  <c r="U56" i="26"/>
  <c r="R56" i="26"/>
  <c r="M56" i="26"/>
  <c r="L56" i="26"/>
  <c r="I56" i="26"/>
  <c r="J56" i="26" s="1"/>
  <c r="N56" i="26" s="1"/>
  <c r="G56" i="26"/>
  <c r="D56" i="26"/>
  <c r="E56" i="26" s="1"/>
  <c r="B56" i="26"/>
  <c r="U55" i="26"/>
  <c r="R55" i="26"/>
  <c r="M55" i="26"/>
  <c r="L55" i="26"/>
  <c r="I55" i="26"/>
  <c r="J55" i="26" s="1"/>
  <c r="G55" i="26"/>
  <c r="E55" i="26"/>
  <c r="D55" i="26"/>
  <c r="B55" i="26"/>
  <c r="U54" i="26"/>
  <c r="R54" i="26"/>
  <c r="M54" i="26"/>
  <c r="L54" i="26"/>
  <c r="V54" i="26" s="1"/>
  <c r="I54" i="26"/>
  <c r="J54" i="26" s="1"/>
  <c r="N54" i="26" s="1"/>
  <c r="G54" i="26"/>
  <c r="D54" i="26"/>
  <c r="E54" i="26" s="1"/>
  <c r="B54" i="26"/>
  <c r="U53" i="26"/>
  <c r="R53" i="26"/>
  <c r="M53" i="26"/>
  <c r="L53" i="26"/>
  <c r="I53" i="26"/>
  <c r="J53" i="26" s="1"/>
  <c r="G53" i="26"/>
  <c r="E53" i="26"/>
  <c r="D53" i="26"/>
  <c r="B53" i="26"/>
  <c r="U52" i="26"/>
  <c r="R52" i="26"/>
  <c r="M52" i="26"/>
  <c r="L52" i="26"/>
  <c r="I52" i="26"/>
  <c r="G52" i="26"/>
  <c r="D52" i="26"/>
  <c r="E52" i="26" s="1"/>
  <c r="B52" i="26"/>
  <c r="U51" i="26"/>
  <c r="R51" i="26"/>
  <c r="M51" i="26"/>
  <c r="L51" i="26"/>
  <c r="I51" i="26"/>
  <c r="G51" i="26"/>
  <c r="E51" i="26"/>
  <c r="D51" i="26"/>
  <c r="B51" i="26"/>
  <c r="U50" i="26"/>
  <c r="V50" i="26" s="1"/>
  <c r="R50" i="26"/>
  <c r="M50" i="26"/>
  <c r="L50" i="26"/>
  <c r="J50" i="26"/>
  <c r="N50" i="26" s="1"/>
  <c r="I50" i="26"/>
  <c r="G50" i="26"/>
  <c r="D50" i="26"/>
  <c r="E50" i="26" s="1"/>
  <c r="B50" i="26"/>
  <c r="U49" i="26"/>
  <c r="R49" i="26"/>
  <c r="M49" i="26"/>
  <c r="L49" i="26"/>
  <c r="I49" i="26"/>
  <c r="G49" i="26"/>
  <c r="E49" i="26"/>
  <c r="D49" i="26"/>
  <c r="B49" i="26"/>
  <c r="U48" i="26"/>
  <c r="R48" i="26"/>
  <c r="M48" i="26"/>
  <c r="L48" i="26"/>
  <c r="V48" i="26" s="1"/>
  <c r="I48" i="26"/>
  <c r="G48" i="26"/>
  <c r="D48" i="26"/>
  <c r="E48" i="26" s="1"/>
  <c r="B48" i="26"/>
  <c r="U47" i="26"/>
  <c r="R47" i="26"/>
  <c r="M47" i="26"/>
  <c r="L47" i="26"/>
  <c r="I47" i="26"/>
  <c r="J47" i="26" s="1"/>
  <c r="G47" i="26"/>
  <c r="E47" i="26"/>
  <c r="D47" i="26"/>
  <c r="B47" i="26"/>
  <c r="U46" i="26"/>
  <c r="R46" i="26"/>
  <c r="M46" i="26"/>
  <c r="L46" i="26"/>
  <c r="I46" i="26"/>
  <c r="J46" i="26" s="1"/>
  <c r="N46" i="26" s="1"/>
  <c r="G46" i="26"/>
  <c r="D46" i="26"/>
  <c r="E46" i="26" s="1"/>
  <c r="B46" i="26"/>
  <c r="U45" i="26"/>
  <c r="R45" i="26"/>
  <c r="M45" i="26"/>
  <c r="L45" i="26"/>
  <c r="I45" i="26"/>
  <c r="J45" i="26" s="1"/>
  <c r="G45" i="26"/>
  <c r="E45" i="26"/>
  <c r="D45" i="26"/>
  <c r="B45" i="26"/>
  <c r="U44" i="26"/>
  <c r="R44" i="26"/>
  <c r="M44" i="26"/>
  <c r="L44" i="26"/>
  <c r="I44" i="26"/>
  <c r="J44" i="26" s="1"/>
  <c r="N44" i="26" s="1"/>
  <c r="G44" i="26"/>
  <c r="D44" i="26"/>
  <c r="E44" i="26" s="1"/>
  <c r="B44" i="26"/>
  <c r="U43" i="26"/>
  <c r="R43" i="26"/>
  <c r="M43" i="26"/>
  <c r="L43" i="26"/>
  <c r="I43" i="26"/>
  <c r="G43" i="26"/>
  <c r="E43" i="26"/>
  <c r="D43" i="26"/>
  <c r="B43" i="26"/>
  <c r="U42" i="26"/>
  <c r="R42" i="26"/>
  <c r="M42" i="26"/>
  <c r="L42" i="26"/>
  <c r="J42" i="26"/>
  <c r="I42" i="26"/>
  <c r="G42" i="26"/>
  <c r="D42" i="26"/>
  <c r="E42" i="26" s="1"/>
  <c r="B42" i="26"/>
  <c r="U41" i="26"/>
  <c r="R41" i="26"/>
  <c r="M41" i="26"/>
  <c r="L41" i="26"/>
  <c r="J41" i="26"/>
  <c r="I41" i="26"/>
  <c r="G41" i="26"/>
  <c r="E41" i="26"/>
  <c r="D41" i="26"/>
  <c r="B41" i="26"/>
  <c r="U40" i="26"/>
  <c r="R40" i="26"/>
  <c r="M40" i="26"/>
  <c r="L40" i="26"/>
  <c r="I40" i="26"/>
  <c r="G40" i="26"/>
  <c r="D40" i="26"/>
  <c r="E40" i="26" s="1"/>
  <c r="B40" i="26"/>
  <c r="U39" i="26"/>
  <c r="R39" i="26"/>
  <c r="M39" i="26"/>
  <c r="L39" i="26"/>
  <c r="I39" i="26"/>
  <c r="G39" i="26"/>
  <c r="E39" i="26"/>
  <c r="D39" i="26"/>
  <c r="B39" i="26"/>
  <c r="U38" i="26"/>
  <c r="R38" i="26"/>
  <c r="M38" i="26"/>
  <c r="L38" i="26"/>
  <c r="I38" i="26"/>
  <c r="J38" i="26" s="1"/>
  <c r="N38" i="26" s="1"/>
  <c r="G38" i="26"/>
  <c r="D38" i="26"/>
  <c r="E38" i="26" s="1"/>
  <c r="B38" i="26"/>
  <c r="U37" i="26"/>
  <c r="R37" i="26"/>
  <c r="M37" i="26"/>
  <c r="L37" i="26"/>
  <c r="I37" i="26"/>
  <c r="J37" i="26" s="1"/>
  <c r="G37" i="26"/>
  <c r="E37" i="26"/>
  <c r="D37" i="26"/>
  <c r="B37" i="26"/>
  <c r="U36" i="26"/>
  <c r="R36" i="26"/>
  <c r="M36" i="26"/>
  <c r="L36" i="26"/>
  <c r="V36" i="26" s="1"/>
  <c r="I36" i="26"/>
  <c r="J36" i="26" s="1"/>
  <c r="G36" i="26"/>
  <c r="D36" i="26"/>
  <c r="E36" i="26" s="1"/>
  <c r="B36" i="26"/>
  <c r="U35" i="26"/>
  <c r="R35" i="26"/>
  <c r="M35" i="26"/>
  <c r="L35" i="26"/>
  <c r="I35" i="26"/>
  <c r="J35" i="26" s="1"/>
  <c r="G35" i="26"/>
  <c r="E35" i="26"/>
  <c r="D35" i="26"/>
  <c r="B35" i="26"/>
  <c r="U34" i="26"/>
  <c r="R34" i="26"/>
  <c r="M34" i="26"/>
  <c r="L34" i="26"/>
  <c r="I34" i="26"/>
  <c r="J34" i="26" s="1"/>
  <c r="N34" i="26" s="1"/>
  <c r="G34" i="26"/>
  <c r="D34" i="26"/>
  <c r="E34" i="26" s="1"/>
  <c r="B34" i="26"/>
  <c r="U33" i="26"/>
  <c r="R33" i="26"/>
  <c r="M33" i="26"/>
  <c r="L33" i="26"/>
  <c r="J33" i="26"/>
  <c r="I33" i="26"/>
  <c r="G33" i="26"/>
  <c r="E33" i="26"/>
  <c r="D33" i="26"/>
  <c r="B33" i="26"/>
  <c r="U32" i="26"/>
  <c r="R32" i="26"/>
  <c r="M32" i="26"/>
  <c r="L32" i="26"/>
  <c r="I32" i="26"/>
  <c r="J32" i="26" s="1"/>
  <c r="G32" i="26"/>
  <c r="D32" i="26"/>
  <c r="E32" i="26" s="1"/>
  <c r="B32" i="26"/>
  <c r="U31" i="26"/>
  <c r="R31" i="26"/>
  <c r="M31" i="26"/>
  <c r="L31" i="26"/>
  <c r="I31" i="26"/>
  <c r="G31" i="26"/>
  <c r="E31" i="26"/>
  <c r="D31" i="26"/>
  <c r="B31" i="26"/>
  <c r="U30" i="26"/>
  <c r="V30" i="26" s="1"/>
  <c r="R30" i="26"/>
  <c r="M30" i="26"/>
  <c r="L30" i="26"/>
  <c r="I30" i="26"/>
  <c r="J30" i="26" s="1"/>
  <c r="N30" i="26" s="1"/>
  <c r="G30" i="26"/>
  <c r="D30" i="26"/>
  <c r="E30" i="26" s="1"/>
  <c r="B30" i="26"/>
  <c r="U29" i="26"/>
  <c r="R29" i="26"/>
  <c r="M29" i="26"/>
  <c r="L29" i="26"/>
  <c r="J29" i="26"/>
  <c r="I29" i="26"/>
  <c r="G29" i="26"/>
  <c r="E29" i="26"/>
  <c r="D29" i="26"/>
  <c r="B29" i="26"/>
  <c r="U28" i="26"/>
  <c r="R28" i="26"/>
  <c r="M28" i="26"/>
  <c r="L28" i="26"/>
  <c r="I28" i="26"/>
  <c r="G28" i="26"/>
  <c r="D28" i="26"/>
  <c r="E28" i="26" s="1"/>
  <c r="B28" i="26"/>
  <c r="U27" i="26"/>
  <c r="R27" i="26"/>
  <c r="M27" i="26"/>
  <c r="L27" i="26"/>
  <c r="I27" i="26"/>
  <c r="J27" i="26" s="1"/>
  <c r="G27" i="26"/>
  <c r="E27" i="26"/>
  <c r="D27" i="26"/>
  <c r="B27" i="26"/>
  <c r="U26" i="26"/>
  <c r="R26" i="26"/>
  <c r="M26" i="26"/>
  <c r="L26" i="26"/>
  <c r="V26" i="26" s="1"/>
  <c r="I26" i="26"/>
  <c r="J26" i="26" s="1"/>
  <c r="N26" i="26" s="1"/>
  <c r="G26" i="26"/>
  <c r="D26" i="26"/>
  <c r="E26" i="26" s="1"/>
  <c r="B26" i="26"/>
  <c r="U25" i="26"/>
  <c r="R25" i="26"/>
  <c r="M25" i="26"/>
  <c r="L25" i="26"/>
  <c r="I25" i="26"/>
  <c r="G25" i="26"/>
  <c r="E25" i="26"/>
  <c r="D25" i="26"/>
  <c r="B25" i="26"/>
  <c r="U24" i="26"/>
  <c r="R24" i="26"/>
  <c r="M24" i="26"/>
  <c r="L24" i="26"/>
  <c r="I24" i="26"/>
  <c r="J24" i="26" s="1"/>
  <c r="N24" i="26" s="1"/>
  <c r="G24" i="26"/>
  <c r="D24" i="26"/>
  <c r="E24" i="26" s="1"/>
  <c r="B24" i="26"/>
  <c r="U23" i="26"/>
  <c r="R23" i="26"/>
  <c r="M23" i="26"/>
  <c r="L23" i="26"/>
  <c r="I23" i="26"/>
  <c r="J23" i="26" s="1"/>
  <c r="G23" i="26"/>
  <c r="E23" i="26"/>
  <c r="D23" i="26"/>
  <c r="B23" i="26"/>
  <c r="U22" i="26"/>
  <c r="R22" i="26"/>
  <c r="M22" i="26"/>
  <c r="L22" i="26"/>
  <c r="I22" i="26"/>
  <c r="G22" i="26"/>
  <c r="D22" i="26"/>
  <c r="E22" i="26" s="1"/>
  <c r="B22" i="26"/>
  <c r="U21" i="26"/>
  <c r="R21" i="26"/>
  <c r="M21" i="26"/>
  <c r="L21" i="26"/>
  <c r="I21" i="26"/>
  <c r="J21" i="26" s="1"/>
  <c r="G21" i="26"/>
  <c r="E21" i="26"/>
  <c r="D21" i="26"/>
  <c r="B21" i="26"/>
  <c r="U20" i="26"/>
  <c r="R20" i="26"/>
  <c r="M20" i="26"/>
  <c r="L20" i="26"/>
  <c r="N20" i="26" s="1"/>
  <c r="J20" i="26"/>
  <c r="I20" i="26"/>
  <c r="G20" i="26"/>
  <c r="D20" i="26"/>
  <c r="E20" i="26" s="1"/>
  <c r="B20" i="26"/>
  <c r="U19" i="26"/>
  <c r="R19" i="26"/>
  <c r="M19" i="26"/>
  <c r="L19" i="26"/>
  <c r="I19" i="26"/>
  <c r="G19" i="26"/>
  <c r="E19" i="26"/>
  <c r="D19" i="26"/>
  <c r="B19" i="26"/>
  <c r="U18" i="26"/>
  <c r="R18" i="26"/>
  <c r="M18" i="26"/>
  <c r="L18" i="26"/>
  <c r="V18" i="26" s="1"/>
  <c r="I18" i="26"/>
  <c r="G18" i="26"/>
  <c r="D18" i="26"/>
  <c r="E18" i="26" s="1"/>
  <c r="B18" i="26"/>
  <c r="U17" i="26"/>
  <c r="R17" i="26"/>
  <c r="M17" i="26"/>
  <c r="L17" i="26"/>
  <c r="I17" i="26"/>
  <c r="G17" i="26"/>
  <c r="E17" i="26"/>
  <c r="D17" i="26"/>
  <c r="B17" i="26"/>
  <c r="U16" i="26"/>
  <c r="V16" i="26" s="1"/>
  <c r="R16" i="26"/>
  <c r="M16" i="26"/>
  <c r="L16" i="26"/>
  <c r="N16" i="26" s="1"/>
  <c r="I16" i="26"/>
  <c r="J16" i="26" s="1"/>
  <c r="G16" i="26"/>
  <c r="D16" i="26"/>
  <c r="E16" i="26" s="1"/>
  <c r="B16" i="26"/>
  <c r="U15" i="26"/>
  <c r="R15" i="26"/>
  <c r="M15" i="26"/>
  <c r="L15" i="26"/>
  <c r="I15" i="26"/>
  <c r="J15" i="26" s="1"/>
  <c r="G15" i="26"/>
  <c r="E15" i="26"/>
  <c r="D15" i="26"/>
  <c r="B15" i="26"/>
  <c r="U14" i="26"/>
  <c r="V14" i="26" s="1"/>
  <c r="R14" i="26"/>
  <c r="M14" i="26"/>
  <c r="L14" i="26"/>
  <c r="I14" i="26"/>
  <c r="J14" i="26" s="1"/>
  <c r="N14" i="26" s="1"/>
  <c r="G14" i="26"/>
  <c r="D14" i="26"/>
  <c r="E14" i="26" s="1"/>
  <c r="B14" i="26"/>
  <c r="U13" i="26"/>
  <c r="R13" i="26"/>
  <c r="M13" i="26"/>
  <c r="L13" i="26"/>
  <c r="I13" i="26"/>
  <c r="G13" i="26"/>
  <c r="E13" i="26"/>
  <c r="D13" i="26"/>
  <c r="B13" i="26"/>
  <c r="U12" i="26"/>
  <c r="R12" i="26"/>
  <c r="M12" i="26"/>
  <c r="L12" i="26"/>
  <c r="V12" i="26" s="1"/>
  <c r="J12" i="26"/>
  <c r="I12" i="26"/>
  <c r="G12" i="26"/>
  <c r="D12" i="26"/>
  <c r="E12" i="26" s="1"/>
  <c r="B12" i="26"/>
  <c r="U11" i="26"/>
  <c r="R11" i="26"/>
  <c r="M11" i="26"/>
  <c r="L11" i="26"/>
  <c r="J11" i="26"/>
  <c r="I11" i="26"/>
  <c r="G11" i="26"/>
  <c r="E11" i="26"/>
  <c r="D11" i="26"/>
  <c r="B11" i="26"/>
  <c r="U10" i="26"/>
  <c r="R10" i="26"/>
  <c r="M10" i="26"/>
  <c r="L10" i="26"/>
  <c r="I10" i="26"/>
  <c r="G10" i="26"/>
  <c r="D10" i="26"/>
  <c r="E10" i="26" s="1"/>
  <c r="B10" i="26"/>
  <c r="U9" i="26"/>
  <c r="R9" i="26"/>
  <c r="M9" i="26"/>
  <c r="L9" i="26"/>
  <c r="I9" i="26"/>
  <c r="G9" i="26"/>
  <c r="E9" i="26"/>
  <c r="D9" i="26"/>
  <c r="B9" i="26"/>
  <c r="U8" i="26"/>
  <c r="R8" i="26"/>
  <c r="M8" i="26"/>
  <c r="L8" i="26"/>
  <c r="I8" i="26"/>
  <c r="J8" i="26" s="1"/>
  <c r="N8" i="26" s="1"/>
  <c r="G8" i="26"/>
  <c r="D8" i="26"/>
  <c r="E8" i="26" s="1"/>
  <c r="B8" i="26"/>
  <c r="U7" i="26"/>
  <c r="R7" i="26"/>
  <c r="M7" i="26"/>
  <c r="L7" i="26"/>
  <c r="I7" i="26"/>
  <c r="G7" i="26"/>
  <c r="E7" i="26"/>
  <c r="D7" i="26"/>
  <c r="B7" i="26"/>
  <c r="U6" i="26"/>
  <c r="R6" i="26"/>
  <c r="M6" i="26"/>
  <c r="L6" i="26"/>
  <c r="I6" i="26"/>
  <c r="G6" i="26"/>
  <c r="D6" i="26"/>
  <c r="E6" i="26" s="1"/>
  <c r="B6" i="26"/>
  <c r="U5" i="26"/>
  <c r="R5" i="26"/>
  <c r="M5" i="26"/>
  <c r="L5" i="26"/>
  <c r="J5" i="26"/>
  <c r="I5" i="26"/>
  <c r="G5" i="26"/>
  <c r="E5" i="26"/>
  <c r="D5" i="26"/>
  <c r="B5" i="26"/>
  <c r="U4" i="26"/>
  <c r="V4" i="26" s="1"/>
  <c r="R4" i="26"/>
  <c r="M4" i="26"/>
  <c r="L4" i="26"/>
  <c r="I4" i="26"/>
  <c r="G4" i="26"/>
  <c r="D4" i="26"/>
  <c r="E4" i="26" s="1"/>
  <c r="J4" i="26" s="1"/>
  <c r="N4" i="26" s="1"/>
  <c r="B4" i="26"/>
  <c r="U3" i="26"/>
  <c r="R3" i="26"/>
  <c r="M3" i="26"/>
  <c r="L3" i="26"/>
  <c r="I3" i="26"/>
  <c r="J3" i="26" s="1"/>
  <c r="N3" i="26" s="1"/>
  <c r="G3" i="26"/>
  <c r="E3" i="26"/>
  <c r="D3" i="26"/>
  <c r="B3" i="26"/>
  <c r="U2" i="26"/>
  <c r="V2" i="26" s="1"/>
  <c r="R2" i="26"/>
  <c r="M2" i="26"/>
  <c r="L2" i="26"/>
  <c r="I2" i="26"/>
  <c r="G2" i="26"/>
  <c r="D2" i="26"/>
  <c r="E2" i="26" s="1"/>
  <c r="B2" i="26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60" i="25"/>
  <c r="W61" i="25"/>
  <c r="W62" i="25"/>
  <c r="W2" i="25"/>
  <c r="X14" i="29" l="1"/>
  <c r="X53" i="29"/>
  <c r="Y53" i="29" s="1"/>
  <c r="X58" i="29"/>
  <c r="X78" i="29"/>
  <c r="Y78" i="29" s="1"/>
  <c r="Z78" i="29" s="1"/>
  <c r="AA78" i="29" s="1"/>
  <c r="X81" i="29"/>
  <c r="Y81" i="29" s="1"/>
  <c r="X103" i="29"/>
  <c r="Y103" i="29" s="1"/>
  <c r="X108" i="29"/>
  <c r="Y108" i="29" s="1"/>
  <c r="X99" i="29"/>
  <c r="Y99" i="29" s="1"/>
  <c r="Z99" i="29" s="1"/>
  <c r="AA99" i="29" s="1"/>
  <c r="X47" i="29"/>
  <c r="Y47" i="29" s="1"/>
  <c r="Z47" i="29" s="1"/>
  <c r="AA47" i="29" s="1"/>
  <c r="X39" i="29"/>
  <c r="Y39" i="29" s="1"/>
  <c r="Z39" i="29" s="1"/>
  <c r="AA39" i="29" s="1"/>
  <c r="Z76" i="29"/>
  <c r="AA76" i="29" s="1"/>
  <c r="X123" i="29"/>
  <c r="Y123" i="29" s="1"/>
  <c r="X84" i="29"/>
  <c r="X105" i="29"/>
  <c r="Y88" i="29"/>
  <c r="Z88" i="29" s="1"/>
  <c r="AA88" i="29" s="1"/>
  <c r="Y96" i="29"/>
  <c r="Z96" i="29" s="1"/>
  <c r="AA96" i="29" s="1"/>
  <c r="Y140" i="29"/>
  <c r="Z140" i="29" s="1"/>
  <c r="AA140" i="29" s="1"/>
  <c r="Y105" i="29"/>
  <c r="Z105" i="29"/>
  <c r="AA105" i="29" s="1"/>
  <c r="Y100" i="29"/>
  <c r="Z100" i="29"/>
  <c r="AA100" i="29" s="1"/>
  <c r="X48" i="29"/>
  <c r="Y48" i="29" s="1"/>
  <c r="Z48" i="29" s="1"/>
  <c r="AA48" i="29" s="1"/>
  <c r="Z71" i="29"/>
  <c r="AA71" i="29" s="1"/>
  <c r="Z97" i="29"/>
  <c r="AA97" i="29" s="1"/>
  <c r="X80" i="29"/>
  <c r="X127" i="29"/>
  <c r="Y127" i="29" s="1"/>
  <c r="X44" i="29"/>
  <c r="X42" i="29"/>
  <c r="X125" i="29"/>
  <c r="Y125" i="29" s="1"/>
  <c r="X60" i="29"/>
  <c r="Y60" i="29" s="1"/>
  <c r="Z60" i="29" s="1"/>
  <c r="AA60" i="29" s="1"/>
  <c r="Z103" i="29"/>
  <c r="AA103" i="29" s="1"/>
  <c r="X43" i="29"/>
  <c r="Y43" i="29" s="1"/>
  <c r="Z43" i="29" s="1"/>
  <c r="AA43" i="29" s="1"/>
  <c r="X46" i="29"/>
  <c r="Y46" i="29" s="1"/>
  <c r="Z46" i="29" s="1"/>
  <c r="AA46" i="29" s="1"/>
  <c r="X20" i="29"/>
  <c r="Y20" i="29" s="1"/>
  <c r="Z20" i="29" s="1"/>
  <c r="AA20" i="29" s="1"/>
  <c r="Z67" i="29"/>
  <c r="AA67" i="29" s="1"/>
  <c r="X73" i="29"/>
  <c r="Y73" i="29" s="1"/>
  <c r="X119" i="29"/>
  <c r="Y119" i="29" s="1"/>
  <c r="Z119" i="29" s="1"/>
  <c r="AA119" i="29" s="1"/>
  <c r="X12" i="29"/>
  <c r="Z122" i="29"/>
  <c r="AA122" i="29" s="1"/>
  <c r="X113" i="29"/>
  <c r="X114" i="29"/>
  <c r="X142" i="29"/>
  <c r="Y142" i="29" s="1"/>
  <c r="Z142" i="29" s="1"/>
  <c r="AA142" i="29" s="1"/>
  <c r="X106" i="29"/>
  <c r="Y106" i="29" s="1"/>
  <c r="Y79" i="29"/>
  <c r="Z79" i="29"/>
  <c r="AA79" i="29" s="1"/>
  <c r="X50" i="29"/>
  <c r="Y50" i="29" s="1"/>
  <c r="Z50" i="29" s="1"/>
  <c r="AA50" i="29" s="1"/>
  <c r="X115" i="29"/>
  <c r="X137" i="29"/>
  <c r="Y120" i="29"/>
  <c r="Z120" i="29" s="1"/>
  <c r="AA120" i="29" s="1"/>
  <c r="Y104" i="29"/>
  <c r="Z104" i="29"/>
  <c r="AA104" i="29" s="1"/>
  <c r="Y82" i="29"/>
  <c r="Z82" i="29"/>
  <c r="AA82" i="29" s="1"/>
  <c r="Y87" i="29"/>
  <c r="Z87" i="29" s="1"/>
  <c r="AA87" i="29" s="1"/>
  <c r="Y69" i="29"/>
  <c r="Z69" i="29"/>
  <c r="AA69" i="29" s="1"/>
  <c r="Y85" i="29"/>
  <c r="Z85" i="29"/>
  <c r="AA85" i="29" s="1"/>
  <c r="Y109" i="29"/>
  <c r="Z109" i="29"/>
  <c r="AA109" i="29" s="1"/>
  <c r="Y133" i="29"/>
  <c r="Z133" i="29" s="1"/>
  <c r="AA133" i="29" s="1"/>
  <c r="X91" i="29"/>
  <c r="Y139" i="29"/>
  <c r="Z139" i="29" s="1"/>
  <c r="AA139" i="29" s="1"/>
  <c r="Y129" i="29"/>
  <c r="Z129" i="29" s="1"/>
  <c r="AA129" i="29" s="1"/>
  <c r="Y94" i="29"/>
  <c r="Z94" i="29" s="1"/>
  <c r="AA94" i="29" s="1"/>
  <c r="Y113" i="29"/>
  <c r="Y83" i="29"/>
  <c r="Z83" i="29" s="1"/>
  <c r="AA83" i="29" s="1"/>
  <c r="X70" i="29"/>
  <c r="Z132" i="29"/>
  <c r="AA132" i="29" s="1"/>
  <c r="Z134" i="29"/>
  <c r="AA134" i="29" s="1"/>
  <c r="X77" i="29"/>
  <c r="X28" i="29"/>
  <c r="Y28" i="29" s="1"/>
  <c r="Z28" i="29" s="1"/>
  <c r="AA28" i="29" s="1"/>
  <c r="X11" i="29"/>
  <c r="Z11" i="29" s="1"/>
  <c r="AA11" i="29" s="1"/>
  <c r="Y92" i="29"/>
  <c r="Z92" i="29" s="1"/>
  <c r="AA92" i="29" s="1"/>
  <c r="Y80" i="29"/>
  <c r="Z80" i="29"/>
  <c r="AA80" i="29" s="1"/>
  <c r="Y84" i="29"/>
  <c r="Z84" i="29" s="1"/>
  <c r="AA84" i="29" s="1"/>
  <c r="Y116" i="29"/>
  <c r="Z116" i="29"/>
  <c r="AA116" i="29" s="1"/>
  <c r="Y98" i="29"/>
  <c r="Z98" i="29"/>
  <c r="AA98" i="29" s="1"/>
  <c r="Z138" i="29"/>
  <c r="AA138" i="29" s="1"/>
  <c r="X35" i="29"/>
  <c r="Y35" i="29" s="1"/>
  <c r="Z35" i="29" s="1"/>
  <c r="AA35" i="29" s="1"/>
  <c r="Z127" i="29"/>
  <c r="AA127" i="29" s="1"/>
  <c r="Y63" i="29"/>
  <c r="Z63" i="29"/>
  <c r="AA63" i="29" s="1"/>
  <c r="X112" i="29"/>
  <c r="Y72" i="29"/>
  <c r="Z72" i="29" s="1"/>
  <c r="AA72" i="29" s="1"/>
  <c r="Y121" i="29"/>
  <c r="Z121" i="29"/>
  <c r="AA121" i="29" s="1"/>
  <c r="X24" i="29"/>
  <c r="Y24" i="29" s="1"/>
  <c r="Z24" i="29" s="1"/>
  <c r="AA24" i="29" s="1"/>
  <c r="X130" i="29"/>
  <c r="X118" i="29"/>
  <c r="X95" i="29"/>
  <c r="Z111" i="29"/>
  <c r="AA111" i="29" s="1"/>
  <c r="X51" i="29"/>
  <c r="Y51" i="29" s="1"/>
  <c r="Z51" i="29" s="1"/>
  <c r="AA51" i="29" s="1"/>
  <c r="X75" i="29"/>
  <c r="X52" i="29"/>
  <c r="Y52" i="29" s="1"/>
  <c r="Z52" i="29" s="1"/>
  <c r="AA52" i="29" s="1"/>
  <c r="X62" i="29"/>
  <c r="Y62" i="29" s="1"/>
  <c r="Z62" i="29" s="1"/>
  <c r="AA62" i="29" s="1"/>
  <c r="X27" i="29"/>
  <c r="Y27" i="29" s="1"/>
  <c r="Z27" i="29" s="1"/>
  <c r="AA27" i="29" s="1"/>
  <c r="Z128" i="29"/>
  <c r="AA128" i="29" s="1"/>
  <c r="X89" i="29"/>
  <c r="X19" i="29"/>
  <c r="Y19" i="29" s="1"/>
  <c r="Z19" i="29" s="1"/>
  <c r="AA19" i="29" s="1"/>
  <c r="X7" i="29"/>
  <c r="Y7" i="29" s="1"/>
  <c r="Z7" i="29" s="1"/>
  <c r="AA7" i="29" s="1"/>
  <c r="X34" i="29"/>
  <c r="Y34" i="29" s="1"/>
  <c r="Z34" i="29" s="1"/>
  <c r="AA34" i="29" s="1"/>
  <c r="Z124" i="29"/>
  <c r="AA124" i="29" s="1"/>
  <c r="Y114" i="29"/>
  <c r="Z114" i="29"/>
  <c r="AA114" i="29" s="1"/>
  <c r="Y101" i="29"/>
  <c r="Z101" i="29"/>
  <c r="AA101" i="29" s="1"/>
  <c r="Y102" i="29"/>
  <c r="Z102" i="29"/>
  <c r="AA102" i="29" s="1"/>
  <c r="Y93" i="29"/>
  <c r="Z93" i="29"/>
  <c r="AA93" i="29" s="1"/>
  <c r="Y107" i="29"/>
  <c r="Z107" i="29"/>
  <c r="AA107" i="29" s="1"/>
  <c r="Y90" i="29"/>
  <c r="Z90" i="29"/>
  <c r="AA90" i="29" s="1"/>
  <c r="Y126" i="29"/>
  <c r="Z126" i="29"/>
  <c r="AA126" i="29" s="1"/>
  <c r="Y91" i="29"/>
  <c r="Z91" i="29" s="1"/>
  <c r="AA91" i="29" s="1"/>
  <c r="Y66" i="29"/>
  <c r="Z66" i="29"/>
  <c r="AA66" i="29" s="1"/>
  <c r="X9" i="29"/>
  <c r="Z53" i="29"/>
  <c r="AA53" i="29" s="1"/>
  <c r="X10" i="29"/>
  <c r="X38" i="29"/>
  <c r="X8" i="29"/>
  <c r="Y8" i="29" s="1"/>
  <c r="Z8" i="29" s="1"/>
  <c r="AA8" i="29" s="1"/>
  <c r="X5" i="29"/>
  <c r="Y5" i="29" s="1"/>
  <c r="Z5" i="29" s="1"/>
  <c r="AA5" i="29" s="1"/>
  <c r="X16" i="29"/>
  <c r="Y16" i="29" s="1"/>
  <c r="Z16" i="29" s="1"/>
  <c r="AA16" i="29" s="1"/>
  <c r="X4" i="29"/>
  <c r="Y4" i="29" s="1"/>
  <c r="Z4" i="29" s="1"/>
  <c r="AA4" i="29" s="1"/>
  <c r="X6" i="29"/>
  <c r="Y6" i="29" s="1"/>
  <c r="Z21" i="29"/>
  <c r="AA21" i="29" s="1"/>
  <c r="X26" i="29"/>
  <c r="Y26" i="29" s="1"/>
  <c r="Z26" i="29" s="1"/>
  <c r="AA26" i="29" s="1"/>
  <c r="X17" i="29"/>
  <c r="Y17" i="29" s="1"/>
  <c r="Z17" i="29" s="1"/>
  <c r="AA17" i="29" s="1"/>
  <c r="Y56" i="29"/>
  <c r="Z56" i="29" s="1"/>
  <c r="AA56" i="29" s="1"/>
  <c r="Y30" i="29"/>
  <c r="Z30" i="29" s="1"/>
  <c r="Y10" i="29"/>
  <c r="Z10" i="29" s="1"/>
  <c r="AA10" i="29" s="1"/>
  <c r="Y2" i="29"/>
  <c r="Z2" i="29" s="1"/>
  <c r="AA2" i="29" s="1"/>
  <c r="Y54" i="29"/>
  <c r="Z54" i="29" s="1"/>
  <c r="AA54" i="29" s="1"/>
  <c r="Y36" i="29"/>
  <c r="Z36" i="29" s="1"/>
  <c r="AA36" i="29" s="1"/>
  <c r="Y37" i="29"/>
  <c r="Z37" i="29" s="1"/>
  <c r="AA37" i="29" s="1"/>
  <c r="Y15" i="29"/>
  <c r="Z15" i="29" s="1"/>
  <c r="AA15" i="29" s="1"/>
  <c r="X40" i="29"/>
  <c r="Y33" i="29"/>
  <c r="Z33" i="29" s="1"/>
  <c r="AA33" i="29" s="1"/>
  <c r="Y12" i="29"/>
  <c r="Z12" i="29" s="1"/>
  <c r="AA12" i="29" s="1"/>
  <c r="Y3" i="29"/>
  <c r="Z3" i="29" s="1"/>
  <c r="AA3" i="29" s="1"/>
  <c r="X25" i="29"/>
  <c r="X49" i="29"/>
  <c r="X41" i="29"/>
  <c r="X18" i="29"/>
  <c r="X32" i="29"/>
  <c r="AA29" i="29"/>
  <c r="Y23" i="29"/>
  <c r="Z23" i="29"/>
  <c r="AA23" i="29" s="1"/>
  <c r="Y57" i="29"/>
  <c r="Z57" i="29" s="1"/>
  <c r="AA57" i="29" s="1"/>
  <c r="Y58" i="29"/>
  <c r="Z58" i="29" s="1"/>
  <c r="AA58" i="29" s="1"/>
  <c r="Y44" i="29"/>
  <c r="Z44" i="29" s="1"/>
  <c r="AA44" i="29" s="1"/>
  <c r="Y42" i="29"/>
  <c r="Z42" i="29" s="1"/>
  <c r="AA42" i="29" s="1"/>
  <c r="Y31" i="29"/>
  <c r="Z31" i="29" s="1"/>
  <c r="AA31" i="29" s="1"/>
  <c r="Y22" i="29"/>
  <c r="Z22" i="29" s="1"/>
  <c r="AA22" i="29" s="1"/>
  <c r="Y14" i="29"/>
  <c r="Z14" i="29" s="1"/>
  <c r="AA14" i="29" s="1"/>
  <c r="X13" i="29"/>
  <c r="Y38" i="29"/>
  <c r="Z38" i="29" s="1"/>
  <c r="AA38" i="29" s="1"/>
  <c r="Y11" i="29"/>
  <c r="Y9" i="29"/>
  <c r="Z9" i="29" s="1"/>
  <c r="AA9" i="29" s="1"/>
  <c r="Y55" i="29"/>
  <c r="Z55" i="29" s="1"/>
  <c r="AA55" i="29" s="1"/>
  <c r="Y45" i="29"/>
  <c r="Z45" i="29"/>
  <c r="AA45" i="29" s="1"/>
  <c r="V6" i="26"/>
  <c r="V24" i="26"/>
  <c r="V52" i="26"/>
  <c r="V5" i="26"/>
  <c r="V42" i="26"/>
  <c r="V22" i="26"/>
  <c r="Z66" i="26"/>
  <c r="AA66" i="26" s="1"/>
  <c r="Z65" i="26"/>
  <c r="AA65" i="26" s="1"/>
  <c r="Z64" i="26"/>
  <c r="AA64" i="26" s="1"/>
  <c r="Z63" i="26"/>
  <c r="AA63" i="26" s="1"/>
  <c r="X16" i="26"/>
  <c r="Y16" i="26" s="1"/>
  <c r="Z16" i="26" s="1"/>
  <c r="AA16" i="26" s="1"/>
  <c r="V28" i="26"/>
  <c r="V38" i="26"/>
  <c r="N32" i="26"/>
  <c r="N42" i="26"/>
  <c r="X24" i="26"/>
  <c r="Y24" i="26" s="1"/>
  <c r="Z24" i="26" s="1"/>
  <c r="AA24" i="26" s="1"/>
  <c r="N12" i="26"/>
  <c r="X12" i="26" s="1"/>
  <c r="Y12" i="26" s="1"/>
  <c r="Z12" i="26" s="1"/>
  <c r="AA12" i="26" s="1"/>
  <c r="X34" i="26"/>
  <c r="Y34" i="26" s="1"/>
  <c r="X54" i="26"/>
  <c r="Y54" i="26" s="1"/>
  <c r="Z54" i="26" s="1"/>
  <c r="AA54" i="26" s="1"/>
  <c r="X4" i="26"/>
  <c r="Y4" i="26" s="1"/>
  <c r="Z4" i="26" s="1"/>
  <c r="AA4" i="26" s="1"/>
  <c r="V10" i="26"/>
  <c r="X42" i="26"/>
  <c r="Y42" i="26" s="1"/>
  <c r="Z42" i="26" s="1"/>
  <c r="AA42" i="26" s="1"/>
  <c r="V46" i="26"/>
  <c r="X46" i="26" s="1"/>
  <c r="X30" i="26"/>
  <c r="Y30" i="26" s="1"/>
  <c r="Z30" i="26" s="1"/>
  <c r="AA30" i="26" s="1"/>
  <c r="V56" i="26"/>
  <c r="X56" i="26" s="1"/>
  <c r="Y56" i="26" s="1"/>
  <c r="Z56" i="26" s="1"/>
  <c r="AA56" i="26" s="1"/>
  <c r="V34" i="26"/>
  <c r="X60" i="26"/>
  <c r="Y60" i="26" s="1"/>
  <c r="Z60" i="26" s="1"/>
  <c r="AA60" i="26" s="1"/>
  <c r="V8" i="26"/>
  <c r="X8" i="26" s="1"/>
  <c r="V44" i="26"/>
  <c r="V32" i="26"/>
  <c r="X32" i="26" s="1"/>
  <c r="Y32" i="26" s="1"/>
  <c r="Z32" i="26" s="1"/>
  <c r="X38" i="26"/>
  <c r="Y38" i="26" s="1"/>
  <c r="Z38" i="26" s="1"/>
  <c r="AA38" i="26" s="1"/>
  <c r="V20" i="26"/>
  <c r="X20" i="26" s="1"/>
  <c r="Y20" i="26" s="1"/>
  <c r="Z20" i="26" s="1"/>
  <c r="AA20" i="26" s="1"/>
  <c r="X26" i="26"/>
  <c r="Y26" i="26" s="1"/>
  <c r="Z26" i="26" s="1"/>
  <c r="AA26" i="26" s="1"/>
  <c r="V62" i="26"/>
  <c r="X62" i="26" s="1"/>
  <c r="Y62" i="26" s="1"/>
  <c r="Z62" i="26" s="1"/>
  <c r="AA62" i="26" s="1"/>
  <c r="N36" i="26"/>
  <c r="X36" i="26" s="1"/>
  <c r="Y36" i="26" s="1"/>
  <c r="Z36" i="26" s="1"/>
  <c r="AA36" i="26" s="1"/>
  <c r="V40" i="26"/>
  <c r="J17" i="26"/>
  <c r="N17" i="26" s="1"/>
  <c r="J57" i="26"/>
  <c r="N57" i="26" s="1"/>
  <c r="J2" i="26"/>
  <c r="N2" i="26" s="1"/>
  <c r="X2" i="26" s="1"/>
  <c r="J6" i="26"/>
  <c r="N6" i="26" s="1"/>
  <c r="X6" i="26" s="1"/>
  <c r="V33" i="26"/>
  <c r="N33" i="26"/>
  <c r="V11" i="26"/>
  <c r="N11" i="26"/>
  <c r="X11" i="26" s="1"/>
  <c r="J51" i="26"/>
  <c r="J48" i="26"/>
  <c r="N48" i="26" s="1"/>
  <c r="X48" i="26" s="1"/>
  <c r="X50" i="26"/>
  <c r="J39" i="26"/>
  <c r="J18" i="26"/>
  <c r="N18" i="26" s="1"/>
  <c r="X18" i="26" s="1"/>
  <c r="X44" i="26"/>
  <c r="J9" i="26"/>
  <c r="J25" i="26"/>
  <c r="V41" i="26"/>
  <c r="N41" i="26"/>
  <c r="X41" i="26" s="1"/>
  <c r="X14" i="26"/>
  <c r="J13" i="26"/>
  <c r="N13" i="26" s="1"/>
  <c r="V21" i="26"/>
  <c r="N21" i="26"/>
  <c r="V29" i="26"/>
  <c r="N29" i="26"/>
  <c r="X29" i="26" s="1"/>
  <c r="J22" i="26"/>
  <c r="N22" i="26" s="1"/>
  <c r="J43" i="26"/>
  <c r="V17" i="26"/>
  <c r="J52" i="26"/>
  <c r="N52" i="26" s="1"/>
  <c r="X52" i="26" s="1"/>
  <c r="V57" i="26"/>
  <c r="J10" i="26"/>
  <c r="N10" i="26" s="1"/>
  <c r="J31" i="26"/>
  <c r="V39" i="26"/>
  <c r="N39" i="26"/>
  <c r="V47" i="26"/>
  <c r="N47" i="26"/>
  <c r="X47" i="26" s="1"/>
  <c r="J58" i="26"/>
  <c r="N58" i="26" s="1"/>
  <c r="X58" i="26" s="1"/>
  <c r="N5" i="26"/>
  <c r="X5" i="26" s="1"/>
  <c r="J40" i="26"/>
  <c r="N40" i="26" s="1"/>
  <c r="J19" i="26"/>
  <c r="V27" i="26"/>
  <c r="N27" i="26"/>
  <c r="V35" i="26"/>
  <c r="N35" i="26"/>
  <c r="X35" i="26" s="1"/>
  <c r="J28" i="26"/>
  <c r="N28" i="26" s="1"/>
  <c r="X28" i="26" s="1"/>
  <c r="J49" i="26"/>
  <c r="N49" i="26" s="1"/>
  <c r="V3" i="26"/>
  <c r="X3" i="26" s="1"/>
  <c r="J7" i="26"/>
  <c r="N7" i="26" s="1"/>
  <c r="V15" i="26"/>
  <c r="N15" i="26"/>
  <c r="X15" i="26" s="1"/>
  <c r="V23" i="26"/>
  <c r="N23" i="26"/>
  <c r="V53" i="26"/>
  <c r="N53" i="26"/>
  <c r="V51" i="26"/>
  <c r="N51" i="26"/>
  <c r="X51" i="26" s="1"/>
  <c r="V9" i="26"/>
  <c r="N9" i="26"/>
  <c r="V45" i="26"/>
  <c r="N45" i="26"/>
  <c r="X45" i="26" s="1"/>
  <c r="V59" i="26"/>
  <c r="N59" i="26"/>
  <c r="X59" i="26" s="1"/>
  <c r="V7" i="26"/>
  <c r="V13" i="26"/>
  <c r="V19" i="26"/>
  <c r="N19" i="26"/>
  <c r="X19" i="26" s="1"/>
  <c r="V25" i="26"/>
  <c r="N25" i="26"/>
  <c r="X25" i="26" s="1"/>
  <c r="V31" i="26"/>
  <c r="N31" i="26"/>
  <c r="V37" i="26"/>
  <c r="N37" i="26"/>
  <c r="X37" i="26" s="1"/>
  <c r="V43" i="26"/>
  <c r="N43" i="26"/>
  <c r="X43" i="26" s="1"/>
  <c r="V49" i="26"/>
  <c r="V55" i="26"/>
  <c r="N55" i="26"/>
  <c r="V61" i="26"/>
  <c r="N61" i="26"/>
  <c r="X61" i="26" s="1"/>
  <c r="U62" i="25"/>
  <c r="R62" i="25"/>
  <c r="M62" i="25"/>
  <c r="L62" i="25"/>
  <c r="I62" i="25"/>
  <c r="G62" i="25"/>
  <c r="D62" i="25"/>
  <c r="E62" i="25" s="1"/>
  <c r="J62" i="25" s="1"/>
  <c r="B62" i="25"/>
  <c r="U61" i="25"/>
  <c r="R61" i="25"/>
  <c r="M61" i="25"/>
  <c r="L61" i="25"/>
  <c r="I61" i="25"/>
  <c r="G61" i="25"/>
  <c r="D61" i="25"/>
  <c r="E61" i="25" s="1"/>
  <c r="B61" i="25"/>
  <c r="U60" i="25"/>
  <c r="R60" i="25"/>
  <c r="M60" i="25"/>
  <c r="L60" i="25"/>
  <c r="I60" i="25"/>
  <c r="G60" i="25"/>
  <c r="D60" i="25"/>
  <c r="E60" i="25" s="1"/>
  <c r="B60" i="25"/>
  <c r="U59" i="25"/>
  <c r="R59" i="25"/>
  <c r="M59" i="25"/>
  <c r="L59" i="25"/>
  <c r="I59" i="25"/>
  <c r="G59" i="25"/>
  <c r="D59" i="25"/>
  <c r="E59" i="25" s="1"/>
  <c r="B59" i="25"/>
  <c r="U58" i="25"/>
  <c r="R58" i="25"/>
  <c r="M58" i="25"/>
  <c r="L58" i="25"/>
  <c r="I58" i="25"/>
  <c r="G58" i="25"/>
  <c r="D58" i="25"/>
  <c r="E58" i="25" s="1"/>
  <c r="B58" i="25"/>
  <c r="U57" i="25"/>
  <c r="R57" i="25"/>
  <c r="M57" i="25"/>
  <c r="L57" i="25"/>
  <c r="I57" i="25"/>
  <c r="G57" i="25"/>
  <c r="D57" i="25"/>
  <c r="E57" i="25" s="1"/>
  <c r="B57" i="25"/>
  <c r="U56" i="25"/>
  <c r="R56" i="25"/>
  <c r="M56" i="25"/>
  <c r="L56" i="25"/>
  <c r="I56" i="25"/>
  <c r="G56" i="25"/>
  <c r="D56" i="25"/>
  <c r="E56" i="25" s="1"/>
  <c r="J56" i="25" s="1"/>
  <c r="N56" i="25" s="1"/>
  <c r="B56" i="25"/>
  <c r="U55" i="25"/>
  <c r="R55" i="25"/>
  <c r="M55" i="25"/>
  <c r="L55" i="25"/>
  <c r="I55" i="25"/>
  <c r="G55" i="25"/>
  <c r="D55" i="25"/>
  <c r="E55" i="25" s="1"/>
  <c r="B55" i="25"/>
  <c r="U54" i="25"/>
  <c r="R54" i="25"/>
  <c r="M54" i="25"/>
  <c r="L54" i="25"/>
  <c r="I54" i="25"/>
  <c r="G54" i="25"/>
  <c r="D54" i="25"/>
  <c r="E54" i="25" s="1"/>
  <c r="B54" i="25"/>
  <c r="U53" i="25"/>
  <c r="R53" i="25"/>
  <c r="M53" i="25"/>
  <c r="L53" i="25"/>
  <c r="I53" i="25"/>
  <c r="G53" i="25"/>
  <c r="D53" i="25"/>
  <c r="E53" i="25" s="1"/>
  <c r="J53" i="25" s="1"/>
  <c r="B53" i="25"/>
  <c r="U52" i="25"/>
  <c r="R52" i="25"/>
  <c r="M52" i="25"/>
  <c r="L52" i="25"/>
  <c r="I52" i="25"/>
  <c r="G52" i="25"/>
  <c r="D52" i="25"/>
  <c r="E52" i="25" s="1"/>
  <c r="B52" i="25"/>
  <c r="U51" i="25"/>
  <c r="R51" i="25"/>
  <c r="M51" i="25"/>
  <c r="L51" i="25"/>
  <c r="I51" i="25"/>
  <c r="G51" i="25"/>
  <c r="D51" i="25"/>
  <c r="E51" i="25" s="1"/>
  <c r="B51" i="25"/>
  <c r="U50" i="25"/>
  <c r="R50" i="25"/>
  <c r="M50" i="25"/>
  <c r="L50" i="25"/>
  <c r="I50" i="25"/>
  <c r="G50" i="25"/>
  <c r="D50" i="25"/>
  <c r="E50" i="25" s="1"/>
  <c r="J50" i="25" s="1"/>
  <c r="B50" i="25"/>
  <c r="U49" i="25"/>
  <c r="R49" i="25"/>
  <c r="M49" i="25"/>
  <c r="L49" i="25"/>
  <c r="I49" i="25"/>
  <c r="G49" i="25"/>
  <c r="D49" i="25"/>
  <c r="E49" i="25" s="1"/>
  <c r="B49" i="25"/>
  <c r="U48" i="25"/>
  <c r="R48" i="25"/>
  <c r="M48" i="25"/>
  <c r="L48" i="25"/>
  <c r="I48" i="25"/>
  <c r="G48" i="25"/>
  <c r="D48" i="25"/>
  <c r="E48" i="25" s="1"/>
  <c r="J48" i="25" s="1"/>
  <c r="B48" i="25"/>
  <c r="U47" i="25"/>
  <c r="R47" i="25"/>
  <c r="M47" i="25"/>
  <c r="L47" i="25"/>
  <c r="I47" i="25"/>
  <c r="G47" i="25"/>
  <c r="D47" i="25"/>
  <c r="E47" i="25" s="1"/>
  <c r="B47" i="25"/>
  <c r="U46" i="25"/>
  <c r="R46" i="25"/>
  <c r="M46" i="25"/>
  <c r="L46" i="25"/>
  <c r="I46" i="25"/>
  <c r="G46" i="25"/>
  <c r="D46" i="25"/>
  <c r="E46" i="25" s="1"/>
  <c r="B46" i="25"/>
  <c r="U45" i="25"/>
  <c r="R45" i="25"/>
  <c r="M45" i="25"/>
  <c r="L45" i="25"/>
  <c r="I45" i="25"/>
  <c r="G45" i="25"/>
  <c r="D45" i="25"/>
  <c r="E45" i="25" s="1"/>
  <c r="B45" i="25"/>
  <c r="U44" i="25"/>
  <c r="R44" i="25"/>
  <c r="M44" i="25"/>
  <c r="L44" i="25"/>
  <c r="I44" i="25"/>
  <c r="G44" i="25"/>
  <c r="D44" i="25"/>
  <c r="E44" i="25" s="1"/>
  <c r="B44" i="25"/>
  <c r="U43" i="25"/>
  <c r="R43" i="25"/>
  <c r="M43" i="25"/>
  <c r="L43" i="25"/>
  <c r="I43" i="25"/>
  <c r="G43" i="25"/>
  <c r="D43" i="25"/>
  <c r="E43" i="25" s="1"/>
  <c r="B43" i="25"/>
  <c r="U42" i="25"/>
  <c r="R42" i="25"/>
  <c r="M42" i="25"/>
  <c r="L42" i="25"/>
  <c r="I42" i="25"/>
  <c r="G42" i="25"/>
  <c r="D42" i="25"/>
  <c r="E42" i="25" s="1"/>
  <c r="B42" i="25"/>
  <c r="U41" i="25"/>
  <c r="R41" i="25"/>
  <c r="M41" i="25"/>
  <c r="L41" i="25"/>
  <c r="I41" i="25"/>
  <c r="G41" i="25"/>
  <c r="D41" i="25"/>
  <c r="E41" i="25" s="1"/>
  <c r="B41" i="25"/>
  <c r="U40" i="25"/>
  <c r="R40" i="25"/>
  <c r="M40" i="25"/>
  <c r="L40" i="25"/>
  <c r="I40" i="25"/>
  <c r="G40" i="25"/>
  <c r="D40" i="25"/>
  <c r="E40" i="25" s="1"/>
  <c r="B40" i="25"/>
  <c r="U39" i="25"/>
  <c r="R39" i="25"/>
  <c r="M39" i="25"/>
  <c r="L39" i="25"/>
  <c r="I39" i="25"/>
  <c r="G39" i="25"/>
  <c r="D39" i="25"/>
  <c r="E39" i="25" s="1"/>
  <c r="B39" i="25"/>
  <c r="U38" i="25"/>
  <c r="R38" i="25"/>
  <c r="M38" i="25"/>
  <c r="L38" i="25"/>
  <c r="I38" i="25"/>
  <c r="G38" i="25"/>
  <c r="D38" i="25"/>
  <c r="E38" i="25" s="1"/>
  <c r="J38" i="25" s="1"/>
  <c r="B38" i="25"/>
  <c r="U37" i="25"/>
  <c r="R37" i="25"/>
  <c r="M37" i="25"/>
  <c r="L37" i="25"/>
  <c r="I37" i="25"/>
  <c r="G37" i="25"/>
  <c r="D37" i="25"/>
  <c r="E37" i="25" s="1"/>
  <c r="B37" i="25"/>
  <c r="U36" i="25"/>
  <c r="R36" i="25"/>
  <c r="M36" i="25"/>
  <c r="L36" i="25"/>
  <c r="I36" i="25"/>
  <c r="G36" i="25"/>
  <c r="D36" i="25"/>
  <c r="E36" i="25" s="1"/>
  <c r="B36" i="25"/>
  <c r="U35" i="25"/>
  <c r="R35" i="25"/>
  <c r="M35" i="25"/>
  <c r="L35" i="25"/>
  <c r="I35" i="25"/>
  <c r="G35" i="25"/>
  <c r="D35" i="25"/>
  <c r="E35" i="25" s="1"/>
  <c r="B35" i="25"/>
  <c r="U34" i="25"/>
  <c r="R34" i="25"/>
  <c r="M34" i="25"/>
  <c r="L34" i="25"/>
  <c r="I34" i="25"/>
  <c r="G34" i="25"/>
  <c r="D34" i="25"/>
  <c r="E34" i="25" s="1"/>
  <c r="B34" i="25"/>
  <c r="U33" i="25"/>
  <c r="R33" i="25"/>
  <c r="M33" i="25"/>
  <c r="L33" i="25"/>
  <c r="I33" i="25"/>
  <c r="G33" i="25"/>
  <c r="D33" i="25"/>
  <c r="E33" i="25" s="1"/>
  <c r="B33" i="25"/>
  <c r="U32" i="25"/>
  <c r="R32" i="25"/>
  <c r="M32" i="25"/>
  <c r="L32" i="25"/>
  <c r="I32" i="25"/>
  <c r="G32" i="25"/>
  <c r="D32" i="25"/>
  <c r="E32" i="25" s="1"/>
  <c r="J32" i="25" s="1"/>
  <c r="B32" i="25"/>
  <c r="U31" i="25"/>
  <c r="R31" i="25"/>
  <c r="M31" i="25"/>
  <c r="L31" i="25"/>
  <c r="V31" i="25" s="1"/>
  <c r="I31" i="25"/>
  <c r="G31" i="25"/>
  <c r="D31" i="25"/>
  <c r="E31" i="25" s="1"/>
  <c r="B31" i="25"/>
  <c r="U30" i="25"/>
  <c r="R30" i="25"/>
  <c r="M30" i="25"/>
  <c r="L30" i="25"/>
  <c r="I30" i="25"/>
  <c r="G30" i="25"/>
  <c r="D30" i="25"/>
  <c r="E30" i="25" s="1"/>
  <c r="B30" i="25"/>
  <c r="U29" i="25"/>
  <c r="R29" i="25"/>
  <c r="M29" i="25"/>
  <c r="L29" i="25"/>
  <c r="I29" i="25"/>
  <c r="G29" i="25"/>
  <c r="D29" i="25"/>
  <c r="E29" i="25" s="1"/>
  <c r="B29" i="25"/>
  <c r="U28" i="25"/>
  <c r="R28" i="25"/>
  <c r="M28" i="25"/>
  <c r="L28" i="25"/>
  <c r="I28" i="25"/>
  <c r="G28" i="25"/>
  <c r="D28" i="25"/>
  <c r="E28" i="25" s="1"/>
  <c r="B28" i="25"/>
  <c r="U27" i="25"/>
  <c r="R27" i="25"/>
  <c r="M27" i="25"/>
  <c r="L27" i="25"/>
  <c r="I27" i="25"/>
  <c r="G27" i="25"/>
  <c r="D27" i="25"/>
  <c r="E27" i="25" s="1"/>
  <c r="B27" i="25"/>
  <c r="U26" i="25"/>
  <c r="R26" i="25"/>
  <c r="M26" i="25"/>
  <c r="L26" i="25"/>
  <c r="I26" i="25"/>
  <c r="G26" i="25"/>
  <c r="D26" i="25"/>
  <c r="E26" i="25" s="1"/>
  <c r="J26" i="25" s="1"/>
  <c r="B26" i="25"/>
  <c r="U25" i="25"/>
  <c r="R25" i="25"/>
  <c r="M25" i="25"/>
  <c r="L25" i="25"/>
  <c r="I25" i="25"/>
  <c r="G25" i="25"/>
  <c r="D25" i="25"/>
  <c r="E25" i="25" s="1"/>
  <c r="B25" i="25"/>
  <c r="U24" i="25"/>
  <c r="R24" i="25"/>
  <c r="M24" i="25"/>
  <c r="L24" i="25"/>
  <c r="I24" i="25"/>
  <c r="G24" i="25"/>
  <c r="D24" i="25"/>
  <c r="E24" i="25" s="1"/>
  <c r="B24" i="25"/>
  <c r="U23" i="25"/>
  <c r="R23" i="25"/>
  <c r="M23" i="25"/>
  <c r="L23" i="25"/>
  <c r="I23" i="25"/>
  <c r="G23" i="25"/>
  <c r="D23" i="25"/>
  <c r="E23" i="25" s="1"/>
  <c r="B23" i="25"/>
  <c r="U22" i="25"/>
  <c r="R22" i="25"/>
  <c r="M22" i="25"/>
  <c r="L22" i="25"/>
  <c r="I22" i="25"/>
  <c r="G22" i="25"/>
  <c r="D22" i="25"/>
  <c r="E22" i="25" s="1"/>
  <c r="B22" i="25"/>
  <c r="U21" i="25"/>
  <c r="R21" i="25"/>
  <c r="M21" i="25"/>
  <c r="L21" i="25"/>
  <c r="I21" i="25"/>
  <c r="G21" i="25"/>
  <c r="D21" i="25"/>
  <c r="E21" i="25" s="1"/>
  <c r="B21" i="25"/>
  <c r="U20" i="25"/>
  <c r="R20" i="25"/>
  <c r="M20" i="25"/>
  <c r="L20" i="25"/>
  <c r="I20" i="25"/>
  <c r="G20" i="25"/>
  <c r="D20" i="25"/>
  <c r="E20" i="25" s="1"/>
  <c r="J20" i="25" s="1"/>
  <c r="B20" i="25"/>
  <c r="U19" i="25"/>
  <c r="R19" i="25"/>
  <c r="M19" i="25"/>
  <c r="L19" i="25"/>
  <c r="I19" i="25"/>
  <c r="G19" i="25"/>
  <c r="D19" i="25"/>
  <c r="E19" i="25" s="1"/>
  <c r="B19" i="25"/>
  <c r="U18" i="25"/>
  <c r="R18" i="25"/>
  <c r="M18" i="25"/>
  <c r="L18" i="25"/>
  <c r="I18" i="25"/>
  <c r="G18" i="25"/>
  <c r="D18" i="25"/>
  <c r="E18" i="25" s="1"/>
  <c r="B18" i="25"/>
  <c r="U17" i="25"/>
  <c r="R17" i="25"/>
  <c r="M17" i="25"/>
  <c r="L17" i="25"/>
  <c r="I17" i="25"/>
  <c r="G17" i="25"/>
  <c r="D17" i="25"/>
  <c r="E17" i="25" s="1"/>
  <c r="B17" i="25"/>
  <c r="U16" i="25"/>
  <c r="R16" i="25"/>
  <c r="M16" i="25"/>
  <c r="L16" i="25"/>
  <c r="I16" i="25"/>
  <c r="G16" i="25"/>
  <c r="D16" i="25"/>
  <c r="E16" i="25" s="1"/>
  <c r="B16" i="25"/>
  <c r="U15" i="25"/>
  <c r="R15" i="25"/>
  <c r="M15" i="25"/>
  <c r="L15" i="25"/>
  <c r="I15" i="25"/>
  <c r="G15" i="25"/>
  <c r="D15" i="25"/>
  <c r="E15" i="25" s="1"/>
  <c r="B15" i="25"/>
  <c r="U14" i="25"/>
  <c r="R14" i="25"/>
  <c r="M14" i="25"/>
  <c r="L14" i="25"/>
  <c r="I14" i="25"/>
  <c r="G14" i="25"/>
  <c r="D14" i="25"/>
  <c r="E14" i="25" s="1"/>
  <c r="B14" i="25"/>
  <c r="U13" i="25"/>
  <c r="R13" i="25"/>
  <c r="M13" i="25"/>
  <c r="L13" i="25"/>
  <c r="I13" i="25"/>
  <c r="G13" i="25"/>
  <c r="D13" i="25"/>
  <c r="E13" i="25" s="1"/>
  <c r="B13" i="25"/>
  <c r="U12" i="25"/>
  <c r="R12" i="25"/>
  <c r="M12" i="25"/>
  <c r="L12" i="25"/>
  <c r="I12" i="25"/>
  <c r="G12" i="25"/>
  <c r="D12" i="25"/>
  <c r="E12" i="25" s="1"/>
  <c r="B12" i="25"/>
  <c r="U11" i="25"/>
  <c r="R11" i="25"/>
  <c r="M11" i="25"/>
  <c r="L11" i="25"/>
  <c r="I11" i="25"/>
  <c r="G11" i="25"/>
  <c r="D11" i="25"/>
  <c r="E11" i="25" s="1"/>
  <c r="B11" i="25"/>
  <c r="U10" i="25"/>
  <c r="R10" i="25"/>
  <c r="M10" i="25"/>
  <c r="L10" i="25"/>
  <c r="I10" i="25"/>
  <c r="G10" i="25"/>
  <c r="D10" i="25"/>
  <c r="E10" i="25" s="1"/>
  <c r="B10" i="25"/>
  <c r="U9" i="25"/>
  <c r="R9" i="25"/>
  <c r="M9" i="25"/>
  <c r="L9" i="25"/>
  <c r="V9" i="25" s="1"/>
  <c r="I9" i="25"/>
  <c r="G9" i="25"/>
  <c r="D9" i="25"/>
  <c r="E9" i="25" s="1"/>
  <c r="B9" i="25"/>
  <c r="U8" i="25"/>
  <c r="R8" i="25"/>
  <c r="M8" i="25"/>
  <c r="L8" i="25"/>
  <c r="I8" i="25"/>
  <c r="G8" i="25"/>
  <c r="D8" i="25"/>
  <c r="E8" i="25" s="1"/>
  <c r="B8" i="25"/>
  <c r="U7" i="25"/>
  <c r="R7" i="25"/>
  <c r="M7" i="25"/>
  <c r="L7" i="25"/>
  <c r="V7" i="25" s="1"/>
  <c r="I7" i="25"/>
  <c r="G7" i="25"/>
  <c r="D7" i="25"/>
  <c r="E7" i="25" s="1"/>
  <c r="B7" i="25"/>
  <c r="U6" i="25"/>
  <c r="R6" i="25"/>
  <c r="M6" i="25"/>
  <c r="L6" i="25"/>
  <c r="I6" i="25"/>
  <c r="G6" i="25"/>
  <c r="D6" i="25"/>
  <c r="E6" i="25" s="1"/>
  <c r="B6" i="25"/>
  <c r="U5" i="25"/>
  <c r="R5" i="25"/>
  <c r="M5" i="25"/>
  <c r="L5" i="25"/>
  <c r="I5" i="25"/>
  <c r="G5" i="25"/>
  <c r="D5" i="25"/>
  <c r="E5" i="25" s="1"/>
  <c r="B5" i="25"/>
  <c r="U4" i="25"/>
  <c r="R4" i="25"/>
  <c r="M4" i="25"/>
  <c r="L4" i="25"/>
  <c r="I4" i="25"/>
  <c r="G4" i="25"/>
  <c r="D4" i="25"/>
  <c r="E4" i="25" s="1"/>
  <c r="B4" i="25"/>
  <c r="U3" i="25"/>
  <c r="R3" i="25"/>
  <c r="M3" i="25"/>
  <c r="L3" i="25"/>
  <c r="I3" i="25"/>
  <c r="G3" i="25"/>
  <c r="D3" i="25"/>
  <c r="E3" i="25" s="1"/>
  <c r="B3" i="25"/>
  <c r="U2" i="25"/>
  <c r="R2" i="25"/>
  <c r="M2" i="25"/>
  <c r="L2" i="25"/>
  <c r="I2" i="25"/>
  <c r="G2" i="25"/>
  <c r="D2" i="25"/>
  <c r="E2" i="25" s="1"/>
  <c r="J2" i="25" s="1"/>
  <c r="B2" i="25"/>
  <c r="W3" i="24"/>
  <c r="W4" i="24"/>
  <c r="W5" i="24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W2" i="24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47" i="24"/>
  <c r="S48" i="24"/>
  <c r="S49" i="24"/>
  <c r="S50" i="24"/>
  <c r="S51" i="24"/>
  <c r="S52" i="24"/>
  <c r="S53" i="24"/>
  <c r="S54" i="24"/>
  <c r="S55" i="24"/>
  <c r="S56" i="24"/>
  <c r="S57" i="24"/>
  <c r="S58" i="24"/>
  <c r="S59" i="24"/>
  <c r="S60" i="24"/>
  <c r="S61" i="24"/>
  <c r="S62" i="24"/>
  <c r="S63" i="24"/>
  <c r="S64" i="24"/>
  <c r="S65" i="24"/>
  <c r="S66" i="24"/>
  <c r="S67" i="24"/>
  <c r="S68" i="24"/>
  <c r="S69" i="24"/>
  <c r="S70" i="24"/>
  <c r="S71" i="24"/>
  <c r="S72" i="24"/>
  <c r="S73" i="24"/>
  <c r="S74" i="24"/>
  <c r="S75" i="24"/>
  <c r="S76" i="24"/>
  <c r="S77" i="24"/>
  <c r="S78" i="24"/>
  <c r="S79" i="24"/>
  <c r="S80" i="24"/>
  <c r="S81" i="24"/>
  <c r="S82" i="24"/>
  <c r="S83" i="24"/>
  <c r="S84" i="24"/>
  <c r="S85" i="24"/>
  <c r="S86" i="24"/>
  <c r="S87" i="24"/>
  <c r="S2" i="24"/>
  <c r="Z73" i="29" l="1"/>
  <c r="AA73" i="29" s="1"/>
  <c r="Z123" i="29"/>
  <c r="AA123" i="29" s="1"/>
  <c r="Z113" i="29"/>
  <c r="AA113" i="29" s="1"/>
  <c r="Z108" i="29"/>
  <c r="AA108" i="29" s="1"/>
  <c r="Z81" i="29"/>
  <c r="AA81" i="29" s="1"/>
  <c r="Z125" i="29"/>
  <c r="AA125" i="29" s="1"/>
  <c r="Z106" i="29"/>
  <c r="AA106" i="29" s="1"/>
  <c r="Y130" i="29"/>
  <c r="Z130" i="29" s="1"/>
  <c r="AA130" i="29" s="1"/>
  <c r="Y77" i="29"/>
  <c r="Z77" i="29"/>
  <c r="AA77" i="29" s="1"/>
  <c r="Y89" i="29"/>
  <c r="Z89" i="29"/>
  <c r="AA89" i="29" s="1"/>
  <c r="Y70" i="29"/>
  <c r="Z70" i="29"/>
  <c r="AA70" i="29" s="1"/>
  <c r="Y112" i="29"/>
  <c r="Z112" i="29"/>
  <c r="AA112" i="29" s="1"/>
  <c r="Y75" i="29"/>
  <c r="Z75" i="29"/>
  <c r="AA75" i="29" s="1"/>
  <c r="Y137" i="29"/>
  <c r="Z137" i="29"/>
  <c r="AA137" i="29" s="1"/>
  <c r="Y95" i="29"/>
  <c r="Z95" i="29"/>
  <c r="AA95" i="29" s="1"/>
  <c r="Y115" i="29"/>
  <c r="Z115" i="29"/>
  <c r="AA115" i="29" s="1"/>
  <c r="Y118" i="29"/>
  <c r="Z118" i="29"/>
  <c r="AA118" i="29" s="1"/>
  <c r="Z6" i="29"/>
  <c r="AA6" i="29" s="1"/>
  <c r="AA30" i="29"/>
  <c r="Y32" i="29"/>
  <c r="Z32" i="29" s="1"/>
  <c r="Y18" i="29"/>
  <c r="Z18" i="29" s="1"/>
  <c r="AA18" i="29" s="1"/>
  <c r="Y41" i="29"/>
  <c r="Z41" i="29" s="1"/>
  <c r="AA41" i="29" s="1"/>
  <c r="Y13" i="29"/>
  <c r="Z13" i="29" s="1"/>
  <c r="AA13" i="29" s="1"/>
  <c r="Y49" i="29"/>
  <c r="Z49" i="29" s="1"/>
  <c r="AA49" i="29" s="1"/>
  <c r="Y25" i="29"/>
  <c r="Z25" i="29" s="1"/>
  <c r="AA25" i="29" s="1"/>
  <c r="Y40" i="29"/>
  <c r="Z40" i="29" s="1"/>
  <c r="AA40" i="29" s="1"/>
  <c r="AA32" i="26"/>
  <c r="X40" i="26"/>
  <c r="Y40" i="26" s="1"/>
  <c r="Z40" i="26" s="1"/>
  <c r="AA40" i="26" s="1"/>
  <c r="X22" i="26"/>
  <c r="Y22" i="26" s="1"/>
  <c r="Z22" i="26" s="1"/>
  <c r="AA22" i="26" s="1"/>
  <c r="X21" i="26"/>
  <c r="Y21" i="26" s="1"/>
  <c r="Z21" i="26" s="1"/>
  <c r="AA21" i="26" s="1"/>
  <c r="X31" i="26"/>
  <c r="Y31" i="26" s="1"/>
  <c r="Z31" i="26" s="1"/>
  <c r="AA31" i="26" s="1"/>
  <c r="X9" i="26"/>
  <c r="Y9" i="26" s="1"/>
  <c r="Z9" i="26" s="1"/>
  <c r="AA9" i="26" s="1"/>
  <c r="X39" i="26"/>
  <c r="Y39" i="26" s="1"/>
  <c r="Z39" i="26" s="1"/>
  <c r="AA39" i="26" s="1"/>
  <c r="X17" i="26"/>
  <c r="Y17" i="26" s="1"/>
  <c r="Z17" i="26" s="1"/>
  <c r="AA17" i="26" s="1"/>
  <c r="X13" i="26"/>
  <c r="Y13" i="26" s="1"/>
  <c r="Z13" i="26" s="1"/>
  <c r="AA13" i="26" s="1"/>
  <c r="X55" i="26"/>
  <c r="Y55" i="26" s="1"/>
  <c r="Z55" i="26" s="1"/>
  <c r="AA55" i="26" s="1"/>
  <c r="Y8" i="26"/>
  <c r="Z8" i="26" s="1"/>
  <c r="AA8" i="26" s="1"/>
  <c r="X7" i="26"/>
  <c r="Y7" i="26" s="1"/>
  <c r="Z7" i="26" s="1"/>
  <c r="AA7" i="26" s="1"/>
  <c r="X49" i="26"/>
  <c r="Y49" i="26" s="1"/>
  <c r="Z49" i="26" s="1"/>
  <c r="AA49" i="26" s="1"/>
  <c r="X10" i="26"/>
  <c r="Y10" i="26" s="1"/>
  <c r="Z10" i="26" s="1"/>
  <c r="AA10" i="26" s="1"/>
  <c r="Z34" i="26"/>
  <c r="AA34" i="26" s="1"/>
  <c r="X57" i="26"/>
  <c r="Y57" i="26" s="1"/>
  <c r="Z57" i="26" s="1"/>
  <c r="AA57" i="26" s="1"/>
  <c r="X23" i="26"/>
  <c r="Y23" i="26" s="1"/>
  <c r="Z23" i="26" s="1"/>
  <c r="AA23" i="26" s="1"/>
  <c r="Y3" i="26"/>
  <c r="Z3" i="26" s="1"/>
  <c r="AA3" i="26" s="1"/>
  <c r="Y6" i="26"/>
  <c r="Z6" i="26" s="1"/>
  <c r="AA6" i="26" s="1"/>
  <c r="Y19" i="26"/>
  <c r="Z19" i="26" s="1"/>
  <c r="AA19" i="26" s="1"/>
  <c r="Y51" i="26"/>
  <c r="Z51" i="26" s="1"/>
  <c r="AA51" i="26" s="1"/>
  <c r="Y35" i="26"/>
  <c r="Z35" i="26" s="1"/>
  <c r="AA35" i="26" s="1"/>
  <c r="Y18" i="26"/>
  <c r="Z18" i="26" s="1"/>
  <c r="AA18" i="26" s="1"/>
  <c r="Y2" i="26"/>
  <c r="Z2" i="26" s="1"/>
  <c r="AA2" i="26" s="1"/>
  <c r="X53" i="26"/>
  <c r="X27" i="26"/>
  <c r="Y14" i="26"/>
  <c r="Z14" i="26" s="1"/>
  <c r="AA14" i="26" s="1"/>
  <c r="Y45" i="26"/>
  <c r="Z45" i="26" s="1"/>
  <c r="AA45" i="26" s="1"/>
  <c r="Y47" i="26"/>
  <c r="Z47" i="26" s="1"/>
  <c r="AA47" i="26" s="1"/>
  <c r="Y29" i="26"/>
  <c r="Z29" i="26" s="1"/>
  <c r="Y61" i="26"/>
  <c r="Z61" i="26" s="1"/>
  <c r="AA61" i="26" s="1"/>
  <c r="Y25" i="26"/>
  <c r="Z25" i="26" s="1"/>
  <c r="AA25" i="26" s="1"/>
  <c r="Y28" i="26"/>
  <c r="Z28" i="26" s="1"/>
  <c r="AA28" i="26" s="1"/>
  <c r="Y41" i="26"/>
  <c r="Z41" i="26" s="1"/>
  <c r="AA41" i="26" s="1"/>
  <c r="Y46" i="26"/>
  <c r="Z46" i="26" s="1"/>
  <c r="AA46" i="26" s="1"/>
  <c r="Y11" i="26"/>
  <c r="Z11" i="26" s="1"/>
  <c r="AA11" i="26" s="1"/>
  <c r="Y43" i="26"/>
  <c r="Z43" i="26" s="1"/>
  <c r="AA43" i="26" s="1"/>
  <c r="Y52" i="26"/>
  <c r="Z52" i="26" s="1"/>
  <c r="AA52" i="26" s="1"/>
  <c r="Y50" i="26"/>
  <c r="Z50" i="26" s="1"/>
  <c r="AA50" i="26" s="1"/>
  <c r="Y37" i="26"/>
  <c r="Z37" i="26" s="1"/>
  <c r="AA37" i="26" s="1"/>
  <c r="Y59" i="26"/>
  <c r="Z59" i="26" s="1"/>
  <c r="AA59" i="26" s="1"/>
  <c r="Y15" i="26"/>
  <c r="Z15" i="26" s="1"/>
  <c r="AA15" i="26" s="1"/>
  <c r="Y5" i="26"/>
  <c r="Z5" i="26" s="1"/>
  <c r="AA5" i="26" s="1"/>
  <c r="Y48" i="26"/>
  <c r="Z48" i="26" s="1"/>
  <c r="AA48" i="26" s="1"/>
  <c r="Y58" i="26"/>
  <c r="Z58" i="26" s="1"/>
  <c r="AA58" i="26" s="1"/>
  <c r="Y44" i="26"/>
  <c r="Z44" i="26" s="1"/>
  <c r="AA44" i="26" s="1"/>
  <c r="X33" i="26"/>
  <c r="V2" i="25"/>
  <c r="V51" i="25"/>
  <c r="J5" i="25"/>
  <c r="V8" i="25"/>
  <c r="J27" i="25"/>
  <c r="V32" i="25"/>
  <c r="J39" i="25"/>
  <c r="J51" i="25"/>
  <c r="N51" i="25" s="1"/>
  <c r="X51" i="25" s="1"/>
  <c r="V6" i="25"/>
  <c r="V36" i="25"/>
  <c r="V5" i="25"/>
  <c r="J34" i="25"/>
  <c r="J4" i="25"/>
  <c r="N4" i="25" s="1"/>
  <c r="J17" i="25"/>
  <c r="J29" i="25"/>
  <c r="N29" i="25" s="1"/>
  <c r="J28" i="25"/>
  <c r="N28" i="25" s="1"/>
  <c r="J40" i="25"/>
  <c r="N40" i="25" s="1"/>
  <c r="V41" i="25"/>
  <c r="J52" i="25"/>
  <c r="J12" i="25"/>
  <c r="N12" i="25" s="1"/>
  <c r="J8" i="25"/>
  <c r="N8" i="25" s="1"/>
  <c r="X8" i="25" s="1"/>
  <c r="V38" i="25"/>
  <c r="V62" i="25"/>
  <c r="J41" i="25"/>
  <c r="N41" i="25" s="1"/>
  <c r="J24" i="25"/>
  <c r="N24" i="25" s="1"/>
  <c r="J59" i="25"/>
  <c r="J35" i="25"/>
  <c r="J22" i="25"/>
  <c r="N22" i="25" s="1"/>
  <c r="J60" i="25"/>
  <c r="N60" i="25" s="1"/>
  <c r="V3" i="25"/>
  <c r="V21" i="25"/>
  <c r="V24" i="25"/>
  <c r="V26" i="25"/>
  <c r="V29" i="25"/>
  <c r="V56" i="25"/>
  <c r="X56" i="25" s="1"/>
  <c r="V60" i="25"/>
  <c r="J16" i="25"/>
  <c r="V20" i="25"/>
  <c r="J44" i="25"/>
  <c r="N44" i="25" s="1"/>
  <c r="X44" i="25" s="1"/>
  <c r="J46" i="25"/>
  <c r="J47" i="25"/>
  <c r="N47" i="25" s="1"/>
  <c r="V55" i="25"/>
  <c r="J36" i="25"/>
  <c r="N36" i="25" s="1"/>
  <c r="J23" i="25"/>
  <c r="N23" i="25" s="1"/>
  <c r="V30" i="25"/>
  <c r="J14" i="25"/>
  <c r="N14" i="25" s="1"/>
  <c r="V19" i="25"/>
  <c r="V54" i="25"/>
  <c r="J10" i="25"/>
  <c r="N10" i="25" s="1"/>
  <c r="J15" i="25"/>
  <c r="N15" i="25" s="1"/>
  <c r="V18" i="25"/>
  <c r="V45" i="25"/>
  <c r="V48" i="25"/>
  <c r="V50" i="25"/>
  <c r="J11" i="25"/>
  <c r="N11" i="25" s="1"/>
  <c r="V12" i="25"/>
  <c r="X12" i="25" s="1"/>
  <c r="V14" i="25"/>
  <c r="V43" i="25"/>
  <c r="V17" i="25"/>
  <c r="V44" i="25"/>
  <c r="V42" i="25"/>
  <c r="N2" i="25"/>
  <c r="N26" i="25"/>
  <c r="N62" i="25"/>
  <c r="N39" i="25"/>
  <c r="N27" i="25"/>
  <c r="N32" i="25"/>
  <c r="X32" i="25" s="1"/>
  <c r="V40" i="25"/>
  <c r="V49" i="25"/>
  <c r="V61" i="25"/>
  <c r="V39" i="25"/>
  <c r="V27" i="25"/>
  <c r="V37" i="25"/>
  <c r="V16" i="25"/>
  <c r="V25" i="25"/>
  <c r="V15" i="25"/>
  <c r="X15" i="25" s="1"/>
  <c r="N50" i="25"/>
  <c r="V13" i="25"/>
  <c r="N20" i="25"/>
  <c r="X20" i="25" s="1"/>
  <c r="N38" i="25"/>
  <c r="N48" i="25"/>
  <c r="V22" i="25"/>
  <c r="J37" i="25"/>
  <c r="N37" i="25" s="1"/>
  <c r="V46" i="25"/>
  <c r="N46" i="25"/>
  <c r="J18" i="25"/>
  <c r="N18" i="25" s="1"/>
  <c r="X18" i="25" s="1"/>
  <c r="J57" i="25"/>
  <c r="N57" i="25" s="1"/>
  <c r="N17" i="25"/>
  <c r="J58" i="25"/>
  <c r="N58" i="25" s="1"/>
  <c r="J13" i="25"/>
  <c r="N13" i="25" s="1"/>
  <c r="J42" i="25"/>
  <c r="N42" i="25" s="1"/>
  <c r="X42" i="25" s="1"/>
  <c r="N52" i="25"/>
  <c r="J19" i="25"/>
  <c r="N19" i="25" s="1"/>
  <c r="J33" i="25"/>
  <c r="N33" i="25" s="1"/>
  <c r="J43" i="25"/>
  <c r="N43" i="25" s="1"/>
  <c r="V58" i="25"/>
  <c r="N35" i="25"/>
  <c r="J55" i="25"/>
  <c r="N55" i="25" s="1"/>
  <c r="V57" i="25"/>
  <c r="J9" i="25"/>
  <c r="N9" i="25" s="1"/>
  <c r="X9" i="25" s="1"/>
  <c r="J25" i="25"/>
  <c r="N25" i="25" s="1"/>
  <c r="V34" i="25"/>
  <c r="N34" i="25"/>
  <c r="X34" i="25" s="1"/>
  <c r="V53" i="25"/>
  <c r="N53" i="25"/>
  <c r="V10" i="25"/>
  <c r="J30" i="25"/>
  <c r="N30" i="25" s="1"/>
  <c r="J31" i="25"/>
  <c r="N31" i="25" s="1"/>
  <c r="X31" i="25" s="1"/>
  <c r="J45" i="25"/>
  <c r="N45" i="25" s="1"/>
  <c r="X45" i="25" s="1"/>
  <c r="N59" i="25"/>
  <c r="J49" i="25"/>
  <c r="N49" i="25" s="1"/>
  <c r="J54" i="25"/>
  <c r="N54" i="25" s="1"/>
  <c r="V4" i="25"/>
  <c r="J6" i="25"/>
  <c r="N6" i="25" s="1"/>
  <c r="X6" i="25" s="1"/>
  <c r="N16" i="25"/>
  <c r="V28" i="25"/>
  <c r="V52" i="25"/>
  <c r="N5" i="25"/>
  <c r="J21" i="25"/>
  <c r="N21" i="25" s="1"/>
  <c r="J3" i="25"/>
  <c r="N3" i="25" s="1"/>
  <c r="J7" i="25"/>
  <c r="N7" i="25" s="1"/>
  <c r="X7" i="25" s="1"/>
  <c r="V33" i="25"/>
  <c r="J61" i="25"/>
  <c r="N61" i="25" s="1"/>
  <c r="V11" i="25"/>
  <c r="V23" i="25"/>
  <c r="V35" i="25"/>
  <c r="V47" i="25"/>
  <c r="V59" i="25"/>
  <c r="U87" i="24"/>
  <c r="R87" i="24"/>
  <c r="M87" i="24"/>
  <c r="L87" i="24"/>
  <c r="I87" i="24"/>
  <c r="G87" i="24"/>
  <c r="D87" i="24"/>
  <c r="E87" i="24" s="1"/>
  <c r="B87" i="24"/>
  <c r="U86" i="24"/>
  <c r="R86" i="24"/>
  <c r="M86" i="24"/>
  <c r="L86" i="24"/>
  <c r="I86" i="24"/>
  <c r="G86" i="24"/>
  <c r="D86" i="24"/>
  <c r="E86" i="24" s="1"/>
  <c r="B86" i="24"/>
  <c r="U85" i="24"/>
  <c r="R85" i="24"/>
  <c r="M85" i="24"/>
  <c r="L85" i="24"/>
  <c r="I85" i="24"/>
  <c r="G85" i="24"/>
  <c r="D85" i="24"/>
  <c r="E85" i="24" s="1"/>
  <c r="B85" i="24"/>
  <c r="U84" i="24"/>
  <c r="R84" i="24"/>
  <c r="M84" i="24"/>
  <c r="L84" i="24"/>
  <c r="V84" i="24" s="1"/>
  <c r="I84" i="24"/>
  <c r="G84" i="24"/>
  <c r="D84" i="24"/>
  <c r="E84" i="24" s="1"/>
  <c r="J84" i="24" s="1"/>
  <c r="B84" i="24"/>
  <c r="U83" i="24"/>
  <c r="R83" i="24"/>
  <c r="M83" i="24"/>
  <c r="L83" i="24"/>
  <c r="I83" i="24"/>
  <c r="G83" i="24"/>
  <c r="D83" i="24"/>
  <c r="E83" i="24" s="1"/>
  <c r="B83" i="24"/>
  <c r="U82" i="24"/>
  <c r="R82" i="24"/>
  <c r="M82" i="24"/>
  <c r="L82" i="24"/>
  <c r="I82" i="24"/>
  <c r="G82" i="24"/>
  <c r="D82" i="24"/>
  <c r="E82" i="24" s="1"/>
  <c r="J82" i="24" s="1"/>
  <c r="B82" i="24"/>
  <c r="U81" i="24"/>
  <c r="R81" i="24"/>
  <c r="M81" i="24"/>
  <c r="L81" i="24"/>
  <c r="I81" i="24"/>
  <c r="G81" i="24"/>
  <c r="D81" i="24"/>
  <c r="E81" i="24" s="1"/>
  <c r="B81" i="24"/>
  <c r="U80" i="24"/>
  <c r="R80" i="24"/>
  <c r="M80" i="24"/>
  <c r="L80" i="24"/>
  <c r="I80" i="24"/>
  <c r="G80" i="24"/>
  <c r="D80" i="24"/>
  <c r="E80" i="24" s="1"/>
  <c r="J80" i="24" s="1"/>
  <c r="B80" i="24"/>
  <c r="U79" i="24"/>
  <c r="R79" i="24"/>
  <c r="M79" i="24"/>
  <c r="L79" i="24"/>
  <c r="I79" i="24"/>
  <c r="G79" i="24"/>
  <c r="D79" i="24"/>
  <c r="E79" i="24" s="1"/>
  <c r="J79" i="24" s="1"/>
  <c r="B79" i="24"/>
  <c r="U78" i="24"/>
  <c r="R78" i="24"/>
  <c r="M78" i="24"/>
  <c r="L78" i="24"/>
  <c r="I78" i="24"/>
  <c r="G78" i="24"/>
  <c r="D78" i="24"/>
  <c r="E78" i="24" s="1"/>
  <c r="B78" i="24"/>
  <c r="U77" i="24"/>
  <c r="R77" i="24"/>
  <c r="M77" i="24"/>
  <c r="L77" i="24"/>
  <c r="I77" i="24"/>
  <c r="G77" i="24"/>
  <c r="D77" i="24"/>
  <c r="E77" i="24" s="1"/>
  <c r="B77" i="24"/>
  <c r="U76" i="24"/>
  <c r="R76" i="24"/>
  <c r="M76" i="24"/>
  <c r="L76" i="24"/>
  <c r="I76" i="24"/>
  <c r="G76" i="24"/>
  <c r="D76" i="24"/>
  <c r="E76" i="24" s="1"/>
  <c r="J76" i="24" s="1"/>
  <c r="B76" i="24"/>
  <c r="U75" i="24"/>
  <c r="R75" i="24"/>
  <c r="M75" i="24"/>
  <c r="L75" i="24"/>
  <c r="I75" i="24"/>
  <c r="G75" i="24"/>
  <c r="D75" i="24"/>
  <c r="E75" i="24" s="1"/>
  <c r="B75" i="24"/>
  <c r="U74" i="24"/>
  <c r="R74" i="24"/>
  <c r="M74" i="24"/>
  <c r="L74" i="24"/>
  <c r="I74" i="24"/>
  <c r="G74" i="24"/>
  <c r="D74" i="24"/>
  <c r="E74" i="24" s="1"/>
  <c r="J74" i="24" s="1"/>
  <c r="B74" i="24"/>
  <c r="U73" i="24"/>
  <c r="R73" i="24"/>
  <c r="M73" i="24"/>
  <c r="L73" i="24"/>
  <c r="I73" i="24"/>
  <c r="G73" i="24"/>
  <c r="D73" i="24"/>
  <c r="E73" i="24" s="1"/>
  <c r="B73" i="24"/>
  <c r="U72" i="24"/>
  <c r="R72" i="24"/>
  <c r="M72" i="24"/>
  <c r="L72" i="24"/>
  <c r="V72" i="24" s="1"/>
  <c r="I72" i="24"/>
  <c r="J72" i="24" s="1"/>
  <c r="N72" i="24" s="1"/>
  <c r="G72" i="24"/>
  <c r="D72" i="24"/>
  <c r="E72" i="24" s="1"/>
  <c r="B72" i="24"/>
  <c r="U71" i="24"/>
  <c r="R71" i="24"/>
  <c r="M71" i="24"/>
  <c r="L71" i="24"/>
  <c r="V71" i="24" s="1"/>
  <c r="I71" i="24"/>
  <c r="G71" i="24"/>
  <c r="D71" i="24"/>
  <c r="E71" i="24" s="1"/>
  <c r="J71" i="24" s="1"/>
  <c r="N71" i="24" s="1"/>
  <c r="B71" i="24"/>
  <c r="U70" i="24"/>
  <c r="R70" i="24"/>
  <c r="M70" i="24"/>
  <c r="L70" i="24"/>
  <c r="I70" i="24"/>
  <c r="J70" i="24" s="1"/>
  <c r="G70" i="24"/>
  <c r="D70" i="24"/>
  <c r="E70" i="24" s="1"/>
  <c r="B70" i="24"/>
  <c r="U69" i="24"/>
  <c r="R69" i="24"/>
  <c r="M69" i="24"/>
  <c r="L69" i="24"/>
  <c r="V69" i="24" s="1"/>
  <c r="I69" i="24"/>
  <c r="G69" i="24"/>
  <c r="D69" i="24"/>
  <c r="E69" i="24" s="1"/>
  <c r="J69" i="24" s="1"/>
  <c r="B69" i="24"/>
  <c r="U68" i="24"/>
  <c r="R68" i="24"/>
  <c r="M68" i="24"/>
  <c r="L68" i="24"/>
  <c r="I68" i="24"/>
  <c r="G68" i="24"/>
  <c r="D68" i="24"/>
  <c r="E68" i="24" s="1"/>
  <c r="J68" i="24" s="1"/>
  <c r="B68" i="24"/>
  <c r="U67" i="24"/>
  <c r="R67" i="24"/>
  <c r="M67" i="24"/>
  <c r="L67" i="24"/>
  <c r="I67" i="24"/>
  <c r="G67" i="24"/>
  <c r="D67" i="24"/>
  <c r="E67" i="24" s="1"/>
  <c r="B67" i="24"/>
  <c r="U66" i="24"/>
  <c r="R66" i="24"/>
  <c r="M66" i="24"/>
  <c r="L66" i="24"/>
  <c r="I66" i="24"/>
  <c r="G66" i="24"/>
  <c r="D66" i="24"/>
  <c r="E66" i="24" s="1"/>
  <c r="B66" i="24"/>
  <c r="U65" i="24"/>
  <c r="R65" i="24"/>
  <c r="M65" i="24"/>
  <c r="L65" i="24"/>
  <c r="I65" i="24"/>
  <c r="G65" i="24"/>
  <c r="D65" i="24"/>
  <c r="E65" i="24" s="1"/>
  <c r="B65" i="24"/>
  <c r="U64" i="24"/>
  <c r="R64" i="24"/>
  <c r="M64" i="24"/>
  <c r="L64" i="24"/>
  <c r="I64" i="24"/>
  <c r="G64" i="24"/>
  <c r="D64" i="24"/>
  <c r="E64" i="24" s="1"/>
  <c r="B64" i="24"/>
  <c r="U63" i="24"/>
  <c r="R63" i="24"/>
  <c r="M63" i="24"/>
  <c r="L63" i="24"/>
  <c r="I63" i="24"/>
  <c r="G63" i="24"/>
  <c r="E63" i="24"/>
  <c r="D63" i="24"/>
  <c r="B63" i="24"/>
  <c r="U62" i="24"/>
  <c r="R62" i="24"/>
  <c r="M62" i="24"/>
  <c r="L62" i="24"/>
  <c r="V62" i="24" s="1"/>
  <c r="I62" i="24"/>
  <c r="J62" i="24" s="1"/>
  <c r="G62" i="24"/>
  <c r="D62" i="24"/>
  <c r="E62" i="24" s="1"/>
  <c r="B62" i="24"/>
  <c r="U61" i="24"/>
  <c r="R61" i="24"/>
  <c r="M61" i="24"/>
  <c r="L61" i="24"/>
  <c r="I61" i="24"/>
  <c r="G61" i="24"/>
  <c r="D61" i="24"/>
  <c r="E61" i="24" s="1"/>
  <c r="B61" i="24"/>
  <c r="U60" i="24"/>
  <c r="R60" i="24"/>
  <c r="M60" i="24"/>
  <c r="L60" i="24"/>
  <c r="I60" i="24"/>
  <c r="J60" i="24" s="1"/>
  <c r="G60" i="24"/>
  <c r="D60" i="24"/>
  <c r="E60" i="24" s="1"/>
  <c r="B60" i="24"/>
  <c r="U59" i="24"/>
  <c r="R59" i="24"/>
  <c r="M59" i="24"/>
  <c r="L59" i="24"/>
  <c r="I59" i="24"/>
  <c r="G59" i="24"/>
  <c r="D59" i="24"/>
  <c r="E59" i="24" s="1"/>
  <c r="J59" i="24" s="1"/>
  <c r="B59" i="24"/>
  <c r="U58" i="24"/>
  <c r="R58" i="24"/>
  <c r="M58" i="24"/>
  <c r="L58" i="24"/>
  <c r="V58" i="24" s="1"/>
  <c r="I58" i="24"/>
  <c r="G58" i="24"/>
  <c r="D58" i="24"/>
  <c r="E58" i="24" s="1"/>
  <c r="B58" i="24"/>
  <c r="U57" i="24"/>
  <c r="R57" i="24"/>
  <c r="M57" i="24"/>
  <c r="L57" i="24"/>
  <c r="V57" i="24" s="1"/>
  <c r="I57" i="24"/>
  <c r="G57" i="24"/>
  <c r="D57" i="24"/>
  <c r="E57" i="24" s="1"/>
  <c r="B57" i="24"/>
  <c r="U56" i="24"/>
  <c r="R56" i="24"/>
  <c r="M56" i="24"/>
  <c r="L56" i="24"/>
  <c r="I56" i="24"/>
  <c r="G56" i="24"/>
  <c r="D56" i="24"/>
  <c r="E56" i="24" s="1"/>
  <c r="J56" i="24" s="1"/>
  <c r="B56" i="24"/>
  <c r="U55" i="24"/>
  <c r="R55" i="24"/>
  <c r="M55" i="24"/>
  <c r="L55" i="24"/>
  <c r="I55" i="24"/>
  <c r="G55" i="24"/>
  <c r="D55" i="24"/>
  <c r="E55" i="24" s="1"/>
  <c r="B55" i="24"/>
  <c r="U54" i="24"/>
  <c r="R54" i="24"/>
  <c r="M54" i="24"/>
  <c r="L54" i="24"/>
  <c r="I54" i="24"/>
  <c r="G54" i="24"/>
  <c r="D54" i="24"/>
  <c r="E54" i="24" s="1"/>
  <c r="B54" i="24"/>
  <c r="U53" i="24"/>
  <c r="R53" i="24"/>
  <c r="M53" i="24"/>
  <c r="L53" i="24"/>
  <c r="V53" i="24" s="1"/>
  <c r="I53" i="24"/>
  <c r="G53" i="24"/>
  <c r="D53" i="24"/>
  <c r="E53" i="24" s="1"/>
  <c r="B53" i="24"/>
  <c r="U52" i="24"/>
  <c r="R52" i="24"/>
  <c r="M52" i="24"/>
  <c r="L52" i="24"/>
  <c r="I52" i="24"/>
  <c r="G52" i="24"/>
  <c r="D52" i="24"/>
  <c r="E52" i="24" s="1"/>
  <c r="B52" i="24"/>
  <c r="U51" i="24"/>
  <c r="R51" i="24"/>
  <c r="M51" i="24"/>
  <c r="L51" i="24"/>
  <c r="I51" i="24"/>
  <c r="G51" i="24"/>
  <c r="D51" i="24"/>
  <c r="E51" i="24" s="1"/>
  <c r="B51" i="24"/>
  <c r="U50" i="24"/>
  <c r="R50" i="24"/>
  <c r="M50" i="24"/>
  <c r="L50" i="24"/>
  <c r="I50" i="24"/>
  <c r="J50" i="24" s="1"/>
  <c r="G50" i="24"/>
  <c r="D50" i="24"/>
  <c r="E50" i="24" s="1"/>
  <c r="B50" i="24"/>
  <c r="U49" i="24"/>
  <c r="R49" i="24"/>
  <c r="M49" i="24"/>
  <c r="L49" i="24"/>
  <c r="I49" i="24"/>
  <c r="G49" i="24"/>
  <c r="D49" i="24"/>
  <c r="E49" i="24" s="1"/>
  <c r="B49" i="24"/>
  <c r="U48" i="24"/>
  <c r="R48" i="24"/>
  <c r="M48" i="24"/>
  <c r="L48" i="24"/>
  <c r="I48" i="24"/>
  <c r="G48" i="24"/>
  <c r="D48" i="24"/>
  <c r="E48" i="24" s="1"/>
  <c r="B48" i="24"/>
  <c r="U47" i="24"/>
  <c r="R47" i="24"/>
  <c r="M47" i="24"/>
  <c r="L47" i="24"/>
  <c r="I47" i="24"/>
  <c r="G47" i="24"/>
  <c r="D47" i="24"/>
  <c r="E47" i="24" s="1"/>
  <c r="B47" i="24"/>
  <c r="U46" i="24"/>
  <c r="R46" i="24"/>
  <c r="M46" i="24"/>
  <c r="L46" i="24"/>
  <c r="I46" i="24"/>
  <c r="G46" i="24"/>
  <c r="D46" i="24"/>
  <c r="E46" i="24" s="1"/>
  <c r="J46" i="24" s="1"/>
  <c r="N46" i="24" s="1"/>
  <c r="B46" i="24"/>
  <c r="U45" i="24"/>
  <c r="R45" i="24"/>
  <c r="M45" i="24"/>
  <c r="L45" i="24"/>
  <c r="I45" i="24"/>
  <c r="G45" i="24"/>
  <c r="D45" i="24"/>
  <c r="E45" i="24" s="1"/>
  <c r="J45" i="24" s="1"/>
  <c r="B45" i="24"/>
  <c r="U44" i="24"/>
  <c r="R44" i="24"/>
  <c r="M44" i="24"/>
  <c r="L44" i="24"/>
  <c r="I44" i="24"/>
  <c r="J44" i="24" s="1"/>
  <c r="G44" i="24"/>
  <c r="D44" i="24"/>
  <c r="E44" i="24" s="1"/>
  <c r="B44" i="24"/>
  <c r="U43" i="24"/>
  <c r="R43" i="24"/>
  <c r="M43" i="24"/>
  <c r="L43" i="24"/>
  <c r="I43" i="24"/>
  <c r="G43" i="24"/>
  <c r="D43" i="24"/>
  <c r="E43" i="24" s="1"/>
  <c r="B43" i="24"/>
  <c r="U42" i="24"/>
  <c r="R42" i="24"/>
  <c r="M42" i="24"/>
  <c r="L42" i="24"/>
  <c r="I42" i="24"/>
  <c r="G42" i="24"/>
  <c r="D42" i="24"/>
  <c r="E42" i="24" s="1"/>
  <c r="B42" i="24"/>
  <c r="U41" i="24"/>
  <c r="R41" i="24"/>
  <c r="M41" i="24"/>
  <c r="L41" i="24"/>
  <c r="I41" i="24"/>
  <c r="G41" i="24"/>
  <c r="D41" i="24"/>
  <c r="E41" i="24" s="1"/>
  <c r="J41" i="24" s="1"/>
  <c r="B41" i="24"/>
  <c r="U40" i="24"/>
  <c r="R40" i="24"/>
  <c r="M40" i="24"/>
  <c r="L40" i="24"/>
  <c r="I40" i="24"/>
  <c r="G40" i="24"/>
  <c r="D40" i="24"/>
  <c r="E40" i="24" s="1"/>
  <c r="B40" i="24"/>
  <c r="U39" i="24"/>
  <c r="R39" i="24"/>
  <c r="M39" i="24"/>
  <c r="L39" i="24"/>
  <c r="V39" i="24" s="1"/>
  <c r="I39" i="24"/>
  <c r="G39" i="24"/>
  <c r="D39" i="24"/>
  <c r="E39" i="24" s="1"/>
  <c r="J39" i="24" s="1"/>
  <c r="B39" i="24"/>
  <c r="U38" i="24"/>
  <c r="R38" i="24"/>
  <c r="M38" i="24"/>
  <c r="L38" i="24"/>
  <c r="V38" i="24" s="1"/>
  <c r="I38" i="24"/>
  <c r="J38" i="24" s="1"/>
  <c r="N38" i="24" s="1"/>
  <c r="G38" i="24"/>
  <c r="D38" i="24"/>
  <c r="E38" i="24" s="1"/>
  <c r="B38" i="24"/>
  <c r="U37" i="24"/>
  <c r="R37" i="24"/>
  <c r="M37" i="24"/>
  <c r="L37" i="24"/>
  <c r="I37" i="24"/>
  <c r="G37" i="24"/>
  <c r="D37" i="24"/>
  <c r="E37" i="24" s="1"/>
  <c r="B37" i="24"/>
  <c r="U36" i="24"/>
  <c r="R36" i="24"/>
  <c r="M36" i="24"/>
  <c r="L36" i="24"/>
  <c r="J36" i="24"/>
  <c r="I36" i="24"/>
  <c r="G36" i="24"/>
  <c r="D36" i="24"/>
  <c r="E36" i="24" s="1"/>
  <c r="B36" i="24"/>
  <c r="U35" i="24"/>
  <c r="R35" i="24"/>
  <c r="M35" i="24"/>
  <c r="L35" i="24"/>
  <c r="I35" i="24"/>
  <c r="G35" i="24"/>
  <c r="D35" i="24"/>
  <c r="E35" i="24" s="1"/>
  <c r="B35" i="24"/>
  <c r="U34" i="24"/>
  <c r="R34" i="24"/>
  <c r="M34" i="24"/>
  <c r="L34" i="24"/>
  <c r="I34" i="24"/>
  <c r="G34" i="24"/>
  <c r="D34" i="24"/>
  <c r="E34" i="24" s="1"/>
  <c r="B34" i="24"/>
  <c r="U33" i="24"/>
  <c r="R33" i="24"/>
  <c r="M33" i="24"/>
  <c r="L33" i="24"/>
  <c r="V33" i="24" s="1"/>
  <c r="I33" i="24"/>
  <c r="G33" i="24"/>
  <c r="D33" i="24"/>
  <c r="E33" i="24" s="1"/>
  <c r="J33" i="24" s="1"/>
  <c r="B33" i="24"/>
  <c r="U32" i="24"/>
  <c r="R32" i="24"/>
  <c r="M32" i="24"/>
  <c r="L32" i="24"/>
  <c r="V32" i="24" s="1"/>
  <c r="I32" i="24"/>
  <c r="J32" i="24" s="1"/>
  <c r="G32" i="24"/>
  <c r="E32" i="24"/>
  <c r="D32" i="24"/>
  <c r="B32" i="24"/>
  <c r="U31" i="24"/>
  <c r="R31" i="24"/>
  <c r="M31" i="24"/>
  <c r="L31" i="24"/>
  <c r="V31" i="24" s="1"/>
  <c r="I31" i="24"/>
  <c r="G31" i="24"/>
  <c r="D31" i="24"/>
  <c r="E31" i="24" s="1"/>
  <c r="B31" i="24"/>
  <c r="U30" i="24"/>
  <c r="R30" i="24"/>
  <c r="M30" i="24"/>
  <c r="L30" i="24"/>
  <c r="I30" i="24"/>
  <c r="G30" i="24"/>
  <c r="D30" i="24"/>
  <c r="E30" i="24" s="1"/>
  <c r="B30" i="24"/>
  <c r="U29" i="24"/>
  <c r="R29" i="24"/>
  <c r="M29" i="24"/>
  <c r="L29" i="24"/>
  <c r="I29" i="24"/>
  <c r="G29" i="24"/>
  <c r="D29" i="24"/>
  <c r="E29" i="24" s="1"/>
  <c r="B29" i="24"/>
  <c r="U28" i="24"/>
  <c r="R28" i="24"/>
  <c r="M28" i="24"/>
  <c r="L28" i="24"/>
  <c r="I28" i="24"/>
  <c r="G28" i="24"/>
  <c r="D28" i="24"/>
  <c r="E28" i="24" s="1"/>
  <c r="J28" i="24" s="1"/>
  <c r="B28" i="24"/>
  <c r="U27" i="24"/>
  <c r="R27" i="24"/>
  <c r="M27" i="24"/>
  <c r="L27" i="24"/>
  <c r="I27" i="24"/>
  <c r="G27" i="24"/>
  <c r="D27" i="24"/>
  <c r="E27" i="24" s="1"/>
  <c r="B27" i="24"/>
  <c r="U26" i="24"/>
  <c r="R26" i="24"/>
  <c r="M26" i="24"/>
  <c r="L26" i="24"/>
  <c r="V26" i="24" s="1"/>
  <c r="I26" i="24"/>
  <c r="G26" i="24"/>
  <c r="D26" i="24"/>
  <c r="E26" i="24" s="1"/>
  <c r="B26" i="24"/>
  <c r="U25" i="24"/>
  <c r="R25" i="24"/>
  <c r="M25" i="24"/>
  <c r="L25" i="24"/>
  <c r="I25" i="24"/>
  <c r="G25" i="24"/>
  <c r="D25" i="24"/>
  <c r="E25" i="24" s="1"/>
  <c r="B25" i="24"/>
  <c r="U24" i="24"/>
  <c r="R24" i="24"/>
  <c r="M24" i="24"/>
  <c r="L24" i="24"/>
  <c r="I24" i="24"/>
  <c r="G24" i="24"/>
  <c r="D24" i="24"/>
  <c r="E24" i="24" s="1"/>
  <c r="J24" i="24" s="1"/>
  <c r="B24" i="24"/>
  <c r="U23" i="24"/>
  <c r="R23" i="24"/>
  <c r="M23" i="24"/>
  <c r="L23" i="24"/>
  <c r="I23" i="24"/>
  <c r="G23" i="24"/>
  <c r="D23" i="24"/>
  <c r="E23" i="24" s="1"/>
  <c r="B23" i="24"/>
  <c r="U22" i="24"/>
  <c r="R22" i="24"/>
  <c r="M22" i="24"/>
  <c r="L22" i="24"/>
  <c r="I22" i="24"/>
  <c r="G22" i="24"/>
  <c r="D22" i="24"/>
  <c r="E22" i="24" s="1"/>
  <c r="B22" i="24"/>
  <c r="U21" i="24"/>
  <c r="R21" i="24"/>
  <c r="M21" i="24"/>
  <c r="L21" i="24"/>
  <c r="I21" i="24"/>
  <c r="G21" i="24"/>
  <c r="D21" i="24"/>
  <c r="E21" i="24" s="1"/>
  <c r="J21" i="24" s="1"/>
  <c r="B21" i="24"/>
  <c r="U20" i="24"/>
  <c r="R20" i="24"/>
  <c r="M20" i="24"/>
  <c r="L20" i="24"/>
  <c r="I20" i="24"/>
  <c r="G20" i="24"/>
  <c r="D20" i="24"/>
  <c r="E20" i="24" s="1"/>
  <c r="J20" i="24" s="1"/>
  <c r="N20" i="24" s="1"/>
  <c r="B20" i="24"/>
  <c r="U19" i="24"/>
  <c r="R19" i="24"/>
  <c r="M19" i="24"/>
  <c r="L19" i="24"/>
  <c r="I19" i="24"/>
  <c r="G19" i="24"/>
  <c r="D19" i="24"/>
  <c r="E19" i="24" s="1"/>
  <c r="B19" i="24"/>
  <c r="U18" i="24"/>
  <c r="R18" i="24"/>
  <c r="M18" i="24"/>
  <c r="L18" i="24"/>
  <c r="I18" i="24"/>
  <c r="G18" i="24"/>
  <c r="D18" i="24"/>
  <c r="E18" i="24" s="1"/>
  <c r="B18" i="24"/>
  <c r="U17" i="24"/>
  <c r="R17" i="24"/>
  <c r="M17" i="24"/>
  <c r="L17" i="24"/>
  <c r="I17" i="24"/>
  <c r="G17" i="24"/>
  <c r="D17" i="24"/>
  <c r="E17" i="24" s="1"/>
  <c r="B17" i="24"/>
  <c r="U16" i="24"/>
  <c r="R16" i="24"/>
  <c r="M16" i="24"/>
  <c r="L16" i="24"/>
  <c r="I16" i="24"/>
  <c r="G16" i="24"/>
  <c r="D16" i="24"/>
  <c r="E16" i="24" s="1"/>
  <c r="B16" i="24"/>
  <c r="U15" i="24"/>
  <c r="R15" i="24"/>
  <c r="M15" i="24"/>
  <c r="L15" i="24"/>
  <c r="V15" i="24" s="1"/>
  <c r="I15" i="24"/>
  <c r="J15" i="24" s="1"/>
  <c r="G15" i="24"/>
  <c r="D15" i="24"/>
  <c r="E15" i="24" s="1"/>
  <c r="B15" i="24"/>
  <c r="U14" i="24"/>
  <c r="R14" i="24"/>
  <c r="M14" i="24"/>
  <c r="L14" i="24"/>
  <c r="I14" i="24"/>
  <c r="G14" i="24"/>
  <c r="D14" i="24"/>
  <c r="E14" i="24" s="1"/>
  <c r="B14" i="24"/>
  <c r="U13" i="24"/>
  <c r="R13" i="24"/>
  <c r="M13" i="24"/>
  <c r="L13" i="24"/>
  <c r="V13" i="24" s="1"/>
  <c r="I13" i="24"/>
  <c r="G13" i="24"/>
  <c r="D13" i="24"/>
  <c r="E13" i="24" s="1"/>
  <c r="B13" i="24"/>
  <c r="U12" i="24"/>
  <c r="R12" i="24"/>
  <c r="M12" i="24"/>
  <c r="L12" i="24"/>
  <c r="I12" i="24"/>
  <c r="G12" i="24"/>
  <c r="D12" i="24"/>
  <c r="E12" i="24" s="1"/>
  <c r="B12" i="24"/>
  <c r="U11" i="24"/>
  <c r="R11" i="24"/>
  <c r="M11" i="24"/>
  <c r="L11" i="24"/>
  <c r="I11" i="24"/>
  <c r="G11" i="24"/>
  <c r="D11" i="24"/>
  <c r="E11" i="24" s="1"/>
  <c r="B11" i="24"/>
  <c r="U10" i="24"/>
  <c r="R10" i="24"/>
  <c r="M10" i="24"/>
  <c r="L10" i="24"/>
  <c r="I10" i="24"/>
  <c r="G10" i="24"/>
  <c r="D10" i="24"/>
  <c r="E10" i="24" s="1"/>
  <c r="B10" i="24"/>
  <c r="U9" i="24"/>
  <c r="R9" i="24"/>
  <c r="M9" i="24"/>
  <c r="L9" i="24"/>
  <c r="V9" i="24" s="1"/>
  <c r="I9" i="24"/>
  <c r="G9" i="24"/>
  <c r="D9" i="24"/>
  <c r="E9" i="24" s="1"/>
  <c r="B9" i="24"/>
  <c r="U8" i="24"/>
  <c r="R8" i="24"/>
  <c r="M8" i="24"/>
  <c r="L8" i="24"/>
  <c r="I8" i="24"/>
  <c r="G8" i="24"/>
  <c r="D8" i="24"/>
  <c r="E8" i="24" s="1"/>
  <c r="B8" i="24"/>
  <c r="U7" i="24"/>
  <c r="R7" i="24"/>
  <c r="M7" i="24"/>
  <c r="L7" i="24"/>
  <c r="V7" i="24" s="1"/>
  <c r="I7" i="24"/>
  <c r="G7" i="24"/>
  <c r="D7" i="24"/>
  <c r="E7" i="24" s="1"/>
  <c r="B7" i="24"/>
  <c r="U6" i="24"/>
  <c r="R6" i="24"/>
  <c r="M6" i="24"/>
  <c r="L6" i="24"/>
  <c r="I6" i="24"/>
  <c r="G6" i="24"/>
  <c r="D6" i="24"/>
  <c r="E6" i="24" s="1"/>
  <c r="B6" i="24"/>
  <c r="U5" i="24"/>
  <c r="R5" i="24"/>
  <c r="M5" i="24"/>
  <c r="L5" i="24"/>
  <c r="I5" i="24"/>
  <c r="G5" i="24"/>
  <c r="E5" i="24"/>
  <c r="D5" i="24"/>
  <c r="B5" i="24"/>
  <c r="U4" i="24"/>
  <c r="R4" i="24"/>
  <c r="M4" i="24"/>
  <c r="L4" i="24"/>
  <c r="I4" i="24"/>
  <c r="G4" i="24"/>
  <c r="D4" i="24"/>
  <c r="E4" i="24" s="1"/>
  <c r="J4" i="24" s="1"/>
  <c r="B4" i="24"/>
  <c r="U3" i="24"/>
  <c r="R3" i="24"/>
  <c r="M3" i="24"/>
  <c r="L3" i="24"/>
  <c r="V3" i="24" s="1"/>
  <c r="I3" i="24"/>
  <c r="G3" i="24"/>
  <c r="D3" i="24"/>
  <c r="E3" i="24" s="1"/>
  <c r="J3" i="24" s="1"/>
  <c r="B3" i="24"/>
  <c r="U2" i="24"/>
  <c r="R2" i="24"/>
  <c r="M2" i="24"/>
  <c r="L2" i="24"/>
  <c r="I2" i="24"/>
  <c r="G2" i="24"/>
  <c r="D2" i="24"/>
  <c r="E2" i="24" s="1"/>
  <c r="B2" i="24"/>
  <c r="AA32" i="29" l="1"/>
  <c r="AA29" i="26"/>
  <c r="Y27" i="26"/>
  <c r="Z27" i="26" s="1"/>
  <c r="AA27" i="26" s="1"/>
  <c r="Y53" i="26"/>
  <c r="Z53" i="26" s="1"/>
  <c r="AA53" i="26" s="1"/>
  <c r="Y33" i="26"/>
  <c r="Z33" i="26" s="1"/>
  <c r="Z69" i="26" s="1"/>
  <c r="Y51" i="25"/>
  <c r="Z51" i="25" s="1"/>
  <c r="Y44" i="25"/>
  <c r="Z44" i="25"/>
  <c r="Y56" i="25"/>
  <c r="Z56" i="25"/>
  <c r="Y8" i="25"/>
  <c r="Z8" i="25"/>
  <c r="Z7" i="25"/>
  <c r="Y15" i="25"/>
  <c r="X36" i="25"/>
  <c r="X40" i="25"/>
  <c r="Z42" i="25"/>
  <c r="Z9" i="25"/>
  <c r="X17" i="25"/>
  <c r="Y20" i="25"/>
  <c r="Z20" i="25"/>
  <c r="Y12" i="25"/>
  <c r="Z12" i="25"/>
  <c r="X2" i="25"/>
  <c r="Y2" i="25" s="1"/>
  <c r="Z2" i="25" s="1"/>
  <c r="AA2" i="25" s="1"/>
  <c r="Y32" i="25"/>
  <c r="Z32" i="25"/>
  <c r="X60" i="25"/>
  <c r="X5" i="25"/>
  <c r="X54" i="25"/>
  <c r="X61" i="25"/>
  <c r="X14" i="25"/>
  <c r="X21" i="25"/>
  <c r="X35" i="25"/>
  <c r="X48" i="25"/>
  <c r="X24" i="25"/>
  <c r="X38" i="25"/>
  <c r="X62" i="25"/>
  <c r="X19" i="25"/>
  <c r="X3" i="25"/>
  <c r="X41" i="25"/>
  <c r="X26" i="25"/>
  <c r="X55" i="25"/>
  <c r="X30" i="25"/>
  <c r="X29" i="25"/>
  <c r="X43" i="25"/>
  <c r="X50" i="25"/>
  <c r="X16" i="25"/>
  <c r="X27" i="25"/>
  <c r="X25" i="25"/>
  <c r="X46" i="25"/>
  <c r="X37" i="25"/>
  <c r="X13" i="25"/>
  <c r="X58" i="25"/>
  <c r="X39" i="25"/>
  <c r="X33" i="25"/>
  <c r="X57" i="25"/>
  <c r="X49" i="25"/>
  <c r="Y43" i="25"/>
  <c r="Y45" i="25"/>
  <c r="Z45" i="25" s="1"/>
  <c r="X11" i="25"/>
  <c r="X4" i="25"/>
  <c r="X47" i="25"/>
  <c r="Y9" i="25"/>
  <c r="Y6" i="25"/>
  <c r="Z6" i="25" s="1"/>
  <c r="Y34" i="25"/>
  <c r="Y7" i="25"/>
  <c r="X23" i="25"/>
  <c r="Y61" i="25"/>
  <c r="Y31" i="25"/>
  <c r="Z31" i="25" s="1"/>
  <c r="Y17" i="25"/>
  <c r="X52" i="25"/>
  <c r="X10" i="25"/>
  <c r="Y42" i="25"/>
  <c r="Y18" i="25"/>
  <c r="X28" i="25"/>
  <c r="X59" i="25"/>
  <c r="X53" i="25"/>
  <c r="X22" i="25"/>
  <c r="V12" i="24"/>
  <c r="V24" i="24"/>
  <c r="V30" i="24"/>
  <c r="V37" i="24"/>
  <c r="V55" i="24"/>
  <c r="V67" i="24"/>
  <c r="V5" i="24"/>
  <c r="V36" i="24"/>
  <c r="V54" i="24"/>
  <c r="V60" i="24"/>
  <c r="X60" i="24" s="1"/>
  <c r="J26" i="24"/>
  <c r="J7" i="24"/>
  <c r="J29" i="24"/>
  <c r="N70" i="24"/>
  <c r="J9" i="24"/>
  <c r="N9" i="24" s="1"/>
  <c r="X9" i="24" s="1"/>
  <c r="Y9" i="24" s="1"/>
  <c r="Z9" i="24" s="1"/>
  <c r="AA9" i="24" s="1"/>
  <c r="J34" i="24"/>
  <c r="N34" i="24" s="1"/>
  <c r="J65" i="24"/>
  <c r="J2" i="24"/>
  <c r="N2" i="24" s="1"/>
  <c r="J27" i="24"/>
  <c r="N27" i="24" s="1"/>
  <c r="J55" i="24"/>
  <c r="N55" i="24" s="1"/>
  <c r="X55" i="24" s="1"/>
  <c r="J87" i="24"/>
  <c r="N87" i="24" s="1"/>
  <c r="J48" i="24"/>
  <c r="N48" i="24" s="1"/>
  <c r="J52" i="24"/>
  <c r="J85" i="24"/>
  <c r="V50" i="24"/>
  <c r="V46" i="24"/>
  <c r="J75" i="24"/>
  <c r="N75" i="24" s="1"/>
  <c r="V20" i="24"/>
  <c r="X20" i="24" s="1"/>
  <c r="Y20" i="24" s="1"/>
  <c r="V43" i="24"/>
  <c r="V77" i="24"/>
  <c r="V19" i="24"/>
  <c r="J66" i="24"/>
  <c r="N66" i="24" s="1"/>
  <c r="V74" i="24"/>
  <c r="J5" i="24"/>
  <c r="N5" i="24" s="1"/>
  <c r="X5" i="24" s="1"/>
  <c r="J64" i="24"/>
  <c r="J63" i="24"/>
  <c r="J30" i="24"/>
  <c r="J54" i="24"/>
  <c r="J53" i="24"/>
  <c r="N53" i="24" s="1"/>
  <c r="X53" i="24" s="1"/>
  <c r="J83" i="24"/>
  <c r="N83" i="24" s="1"/>
  <c r="J51" i="24"/>
  <c r="J81" i="24"/>
  <c r="N81" i="24" s="1"/>
  <c r="V21" i="24"/>
  <c r="J77" i="24"/>
  <c r="N77" i="24" s="1"/>
  <c r="X77" i="24" s="1"/>
  <c r="V80" i="24"/>
  <c r="V44" i="24"/>
  <c r="N76" i="24"/>
  <c r="V78" i="24"/>
  <c r="V18" i="24"/>
  <c r="J6" i="24"/>
  <c r="N6" i="24" s="1"/>
  <c r="J8" i="24"/>
  <c r="N8" i="24" s="1"/>
  <c r="J11" i="24"/>
  <c r="N11" i="24" s="1"/>
  <c r="V16" i="24"/>
  <c r="V17" i="24"/>
  <c r="V41" i="24"/>
  <c r="J67" i="24"/>
  <c r="N67" i="24" s="1"/>
  <c r="X67" i="24" s="1"/>
  <c r="V22" i="24"/>
  <c r="V14" i="24"/>
  <c r="V11" i="24"/>
  <c r="X11" i="24" s="1"/>
  <c r="N56" i="24"/>
  <c r="N30" i="24"/>
  <c r="N32" i="24"/>
  <c r="X32" i="24" s="1"/>
  <c r="V6" i="24"/>
  <c r="V8" i="24"/>
  <c r="X8" i="24" s="1"/>
  <c r="N54" i="24"/>
  <c r="X46" i="24"/>
  <c r="Y46" i="24" s="1"/>
  <c r="X71" i="24"/>
  <c r="Y71" i="24" s="1"/>
  <c r="Z71" i="24" s="1"/>
  <c r="AA71" i="24" s="1"/>
  <c r="X38" i="24"/>
  <c r="Y38" i="24" s="1"/>
  <c r="Z38" i="24" s="1"/>
  <c r="AA38" i="24" s="1"/>
  <c r="X72" i="24"/>
  <c r="Y72" i="24" s="1"/>
  <c r="Z72" i="24" s="1"/>
  <c r="AA72" i="24" s="1"/>
  <c r="V4" i="24"/>
  <c r="N60" i="24"/>
  <c r="N62" i="24"/>
  <c r="X62" i="24" s="1"/>
  <c r="Y62" i="24" s="1"/>
  <c r="N80" i="24"/>
  <c r="V2" i="24"/>
  <c r="V66" i="24"/>
  <c r="V47" i="24"/>
  <c r="V52" i="24"/>
  <c r="V56" i="24"/>
  <c r="V64" i="24"/>
  <c r="V75" i="24"/>
  <c r="X75" i="24" s="1"/>
  <c r="Y75" i="24" s="1"/>
  <c r="Z75" i="24" s="1"/>
  <c r="AA75" i="24" s="1"/>
  <c r="V25" i="24"/>
  <c r="V28" i="24"/>
  <c r="V35" i="24"/>
  <c r="V42" i="24"/>
  <c r="V61" i="24"/>
  <c r="V63" i="24"/>
  <c r="V83" i="24"/>
  <c r="X83" i="24" s="1"/>
  <c r="Y83" i="24" s="1"/>
  <c r="Z83" i="24" s="1"/>
  <c r="AA83" i="24" s="1"/>
  <c r="V23" i="24"/>
  <c r="Y53" i="24"/>
  <c r="Z53" i="24"/>
  <c r="AA53" i="24" s="1"/>
  <c r="N74" i="24"/>
  <c r="J23" i="24"/>
  <c r="N23" i="24" s="1"/>
  <c r="J14" i="24"/>
  <c r="N14" i="24" s="1"/>
  <c r="J16" i="24"/>
  <c r="J18" i="24"/>
  <c r="N18" i="24" s="1"/>
  <c r="X18" i="24" s="1"/>
  <c r="X6" i="24"/>
  <c r="V29" i="24"/>
  <c r="N29" i="24"/>
  <c r="J13" i="24"/>
  <c r="N13" i="24" s="1"/>
  <c r="X13" i="24" s="1"/>
  <c r="N21" i="24"/>
  <c r="N26" i="24"/>
  <c r="X26" i="24" s="1"/>
  <c r="J31" i="24"/>
  <c r="N59" i="24"/>
  <c r="V59" i="24"/>
  <c r="V68" i="24"/>
  <c r="N68" i="24"/>
  <c r="J73" i="24"/>
  <c r="N73" i="24" s="1"/>
  <c r="J19" i="24"/>
  <c r="N19" i="24" s="1"/>
  <c r="J22" i="24"/>
  <c r="N22" i="24" s="1"/>
  <c r="J49" i="24"/>
  <c r="N49" i="24" s="1"/>
  <c r="V73" i="24"/>
  <c r="V76" i="24"/>
  <c r="X76" i="24" s="1"/>
  <c r="N3" i="24"/>
  <c r="X3" i="24" s="1"/>
  <c r="N24" i="24"/>
  <c r="X24" i="24" s="1"/>
  <c r="V34" i="24"/>
  <c r="X34" i="24" s="1"/>
  <c r="J25" i="24"/>
  <c r="N25" i="24" s="1"/>
  <c r="N41" i="24"/>
  <c r="X41" i="24" s="1"/>
  <c r="J42" i="24"/>
  <c r="N42" i="24" s="1"/>
  <c r="J43" i="24"/>
  <c r="N43" i="24" s="1"/>
  <c r="N45" i="24"/>
  <c r="V45" i="24"/>
  <c r="N64" i="24"/>
  <c r="V85" i="24"/>
  <c r="N85" i="24"/>
  <c r="X85" i="24" s="1"/>
  <c r="N7" i="24"/>
  <c r="X7" i="24" s="1"/>
  <c r="N15" i="24"/>
  <c r="X15" i="24" s="1"/>
  <c r="N36" i="24"/>
  <c r="X36" i="24" s="1"/>
  <c r="N44" i="24"/>
  <c r="V48" i="24"/>
  <c r="V10" i="24"/>
  <c r="V79" i="24"/>
  <c r="N79" i="24"/>
  <c r="J17" i="24"/>
  <c r="N17" i="24" s="1"/>
  <c r="J35" i="24"/>
  <c r="N35" i="24" s="1"/>
  <c r="V40" i="24"/>
  <c r="J57" i="24"/>
  <c r="N57" i="24" s="1"/>
  <c r="X57" i="24" s="1"/>
  <c r="V65" i="24"/>
  <c r="N65" i="24"/>
  <c r="J12" i="24"/>
  <c r="N12" i="24" s="1"/>
  <c r="X12" i="24" s="1"/>
  <c r="V27" i="24"/>
  <c r="J47" i="24"/>
  <c r="N47" i="24" s="1"/>
  <c r="V81" i="24"/>
  <c r="J10" i="24"/>
  <c r="N10" i="24" s="1"/>
  <c r="V51" i="24"/>
  <c r="N51" i="24"/>
  <c r="J40" i="24"/>
  <c r="N40" i="24" s="1"/>
  <c r="V86" i="24"/>
  <c r="N39" i="24"/>
  <c r="X39" i="24" s="1"/>
  <c r="X80" i="24"/>
  <c r="J58" i="24"/>
  <c r="N58" i="24" s="1"/>
  <c r="X58" i="24" s="1"/>
  <c r="N63" i="24"/>
  <c r="V87" i="24"/>
  <c r="N28" i="24"/>
  <c r="N33" i="24"/>
  <c r="X33" i="24" s="1"/>
  <c r="V49" i="24"/>
  <c r="J61" i="24"/>
  <c r="N61" i="24" s="1"/>
  <c r="N69" i="24"/>
  <c r="X69" i="24" s="1"/>
  <c r="N84" i="24"/>
  <c r="X84" i="24" s="1"/>
  <c r="N4" i="24"/>
  <c r="N31" i="24"/>
  <c r="X31" i="24" s="1"/>
  <c r="N50" i="24"/>
  <c r="X50" i="24" s="1"/>
  <c r="V70" i="24"/>
  <c r="J86" i="24"/>
  <c r="N86" i="24" s="1"/>
  <c r="V82" i="24"/>
  <c r="N16" i="24"/>
  <c r="J37" i="24"/>
  <c r="N37" i="24" s="1"/>
  <c r="N52" i="24"/>
  <c r="J78" i="24"/>
  <c r="N78" i="24" s="1"/>
  <c r="N82" i="24"/>
  <c r="W3" i="23"/>
  <c r="W4" i="23"/>
  <c r="W5" i="23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48" i="23"/>
  <c r="W49" i="23"/>
  <c r="W50" i="23"/>
  <c r="W51" i="23"/>
  <c r="W52" i="23"/>
  <c r="W53" i="23"/>
  <c r="W54" i="23"/>
  <c r="W55" i="23"/>
  <c r="W56" i="23"/>
  <c r="W57" i="23"/>
  <c r="W58" i="23"/>
  <c r="W59" i="23"/>
  <c r="W60" i="23"/>
  <c r="W61" i="23"/>
  <c r="W62" i="23"/>
  <c r="W63" i="23"/>
  <c r="W64" i="23"/>
  <c r="W65" i="23"/>
  <c r="W66" i="23"/>
  <c r="W67" i="23"/>
  <c r="W68" i="23"/>
  <c r="W69" i="23"/>
  <c r="W70" i="23"/>
  <c r="W71" i="23"/>
  <c r="W72" i="23"/>
  <c r="W73" i="23"/>
  <c r="W74" i="23"/>
  <c r="W75" i="23"/>
  <c r="W76" i="23"/>
  <c r="W77" i="23"/>
  <c r="W78" i="23"/>
  <c r="W79" i="23"/>
  <c r="W80" i="23"/>
  <c r="W81" i="23"/>
  <c r="W82" i="23"/>
  <c r="W83" i="23"/>
  <c r="W84" i="23"/>
  <c r="W85" i="23"/>
  <c r="W86" i="23"/>
  <c r="W87" i="23"/>
  <c r="W88" i="23"/>
  <c r="W89" i="23"/>
  <c r="W90" i="23"/>
  <c r="W91" i="23"/>
  <c r="W92" i="23"/>
  <c r="W93" i="23"/>
  <c r="W94" i="23"/>
  <c r="W95" i="23"/>
  <c r="W96" i="23"/>
  <c r="W97" i="23"/>
  <c r="W2" i="23"/>
  <c r="S3" i="23"/>
  <c r="S4" i="23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86" i="23"/>
  <c r="S87" i="23"/>
  <c r="S88" i="23"/>
  <c r="S89" i="23"/>
  <c r="S90" i="23"/>
  <c r="S91" i="23"/>
  <c r="S92" i="23"/>
  <c r="S93" i="23"/>
  <c r="S94" i="23"/>
  <c r="S95" i="23"/>
  <c r="S96" i="23"/>
  <c r="S97" i="23"/>
  <c r="S2" i="23"/>
  <c r="AA33" i="26" l="1"/>
  <c r="AA69" i="26" s="1"/>
  <c r="Y48" i="25"/>
  <c r="Z48" i="25" s="1"/>
  <c r="Y35" i="25"/>
  <c r="Z35" i="25"/>
  <c r="Z21" i="25"/>
  <c r="AA7" i="25"/>
  <c r="AA20" i="25"/>
  <c r="AA34" i="25"/>
  <c r="Z61" i="25"/>
  <c r="AA61" i="25" s="1"/>
  <c r="Y26" i="25"/>
  <c r="Z26" i="25" s="1"/>
  <c r="AA18" i="25"/>
  <c r="AA9" i="25"/>
  <c r="Y13" i="25"/>
  <c r="Z13" i="25"/>
  <c r="Y5" i="25"/>
  <c r="Z5" i="25"/>
  <c r="AA56" i="25"/>
  <c r="Z47" i="25"/>
  <c r="Y37" i="25"/>
  <c r="Z37" i="25"/>
  <c r="Y3" i="25"/>
  <c r="Z3" i="25"/>
  <c r="Y60" i="25"/>
  <c r="Z60" i="25"/>
  <c r="Y49" i="25"/>
  <c r="Z49" i="25"/>
  <c r="AA49" i="25" s="1"/>
  <c r="Z53" i="25"/>
  <c r="AA53" i="25" s="1"/>
  <c r="Y30" i="25"/>
  <c r="Z30" i="25"/>
  <c r="Y55" i="25"/>
  <c r="Z55" i="25"/>
  <c r="AA8" i="25"/>
  <c r="AA6" i="25"/>
  <c r="Y54" i="25"/>
  <c r="Z54" i="25"/>
  <c r="Y46" i="25"/>
  <c r="Z46" i="25"/>
  <c r="Y19" i="25"/>
  <c r="Z19" i="25"/>
  <c r="Z18" i="25"/>
  <c r="Y40" i="25"/>
  <c r="Z40" i="25" s="1"/>
  <c r="Y25" i="25"/>
  <c r="Z25" i="25"/>
  <c r="AA25" i="25" s="1"/>
  <c r="Y62" i="25"/>
  <c r="Z62" i="25"/>
  <c r="AA32" i="25"/>
  <c r="AA44" i="25"/>
  <c r="AA31" i="25"/>
  <c r="AA12" i="25"/>
  <c r="Y33" i="25"/>
  <c r="Z33" i="25"/>
  <c r="Y14" i="25"/>
  <c r="Z14" i="25"/>
  <c r="AA14" i="25" s="1"/>
  <c r="Y39" i="25"/>
  <c r="Z39" i="25"/>
  <c r="Z17" i="25"/>
  <c r="AA17" i="25" s="1"/>
  <c r="Z58" i="25"/>
  <c r="Y21" i="25"/>
  <c r="Y27" i="25"/>
  <c r="Z27" i="25" s="1"/>
  <c r="Y38" i="25"/>
  <c r="Z38" i="25" s="1"/>
  <c r="AA38" i="25" s="1"/>
  <c r="Z34" i="25"/>
  <c r="Y36" i="25"/>
  <c r="Z36" i="25"/>
  <c r="Y50" i="25"/>
  <c r="Z50" i="25"/>
  <c r="AA50" i="25" s="1"/>
  <c r="Z43" i="25"/>
  <c r="AA43" i="25" s="1"/>
  <c r="Y29" i="25"/>
  <c r="AA45" i="25"/>
  <c r="Y16" i="25"/>
  <c r="Z16" i="25" s="1"/>
  <c r="AA16" i="25" s="1"/>
  <c r="Z15" i="25"/>
  <c r="AA15" i="25" s="1"/>
  <c r="AA51" i="25"/>
  <c r="Y41" i="25"/>
  <c r="Y24" i="25"/>
  <c r="Z24" i="25" s="1"/>
  <c r="AA24" i="25" s="1"/>
  <c r="Y58" i="25"/>
  <c r="Y57" i="25"/>
  <c r="Z57" i="25" s="1"/>
  <c r="AA42" i="25"/>
  <c r="Y11" i="25"/>
  <c r="Z11" i="25" s="1"/>
  <c r="Y10" i="25"/>
  <c r="Z10" i="25" s="1"/>
  <c r="Y28" i="25"/>
  <c r="Y4" i="25"/>
  <c r="Z4" i="25" s="1"/>
  <c r="Y47" i="25"/>
  <c r="Y23" i="25"/>
  <c r="Y52" i="25"/>
  <c r="Z52" i="25" s="1"/>
  <c r="Y22" i="25"/>
  <c r="Z22" i="25" s="1"/>
  <c r="Y53" i="25"/>
  <c r="Y59" i="25"/>
  <c r="X74" i="24"/>
  <c r="Y74" i="24" s="1"/>
  <c r="Z74" i="24" s="1"/>
  <c r="AA74" i="24" s="1"/>
  <c r="X40" i="24"/>
  <c r="Y40" i="24" s="1"/>
  <c r="Z40" i="24" s="1"/>
  <c r="AA40" i="24" s="1"/>
  <c r="X54" i="24"/>
  <c r="Y54" i="24" s="1"/>
  <c r="Z54" i="24" s="1"/>
  <c r="AA54" i="24" s="1"/>
  <c r="X78" i="24"/>
  <c r="Y78" i="24" s="1"/>
  <c r="Z78" i="24" s="1"/>
  <c r="AA78" i="24" s="1"/>
  <c r="X19" i="24"/>
  <c r="Y19" i="24" s="1"/>
  <c r="Z19" i="24" s="1"/>
  <c r="AA19" i="24" s="1"/>
  <c r="X37" i="24"/>
  <c r="X43" i="24"/>
  <c r="Y43" i="24" s="1"/>
  <c r="Z43" i="24" s="1"/>
  <c r="AA43" i="24" s="1"/>
  <c r="X28" i="24"/>
  <c r="Y28" i="24" s="1"/>
  <c r="Z28" i="24" s="1"/>
  <c r="AA28" i="24" s="1"/>
  <c r="X68" i="24"/>
  <c r="Y68" i="24" s="1"/>
  <c r="Z68" i="24" s="1"/>
  <c r="AA68" i="24" s="1"/>
  <c r="X30" i="24"/>
  <c r="Y30" i="24" s="1"/>
  <c r="Z30" i="24" s="1"/>
  <c r="AA30" i="24" s="1"/>
  <c r="X17" i="24"/>
  <c r="Y17" i="24" s="1"/>
  <c r="Z17" i="24" s="1"/>
  <c r="AA17" i="24" s="1"/>
  <c r="X2" i="24"/>
  <c r="Y2" i="24" s="1"/>
  <c r="Z2" i="24" s="1"/>
  <c r="AA2" i="24" s="1"/>
  <c r="X14" i="24"/>
  <c r="Y14" i="24" s="1"/>
  <c r="Z14" i="24" s="1"/>
  <c r="AA14" i="24" s="1"/>
  <c r="X47" i="24"/>
  <c r="Y47" i="24" s="1"/>
  <c r="Z47" i="24" s="1"/>
  <c r="AA47" i="24" s="1"/>
  <c r="X44" i="24"/>
  <c r="Y44" i="24" s="1"/>
  <c r="X16" i="24"/>
  <c r="X70" i="24"/>
  <c r="Y70" i="24" s="1"/>
  <c r="Z70" i="24" s="1"/>
  <c r="AA70" i="24" s="1"/>
  <c r="X22" i="24"/>
  <c r="Y22" i="24" s="1"/>
  <c r="Z22" i="24" s="1"/>
  <c r="AA22" i="24" s="1"/>
  <c r="X21" i="24"/>
  <c r="Y32" i="24"/>
  <c r="Z32" i="24" s="1"/>
  <c r="AA32" i="24" s="1"/>
  <c r="X66" i="24"/>
  <c r="Y66" i="24" s="1"/>
  <c r="Z66" i="24" s="1"/>
  <c r="AA66" i="24" s="1"/>
  <c r="X87" i="24"/>
  <c r="Y87" i="24" s="1"/>
  <c r="X79" i="24"/>
  <c r="Y79" i="24" s="1"/>
  <c r="Z79" i="24" s="1"/>
  <c r="AA79" i="24" s="1"/>
  <c r="X29" i="24"/>
  <c r="Y29" i="24" s="1"/>
  <c r="Z29" i="24" s="1"/>
  <c r="AA29" i="24" s="1"/>
  <c r="Z46" i="24"/>
  <c r="AA46" i="24" s="1"/>
  <c r="X42" i="24"/>
  <c r="Y42" i="24" s="1"/>
  <c r="Z42" i="24" s="1"/>
  <c r="X10" i="24"/>
  <c r="Y10" i="24" s="1"/>
  <c r="Z10" i="24" s="1"/>
  <c r="AA10" i="24" s="1"/>
  <c r="X56" i="24"/>
  <c r="Y56" i="24" s="1"/>
  <c r="X63" i="24"/>
  <c r="Y63" i="24" s="1"/>
  <c r="Z63" i="24" s="1"/>
  <c r="AA63" i="24" s="1"/>
  <c r="X73" i="24"/>
  <c r="Y73" i="24" s="1"/>
  <c r="Z73" i="24" s="1"/>
  <c r="AA73" i="24" s="1"/>
  <c r="Z62" i="24"/>
  <c r="AA62" i="24" s="1"/>
  <c r="X4" i="24"/>
  <c r="Y4" i="24" s="1"/>
  <c r="Z4" i="24" s="1"/>
  <c r="AA4" i="24" s="1"/>
  <c r="X23" i="24"/>
  <c r="Y23" i="24" s="1"/>
  <c r="Z23" i="24" s="1"/>
  <c r="AA23" i="24" s="1"/>
  <c r="Z20" i="24"/>
  <c r="AA20" i="24" s="1"/>
  <c r="X52" i="24"/>
  <c r="Y52" i="24" s="1"/>
  <c r="X64" i="24"/>
  <c r="Y64" i="24" s="1"/>
  <c r="X25" i="24"/>
  <c r="Y25" i="24" s="1"/>
  <c r="Z25" i="24" s="1"/>
  <c r="AA25" i="24" s="1"/>
  <c r="X61" i="24"/>
  <c r="Y61" i="24" s="1"/>
  <c r="Z61" i="24" s="1"/>
  <c r="AA61" i="24" s="1"/>
  <c r="X27" i="24"/>
  <c r="Y27" i="24" s="1"/>
  <c r="Z27" i="24" s="1"/>
  <c r="AA27" i="24" s="1"/>
  <c r="X86" i="24"/>
  <c r="Y86" i="24" s="1"/>
  <c r="Z86" i="24" s="1"/>
  <c r="AA86" i="24" s="1"/>
  <c r="X51" i="24"/>
  <c r="Y51" i="24" s="1"/>
  <c r="Z51" i="24" s="1"/>
  <c r="AA51" i="24" s="1"/>
  <c r="X35" i="24"/>
  <c r="Y35" i="24" s="1"/>
  <c r="Z35" i="24" s="1"/>
  <c r="AA35" i="24" s="1"/>
  <c r="Y76" i="24"/>
  <c r="Z76" i="24" s="1"/>
  <c r="AA76" i="24" s="1"/>
  <c r="Y34" i="24"/>
  <c r="Z34" i="24" s="1"/>
  <c r="AA34" i="24" s="1"/>
  <c r="Y24" i="24"/>
  <c r="Z24" i="24" s="1"/>
  <c r="AA24" i="24" s="1"/>
  <c r="Y57" i="24"/>
  <c r="Z57" i="24" s="1"/>
  <c r="X48" i="24"/>
  <c r="Y3" i="24"/>
  <c r="Z3" i="24" s="1"/>
  <c r="AA3" i="24" s="1"/>
  <c r="Y33" i="24"/>
  <c r="Z33" i="24" s="1"/>
  <c r="AA33" i="24" s="1"/>
  <c r="Y50" i="24"/>
  <c r="Z50" i="24" s="1"/>
  <c r="AA50" i="24" s="1"/>
  <c r="Y36" i="24"/>
  <c r="Z36" i="24" s="1"/>
  <c r="AA36" i="24" s="1"/>
  <c r="Y15" i="24"/>
  <c r="Z15" i="24" s="1"/>
  <c r="AA15" i="24" s="1"/>
  <c r="X45" i="24"/>
  <c r="X59" i="24"/>
  <c r="Y31" i="24"/>
  <c r="Z31" i="24" s="1"/>
  <c r="AA31" i="24" s="1"/>
  <c r="Y7" i="24"/>
  <c r="Z7" i="24"/>
  <c r="AA7" i="24" s="1"/>
  <c r="Y55" i="24"/>
  <c r="Z55" i="24" s="1"/>
  <c r="AA55" i="24" s="1"/>
  <c r="Y11" i="24"/>
  <c r="Z11" i="24" s="1"/>
  <c r="AA11" i="24" s="1"/>
  <c r="Y58" i="24"/>
  <c r="Z58" i="24" s="1"/>
  <c r="AA58" i="24" s="1"/>
  <c r="X81" i="24"/>
  <c r="X49" i="24"/>
  <c r="Y8" i="24"/>
  <c r="Z8" i="24" s="1"/>
  <c r="AA8" i="24" s="1"/>
  <c r="Y85" i="24"/>
  <c r="Z85" i="24" s="1"/>
  <c r="AA85" i="24" s="1"/>
  <c r="Y41" i="24"/>
  <c r="Z41" i="24" s="1"/>
  <c r="AA41" i="24" s="1"/>
  <c r="Y26" i="24"/>
  <c r="Z26" i="24" s="1"/>
  <c r="AA26" i="24" s="1"/>
  <c r="Y6" i="24"/>
  <c r="Z6" i="24"/>
  <c r="AA6" i="24" s="1"/>
  <c r="Y80" i="24"/>
  <c r="Z80" i="24"/>
  <c r="AA80" i="24" s="1"/>
  <c r="Y60" i="24"/>
  <c r="Z60" i="24"/>
  <c r="AA60" i="24" s="1"/>
  <c r="Y18" i="24"/>
  <c r="Z18" i="24"/>
  <c r="AA18" i="24" s="1"/>
  <c r="X82" i="24"/>
  <c r="Y37" i="24"/>
  <c r="Z37" i="24" s="1"/>
  <c r="AA37" i="24" s="1"/>
  <c r="Y84" i="24"/>
  <c r="Z84" i="24" s="1"/>
  <c r="AA84" i="24" s="1"/>
  <c r="Y39" i="24"/>
  <c r="Z39" i="24" s="1"/>
  <c r="AA39" i="24" s="1"/>
  <c r="Y67" i="24"/>
  <c r="Z67" i="24" s="1"/>
  <c r="AA67" i="24" s="1"/>
  <c r="Y13" i="24"/>
  <c r="Z13" i="24" s="1"/>
  <c r="AA13" i="24" s="1"/>
  <c r="Y69" i="24"/>
  <c r="Z69" i="24" s="1"/>
  <c r="AA69" i="24" s="1"/>
  <c r="Y12" i="24"/>
  <c r="Z12" i="24" s="1"/>
  <c r="AA12" i="24" s="1"/>
  <c r="X65" i="24"/>
  <c r="Y77" i="24"/>
  <c r="Z77" i="24" s="1"/>
  <c r="AA77" i="24" s="1"/>
  <c r="Y5" i="24"/>
  <c r="Z5" i="24" s="1"/>
  <c r="AA5" i="24" s="1"/>
  <c r="U97" i="23"/>
  <c r="R97" i="23"/>
  <c r="M97" i="23"/>
  <c r="L97" i="23"/>
  <c r="I97" i="23"/>
  <c r="G97" i="23"/>
  <c r="D97" i="23"/>
  <c r="E97" i="23" s="1"/>
  <c r="B97" i="23"/>
  <c r="U96" i="23"/>
  <c r="R96" i="23"/>
  <c r="M96" i="23"/>
  <c r="L96" i="23"/>
  <c r="I96" i="23"/>
  <c r="G96" i="23"/>
  <c r="D96" i="23"/>
  <c r="E96" i="23" s="1"/>
  <c r="B96" i="23"/>
  <c r="U95" i="23"/>
  <c r="R95" i="23"/>
  <c r="M95" i="23"/>
  <c r="L95" i="23"/>
  <c r="I95" i="23"/>
  <c r="G95" i="23"/>
  <c r="D95" i="23"/>
  <c r="E95" i="23" s="1"/>
  <c r="B95" i="23"/>
  <c r="U94" i="23"/>
  <c r="R94" i="23"/>
  <c r="M94" i="23"/>
  <c r="L94" i="23"/>
  <c r="I94" i="23"/>
  <c r="G94" i="23"/>
  <c r="D94" i="23"/>
  <c r="E94" i="23" s="1"/>
  <c r="J94" i="23" s="1"/>
  <c r="B94" i="23"/>
  <c r="U93" i="23"/>
  <c r="R93" i="23"/>
  <c r="M93" i="23"/>
  <c r="L93" i="23"/>
  <c r="I93" i="23"/>
  <c r="G93" i="23"/>
  <c r="D93" i="23"/>
  <c r="E93" i="23" s="1"/>
  <c r="B93" i="23"/>
  <c r="U92" i="23"/>
  <c r="R92" i="23"/>
  <c r="M92" i="23"/>
  <c r="L92" i="23"/>
  <c r="I92" i="23"/>
  <c r="G92" i="23"/>
  <c r="D92" i="23"/>
  <c r="E92" i="23" s="1"/>
  <c r="B92" i="23"/>
  <c r="U91" i="23"/>
  <c r="R91" i="23"/>
  <c r="M91" i="23"/>
  <c r="L91" i="23"/>
  <c r="I91" i="23"/>
  <c r="G91" i="23"/>
  <c r="D91" i="23"/>
  <c r="E91" i="23" s="1"/>
  <c r="B91" i="23"/>
  <c r="U90" i="23"/>
  <c r="R90" i="23"/>
  <c r="M90" i="23"/>
  <c r="L90" i="23"/>
  <c r="I90" i="23"/>
  <c r="G90" i="23"/>
  <c r="D90" i="23"/>
  <c r="E90" i="23" s="1"/>
  <c r="J90" i="23" s="1"/>
  <c r="B90" i="23"/>
  <c r="U89" i="23"/>
  <c r="R89" i="23"/>
  <c r="M89" i="23"/>
  <c r="L89" i="23"/>
  <c r="I89" i="23"/>
  <c r="G89" i="23"/>
  <c r="D89" i="23"/>
  <c r="E89" i="23" s="1"/>
  <c r="B89" i="23"/>
  <c r="U88" i="23"/>
  <c r="R88" i="23"/>
  <c r="M88" i="23"/>
  <c r="L88" i="23"/>
  <c r="I88" i="23"/>
  <c r="G88" i="23"/>
  <c r="D88" i="23"/>
  <c r="E88" i="23" s="1"/>
  <c r="B88" i="23"/>
  <c r="U87" i="23"/>
  <c r="R87" i="23"/>
  <c r="M87" i="23"/>
  <c r="L87" i="23"/>
  <c r="I87" i="23"/>
  <c r="G87" i="23"/>
  <c r="D87" i="23"/>
  <c r="E87" i="23" s="1"/>
  <c r="B87" i="23"/>
  <c r="U86" i="23"/>
  <c r="R86" i="23"/>
  <c r="M86" i="23"/>
  <c r="L86" i="23"/>
  <c r="I86" i="23"/>
  <c r="G86" i="23"/>
  <c r="D86" i="23"/>
  <c r="E86" i="23" s="1"/>
  <c r="B86" i="23"/>
  <c r="U85" i="23"/>
  <c r="R85" i="23"/>
  <c r="M85" i="23"/>
  <c r="L85" i="23"/>
  <c r="I85" i="23"/>
  <c r="G85" i="23"/>
  <c r="D85" i="23"/>
  <c r="E85" i="23" s="1"/>
  <c r="B85" i="23"/>
  <c r="U84" i="23"/>
  <c r="R84" i="23"/>
  <c r="M84" i="23"/>
  <c r="L84" i="23"/>
  <c r="I84" i="23"/>
  <c r="G84" i="23"/>
  <c r="D84" i="23"/>
  <c r="E84" i="23" s="1"/>
  <c r="J84" i="23" s="1"/>
  <c r="B84" i="23"/>
  <c r="U83" i="23"/>
  <c r="R83" i="23"/>
  <c r="M83" i="23"/>
  <c r="L83" i="23"/>
  <c r="I83" i="23"/>
  <c r="G83" i="23"/>
  <c r="D83" i="23"/>
  <c r="E83" i="23" s="1"/>
  <c r="B83" i="23"/>
  <c r="U82" i="23"/>
  <c r="R82" i="23"/>
  <c r="M82" i="23"/>
  <c r="L82" i="23"/>
  <c r="I82" i="23"/>
  <c r="G82" i="23"/>
  <c r="D82" i="23"/>
  <c r="E82" i="23" s="1"/>
  <c r="J82" i="23" s="1"/>
  <c r="N82" i="23" s="1"/>
  <c r="B82" i="23"/>
  <c r="U81" i="23"/>
  <c r="R81" i="23"/>
  <c r="M81" i="23"/>
  <c r="L81" i="23"/>
  <c r="V81" i="23" s="1"/>
  <c r="I81" i="23"/>
  <c r="G81" i="23"/>
  <c r="D81" i="23"/>
  <c r="E81" i="23" s="1"/>
  <c r="B81" i="23"/>
  <c r="U80" i="23"/>
  <c r="R80" i="23"/>
  <c r="M80" i="23"/>
  <c r="L80" i="23"/>
  <c r="I80" i="23"/>
  <c r="G80" i="23"/>
  <c r="D80" i="23"/>
  <c r="E80" i="23" s="1"/>
  <c r="B80" i="23"/>
  <c r="U79" i="23"/>
  <c r="R79" i="23"/>
  <c r="M79" i="23"/>
  <c r="L79" i="23"/>
  <c r="I79" i="23"/>
  <c r="G79" i="23"/>
  <c r="D79" i="23"/>
  <c r="E79" i="23" s="1"/>
  <c r="B79" i="23"/>
  <c r="U78" i="23"/>
  <c r="R78" i="23"/>
  <c r="M78" i="23"/>
  <c r="L78" i="23"/>
  <c r="I78" i="23"/>
  <c r="G78" i="23"/>
  <c r="D78" i="23"/>
  <c r="E78" i="23" s="1"/>
  <c r="B78" i="23"/>
  <c r="U77" i="23"/>
  <c r="R77" i="23"/>
  <c r="M77" i="23"/>
  <c r="L77" i="23"/>
  <c r="I77" i="23"/>
  <c r="G77" i="23"/>
  <c r="D77" i="23"/>
  <c r="E77" i="23" s="1"/>
  <c r="B77" i="23"/>
  <c r="U76" i="23"/>
  <c r="R76" i="23"/>
  <c r="M76" i="23"/>
  <c r="L76" i="23"/>
  <c r="I76" i="23"/>
  <c r="G76" i="23"/>
  <c r="D76" i="23"/>
  <c r="E76" i="23" s="1"/>
  <c r="B76" i="23"/>
  <c r="U75" i="23"/>
  <c r="R75" i="23"/>
  <c r="M75" i="23"/>
  <c r="L75" i="23"/>
  <c r="I75" i="23"/>
  <c r="G75" i="23"/>
  <c r="D75" i="23"/>
  <c r="E75" i="23" s="1"/>
  <c r="B75" i="23"/>
  <c r="U74" i="23"/>
  <c r="R74" i="23"/>
  <c r="M74" i="23"/>
  <c r="L74" i="23"/>
  <c r="I74" i="23"/>
  <c r="G74" i="23"/>
  <c r="D74" i="23"/>
  <c r="E74" i="23" s="1"/>
  <c r="B74" i="23"/>
  <c r="U73" i="23"/>
  <c r="R73" i="23"/>
  <c r="M73" i="23"/>
  <c r="L73" i="23"/>
  <c r="I73" i="23"/>
  <c r="G73" i="23"/>
  <c r="D73" i="23"/>
  <c r="E73" i="23" s="1"/>
  <c r="B73" i="23"/>
  <c r="U72" i="23"/>
  <c r="R72" i="23"/>
  <c r="M72" i="23"/>
  <c r="L72" i="23"/>
  <c r="I72" i="23"/>
  <c r="G72" i="23"/>
  <c r="D72" i="23"/>
  <c r="E72" i="23" s="1"/>
  <c r="J72" i="23" s="1"/>
  <c r="B72" i="23"/>
  <c r="U71" i="23"/>
  <c r="R71" i="23"/>
  <c r="M71" i="23"/>
  <c r="L71" i="23"/>
  <c r="I71" i="23"/>
  <c r="G71" i="23"/>
  <c r="D71" i="23"/>
  <c r="E71" i="23" s="1"/>
  <c r="B71" i="23"/>
  <c r="U70" i="23"/>
  <c r="R70" i="23"/>
  <c r="M70" i="23"/>
  <c r="L70" i="23"/>
  <c r="I70" i="23"/>
  <c r="G70" i="23"/>
  <c r="D70" i="23"/>
  <c r="E70" i="23" s="1"/>
  <c r="B70" i="23"/>
  <c r="U69" i="23"/>
  <c r="R69" i="23"/>
  <c r="M69" i="23"/>
  <c r="L69" i="23"/>
  <c r="I69" i="23"/>
  <c r="G69" i="23"/>
  <c r="D69" i="23"/>
  <c r="E69" i="23" s="1"/>
  <c r="B69" i="23"/>
  <c r="U68" i="23"/>
  <c r="R68" i="23"/>
  <c r="M68" i="23"/>
  <c r="L68" i="23"/>
  <c r="I68" i="23"/>
  <c r="G68" i="23"/>
  <c r="D68" i="23"/>
  <c r="E68" i="23" s="1"/>
  <c r="B68" i="23"/>
  <c r="U67" i="23"/>
  <c r="R67" i="23"/>
  <c r="M67" i="23"/>
  <c r="L67" i="23"/>
  <c r="I67" i="23"/>
  <c r="G67" i="23"/>
  <c r="D67" i="23"/>
  <c r="E67" i="23" s="1"/>
  <c r="B67" i="23"/>
  <c r="U66" i="23"/>
  <c r="R66" i="23"/>
  <c r="M66" i="23"/>
  <c r="L66" i="23"/>
  <c r="I66" i="23"/>
  <c r="G66" i="23"/>
  <c r="D66" i="23"/>
  <c r="E66" i="23" s="1"/>
  <c r="J66" i="23" s="1"/>
  <c r="B66" i="23"/>
  <c r="U65" i="23"/>
  <c r="R65" i="23"/>
  <c r="M65" i="23"/>
  <c r="L65" i="23"/>
  <c r="I65" i="23"/>
  <c r="G65" i="23"/>
  <c r="D65" i="23"/>
  <c r="E65" i="23" s="1"/>
  <c r="B65" i="23"/>
  <c r="U64" i="23"/>
  <c r="R64" i="23"/>
  <c r="M64" i="23"/>
  <c r="L64" i="23"/>
  <c r="I64" i="23"/>
  <c r="G64" i="23"/>
  <c r="D64" i="23"/>
  <c r="E64" i="23" s="1"/>
  <c r="B64" i="23"/>
  <c r="U63" i="23"/>
  <c r="R63" i="23"/>
  <c r="M63" i="23"/>
  <c r="L63" i="23"/>
  <c r="I63" i="23"/>
  <c r="G63" i="23"/>
  <c r="D63" i="23"/>
  <c r="E63" i="23" s="1"/>
  <c r="B63" i="23"/>
  <c r="U62" i="23"/>
  <c r="R62" i="23"/>
  <c r="M62" i="23"/>
  <c r="L62" i="23"/>
  <c r="I62" i="23"/>
  <c r="G62" i="23"/>
  <c r="D62" i="23"/>
  <c r="E62" i="23" s="1"/>
  <c r="B62" i="23"/>
  <c r="U61" i="23"/>
  <c r="R61" i="23"/>
  <c r="M61" i="23"/>
  <c r="L61" i="23"/>
  <c r="I61" i="23"/>
  <c r="G61" i="23"/>
  <c r="D61" i="23"/>
  <c r="E61" i="23" s="1"/>
  <c r="B61" i="23"/>
  <c r="U60" i="23"/>
  <c r="R60" i="23"/>
  <c r="M60" i="23"/>
  <c r="L60" i="23"/>
  <c r="I60" i="23"/>
  <c r="G60" i="23"/>
  <c r="D60" i="23"/>
  <c r="E60" i="23" s="1"/>
  <c r="J60" i="23" s="1"/>
  <c r="B60" i="23"/>
  <c r="U59" i="23"/>
  <c r="R59" i="23"/>
  <c r="M59" i="23"/>
  <c r="L59" i="23"/>
  <c r="I59" i="23"/>
  <c r="G59" i="23"/>
  <c r="D59" i="23"/>
  <c r="E59" i="23" s="1"/>
  <c r="B59" i="23"/>
  <c r="U58" i="23"/>
  <c r="R58" i="23"/>
  <c r="M58" i="23"/>
  <c r="L58" i="23"/>
  <c r="I58" i="23"/>
  <c r="G58" i="23"/>
  <c r="D58" i="23"/>
  <c r="E58" i="23" s="1"/>
  <c r="B58" i="23"/>
  <c r="U57" i="23"/>
  <c r="R57" i="23"/>
  <c r="M57" i="23"/>
  <c r="L57" i="23"/>
  <c r="I57" i="23"/>
  <c r="G57" i="23"/>
  <c r="D57" i="23"/>
  <c r="E57" i="23" s="1"/>
  <c r="B57" i="23"/>
  <c r="U56" i="23"/>
  <c r="R56" i="23"/>
  <c r="M56" i="23"/>
  <c r="L56" i="23"/>
  <c r="I56" i="23"/>
  <c r="G56" i="23"/>
  <c r="D56" i="23"/>
  <c r="E56" i="23" s="1"/>
  <c r="B56" i="23"/>
  <c r="U55" i="23"/>
  <c r="R55" i="23"/>
  <c r="M55" i="23"/>
  <c r="L55" i="23"/>
  <c r="I55" i="23"/>
  <c r="G55" i="23"/>
  <c r="D55" i="23"/>
  <c r="E55" i="23" s="1"/>
  <c r="B55" i="23"/>
  <c r="U54" i="23"/>
  <c r="R54" i="23"/>
  <c r="M54" i="23"/>
  <c r="L54" i="23"/>
  <c r="I54" i="23"/>
  <c r="G54" i="23"/>
  <c r="D54" i="23"/>
  <c r="E54" i="23" s="1"/>
  <c r="J54" i="23" s="1"/>
  <c r="B54" i="23"/>
  <c r="U53" i="23"/>
  <c r="R53" i="23"/>
  <c r="M53" i="23"/>
  <c r="L53" i="23"/>
  <c r="I53" i="23"/>
  <c r="G53" i="23"/>
  <c r="D53" i="23"/>
  <c r="E53" i="23" s="1"/>
  <c r="B53" i="23"/>
  <c r="U52" i="23"/>
  <c r="R52" i="23"/>
  <c r="M52" i="23"/>
  <c r="L52" i="23"/>
  <c r="I52" i="23"/>
  <c r="G52" i="23"/>
  <c r="D52" i="23"/>
  <c r="E52" i="23" s="1"/>
  <c r="B52" i="23"/>
  <c r="U51" i="23"/>
  <c r="R51" i="23"/>
  <c r="M51" i="23"/>
  <c r="L51" i="23"/>
  <c r="I51" i="23"/>
  <c r="G51" i="23"/>
  <c r="D51" i="23"/>
  <c r="E51" i="23" s="1"/>
  <c r="B51" i="23"/>
  <c r="U50" i="23"/>
  <c r="R50" i="23"/>
  <c r="M50" i="23"/>
  <c r="L50" i="23"/>
  <c r="I50" i="23"/>
  <c r="G50" i="23"/>
  <c r="D50" i="23"/>
  <c r="E50" i="23" s="1"/>
  <c r="B50" i="23"/>
  <c r="U49" i="23"/>
  <c r="R49" i="23"/>
  <c r="M49" i="23"/>
  <c r="L49" i="23"/>
  <c r="I49" i="23"/>
  <c r="G49" i="23"/>
  <c r="D49" i="23"/>
  <c r="E49" i="23" s="1"/>
  <c r="B49" i="23"/>
  <c r="U48" i="23"/>
  <c r="R48" i="23"/>
  <c r="M48" i="23"/>
  <c r="L48" i="23"/>
  <c r="I48" i="23"/>
  <c r="G48" i="23"/>
  <c r="D48" i="23"/>
  <c r="E48" i="23" s="1"/>
  <c r="B48" i="23"/>
  <c r="U47" i="23"/>
  <c r="R47" i="23"/>
  <c r="M47" i="23"/>
  <c r="L47" i="23"/>
  <c r="I47" i="23"/>
  <c r="G47" i="23"/>
  <c r="D47" i="23"/>
  <c r="E47" i="23" s="1"/>
  <c r="B47" i="23"/>
  <c r="U46" i="23"/>
  <c r="R46" i="23"/>
  <c r="M46" i="23"/>
  <c r="L46" i="23"/>
  <c r="I46" i="23"/>
  <c r="G46" i="23"/>
  <c r="D46" i="23"/>
  <c r="E46" i="23" s="1"/>
  <c r="B46" i="23"/>
  <c r="U45" i="23"/>
  <c r="R45" i="23"/>
  <c r="M45" i="23"/>
  <c r="L45" i="23"/>
  <c r="I45" i="23"/>
  <c r="G45" i="23"/>
  <c r="D45" i="23"/>
  <c r="E45" i="23" s="1"/>
  <c r="B45" i="23"/>
  <c r="U44" i="23"/>
  <c r="R44" i="23"/>
  <c r="M44" i="23"/>
  <c r="L44" i="23"/>
  <c r="I44" i="23"/>
  <c r="G44" i="23"/>
  <c r="D44" i="23"/>
  <c r="E44" i="23" s="1"/>
  <c r="B44" i="23"/>
  <c r="U43" i="23"/>
  <c r="R43" i="23"/>
  <c r="M43" i="23"/>
  <c r="L43" i="23"/>
  <c r="I43" i="23"/>
  <c r="G43" i="23"/>
  <c r="D43" i="23"/>
  <c r="E43" i="23" s="1"/>
  <c r="B43" i="23"/>
  <c r="U42" i="23"/>
  <c r="R42" i="23"/>
  <c r="M42" i="23"/>
  <c r="L42" i="23"/>
  <c r="I42" i="23"/>
  <c r="G42" i="23"/>
  <c r="D42" i="23"/>
  <c r="E42" i="23" s="1"/>
  <c r="J42" i="23" s="1"/>
  <c r="B42" i="23"/>
  <c r="U41" i="23"/>
  <c r="R41" i="23"/>
  <c r="M41" i="23"/>
  <c r="L41" i="23"/>
  <c r="I41" i="23"/>
  <c r="G41" i="23"/>
  <c r="D41" i="23"/>
  <c r="E41" i="23" s="1"/>
  <c r="B41" i="23"/>
  <c r="U40" i="23"/>
  <c r="R40" i="23"/>
  <c r="M40" i="23"/>
  <c r="L40" i="23"/>
  <c r="I40" i="23"/>
  <c r="G40" i="23"/>
  <c r="D40" i="23"/>
  <c r="E40" i="23" s="1"/>
  <c r="B40" i="23"/>
  <c r="U39" i="23"/>
  <c r="R39" i="23"/>
  <c r="M39" i="23"/>
  <c r="L39" i="23"/>
  <c r="I39" i="23"/>
  <c r="G39" i="23"/>
  <c r="D39" i="23"/>
  <c r="E39" i="23" s="1"/>
  <c r="B39" i="23"/>
  <c r="U38" i="23"/>
  <c r="R38" i="23"/>
  <c r="M38" i="23"/>
  <c r="L38" i="23"/>
  <c r="I38" i="23"/>
  <c r="G38" i="23"/>
  <c r="D38" i="23"/>
  <c r="E38" i="23" s="1"/>
  <c r="B38" i="23"/>
  <c r="U37" i="23"/>
  <c r="R37" i="23"/>
  <c r="M37" i="23"/>
  <c r="L37" i="23"/>
  <c r="I37" i="23"/>
  <c r="G37" i="23"/>
  <c r="D37" i="23"/>
  <c r="E37" i="23" s="1"/>
  <c r="J37" i="23" s="1"/>
  <c r="B37" i="23"/>
  <c r="U36" i="23"/>
  <c r="R36" i="23"/>
  <c r="M36" i="23"/>
  <c r="L36" i="23"/>
  <c r="I36" i="23"/>
  <c r="G36" i="23"/>
  <c r="D36" i="23"/>
  <c r="E36" i="23" s="1"/>
  <c r="B36" i="23"/>
  <c r="U35" i="23"/>
  <c r="R35" i="23"/>
  <c r="M35" i="23"/>
  <c r="L35" i="23"/>
  <c r="I35" i="23"/>
  <c r="G35" i="23"/>
  <c r="D35" i="23"/>
  <c r="E35" i="23" s="1"/>
  <c r="B35" i="23"/>
  <c r="U34" i="23"/>
  <c r="R34" i="23"/>
  <c r="M34" i="23"/>
  <c r="L34" i="23"/>
  <c r="I34" i="23"/>
  <c r="G34" i="23"/>
  <c r="D34" i="23"/>
  <c r="E34" i="23" s="1"/>
  <c r="J34" i="23" s="1"/>
  <c r="N34" i="23" s="1"/>
  <c r="B34" i="23"/>
  <c r="U33" i="23"/>
  <c r="R33" i="23"/>
  <c r="M33" i="23"/>
  <c r="L33" i="23"/>
  <c r="I33" i="23"/>
  <c r="G33" i="23"/>
  <c r="D33" i="23"/>
  <c r="E33" i="23" s="1"/>
  <c r="B33" i="23"/>
  <c r="U32" i="23"/>
  <c r="R32" i="23"/>
  <c r="M32" i="23"/>
  <c r="L32" i="23"/>
  <c r="I32" i="23"/>
  <c r="G32" i="23"/>
  <c r="D32" i="23"/>
  <c r="E32" i="23" s="1"/>
  <c r="B32" i="23"/>
  <c r="U31" i="23"/>
  <c r="R31" i="23"/>
  <c r="M31" i="23"/>
  <c r="L31" i="23"/>
  <c r="I31" i="23"/>
  <c r="G31" i="23"/>
  <c r="D31" i="23"/>
  <c r="E31" i="23" s="1"/>
  <c r="B31" i="23"/>
  <c r="U30" i="23"/>
  <c r="R30" i="23"/>
  <c r="M30" i="23"/>
  <c r="L30" i="23"/>
  <c r="I30" i="23"/>
  <c r="G30" i="23"/>
  <c r="D30" i="23"/>
  <c r="E30" i="23" s="1"/>
  <c r="J30" i="23" s="1"/>
  <c r="B30" i="23"/>
  <c r="U29" i="23"/>
  <c r="R29" i="23"/>
  <c r="M29" i="23"/>
  <c r="L29" i="23"/>
  <c r="I29" i="23"/>
  <c r="G29" i="23"/>
  <c r="D29" i="23"/>
  <c r="E29" i="23" s="1"/>
  <c r="B29" i="23"/>
  <c r="U28" i="23"/>
  <c r="R28" i="23"/>
  <c r="M28" i="23"/>
  <c r="L28" i="23"/>
  <c r="I28" i="23"/>
  <c r="G28" i="23"/>
  <c r="D28" i="23"/>
  <c r="E28" i="23" s="1"/>
  <c r="B28" i="23"/>
  <c r="U27" i="23"/>
  <c r="R27" i="23"/>
  <c r="M27" i="23"/>
  <c r="L27" i="23"/>
  <c r="I27" i="23"/>
  <c r="G27" i="23"/>
  <c r="D27" i="23"/>
  <c r="E27" i="23" s="1"/>
  <c r="B27" i="23"/>
  <c r="U26" i="23"/>
  <c r="R26" i="23"/>
  <c r="M26" i="23"/>
  <c r="L26" i="23"/>
  <c r="I26" i="23"/>
  <c r="G26" i="23"/>
  <c r="D26" i="23"/>
  <c r="E26" i="23" s="1"/>
  <c r="B26" i="23"/>
  <c r="U25" i="23"/>
  <c r="R25" i="23"/>
  <c r="M25" i="23"/>
  <c r="L25" i="23"/>
  <c r="I25" i="23"/>
  <c r="G25" i="23"/>
  <c r="D25" i="23"/>
  <c r="E25" i="23" s="1"/>
  <c r="B25" i="23"/>
  <c r="U24" i="23"/>
  <c r="R24" i="23"/>
  <c r="M24" i="23"/>
  <c r="L24" i="23"/>
  <c r="I24" i="23"/>
  <c r="G24" i="23"/>
  <c r="D24" i="23"/>
  <c r="E24" i="23" s="1"/>
  <c r="B24" i="23"/>
  <c r="U23" i="23"/>
  <c r="R23" i="23"/>
  <c r="M23" i="23"/>
  <c r="L23" i="23"/>
  <c r="I23" i="23"/>
  <c r="G23" i="23"/>
  <c r="D23" i="23"/>
  <c r="E23" i="23" s="1"/>
  <c r="J23" i="23" s="1"/>
  <c r="B23" i="23"/>
  <c r="U22" i="23"/>
  <c r="R22" i="23"/>
  <c r="M22" i="23"/>
  <c r="L22" i="23"/>
  <c r="I22" i="23"/>
  <c r="G22" i="23"/>
  <c r="D22" i="23"/>
  <c r="E22" i="23" s="1"/>
  <c r="B22" i="23"/>
  <c r="U21" i="23"/>
  <c r="R21" i="23"/>
  <c r="M21" i="23"/>
  <c r="L21" i="23"/>
  <c r="I21" i="23"/>
  <c r="G21" i="23"/>
  <c r="D21" i="23"/>
  <c r="E21" i="23" s="1"/>
  <c r="J21" i="23" s="1"/>
  <c r="B21" i="23"/>
  <c r="U20" i="23"/>
  <c r="R20" i="23"/>
  <c r="M20" i="23"/>
  <c r="L20" i="23"/>
  <c r="I20" i="23"/>
  <c r="G20" i="23"/>
  <c r="D20" i="23"/>
  <c r="E20" i="23" s="1"/>
  <c r="B20" i="23"/>
  <c r="U19" i="23"/>
  <c r="R19" i="23"/>
  <c r="M19" i="23"/>
  <c r="L19" i="23"/>
  <c r="I19" i="23"/>
  <c r="G19" i="23"/>
  <c r="D19" i="23"/>
  <c r="E19" i="23" s="1"/>
  <c r="B19" i="23"/>
  <c r="U18" i="23"/>
  <c r="R18" i="23"/>
  <c r="M18" i="23"/>
  <c r="L18" i="23"/>
  <c r="I18" i="23"/>
  <c r="G18" i="23"/>
  <c r="D18" i="23"/>
  <c r="E18" i="23" s="1"/>
  <c r="B18" i="23"/>
  <c r="U17" i="23"/>
  <c r="R17" i="23"/>
  <c r="M17" i="23"/>
  <c r="L17" i="23"/>
  <c r="I17" i="23"/>
  <c r="G17" i="23"/>
  <c r="D17" i="23"/>
  <c r="E17" i="23" s="1"/>
  <c r="J17" i="23" s="1"/>
  <c r="B17" i="23"/>
  <c r="U16" i="23"/>
  <c r="R16" i="23"/>
  <c r="M16" i="23"/>
  <c r="L16" i="23"/>
  <c r="I16" i="23"/>
  <c r="G16" i="23"/>
  <c r="D16" i="23"/>
  <c r="E16" i="23" s="1"/>
  <c r="B16" i="23"/>
  <c r="U15" i="23"/>
  <c r="R15" i="23"/>
  <c r="M15" i="23"/>
  <c r="L15" i="23"/>
  <c r="V15" i="23" s="1"/>
  <c r="I15" i="23"/>
  <c r="G15" i="23"/>
  <c r="D15" i="23"/>
  <c r="E15" i="23" s="1"/>
  <c r="B15" i="23"/>
  <c r="U14" i="23"/>
  <c r="R14" i="23"/>
  <c r="M14" i="23"/>
  <c r="L14" i="23"/>
  <c r="I14" i="23"/>
  <c r="G14" i="23"/>
  <c r="D14" i="23"/>
  <c r="E14" i="23" s="1"/>
  <c r="B14" i="23"/>
  <c r="U13" i="23"/>
  <c r="R13" i="23"/>
  <c r="M13" i="23"/>
  <c r="L13" i="23"/>
  <c r="I13" i="23"/>
  <c r="G13" i="23"/>
  <c r="D13" i="23"/>
  <c r="E13" i="23" s="1"/>
  <c r="J13" i="23" s="1"/>
  <c r="B13" i="23"/>
  <c r="U12" i="23"/>
  <c r="R12" i="23"/>
  <c r="M12" i="23"/>
  <c r="L12" i="23"/>
  <c r="I12" i="23"/>
  <c r="G12" i="23"/>
  <c r="D12" i="23"/>
  <c r="E12" i="23" s="1"/>
  <c r="B12" i="23"/>
  <c r="U11" i="23"/>
  <c r="R11" i="23"/>
  <c r="M11" i="23"/>
  <c r="L11" i="23"/>
  <c r="I11" i="23"/>
  <c r="G11" i="23"/>
  <c r="D11" i="23"/>
  <c r="E11" i="23" s="1"/>
  <c r="B11" i="23"/>
  <c r="U10" i="23"/>
  <c r="R10" i="23"/>
  <c r="M10" i="23"/>
  <c r="L10" i="23"/>
  <c r="I10" i="23"/>
  <c r="G10" i="23"/>
  <c r="D10" i="23"/>
  <c r="E10" i="23" s="1"/>
  <c r="B10" i="23"/>
  <c r="U9" i="23"/>
  <c r="R9" i="23"/>
  <c r="M9" i="23"/>
  <c r="L9" i="23"/>
  <c r="I9" i="23"/>
  <c r="G9" i="23"/>
  <c r="D9" i="23"/>
  <c r="E9" i="23" s="1"/>
  <c r="B9" i="23"/>
  <c r="U8" i="23"/>
  <c r="R8" i="23"/>
  <c r="M8" i="23"/>
  <c r="L8" i="23"/>
  <c r="I8" i="23"/>
  <c r="G8" i="23"/>
  <c r="D8" i="23"/>
  <c r="E8" i="23" s="1"/>
  <c r="B8" i="23"/>
  <c r="U7" i="23"/>
  <c r="R7" i="23"/>
  <c r="M7" i="23"/>
  <c r="L7" i="23"/>
  <c r="I7" i="23"/>
  <c r="G7" i="23"/>
  <c r="D7" i="23"/>
  <c r="E7" i="23" s="1"/>
  <c r="J7" i="23" s="1"/>
  <c r="B7" i="23"/>
  <c r="U6" i="23"/>
  <c r="R6" i="23"/>
  <c r="M6" i="23"/>
  <c r="L6" i="23"/>
  <c r="I6" i="23"/>
  <c r="G6" i="23"/>
  <c r="D6" i="23"/>
  <c r="E6" i="23" s="1"/>
  <c r="B6" i="23"/>
  <c r="U5" i="23"/>
  <c r="R5" i="23"/>
  <c r="M5" i="23"/>
  <c r="L5" i="23"/>
  <c r="I5" i="23"/>
  <c r="G5" i="23"/>
  <c r="D5" i="23"/>
  <c r="E5" i="23" s="1"/>
  <c r="J5" i="23" s="1"/>
  <c r="B5" i="23"/>
  <c r="U4" i="23"/>
  <c r="R4" i="23"/>
  <c r="M4" i="23"/>
  <c r="L4" i="23"/>
  <c r="I4" i="23"/>
  <c r="G4" i="23"/>
  <c r="D4" i="23"/>
  <c r="E4" i="23" s="1"/>
  <c r="B4" i="23"/>
  <c r="U3" i="23"/>
  <c r="R3" i="23"/>
  <c r="M3" i="23"/>
  <c r="L3" i="23"/>
  <c r="I3" i="23"/>
  <c r="G3" i="23"/>
  <c r="D3" i="23"/>
  <c r="E3" i="23" s="1"/>
  <c r="B3" i="23"/>
  <c r="U2" i="23"/>
  <c r="R2" i="23"/>
  <c r="M2" i="23"/>
  <c r="L2" i="23"/>
  <c r="I2" i="23"/>
  <c r="G2" i="23"/>
  <c r="D2" i="23"/>
  <c r="E2" i="23" s="1"/>
  <c r="B2" i="23"/>
  <c r="AA57" i="24" l="1"/>
  <c r="AA39" i="25"/>
  <c r="AA54" i="25"/>
  <c r="AA58" i="25"/>
  <c r="AA13" i="25"/>
  <c r="AA60" i="25"/>
  <c r="AA35" i="25"/>
  <c r="AA11" i="25"/>
  <c r="AA62" i="25"/>
  <c r="AA36" i="25"/>
  <c r="AA52" i="25"/>
  <c r="AA33" i="25"/>
  <c r="AA55" i="25"/>
  <c r="AA3" i="25"/>
  <c r="AA46" i="25"/>
  <c r="AA5" i="25"/>
  <c r="AA57" i="25"/>
  <c r="AA22" i="25"/>
  <c r="AA40" i="25"/>
  <c r="AA27" i="25"/>
  <c r="Z23" i="25"/>
  <c r="AA23" i="25" s="1"/>
  <c r="AA26" i="25"/>
  <c r="AA48" i="25"/>
  <c r="AA4" i="25"/>
  <c r="AA10" i="25"/>
  <c r="Z41" i="25"/>
  <c r="AA41" i="25" s="1"/>
  <c r="Z59" i="25"/>
  <c r="AA47" i="25"/>
  <c r="Z29" i="25"/>
  <c r="Z66" i="25" s="1"/>
  <c r="AA21" i="25"/>
  <c r="AA19" i="25"/>
  <c r="AA30" i="25"/>
  <c r="AA37" i="25"/>
  <c r="Z28" i="25"/>
  <c r="AA28" i="25" s="1"/>
  <c r="Z44" i="24"/>
  <c r="AA44" i="24" s="1"/>
  <c r="Y16" i="24"/>
  <c r="Z16" i="24" s="1"/>
  <c r="AA16" i="24" s="1"/>
  <c r="Y21" i="24"/>
  <c r="Z21" i="24" s="1"/>
  <c r="AA21" i="24" s="1"/>
  <c r="Z87" i="24"/>
  <c r="AA87" i="24" s="1"/>
  <c r="Z56" i="24"/>
  <c r="AA56" i="24" s="1"/>
  <c r="Z64" i="24"/>
  <c r="AA64" i="24" s="1"/>
  <c r="Z52" i="24"/>
  <c r="AA52" i="24" s="1"/>
  <c r="Y82" i="24"/>
  <c r="Z82" i="24" s="1"/>
  <c r="AA82" i="24" s="1"/>
  <c r="Y65" i="24"/>
  <c r="Z65" i="24" s="1"/>
  <c r="AA65" i="24" s="1"/>
  <c r="AA42" i="24"/>
  <c r="Y81" i="24"/>
  <c r="Z81" i="24" s="1"/>
  <c r="AA81" i="24" s="1"/>
  <c r="Y48" i="24"/>
  <c r="Z48" i="24" s="1"/>
  <c r="AA48" i="24" s="1"/>
  <c r="Y49" i="24"/>
  <c r="Z49" i="24" s="1"/>
  <c r="AA49" i="24" s="1"/>
  <c r="Y59" i="24"/>
  <c r="Z59" i="24" s="1"/>
  <c r="AA59" i="24" s="1"/>
  <c r="Y45" i="24"/>
  <c r="Z45" i="24" s="1"/>
  <c r="AA45" i="24" s="1"/>
  <c r="J69" i="23"/>
  <c r="N69" i="23" s="1"/>
  <c r="V82" i="23"/>
  <c r="V40" i="23"/>
  <c r="V17" i="23"/>
  <c r="V68" i="23"/>
  <c r="J79" i="23"/>
  <c r="X82" i="23"/>
  <c r="V52" i="23"/>
  <c r="J24" i="23"/>
  <c r="N24" i="23" s="1"/>
  <c r="J86" i="23"/>
  <c r="N86" i="23" s="1"/>
  <c r="J48" i="23"/>
  <c r="V8" i="23"/>
  <c r="J97" i="23"/>
  <c r="N97" i="23" s="1"/>
  <c r="X97" i="23" s="1"/>
  <c r="J22" i="23"/>
  <c r="N22" i="23" s="1"/>
  <c r="J26" i="23"/>
  <c r="N26" i="23" s="1"/>
  <c r="V3" i="23"/>
  <c r="V11" i="23"/>
  <c r="V34" i="23"/>
  <c r="X34" i="23" s="1"/>
  <c r="J45" i="23"/>
  <c r="J36" i="23"/>
  <c r="J70" i="23"/>
  <c r="N70" i="23" s="1"/>
  <c r="J96" i="23"/>
  <c r="J8" i="23"/>
  <c r="J25" i="23"/>
  <c r="V46" i="23"/>
  <c r="V10" i="23"/>
  <c r="N17" i="23"/>
  <c r="J28" i="23"/>
  <c r="N28" i="23" s="1"/>
  <c r="J40" i="23"/>
  <c r="N40" i="23" s="1"/>
  <c r="J74" i="23"/>
  <c r="N74" i="23" s="1"/>
  <c r="V70" i="23"/>
  <c r="V76" i="23"/>
  <c r="V37" i="23"/>
  <c r="V69" i="23"/>
  <c r="V95" i="23"/>
  <c r="J31" i="23"/>
  <c r="N31" i="23" s="1"/>
  <c r="J18" i="23"/>
  <c r="N18" i="23" s="1"/>
  <c r="J2" i="23"/>
  <c r="N2" i="23" s="1"/>
  <c r="X2" i="23" s="1"/>
  <c r="J38" i="23"/>
  <c r="N38" i="23" s="1"/>
  <c r="J12" i="23"/>
  <c r="N12" i="23" s="1"/>
  <c r="V16" i="23"/>
  <c r="V31" i="23"/>
  <c r="J63" i="23"/>
  <c r="N63" i="23" s="1"/>
  <c r="X63" i="23" s="1"/>
  <c r="V26" i="23"/>
  <c r="V48" i="23"/>
  <c r="V64" i="23"/>
  <c r="J91" i="23"/>
  <c r="V93" i="23"/>
  <c r="J43" i="23"/>
  <c r="N43" i="23" s="1"/>
  <c r="J41" i="23"/>
  <c r="N41" i="23" s="1"/>
  <c r="J71" i="23"/>
  <c r="N71" i="23" s="1"/>
  <c r="J68" i="23"/>
  <c r="N68" i="23" s="1"/>
  <c r="J33" i="23"/>
  <c r="N33" i="23" s="1"/>
  <c r="V14" i="23"/>
  <c r="J20" i="23"/>
  <c r="N20" i="23" s="1"/>
  <c r="X20" i="23" s="1"/>
  <c r="V28" i="23"/>
  <c r="J4" i="23"/>
  <c r="N4" i="23" s="1"/>
  <c r="V39" i="23"/>
  <c r="J52" i="23"/>
  <c r="N52" i="23" s="1"/>
  <c r="V61" i="23"/>
  <c r="J78" i="23"/>
  <c r="N78" i="23" s="1"/>
  <c r="J85" i="23"/>
  <c r="N85" i="23" s="1"/>
  <c r="J89" i="23"/>
  <c r="J44" i="23"/>
  <c r="N44" i="23" s="1"/>
  <c r="J67" i="23"/>
  <c r="N67" i="23" s="1"/>
  <c r="J14" i="23"/>
  <c r="N14" i="23" s="1"/>
  <c r="N96" i="23"/>
  <c r="X96" i="23" s="1"/>
  <c r="J9" i="23"/>
  <c r="N9" i="23" s="1"/>
  <c r="V65" i="23"/>
  <c r="V94" i="23"/>
  <c r="V2" i="23"/>
  <c r="V4" i="23"/>
  <c r="V5" i="23"/>
  <c r="V35" i="23"/>
  <c r="J57" i="23"/>
  <c r="J76" i="23"/>
  <c r="N76" i="23" s="1"/>
  <c r="V84" i="23"/>
  <c r="V87" i="23"/>
  <c r="V88" i="23"/>
  <c r="V30" i="23"/>
  <c r="V32" i="23"/>
  <c r="J46" i="23"/>
  <c r="N46" i="23" s="1"/>
  <c r="J49" i="23"/>
  <c r="N49" i="23" s="1"/>
  <c r="J55" i="23"/>
  <c r="N55" i="23" s="1"/>
  <c r="X55" i="23" s="1"/>
  <c r="V57" i="23"/>
  <c r="V58" i="23"/>
  <c r="J73" i="23"/>
  <c r="N73" i="23" s="1"/>
  <c r="N5" i="23"/>
  <c r="V44" i="23"/>
  <c r="V56" i="23"/>
  <c r="V59" i="23"/>
  <c r="V63" i="23"/>
  <c r="N84" i="23"/>
  <c r="N94" i="23"/>
  <c r="X94" i="23" s="1"/>
  <c r="V20" i="23"/>
  <c r="V23" i="23"/>
  <c r="V27" i="23"/>
  <c r="V22" i="23"/>
  <c r="V92" i="23"/>
  <c r="V73" i="23"/>
  <c r="V75" i="23"/>
  <c r="V78" i="23"/>
  <c r="V80" i="23"/>
  <c r="V83" i="23"/>
  <c r="V90" i="23"/>
  <c r="V96" i="23"/>
  <c r="V72" i="23"/>
  <c r="V51" i="23"/>
  <c r="V53" i="23"/>
  <c r="V54" i="23"/>
  <c r="N66" i="23"/>
  <c r="V66" i="23"/>
  <c r="V18" i="23"/>
  <c r="J80" i="23"/>
  <c r="N80" i="23" s="1"/>
  <c r="V6" i="23"/>
  <c r="N13" i="23"/>
  <c r="V13" i="23"/>
  <c r="J6" i="23"/>
  <c r="N6" i="23" s="1"/>
  <c r="X6" i="23" s="1"/>
  <c r="V12" i="23"/>
  <c r="J56" i="23"/>
  <c r="N56" i="23" s="1"/>
  <c r="J3" i="23"/>
  <c r="N3" i="23" s="1"/>
  <c r="N25" i="23"/>
  <c r="V55" i="23"/>
  <c r="V79" i="23"/>
  <c r="N79" i="23"/>
  <c r="V7" i="23"/>
  <c r="N7" i="23"/>
  <c r="V33" i="23"/>
  <c r="V45" i="23"/>
  <c r="N45" i="23"/>
  <c r="N8" i="23"/>
  <c r="J15" i="23"/>
  <c r="N15" i="23" s="1"/>
  <c r="J50" i="23"/>
  <c r="N50" i="23" s="1"/>
  <c r="J59" i="23"/>
  <c r="N59" i="23" s="1"/>
  <c r="J16" i="23"/>
  <c r="N16" i="23" s="1"/>
  <c r="J39" i="23"/>
  <c r="N39" i="23" s="1"/>
  <c r="X39" i="23" s="1"/>
  <c r="V47" i="23"/>
  <c r="J61" i="23"/>
  <c r="N61" i="23" s="1"/>
  <c r="N89" i="23"/>
  <c r="V89" i="23"/>
  <c r="V91" i="23"/>
  <c r="N91" i="23"/>
  <c r="V9" i="23"/>
  <c r="J27" i="23"/>
  <c r="N27" i="23" s="1"/>
  <c r="V38" i="23"/>
  <c r="N57" i="23"/>
  <c r="J10" i="23"/>
  <c r="N10" i="23" s="1"/>
  <c r="X10" i="23" s="1"/>
  <c r="N48" i="23"/>
  <c r="V60" i="23"/>
  <c r="N60" i="23"/>
  <c r="V71" i="23"/>
  <c r="V97" i="23"/>
  <c r="J11" i="23"/>
  <c r="N11" i="23" s="1"/>
  <c r="X11" i="23" s="1"/>
  <c r="V25" i="23"/>
  <c r="V74" i="23"/>
  <c r="J75" i="23"/>
  <c r="N75" i="23" s="1"/>
  <c r="J95" i="23"/>
  <c r="N95" i="23" s="1"/>
  <c r="J29" i="23"/>
  <c r="N29" i="23" s="1"/>
  <c r="X29" i="23" s="1"/>
  <c r="J64" i="23"/>
  <c r="N64" i="23" s="1"/>
  <c r="X64" i="23" s="1"/>
  <c r="J77" i="23"/>
  <c r="N77" i="23" s="1"/>
  <c r="X77" i="23" s="1"/>
  <c r="N23" i="23"/>
  <c r="V29" i="23"/>
  <c r="V77" i="23"/>
  <c r="V85" i="23"/>
  <c r="J19" i="23"/>
  <c r="N19" i="23" s="1"/>
  <c r="X19" i="23" s="1"/>
  <c r="J81" i="23"/>
  <c r="N81" i="23" s="1"/>
  <c r="J92" i="23"/>
  <c r="N92" i="23" s="1"/>
  <c r="J93" i="23"/>
  <c r="N93" i="23" s="1"/>
  <c r="J32" i="23"/>
  <c r="N32" i="23" s="1"/>
  <c r="X32" i="23" s="1"/>
  <c r="V36" i="23"/>
  <c r="N36" i="23"/>
  <c r="N72" i="23"/>
  <c r="V41" i="23"/>
  <c r="J62" i="23"/>
  <c r="N62" i="23" s="1"/>
  <c r="J88" i="23"/>
  <c r="N88" i="23" s="1"/>
  <c r="V24" i="23"/>
  <c r="J47" i="23"/>
  <c r="N47" i="23" s="1"/>
  <c r="V49" i="23"/>
  <c r="J58" i="23"/>
  <c r="N58" i="23" s="1"/>
  <c r="X58" i="23" s="1"/>
  <c r="N42" i="23"/>
  <c r="V50" i="23"/>
  <c r="J53" i="23"/>
  <c r="N53" i="23" s="1"/>
  <c r="X53" i="23" s="1"/>
  <c r="J83" i="23"/>
  <c r="N83" i="23" s="1"/>
  <c r="J35" i="23"/>
  <c r="N35" i="23" s="1"/>
  <c r="X35" i="23" s="1"/>
  <c r="V21" i="23"/>
  <c r="J51" i="23"/>
  <c r="N51" i="23" s="1"/>
  <c r="V19" i="23"/>
  <c r="N21" i="23"/>
  <c r="X21" i="23" s="1"/>
  <c r="V43" i="23"/>
  <c r="N54" i="23"/>
  <c r="V62" i="23"/>
  <c r="J65" i="23"/>
  <c r="N65" i="23" s="1"/>
  <c r="N37" i="23"/>
  <c r="V67" i="23"/>
  <c r="V86" i="23"/>
  <c r="N30" i="23"/>
  <c r="V42" i="23"/>
  <c r="J87" i="23"/>
  <c r="N87" i="23" s="1"/>
  <c r="N90" i="23"/>
  <c r="X90" i="23" s="1"/>
  <c r="AA29" i="25" l="1"/>
  <c r="Y11" i="23"/>
  <c r="Z11" i="23"/>
  <c r="Y20" i="23"/>
  <c r="Z20" i="23"/>
  <c r="Y82" i="23"/>
  <c r="Z82" i="23"/>
  <c r="Y39" i="23"/>
  <c r="Z39" i="23" s="1"/>
  <c r="Y64" i="23"/>
  <c r="Z64" i="23" s="1"/>
  <c r="Y53" i="23"/>
  <c r="Z53" i="23"/>
  <c r="Y97" i="23"/>
  <c r="Z97" i="23"/>
  <c r="Y55" i="23"/>
  <c r="Z55" i="23"/>
  <c r="Y58" i="23"/>
  <c r="Z58" i="23"/>
  <c r="Y19" i="23"/>
  <c r="Z19" i="23"/>
  <c r="AA19" i="23" s="1"/>
  <c r="Y21" i="23"/>
  <c r="Z21" i="23"/>
  <c r="Y90" i="23"/>
  <c r="Z90" i="23" s="1"/>
  <c r="Y96" i="23"/>
  <c r="Z96" i="23"/>
  <c r="Y63" i="23"/>
  <c r="Z63" i="23" s="1"/>
  <c r="AA63" i="23" s="1"/>
  <c r="Y34" i="23"/>
  <c r="Z34" i="23"/>
  <c r="AA34" i="23" s="1"/>
  <c r="Y35" i="23"/>
  <c r="Z35" i="23"/>
  <c r="Y77" i="23"/>
  <c r="Z77" i="23" s="1"/>
  <c r="Y10" i="23"/>
  <c r="Z10" i="23"/>
  <c r="Y29" i="23"/>
  <c r="Z29" i="23"/>
  <c r="Y32" i="23"/>
  <c r="Z32" i="23"/>
  <c r="Y6" i="23"/>
  <c r="Z6" i="23" s="1"/>
  <c r="Y94" i="23"/>
  <c r="Z94" i="23"/>
  <c r="Y2" i="23"/>
  <c r="Z2" i="23" s="1"/>
  <c r="AA2" i="23" s="1"/>
  <c r="Z91" i="24"/>
  <c r="AA91" i="24"/>
  <c r="AA59" i="25"/>
  <c r="X86" i="23"/>
  <c r="X24" i="23"/>
  <c r="X26" i="23"/>
  <c r="X48" i="23"/>
  <c r="X79" i="23"/>
  <c r="X80" i="23"/>
  <c r="X36" i="23"/>
  <c r="X14" i="23"/>
  <c r="X70" i="23"/>
  <c r="X37" i="23"/>
  <c r="X57" i="23"/>
  <c r="X16" i="23"/>
  <c r="X67" i="23"/>
  <c r="X33" i="23"/>
  <c r="X65" i="23"/>
  <c r="X42" i="23"/>
  <c r="X95" i="23"/>
  <c r="X59" i="23"/>
  <c r="X25" i="23"/>
  <c r="X66" i="23"/>
  <c r="X5" i="23"/>
  <c r="X76" i="23"/>
  <c r="X44" i="23"/>
  <c r="X68" i="23"/>
  <c r="X93" i="23"/>
  <c r="X75" i="23"/>
  <c r="X27" i="23"/>
  <c r="X50" i="23"/>
  <c r="X3" i="23"/>
  <c r="X73" i="23"/>
  <c r="X71" i="23"/>
  <c r="X12" i="23"/>
  <c r="X74" i="23"/>
  <c r="X54" i="23"/>
  <c r="X92" i="23"/>
  <c r="X15" i="23"/>
  <c r="X85" i="23"/>
  <c r="X41" i="23"/>
  <c r="X38" i="23"/>
  <c r="X40" i="23"/>
  <c r="X81" i="23"/>
  <c r="X56" i="23"/>
  <c r="X78" i="23"/>
  <c r="X43" i="23"/>
  <c r="X28" i="23"/>
  <c r="X91" i="23"/>
  <c r="X88" i="23"/>
  <c r="X52" i="23"/>
  <c r="X22" i="23"/>
  <c r="X51" i="23"/>
  <c r="X46" i="23"/>
  <c r="X30" i="23"/>
  <c r="X60" i="23"/>
  <c r="X89" i="23"/>
  <c r="X7" i="23"/>
  <c r="X13" i="23"/>
  <c r="X4" i="23"/>
  <c r="X83" i="23"/>
  <c r="X47" i="23"/>
  <c r="X8" i="23"/>
  <c r="X45" i="23"/>
  <c r="X18" i="23"/>
  <c r="X17" i="23"/>
  <c r="X87" i="23"/>
  <c r="X49" i="23"/>
  <c r="X31" i="23"/>
  <c r="X62" i="23"/>
  <c r="X84" i="23"/>
  <c r="X72" i="23"/>
  <c r="X23" i="23"/>
  <c r="X61" i="23"/>
  <c r="X9" i="23"/>
  <c r="X69" i="23"/>
  <c r="AA94" i="23"/>
  <c r="AA82" i="23"/>
  <c r="AA66" i="25" l="1"/>
  <c r="Y83" i="23"/>
  <c r="Z83" i="23"/>
  <c r="Y92" i="23"/>
  <c r="Z92" i="23"/>
  <c r="Y4" i="23"/>
  <c r="Z4" i="23"/>
  <c r="Y54" i="23"/>
  <c r="Z54" i="23" s="1"/>
  <c r="AA54" i="23" s="1"/>
  <c r="Y57" i="23"/>
  <c r="Z57" i="23"/>
  <c r="AA57" i="23" s="1"/>
  <c r="Y13" i="23"/>
  <c r="Z13" i="23" s="1"/>
  <c r="AA13" i="23" s="1"/>
  <c r="Y74" i="23"/>
  <c r="Z74" i="23"/>
  <c r="AA74" i="23" s="1"/>
  <c r="Y37" i="23"/>
  <c r="Z37" i="23" s="1"/>
  <c r="AA37" i="23" s="1"/>
  <c r="Y49" i="23"/>
  <c r="Z49" i="23"/>
  <c r="AA49" i="23" s="1"/>
  <c r="Y78" i="23"/>
  <c r="Z78" i="23" s="1"/>
  <c r="AA78" i="23" s="1"/>
  <c r="Y5" i="23"/>
  <c r="Z5" i="23"/>
  <c r="AA5" i="23" s="1"/>
  <c r="Y89" i="23"/>
  <c r="Z89" i="23"/>
  <c r="AA89" i="23" s="1"/>
  <c r="Y71" i="23"/>
  <c r="Z71" i="23"/>
  <c r="Y14" i="23"/>
  <c r="Z14" i="23" s="1"/>
  <c r="AA14" i="23" s="1"/>
  <c r="Y17" i="23"/>
  <c r="Z17" i="23" s="1"/>
  <c r="AA17" i="23" s="1"/>
  <c r="Y81" i="23"/>
  <c r="Z81" i="23"/>
  <c r="AA81" i="23" s="1"/>
  <c r="Y25" i="23"/>
  <c r="Z25" i="23" s="1"/>
  <c r="AA25" i="23" s="1"/>
  <c r="Y30" i="23"/>
  <c r="Z30" i="23" s="1"/>
  <c r="AA30" i="23" s="1"/>
  <c r="Y3" i="23"/>
  <c r="Z3" i="23" s="1"/>
  <c r="AA3" i="23" s="1"/>
  <c r="Y80" i="23"/>
  <c r="Z80" i="23"/>
  <c r="Y61" i="23"/>
  <c r="Z61" i="23" s="1"/>
  <c r="AA61" i="23" s="1"/>
  <c r="Y46" i="23"/>
  <c r="Z46" i="23"/>
  <c r="AA46" i="23" s="1"/>
  <c r="Y95" i="23"/>
  <c r="Z95" i="23"/>
  <c r="AA95" i="23" s="1"/>
  <c r="Y45" i="23"/>
  <c r="Z45" i="23"/>
  <c r="AA45" i="23" s="1"/>
  <c r="Y38" i="23"/>
  <c r="Z38" i="23" s="1"/>
  <c r="AA38" i="23" s="1"/>
  <c r="Y42" i="23"/>
  <c r="Z42" i="23" s="1"/>
  <c r="Y72" i="23"/>
  <c r="Z72" i="23"/>
  <c r="AA72" i="23" s="1"/>
  <c r="Y22" i="23"/>
  <c r="Z22" i="23"/>
  <c r="AA22" i="23" s="1"/>
  <c r="Y75" i="23"/>
  <c r="Z75" i="23"/>
  <c r="AA75" i="23" s="1"/>
  <c r="Y26" i="23"/>
  <c r="Z26" i="23"/>
  <c r="AA26" i="23" s="1"/>
  <c r="Y84" i="23"/>
  <c r="Z84" i="23" s="1"/>
  <c r="AA84" i="23" s="1"/>
  <c r="Y52" i="23"/>
  <c r="Z52" i="23"/>
  <c r="AA52" i="23" s="1"/>
  <c r="Y93" i="23"/>
  <c r="Z93" i="23"/>
  <c r="AA93" i="23" s="1"/>
  <c r="Y24" i="23"/>
  <c r="Z24" i="23" s="1"/>
  <c r="AA24" i="23" s="1"/>
  <c r="Y91" i="23"/>
  <c r="Z91" i="23"/>
  <c r="AA91" i="23" s="1"/>
  <c r="Y16" i="23"/>
  <c r="Z16" i="23" s="1"/>
  <c r="AA16" i="23" s="1"/>
  <c r="Y31" i="23"/>
  <c r="Z31" i="23"/>
  <c r="AA31" i="23" s="1"/>
  <c r="Y28" i="23"/>
  <c r="Z28" i="23"/>
  <c r="Y44" i="23"/>
  <c r="Z44" i="23"/>
  <c r="AA44" i="23" s="1"/>
  <c r="Y43" i="23"/>
  <c r="Z43" i="23"/>
  <c r="AA43" i="23" s="1"/>
  <c r="Y76" i="23"/>
  <c r="Z76" i="23"/>
  <c r="AA76" i="23" s="1"/>
  <c r="Y7" i="23"/>
  <c r="Z7" i="23"/>
  <c r="AA7" i="23" s="1"/>
  <c r="Y12" i="23"/>
  <c r="Z12" i="23" s="1"/>
  <c r="AA12" i="23" s="1"/>
  <c r="Y70" i="23"/>
  <c r="Z70" i="23"/>
  <c r="AA70" i="23" s="1"/>
  <c r="Y87" i="23"/>
  <c r="Z87" i="23"/>
  <c r="AA87" i="23" s="1"/>
  <c r="Y56" i="23"/>
  <c r="Z56" i="23"/>
  <c r="AA56" i="23" s="1"/>
  <c r="Y66" i="23"/>
  <c r="Z66" i="23" s="1"/>
  <c r="AA66" i="23" s="1"/>
  <c r="Y69" i="23"/>
  <c r="Z69" i="23"/>
  <c r="AA69" i="23" s="1"/>
  <c r="Y60" i="23"/>
  <c r="Z60" i="23" s="1"/>
  <c r="AA60" i="23" s="1"/>
  <c r="Y73" i="23"/>
  <c r="Z73" i="23"/>
  <c r="Y36" i="23"/>
  <c r="Z36" i="23" s="1"/>
  <c r="AA36" i="23" s="1"/>
  <c r="Y9" i="23"/>
  <c r="Z9" i="23"/>
  <c r="AA9" i="23" s="1"/>
  <c r="Y40" i="23"/>
  <c r="Z40" i="23" s="1"/>
  <c r="AA40" i="23" s="1"/>
  <c r="Y59" i="23"/>
  <c r="Z59" i="23"/>
  <c r="AA59" i="23" s="1"/>
  <c r="Y18" i="23"/>
  <c r="Z18" i="23" s="1"/>
  <c r="AA18" i="23" s="1"/>
  <c r="Y50" i="23"/>
  <c r="Z50" i="23"/>
  <c r="AA50" i="23" s="1"/>
  <c r="Y79" i="23"/>
  <c r="Z79" i="23"/>
  <c r="Y23" i="23"/>
  <c r="Z23" i="23"/>
  <c r="Y51" i="23"/>
  <c r="Z51" i="23"/>
  <c r="Y27" i="23"/>
  <c r="Z27" i="23"/>
  <c r="AA27" i="23" s="1"/>
  <c r="Y48" i="23"/>
  <c r="Z48" i="23"/>
  <c r="Y8" i="23"/>
  <c r="Z8" i="23"/>
  <c r="AA8" i="23" s="1"/>
  <c r="Y41" i="23"/>
  <c r="Z41" i="23" s="1"/>
  <c r="AA41" i="23" s="1"/>
  <c r="Y65" i="23"/>
  <c r="Z65" i="23"/>
  <c r="AA65" i="23" s="1"/>
  <c r="Y85" i="23"/>
  <c r="Z85" i="23" s="1"/>
  <c r="AA85" i="23" s="1"/>
  <c r="Y33" i="23"/>
  <c r="Z33" i="23"/>
  <c r="AA33" i="23" s="1"/>
  <c r="Y62" i="23"/>
  <c r="Z62" i="23" s="1"/>
  <c r="AA62" i="23" s="1"/>
  <c r="Y47" i="23"/>
  <c r="Z47" i="23"/>
  <c r="AA47" i="23" s="1"/>
  <c r="Y88" i="23"/>
  <c r="Z88" i="23"/>
  <c r="Y15" i="23"/>
  <c r="Z15" i="23" s="1"/>
  <c r="AA15" i="23" s="1"/>
  <c r="Y68" i="23"/>
  <c r="Z68" i="23"/>
  <c r="AA68" i="23" s="1"/>
  <c r="Y67" i="23"/>
  <c r="Z67" i="23"/>
  <c r="AA67" i="23" s="1"/>
  <c r="Y86" i="23"/>
  <c r="Z86" i="23" s="1"/>
  <c r="AA86" i="23" s="1"/>
  <c r="AA20" i="23"/>
  <c r="AA55" i="23"/>
  <c r="AA4" i="23"/>
  <c r="AA96" i="23"/>
  <c r="AA73" i="23"/>
  <c r="AA51" i="23"/>
  <c r="AA48" i="23"/>
  <c r="AA88" i="23"/>
  <c r="AA79" i="23"/>
  <c r="AA97" i="23"/>
  <c r="AA58" i="23"/>
  <c r="AA10" i="23"/>
  <c r="AA71" i="23"/>
  <c r="AA11" i="23"/>
  <c r="AA23" i="23"/>
  <c r="AA28" i="23"/>
  <c r="AA6" i="23"/>
  <c r="AA83" i="23"/>
  <c r="AA64" i="23"/>
  <c r="AA39" i="23"/>
  <c r="AA90" i="23"/>
  <c r="AA29" i="23"/>
  <c r="AA21" i="23"/>
  <c r="AA77" i="23"/>
  <c r="AA32" i="23"/>
  <c r="AA80" i="23"/>
  <c r="AA35" i="23"/>
  <c r="AA92" i="23"/>
  <c r="AA53" i="23"/>
  <c r="Z101" i="23" l="1"/>
  <c r="AA42" i="23"/>
  <c r="AA101" i="23" s="1"/>
</calcChain>
</file>

<file path=xl/sharedStrings.xml><?xml version="1.0" encoding="utf-8"?>
<sst xmlns="http://schemas.openxmlformats.org/spreadsheetml/2006/main" count="135" uniqueCount="33">
  <si>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</si>
  <si>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</si>
  <si>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</si>
  <si>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</si>
  <si>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</si>
  <si>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 xml:space="preserve">Measured PPM by GC </t>
  </si>
  <si>
    <t>Time (h)</t>
  </si>
  <si>
    <t>Time (min)</t>
  </si>
  <si>
    <t>mol/s for sweep gas (n)</t>
  </si>
  <si>
    <t xml:space="preserve">Mole fraction of H2 in Ar (C) </t>
  </si>
  <si>
    <t>Temp of sweep gas for standard condition, T (K)</t>
  </si>
  <si>
    <t>Pressure of sweep gas for standard condition, P (Pa)</t>
  </si>
  <si>
    <t>Upstream volume total pressure (bar-g)</t>
  </si>
  <si>
    <t>Downstream total pressure (bar-g)</t>
  </si>
  <si>
    <t>Downstream total pressure (Pa)</t>
  </si>
  <si>
    <r>
      <t>Upstream volume H2 pressure due to partial Ar displacement through dilution purging P</t>
    </r>
    <r>
      <rPr>
        <b/>
        <vertAlign val="subscript"/>
        <sz val="11"/>
        <rFont val="Times New Roman"/>
        <family val="1"/>
      </rPr>
      <t>up</t>
    </r>
    <r>
      <rPr>
        <b/>
        <sz val="11"/>
        <rFont val="Times New Roman"/>
        <family val="1"/>
      </rPr>
      <t>(Pa)</t>
    </r>
  </si>
  <si>
    <r>
      <t>Thickness of salt layer at 600C,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</si>
  <si>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Thickness of Ni membrane, L</t>
    </r>
    <r>
      <rPr>
        <b/>
        <vertAlign val="subscript"/>
        <sz val="11"/>
        <color rgb="FF00B050"/>
        <rFont val="Times New Roman"/>
        <family val="1"/>
      </rPr>
      <t>Ni</t>
    </r>
    <r>
      <rPr>
        <b/>
        <sz val="11"/>
        <color rgb="FF00B050"/>
        <rFont val="Times New Roman"/>
        <family val="1"/>
      </rPr>
      <t xml:space="preserve"> (m)</t>
    </r>
  </si>
  <si>
    <r>
      <t>H2 partial pressure in glovebox, P</t>
    </r>
    <r>
      <rPr>
        <b/>
        <vertAlign val="subscript"/>
        <sz val="11"/>
        <rFont val="Times New Roman"/>
        <family val="1"/>
      </rPr>
      <t xml:space="preserve">GB </t>
    </r>
    <r>
      <rPr>
        <b/>
        <sz val="11"/>
        <rFont val="Times New Roman"/>
        <family val="1"/>
      </rPr>
      <t xml:space="preserve"> (Pa)</t>
    </r>
  </si>
  <si>
    <r>
      <t>Avg. 1D Permeability of Ni membrane at 600C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</si>
  <si>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t>Area of layer, A (m2)</t>
  </si>
  <si>
    <r>
      <t>J</t>
    </r>
    <r>
      <rPr>
        <b/>
        <vertAlign val="subscript"/>
        <sz val="11"/>
        <rFont val="Times New Roman"/>
        <family val="1"/>
      </rPr>
      <t>effective</t>
    </r>
    <r>
      <rPr>
        <b/>
        <sz val="11"/>
        <rFont val="Times New Roman"/>
        <family val="1"/>
      </rPr>
      <t xml:space="preserve"> (mol/m2-s)</t>
    </r>
  </si>
  <si>
    <r>
      <t>1D Permeability, Ø</t>
    </r>
    <r>
      <rPr>
        <b/>
        <vertAlign val="subscript"/>
        <sz val="11"/>
        <rFont val="Times New Roman"/>
        <family val="1"/>
      </rPr>
      <t>1D</t>
    </r>
    <r>
      <rPr>
        <b/>
        <sz val="11"/>
        <rFont val="Times New Roman"/>
        <family val="1"/>
      </rPr>
      <t xml:space="preserve"> = J</t>
    </r>
    <r>
      <rPr>
        <b/>
        <vertAlign val="subscript"/>
        <sz val="11"/>
        <rFont val="Times New Roman"/>
        <family val="1"/>
      </rPr>
      <t>eff</t>
    </r>
    <r>
      <rPr>
        <b/>
        <sz val="11"/>
        <rFont val="Times New Roman"/>
        <family val="1"/>
      </rPr>
      <t>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11"/>
        <rFont val="Times New Roman"/>
        <family val="1"/>
      </rPr>
      <t>interface</t>
    </r>
    <r>
      <rPr>
        <b/>
        <sz val="11"/>
        <rFont val="Times New Roman"/>
        <family val="1"/>
      </rPr>
      <t xml:space="preserve"> - P</t>
    </r>
    <r>
      <rPr>
        <b/>
        <vertAlign val="subscript"/>
        <sz val="11"/>
        <rFont val="Times New Roman"/>
        <family val="1"/>
      </rPr>
      <t>down</t>
    </r>
    <r>
      <rPr>
        <b/>
        <sz val="11"/>
        <rFont val="Times New Roman"/>
        <family val="1"/>
      </rPr>
      <t>)</t>
    </r>
    <r>
      <rPr>
        <b/>
        <sz val="12"/>
        <rFont val="Times New Roman"/>
        <family val="1"/>
      </rPr>
      <t xml:space="preserve"> (H2/m.s.Pa)</t>
    </r>
  </si>
  <si>
    <t>Pressure at Ni-salt interface (Pa)</t>
  </si>
  <si>
    <r>
      <t>Downstream H2 pressure P</t>
    </r>
    <r>
      <rPr>
        <b/>
        <vertAlign val="subscript"/>
        <sz val="11"/>
        <color theme="1"/>
        <rFont val="Times New Roman"/>
        <family val="1"/>
      </rPr>
      <t>down, Ni</t>
    </r>
    <r>
      <rPr>
        <b/>
        <sz val="11"/>
        <color theme="1"/>
        <rFont val="Times New Roman"/>
        <family val="1"/>
      </rPr>
      <t xml:space="preserve"> (Pa)</t>
    </r>
  </si>
  <si>
    <r>
      <t>1D Permeability, Ø</t>
    </r>
    <r>
      <rPr>
        <b/>
        <vertAlign val="subscript"/>
        <sz val="11"/>
        <rFont val="Times New Roman"/>
        <family val="1"/>
      </rPr>
      <t>1D</t>
    </r>
    <r>
      <rPr>
        <b/>
        <sz val="11"/>
        <rFont val="Times New Roman"/>
        <family val="1"/>
      </rPr>
      <t xml:space="preserve"> = J</t>
    </r>
    <r>
      <rPr>
        <b/>
        <vertAlign val="subscript"/>
        <sz val="11"/>
        <rFont val="Times New Roman"/>
        <family val="1"/>
      </rPr>
      <t>eff</t>
    </r>
    <r>
      <rPr>
        <b/>
        <sz val="11"/>
        <rFont val="Times New Roman"/>
        <family val="1"/>
      </rPr>
      <t>.L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>/(P</t>
    </r>
    <r>
      <rPr>
        <b/>
        <vertAlign val="subscript"/>
        <sz val="11"/>
        <rFont val="Times New Roman"/>
        <family val="1"/>
      </rPr>
      <t>up</t>
    </r>
    <r>
      <rPr>
        <b/>
        <sz val="11"/>
        <rFont val="Times New Roman"/>
        <family val="1"/>
      </rPr>
      <t xml:space="preserve"> - P</t>
    </r>
    <r>
      <rPr>
        <b/>
        <vertAlign val="subscript"/>
        <sz val="11"/>
        <rFont val="Times New Roman"/>
        <family val="1"/>
      </rPr>
      <t>interface</t>
    </r>
    <r>
      <rPr>
        <b/>
        <sz val="11"/>
        <rFont val="Times New Roman"/>
        <family val="1"/>
      </rPr>
      <t>)</t>
    </r>
    <r>
      <rPr>
        <b/>
        <sz val="12"/>
        <rFont val="Times New Roman"/>
        <family val="1"/>
      </rPr>
      <t xml:space="preserve"> (mol/m.s.Pa)</t>
    </r>
  </si>
  <si>
    <r>
      <t>Avg. 1D Permeability of Ni membrane at 550C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</si>
  <si>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550C,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</si>
  <si>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t>Measured permeation flux J (mol/m2-s)</t>
  </si>
  <si>
    <r>
      <t>Avg. 1D Permeability of Ni membrane at 500C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</si>
  <si>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500C,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</si>
  <si>
    <r>
      <t>Avg. 1D Permeability of Ni membrane at 700C established from dry runs Ø</t>
    </r>
    <r>
      <rPr>
        <b/>
        <sz val="8"/>
        <color rgb="FF00B050"/>
        <rFont val="Times New Roman"/>
        <family val="1"/>
      </rPr>
      <t xml:space="preserve">Ni </t>
    </r>
    <r>
      <rPr>
        <b/>
        <sz val="11"/>
        <color rgb="FF00B050"/>
        <rFont val="Times New Roman"/>
        <family val="1"/>
      </rPr>
      <t>(mol/m.s.Pa^0.5)</t>
    </r>
  </si>
  <si>
    <r>
      <t>Thickness of salt layer at 700C, L</t>
    </r>
    <r>
      <rPr>
        <b/>
        <vertAlign val="subscript"/>
        <sz val="11"/>
        <rFont val="Times New Roman"/>
        <family val="1"/>
      </rPr>
      <t>FLiBe</t>
    </r>
    <r>
      <rPr>
        <b/>
        <sz val="11"/>
        <rFont val="Times New Roman"/>
        <family val="1"/>
      </rPr>
      <t xml:space="preserve"> (m)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</si>
</sst>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vertAlign val="subscript"/>
      <sz val="11"/>
      <name val="Times New Roman"/>
      <family val="1"/>
    </font>
    <font>
      <b/>
      <sz val="12"/>
      <name val="Times New Roman"/>
      <family val="1"/>
    </font>
    <font>
      <b/>
      <vertAlign val="subscript"/>
      <sz val="11"/>
      <color rgb="FF00B050"/>
      <name val="Times New Roman"/>
      <family val="1"/>
    </font>
    <font>
      <b/>
      <sz val="8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1" fontId="3" fillId="0" borderId="2" xfId="0" applyNumberFormat="1" applyFont="1" applyBorder="1" applyAlignment="1">
      <alignment horizontal="center"/>
    </xf>
    <xf numFmtId="11" fontId="3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/>
    </xf>
    <xf numFmtId="11" fontId="5" fillId="2" borderId="1" xfId="0" applyNumberFormat="1" applyFont="1" applyFill="1" applyBorder="1" applyAlignment="1">
      <alignment horizontal="center" vertical="center" wrapText="1"/>
    </xf>
    <xf numFmtId="11" fontId="1" fillId="0" borderId="2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1" fontId="2" fillId="2" borderId="1" xfId="0" applyNumberFormat="1" applyFont="1" applyFill="1" applyBorder="1" applyAlignment="1">
      <alignment horizontal="center" vertical="center" wrapText="1"/>
    </xf>
    <xf numFmtId="11" fontId="2" fillId="3" borderId="1" xfId="0" applyNumberFormat="1" applyFont="1" applyFill="1" applyBorder="1" applyAlignment="1">
      <alignment horizontal="center" vertical="center" wrapText="1"/>
    </xf>
    <xf numFmtId="11" fontId="4" fillId="0" borderId="2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1" fontId="8" fillId="0" borderId="1" xfId="0" applyNumberFormat="1" applyFont="1" applyBorder="1" applyAlignment="1">
      <alignment horizontal="center"/>
    </xf>
    <xf numFmtId="11" fontId="7" fillId="2" borderId="1" xfId="0" applyNumberFormat="1" applyFont="1" applyFill="1" applyBorder="1" applyAlignment="1">
      <alignment horizontal="center" vertical="center" wrapText="1"/>
    </xf>
    <xf numFmtId="11" fontId="8" fillId="0" borderId="2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1" fontId="3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1" fontId="1" fillId="3" borderId="1" xfId="0" applyNumberFormat="1" applyFont="1" applyFill="1" applyBorder="1" applyAlignment="1">
      <alignment horizontal="center"/>
    </xf>
    <xf numFmtId="11" fontId="2" fillId="3" borderId="1" xfId="0" applyNumberFormat="1" applyFont="1" applyFill="1" applyBorder="1" applyAlignment="1">
      <alignment horizontal="center"/>
    </xf>
    <xf numFmtId="11" fontId="3" fillId="4" borderId="1" xfId="0" applyNumberFormat="1" applyFont="1" applyFill="1" applyBorder="1" applyAlignment="1">
      <alignment horizontal="center"/>
    </xf>
    <xf numFmtId="11" fontId="8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0CFF-8F42-4BD0-AE46-0BBFBFC38B1F}">
  <dimension ref="A1:BZ213"/>
  <sheetViews>
    <sheetView topLeftCell="K77" zoomScale="110" zoomScaleNormal="11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4" width="23.77734375" style="8" customWidth="1"/>
    <col min="25" max="25" width="23.77734375" style="19" customWidth="1"/>
    <col min="26" max="26" width="47.33203125" style="8" customWidth="1"/>
    <col min="27" max="27" width="51.6640625" style="19" customWidth="1"/>
    <col min="28" max="16384" width="8.88671875" style="6"/>
  </cols>
  <sheetData>
    <row r="1" spans="1:27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20</v>
      </c>
      <c r="N1" s="22" t="s">
        <v>28</v>
      </c>
      <c r="O1" s="22" t="s">
        <v>17</v>
      </c>
      <c r="P1" s="22" t="s">
        <v>29</v>
      </c>
      <c r="Q1" s="18" t="s">
        <v>12</v>
      </c>
      <c r="R1" s="17" t="s">
        <v>15</v>
      </c>
      <c r="S1" s="17" t="s">
        <v>30</v>
      </c>
      <c r="T1" s="12" t="s">
        <v>13</v>
      </c>
      <c r="U1" s="17" t="s">
        <v>14</v>
      </c>
      <c r="V1" s="12" t="s">
        <v>24</v>
      </c>
      <c r="W1" s="17" t="s">
        <v>18</v>
      </c>
      <c r="X1" s="17" t="s">
        <v>21</v>
      </c>
      <c r="Y1" s="12" t="s">
        <v>23</v>
      </c>
      <c r="Z1" s="25" t="s">
        <v>25</v>
      </c>
      <c r="AA1" s="25" t="s">
        <v>22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4">
        <v>7.1485148514851486</v>
      </c>
      <c r="L2" s="2">
        <f>(K2/1000000)</f>
        <v>7.1485148514851483E-6</v>
      </c>
      <c r="M2" s="3">
        <f>(3.142*3.07*3.07*25.4*25.4)/(4*1000000)</f>
        <v>4.7762865441819992E-3</v>
      </c>
      <c r="N2" s="21">
        <f>(L2*J2)/M2</f>
        <v>3.0120179873474221E-8</v>
      </c>
      <c r="O2" s="21">
        <f>(2.032/1000)</f>
        <v>2.032E-3</v>
      </c>
      <c r="P2" s="21">
        <v>4.7360646624728548E-11</v>
      </c>
      <c r="Q2" s="2">
        <v>0.31</v>
      </c>
      <c r="R2" s="2">
        <f>(1+Q2)*100000*1</f>
        <v>131000</v>
      </c>
      <c r="S2" s="2">
        <f>(5.13985794328043/1000)</f>
        <v>5.1398579432804297E-3</v>
      </c>
      <c r="T2" s="11">
        <v>0.1</v>
      </c>
      <c r="U2" s="11">
        <f>(1+T2)*100000</f>
        <v>110000.00000000001</v>
      </c>
      <c r="V2" s="11">
        <f t="shared" ref="V2:V65" si="1">(L2*U2)</f>
        <v>0.78633663366336637</v>
      </c>
      <c r="W2" s="2">
        <f>(70/1000000)*100000</f>
        <v>6.9999999999999991</v>
      </c>
      <c r="X2" s="2">
        <f>(N2+((P2/O2)*(SQRT(V2)-SQRT(W2))))</f>
        <v>-1.0877430291671061E-8</v>
      </c>
      <c r="Y2" s="11">
        <f>((X2*O2/P2) + SQRT(V2))^2</f>
        <v>0.1764521326172683</v>
      </c>
      <c r="Z2" s="2">
        <f>(X2*S2)/(R2-Y2)</f>
        <v>-4.2678260911317714E-16</v>
      </c>
      <c r="AA2" s="2">
        <f>(Z2*6.022E+23)</f>
        <v>-257008487.2079553</v>
      </c>
    </row>
    <row r="3" spans="1:27" x14ac:dyDescent="0.25">
      <c r="A3" s="26">
        <v>3</v>
      </c>
      <c r="B3" s="26">
        <f t="shared" ref="B3:B66" si="2">(A3/60)</f>
        <v>0.05</v>
      </c>
      <c r="C3" s="26">
        <v>20</v>
      </c>
      <c r="D3" s="26">
        <f t="shared" si="0"/>
        <v>29.146000000000001</v>
      </c>
      <c r="E3" s="26">
        <f t="shared" ref="E3:E66" si="3">(D3/(1000000*60))</f>
        <v>4.8576666666666667E-7</v>
      </c>
      <c r="F3" s="26">
        <v>21.1</v>
      </c>
      <c r="G3" s="26">
        <f t="shared" ref="G3:G66" si="4">(273+F3)</f>
        <v>294.10000000000002</v>
      </c>
      <c r="H3" s="26">
        <v>101.3</v>
      </c>
      <c r="I3" s="26">
        <f t="shared" ref="I3:I66" si="5">(H3*1000)</f>
        <v>101300</v>
      </c>
      <c r="J3" s="26">
        <f t="shared" ref="J3:J66" si="6">((I3*E3)/(8.314*G3))</f>
        <v>2.0124824921938581E-5</v>
      </c>
      <c r="K3" s="28">
        <v>3.9059405940594059</v>
      </c>
      <c r="L3" s="27">
        <f t="shared" ref="L3:L66" si="7">(K3/1000000)</f>
        <v>3.9059405940594056E-6</v>
      </c>
      <c r="M3" s="29">
        <f t="shared" ref="M3:M66" si="8">(3.142*3.07*3.07*25.4*25.4)/(4*1000000)</f>
        <v>4.7762865441819992E-3</v>
      </c>
      <c r="N3" s="33">
        <f t="shared" ref="N3:N66" si="9">(L3*J3)/M3</f>
        <v>1.6457632908705789E-8</v>
      </c>
      <c r="O3" s="21">
        <f t="shared" ref="O3:O66" si="10">(2.032/1000)</f>
        <v>2.032E-3</v>
      </c>
      <c r="P3" s="21">
        <v>4.7360646624728548E-11</v>
      </c>
      <c r="Q3" s="2">
        <v>0.31</v>
      </c>
      <c r="R3" s="27">
        <f t="shared" ref="R3:R66" si="11">(1+Q3)*100000*1</f>
        <v>131000</v>
      </c>
      <c r="S3" s="2">
        <f t="shared" ref="S3:S66" si="12">(5.13985794328043/1000)</f>
        <v>5.1398579432804297E-3</v>
      </c>
      <c r="T3" s="11">
        <v>0.1</v>
      </c>
      <c r="U3" s="30">
        <f t="shared" ref="U3:U66" si="13">(1+T3)*100000</f>
        <v>110000.00000000001</v>
      </c>
      <c r="V3" s="30">
        <f t="shared" si="1"/>
        <v>0.4296534653465347</v>
      </c>
      <c r="W3" s="2">
        <f t="shared" ref="W3:W66" si="14">(70/1000000)*100000</f>
        <v>6.9999999999999991</v>
      </c>
      <c r="X3" s="2">
        <f t="shared" ref="X3:X66" si="15">(N3+((P3/O3)*(SQRT(V3)-SQRT(W3))))</f>
        <v>-2.9930436315794116E-8</v>
      </c>
      <c r="Y3" s="11">
        <f t="shared" ref="Y3:Y66" si="16">((X3*O3/P3) + SQRT(V3))^2</f>
        <v>0.39523904782226704</v>
      </c>
      <c r="Z3" s="2">
        <f t="shared" ref="Z3:Z66" si="17">(X3*S3)/(R3-Y3)</f>
        <v>-1.1743408777782732E-15</v>
      </c>
      <c r="AA3" s="27">
        <f t="shared" ref="AA3:AA66" si="18">(Z3*6.022E+23)</f>
        <v>-707188076.59807611</v>
      </c>
    </row>
    <row r="4" spans="1:27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8.8069306930693081</v>
      </c>
      <c r="L4" s="27">
        <f t="shared" si="7"/>
        <v>8.8069306930693074E-6</v>
      </c>
      <c r="M4" s="29">
        <f t="shared" si="8"/>
        <v>4.7762865441819992E-3</v>
      </c>
      <c r="N4" s="33">
        <f t="shared" si="9"/>
        <v>3.7107894733317619E-8</v>
      </c>
      <c r="O4" s="21">
        <f t="shared" si="10"/>
        <v>2.032E-3</v>
      </c>
      <c r="P4" s="21">
        <v>4.7360646624728548E-11</v>
      </c>
      <c r="Q4" s="2">
        <v>0.31</v>
      </c>
      <c r="R4" s="27">
        <f t="shared" si="11"/>
        <v>131000</v>
      </c>
      <c r="S4" s="2">
        <f t="shared" si="12"/>
        <v>5.1398579432804297E-3</v>
      </c>
      <c r="T4" s="11">
        <v>0.1</v>
      </c>
      <c r="U4" s="30">
        <f t="shared" si="13"/>
        <v>110000.00000000001</v>
      </c>
      <c r="V4" s="30">
        <f t="shared" si="1"/>
        <v>0.96876237623762396</v>
      </c>
      <c r="W4" s="2">
        <f t="shared" si="14"/>
        <v>6.9999999999999991</v>
      </c>
      <c r="X4" s="2">
        <f t="shared" si="15"/>
        <v>-1.6172194808747399E-9</v>
      </c>
      <c r="Y4" s="11">
        <f t="shared" si="16"/>
        <v>0.83698850982911044</v>
      </c>
      <c r="Z4" s="2">
        <f t="shared" si="17"/>
        <v>-6.3452912245498847E-17</v>
      </c>
      <c r="AA4" s="27">
        <f t="shared" si="18"/>
        <v>-38211343.75423941</v>
      </c>
    </row>
    <row r="5" spans="1:27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2.8168316831683167</v>
      </c>
      <c r="L5" s="27">
        <f t="shared" si="7"/>
        <v>2.8168316831683166E-6</v>
      </c>
      <c r="M5" s="29">
        <f t="shared" si="8"/>
        <v>4.7762865441819992E-3</v>
      </c>
      <c r="N5" s="33">
        <f t="shared" si="9"/>
        <v>1.1868685836569826E-8</v>
      </c>
      <c r="O5" s="21">
        <f t="shared" si="10"/>
        <v>2.032E-3</v>
      </c>
      <c r="P5" s="21">
        <v>4.7360646624728548E-11</v>
      </c>
      <c r="Q5" s="2">
        <v>0.31</v>
      </c>
      <c r="R5" s="27">
        <f t="shared" si="11"/>
        <v>131000</v>
      </c>
      <c r="S5" s="2">
        <f t="shared" si="12"/>
        <v>5.1398579432804297E-3</v>
      </c>
      <c r="T5" s="11">
        <v>0.1</v>
      </c>
      <c r="U5" s="30">
        <f t="shared" si="13"/>
        <v>110000.00000000001</v>
      </c>
      <c r="V5" s="30">
        <f t="shared" si="1"/>
        <v>0.30985148514851485</v>
      </c>
      <c r="W5" s="2">
        <f t="shared" si="14"/>
        <v>6.9999999999999991</v>
      </c>
      <c r="X5" s="2">
        <f t="shared" si="15"/>
        <v>-3.6823006147477039E-8</v>
      </c>
      <c r="Y5" s="11">
        <f t="shared" si="16"/>
        <v>1.0470229344065136</v>
      </c>
      <c r="Z5" s="2">
        <f t="shared" si="17"/>
        <v>-1.4447826974289572E-15</v>
      </c>
      <c r="AA5" s="27">
        <f t="shared" si="18"/>
        <v>-870048140.39171815</v>
      </c>
    </row>
    <row r="6" spans="1:27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5.0198019801980198</v>
      </c>
      <c r="L6" s="27">
        <f t="shared" si="7"/>
        <v>5.01980198019802E-6</v>
      </c>
      <c r="M6" s="29">
        <f t="shared" si="8"/>
        <v>4.7762865441819992E-3</v>
      </c>
      <c r="N6" s="33">
        <f t="shared" si="9"/>
        <v>2.1150874232481204E-8</v>
      </c>
      <c r="O6" s="21">
        <f t="shared" si="10"/>
        <v>2.032E-3</v>
      </c>
      <c r="P6" s="21">
        <v>4.7360646624728548E-11</v>
      </c>
      <c r="Q6" s="2">
        <v>0.31</v>
      </c>
      <c r="R6" s="27">
        <f t="shared" si="11"/>
        <v>131000</v>
      </c>
      <c r="S6" s="2">
        <f t="shared" si="12"/>
        <v>5.1398579432804297E-3</v>
      </c>
      <c r="T6" s="11">
        <v>0.1</v>
      </c>
      <c r="U6" s="30">
        <f t="shared" si="13"/>
        <v>110000.00000000001</v>
      </c>
      <c r="V6" s="30">
        <f t="shared" si="1"/>
        <v>0.55217821782178222</v>
      </c>
      <c r="W6" s="2">
        <f t="shared" si="14"/>
        <v>6.9999999999999991</v>
      </c>
      <c r="X6" s="2">
        <f t="shared" si="15"/>
        <v>-2.3195294255814582E-8</v>
      </c>
      <c r="Y6" s="11">
        <f t="shared" si="16"/>
        <v>6.3555904508040148E-2</v>
      </c>
      <c r="Z6" s="2">
        <f t="shared" si="17"/>
        <v>-9.1008072724029995E-16</v>
      </c>
      <c r="AA6" s="27">
        <f t="shared" si="18"/>
        <v>-548050613.94410861</v>
      </c>
    </row>
    <row r="7" spans="1:27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3.9554455445544554</v>
      </c>
      <c r="L7" s="27">
        <f t="shared" si="7"/>
        <v>3.9554455445544554E-6</v>
      </c>
      <c r="M7" s="29">
        <f t="shared" si="8"/>
        <v>4.7762865441819992E-3</v>
      </c>
      <c r="N7" s="33">
        <f t="shared" si="9"/>
        <v>1.6666221411984695E-8</v>
      </c>
      <c r="O7" s="21">
        <f t="shared" si="10"/>
        <v>2.032E-3</v>
      </c>
      <c r="P7" s="21">
        <v>4.7360646624728548E-11</v>
      </c>
      <c r="Q7" s="2">
        <v>0.31</v>
      </c>
      <c r="R7" s="27">
        <f t="shared" si="11"/>
        <v>131000</v>
      </c>
      <c r="S7" s="2">
        <f t="shared" si="12"/>
        <v>5.1398579432804297E-3</v>
      </c>
      <c r="T7" s="11">
        <v>0.1</v>
      </c>
      <c r="U7" s="30">
        <f t="shared" si="13"/>
        <v>110000.00000000001</v>
      </c>
      <c r="V7" s="30">
        <f t="shared" si="1"/>
        <v>0.43509900990099015</v>
      </c>
      <c r="W7" s="2">
        <f t="shared" si="14"/>
        <v>6.9999999999999991</v>
      </c>
      <c r="X7" s="2">
        <f t="shared" si="15"/>
        <v>-2.9625336886333354E-8</v>
      </c>
      <c r="Y7" s="11">
        <f t="shared" si="16"/>
        <v>0.37387034688138393</v>
      </c>
      <c r="Z7" s="2">
        <f t="shared" si="17"/>
        <v>-1.1623699060551084E-15</v>
      </c>
      <c r="AA7" s="27">
        <f t="shared" si="18"/>
        <v>-699979157.42638624</v>
      </c>
    </row>
    <row r="8" spans="1:27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19.64851485148515</v>
      </c>
      <c r="L8" s="27">
        <f t="shared" si="7"/>
        <v>1.9648514851485151E-5</v>
      </c>
      <c r="M8" s="29">
        <f t="shared" si="8"/>
        <v>4.7762865441819992E-3</v>
      </c>
      <c r="N8" s="33">
        <f t="shared" si="9"/>
        <v>8.2788776951398334E-8</v>
      </c>
      <c r="O8" s="21">
        <f t="shared" si="10"/>
        <v>2.032E-3</v>
      </c>
      <c r="P8" s="21">
        <v>4.7360646624728548E-11</v>
      </c>
      <c r="Q8" s="2">
        <v>0.31</v>
      </c>
      <c r="R8" s="27">
        <f t="shared" si="11"/>
        <v>131000</v>
      </c>
      <c r="S8" s="2">
        <f t="shared" si="12"/>
        <v>5.1398579432804297E-3</v>
      </c>
      <c r="T8" s="11">
        <v>0.1</v>
      </c>
      <c r="U8" s="30">
        <f t="shared" si="13"/>
        <v>110000.00000000001</v>
      </c>
      <c r="V8" s="30">
        <f t="shared" si="1"/>
        <v>2.161336633663367</v>
      </c>
      <c r="W8" s="2">
        <f t="shared" si="14"/>
        <v>6.9999999999999991</v>
      </c>
      <c r="X8" s="2">
        <f t="shared" si="15"/>
        <v>5.5388526480055865E-8</v>
      </c>
      <c r="Y8" s="11">
        <f t="shared" si="16"/>
        <v>14.796202655987997</v>
      </c>
      <c r="Z8" s="2">
        <f t="shared" si="17"/>
        <v>2.1734451643528776E-15</v>
      </c>
      <c r="AA8" s="27">
        <f t="shared" si="18"/>
        <v>1308848677.9733028</v>
      </c>
    </row>
    <row r="9" spans="1:27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3.8564356435643563</v>
      </c>
      <c r="L9" s="27">
        <f t="shared" si="7"/>
        <v>3.8564356435643567E-6</v>
      </c>
      <c r="M9" s="29">
        <f t="shared" si="8"/>
        <v>4.7762865441819992E-3</v>
      </c>
      <c r="N9" s="33">
        <f t="shared" si="9"/>
        <v>1.6249044405426884E-8</v>
      </c>
      <c r="O9" s="21">
        <f t="shared" si="10"/>
        <v>2.032E-3</v>
      </c>
      <c r="P9" s="21">
        <v>4.7360646624728548E-11</v>
      </c>
      <c r="Q9" s="2">
        <v>0.31</v>
      </c>
      <c r="R9" s="27">
        <f t="shared" si="11"/>
        <v>131000</v>
      </c>
      <c r="S9" s="2">
        <f t="shared" si="12"/>
        <v>5.1398579432804297E-3</v>
      </c>
      <c r="T9" s="11">
        <v>0.1</v>
      </c>
      <c r="U9" s="30">
        <f t="shared" si="13"/>
        <v>110000.00000000001</v>
      </c>
      <c r="V9" s="30">
        <f t="shared" si="1"/>
        <v>0.42420792079207931</v>
      </c>
      <c r="W9" s="2">
        <f t="shared" si="14"/>
        <v>6.9999999999999991</v>
      </c>
      <c r="X9" s="2">
        <f t="shared" si="15"/>
        <v>-3.0236149310687137E-8</v>
      </c>
      <c r="Y9" s="11">
        <f t="shared" si="16"/>
        <v>0.41726958187713525</v>
      </c>
      <c r="Z9" s="2">
        <f t="shared" si="17"/>
        <v>-1.1863359330583749E-15</v>
      </c>
      <c r="AA9" s="27">
        <f t="shared" si="18"/>
        <v>-714411498.88775337</v>
      </c>
    </row>
    <row r="10" spans="1:27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2.9405940594059405</v>
      </c>
      <c r="L10" s="27">
        <f t="shared" si="7"/>
        <v>2.9405940594059405E-6</v>
      </c>
      <c r="M10" s="29">
        <f t="shared" si="8"/>
        <v>4.7762865441819992E-3</v>
      </c>
      <c r="N10" s="33">
        <f t="shared" si="9"/>
        <v>1.2390157094767096E-8</v>
      </c>
      <c r="O10" s="21">
        <f t="shared" si="10"/>
        <v>2.032E-3</v>
      </c>
      <c r="P10" s="21">
        <v>4.7360646624728548E-11</v>
      </c>
      <c r="Q10" s="2">
        <v>0.31</v>
      </c>
      <c r="R10" s="27">
        <f t="shared" si="11"/>
        <v>131000</v>
      </c>
      <c r="S10" s="2">
        <f t="shared" si="12"/>
        <v>5.1398579432804297E-3</v>
      </c>
      <c r="T10" s="11">
        <v>0.1</v>
      </c>
      <c r="U10" s="30">
        <f t="shared" si="13"/>
        <v>110000.00000000001</v>
      </c>
      <c r="V10" s="30">
        <f t="shared" si="1"/>
        <v>0.32346534653465348</v>
      </c>
      <c r="W10" s="2">
        <f t="shared" si="14"/>
        <v>6.9999999999999991</v>
      </c>
      <c r="X10" s="2">
        <f t="shared" si="15"/>
        <v>-3.6019583122466085E-8</v>
      </c>
      <c r="Y10" s="11">
        <f t="shared" si="16"/>
        <v>0.95389127510342875</v>
      </c>
      <c r="Z10" s="2">
        <f t="shared" si="17"/>
        <v>-1.4132586909984108E-15</v>
      </c>
      <c r="AA10" s="27">
        <f t="shared" si="18"/>
        <v>-851064383.71924305</v>
      </c>
    </row>
    <row r="11" spans="1:27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10.663366336633665</v>
      </c>
      <c r="L11" s="27">
        <f t="shared" si="7"/>
        <v>1.0663366336633665E-5</v>
      </c>
      <c r="M11" s="29">
        <f t="shared" si="8"/>
        <v>4.7762865441819992E-3</v>
      </c>
      <c r="N11" s="33">
        <f t="shared" si="9"/>
        <v>4.4929963606276654E-8</v>
      </c>
      <c r="O11" s="21">
        <f t="shared" si="10"/>
        <v>2.032E-3</v>
      </c>
      <c r="P11" s="21">
        <v>4.7360646624728548E-11</v>
      </c>
      <c r="Q11" s="2">
        <v>0.31</v>
      </c>
      <c r="R11" s="27">
        <f t="shared" si="11"/>
        <v>131000</v>
      </c>
      <c r="S11" s="2">
        <f t="shared" si="12"/>
        <v>5.1398579432804297E-3</v>
      </c>
      <c r="T11" s="11">
        <v>0.1</v>
      </c>
      <c r="U11" s="30">
        <f t="shared" si="13"/>
        <v>110000.00000000001</v>
      </c>
      <c r="V11" s="30">
        <f t="shared" si="1"/>
        <v>1.1729702970297033</v>
      </c>
      <c r="W11" s="2">
        <f t="shared" si="14"/>
        <v>6.9999999999999991</v>
      </c>
      <c r="X11" s="2">
        <f t="shared" si="15"/>
        <v>8.5071609304645968E-9</v>
      </c>
      <c r="Y11" s="11">
        <f t="shared" si="16"/>
        <v>2.0968074976874753</v>
      </c>
      <c r="Z11" s="2">
        <f t="shared" si="17"/>
        <v>3.3378853872919109E-16</v>
      </c>
      <c r="AA11" s="27">
        <f t="shared" si="18"/>
        <v>201007458.02271888</v>
      </c>
    </row>
    <row r="12" spans="1:27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10.01980198019802</v>
      </c>
      <c r="L12" s="27">
        <f t="shared" si="7"/>
        <v>1.001980198019802E-5</v>
      </c>
      <c r="M12" s="29">
        <f t="shared" si="8"/>
        <v>4.7762865441819992E-3</v>
      </c>
      <c r="N12" s="33">
        <f t="shared" si="9"/>
        <v>4.2218313063650845E-8</v>
      </c>
      <c r="O12" s="21">
        <f t="shared" si="10"/>
        <v>2.032E-3</v>
      </c>
      <c r="P12" s="21">
        <v>4.7360646624728548E-11</v>
      </c>
      <c r="Q12" s="2">
        <v>0.31</v>
      </c>
      <c r="R12" s="27">
        <f t="shared" si="11"/>
        <v>131000</v>
      </c>
      <c r="S12" s="2">
        <f t="shared" si="12"/>
        <v>5.1398579432804297E-3</v>
      </c>
      <c r="T12" s="11">
        <v>0.1</v>
      </c>
      <c r="U12" s="30">
        <f t="shared" si="13"/>
        <v>110000.00000000001</v>
      </c>
      <c r="V12" s="30">
        <f t="shared" si="1"/>
        <v>1.1021782178217825</v>
      </c>
      <c r="W12" s="2">
        <f t="shared" si="14"/>
        <v>6.9999999999999991</v>
      </c>
      <c r="X12" s="2">
        <f t="shared" si="15"/>
        <v>5.0219195955282197E-9</v>
      </c>
      <c r="Y12" s="11">
        <f t="shared" si="16"/>
        <v>1.6010127201878925</v>
      </c>
      <c r="Z12" s="2">
        <f t="shared" si="17"/>
        <v>1.970402197518288E-16</v>
      </c>
      <c r="AA12" s="27">
        <f t="shared" si="18"/>
        <v>118657620.3345513</v>
      </c>
    </row>
    <row r="13" spans="1:27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5.7128712871287135</v>
      </c>
      <c r="L13" s="27">
        <f t="shared" si="7"/>
        <v>5.7128712871287131E-6</v>
      </c>
      <c r="M13" s="29">
        <f t="shared" si="8"/>
        <v>4.7762865441819992E-3</v>
      </c>
      <c r="N13" s="33">
        <f t="shared" si="9"/>
        <v>2.4071113278385909E-8</v>
      </c>
      <c r="O13" s="21">
        <f t="shared" si="10"/>
        <v>2.032E-3</v>
      </c>
      <c r="P13" s="21">
        <v>4.7360646624728548E-11</v>
      </c>
      <c r="Q13" s="2">
        <v>0.31</v>
      </c>
      <c r="R13" s="27">
        <f t="shared" si="11"/>
        <v>131000</v>
      </c>
      <c r="S13" s="2">
        <f t="shared" si="12"/>
        <v>5.1398579432804297E-3</v>
      </c>
      <c r="T13" s="11">
        <v>0.1</v>
      </c>
      <c r="U13" s="30">
        <f t="shared" si="13"/>
        <v>110000.00000000001</v>
      </c>
      <c r="V13" s="30">
        <f t="shared" si="1"/>
        <v>0.62841584158415853</v>
      </c>
      <c r="W13" s="2">
        <f t="shared" si="14"/>
        <v>6.9999999999999991</v>
      </c>
      <c r="X13" s="2">
        <f t="shared" si="15"/>
        <v>-1.9118078256588767E-8</v>
      </c>
      <c r="Y13" s="11">
        <f t="shared" si="16"/>
        <v>7.5794823429563979E-4</v>
      </c>
      <c r="Z13" s="2">
        <f t="shared" si="17"/>
        <v>-7.5010845004525208E-16</v>
      </c>
      <c r="AA13" s="27">
        <f t="shared" si="18"/>
        <v>-451715308.6172508</v>
      </c>
    </row>
    <row r="14" spans="1:27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9.9455445544554451</v>
      </c>
      <c r="L14" s="27">
        <f t="shared" si="7"/>
        <v>9.9455445544554449E-6</v>
      </c>
      <c r="M14" s="29">
        <f t="shared" si="8"/>
        <v>4.7762865441819992E-3</v>
      </c>
      <c r="N14" s="33">
        <f t="shared" si="9"/>
        <v>4.1905430308732486E-8</v>
      </c>
      <c r="O14" s="21">
        <f t="shared" si="10"/>
        <v>2.032E-3</v>
      </c>
      <c r="P14" s="21">
        <v>4.7360646624728548E-11</v>
      </c>
      <c r="Q14" s="2">
        <v>0.31</v>
      </c>
      <c r="R14" s="27">
        <f t="shared" si="11"/>
        <v>131000</v>
      </c>
      <c r="S14" s="2">
        <f t="shared" si="12"/>
        <v>5.1398579432804297E-3</v>
      </c>
      <c r="T14" s="11">
        <v>0.1</v>
      </c>
      <c r="U14" s="30">
        <f t="shared" si="13"/>
        <v>110000.00000000001</v>
      </c>
      <c r="V14" s="30">
        <f t="shared" si="1"/>
        <v>1.094009900990099</v>
      </c>
      <c r="W14" s="2">
        <f t="shared" si="14"/>
        <v>6.9999999999999991</v>
      </c>
      <c r="X14" s="2">
        <f t="shared" si="15"/>
        <v>4.6181967667416867E-9</v>
      </c>
      <c r="Y14" s="11">
        <f t="shared" si="16"/>
        <v>1.5477653558764595</v>
      </c>
      <c r="Z14" s="2">
        <f t="shared" si="17"/>
        <v>1.811996625170183E-16</v>
      </c>
      <c r="AA14" s="27">
        <f t="shared" si="18"/>
        <v>109118436.76774842</v>
      </c>
    </row>
    <row r="15" spans="1:27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9.8217821782178216</v>
      </c>
      <c r="L15" s="27">
        <f t="shared" si="7"/>
        <v>9.8217821782178214E-6</v>
      </c>
      <c r="M15" s="29">
        <f t="shared" si="8"/>
        <v>4.7762865441819992E-3</v>
      </c>
      <c r="N15" s="33">
        <f t="shared" si="9"/>
        <v>4.1383959050535215E-8</v>
      </c>
      <c r="O15" s="21">
        <f t="shared" si="10"/>
        <v>2.032E-3</v>
      </c>
      <c r="P15" s="21">
        <v>4.7360646624728548E-11</v>
      </c>
      <c r="Q15" s="2">
        <v>0.31</v>
      </c>
      <c r="R15" s="27">
        <f t="shared" si="11"/>
        <v>131000</v>
      </c>
      <c r="S15" s="2">
        <f t="shared" si="12"/>
        <v>5.1398579432804297E-3</v>
      </c>
      <c r="T15" s="11">
        <v>0.1</v>
      </c>
      <c r="U15" s="30">
        <f t="shared" si="13"/>
        <v>110000.00000000001</v>
      </c>
      <c r="V15" s="30">
        <f t="shared" si="1"/>
        <v>1.0803960396039605</v>
      </c>
      <c r="W15" s="2">
        <f t="shared" si="14"/>
        <v>6.9999999999999991</v>
      </c>
      <c r="X15" s="2">
        <f t="shared" si="15"/>
        <v>3.9445684649653836E-9</v>
      </c>
      <c r="Y15" s="11">
        <f t="shared" si="16"/>
        <v>1.4608638547658463</v>
      </c>
      <c r="Z15" s="2">
        <f t="shared" si="17"/>
        <v>1.5476906606107072E-16</v>
      </c>
      <c r="AA15" s="27">
        <f t="shared" si="18"/>
        <v>93201931.581976786</v>
      </c>
    </row>
    <row r="16" spans="1:27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12.445544554455447</v>
      </c>
      <c r="L16" s="27">
        <f t="shared" si="7"/>
        <v>1.2445544554455446E-5</v>
      </c>
      <c r="M16" s="29">
        <f t="shared" si="8"/>
        <v>4.7762865441819992E-3</v>
      </c>
      <c r="N16" s="33">
        <f t="shared" si="9"/>
        <v>5.243914972431731E-8</v>
      </c>
      <c r="O16" s="21">
        <f t="shared" si="10"/>
        <v>2.032E-3</v>
      </c>
      <c r="P16" s="21">
        <v>4.7360646624728548E-11</v>
      </c>
      <c r="Q16" s="2">
        <v>0.31</v>
      </c>
      <c r="R16" s="27">
        <f t="shared" si="11"/>
        <v>131000</v>
      </c>
      <c r="S16" s="2">
        <f t="shared" si="12"/>
        <v>5.1398579432804297E-3</v>
      </c>
      <c r="T16" s="11">
        <v>0.1</v>
      </c>
      <c r="U16" s="30">
        <f t="shared" si="13"/>
        <v>110000.00000000001</v>
      </c>
      <c r="V16" s="30">
        <f t="shared" si="1"/>
        <v>1.3690099009900993</v>
      </c>
      <c r="W16" s="2">
        <f t="shared" si="14"/>
        <v>6.9999999999999991</v>
      </c>
      <c r="X16" s="2">
        <f t="shared" si="15"/>
        <v>1.8044311120631285E-8</v>
      </c>
      <c r="Y16" s="11">
        <f t="shared" si="16"/>
        <v>3.7800492643001222</v>
      </c>
      <c r="Z16" s="2">
        <f t="shared" si="17"/>
        <v>7.0799902378312274E-16</v>
      </c>
      <c r="AA16" s="27">
        <f t="shared" si="18"/>
        <v>426357012.12219656</v>
      </c>
    </row>
    <row r="17" spans="1:78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15.366336633663368</v>
      </c>
      <c r="L17" s="27">
        <f t="shared" si="7"/>
        <v>1.5366336633663367E-5</v>
      </c>
      <c r="M17" s="29">
        <f t="shared" si="8"/>
        <v>4.7762865441819992E-3</v>
      </c>
      <c r="N17" s="33">
        <f t="shared" si="9"/>
        <v>6.4745871417772834E-8</v>
      </c>
      <c r="O17" s="21">
        <f t="shared" si="10"/>
        <v>2.032E-3</v>
      </c>
      <c r="P17" s="21">
        <v>4.7360646624728548E-11</v>
      </c>
      <c r="Q17" s="2">
        <v>0.31</v>
      </c>
      <c r="R17" s="27">
        <f t="shared" si="11"/>
        <v>131000</v>
      </c>
      <c r="S17" s="2">
        <f t="shared" si="12"/>
        <v>5.1398579432804297E-3</v>
      </c>
      <c r="T17" s="11">
        <v>0.1</v>
      </c>
      <c r="U17" s="30">
        <f t="shared" si="13"/>
        <v>110000.00000000001</v>
      </c>
      <c r="V17" s="30">
        <f t="shared" si="1"/>
        <v>1.6902970297029705</v>
      </c>
      <c r="W17" s="2">
        <f t="shared" si="14"/>
        <v>6.9999999999999991</v>
      </c>
      <c r="X17" s="2">
        <f t="shared" si="15"/>
        <v>3.3382563375618307E-8</v>
      </c>
      <c r="Y17" s="11">
        <f t="shared" si="16"/>
        <v>7.46593924725852</v>
      </c>
      <c r="Z17" s="2">
        <f t="shared" si="17"/>
        <v>1.3098581133918415E-15</v>
      </c>
      <c r="AA17" s="27">
        <f t="shared" si="18"/>
        <v>788796555.88456702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14.524752475247524</v>
      </c>
      <c r="L18" s="27">
        <f t="shared" si="7"/>
        <v>1.4524752475247524E-5</v>
      </c>
      <c r="M18" s="29">
        <f t="shared" si="8"/>
        <v>4.7762865441819992E-3</v>
      </c>
      <c r="N18" s="33">
        <f t="shared" si="9"/>
        <v>6.1199866862031408E-8</v>
      </c>
      <c r="O18" s="21">
        <f t="shared" si="10"/>
        <v>2.032E-3</v>
      </c>
      <c r="P18" s="21">
        <v>4.7360646624728548E-11</v>
      </c>
      <c r="Q18" s="2">
        <v>0.31</v>
      </c>
      <c r="R18" s="27">
        <f t="shared" si="11"/>
        <v>131000</v>
      </c>
      <c r="S18" s="2">
        <f t="shared" si="12"/>
        <v>5.1398579432804297E-3</v>
      </c>
      <c r="T18" s="11">
        <v>0.1</v>
      </c>
      <c r="U18" s="30">
        <f t="shared" si="13"/>
        <v>110000.00000000001</v>
      </c>
      <c r="V18" s="30">
        <f t="shared" si="1"/>
        <v>1.5977227722772278</v>
      </c>
      <c r="W18" s="2">
        <f t="shared" si="14"/>
        <v>6.9999999999999991</v>
      </c>
      <c r="X18" s="2">
        <f t="shared" si="15"/>
        <v>2.899507650511577E-8</v>
      </c>
      <c r="Y18" s="11">
        <f t="shared" si="16"/>
        <v>6.2902602136891614</v>
      </c>
      <c r="Z18" s="2">
        <f t="shared" si="17"/>
        <v>1.137692600559876E-15</v>
      </c>
      <c r="AA18" s="27">
        <f t="shared" si="18"/>
        <v>685118484.05715728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 spans="1:78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21.405940594059405</v>
      </c>
      <c r="L19" s="27">
        <f t="shared" si="7"/>
        <v>2.1405940594059406E-5</v>
      </c>
      <c r="M19" s="29">
        <f t="shared" si="8"/>
        <v>4.7762865441819992E-3</v>
      </c>
      <c r="N19" s="33">
        <f t="shared" si="9"/>
        <v>9.0193668817799544E-8</v>
      </c>
      <c r="O19" s="21">
        <f t="shared" si="10"/>
        <v>2.032E-3</v>
      </c>
      <c r="P19" s="21">
        <v>4.7360646624728548E-11</v>
      </c>
      <c r="Q19" s="2">
        <v>0.31</v>
      </c>
      <c r="R19" s="27">
        <f t="shared" si="11"/>
        <v>131000</v>
      </c>
      <c r="S19" s="2">
        <f t="shared" si="12"/>
        <v>5.1398579432804297E-3</v>
      </c>
      <c r="T19" s="11">
        <v>0.1</v>
      </c>
      <c r="U19" s="30">
        <f t="shared" si="13"/>
        <v>110000.00000000001</v>
      </c>
      <c r="V19" s="30">
        <f t="shared" si="1"/>
        <v>2.354653465346535</v>
      </c>
      <c r="W19" s="2">
        <f t="shared" si="14"/>
        <v>6.9999999999999991</v>
      </c>
      <c r="X19" s="2">
        <f t="shared" si="15"/>
        <v>6.4293005276632514E-8</v>
      </c>
      <c r="Y19" s="11">
        <f t="shared" si="16"/>
        <v>18.429572597022677</v>
      </c>
      <c r="Z19" s="2">
        <f t="shared" si="17"/>
        <v>2.5229267964200139E-15</v>
      </c>
      <c r="AA19" s="27">
        <f t="shared" si="18"/>
        <v>1519306516.8041325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21.628712871287131</v>
      </c>
      <c r="L20" s="27">
        <f t="shared" si="7"/>
        <v>2.1628712871287131E-5</v>
      </c>
      <c r="M20" s="29">
        <f t="shared" si="8"/>
        <v>4.7762865441819992E-3</v>
      </c>
      <c r="N20" s="33">
        <f t="shared" si="9"/>
        <v>9.1132317082554634E-8</v>
      </c>
      <c r="O20" s="21">
        <f t="shared" si="10"/>
        <v>2.032E-3</v>
      </c>
      <c r="P20" s="21">
        <v>4.7360646624728548E-11</v>
      </c>
      <c r="Q20" s="2">
        <v>0.31</v>
      </c>
      <c r="R20" s="27">
        <f t="shared" si="11"/>
        <v>131000</v>
      </c>
      <c r="S20" s="2">
        <f t="shared" si="12"/>
        <v>5.1398579432804297E-3</v>
      </c>
      <c r="T20" s="11">
        <v>0.1</v>
      </c>
      <c r="U20" s="30">
        <f t="shared" si="13"/>
        <v>110000.00000000001</v>
      </c>
      <c r="V20" s="30">
        <f t="shared" si="1"/>
        <v>2.3791584158415846</v>
      </c>
      <c r="W20" s="2">
        <f t="shared" si="14"/>
        <v>6.9999999999999991</v>
      </c>
      <c r="X20" s="2">
        <f t="shared" si="15"/>
        <v>6.5417275225392795E-8</v>
      </c>
      <c r="Y20" s="11">
        <f t="shared" si="16"/>
        <v>18.915266396128008</v>
      </c>
      <c r="Z20" s="2">
        <f t="shared" si="17"/>
        <v>2.5670538794120575E-15</v>
      </c>
      <c r="AA20" s="27">
        <f t="shared" si="18"/>
        <v>1545879846.181941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27.693069306930695</v>
      </c>
      <c r="L21" s="27">
        <f t="shared" si="7"/>
        <v>2.7693069306930696E-5</v>
      </c>
      <c r="M21" s="29">
        <f t="shared" si="8"/>
        <v>4.7762865441819992E-3</v>
      </c>
      <c r="N21" s="33">
        <f t="shared" si="9"/>
        <v>1.166844087342208E-7</v>
      </c>
      <c r="O21" s="21">
        <f t="shared" si="10"/>
        <v>2.032E-3</v>
      </c>
      <c r="P21" s="21">
        <v>4.7360646624728548E-11</v>
      </c>
      <c r="Q21" s="2">
        <v>0.31</v>
      </c>
      <c r="R21" s="27">
        <f t="shared" si="11"/>
        <v>131000</v>
      </c>
      <c r="S21" s="2">
        <f t="shared" si="12"/>
        <v>5.1398579432804297E-3</v>
      </c>
      <c r="T21" s="11">
        <v>0.1</v>
      </c>
      <c r="U21" s="30">
        <f t="shared" si="13"/>
        <v>110000.00000000001</v>
      </c>
      <c r="V21" s="30">
        <f t="shared" si="1"/>
        <v>3.0462376237623769</v>
      </c>
      <c r="W21" s="2">
        <f t="shared" si="14"/>
        <v>6.9999999999999991</v>
      </c>
      <c r="X21" s="2">
        <f t="shared" si="15"/>
        <v>9.5698330778651945E-8</v>
      </c>
      <c r="Y21" s="11">
        <f t="shared" si="16"/>
        <v>34.237325985346196</v>
      </c>
      <c r="Z21" s="2">
        <f t="shared" si="17"/>
        <v>3.7557588759716892E-15</v>
      </c>
      <c r="AA21" s="27">
        <f t="shared" si="18"/>
        <v>2261717995.1101513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31.975247524752479</v>
      </c>
      <c r="L22" s="27">
        <f t="shared" si="7"/>
        <v>3.1975247524752476E-5</v>
      </c>
      <c r="M22" s="29">
        <f t="shared" si="8"/>
        <v>4.7762865441819992E-3</v>
      </c>
      <c r="N22" s="33">
        <f t="shared" si="9"/>
        <v>1.3472731426784626E-7</v>
      </c>
      <c r="O22" s="21">
        <f t="shared" si="10"/>
        <v>2.032E-3</v>
      </c>
      <c r="P22" s="21">
        <v>4.7360646624728548E-11</v>
      </c>
      <c r="Q22" s="2">
        <v>0.31</v>
      </c>
      <c r="R22" s="27">
        <f t="shared" si="11"/>
        <v>131000</v>
      </c>
      <c r="S22" s="2">
        <f t="shared" si="12"/>
        <v>5.1398579432804297E-3</v>
      </c>
      <c r="T22" s="11">
        <v>0.1</v>
      </c>
      <c r="U22" s="30">
        <f t="shared" si="13"/>
        <v>110000.00000000001</v>
      </c>
      <c r="V22" s="30">
        <f t="shared" si="1"/>
        <v>3.5172772277227731</v>
      </c>
      <c r="W22" s="2">
        <f t="shared" si="14"/>
        <v>6.9999999999999991</v>
      </c>
      <c r="X22" s="2">
        <f t="shared" si="15"/>
        <v>1.167733693316125E-7</v>
      </c>
      <c r="Y22" s="11">
        <f t="shared" si="16"/>
        <v>47.411224173652137</v>
      </c>
      <c r="Z22" s="2">
        <f t="shared" si="17"/>
        <v>4.5833269546902128E-15</v>
      </c>
      <c r="AA22" s="27">
        <f t="shared" si="18"/>
        <v>2760079492.1144462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47.024752475247524</v>
      </c>
      <c r="L23" s="27">
        <f t="shared" si="7"/>
        <v>4.7024752475247526E-5</v>
      </c>
      <c r="M23" s="29">
        <f t="shared" si="8"/>
        <v>4.7762865441819992E-3</v>
      </c>
      <c r="N23" s="33">
        <f t="shared" si="9"/>
        <v>1.9813821926463408E-7</v>
      </c>
      <c r="O23" s="21">
        <f t="shared" si="10"/>
        <v>2.032E-3</v>
      </c>
      <c r="P23" s="21">
        <v>4.7360646624728548E-11</v>
      </c>
      <c r="Q23" s="2">
        <v>0.31</v>
      </c>
      <c r="R23" s="27">
        <f t="shared" si="11"/>
        <v>131000</v>
      </c>
      <c r="S23" s="2">
        <f t="shared" si="12"/>
        <v>5.1398579432804297E-3</v>
      </c>
      <c r="T23" s="11">
        <v>0.1</v>
      </c>
      <c r="U23" s="30">
        <f t="shared" si="13"/>
        <v>110000.00000000001</v>
      </c>
      <c r="V23" s="30">
        <f t="shared" si="1"/>
        <v>5.1727227722772282</v>
      </c>
      <c r="W23" s="2">
        <f t="shared" si="14"/>
        <v>6.9999999999999991</v>
      </c>
      <c r="X23" s="2">
        <f t="shared" si="15"/>
        <v>1.8948209959929843E-7</v>
      </c>
      <c r="Y23" s="11">
        <f t="shared" si="16"/>
        <v>108.24440956585008</v>
      </c>
      <c r="Z23" s="2">
        <f t="shared" si="17"/>
        <v>7.4405837888087964E-15</v>
      </c>
      <c r="AA23" s="27">
        <f t="shared" si="18"/>
        <v>4480719557.620657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 spans="1:78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53.460396039603964</v>
      </c>
      <c r="L24" s="27">
        <f t="shared" si="7"/>
        <v>5.3460396039603964E-5</v>
      </c>
      <c r="M24" s="29">
        <f t="shared" si="8"/>
        <v>4.7762865441819992E-3</v>
      </c>
      <c r="N24" s="33">
        <f t="shared" si="9"/>
        <v>2.2525472469089205E-7</v>
      </c>
      <c r="O24" s="21">
        <f t="shared" si="10"/>
        <v>2.032E-3</v>
      </c>
      <c r="P24" s="21">
        <v>4.7360646624728548E-11</v>
      </c>
      <c r="Q24" s="2">
        <v>0.31</v>
      </c>
      <c r="R24" s="27">
        <f t="shared" si="11"/>
        <v>131000</v>
      </c>
      <c r="S24" s="2">
        <f t="shared" si="12"/>
        <v>5.1398579432804297E-3</v>
      </c>
      <c r="T24" s="11">
        <v>0.1</v>
      </c>
      <c r="U24" s="30">
        <f t="shared" si="13"/>
        <v>110000.00000000001</v>
      </c>
      <c r="V24" s="30">
        <f t="shared" si="1"/>
        <v>5.8806435643564372</v>
      </c>
      <c r="W24" s="2">
        <f t="shared" si="14"/>
        <v>6.9999999999999991</v>
      </c>
      <c r="X24" s="2">
        <f t="shared" si="15"/>
        <v>2.2010967372978975E-7</v>
      </c>
      <c r="Y24" s="11">
        <f t="shared" si="16"/>
        <v>140.86769355722379</v>
      </c>
      <c r="Z24" s="2">
        <f t="shared" si="17"/>
        <v>8.6454222565345802E-15</v>
      </c>
      <c r="AA24" s="27">
        <f t="shared" si="18"/>
        <v>5206273282.8851242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48.311881188118811</v>
      </c>
      <c r="L25" s="27">
        <f t="shared" si="7"/>
        <v>4.831188118811881E-5</v>
      </c>
      <c r="M25" s="29">
        <f t="shared" si="8"/>
        <v>4.7762865441819992E-3</v>
      </c>
      <c r="N25" s="33">
        <f t="shared" si="9"/>
        <v>2.0356152034988566E-7</v>
      </c>
      <c r="O25" s="21">
        <f t="shared" si="10"/>
        <v>2.032E-3</v>
      </c>
      <c r="P25" s="21">
        <v>4.7360646624728548E-11</v>
      </c>
      <c r="Q25" s="2">
        <v>0.31</v>
      </c>
      <c r="R25" s="27">
        <f t="shared" si="11"/>
        <v>131000</v>
      </c>
      <c r="S25" s="2">
        <f t="shared" si="12"/>
        <v>5.1398579432804297E-3</v>
      </c>
      <c r="T25" s="11">
        <v>0.1</v>
      </c>
      <c r="U25" s="30">
        <f t="shared" si="13"/>
        <v>110000.00000000001</v>
      </c>
      <c r="V25" s="30">
        <f t="shared" si="1"/>
        <v>5.3143069306930695</v>
      </c>
      <c r="W25" s="2">
        <f t="shared" si="14"/>
        <v>6.9999999999999991</v>
      </c>
      <c r="X25" s="2">
        <f t="shared" si="15"/>
        <v>1.9562597243553369E-7</v>
      </c>
      <c r="Y25" s="11">
        <f t="shared" si="16"/>
        <v>114.45950954445237</v>
      </c>
      <c r="Z25" s="2">
        <f t="shared" si="17"/>
        <v>7.6822061823403536E-15</v>
      </c>
      <c r="AA25" s="27">
        <f t="shared" si="18"/>
        <v>4626224563.0053616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62.569306930693074</v>
      </c>
      <c r="L26" s="27">
        <f t="shared" si="7"/>
        <v>6.2569306930693077E-5</v>
      </c>
      <c r="M26" s="29">
        <f t="shared" si="8"/>
        <v>4.7762865441819992E-3</v>
      </c>
      <c r="N26" s="33">
        <f t="shared" si="9"/>
        <v>2.6363500929421102E-7</v>
      </c>
      <c r="O26" s="21">
        <f t="shared" si="10"/>
        <v>2.032E-3</v>
      </c>
      <c r="P26" s="21">
        <v>4.7360646624728548E-11</v>
      </c>
      <c r="Q26" s="2">
        <v>0.31</v>
      </c>
      <c r="R26" s="27">
        <f t="shared" si="11"/>
        <v>131000</v>
      </c>
      <c r="S26" s="2">
        <f t="shared" si="12"/>
        <v>5.1398579432804297E-3</v>
      </c>
      <c r="T26" s="11">
        <v>0.1</v>
      </c>
      <c r="U26" s="30">
        <f t="shared" si="13"/>
        <v>110000.00000000001</v>
      </c>
      <c r="V26" s="30">
        <f t="shared" si="1"/>
        <v>6.8826237623762392</v>
      </c>
      <c r="W26" s="2">
        <f t="shared" si="14"/>
        <v>6.9999999999999991</v>
      </c>
      <c r="X26" s="2">
        <f t="shared" si="15"/>
        <v>2.6311581822877789E-7</v>
      </c>
      <c r="Y26" s="11">
        <f t="shared" si="16"/>
        <v>193.55521404192993</v>
      </c>
      <c r="Z26" s="2">
        <f t="shared" si="17"/>
        <v>1.0338771384994403E-14</v>
      </c>
      <c r="AA26" s="27">
        <f t="shared" si="18"/>
        <v>6226008128.0436296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76.925742574257427</v>
      </c>
      <c r="L27" s="27">
        <f t="shared" si="7"/>
        <v>7.6925742574257428E-5</v>
      </c>
      <c r="M27" s="29">
        <f t="shared" si="8"/>
        <v>4.7762865441819992E-3</v>
      </c>
      <c r="N27" s="33">
        <f t="shared" si="9"/>
        <v>3.2412567524509413E-7</v>
      </c>
      <c r="O27" s="21">
        <f t="shared" si="10"/>
        <v>2.032E-3</v>
      </c>
      <c r="P27" s="21">
        <v>4.7360646624728548E-11</v>
      </c>
      <c r="Q27" s="2">
        <v>0.31</v>
      </c>
      <c r="R27" s="27">
        <f t="shared" si="11"/>
        <v>131000</v>
      </c>
      <c r="S27" s="2">
        <f t="shared" si="12"/>
        <v>5.1398579432804297E-3</v>
      </c>
      <c r="T27" s="11">
        <v>0.1</v>
      </c>
      <c r="U27" s="30">
        <f t="shared" si="13"/>
        <v>110000.00000000001</v>
      </c>
      <c r="V27" s="30">
        <f t="shared" si="1"/>
        <v>8.4618316831683185</v>
      </c>
      <c r="W27" s="2">
        <f t="shared" si="14"/>
        <v>6.9999999999999991</v>
      </c>
      <c r="X27" s="2">
        <f t="shared" si="15"/>
        <v>3.3025951898490412E-7</v>
      </c>
      <c r="Y27" s="11">
        <f t="shared" si="16"/>
        <v>291.68021260415907</v>
      </c>
      <c r="Z27" s="2">
        <f t="shared" si="17"/>
        <v>1.2986832167681352E-14</v>
      </c>
      <c r="AA27" s="27">
        <f t="shared" si="18"/>
        <v>7820670331.3777103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71.232673267326746</v>
      </c>
      <c r="L28" s="27">
        <f t="shared" si="7"/>
        <v>7.1232673267326748E-5</v>
      </c>
      <c r="M28" s="29">
        <f t="shared" si="8"/>
        <v>4.7762865441819992E-3</v>
      </c>
      <c r="N28" s="33">
        <f t="shared" si="9"/>
        <v>3.0013799736801985E-7</v>
      </c>
      <c r="O28" s="21">
        <f t="shared" si="10"/>
        <v>2.032E-3</v>
      </c>
      <c r="P28" s="21">
        <v>4.7360646624728548E-11</v>
      </c>
      <c r="Q28" s="2">
        <v>0.31</v>
      </c>
      <c r="R28" s="27">
        <f t="shared" si="11"/>
        <v>131000</v>
      </c>
      <c r="S28" s="2">
        <f t="shared" si="12"/>
        <v>5.1398579432804297E-3</v>
      </c>
      <c r="T28" s="11">
        <v>0.1</v>
      </c>
      <c r="U28" s="30">
        <f t="shared" si="13"/>
        <v>110000.00000000001</v>
      </c>
      <c r="V28" s="30">
        <f t="shared" si="1"/>
        <v>7.8355940594059437</v>
      </c>
      <c r="W28" s="2">
        <f t="shared" si="14"/>
        <v>6.9999999999999991</v>
      </c>
      <c r="X28" s="2">
        <f t="shared" si="15"/>
        <v>3.0371479374330702E-7</v>
      </c>
      <c r="Y28" s="11">
        <f t="shared" si="16"/>
        <v>250.59021555287643</v>
      </c>
      <c r="Z28" s="2">
        <f t="shared" si="17"/>
        <v>1.1939257681444644E-14</v>
      </c>
      <c r="AA28" s="27">
        <f t="shared" si="18"/>
        <v>7189820975.7659655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8">
        <v>78.03960396039605</v>
      </c>
      <c r="L29" s="27">
        <f t="shared" si="7"/>
        <v>7.8039603960396048E-5</v>
      </c>
      <c r="M29" s="29">
        <f t="shared" si="8"/>
        <v>4.7762865441819992E-3</v>
      </c>
      <c r="N29" s="33">
        <f t="shared" si="9"/>
        <v>3.2881891656886959E-7</v>
      </c>
      <c r="O29" s="21">
        <f t="shared" si="10"/>
        <v>2.032E-3</v>
      </c>
      <c r="P29" s="21">
        <v>4.7360646624728548E-11</v>
      </c>
      <c r="Q29" s="2">
        <v>0.31</v>
      </c>
      <c r="R29" s="27">
        <f t="shared" si="11"/>
        <v>131000</v>
      </c>
      <c r="S29" s="2">
        <f t="shared" si="12"/>
        <v>5.1398579432804297E-3</v>
      </c>
      <c r="T29" s="11">
        <v>0.1</v>
      </c>
      <c r="U29" s="30">
        <f t="shared" si="13"/>
        <v>110000.00000000001</v>
      </c>
      <c r="V29" s="30">
        <f t="shared" si="1"/>
        <v>8.5843564356435671</v>
      </c>
      <c r="W29" s="2">
        <f t="shared" si="14"/>
        <v>6.9999999999999991</v>
      </c>
      <c r="X29" s="2">
        <f t="shared" si="15"/>
        <v>3.3544185384337608E-7</v>
      </c>
      <c r="Y29" s="11">
        <f t="shared" si="16"/>
        <v>300.05097270958458</v>
      </c>
      <c r="Z29" s="2">
        <f t="shared" si="17"/>
        <v>1.3191462504898061E-14</v>
      </c>
      <c r="AA29" s="27">
        <f t="shared" si="18"/>
        <v>7943898720.4496126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8">
        <v>79.202970297029708</v>
      </c>
      <c r="L30" s="27">
        <f t="shared" si="7"/>
        <v>7.9202970297029713E-5</v>
      </c>
      <c r="M30" s="29">
        <f t="shared" si="8"/>
        <v>4.7762865441819992E-3</v>
      </c>
      <c r="N30" s="33">
        <f t="shared" si="9"/>
        <v>3.337207463959239E-7</v>
      </c>
      <c r="O30" s="21">
        <f t="shared" si="10"/>
        <v>2.032E-3</v>
      </c>
      <c r="P30" s="21">
        <v>4.7360646624728548E-11</v>
      </c>
      <c r="Q30" s="2">
        <v>0.31</v>
      </c>
      <c r="R30" s="27">
        <f t="shared" si="11"/>
        <v>131000</v>
      </c>
      <c r="S30" s="2">
        <f t="shared" si="12"/>
        <v>5.1398579432804297E-3</v>
      </c>
      <c r="T30" s="11">
        <v>0.1</v>
      </c>
      <c r="U30" s="30">
        <f t="shared" si="13"/>
        <v>110000.00000000001</v>
      </c>
      <c r="V30" s="30">
        <f t="shared" si="1"/>
        <v>8.7123267326732687</v>
      </c>
      <c r="W30" s="2">
        <f t="shared" si="14"/>
        <v>6.9999999999999991</v>
      </c>
      <c r="X30" s="2">
        <f t="shared" si="15"/>
        <v>3.4085080240644329E-7</v>
      </c>
      <c r="Y30" s="11">
        <f t="shared" si="16"/>
        <v>308.90900115114465</v>
      </c>
      <c r="Z30" s="2">
        <f t="shared" si="17"/>
        <v>1.3405081332113886E-14</v>
      </c>
      <c r="AA30" s="27">
        <f t="shared" si="18"/>
        <v>8072539978.1989822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8">
        <v>91.232673267326732</v>
      </c>
      <c r="L31" s="27">
        <f t="shared" si="7"/>
        <v>9.1232673267326733E-5</v>
      </c>
      <c r="M31" s="29">
        <f t="shared" si="8"/>
        <v>4.7762865441819992E-3</v>
      </c>
      <c r="N31" s="33">
        <f t="shared" si="9"/>
        <v>3.8440775269269839E-7</v>
      </c>
      <c r="O31" s="21">
        <f t="shared" si="10"/>
        <v>2.032E-3</v>
      </c>
      <c r="P31" s="21">
        <v>4.7360646624728548E-11</v>
      </c>
      <c r="Q31" s="2">
        <v>0.31</v>
      </c>
      <c r="R31" s="27">
        <f t="shared" si="11"/>
        <v>131000</v>
      </c>
      <c r="S31" s="2">
        <f t="shared" si="12"/>
        <v>5.1398579432804297E-3</v>
      </c>
      <c r="T31" s="11">
        <v>0.1</v>
      </c>
      <c r="U31" s="30">
        <f t="shared" si="13"/>
        <v>110000.00000000001</v>
      </c>
      <c r="V31" s="30">
        <f t="shared" si="1"/>
        <v>10.035594059405941</v>
      </c>
      <c r="W31" s="2">
        <f t="shared" si="14"/>
        <v>6.9999999999999991</v>
      </c>
      <c r="X31" s="2">
        <f t="shared" si="15"/>
        <v>3.96577696994792E-7</v>
      </c>
      <c r="Y31" s="11">
        <f t="shared" si="16"/>
        <v>407.35329227694399</v>
      </c>
      <c r="Z31" s="2">
        <f t="shared" si="17"/>
        <v>1.5608482387132717E-14</v>
      </c>
      <c r="AA31" s="27">
        <f t="shared" si="18"/>
        <v>9399428093.5313225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8">
        <v>87.990099009901002</v>
      </c>
      <c r="L32" s="27">
        <f t="shared" si="7"/>
        <v>8.7990099009901002E-5</v>
      </c>
      <c r="M32" s="29">
        <f t="shared" si="8"/>
        <v>4.7762865441819992E-3</v>
      </c>
      <c r="N32" s="33">
        <f t="shared" si="9"/>
        <v>3.7074520572792998E-7</v>
      </c>
      <c r="O32" s="21">
        <f t="shared" si="10"/>
        <v>2.032E-3</v>
      </c>
      <c r="P32" s="21">
        <v>4.7360646624728548E-11</v>
      </c>
      <c r="Q32" s="2">
        <v>0.31</v>
      </c>
      <c r="R32" s="27">
        <f t="shared" si="11"/>
        <v>131000</v>
      </c>
      <c r="S32" s="2">
        <f t="shared" si="12"/>
        <v>5.1398579432804297E-3</v>
      </c>
      <c r="T32" s="11">
        <v>0.1</v>
      </c>
      <c r="U32" s="30">
        <f t="shared" si="13"/>
        <v>110000.00000000001</v>
      </c>
      <c r="V32" s="30">
        <f t="shared" si="1"/>
        <v>9.678910891089112</v>
      </c>
      <c r="W32" s="2">
        <f t="shared" si="14"/>
        <v>6.9999999999999991</v>
      </c>
      <c r="X32" s="2">
        <f t="shared" si="15"/>
        <v>3.8159115494861228E-7</v>
      </c>
      <c r="Y32" s="11">
        <f t="shared" si="16"/>
        <v>379.59486688559883</v>
      </c>
      <c r="Z32" s="2">
        <f t="shared" si="17"/>
        <v>1.5015451275391507E-14</v>
      </c>
      <c r="AA32" s="27">
        <f t="shared" si="18"/>
        <v>9042304758.0407658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8">
        <v>100.31683168316833</v>
      </c>
      <c r="L33" s="27">
        <f t="shared" si="7"/>
        <v>1.0031683168316833E-4</v>
      </c>
      <c r="M33" s="29">
        <f t="shared" si="8"/>
        <v>4.7762865441819992E-3</v>
      </c>
      <c r="N33" s="33">
        <f t="shared" si="9"/>
        <v>4.226837430443779E-7</v>
      </c>
      <c r="O33" s="21">
        <f t="shared" si="10"/>
        <v>2.032E-3</v>
      </c>
      <c r="P33" s="21">
        <v>4.7360646624728548E-11</v>
      </c>
      <c r="Q33" s="2">
        <v>0.31</v>
      </c>
      <c r="R33" s="27">
        <f t="shared" si="11"/>
        <v>131000</v>
      </c>
      <c r="S33" s="2">
        <f t="shared" si="12"/>
        <v>5.1398579432804297E-3</v>
      </c>
      <c r="T33" s="11">
        <v>0.1</v>
      </c>
      <c r="U33" s="30">
        <f t="shared" si="13"/>
        <v>110000.00000000001</v>
      </c>
      <c r="V33" s="30">
        <f t="shared" si="1"/>
        <v>11.034851485148518</v>
      </c>
      <c r="W33" s="2">
        <f t="shared" si="14"/>
        <v>6.9999999999999991</v>
      </c>
      <c r="X33" s="2">
        <f t="shared" si="15"/>
        <v>4.3844242445767483E-7</v>
      </c>
      <c r="Y33" s="11">
        <f t="shared" si="16"/>
        <v>489.87711795505345</v>
      </c>
      <c r="Z33" s="2">
        <f t="shared" si="17"/>
        <v>1.7267103334632915E-14</v>
      </c>
      <c r="AA33" s="27">
        <f t="shared" si="18"/>
        <v>10398249628.115942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8">
        <v>106.08415841584159</v>
      </c>
      <c r="L34" s="27">
        <f t="shared" si="7"/>
        <v>1.0608415841584158E-4</v>
      </c>
      <c r="M34" s="29">
        <f t="shared" si="8"/>
        <v>4.7762865441819992E-3</v>
      </c>
      <c r="N34" s="33">
        <f t="shared" si="9"/>
        <v>4.4698430367637057E-7</v>
      </c>
      <c r="O34" s="21">
        <f t="shared" si="10"/>
        <v>2.032E-3</v>
      </c>
      <c r="P34" s="21">
        <v>4.7360646624728548E-11</v>
      </c>
      <c r="Q34" s="2">
        <v>0.31</v>
      </c>
      <c r="R34" s="27">
        <f t="shared" si="11"/>
        <v>131000</v>
      </c>
      <c r="S34" s="2">
        <f t="shared" si="12"/>
        <v>5.1398579432804297E-3</v>
      </c>
      <c r="T34" s="11">
        <v>0.1</v>
      </c>
      <c r="U34" s="30">
        <f t="shared" si="13"/>
        <v>110000.00000000001</v>
      </c>
      <c r="V34" s="30">
        <f t="shared" si="1"/>
        <v>11.669257425742575</v>
      </c>
      <c r="W34" s="2">
        <f t="shared" si="14"/>
        <v>6.9999999999999991</v>
      </c>
      <c r="X34" s="2">
        <f t="shared" si="15"/>
        <v>4.6493748885506083E-7</v>
      </c>
      <c r="Y34" s="11">
        <f t="shared" si="16"/>
        <v>545.88063477014248</v>
      </c>
      <c r="Z34" s="2">
        <f t="shared" si="17"/>
        <v>1.8318414603145715E-14</v>
      </c>
      <c r="AA34" s="27">
        <f t="shared" si="18"/>
        <v>11031349274.014349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8">
        <v>107.51980198019804</v>
      </c>
      <c r="L35" s="27">
        <f t="shared" si="7"/>
        <v>1.0751980198019804E-4</v>
      </c>
      <c r="M35" s="29">
        <f t="shared" si="8"/>
        <v>4.7762865441819992E-3</v>
      </c>
      <c r="N35" s="33">
        <f t="shared" si="9"/>
        <v>4.5303337027145894E-7</v>
      </c>
      <c r="O35" s="21">
        <f t="shared" si="10"/>
        <v>2.032E-3</v>
      </c>
      <c r="P35" s="21">
        <v>4.7360646624728548E-11</v>
      </c>
      <c r="Q35" s="2">
        <v>0.31</v>
      </c>
      <c r="R35" s="27">
        <f t="shared" si="11"/>
        <v>131000</v>
      </c>
      <c r="S35" s="2">
        <f t="shared" si="12"/>
        <v>5.1398579432804297E-3</v>
      </c>
      <c r="T35" s="11">
        <v>0.1</v>
      </c>
      <c r="U35" s="30">
        <f t="shared" si="13"/>
        <v>110000.00000000001</v>
      </c>
      <c r="V35" s="30">
        <f t="shared" si="1"/>
        <v>11.827178217821785</v>
      </c>
      <c r="W35" s="2">
        <f t="shared" si="14"/>
        <v>6.9999999999999991</v>
      </c>
      <c r="X35" s="2">
        <f t="shared" si="15"/>
        <v>4.7152348795346775E-7</v>
      </c>
      <c r="Y35" s="11">
        <f t="shared" si="16"/>
        <v>560.25454029902357</v>
      </c>
      <c r="Z35" s="2">
        <f t="shared" si="17"/>
        <v>1.8579948438719383E-14</v>
      </c>
      <c r="AA35" s="27">
        <f t="shared" si="18"/>
        <v>11188844949.796814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8">
        <v>110.06930693069309</v>
      </c>
      <c r="L36" s="27">
        <f t="shared" si="7"/>
        <v>1.1006930693069309E-4</v>
      </c>
      <c r="M36" s="29">
        <f t="shared" si="8"/>
        <v>4.7762865441819992E-3</v>
      </c>
      <c r="N36" s="33">
        <f t="shared" si="9"/>
        <v>4.6377567819032267E-7</v>
      </c>
      <c r="O36" s="21">
        <f t="shared" si="10"/>
        <v>2.032E-3</v>
      </c>
      <c r="P36" s="21">
        <v>4.7360646624728548E-11</v>
      </c>
      <c r="Q36" s="2">
        <v>0.31</v>
      </c>
      <c r="R36" s="27">
        <f t="shared" si="11"/>
        <v>131000</v>
      </c>
      <c r="S36" s="2">
        <f t="shared" si="12"/>
        <v>5.1398579432804297E-3</v>
      </c>
      <c r="T36" s="11">
        <v>0.1</v>
      </c>
      <c r="U36" s="30">
        <f t="shared" si="13"/>
        <v>110000.00000000001</v>
      </c>
      <c r="V36" s="30">
        <f t="shared" si="1"/>
        <v>12.107623762376242</v>
      </c>
      <c r="W36" s="2">
        <f t="shared" si="14"/>
        <v>6.9999999999999991</v>
      </c>
      <c r="X36" s="2">
        <f t="shared" si="15"/>
        <v>4.8321055261597235E-7</v>
      </c>
      <c r="Y36" s="11">
        <f t="shared" si="16"/>
        <v>586.20461000024318</v>
      </c>
      <c r="Z36" s="2">
        <f t="shared" si="17"/>
        <v>1.904425517034357E-14</v>
      </c>
      <c r="AA36" s="27">
        <f t="shared" si="18"/>
        <v>11468450463.580898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8">
        <v>113.58415841584161</v>
      </c>
      <c r="L37" s="27">
        <f t="shared" si="7"/>
        <v>1.1358415841584162E-4</v>
      </c>
      <c r="M37" s="29">
        <f t="shared" si="8"/>
        <v>4.7762865441819992E-3</v>
      </c>
      <c r="N37" s="33">
        <f t="shared" si="9"/>
        <v>4.7858546192312514E-7</v>
      </c>
      <c r="O37" s="21">
        <f t="shared" si="10"/>
        <v>2.032E-3</v>
      </c>
      <c r="P37" s="21">
        <v>4.7360646624728548E-11</v>
      </c>
      <c r="Q37" s="2">
        <v>0.31</v>
      </c>
      <c r="R37" s="27">
        <f t="shared" si="11"/>
        <v>131000</v>
      </c>
      <c r="S37" s="2">
        <f t="shared" si="12"/>
        <v>5.1398579432804297E-3</v>
      </c>
      <c r="T37" s="11">
        <v>0.1</v>
      </c>
      <c r="U37" s="30">
        <f t="shared" si="13"/>
        <v>110000.00000000001</v>
      </c>
      <c r="V37" s="30">
        <f t="shared" si="1"/>
        <v>12.49425742574258</v>
      </c>
      <c r="W37" s="2">
        <f t="shared" si="14"/>
        <v>6.9999999999999991</v>
      </c>
      <c r="X37" s="2">
        <f t="shared" si="15"/>
        <v>4.9930505443125406E-7</v>
      </c>
      <c r="Y37" s="11">
        <f t="shared" si="16"/>
        <v>622.86757102278318</v>
      </c>
      <c r="Z37" s="2">
        <f t="shared" si="17"/>
        <v>1.9684104124138242E-14</v>
      </c>
      <c r="AA37" s="27">
        <f t="shared" si="18"/>
        <v>11853767503.556049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8">
        <v>110.09405940594063</v>
      </c>
      <c r="L38" s="27">
        <f t="shared" si="7"/>
        <v>1.1009405940594062E-4</v>
      </c>
      <c r="M38" s="29">
        <f t="shared" si="8"/>
        <v>4.7762865441819992E-3</v>
      </c>
      <c r="N38" s="33">
        <f t="shared" si="9"/>
        <v>4.6387997244196215E-7</v>
      </c>
      <c r="O38" s="21">
        <f t="shared" si="10"/>
        <v>2.032E-3</v>
      </c>
      <c r="P38" s="21">
        <v>4.7360646624728548E-11</v>
      </c>
      <c r="Q38" s="2">
        <v>0.31</v>
      </c>
      <c r="R38" s="27">
        <f t="shared" si="11"/>
        <v>131000</v>
      </c>
      <c r="S38" s="2">
        <f t="shared" si="12"/>
        <v>5.1398579432804297E-3</v>
      </c>
      <c r="T38" s="11">
        <v>0.1</v>
      </c>
      <c r="U38" s="30">
        <f t="shared" si="13"/>
        <v>110000.00000000001</v>
      </c>
      <c r="V38" s="30">
        <f t="shared" si="1"/>
        <v>12.11034653465347</v>
      </c>
      <c r="W38" s="2">
        <f t="shared" si="14"/>
        <v>6.9999999999999991</v>
      </c>
      <c r="X38" s="2">
        <f t="shared" si="15"/>
        <v>4.8332396532496917E-7</v>
      </c>
      <c r="Y38" s="11">
        <f t="shared" si="16"/>
        <v>586.45920765908079</v>
      </c>
      <c r="Z38" s="2">
        <f t="shared" si="17"/>
        <v>1.9048762170402122E-14</v>
      </c>
      <c r="AA38" s="27">
        <f t="shared" si="18"/>
        <v>11471164579.016159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8">
        <v>125.26732673267328</v>
      </c>
      <c r="L39" s="27">
        <f t="shared" si="7"/>
        <v>1.2526732673267328E-4</v>
      </c>
      <c r="M39" s="29">
        <f t="shared" si="8"/>
        <v>4.7762865441819992E-3</v>
      </c>
      <c r="N39" s="33">
        <f t="shared" si="9"/>
        <v>5.2781234869694713E-7</v>
      </c>
      <c r="O39" s="21">
        <f t="shared" si="10"/>
        <v>2.032E-3</v>
      </c>
      <c r="P39" s="21">
        <v>4.7360646624728548E-11</v>
      </c>
      <c r="Q39" s="2">
        <v>0.31</v>
      </c>
      <c r="R39" s="27">
        <f t="shared" si="11"/>
        <v>131000</v>
      </c>
      <c r="S39" s="2">
        <f t="shared" si="12"/>
        <v>5.1398579432804297E-3</v>
      </c>
      <c r="T39" s="11">
        <v>0.1</v>
      </c>
      <c r="U39" s="30">
        <f t="shared" si="13"/>
        <v>110000.00000000001</v>
      </c>
      <c r="V39" s="30">
        <f t="shared" si="1"/>
        <v>13.779405940594064</v>
      </c>
      <c r="W39" s="2">
        <f t="shared" si="14"/>
        <v>6.9999999999999991</v>
      </c>
      <c r="X39" s="2">
        <f t="shared" si="15"/>
        <v>5.526652887799672E-7</v>
      </c>
      <c r="Y39" s="11">
        <f t="shared" si="16"/>
        <v>752.07943663376921</v>
      </c>
      <c r="Z39" s="2">
        <f t="shared" si="17"/>
        <v>2.1809339160459849E-14</v>
      </c>
      <c r="AA39" s="27">
        <f t="shared" si="18"/>
        <v>13133584042.428921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8">
        <v>128.68316831683168</v>
      </c>
      <c r="L40" s="27">
        <f t="shared" si="7"/>
        <v>1.2868316831683168E-4</v>
      </c>
      <c r="M40" s="29">
        <f t="shared" si="8"/>
        <v>4.7762865441819992E-3</v>
      </c>
      <c r="N40" s="33">
        <f t="shared" si="9"/>
        <v>5.4220495542319169E-7</v>
      </c>
      <c r="O40" s="21">
        <f t="shared" si="10"/>
        <v>2.032E-3</v>
      </c>
      <c r="P40" s="21">
        <v>4.7360646624728548E-11</v>
      </c>
      <c r="Q40" s="2">
        <v>0.31</v>
      </c>
      <c r="R40" s="27">
        <f t="shared" si="11"/>
        <v>131000</v>
      </c>
      <c r="S40" s="2">
        <f t="shared" si="12"/>
        <v>5.1398579432804297E-3</v>
      </c>
      <c r="T40" s="11">
        <v>0.1</v>
      </c>
      <c r="U40" s="30">
        <f t="shared" si="13"/>
        <v>110000.00000000001</v>
      </c>
      <c r="V40" s="30">
        <f t="shared" si="1"/>
        <v>14.155148514851486</v>
      </c>
      <c r="W40" s="2">
        <f t="shared" si="14"/>
        <v>6.9999999999999991</v>
      </c>
      <c r="X40" s="2">
        <f t="shared" si="15"/>
        <v>5.682295735084016E-7</v>
      </c>
      <c r="Y40" s="11">
        <f t="shared" si="16"/>
        <v>791.9789295361968</v>
      </c>
      <c r="Z40" s="2">
        <f t="shared" si="17"/>
        <v>2.2430409916325174E-14</v>
      </c>
      <c r="AA40" s="27">
        <f t="shared" si="18"/>
        <v>13507592851.611021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8">
        <v>128.06435643564359</v>
      </c>
      <c r="L41" s="27">
        <f t="shared" si="7"/>
        <v>1.2806435643564359E-4</v>
      </c>
      <c r="M41" s="29">
        <f t="shared" si="8"/>
        <v>4.7762865441819992E-3</v>
      </c>
      <c r="N41" s="33">
        <f t="shared" si="9"/>
        <v>5.395975991322055E-7</v>
      </c>
      <c r="O41" s="21">
        <f t="shared" si="10"/>
        <v>2.032E-3</v>
      </c>
      <c r="P41" s="21">
        <v>4.7360646624728548E-11</v>
      </c>
      <c r="Q41" s="2">
        <v>0.31</v>
      </c>
      <c r="R41" s="27">
        <f t="shared" si="11"/>
        <v>131000</v>
      </c>
      <c r="S41" s="2">
        <f t="shared" si="12"/>
        <v>5.1398579432804297E-3</v>
      </c>
      <c r="T41" s="11">
        <v>0.1</v>
      </c>
      <c r="U41" s="30">
        <f t="shared" si="13"/>
        <v>110000.00000000001</v>
      </c>
      <c r="V41" s="30">
        <f t="shared" si="1"/>
        <v>14.087079207920796</v>
      </c>
      <c r="W41" s="2">
        <f t="shared" si="14"/>
        <v>6.9999999999999991</v>
      </c>
      <c r="X41" s="2">
        <f t="shared" si="15"/>
        <v>5.6541112068926186E-7</v>
      </c>
      <c r="Y41" s="11">
        <f t="shared" si="16"/>
        <v>784.6798716919177</v>
      </c>
      <c r="Z41" s="2">
        <f t="shared" si="17"/>
        <v>2.2317902663298179E-14</v>
      </c>
      <c r="AA41" s="27">
        <f t="shared" si="18"/>
        <v>13439840983.838163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14">
        <v>132.19801980198022</v>
      </c>
      <c r="L42" s="27">
        <f t="shared" si="7"/>
        <v>1.3219801980198022E-4</v>
      </c>
      <c r="M42" s="29">
        <f t="shared" si="8"/>
        <v>4.7762865441819992E-3</v>
      </c>
      <c r="N42" s="33">
        <f t="shared" si="9"/>
        <v>5.5701473915599427E-7</v>
      </c>
      <c r="O42" s="21">
        <f t="shared" si="10"/>
        <v>2.032E-3</v>
      </c>
      <c r="P42" s="21">
        <v>4.7360646624728548E-11</v>
      </c>
      <c r="Q42" s="2">
        <v>0.31</v>
      </c>
      <c r="R42" s="27">
        <f t="shared" si="11"/>
        <v>131000</v>
      </c>
      <c r="S42" s="2">
        <f t="shared" si="12"/>
        <v>5.1398579432804297E-3</v>
      </c>
      <c r="T42" s="11">
        <v>0.1</v>
      </c>
      <c r="U42" s="30">
        <f t="shared" si="13"/>
        <v>110000.00000000001</v>
      </c>
      <c r="V42" s="30">
        <f t="shared" si="1"/>
        <v>14.541782178217826</v>
      </c>
      <c r="W42" s="2">
        <f t="shared" si="14"/>
        <v>6.9999999999999991</v>
      </c>
      <c r="X42" s="2">
        <f t="shared" si="15"/>
        <v>5.8422887441537382E-7</v>
      </c>
      <c r="Y42" s="11">
        <f t="shared" si="16"/>
        <v>834.03148921144077</v>
      </c>
      <c r="Z42" s="2">
        <f t="shared" si="17"/>
        <v>2.3069420181118677E-14</v>
      </c>
      <c r="AA42" s="2">
        <f t="shared" si="18"/>
        <v>13892404833.069668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14">
        <v>129.37623762376239</v>
      </c>
      <c r="L43" s="27">
        <f t="shared" si="7"/>
        <v>1.2937623762376239E-4</v>
      </c>
      <c r="M43" s="29">
        <f t="shared" si="8"/>
        <v>4.7762865441819992E-3</v>
      </c>
      <c r="N43" s="33">
        <f t="shared" si="9"/>
        <v>5.4512519446909648E-7</v>
      </c>
      <c r="O43" s="21">
        <f t="shared" si="10"/>
        <v>2.032E-3</v>
      </c>
      <c r="P43" s="21">
        <v>4.7360646624728548E-11</v>
      </c>
      <c r="Q43" s="2">
        <v>0.31</v>
      </c>
      <c r="R43" s="27">
        <f t="shared" si="11"/>
        <v>131000</v>
      </c>
      <c r="S43" s="2">
        <f t="shared" si="12"/>
        <v>5.1398579432804297E-3</v>
      </c>
      <c r="T43" s="11">
        <v>0.1</v>
      </c>
      <c r="U43" s="30">
        <f t="shared" si="13"/>
        <v>110000.00000000001</v>
      </c>
      <c r="V43" s="30">
        <f t="shared" si="1"/>
        <v>14.231386138613864</v>
      </c>
      <c r="W43" s="2">
        <f t="shared" si="14"/>
        <v>6.9999999999999991</v>
      </c>
      <c r="X43" s="2">
        <f t="shared" si="15"/>
        <v>5.7138563898377873E-7</v>
      </c>
      <c r="Y43" s="11">
        <f t="shared" si="16"/>
        <v>800.19106974385477</v>
      </c>
      <c r="Z43" s="2">
        <f t="shared" si="17"/>
        <v>2.2556415707033107E-14</v>
      </c>
      <c r="AA43" s="2">
        <f t="shared" si="18"/>
        <v>13583473538.775337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14">
        <v>133.58415841584161</v>
      </c>
      <c r="L44" s="27">
        <f t="shared" si="7"/>
        <v>1.335841584158416E-4</v>
      </c>
      <c r="M44" s="29">
        <f t="shared" si="8"/>
        <v>4.7762865441819992E-3</v>
      </c>
      <c r="N44" s="33">
        <f t="shared" si="9"/>
        <v>5.6285521724780363E-7</v>
      </c>
      <c r="O44" s="21">
        <f t="shared" si="10"/>
        <v>2.032E-3</v>
      </c>
      <c r="P44" s="21">
        <v>4.7360646624728548E-11</v>
      </c>
      <c r="Q44" s="2">
        <v>0.31</v>
      </c>
      <c r="R44" s="27">
        <f t="shared" si="11"/>
        <v>131000</v>
      </c>
      <c r="S44" s="2">
        <f t="shared" si="12"/>
        <v>5.1398579432804297E-3</v>
      </c>
      <c r="T44" s="11">
        <v>0.1</v>
      </c>
      <c r="U44" s="30">
        <f t="shared" si="13"/>
        <v>110000.00000000001</v>
      </c>
      <c r="V44" s="30">
        <f t="shared" si="1"/>
        <v>14.694257425742578</v>
      </c>
      <c r="W44" s="2">
        <f t="shared" si="14"/>
        <v>6.9999999999999991</v>
      </c>
      <c r="X44" s="2">
        <f t="shared" si="15"/>
        <v>5.9053410365892476E-7</v>
      </c>
      <c r="Y44" s="11">
        <f t="shared" si="16"/>
        <v>850.89287470685758</v>
      </c>
      <c r="Z44" s="2">
        <f t="shared" si="17"/>
        <v>2.3321415494209265E-14</v>
      </c>
      <c r="AA44" s="2">
        <f t="shared" si="18"/>
        <v>14044156410.61282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14">
        <v>137.81683168316832</v>
      </c>
      <c r="L45" s="27">
        <f t="shared" si="7"/>
        <v>1.3781683168316832E-4</v>
      </c>
      <c r="M45" s="29">
        <f t="shared" si="8"/>
        <v>4.7762865441819992E-3</v>
      </c>
      <c r="N45" s="33">
        <f t="shared" si="9"/>
        <v>5.8068953427815021E-7</v>
      </c>
      <c r="O45" s="21">
        <f t="shared" si="10"/>
        <v>2.032E-3</v>
      </c>
      <c r="P45" s="21">
        <v>4.7360646624728548E-11</v>
      </c>
      <c r="Q45" s="2">
        <v>0.31</v>
      </c>
      <c r="R45" s="27">
        <f t="shared" si="11"/>
        <v>131000</v>
      </c>
      <c r="S45" s="2">
        <f t="shared" si="12"/>
        <v>5.1398579432804297E-3</v>
      </c>
      <c r="T45" s="11">
        <v>0.1</v>
      </c>
      <c r="U45" s="30">
        <f t="shared" si="13"/>
        <v>110000.00000000001</v>
      </c>
      <c r="V45" s="30">
        <f t="shared" si="1"/>
        <v>15.159851485148517</v>
      </c>
      <c r="W45" s="2">
        <f t="shared" si="14"/>
        <v>6.9999999999999991</v>
      </c>
      <c r="X45" s="2">
        <f t="shared" si="15"/>
        <v>6.0977284229127369E-7</v>
      </c>
      <c r="Y45" s="11">
        <f t="shared" si="16"/>
        <v>903.34866084677878</v>
      </c>
      <c r="Z45" s="2">
        <f t="shared" si="17"/>
        <v>2.4090902838667084E-14</v>
      </c>
      <c r="AA45" s="2">
        <f t="shared" si="18"/>
        <v>14507541689.445318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14">
        <v>141.52970297029705</v>
      </c>
      <c r="L46" s="27">
        <f t="shared" si="7"/>
        <v>1.4152970297029706E-4</v>
      </c>
      <c r="M46" s="29">
        <f t="shared" si="8"/>
        <v>4.7762865441819992E-3</v>
      </c>
      <c r="N46" s="33">
        <f t="shared" si="9"/>
        <v>5.9633367202406831E-7</v>
      </c>
      <c r="O46" s="21">
        <f t="shared" si="10"/>
        <v>2.032E-3</v>
      </c>
      <c r="P46" s="21">
        <v>4.7360646624728548E-11</v>
      </c>
      <c r="Q46" s="2">
        <v>0.31</v>
      </c>
      <c r="R46" s="27">
        <f t="shared" si="11"/>
        <v>131000</v>
      </c>
      <c r="S46" s="2">
        <f t="shared" si="12"/>
        <v>5.1398579432804297E-3</v>
      </c>
      <c r="T46" s="11">
        <v>0.1</v>
      </c>
      <c r="U46" s="30">
        <f t="shared" si="13"/>
        <v>110000.00000000001</v>
      </c>
      <c r="V46" s="30">
        <f t="shared" si="1"/>
        <v>15.568267326732679</v>
      </c>
      <c r="W46" s="2">
        <f t="shared" si="14"/>
        <v>6.9999999999999991</v>
      </c>
      <c r="X46" s="2">
        <f t="shared" si="15"/>
        <v>6.2663127195683933E-7</v>
      </c>
      <c r="Y46" s="11">
        <f t="shared" si="16"/>
        <v>950.56080033799935</v>
      </c>
      <c r="Z46" s="2">
        <f t="shared" si="17"/>
        <v>2.4765933175078626E-14</v>
      </c>
      <c r="AA46" s="2">
        <f t="shared" si="18"/>
        <v>14914044958.032349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14">
        <v>143.01485148514851</v>
      </c>
      <c r="L47" s="27">
        <f t="shared" si="7"/>
        <v>1.4301485148514851E-4</v>
      </c>
      <c r="M47" s="29">
        <f t="shared" si="8"/>
        <v>4.7762865441819992E-3</v>
      </c>
      <c r="N47" s="33">
        <f t="shared" si="9"/>
        <v>6.0259132712243538E-7</v>
      </c>
      <c r="O47" s="21">
        <f t="shared" si="10"/>
        <v>2.032E-3</v>
      </c>
      <c r="P47" s="21">
        <v>4.7360646624728548E-11</v>
      </c>
      <c r="Q47" s="2">
        <v>0.31</v>
      </c>
      <c r="R47" s="27">
        <f t="shared" si="11"/>
        <v>131000</v>
      </c>
      <c r="S47" s="2">
        <f t="shared" si="12"/>
        <v>5.1398579432804297E-3</v>
      </c>
      <c r="T47" s="11">
        <v>0.1</v>
      </c>
      <c r="U47" s="30">
        <f t="shared" si="13"/>
        <v>110000.00000000001</v>
      </c>
      <c r="V47" s="30">
        <f t="shared" si="1"/>
        <v>15.731633663366338</v>
      </c>
      <c r="W47" s="2">
        <f t="shared" si="14"/>
        <v>6.9999999999999991</v>
      </c>
      <c r="X47" s="2">
        <f t="shared" si="15"/>
        <v>6.3337017788270168E-7</v>
      </c>
      <c r="Y47" s="11">
        <f t="shared" si="16"/>
        <v>969.75849152245667</v>
      </c>
      <c r="Z47" s="2">
        <f t="shared" si="17"/>
        <v>2.5035966264933066E-14</v>
      </c>
      <c r="AA47" s="2">
        <f t="shared" si="18"/>
        <v>15076658884.742693</v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14">
        <v>144.57425742574259</v>
      </c>
      <c r="L48" s="27">
        <f t="shared" si="7"/>
        <v>1.4457425742574258E-4</v>
      </c>
      <c r="M48" s="29">
        <f t="shared" si="8"/>
        <v>4.7762865441819992E-3</v>
      </c>
      <c r="N48" s="33">
        <f t="shared" si="9"/>
        <v>6.0916186497572104E-7</v>
      </c>
      <c r="O48" s="21">
        <f t="shared" si="10"/>
        <v>2.032E-3</v>
      </c>
      <c r="P48" s="21">
        <v>4.7360646624728548E-11</v>
      </c>
      <c r="Q48" s="2">
        <v>0.31</v>
      </c>
      <c r="R48" s="27">
        <f t="shared" si="11"/>
        <v>131000</v>
      </c>
      <c r="S48" s="2">
        <f t="shared" si="12"/>
        <v>5.1398579432804297E-3</v>
      </c>
      <c r="T48" s="11">
        <v>0.1</v>
      </c>
      <c r="U48" s="30">
        <f t="shared" si="13"/>
        <v>110000.00000000001</v>
      </c>
      <c r="V48" s="30">
        <f t="shared" si="1"/>
        <v>15.903168316831685</v>
      </c>
      <c r="W48" s="2">
        <f t="shared" si="14"/>
        <v>6.9999999999999991</v>
      </c>
      <c r="X48" s="2">
        <f t="shared" si="15"/>
        <v>6.4044334738053776E-7</v>
      </c>
      <c r="Y48" s="11">
        <f t="shared" si="16"/>
        <v>990.1081465645276</v>
      </c>
      <c r="Z48" s="2">
        <f t="shared" si="17"/>
        <v>2.5319518225320177E-14</v>
      </c>
      <c r="AA48" s="2">
        <f t="shared" si="18"/>
        <v>15247413875.287811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14">
        <v>144.72277227722773</v>
      </c>
      <c r="L49" s="27">
        <f t="shared" si="7"/>
        <v>1.4472277227722772E-4</v>
      </c>
      <c r="M49" s="29">
        <f t="shared" si="8"/>
        <v>4.7762865441819992E-3</v>
      </c>
      <c r="N49" s="33">
        <f t="shared" si="9"/>
        <v>6.0978763048555781E-7</v>
      </c>
      <c r="O49" s="21">
        <f t="shared" si="10"/>
        <v>2.032E-3</v>
      </c>
      <c r="P49" s="21">
        <v>4.7360646624728548E-11</v>
      </c>
      <c r="Q49" s="2">
        <v>0.31</v>
      </c>
      <c r="R49" s="27">
        <f t="shared" si="11"/>
        <v>131000</v>
      </c>
      <c r="S49" s="2">
        <f t="shared" si="12"/>
        <v>5.1398579432804297E-3</v>
      </c>
      <c r="T49" s="11">
        <v>0.1</v>
      </c>
      <c r="U49" s="30">
        <f t="shared" si="13"/>
        <v>110000.00000000001</v>
      </c>
      <c r="V49" s="30">
        <f t="shared" si="1"/>
        <v>15.919504950495051</v>
      </c>
      <c r="W49" s="2">
        <f t="shared" si="14"/>
        <v>6.9999999999999991</v>
      </c>
      <c r="X49" s="2">
        <f t="shared" si="15"/>
        <v>6.4111684088385144E-7</v>
      </c>
      <c r="Y49" s="11">
        <f t="shared" si="16"/>
        <v>992.05646323945177</v>
      </c>
      <c r="Z49" s="2">
        <f t="shared" si="17"/>
        <v>2.534652420108443E-14</v>
      </c>
      <c r="AA49" s="2">
        <f t="shared" si="18"/>
        <v>15263676873.893044</v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14">
        <v>154.42574257425744</v>
      </c>
      <c r="L50" s="27">
        <f t="shared" si="7"/>
        <v>1.5442574257425745E-4</v>
      </c>
      <c r="M50" s="29">
        <f t="shared" si="8"/>
        <v>4.7762865441819992E-3</v>
      </c>
      <c r="N50" s="33">
        <f t="shared" si="9"/>
        <v>6.5067097712822378E-7</v>
      </c>
      <c r="O50" s="21">
        <f t="shared" si="10"/>
        <v>2.032E-3</v>
      </c>
      <c r="P50" s="21">
        <v>4.7360646624728548E-11</v>
      </c>
      <c r="Q50" s="2">
        <v>0.31</v>
      </c>
      <c r="R50" s="27">
        <f t="shared" si="11"/>
        <v>131000</v>
      </c>
      <c r="S50" s="2">
        <f t="shared" si="12"/>
        <v>5.1398579432804297E-3</v>
      </c>
      <c r="T50" s="11">
        <v>0.1</v>
      </c>
      <c r="U50" s="30">
        <f t="shared" si="13"/>
        <v>110000.00000000001</v>
      </c>
      <c r="V50" s="30">
        <f t="shared" si="1"/>
        <v>16.986831683168322</v>
      </c>
      <c r="W50" s="2">
        <f t="shared" si="14"/>
        <v>6.9999999999999991</v>
      </c>
      <c r="X50" s="2">
        <f t="shared" si="15"/>
        <v>6.8506704558076603E-7</v>
      </c>
      <c r="Y50" s="11">
        <f t="shared" si="16"/>
        <v>1123.2006923328802</v>
      </c>
      <c r="Z50" s="2">
        <f t="shared" si="17"/>
        <v>2.7111441879366437E-14</v>
      </c>
      <c r="AA50" s="2">
        <f t="shared" si="18"/>
        <v>16326510299.754469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14">
        <v>149.05445544554459</v>
      </c>
      <c r="L51" s="27">
        <f t="shared" si="7"/>
        <v>1.4905445544554459E-4</v>
      </c>
      <c r="M51" s="29">
        <f t="shared" si="8"/>
        <v>4.7762865441819992E-3</v>
      </c>
      <c r="N51" s="33">
        <f t="shared" si="9"/>
        <v>6.2803912452246231E-7</v>
      </c>
      <c r="O51" s="21">
        <f t="shared" si="10"/>
        <v>2.032E-3</v>
      </c>
      <c r="P51" s="21">
        <v>4.7360646624728548E-11</v>
      </c>
      <c r="Q51" s="2">
        <v>0.31</v>
      </c>
      <c r="R51" s="27">
        <f t="shared" si="11"/>
        <v>131000</v>
      </c>
      <c r="S51" s="2">
        <f t="shared" si="12"/>
        <v>5.1398579432804297E-3</v>
      </c>
      <c r="T51" s="11">
        <v>0.1</v>
      </c>
      <c r="U51" s="30">
        <f t="shared" si="13"/>
        <v>110000.00000000001</v>
      </c>
      <c r="V51" s="30">
        <f t="shared" si="1"/>
        <v>16.395990099009907</v>
      </c>
      <c r="W51" s="2">
        <f t="shared" si="14"/>
        <v>6.9999999999999991</v>
      </c>
      <c r="X51" s="2">
        <f t="shared" si="15"/>
        <v>6.607497833828348E-7</v>
      </c>
      <c r="Y51" s="11">
        <f t="shared" si="16"/>
        <v>1049.6658147614344</v>
      </c>
      <c r="Z51" s="2">
        <f t="shared" si="17"/>
        <v>2.6134292335100948E-14</v>
      </c>
      <c r="AA51" s="2">
        <f t="shared" si="18"/>
        <v>15738070844.197792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 spans="1:78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14">
        <v>150.83663366336637</v>
      </c>
      <c r="L52" s="27">
        <f t="shared" si="7"/>
        <v>1.5083663366336638E-4</v>
      </c>
      <c r="M52" s="29">
        <f t="shared" si="8"/>
        <v>4.7762865441819992E-3</v>
      </c>
      <c r="N52" s="33">
        <f t="shared" si="9"/>
        <v>6.3554831064050303E-7</v>
      </c>
      <c r="O52" s="21">
        <f t="shared" si="10"/>
        <v>2.032E-3</v>
      </c>
      <c r="P52" s="21">
        <v>4.7360646624728548E-11</v>
      </c>
      <c r="Q52" s="2">
        <v>0.31</v>
      </c>
      <c r="R52" s="27">
        <f t="shared" si="11"/>
        <v>131000</v>
      </c>
      <c r="S52" s="2">
        <f t="shared" si="12"/>
        <v>5.1398579432804297E-3</v>
      </c>
      <c r="T52" s="11">
        <v>0.1</v>
      </c>
      <c r="U52" s="30">
        <f t="shared" si="13"/>
        <v>110000.00000000001</v>
      </c>
      <c r="V52" s="30">
        <f t="shared" si="1"/>
        <v>16.592029702970304</v>
      </c>
      <c r="W52" s="2">
        <f t="shared" si="14"/>
        <v>6.9999999999999991</v>
      </c>
      <c r="X52" s="2">
        <f t="shared" si="15"/>
        <v>6.68821500593705E-7</v>
      </c>
      <c r="Y52" s="11">
        <f t="shared" si="16"/>
        <v>1073.8071878107721</v>
      </c>
      <c r="Z52" s="2">
        <f t="shared" si="17"/>
        <v>2.6458464056069709E-14</v>
      </c>
      <c r="AA52" s="2">
        <f t="shared" si="18"/>
        <v>15933287054.56518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14">
        <v>155.34158415841586</v>
      </c>
      <c r="L53" s="27">
        <f t="shared" si="7"/>
        <v>1.5534158415841587E-4</v>
      </c>
      <c r="M53" s="29">
        <f t="shared" si="8"/>
        <v>4.7762865441819992E-3</v>
      </c>
      <c r="N53" s="33">
        <f t="shared" si="9"/>
        <v>6.5452986443888351E-7</v>
      </c>
      <c r="O53" s="21">
        <f t="shared" si="10"/>
        <v>2.032E-3</v>
      </c>
      <c r="P53" s="21">
        <v>4.7360646624728548E-11</v>
      </c>
      <c r="Q53" s="2">
        <v>0.31</v>
      </c>
      <c r="R53" s="27">
        <f t="shared" si="11"/>
        <v>131000</v>
      </c>
      <c r="S53" s="2">
        <f t="shared" si="12"/>
        <v>5.1398579432804297E-3</v>
      </c>
      <c r="T53" s="11">
        <v>0.1</v>
      </c>
      <c r="U53" s="30">
        <f t="shared" si="13"/>
        <v>110000.00000000001</v>
      </c>
      <c r="V53" s="30">
        <f t="shared" si="1"/>
        <v>17.087574257425747</v>
      </c>
      <c r="W53" s="2">
        <f t="shared" si="14"/>
        <v>6.9999999999999991</v>
      </c>
      <c r="X53" s="2">
        <f t="shared" si="15"/>
        <v>6.8921036478591371E-7</v>
      </c>
      <c r="Y53" s="11">
        <f t="shared" si="16"/>
        <v>1135.9702864555109</v>
      </c>
      <c r="Z53" s="2">
        <f t="shared" si="17"/>
        <v>2.7278095218899659E-14</v>
      </c>
      <c r="AA53" s="2">
        <f t="shared" si="18"/>
        <v>16426868940.821375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14">
        <v>155.1683168316832</v>
      </c>
      <c r="L54" s="27">
        <f t="shared" si="7"/>
        <v>1.5516831683168319E-4</v>
      </c>
      <c r="M54" s="29">
        <f t="shared" si="8"/>
        <v>4.7762865441819992E-3</v>
      </c>
      <c r="N54" s="33">
        <f t="shared" si="9"/>
        <v>6.5379980467740732E-7</v>
      </c>
      <c r="O54" s="21">
        <f t="shared" si="10"/>
        <v>2.032E-3</v>
      </c>
      <c r="P54" s="21">
        <v>4.7360646624728548E-11</v>
      </c>
      <c r="Q54" s="2">
        <v>0.31</v>
      </c>
      <c r="R54" s="27">
        <f t="shared" si="11"/>
        <v>131000</v>
      </c>
      <c r="S54" s="2">
        <f t="shared" si="12"/>
        <v>5.1398579432804297E-3</v>
      </c>
      <c r="T54" s="11">
        <v>0.1</v>
      </c>
      <c r="U54" s="30">
        <f t="shared" si="13"/>
        <v>110000.00000000001</v>
      </c>
      <c r="V54" s="30">
        <f t="shared" si="1"/>
        <v>17.068514851485155</v>
      </c>
      <c r="W54" s="2">
        <f t="shared" si="14"/>
        <v>6.9999999999999991</v>
      </c>
      <c r="X54" s="2">
        <f t="shared" si="15"/>
        <v>6.8842655802423725E-7</v>
      </c>
      <c r="Y54" s="11">
        <f t="shared" si="16"/>
        <v>1133.5492536562424</v>
      </c>
      <c r="Z54" s="2">
        <f t="shared" si="17"/>
        <v>2.7246565162062853E-14</v>
      </c>
      <c r="AA54" s="2">
        <f t="shared" si="18"/>
        <v>16407881540.594252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14">
        <v>149.45049504950498</v>
      </c>
      <c r="L55" s="27">
        <f t="shared" si="7"/>
        <v>1.4945049504950497E-4</v>
      </c>
      <c r="M55" s="29">
        <f t="shared" si="8"/>
        <v>4.7762865441819992E-3</v>
      </c>
      <c r="N55" s="33">
        <f t="shared" si="9"/>
        <v>6.2970783254869356E-7</v>
      </c>
      <c r="O55" s="21">
        <f t="shared" si="10"/>
        <v>2.032E-3</v>
      </c>
      <c r="P55" s="21">
        <v>4.7360646624728548E-11</v>
      </c>
      <c r="Q55" s="2">
        <v>0.31</v>
      </c>
      <c r="R55" s="27">
        <f t="shared" si="11"/>
        <v>131000</v>
      </c>
      <c r="S55" s="2">
        <f t="shared" si="12"/>
        <v>5.1398579432804297E-3</v>
      </c>
      <c r="T55" s="11">
        <v>0.1</v>
      </c>
      <c r="U55" s="30">
        <f t="shared" si="13"/>
        <v>110000.00000000001</v>
      </c>
      <c r="V55" s="30">
        <f t="shared" si="1"/>
        <v>16.439554455445549</v>
      </c>
      <c r="W55" s="2">
        <f t="shared" si="14"/>
        <v>6.9999999999999991</v>
      </c>
      <c r="X55" s="2">
        <f t="shared" si="15"/>
        <v>6.6254378769811527E-7</v>
      </c>
      <c r="Y55" s="11">
        <f t="shared" si="16"/>
        <v>1055.0084579995801</v>
      </c>
      <c r="Z55" s="2">
        <f t="shared" si="17"/>
        <v>2.620632707394947E-14</v>
      </c>
      <c r="AA55" s="2">
        <f t="shared" si="18"/>
        <v>15781450163.932371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14">
        <v>154.89603960396042</v>
      </c>
      <c r="L56" s="27">
        <f t="shared" si="7"/>
        <v>1.5489603960396043E-4</v>
      </c>
      <c r="M56" s="29">
        <f t="shared" si="8"/>
        <v>4.7762865441819992E-3</v>
      </c>
      <c r="N56" s="33">
        <f t="shared" si="9"/>
        <v>6.5265256790937331E-7</v>
      </c>
      <c r="O56" s="21">
        <f t="shared" si="10"/>
        <v>2.032E-3</v>
      </c>
      <c r="P56" s="21">
        <v>4.7360646624728548E-11</v>
      </c>
      <c r="Q56" s="2">
        <v>0.31</v>
      </c>
      <c r="R56" s="27">
        <f t="shared" si="11"/>
        <v>131000</v>
      </c>
      <c r="S56" s="2">
        <f t="shared" si="12"/>
        <v>5.1398579432804297E-3</v>
      </c>
      <c r="T56" s="11">
        <v>0.1</v>
      </c>
      <c r="U56" s="30">
        <f t="shared" si="13"/>
        <v>110000.00000000001</v>
      </c>
      <c r="V56" s="30">
        <f t="shared" si="1"/>
        <v>17.03856435643565</v>
      </c>
      <c r="W56" s="2">
        <f t="shared" si="14"/>
        <v>6.9999999999999991</v>
      </c>
      <c r="X56" s="2">
        <f t="shared" si="15"/>
        <v>6.8719480101962549E-7</v>
      </c>
      <c r="Y56" s="11">
        <f t="shared" si="16"/>
        <v>1129.7496416336294</v>
      </c>
      <c r="Z56" s="2">
        <f t="shared" si="17"/>
        <v>2.7197018923542841E-14</v>
      </c>
      <c r="AA56" s="2">
        <f t="shared" si="18"/>
        <v>16378044795.7575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165.34158415841586</v>
      </c>
      <c r="L57" s="27">
        <f t="shared" si="7"/>
        <v>1.6534158415841587E-4</v>
      </c>
      <c r="M57" s="29">
        <f t="shared" si="8"/>
        <v>4.7762865441819992E-3</v>
      </c>
      <c r="N57" s="33">
        <f t="shared" si="9"/>
        <v>6.966647421012227E-7</v>
      </c>
      <c r="O57" s="21">
        <f t="shared" si="10"/>
        <v>2.032E-3</v>
      </c>
      <c r="P57" s="21">
        <v>4.7360646624728548E-11</v>
      </c>
      <c r="Q57" s="2">
        <v>0.31</v>
      </c>
      <c r="R57" s="27">
        <f t="shared" si="11"/>
        <v>131000</v>
      </c>
      <c r="S57" s="2">
        <f t="shared" si="12"/>
        <v>5.1398579432804297E-3</v>
      </c>
      <c r="T57" s="11">
        <v>0.1</v>
      </c>
      <c r="U57" s="30">
        <f t="shared" si="13"/>
        <v>110000.00000000001</v>
      </c>
      <c r="V57" s="30">
        <f t="shared" si="1"/>
        <v>18.187574257425748</v>
      </c>
      <c r="W57" s="2">
        <f t="shared" si="14"/>
        <v>6.9999999999999991</v>
      </c>
      <c r="X57" s="2">
        <f t="shared" si="15"/>
        <v>7.3439798365969224E-7</v>
      </c>
      <c r="Y57" s="11">
        <f t="shared" si="16"/>
        <v>1279.7720817298505</v>
      </c>
      <c r="Z57" s="9">
        <f t="shared" si="17"/>
        <v>2.9098787216290124E-14</v>
      </c>
      <c r="AA57" s="9">
        <f t="shared" si="18"/>
        <v>17523289661.649914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166.45544554455446</v>
      </c>
      <c r="L58" s="27">
        <f t="shared" si="7"/>
        <v>1.6645544554455446E-4</v>
      </c>
      <c r="M58" s="29">
        <f t="shared" si="8"/>
        <v>4.7762865441819992E-3</v>
      </c>
      <c r="N58" s="33">
        <f t="shared" si="9"/>
        <v>7.0135798342499816E-7</v>
      </c>
      <c r="O58" s="21">
        <f t="shared" si="10"/>
        <v>2.032E-3</v>
      </c>
      <c r="P58" s="21">
        <v>4.7360646624728548E-11</v>
      </c>
      <c r="Q58" s="2">
        <v>0.31</v>
      </c>
      <c r="R58" s="27">
        <f t="shared" si="11"/>
        <v>131000</v>
      </c>
      <c r="S58" s="2">
        <f t="shared" si="12"/>
        <v>5.1398579432804297E-3</v>
      </c>
      <c r="T58" s="11">
        <v>0.1</v>
      </c>
      <c r="U58" s="30">
        <f t="shared" si="13"/>
        <v>110000.00000000001</v>
      </c>
      <c r="V58" s="30">
        <f t="shared" si="1"/>
        <v>18.310099009900995</v>
      </c>
      <c r="W58" s="2">
        <f t="shared" si="14"/>
        <v>6.9999999999999991</v>
      </c>
      <c r="X58" s="2">
        <f t="shared" si="15"/>
        <v>7.3942547449245494E-7</v>
      </c>
      <c r="Y58" s="11">
        <f t="shared" si="16"/>
        <v>1296.2841812661977</v>
      </c>
      <c r="Z58" s="9">
        <f t="shared" si="17"/>
        <v>2.9301719496188964E-14</v>
      </c>
      <c r="AA58" s="9">
        <f t="shared" si="18"/>
        <v>17645495480.604996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167.61881188118815</v>
      </c>
      <c r="L59" s="27">
        <f t="shared" si="7"/>
        <v>1.6761881188118814E-4</v>
      </c>
      <c r="M59" s="29">
        <f t="shared" si="8"/>
        <v>4.7762865441819992E-3</v>
      </c>
      <c r="N59" s="33">
        <f t="shared" si="9"/>
        <v>7.0625981325205248E-7</v>
      </c>
      <c r="O59" s="21">
        <f t="shared" si="10"/>
        <v>2.032E-3</v>
      </c>
      <c r="P59" s="21">
        <v>4.7360646624728548E-11</v>
      </c>
      <c r="Q59" s="2">
        <v>0.31</v>
      </c>
      <c r="R59" s="27">
        <f t="shared" si="11"/>
        <v>131000</v>
      </c>
      <c r="S59" s="2">
        <f t="shared" si="12"/>
        <v>5.1398579432804297E-3</v>
      </c>
      <c r="T59" s="11">
        <v>0.1</v>
      </c>
      <c r="U59" s="30">
        <f t="shared" si="13"/>
        <v>110000.00000000001</v>
      </c>
      <c r="V59" s="30">
        <f t="shared" si="1"/>
        <v>18.438069306930696</v>
      </c>
      <c r="W59" s="2">
        <f t="shared" si="14"/>
        <v>6.9999999999999991</v>
      </c>
      <c r="X59" s="2">
        <f t="shared" si="15"/>
        <v>7.4467521752213613E-7</v>
      </c>
      <c r="Y59" s="11">
        <f t="shared" si="16"/>
        <v>1313.6357399557603</v>
      </c>
      <c r="Z59" s="9">
        <f t="shared" si="17"/>
        <v>2.9513702953923241E-14</v>
      </c>
      <c r="AA59" s="9">
        <f t="shared" si="18"/>
        <v>17773151918.852577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160.63861386138615</v>
      </c>
      <c r="L60" s="27">
        <f t="shared" si="7"/>
        <v>1.6063861386138615E-4</v>
      </c>
      <c r="M60" s="29">
        <f t="shared" si="8"/>
        <v>4.7762865441819992E-3</v>
      </c>
      <c r="N60" s="33">
        <f t="shared" si="9"/>
        <v>6.7684883428972649E-7</v>
      </c>
      <c r="O60" s="21">
        <f t="shared" si="10"/>
        <v>2.032E-3</v>
      </c>
      <c r="P60" s="21">
        <v>4.7360646624728548E-11</v>
      </c>
      <c r="Q60" s="2">
        <v>0.31</v>
      </c>
      <c r="R60" s="27">
        <f t="shared" si="11"/>
        <v>131000</v>
      </c>
      <c r="S60" s="2">
        <f t="shared" si="12"/>
        <v>5.1398579432804297E-3</v>
      </c>
      <c r="T60" s="11">
        <v>0.1</v>
      </c>
      <c r="U60" s="30">
        <f t="shared" si="13"/>
        <v>110000.00000000001</v>
      </c>
      <c r="V60" s="30">
        <f t="shared" si="1"/>
        <v>17.67024752475248</v>
      </c>
      <c r="W60" s="2">
        <f t="shared" si="14"/>
        <v>6.9999999999999991</v>
      </c>
      <c r="X60" s="2">
        <f t="shared" si="15"/>
        <v>7.1315822928620639E-7</v>
      </c>
      <c r="Y60" s="11">
        <f t="shared" si="16"/>
        <v>1211.1461098701259</v>
      </c>
      <c r="Z60" s="9">
        <f t="shared" si="17"/>
        <v>2.8242271040589481E-14</v>
      </c>
      <c r="AA60" s="9">
        <f t="shared" si="18"/>
        <v>17007495620.642986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163.43564356435644</v>
      </c>
      <c r="L61" s="27">
        <f t="shared" si="7"/>
        <v>1.6343564356435645E-4</v>
      </c>
      <c r="M61" s="29">
        <f t="shared" si="8"/>
        <v>4.7762865441819992E-3</v>
      </c>
      <c r="N61" s="33">
        <f t="shared" si="9"/>
        <v>6.8863408472498475E-7</v>
      </c>
      <c r="O61" s="21">
        <f t="shared" si="10"/>
        <v>2.032E-3</v>
      </c>
      <c r="P61" s="21">
        <v>4.7360646624728548E-11</v>
      </c>
      <c r="Q61" s="2">
        <v>0.31</v>
      </c>
      <c r="R61" s="27">
        <f t="shared" si="11"/>
        <v>131000</v>
      </c>
      <c r="S61" s="2">
        <f t="shared" si="12"/>
        <v>5.1398579432804297E-3</v>
      </c>
      <c r="T61" s="11">
        <v>0.1</v>
      </c>
      <c r="U61" s="30">
        <f t="shared" si="13"/>
        <v>110000.00000000001</v>
      </c>
      <c r="V61" s="30">
        <f t="shared" si="1"/>
        <v>17.97792079207921</v>
      </c>
      <c r="W61" s="2">
        <f t="shared" si="14"/>
        <v>6.9999999999999991</v>
      </c>
      <c r="X61" s="2">
        <f t="shared" si="15"/>
        <v>7.2579276602349597E-7</v>
      </c>
      <c r="Y61" s="11">
        <f t="shared" si="16"/>
        <v>1251.7476216233322</v>
      </c>
      <c r="Z61" s="9">
        <f t="shared" si="17"/>
        <v>2.8751614339608984E-14</v>
      </c>
      <c r="AA61" s="9">
        <f t="shared" si="18"/>
        <v>17314222155.312531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155.66336633663369</v>
      </c>
      <c r="L62" s="27">
        <f t="shared" si="7"/>
        <v>1.5566336633663369E-4</v>
      </c>
      <c r="M62" s="29">
        <f t="shared" si="8"/>
        <v>4.7762865441819992E-3</v>
      </c>
      <c r="N62" s="33">
        <f t="shared" si="9"/>
        <v>6.5588568971019648E-7</v>
      </c>
      <c r="O62" s="21">
        <f t="shared" si="10"/>
        <v>2.032E-3</v>
      </c>
      <c r="P62" s="21">
        <v>4.7360646624728548E-11</v>
      </c>
      <c r="Q62" s="2">
        <v>0.31</v>
      </c>
      <c r="R62" s="27">
        <f t="shared" si="11"/>
        <v>131000</v>
      </c>
      <c r="S62" s="2">
        <f t="shared" si="12"/>
        <v>5.1398579432804297E-3</v>
      </c>
      <c r="T62" s="11">
        <v>0.1</v>
      </c>
      <c r="U62" s="30">
        <f t="shared" si="13"/>
        <v>110000.00000000001</v>
      </c>
      <c r="V62" s="30">
        <f t="shared" si="1"/>
        <v>17.12297029702971</v>
      </c>
      <c r="W62" s="2">
        <f t="shared" si="14"/>
        <v>6.9999999999999991</v>
      </c>
      <c r="X62" s="2">
        <f t="shared" si="15"/>
        <v>6.9066592645043769E-7</v>
      </c>
      <c r="Y62" s="11">
        <f t="shared" si="16"/>
        <v>1140.4728816314021</v>
      </c>
      <c r="Z62" s="9">
        <f t="shared" si="17"/>
        <v>2.7336652358079342E-14</v>
      </c>
      <c r="AA62" s="9">
        <f t="shared" si="18"/>
        <v>16462132050.035379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s="4" customFormat="1" x14ac:dyDescent="0.25">
      <c r="A63" s="26">
        <v>183</v>
      </c>
      <c r="B63" s="26">
        <f t="shared" si="2"/>
        <v>3.05</v>
      </c>
      <c r="C63" s="26">
        <v>20</v>
      </c>
      <c r="D63" s="26">
        <f t="shared" si="0"/>
        <v>29.146000000000001</v>
      </c>
      <c r="E63" s="26">
        <f t="shared" si="3"/>
        <v>4.8576666666666667E-7</v>
      </c>
      <c r="F63" s="26">
        <v>21.1</v>
      </c>
      <c r="G63" s="26">
        <f t="shared" si="4"/>
        <v>294.10000000000002</v>
      </c>
      <c r="H63" s="26">
        <v>101.3</v>
      </c>
      <c r="I63" s="26">
        <f t="shared" si="5"/>
        <v>101300</v>
      </c>
      <c r="J63" s="26">
        <f t="shared" si="6"/>
        <v>2.0124824921938581E-5</v>
      </c>
      <c r="K63" s="20">
        <v>156.38118811881188</v>
      </c>
      <c r="L63" s="27">
        <f t="shared" si="7"/>
        <v>1.5638118811881188E-4</v>
      </c>
      <c r="M63" s="29">
        <f t="shared" si="8"/>
        <v>4.7762865441819992E-3</v>
      </c>
      <c r="N63" s="33">
        <f t="shared" si="9"/>
        <v>6.5891022300774038E-7</v>
      </c>
      <c r="O63" s="21">
        <f t="shared" si="10"/>
        <v>2.032E-3</v>
      </c>
      <c r="P63" s="21">
        <v>4.7360646624728548E-11</v>
      </c>
      <c r="Q63" s="2">
        <v>0.31</v>
      </c>
      <c r="R63" s="27">
        <f t="shared" si="11"/>
        <v>131000</v>
      </c>
      <c r="S63" s="2">
        <f t="shared" si="12"/>
        <v>5.1398579432804297E-3</v>
      </c>
      <c r="T63" s="11">
        <v>0.1</v>
      </c>
      <c r="U63" s="30">
        <f t="shared" si="13"/>
        <v>110000.00000000001</v>
      </c>
      <c r="V63" s="30">
        <f t="shared" si="1"/>
        <v>17.201930693069308</v>
      </c>
      <c r="W63" s="2">
        <f t="shared" si="14"/>
        <v>6.9999999999999991</v>
      </c>
      <c r="X63" s="2">
        <f t="shared" si="15"/>
        <v>6.9391257781248218E-7</v>
      </c>
      <c r="Y63" s="11">
        <f t="shared" si="16"/>
        <v>1150.5470660420999</v>
      </c>
      <c r="Z63" s="9">
        <f t="shared" si="17"/>
        <v>2.7467286110367233E-14</v>
      </c>
      <c r="AA63" s="9">
        <f t="shared" si="18"/>
        <v>16540799695.663149</v>
      </c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s="4" customFormat="1" x14ac:dyDescent="0.25">
      <c r="A64" s="26">
        <v>186</v>
      </c>
      <c r="B64" s="26">
        <f t="shared" si="2"/>
        <v>3.1</v>
      </c>
      <c r="C64" s="26">
        <v>20</v>
      </c>
      <c r="D64" s="26">
        <f t="shared" si="0"/>
        <v>29.146000000000001</v>
      </c>
      <c r="E64" s="26">
        <f t="shared" si="3"/>
        <v>4.8576666666666667E-7</v>
      </c>
      <c r="F64" s="26">
        <v>21.1</v>
      </c>
      <c r="G64" s="26">
        <f t="shared" si="4"/>
        <v>294.10000000000002</v>
      </c>
      <c r="H64" s="26">
        <v>101.3</v>
      </c>
      <c r="I64" s="26">
        <f t="shared" si="5"/>
        <v>101300</v>
      </c>
      <c r="J64" s="26">
        <f t="shared" si="6"/>
        <v>2.0124824921938581E-5</v>
      </c>
      <c r="K64" s="20">
        <v>153.16336633663369</v>
      </c>
      <c r="L64" s="27">
        <f t="shared" si="7"/>
        <v>1.5316336633663369E-4</v>
      </c>
      <c r="M64" s="29">
        <f t="shared" si="8"/>
        <v>4.7762865441819992E-3</v>
      </c>
      <c r="N64" s="33">
        <f t="shared" si="9"/>
        <v>6.4535197029461155E-7</v>
      </c>
      <c r="O64" s="21">
        <f t="shared" si="10"/>
        <v>2.032E-3</v>
      </c>
      <c r="P64" s="21">
        <v>4.7360646624728548E-11</v>
      </c>
      <c r="Q64" s="2">
        <v>0.31</v>
      </c>
      <c r="R64" s="27">
        <f t="shared" si="11"/>
        <v>131000</v>
      </c>
      <c r="S64" s="2">
        <f t="shared" si="12"/>
        <v>5.1398579432804297E-3</v>
      </c>
      <c r="T64" s="11">
        <v>0.1</v>
      </c>
      <c r="U64" s="30">
        <f t="shared" si="13"/>
        <v>110000.00000000001</v>
      </c>
      <c r="V64" s="30">
        <f t="shared" si="1"/>
        <v>16.847970297029708</v>
      </c>
      <c r="W64" s="2">
        <f t="shared" si="14"/>
        <v>6.9999999999999991</v>
      </c>
      <c r="X64" s="2">
        <f t="shared" si="15"/>
        <v>6.7935459783993815E-7</v>
      </c>
      <c r="Y64" s="11">
        <f t="shared" si="16"/>
        <v>1105.7097613731628</v>
      </c>
      <c r="Z64" s="9">
        <f t="shared" si="17"/>
        <v>2.6881752227884537E-14</v>
      </c>
      <c r="AA64" s="9">
        <f t="shared" si="18"/>
        <v>16188191191.632069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s="4" customFormat="1" x14ac:dyDescent="0.25">
      <c r="A65" s="26">
        <v>189</v>
      </c>
      <c r="B65" s="26">
        <f t="shared" si="2"/>
        <v>3.15</v>
      </c>
      <c r="C65" s="26">
        <v>20</v>
      </c>
      <c r="D65" s="26">
        <f t="shared" si="0"/>
        <v>29.146000000000001</v>
      </c>
      <c r="E65" s="26">
        <f t="shared" si="3"/>
        <v>4.8576666666666667E-7</v>
      </c>
      <c r="F65" s="26">
        <v>21.1</v>
      </c>
      <c r="G65" s="26">
        <f t="shared" si="4"/>
        <v>294.10000000000002</v>
      </c>
      <c r="H65" s="26">
        <v>101.3</v>
      </c>
      <c r="I65" s="26">
        <f t="shared" si="5"/>
        <v>101300</v>
      </c>
      <c r="J65" s="26">
        <f t="shared" si="6"/>
        <v>2.0124824921938581E-5</v>
      </c>
      <c r="K65" s="20">
        <v>153.980198019802</v>
      </c>
      <c r="L65" s="27">
        <f t="shared" si="7"/>
        <v>1.5398019801980201E-4</v>
      </c>
      <c r="M65" s="29">
        <f t="shared" si="8"/>
        <v>4.7762865441819992E-3</v>
      </c>
      <c r="N65" s="33">
        <f t="shared" si="9"/>
        <v>6.4879368059871358E-7</v>
      </c>
      <c r="O65" s="21">
        <f t="shared" si="10"/>
        <v>2.032E-3</v>
      </c>
      <c r="P65" s="21">
        <v>4.7360646624728548E-11</v>
      </c>
      <c r="Q65" s="2">
        <v>0.31</v>
      </c>
      <c r="R65" s="27">
        <f t="shared" si="11"/>
        <v>131000</v>
      </c>
      <c r="S65" s="2">
        <f t="shared" si="12"/>
        <v>5.1398579432804297E-3</v>
      </c>
      <c r="T65" s="11">
        <v>0.1</v>
      </c>
      <c r="U65" s="30">
        <f t="shared" si="13"/>
        <v>110000.00000000001</v>
      </c>
      <c r="V65" s="30">
        <f t="shared" si="1"/>
        <v>16.937821782178222</v>
      </c>
      <c r="W65" s="2">
        <f t="shared" si="14"/>
        <v>6.9999999999999991</v>
      </c>
      <c r="X65" s="2">
        <f t="shared" si="15"/>
        <v>6.8305107182382979E-7</v>
      </c>
      <c r="Y65" s="11">
        <f t="shared" si="16"/>
        <v>1117.0128063764218</v>
      </c>
      <c r="Z65" s="9">
        <f t="shared" si="17"/>
        <v>2.7030372129847965E-14</v>
      </c>
      <c r="AA65" s="9">
        <f t="shared" si="18"/>
        <v>16277690096.594444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s="4" customFormat="1" x14ac:dyDescent="0.25">
      <c r="A66" s="26">
        <v>192</v>
      </c>
      <c r="B66" s="26">
        <f t="shared" si="2"/>
        <v>3.2</v>
      </c>
      <c r="C66" s="26">
        <v>20</v>
      </c>
      <c r="D66" s="26">
        <f t="shared" ref="D66:D87" si="19">(C66*1.4573)</f>
        <v>29.146000000000001</v>
      </c>
      <c r="E66" s="26">
        <f t="shared" si="3"/>
        <v>4.8576666666666667E-7</v>
      </c>
      <c r="F66" s="26">
        <v>21.1</v>
      </c>
      <c r="G66" s="26">
        <f t="shared" si="4"/>
        <v>294.10000000000002</v>
      </c>
      <c r="H66" s="26">
        <v>101.3</v>
      </c>
      <c r="I66" s="26">
        <f t="shared" si="5"/>
        <v>101300</v>
      </c>
      <c r="J66" s="26">
        <f t="shared" si="6"/>
        <v>2.0124824921938581E-5</v>
      </c>
      <c r="K66" s="20">
        <v>153.01485148514854</v>
      </c>
      <c r="L66" s="27">
        <f t="shared" si="7"/>
        <v>1.5301485148514854E-4</v>
      </c>
      <c r="M66" s="29">
        <f t="shared" si="8"/>
        <v>4.7762865441819992E-3</v>
      </c>
      <c r="N66" s="33">
        <f t="shared" si="9"/>
        <v>6.4472620478477489E-7</v>
      </c>
      <c r="O66" s="21">
        <f t="shared" si="10"/>
        <v>2.032E-3</v>
      </c>
      <c r="P66" s="21">
        <v>4.7360646624728548E-11</v>
      </c>
      <c r="Q66" s="2">
        <v>0.31</v>
      </c>
      <c r="R66" s="27">
        <f t="shared" si="11"/>
        <v>131000</v>
      </c>
      <c r="S66" s="2">
        <f t="shared" si="12"/>
        <v>5.1398579432804297E-3</v>
      </c>
      <c r="T66" s="11">
        <v>0.1</v>
      </c>
      <c r="U66" s="30">
        <f t="shared" si="13"/>
        <v>110000.00000000001</v>
      </c>
      <c r="V66" s="30">
        <f t="shared" ref="V66:V87" si="20">(L66*U66)</f>
        <v>16.831633663366343</v>
      </c>
      <c r="W66" s="2">
        <f t="shared" si="14"/>
        <v>6.9999999999999991</v>
      </c>
      <c r="X66" s="2">
        <f t="shared" si="15"/>
        <v>6.7868243873615802E-7</v>
      </c>
      <c r="Y66" s="11">
        <f t="shared" si="16"/>
        <v>1103.6604219246587</v>
      </c>
      <c r="Z66" s="9">
        <f t="shared" si="17"/>
        <v>2.6854731511554901E-14</v>
      </c>
      <c r="AA66" s="9">
        <f t="shared" si="18"/>
        <v>16171919316.258362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s="4" customFormat="1" x14ac:dyDescent="0.25">
      <c r="A67" s="26">
        <v>195</v>
      </c>
      <c r="B67" s="26">
        <f t="shared" ref="B67:B87" si="21">(A67/60)</f>
        <v>3.25</v>
      </c>
      <c r="C67" s="26">
        <v>20</v>
      </c>
      <c r="D67" s="26">
        <f t="shared" si="19"/>
        <v>29.146000000000001</v>
      </c>
      <c r="E67" s="26">
        <f t="shared" ref="E67:E87" si="22">(D67/(1000000*60))</f>
        <v>4.8576666666666667E-7</v>
      </c>
      <c r="F67" s="26">
        <v>21.1</v>
      </c>
      <c r="G67" s="26">
        <f t="shared" ref="G67:G87" si="23">(273+F67)</f>
        <v>294.10000000000002</v>
      </c>
      <c r="H67" s="26">
        <v>101.3</v>
      </c>
      <c r="I67" s="26">
        <f t="shared" ref="I67:I87" si="24">(H67*1000)</f>
        <v>101300</v>
      </c>
      <c r="J67" s="26">
        <f t="shared" ref="J67:J87" si="25">((I67*E67)/(8.314*G67))</f>
        <v>2.0124824921938581E-5</v>
      </c>
      <c r="K67" s="20">
        <v>156.28217821782181</v>
      </c>
      <c r="L67" s="27">
        <f t="shared" ref="L67:L87" si="26">(K67/1000000)</f>
        <v>1.5628217821782181E-4</v>
      </c>
      <c r="M67" s="29">
        <f t="shared" ref="M67:M87" si="27">(3.142*3.07*3.07*25.4*25.4)/(4*1000000)</f>
        <v>4.7762865441819992E-3</v>
      </c>
      <c r="N67" s="33">
        <f t="shared" ref="N67:N87" si="28">(L67*J67)/M67</f>
        <v>6.5849304600118278E-7</v>
      </c>
      <c r="O67" s="21">
        <f t="shared" ref="O67:O87" si="29">(2.032/1000)</f>
        <v>2.032E-3</v>
      </c>
      <c r="P67" s="21">
        <v>4.7360646624728548E-11</v>
      </c>
      <c r="Q67" s="2">
        <v>0.31</v>
      </c>
      <c r="R67" s="27">
        <f t="shared" ref="R67:R87" si="30">(1+Q67)*100000*1</f>
        <v>131000</v>
      </c>
      <c r="S67" s="2">
        <f t="shared" ref="S67:S87" si="31">(5.13985794328043/1000)</f>
        <v>5.1398579432804297E-3</v>
      </c>
      <c r="T67" s="11">
        <v>0.1</v>
      </c>
      <c r="U67" s="30">
        <f t="shared" ref="U67:U87" si="32">(1+T67)*100000</f>
        <v>110000.00000000001</v>
      </c>
      <c r="V67" s="30">
        <f t="shared" si="20"/>
        <v>17.191039603960402</v>
      </c>
      <c r="W67" s="2">
        <f t="shared" ref="W67:W87" si="33">(70/1000000)*100000</f>
        <v>6.9999999999999991</v>
      </c>
      <c r="X67" s="2">
        <f t="shared" ref="X67:X87" si="34">(N67+((P67/O67)*(SQRT(V67)-SQRT(W67))))</f>
        <v>6.9346479418417703E-7</v>
      </c>
      <c r="Y67" s="11">
        <f t="shared" ref="Y67:Y87" si="35">((X67*O67/P67) + SQRT(V67))^2</f>
        <v>1149.1550662447105</v>
      </c>
      <c r="Z67" s="9">
        <f t="shared" ref="Z67:Z87" si="36">(X67*S67)/(R67-Y67)</f>
        <v>2.7449267138702404E-14</v>
      </c>
      <c r="AA67" s="9">
        <f t="shared" ref="AA67:AA87" si="37">(Z67*6.022E+23)</f>
        <v>16529948670.926588</v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s="4" customFormat="1" x14ac:dyDescent="0.25">
      <c r="A68" s="26">
        <v>198</v>
      </c>
      <c r="B68" s="26">
        <f t="shared" si="21"/>
        <v>3.3</v>
      </c>
      <c r="C68" s="26">
        <v>20</v>
      </c>
      <c r="D68" s="26">
        <f t="shared" si="19"/>
        <v>29.146000000000001</v>
      </c>
      <c r="E68" s="26">
        <f t="shared" si="22"/>
        <v>4.8576666666666667E-7</v>
      </c>
      <c r="F68" s="26">
        <v>21.1</v>
      </c>
      <c r="G68" s="26">
        <f t="shared" si="23"/>
        <v>294.10000000000002</v>
      </c>
      <c r="H68" s="26">
        <v>101.3</v>
      </c>
      <c r="I68" s="26">
        <f t="shared" si="24"/>
        <v>101300</v>
      </c>
      <c r="J68" s="26">
        <f t="shared" si="25"/>
        <v>2.0124824921938581E-5</v>
      </c>
      <c r="K68" s="20">
        <v>155.19306930693071</v>
      </c>
      <c r="L68" s="27">
        <f t="shared" si="26"/>
        <v>1.5519306930693072E-4</v>
      </c>
      <c r="M68" s="29">
        <f t="shared" si="27"/>
        <v>4.7762865441819992E-3</v>
      </c>
      <c r="N68" s="33">
        <f t="shared" si="28"/>
        <v>6.5390409892904674E-7</v>
      </c>
      <c r="O68" s="21">
        <f t="shared" si="29"/>
        <v>2.032E-3</v>
      </c>
      <c r="P68" s="21">
        <v>4.7360646624728548E-11</v>
      </c>
      <c r="Q68" s="2">
        <v>0.31</v>
      </c>
      <c r="R68" s="27">
        <f t="shared" si="30"/>
        <v>131000</v>
      </c>
      <c r="S68" s="2">
        <f t="shared" si="31"/>
        <v>5.1398579432804297E-3</v>
      </c>
      <c r="T68" s="11">
        <v>0.1</v>
      </c>
      <c r="U68" s="30">
        <f t="shared" si="32"/>
        <v>110000.00000000001</v>
      </c>
      <c r="V68" s="30">
        <f t="shared" si="20"/>
        <v>17.071237623762382</v>
      </c>
      <c r="W68" s="2">
        <f t="shared" si="33"/>
        <v>6.9999999999999991</v>
      </c>
      <c r="X68" s="2">
        <f t="shared" si="34"/>
        <v>6.8853853225533127E-7</v>
      </c>
      <c r="Y68" s="11">
        <f t="shared" si="35"/>
        <v>1133.8949679760831</v>
      </c>
      <c r="Z68" s="9">
        <f t="shared" si="36"/>
        <v>2.7251069425655963E-14</v>
      </c>
      <c r="AA68" s="9">
        <f t="shared" si="37"/>
        <v>16410594008.130022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s="4" customFormat="1" x14ac:dyDescent="0.25">
      <c r="A69" s="26">
        <v>201</v>
      </c>
      <c r="B69" s="26">
        <f t="shared" si="21"/>
        <v>3.35</v>
      </c>
      <c r="C69" s="26">
        <v>20</v>
      </c>
      <c r="D69" s="26">
        <f t="shared" si="19"/>
        <v>29.146000000000001</v>
      </c>
      <c r="E69" s="26">
        <f t="shared" si="22"/>
        <v>4.8576666666666667E-7</v>
      </c>
      <c r="F69" s="26">
        <v>21.1</v>
      </c>
      <c r="G69" s="26">
        <f t="shared" si="23"/>
        <v>294.10000000000002</v>
      </c>
      <c r="H69" s="26">
        <v>101.3</v>
      </c>
      <c r="I69" s="26">
        <f t="shared" si="24"/>
        <v>101300</v>
      </c>
      <c r="J69" s="26">
        <f t="shared" si="25"/>
        <v>2.0124824921938581E-5</v>
      </c>
      <c r="K69" s="20">
        <v>162.49504950495052</v>
      </c>
      <c r="L69" s="27">
        <f t="shared" si="26"/>
        <v>1.6249504950495051E-4</v>
      </c>
      <c r="M69" s="29">
        <f t="shared" si="27"/>
        <v>4.7762865441819992E-3</v>
      </c>
      <c r="N69" s="33">
        <f t="shared" si="28"/>
        <v>6.8467090316268559E-7</v>
      </c>
      <c r="O69" s="21">
        <f t="shared" si="29"/>
        <v>2.032E-3</v>
      </c>
      <c r="P69" s="21">
        <v>4.7360646624728548E-11</v>
      </c>
      <c r="Q69" s="2">
        <v>0.31</v>
      </c>
      <c r="R69" s="27">
        <f t="shared" si="30"/>
        <v>131000</v>
      </c>
      <c r="S69" s="2">
        <f t="shared" si="31"/>
        <v>5.1398579432804297E-3</v>
      </c>
      <c r="T69" s="11">
        <v>0.1</v>
      </c>
      <c r="U69" s="30">
        <f t="shared" si="32"/>
        <v>110000.00000000001</v>
      </c>
      <c r="V69" s="30">
        <f t="shared" si="20"/>
        <v>17.874455445544559</v>
      </c>
      <c r="W69" s="2">
        <f t="shared" si="33"/>
        <v>6.9999999999999991</v>
      </c>
      <c r="X69" s="2">
        <f t="shared" si="34"/>
        <v>7.2154480063677511E-7</v>
      </c>
      <c r="Y69" s="11">
        <f t="shared" si="35"/>
        <v>1238.0242476706121</v>
      </c>
      <c r="Z69" s="9">
        <f t="shared" si="36"/>
        <v>2.8580312171449411E-14</v>
      </c>
      <c r="AA69" s="9">
        <f t="shared" si="37"/>
        <v>17211063989.646835</v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s="4" customFormat="1" x14ac:dyDescent="0.25">
      <c r="A70" s="26">
        <v>204</v>
      </c>
      <c r="B70" s="26">
        <f t="shared" si="21"/>
        <v>3.4</v>
      </c>
      <c r="C70" s="26">
        <v>20</v>
      </c>
      <c r="D70" s="26">
        <f t="shared" si="19"/>
        <v>29.146000000000001</v>
      </c>
      <c r="E70" s="26">
        <f t="shared" si="22"/>
        <v>4.8576666666666667E-7</v>
      </c>
      <c r="F70" s="26">
        <v>21.1</v>
      </c>
      <c r="G70" s="26">
        <f t="shared" si="23"/>
        <v>294.10000000000002</v>
      </c>
      <c r="H70" s="26">
        <v>101.3</v>
      </c>
      <c r="I70" s="26">
        <f t="shared" si="24"/>
        <v>101300</v>
      </c>
      <c r="J70" s="26">
        <f t="shared" si="25"/>
        <v>2.0124824921938581E-5</v>
      </c>
      <c r="K70" s="20">
        <v>160.73762376237624</v>
      </c>
      <c r="L70" s="27">
        <f t="shared" si="26"/>
        <v>1.6073762376237624E-4</v>
      </c>
      <c r="M70" s="29">
        <f t="shared" si="27"/>
        <v>4.7762865441819992E-3</v>
      </c>
      <c r="N70" s="33">
        <f t="shared" si="28"/>
        <v>6.772660112962843E-7</v>
      </c>
      <c r="O70" s="21">
        <f t="shared" si="29"/>
        <v>2.032E-3</v>
      </c>
      <c r="P70" s="21">
        <v>4.7360646624728548E-11</v>
      </c>
      <c r="Q70" s="2">
        <v>0.31</v>
      </c>
      <c r="R70" s="27">
        <f t="shared" si="30"/>
        <v>131000</v>
      </c>
      <c r="S70" s="2">
        <f t="shared" si="31"/>
        <v>5.1398579432804297E-3</v>
      </c>
      <c r="T70" s="11">
        <v>0.1</v>
      </c>
      <c r="U70" s="30">
        <f t="shared" si="32"/>
        <v>110000.00000000001</v>
      </c>
      <c r="V70" s="30">
        <f t="shared" si="20"/>
        <v>17.681138613861389</v>
      </c>
      <c r="W70" s="2">
        <f t="shared" si="33"/>
        <v>6.9999999999999991</v>
      </c>
      <c r="X70" s="2">
        <f t="shared" si="34"/>
        <v>7.1360559517370994E-7</v>
      </c>
      <c r="Y70" s="11">
        <f t="shared" si="35"/>
        <v>1212.5726544823372</v>
      </c>
      <c r="Z70" s="9">
        <f t="shared" si="36"/>
        <v>2.8260298102361794E-14</v>
      </c>
      <c r="AA70" s="9">
        <f t="shared" si="37"/>
        <v>17018351517.242273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s="4" customFormat="1" x14ac:dyDescent="0.25">
      <c r="A71" s="26">
        <v>207</v>
      </c>
      <c r="B71" s="26">
        <f t="shared" si="21"/>
        <v>3.45</v>
      </c>
      <c r="C71" s="26">
        <v>20</v>
      </c>
      <c r="D71" s="26">
        <f t="shared" si="19"/>
        <v>29.146000000000001</v>
      </c>
      <c r="E71" s="26">
        <f t="shared" si="22"/>
        <v>4.8576666666666667E-7</v>
      </c>
      <c r="F71" s="26">
        <v>21.1</v>
      </c>
      <c r="G71" s="26">
        <f t="shared" si="23"/>
        <v>294.10000000000002</v>
      </c>
      <c r="H71" s="26">
        <v>101.3</v>
      </c>
      <c r="I71" s="26">
        <f t="shared" si="24"/>
        <v>101300</v>
      </c>
      <c r="J71" s="26">
        <f t="shared" si="25"/>
        <v>2.0124824921938581E-5</v>
      </c>
      <c r="K71" s="20">
        <v>165.44059405940595</v>
      </c>
      <c r="L71" s="27">
        <f t="shared" si="26"/>
        <v>1.6544059405940596E-4</v>
      </c>
      <c r="M71" s="29">
        <f t="shared" si="27"/>
        <v>4.7762865441819992E-3</v>
      </c>
      <c r="N71" s="33">
        <f t="shared" si="28"/>
        <v>6.9708191910778051E-7</v>
      </c>
      <c r="O71" s="21">
        <f t="shared" si="29"/>
        <v>2.032E-3</v>
      </c>
      <c r="P71" s="21">
        <v>4.7360646624728548E-11</v>
      </c>
      <c r="Q71" s="2">
        <v>0.31</v>
      </c>
      <c r="R71" s="27">
        <f t="shared" si="30"/>
        <v>131000</v>
      </c>
      <c r="S71" s="2">
        <f t="shared" si="31"/>
        <v>5.1398579432804297E-3</v>
      </c>
      <c r="T71" s="11">
        <v>0.1</v>
      </c>
      <c r="U71" s="30">
        <f t="shared" si="32"/>
        <v>110000.00000000001</v>
      </c>
      <c r="V71" s="30">
        <f t="shared" si="20"/>
        <v>18.198465346534658</v>
      </c>
      <c r="W71" s="2">
        <f t="shared" si="33"/>
        <v>6.9999999999999991</v>
      </c>
      <c r="X71" s="2">
        <f t="shared" si="34"/>
        <v>7.3484491723453075E-7</v>
      </c>
      <c r="Y71" s="11">
        <f t="shared" si="35"/>
        <v>1281.235817517439</v>
      </c>
      <c r="Z71" s="9">
        <f t="shared" si="36"/>
        <v>2.9116824452735614E-14</v>
      </c>
      <c r="AA71" s="9">
        <f t="shared" si="37"/>
        <v>17534151685.437389</v>
      </c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s="4" customFormat="1" x14ac:dyDescent="0.25">
      <c r="A72" s="26">
        <v>210</v>
      </c>
      <c r="B72" s="26">
        <f t="shared" si="21"/>
        <v>3.5</v>
      </c>
      <c r="C72" s="26">
        <v>20</v>
      </c>
      <c r="D72" s="26">
        <f t="shared" si="19"/>
        <v>29.146000000000001</v>
      </c>
      <c r="E72" s="26">
        <f t="shared" si="22"/>
        <v>4.8576666666666667E-7</v>
      </c>
      <c r="F72" s="26">
        <v>21.1</v>
      </c>
      <c r="G72" s="26">
        <f t="shared" si="23"/>
        <v>294.10000000000002</v>
      </c>
      <c r="H72" s="26">
        <v>101.3</v>
      </c>
      <c r="I72" s="26">
        <f t="shared" si="24"/>
        <v>101300</v>
      </c>
      <c r="J72" s="26">
        <f t="shared" si="25"/>
        <v>2.0124824921938581E-5</v>
      </c>
      <c r="K72" s="20">
        <v>161.92574257425744</v>
      </c>
      <c r="L72" s="27">
        <f t="shared" si="26"/>
        <v>1.6192574257425745E-4</v>
      </c>
      <c r="M72" s="29">
        <f t="shared" si="27"/>
        <v>4.7762865441819992E-3</v>
      </c>
      <c r="N72" s="33">
        <f t="shared" si="28"/>
        <v>6.8227213537497815E-7</v>
      </c>
      <c r="O72" s="21">
        <f t="shared" si="29"/>
        <v>2.032E-3</v>
      </c>
      <c r="P72" s="21">
        <v>4.7360646624728548E-11</v>
      </c>
      <c r="Q72" s="2">
        <v>0.31</v>
      </c>
      <c r="R72" s="27">
        <f t="shared" si="30"/>
        <v>131000</v>
      </c>
      <c r="S72" s="2">
        <f t="shared" si="31"/>
        <v>5.1398579432804297E-3</v>
      </c>
      <c r="T72" s="11">
        <v>0.1</v>
      </c>
      <c r="U72" s="30">
        <f t="shared" si="32"/>
        <v>110000.00000000001</v>
      </c>
      <c r="V72" s="30">
        <f t="shared" si="20"/>
        <v>17.811831683168322</v>
      </c>
      <c r="W72" s="2">
        <f t="shared" si="33"/>
        <v>6.9999999999999991</v>
      </c>
      <c r="X72" s="2">
        <f t="shared" si="34"/>
        <v>7.1897326315575053E-7</v>
      </c>
      <c r="Y72" s="11">
        <f t="shared" si="35"/>
        <v>1229.7523318090662</v>
      </c>
      <c r="Z72" s="9">
        <f t="shared" si="36"/>
        <v>2.8476638551897826E-14</v>
      </c>
      <c r="AA72" s="9">
        <f t="shared" si="37"/>
        <v>17148631735.952871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s="4" customFormat="1" x14ac:dyDescent="0.25">
      <c r="A73" s="26">
        <v>213</v>
      </c>
      <c r="B73" s="26">
        <f t="shared" si="21"/>
        <v>3.55</v>
      </c>
      <c r="C73" s="26">
        <v>20</v>
      </c>
      <c r="D73" s="26">
        <f t="shared" si="19"/>
        <v>29.146000000000001</v>
      </c>
      <c r="E73" s="26">
        <f t="shared" si="22"/>
        <v>4.8576666666666667E-7</v>
      </c>
      <c r="F73" s="26">
        <v>21.1</v>
      </c>
      <c r="G73" s="26">
        <f t="shared" si="23"/>
        <v>294.10000000000002</v>
      </c>
      <c r="H73" s="26">
        <v>101.3</v>
      </c>
      <c r="I73" s="26">
        <f t="shared" si="24"/>
        <v>101300</v>
      </c>
      <c r="J73" s="26">
        <f t="shared" si="25"/>
        <v>2.0124824921938581E-5</v>
      </c>
      <c r="K73" s="20">
        <v>160.29207920792081</v>
      </c>
      <c r="L73" s="27">
        <f t="shared" si="26"/>
        <v>1.602920792079208E-4</v>
      </c>
      <c r="M73" s="29">
        <f t="shared" si="27"/>
        <v>4.7762865441819992E-3</v>
      </c>
      <c r="N73" s="33">
        <f t="shared" si="28"/>
        <v>6.753887147667742E-7</v>
      </c>
      <c r="O73" s="21">
        <f t="shared" si="29"/>
        <v>2.032E-3</v>
      </c>
      <c r="P73" s="21">
        <v>4.7360646624728548E-11</v>
      </c>
      <c r="Q73" s="2">
        <v>0.31</v>
      </c>
      <c r="R73" s="27">
        <f t="shared" si="30"/>
        <v>131000</v>
      </c>
      <c r="S73" s="2">
        <f t="shared" si="31"/>
        <v>5.1398579432804297E-3</v>
      </c>
      <c r="T73" s="11">
        <v>0.1</v>
      </c>
      <c r="U73" s="30">
        <f t="shared" si="32"/>
        <v>110000.00000000001</v>
      </c>
      <c r="V73" s="30">
        <f t="shared" si="20"/>
        <v>17.632128712871289</v>
      </c>
      <c r="W73" s="2">
        <f t="shared" si="33"/>
        <v>6.9999999999999991</v>
      </c>
      <c r="X73" s="2">
        <f t="shared" si="34"/>
        <v>7.1159237534716627E-7</v>
      </c>
      <c r="Y73" s="11">
        <f t="shared" si="35"/>
        <v>1206.1593787367799</v>
      </c>
      <c r="Z73" s="9">
        <f t="shared" si="36"/>
        <v>2.8179177881625466E-14</v>
      </c>
      <c r="AA73" s="9">
        <f t="shared" si="37"/>
        <v>16969500920.314856</v>
      </c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s="4" customFormat="1" x14ac:dyDescent="0.25">
      <c r="A74" s="26">
        <v>216</v>
      </c>
      <c r="B74" s="26">
        <f t="shared" si="21"/>
        <v>3.6</v>
      </c>
      <c r="C74" s="26">
        <v>20</v>
      </c>
      <c r="D74" s="26">
        <f t="shared" si="19"/>
        <v>29.146000000000001</v>
      </c>
      <c r="E74" s="26">
        <f t="shared" si="22"/>
        <v>4.8576666666666667E-7</v>
      </c>
      <c r="F74" s="26">
        <v>21.1</v>
      </c>
      <c r="G74" s="26">
        <f t="shared" si="23"/>
        <v>294.10000000000002</v>
      </c>
      <c r="H74" s="26">
        <v>101.3</v>
      </c>
      <c r="I74" s="26">
        <f t="shared" si="24"/>
        <v>101300</v>
      </c>
      <c r="J74" s="26">
        <f t="shared" si="25"/>
        <v>2.0124824921938581E-5</v>
      </c>
      <c r="K74" s="20">
        <v>166.05940594059408</v>
      </c>
      <c r="L74" s="27">
        <f t="shared" si="26"/>
        <v>1.6605940594059408E-4</v>
      </c>
      <c r="M74" s="29">
        <f t="shared" si="27"/>
        <v>4.7762865441819992E-3</v>
      </c>
      <c r="N74" s="33">
        <f t="shared" si="28"/>
        <v>6.9968927539876692E-7</v>
      </c>
      <c r="O74" s="21">
        <f t="shared" si="29"/>
        <v>2.032E-3</v>
      </c>
      <c r="P74" s="21">
        <v>4.7360646624728548E-11</v>
      </c>
      <c r="Q74" s="2">
        <v>0.31</v>
      </c>
      <c r="R74" s="27">
        <f t="shared" si="30"/>
        <v>131000</v>
      </c>
      <c r="S74" s="2">
        <f t="shared" si="31"/>
        <v>5.1398579432804297E-3</v>
      </c>
      <c r="T74" s="11">
        <v>0.1</v>
      </c>
      <c r="U74" s="30">
        <f t="shared" si="32"/>
        <v>110000.00000000001</v>
      </c>
      <c r="V74" s="30">
        <f t="shared" si="20"/>
        <v>18.266534653465349</v>
      </c>
      <c r="W74" s="2">
        <f t="shared" si="33"/>
        <v>6.9999999999999991</v>
      </c>
      <c r="X74" s="2">
        <f t="shared" si="34"/>
        <v>7.3763805069034445E-7</v>
      </c>
      <c r="Y74" s="11">
        <f t="shared" si="35"/>
        <v>1290.4018787241682</v>
      </c>
      <c r="Z74" s="9">
        <f t="shared" si="36"/>
        <v>2.9229562414971175E-14</v>
      </c>
      <c r="AA74" s="9">
        <f t="shared" si="37"/>
        <v>17602042486.295643</v>
      </c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s="4" customFormat="1" x14ac:dyDescent="0.25">
      <c r="A75" s="26">
        <v>219</v>
      </c>
      <c r="B75" s="26">
        <f t="shared" si="21"/>
        <v>3.65</v>
      </c>
      <c r="C75" s="26">
        <v>20</v>
      </c>
      <c r="D75" s="26">
        <f t="shared" si="19"/>
        <v>29.146000000000001</v>
      </c>
      <c r="E75" s="26">
        <f t="shared" si="22"/>
        <v>4.8576666666666667E-7</v>
      </c>
      <c r="F75" s="26">
        <v>21.1</v>
      </c>
      <c r="G75" s="26">
        <f t="shared" si="23"/>
        <v>294.10000000000002</v>
      </c>
      <c r="H75" s="26">
        <v>101.3</v>
      </c>
      <c r="I75" s="26">
        <f t="shared" si="24"/>
        <v>101300</v>
      </c>
      <c r="J75" s="26">
        <f t="shared" si="25"/>
        <v>2.0124824921938581E-5</v>
      </c>
      <c r="K75" s="20">
        <v>160.78712871287129</v>
      </c>
      <c r="L75" s="27">
        <f t="shared" si="26"/>
        <v>1.607871287128713E-4</v>
      </c>
      <c r="M75" s="29">
        <f t="shared" si="27"/>
        <v>4.7762865441819992E-3</v>
      </c>
      <c r="N75" s="33">
        <f t="shared" si="28"/>
        <v>6.7747459979956326E-7</v>
      </c>
      <c r="O75" s="21">
        <f t="shared" si="29"/>
        <v>2.032E-3</v>
      </c>
      <c r="P75" s="21">
        <v>4.7360646624728548E-11</v>
      </c>
      <c r="Q75" s="2">
        <v>0.31</v>
      </c>
      <c r="R75" s="27">
        <f t="shared" si="30"/>
        <v>131000</v>
      </c>
      <c r="S75" s="2">
        <f t="shared" si="31"/>
        <v>5.1398579432804297E-3</v>
      </c>
      <c r="T75" s="11">
        <v>0.1</v>
      </c>
      <c r="U75" s="30">
        <f t="shared" si="32"/>
        <v>110000.00000000001</v>
      </c>
      <c r="V75" s="30">
        <f t="shared" si="20"/>
        <v>17.686584158415844</v>
      </c>
      <c r="W75" s="2">
        <f t="shared" si="33"/>
        <v>6.9999999999999991</v>
      </c>
      <c r="X75" s="2">
        <f t="shared" si="34"/>
        <v>7.1382927463080348E-7</v>
      </c>
      <c r="Y75" s="11">
        <f t="shared" si="35"/>
        <v>1213.286220807264</v>
      </c>
      <c r="Z75" s="9">
        <f t="shared" si="36"/>
        <v>2.8269311707817119E-14</v>
      </c>
      <c r="AA75" s="9">
        <f t="shared" si="37"/>
        <v>17023779510.44747</v>
      </c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s="4" customFormat="1" x14ac:dyDescent="0.25">
      <c r="A76" s="26">
        <v>222</v>
      </c>
      <c r="B76" s="26">
        <f t="shared" si="21"/>
        <v>3.7</v>
      </c>
      <c r="C76" s="26">
        <v>20</v>
      </c>
      <c r="D76" s="26">
        <f t="shared" si="19"/>
        <v>29.146000000000001</v>
      </c>
      <c r="E76" s="26">
        <f t="shared" si="22"/>
        <v>4.8576666666666667E-7</v>
      </c>
      <c r="F76" s="26">
        <v>21.1</v>
      </c>
      <c r="G76" s="26">
        <f t="shared" si="23"/>
        <v>294.10000000000002</v>
      </c>
      <c r="H76" s="26">
        <v>101.3</v>
      </c>
      <c r="I76" s="26">
        <f t="shared" si="24"/>
        <v>101300</v>
      </c>
      <c r="J76" s="26">
        <f t="shared" si="25"/>
        <v>2.0124824921938581E-5</v>
      </c>
      <c r="K76" s="20">
        <v>155.66336633663369</v>
      </c>
      <c r="L76" s="27">
        <f t="shared" si="26"/>
        <v>1.5566336633663369E-4</v>
      </c>
      <c r="M76" s="29">
        <f t="shared" si="27"/>
        <v>4.7762865441819992E-3</v>
      </c>
      <c r="N76" s="33">
        <f t="shared" si="28"/>
        <v>6.5588568971019648E-7</v>
      </c>
      <c r="O76" s="21">
        <f t="shared" si="29"/>
        <v>2.032E-3</v>
      </c>
      <c r="P76" s="21">
        <v>4.7360646624728548E-11</v>
      </c>
      <c r="Q76" s="2">
        <v>0.31</v>
      </c>
      <c r="R76" s="27">
        <f t="shared" si="30"/>
        <v>131000</v>
      </c>
      <c r="S76" s="2">
        <f t="shared" si="31"/>
        <v>5.1398579432804297E-3</v>
      </c>
      <c r="T76" s="11">
        <v>0.1</v>
      </c>
      <c r="U76" s="30">
        <f t="shared" si="32"/>
        <v>110000.00000000001</v>
      </c>
      <c r="V76" s="30">
        <f t="shared" si="20"/>
        <v>17.12297029702971</v>
      </c>
      <c r="W76" s="2">
        <f t="shared" si="33"/>
        <v>6.9999999999999991</v>
      </c>
      <c r="X76" s="2">
        <f t="shared" si="34"/>
        <v>6.9066592645043769E-7</v>
      </c>
      <c r="Y76" s="11">
        <f t="shared" si="35"/>
        <v>1140.4728816314021</v>
      </c>
      <c r="Z76" s="9">
        <f t="shared" si="36"/>
        <v>2.7336652358079342E-14</v>
      </c>
      <c r="AA76" s="9">
        <f t="shared" si="37"/>
        <v>16462132050.035379</v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s="4" customFormat="1" x14ac:dyDescent="0.25">
      <c r="A77" s="26">
        <v>225</v>
      </c>
      <c r="B77" s="26">
        <f t="shared" si="21"/>
        <v>3.75</v>
      </c>
      <c r="C77" s="26">
        <v>20</v>
      </c>
      <c r="D77" s="26">
        <f t="shared" si="19"/>
        <v>29.146000000000001</v>
      </c>
      <c r="E77" s="26">
        <f t="shared" si="22"/>
        <v>4.8576666666666667E-7</v>
      </c>
      <c r="F77" s="26">
        <v>21.1</v>
      </c>
      <c r="G77" s="26">
        <f t="shared" si="23"/>
        <v>294.10000000000002</v>
      </c>
      <c r="H77" s="26">
        <v>101.3</v>
      </c>
      <c r="I77" s="26">
        <f t="shared" si="24"/>
        <v>101300</v>
      </c>
      <c r="J77" s="26">
        <f t="shared" si="25"/>
        <v>2.0124824921938581E-5</v>
      </c>
      <c r="K77" s="20">
        <v>164.77227722772278</v>
      </c>
      <c r="L77" s="27">
        <f t="shared" si="26"/>
        <v>1.6477227722772278E-4</v>
      </c>
      <c r="M77" s="29">
        <f t="shared" si="27"/>
        <v>4.7762865441819992E-3</v>
      </c>
      <c r="N77" s="33">
        <f t="shared" si="28"/>
        <v>6.9426597431351526E-7</v>
      </c>
      <c r="O77" s="21">
        <f t="shared" si="29"/>
        <v>2.032E-3</v>
      </c>
      <c r="P77" s="21">
        <v>4.7360646624728548E-11</v>
      </c>
      <c r="Q77" s="2">
        <v>0.31</v>
      </c>
      <c r="R77" s="27">
        <f t="shared" si="30"/>
        <v>131000</v>
      </c>
      <c r="S77" s="2">
        <f t="shared" si="31"/>
        <v>5.1398579432804297E-3</v>
      </c>
      <c r="T77" s="11">
        <v>0.1</v>
      </c>
      <c r="U77" s="30">
        <f t="shared" si="32"/>
        <v>110000.00000000001</v>
      </c>
      <c r="V77" s="30">
        <f t="shared" si="20"/>
        <v>18.124950495049507</v>
      </c>
      <c r="W77" s="2">
        <f t="shared" si="33"/>
        <v>6.9999999999999991</v>
      </c>
      <c r="X77" s="2">
        <f t="shared" si="34"/>
        <v>7.3182794243359718E-7</v>
      </c>
      <c r="Y77" s="11">
        <f t="shared" si="35"/>
        <v>1271.3707764091407</v>
      </c>
      <c r="Z77" s="9">
        <f t="shared" si="36"/>
        <v>2.8995077536423073E-14</v>
      </c>
      <c r="AA77" s="9">
        <f t="shared" si="37"/>
        <v>17460835692.433975</v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s="4" customFormat="1" x14ac:dyDescent="0.25">
      <c r="A78" s="26">
        <v>228</v>
      </c>
      <c r="B78" s="26">
        <f t="shared" si="21"/>
        <v>3.8</v>
      </c>
      <c r="C78" s="26">
        <v>20</v>
      </c>
      <c r="D78" s="26">
        <f t="shared" si="19"/>
        <v>29.146000000000001</v>
      </c>
      <c r="E78" s="26">
        <f t="shared" si="22"/>
        <v>4.8576666666666667E-7</v>
      </c>
      <c r="F78" s="26">
        <v>21.1</v>
      </c>
      <c r="G78" s="26">
        <f t="shared" si="23"/>
        <v>294.10000000000002</v>
      </c>
      <c r="H78" s="26">
        <v>101.3</v>
      </c>
      <c r="I78" s="26">
        <f t="shared" si="24"/>
        <v>101300</v>
      </c>
      <c r="J78" s="26">
        <f t="shared" si="25"/>
        <v>2.0124824921938581E-5</v>
      </c>
      <c r="K78" s="20">
        <v>156.62871287128715</v>
      </c>
      <c r="L78" s="27">
        <f t="shared" si="26"/>
        <v>1.5662871287128714E-4</v>
      </c>
      <c r="M78" s="29">
        <f t="shared" si="27"/>
        <v>4.7762865441819992E-3</v>
      </c>
      <c r="N78" s="33">
        <f t="shared" si="28"/>
        <v>6.5995316552413496E-7</v>
      </c>
      <c r="O78" s="21">
        <f t="shared" si="29"/>
        <v>2.032E-3</v>
      </c>
      <c r="P78" s="21">
        <v>4.7360646624728548E-11</v>
      </c>
      <c r="Q78" s="2">
        <v>0.31</v>
      </c>
      <c r="R78" s="27">
        <f t="shared" si="30"/>
        <v>131000</v>
      </c>
      <c r="S78" s="2">
        <f t="shared" si="31"/>
        <v>5.1398579432804297E-3</v>
      </c>
      <c r="T78" s="11">
        <v>0.1</v>
      </c>
      <c r="U78" s="30">
        <f t="shared" si="32"/>
        <v>110000.00000000001</v>
      </c>
      <c r="V78" s="30">
        <f t="shared" si="20"/>
        <v>17.229158415841589</v>
      </c>
      <c r="W78" s="2">
        <f t="shared" si="33"/>
        <v>6.9999999999999991</v>
      </c>
      <c r="X78" s="2">
        <f t="shared" si="34"/>
        <v>6.950319945206265E-7</v>
      </c>
      <c r="Y78" s="11">
        <f t="shared" si="35"/>
        <v>1154.0305048085638</v>
      </c>
      <c r="Z78" s="9">
        <f t="shared" si="36"/>
        <v>2.7512334281605692E-14</v>
      </c>
      <c r="AA78" s="9">
        <f t="shared" si="37"/>
        <v>16567927704.382948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 spans="1:78" s="4" customFormat="1" x14ac:dyDescent="0.25">
      <c r="A79" s="26">
        <v>231</v>
      </c>
      <c r="B79" s="26">
        <f t="shared" si="21"/>
        <v>3.85</v>
      </c>
      <c r="C79" s="26">
        <v>20</v>
      </c>
      <c r="D79" s="26">
        <f t="shared" si="19"/>
        <v>29.146000000000001</v>
      </c>
      <c r="E79" s="26">
        <f t="shared" si="22"/>
        <v>4.8576666666666667E-7</v>
      </c>
      <c r="F79" s="26">
        <v>21.1</v>
      </c>
      <c r="G79" s="26">
        <f t="shared" si="23"/>
        <v>294.10000000000002</v>
      </c>
      <c r="H79" s="26">
        <v>101.3</v>
      </c>
      <c r="I79" s="26">
        <f t="shared" si="24"/>
        <v>101300</v>
      </c>
      <c r="J79" s="26">
        <f t="shared" si="25"/>
        <v>2.0124824921938581E-5</v>
      </c>
      <c r="K79" s="20">
        <v>159.12871287128715</v>
      </c>
      <c r="L79" s="27">
        <f t="shared" si="26"/>
        <v>1.5912871287128715E-4</v>
      </c>
      <c r="M79" s="29">
        <f t="shared" si="27"/>
        <v>4.7762865441819992E-3</v>
      </c>
      <c r="N79" s="33">
        <f t="shared" si="28"/>
        <v>6.7048688493971978E-7</v>
      </c>
      <c r="O79" s="21">
        <f t="shared" si="29"/>
        <v>2.032E-3</v>
      </c>
      <c r="P79" s="21">
        <v>4.7360646624728548E-11</v>
      </c>
      <c r="Q79" s="2">
        <v>0.31</v>
      </c>
      <c r="R79" s="27">
        <f t="shared" si="30"/>
        <v>131000</v>
      </c>
      <c r="S79" s="2">
        <f t="shared" si="31"/>
        <v>5.1398579432804297E-3</v>
      </c>
      <c r="T79" s="11">
        <v>0.1</v>
      </c>
      <c r="U79" s="30">
        <f t="shared" si="32"/>
        <v>110000.00000000001</v>
      </c>
      <c r="V79" s="30">
        <f t="shared" si="20"/>
        <v>17.504158415841587</v>
      </c>
      <c r="W79" s="2">
        <f t="shared" si="33"/>
        <v>6.9999999999999991</v>
      </c>
      <c r="X79" s="2">
        <f t="shared" si="34"/>
        <v>7.0633474147093321E-7</v>
      </c>
      <c r="Y79" s="11">
        <f t="shared" si="35"/>
        <v>1189.4884857171346</v>
      </c>
      <c r="Z79" s="9">
        <f t="shared" si="36"/>
        <v>2.7967382527144963E-14</v>
      </c>
      <c r="AA79" s="9">
        <f t="shared" si="37"/>
        <v>16841957757.846697</v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4" customFormat="1" x14ac:dyDescent="0.25">
      <c r="A80" s="26">
        <v>234</v>
      </c>
      <c r="B80" s="26">
        <f t="shared" si="21"/>
        <v>3.9</v>
      </c>
      <c r="C80" s="26">
        <v>20</v>
      </c>
      <c r="D80" s="26">
        <f t="shared" si="19"/>
        <v>29.146000000000001</v>
      </c>
      <c r="E80" s="26">
        <f t="shared" si="22"/>
        <v>4.8576666666666667E-7</v>
      </c>
      <c r="F80" s="26">
        <v>21.1</v>
      </c>
      <c r="G80" s="26">
        <f t="shared" si="23"/>
        <v>294.10000000000002</v>
      </c>
      <c r="H80" s="26">
        <v>101.3</v>
      </c>
      <c r="I80" s="26">
        <f t="shared" si="24"/>
        <v>101300</v>
      </c>
      <c r="J80" s="26">
        <f t="shared" si="25"/>
        <v>2.0124824921938581E-5</v>
      </c>
      <c r="K80" s="20">
        <v>152.59405940594061</v>
      </c>
      <c r="L80" s="27">
        <f t="shared" si="26"/>
        <v>1.5259405940594063E-4</v>
      </c>
      <c r="M80" s="29">
        <f t="shared" si="27"/>
        <v>4.7762865441819992E-3</v>
      </c>
      <c r="N80" s="33">
        <f t="shared" si="28"/>
        <v>6.4295320250690411E-7</v>
      </c>
      <c r="O80" s="21">
        <f t="shared" si="29"/>
        <v>2.032E-3</v>
      </c>
      <c r="P80" s="21">
        <v>4.7360646624728548E-11</v>
      </c>
      <c r="Q80" s="2">
        <v>0.31</v>
      </c>
      <c r="R80" s="27">
        <f t="shared" si="30"/>
        <v>131000</v>
      </c>
      <c r="S80" s="2">
        <f t="shared" si="31"/>
        <v>5.1398579432804297E-3</v>
      </c>
      <c r="T80" s="11">
        <v>0.1</v>
      </c>
      <c r="U80" s="30">
        <f t="shared" si="32"/>
        <v>110000.00000000001</v>
      </c>
      <c r="V80" s="30">
        <f t="shared" si="20"/>
        <v>16.78534653465347</v>
      </c>
      <c r="W80" s="2">
        <f t="shared" si="33"/>
        <v>6.9999999999999991</v>
      </c>
      <c r="X80" s="2">
        <f t="shared" si="34"/>
        <v>6.7677786553661135E-7</v>
      </c>
      <c r="Y80" s="11">
        <f t="shared" si="35"/>
        <v>1097.863587048804</v>
      </c>
      <c r="Z80" s="9">
        <f t="shared" si="36"/>
        <v>2.6778174586418249E-14</v>
      </c>
      <c r="AA80" s="9">
        <f t="shared" si="37"/>
        <v>16125816735.941071</v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 spans="1:78" s="4" customFormat="1" x14ac:dyDescent="0.25">
      <c r="A81" s="26">
        <v>237</v>
      </c>
      <c r="B81" s="26">
        <f t="shared" si="21"/>
        <v>3.95</v>
      </c>
      <c r="C81" s="26">
        <v>20</v>
      </c>
      <c r="D81" s="26">
        <f t="shared" si="19"/>
        <v>29.146000000000001</v>
      </c>
      <c r="E81" s="26">
        <f t="shared" si="22"/>
        <v>4.8576666666666667E-7</v>
      </c>
      <c r="F81" s="26">
        <v>21.1</v>
      </c>
      <c r="G81" s="26">
        <f t="shared" si="23"/>
        <v>294.10000000000002</v>
      </c>
      <c r="H81" s="26">
        <v>101.3</v>
      </c>
      <c r="I81" s="26">
        <f t="shared" si="24"/>
        <v>101300</v>
      </c>
      <c r="J81" s="26">
        <f t="shared" si="25"/>
        <v>2.0124824921938581E-5</v>
      </c>
      <c r="K81" s="20">
        <v>166.08415841584161</v>
      </c>
      <c r="L81" s="27">
        <f t="shared" si="26"/>
        <v>1.6608415841584161E-4</v>
      </c>
      <c r="M81" s="29">
        <f t="shared" si="27"/>
        <v>4.7762865441819992E-3</v>
      </c>
      <c r="N81" s="33">
        <f t="shared" si="28"/>
        <v>6.9979356965040634E-7</v>
      </c>
      <c r="O81" s="21">
        <f t="shared" si="29"/>
        <v>2.032E-3</v>
      </c>
      <c r="P81" s="21">
        <v>4.7360646624728548E-11</v>
      </c>
      <c r="Q81" s="2">
        <v>0.31</v>
      </c>
      <c r="R81" s="27">
        <f t="shared" si="30"/>
        <v>131000</v>
      </c>
      <c r="S81" s="2">
        <f t="shared" si="31"/>
        <v>5.1398579432804297E-3</v>
      </c>
      <c r="T81" s="11">
        <v>0.1</v>
      </c>
      <c r="U81" s="30">
        <f t="shared" si="32"/>
        <v>110000.00000000001</v>
      </c>
      <c r="V81" s="30">
        <f t="shared" si="20"/>
        <v>18.26925742574258</v>
      </c>
      <c r="W81" s="2">
        <f t="shared" si="33"/>
        <v>6.9999999999999991</v>
      </c>
      <c r="X81" s="2">
        <f t="shared" si="34"/>
        <v>7.3774976882258763E-7</v>
      </c>
      <c r="Y81" s="11">
        <f t="shared" si="35"/>
        <v>1290.7691562901191</v>
      </c>
      <c r="Z81" s="9">
        <f t="shared" si="36"/>
        <v>2.9234072122477343E-14</v>
      </c>
      <c r="AA81" s="9">
        <f t="shared" si="37"/>
        <v>17604758232.155857</v>
      </c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s="4" customFormat="1" x14ac:dyDescent="0.25">
      <c r="A82" s="26">
        <v>240</v>
      </c>
      <c r="B82" s="26">
        <f t="shared" si="21"/>
        <v>4</v>
      </c>
      <c r="C82" s="26">
        <v>20</v>
      </c>
      <c r="D82" s="26">
        <f t="shared" si="19"/>
        <v>29.146000000000001</v>
      </c>
      <c r="E82" s="26">
        <f t="shared" si="22"/>
        <v>4.8576666666666667E-7</v>
      </c>
      <c r="F82" s="26">
        <v>21.1</v>
      </c>
      <c r="G82" s="26">
        <f t="shared" si="23"/>
        <v>294.10000000000002</v>
      </c>
      <c r="H82" s="26">
        <v>101.3</v>
      </c>
      <c r="I82" s="26">
        <f t="shared" si="24"/>
        <v>101300</v>
      </c>
      <c r="J82" s="26">
        <f t="shared" si="25"/>
        <v>2.0124824921938581E-5</v>
      </c>
      <c r="K82" s="20">
        <v>163.60891089108912</v>
      </c>
      <c r="L82" s="27">
        <f t="shared" si="26"/>
        <v>1.6360891089108913E-4</v>
      </c>
      <c r="M82" s="29">
        <f t="shared" si="27"/>
        <v>4.7762865441819992E-3</v>
      </c>
      <c r="N82" s="33">
        <f t="shared" si="28"/>
        <v>6.8936414448646105E-7</v>
      </c>
      <c r="O82" s="21">
        <f t="shared" si="29"/>
        <v>2.032E-3</v>
      </c>
      <c r="P82" s="21">
        <v>4.7360646624728548E-11</v>
      </c>
      <c r="Q82" s="2">
        <v>0.31</v>
      </c>
      <c r="R82" s="27">
        <f t="shared" si="30"/>
        <v>131000</v>
      </c>
      <c r="S82" s="2">
        <f t="shared" si="31"/>
        <v>5.1398579432804297E-3</v>
      </c>
      <c r="T82" s="11">
        <v>0.1</v>
      </c>
      <c r="U82" s="30">
        <f t="shared" si="32"/>
        <v>110000.00000000001</v>
      </c>
      <c r="V82" s="30">
        <f t="shared" si="20"/>
        <v>17.996980198019806</v>
      </c>
      <c r="W82" s="2">
        <f t="shared" si="33"/>
        <v>6.9999999999999991</v>
      </c>
      <c r="X82" s="2">
        <f t="shared" si="34"/>
        <v>7.2657519649879396E-7</v>
      </c>
      <c r="Y82" s="11">
        <f t="shared" si="35"/>
        <v>1254.2833182676009</v>
      </c>
      <c r="Z82" s="9">
        <f t="shared" si="36"/>
        <v>2.8783172120245142E-14</v>
      </c>
      <c r="AA82" s="9">
        <f t="shared" si="37"/>
        <v>17333226250.811626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s="4" customFormat="1" x14ac:dyDescent="0.25">
      <c r="A83" s="26">
        <v>243</v>
      </c>
      <c r="B83" s="26">
        <f t="shared" si="21"/>
        <v>4.05</v>
      </c>
      <c r="C83" s="26">
        <v>20</v>
      </c>
      <c r="D83" s="26">
        <f t="shared" si="19"/>
        <v>29.146000000000001</v>
      </c>
      <c r="E83" s="26">
        <f t="shared" si="22"/>
        <v>4.8576666666666667E-7</v>
      </c>
      <c r="F83" s="26">
        <v>21.1</v>
      </c>
      <c r="G83" s="26">
        <f t="shared" si="23"/>
        <v>294.10000000000002</v>
      </c>
      <c r="H83" s="26">
        <v>101.3</v>
      </c>
      <c r="I83" s="26">
        <f t="shared" si="24"/>
        <v>101300</v>
      </c>
      <c r="J83" s="26">
        <f t="shared" si="25"/>
        <v>2.0124824921938581E-5</v>
      </c>
      <c r="K83" s="20">
        <v>168.46039603960398</v>
      </c>
      <c r="L83" s="27">
        <f t="shared" si="26"/>
        <v>1.6846039603960397E-4</v>
      </c>
      <c r="M83" s="29">
        <f t="shared" si="27"/>
        <v>4.7762865441819992E-3</v>
      </c>
      <c r="N83" s="33">
        <f t="shared" si="28"/>
        <v>7.0980581780779382E-7</v>
      </c>
      <c r="O83" s="21">
        <f t="shared" si="29"/>
        <v>2.032E-3</v>
      </c>
      <c r="P83" s="21">
        <v>4.7360646624728548E-11</v>
      </c>
      <c r="Q83" s="2">
        <v>0.31</v>
      </c>
      <c r="R83" s="27">
        <f t="shared" si="30"/>
        <v>131000</v>
      </c>
      <c r="S83" s="2">
        <f t="shared" si="31"/>
        <v>5.1398579432804297E-3</v>
      </c>
      <c r="T83" s="11">
        <v>0.1</v>
      </c>
      <c r="U83" s="30">
        <f t="shared" si="32"/>
        <v>110000.00000000001</v>
      </c>
      <c r="V83" s="30">
        <f t="shared" si="20"/>
        <v>18.530643564356438</v>
      </c>
      <c r="W83" s="2">
        <f t="shared" si="33"/>
        <v>6.9999999999999991</v>
      </c>
      <c r="X83" s="2">
        <f t="shared" si="34"/>
        <v>7.4847215193207558E-7</v>
      </c>
      <c r="Y83" s="11">
        <f t="shared" si="35"/>
        <v>1326.2551417028362</v>
      </c>
      <c r="Z83" s="9">
        <f t="shared" si="36"/>
        <v>2.9667073621080223E-14</v>
      </c>
      <c r="AA83" s="9">
        <f t="shared" si="37"/>
        <v>17865511734.61451</v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s="4" customFormat="1" x14ac:dyDescent="0.25">
      <c r="A84" s="26">
        <v>246</v>
      </c>
      <c r="B84" s="26">
        <f t="shared" si="21"/>
        <v>4.0999999999999996</v>
      </c>
      <c r="C84" s="26">
        <v>20</v>
      </c>
      <c r="D84" s="26">
        <f t="shared" si="19"/>
        <v>29.146000000000001</v>
      </c>
      <c r="E84" s="26">
        <f t="shared" si="22"/>
        <v>4.8576666666666667E-7</v>
      </c>
      <c r="F84" s="26">
        <v>21.1</v>
      </c>
      <c r="G84" s="26">
        <f t="shared" si="23"/>
        <v>294.10000000000002</v>
      </c>
      <c r="H84" s="26">
        <v>101.3</v>
      </c>
      <c r="I84" s="26">
        <f t="shared" si="24"/>
        <v>101300</v>
      </c>
      <c r="J84" s="26">
        <f t="shared" si="25"/>
        <v>2.0124824921938581E-5</v>
      </c>
      <c r="K84" s="20">
        <v>162.22277227722773</v>
      </c>
      <c r="L84" s="27">
        <f t="shared" si="26"/>
        <v>1.6222277227722774E-4</v>
      </c>
      <c r="M84" s="29">
        <f t="shared" si="27"/>
        <v>4.7762865441819992E-3</v>
      </c>
      <c r="N84" s="33">
        <f t="shared" si="28"/>
        <v>6.8352366639465158E-7</v>
      </c>
      <c r="O84" s="21">
        <f t="shared" si="29"/>
        <v>2.032E-3</v>
      </c>
      <c r="P84" s="21">
        <v>4.7360646624728548E-11</v>
      </c>
      <c r="Q84" s="2">
        <v>0.31</v>
      </c>
      <c r="R84" s="27">
        <f t="shared" si="30"/>
        <v>131000</v>
      </c>
      <c r="S84" s="2">
        <f t="shared" si="31"/>
        <v>5.1398579432804297E-3</v>
      </c>
      <c r="T84" s="11">
        <v>0.1</v>
      </c>
      <c r="U84" s="30">
        <f t="shared" si="32"/>
        <v>110000.00000000001</v>
      </c>
      <c r="V84" s="30">
        <f t="shared" si="20"/>
        <v>17.844504950495054</v>
      </c>
      <c r="W84" s="2">
        <f t="shared" si="33"/>
        <v>6.9999999999999991</v>
      </c>
      <c r="X84" s="2">
        <f t="shared" si="34"/>
        <v>7.2031497270983818E-7</v>
      </c>
      <c r="Y84" s="11">
        <f t="shared" si="35"/>
        <v>1234.0648826775741</v>
      </c>
      <c r="Z84" s="9">
        <f t="shared" si="36"/>
        <v>2.8530728274713957E-14</v>
      </c>
      <c r="AA84" s="9">
        <f t="shared" si="37"/>
        <v>17181204567.032745</v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s="4" customFormat="1" x14ac:dyDescent="0.25">
      <c r="A85" s="26">
        <v>249</v>
      </c>
      <c r="B85" s="26">
        <f t="shared" si="21"/>
        <v>4.1500000000000004</v>
      </c>
      <c r="C85" s="26">
        <v>20</v>
      </c>
      <c r="D85" s="26">
        <f t="shared" si="19"/>
        <v>29.146000000000001</v>
      </c>
      <c r="E85" s="26">
        <f t="shared" si="22"/>
        <v>4.8576666666666667E-7</v>
      </c>
      <c r="F85" s="26">
        <v>21.1</v>
      </c>
      <c r="G85" s="26">
        <f t="shared" si="23"/>
        <v>294.10000000000002</v>
      </c>
      <c r="H85" s="26">
        <v>101.3</v>
      </c>
      <c r="I85" s="26">
        <f t="shared" si="24"/>
        <v>101300</v>
      </c>
      <c r="J85" s="26">
        <f t="shared" si="25"/>
        <v>2.0124824921938581E-5</v>
      </c>
      <c r="K85" s="20">
        <v>163.65841584158417</v>
      </c>
      <c r="L85" s="27">
        <f t="shared" si="26"/>
        <v>1.6365841584158416E-4</v>
      </c>
      <c r="M85" s="29">
        <f t="shared" si="27"/>
        <v>4.7762865441819992E-3</v>
      </c>
      <c r="N85" s="33">
        <f t="shared" si="28"/>
        <v>6.895727329897398E-7</v>
      </c>
      <c r="O85" s="21">
        <f t="shared" si="29"/>
        <v>2.032E-3</v>
      </c>
      <c r="P85" s="21">
        <v>4.7360646624728548E-11</v>
      </c>
      <c r="Q85" s="2">
        <v>0.31</v>
      </c>
      <c r="R85" s="27">
        <f t="shared" si="30"/>
        <v>131000</v>
      </c>
      <c r="S85" s="2">
        <f t="shared" si="31"/>
        <v>5.1398579432804297E-3</v>
      </c>
      <c r="T85" s="11">
        <v>0.1</v>
      </c>
      <c r="U85" s="30">
        <f t="shared" si="32"/>
        <v>110000.00000000001</v>
      </c>
      <c r="V85" s="30">
        <f t="shared" si="20"/>
        <v>18.00242574257426</v>
      </c>
      <c r="W85" s="2">
        <f t="shared" si="33"/>
        <v>6.9999999999999991</v>
      </c>
      <c r="X85" s="2">
        <f t="shared" si="34"/>
        <v>7.2679874296910571E-7</v>
      </c>
      <c r="Y85" s="11">
        <f t="shared" si="35"/>
        <v>1255.0082433058658</v>
      </c>
      <c r="Z85" s="9">
        <f t="shared" si="36"/>
        <v>2.8792188751464859E-14</v>
      </c>
      <c r="AA85" s="9">
        <f t="shared" si="37"/>
        <v>17338656066.132137</v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s="4" customFormat="1" x14ac:dyDescent="0.25">
      <c r="A86" s="26">
        <v>252</v>
      </c>
      <c r="B86" s="26">
        <f t="shared" si="21"/>
        <v>4.2</v>
      </c>
      <c r="C86" s="26">
        <v>20</v>
      </c>
      <c r="D86" s="26">
        <f t="shared" si="19"/>
        <v>29.146000000000001</v>
      </c>
      <c r="E86" s="26">
        <f t="shared" si="22"/>
        <v>4.8576666666666667E-7</v>
      </c>
      <c r="F86" s="26">
        <v>21.1</v>
      </c>
      <c r="G86" s="26">
        <f t="shared" si="23"/>
        <v>294.10000000000002</v>
      </c>
      <c r="H86" s="26">
        <v>101.3</v>
      </c>
      <c r="I86" s="26">
        <f t="shared" si="24"/>
        <v>101300</v>
      </c>
      <c r="J86" s="26">
        <f t="shared" si="25"/>
        <v>2.0124824921938581E-5</v>
      </c>
      <c r="K86" s="20">
        <v>157.6683168316832</v>
      </c>
      <c r="L86" s="27">
        <f t="shared" si="26"/>
        <v>1.576683168316832E-4</v>
      </c>
      <c r="M86" s="29">
        <f t="shared" si="27"/>
        <v>4.7762865441819992E-3</v>
      </c>
      <c r="N86" s="33">
        <f t="shared" si="28"/>
        <v>6.6433352409299214E-7</v>
      </c>
      <c r="O86" s="21">
        <f t="shared" si="29"/>
        <v>2.032E-3</v>
      </c>
      <c r="P86" s="21">
        <v>4.7360646624728548E-11</v>
      </c>
      <c r="Q86" s="2">
        <v>0.31</v>
      </c>
      <c r="R86" s="27">
        <f t="shared" si="30"/>
        <v>131000</v>
      </c>
      <c r="S86" s="2">
        <f t="shared" si="31"/>
        <v>5.1398579432804297E-3</v>
      </c>
      <c r="T86" s="11">
        <v>0.1</v>
      </c>
      <c r="U86" s="30">
        <f t="shared" si="32"/>
        <v>110000.00000000001</v>
      </c>
      <c r="V86" s="30">
        <f t="shared" si="20"/>
        <v>17.343514851485153</v>
      </c>
      <c r="W86" s="2">
        <f t="shared" si="33"/>
        <v>6.9999999999999991</v>
      </c>
      <c r="X86" s="2">
        <f t="shared" si="34"/>
        <v>6.9973288675151592E-7</v>
      </c>
      <c r="Y86" s="11">
        <f t="shared" si="35"/>
        <v>1168.71458479528</v>
      </c>
      <c r="Z86" s="9">
        <f t="shared" si="36"/>
        <v>2.7701548395230863E-14</v>
      </c>
      <c r="AA86" s="9">
        <f t="shared" si="37"/>
        <v>16681872443.608027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s="4" customFormat="1" x14ac:dyDescent="0.25">
      <c r="A87" s="26">
        <v>255</v>
      </c>
      <c r="B87" s="26">
        <f t="shared" si="21"/>
        <v>4.25</v>
      </c>
      <c r="C87" s="26">
        <v>20</v>
      </c>
      <c r="D87" s="26">
        <f t="shared" si="19"/>
        <v>29.146000000000001</v>
      </c>
      <c r="E87" s="26">
        <f t="shared" si="22"/>
        <v>4.8576666666666667E-7</v>
      </c>
      <c r="F87" s="26">
        <v>21.1</v>
      </c>
      <c r="G87" s="26">
        <f t="shared" si="23"/>
        <v>294.10000000000002</v>
      </c>
      <c r="H87" s="26">
        <v>101.3</v>
      </c>
      <c r="I87" s="26">
        <f t="shared" si="24"/>
        <v>101300</v>
      </c>
      <c r="J87" s="26">
        <f t="shared" si="25"/>
        <v>2.0124824921938581E-5</v>
      </c>
      <c r="K87" s="20">
        <v>164.10396039603961</v>
      </c>
      <c r="L87" s="27">
        <f t="shared" si="26"/>
        <v>1.641039603960396E-4</v>
      </c>
      <c r="M87" s="29">
        <f t="shared" si="27"/>
        <v>4.7762865441819992E-3</v>
      </c>
      <c r="N87" s="33">
        <f t="shared" si="28"/>
        <v>6.9145002951925E-7</v>
      </c>
      <c r="O87" s="21">
        <f t="shared" si="29"/>
        <v>2.032E-3</v>
      </c>
      <c r="P87" s="21">
        <v>4.7360646624728548E-11</v>
      </c>
      <c r="Q87" s="2">
        <v>0.31</v>
      </c>
      <c r="R87" s="27">
        <f t="shared" si="30"/>
        <v>131000</v>
      </c>
      <c r="S87" s="2">
        <f t="shared" si="31"/>
        <v>5.1398579432804297E-3</v>
      </c>
      <c r="T87" s="11">
        <v>0.1</v>
      </c>
      <c r="U87" s="30">
        <f t="shared" si="32"/>
        <v>110000.00000000001</v>
      </c>
      <c r="V87" s="30">
        <f t="shared" si="20"/>
        <v>18.051435643564357</v>
      </c>
      <c r="W87" s="2">
        <f t="shared" si="33"/>
        <v>6.9999999999999991</v>
      </c>
      <c r="X87" s="2">
        <f t="shared" si="34"/>
        <v>7.288105595284433E-7</v>
      </c>
      <c r="Y87" s="11">
        <f t="shared" si="35"/>
        <v>1261.5413731561971</v>
      </c>
      <c r="Z87" s="9">
        <f t="shared" si="36"/>
        <v>2.8873340898192652E-14</v>
      </c>
      <c r="AA87" s="9">
        <f t="shared" si="37"/>
        <v>17387525888.891617</v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4"/>
      <c r="L88" s="3"/>
      <c r="M88" s="3"/>
      <c r="N88" s="21"/>
      <c r="O88" s="21"/>
      <c r="P88" s="21"/>
      <c r="Q88" s="2"/>
      <c r="R88" s="2"/>
      <c r="S88" s="2"/>
      <c r="T88" s="11"/>
      <c r="U88" s="2"/>
      <c r="V88" s="11"/>
      <c r="W88" s="2"/>
      <c r="X88" s="2"/>
      <c r="Y88" s="5"/>
      <c r="Z88" s="2"/>
      <c r="AA88" s="5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4"/>
      <c r="L89" s="3"/>
      <c r="M89" s="3"/>
      <c r="N89" s="21"/>
      <c r="O89" s="21"/>
      <c r="P89" s="21"/>
      <c r="Q89" s="2"/>
      <c r="R89" s="2"/>
      <c r="S89" s="2"/>
      <c r="T89" s="11"/>
      <c r="U89" s="2"/>
      <c r="V89" s="11"/>
      <c r="W89" s="2"/>
      <c r="X89" s="2"/>
      <c r="Y89" s="5"/>
      <c r="Z89" s="2"/>
      <c r="AA89" s="5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4"/>
      <c r="L90" s="3"/>
      <c r="M90" s="3"/>
      <c r="N90" s="21"/>
      <c r="O90" s="21"/>
      <c r="P90" s="21"/>
      <c r="Q90" s="2"/>
      <c r="R90" s="2"/>
      <c r="S90" s="2"/>
      <c r="T90" s="11"/>
      <c r="U90" s="2"/>
      <c r="V90" s="11"/>
      <c r="W90" s="2"/>
      <c r="X90" s="2"/>
      <c r="Y90" s="5"/>
      <c r="Z90" s="31"/>
      <c r="AA90" s="31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4"/>
      <c r="L91" s="3"/>
      <c r="M91" s="3"/>
      <c r="N91" s="21"/>
      <c r="O91" s="21"/>
      <c r="P91" s="21"/>
      <c r="Q91" s="2"/>
      <c r="R91" s="2"/>
      <c r="S91" s="2"/>
      <c r="T91" s="11"/>
      <c r="U91" s="2"/>
      <c r="V91" s="11"/>
      <c r="W91" s="2"/>
      <c r="X91" s="2"/>
      <c r="Y91" s="5"/>
      <c r="Z91" s="32">
        <f>AVERAGE(Z57:Z87)</f>
        <v>2.8240745054987997E-14</v>
      </c>
      <c r="AA91" s="32">
        <f>AVERAGE(AA57:AA87)</f>
        <v>17006576672.113771</v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4"/>
      <c r="L92" s="3"/>
      <c r="M92" s="3"/>
      <c r="N92" s="21"/>
      <c r="O92" s="21"/>
      <c r="P92" s="21"/>
      <c r="Q92" s="2"/>
      <c r="R92" s="2"/>
      <c r="S92" s="2"/>
      <c r="T92" s="11"/>
      <c r="U92" s="2"/>
      <c r="V92" s="11"/>
      <c r="W92" s="2"/>
      <c r="X92" s="2"/>
      <c r="Y92" s="5"/>
      <c r="Z92" s="2"/>
      <c r="AA92" s="5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</row>
    <row r="93" spans="1:78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4"/>
      <c r="L93" s="3"/>
      <c r="M93" s="3"/>
      <c r="N93" s="21"/>
      <c r="O93" s="21"/>
      <c r="P93" s="21"/>
      <c r="Q93" s="2"/>
      <c r="R93" s="2"/>
      <c r="S93" s="2"/>
      <c r="T93" s="11"/>
      <c r="U93" s="2"/>
      <c r="V93" s="11"/>
      <c r="W93" s="2"/>
      <c r="X93" s="2"/>
      <c r="Y93" s="5"/>
      <c r="Z93" s="2"/>
      <c r="AA93" s="5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</row>
    <row r="94" spans="1:78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4"/>
      <c r="L94" s="3"/>
      <c r="M94" s="3"/>
      <c r="N94" s="21"/>
      <c r="O94" s="21"/>
      <c r="P94" s="21"/>
      <c r="Q94" s="2"/>
      <c r="R94" s="2"/>
      <c r="S94" s="2"/>
      <c r="T94" s="11"/>
      <c r="U94" s="2"/>
      <c r="V94" s="11"/>
      <c r="W94" s="2"/>
      <c r="X94" s="2"/>
      <c r="Y94" s="5"/>
      <c r="Z94" s="2"/>
      <c r="AA94" s="5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</row>
    <row r="95" spans="1:78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4"/>
      <c r="L95" s="3"/>
      <c r="M95" s="3"/>
      <c r="N95" s="21"/>
      <c r="O95" s="21"/>
      <c r="P95" s="21"/>
      <c r="Q95" s="2"/>
      <c r="R95" s="2"/>
      <c r="S95" s="2"/>
      <c r="T95" s="11"/>
      <c r="U95" s="2"/>
      <c r="V95" s="11"/>
      <c r="W95" s="2"/>
      <c r="X95" s="2"/>
      <c r="Y95" s="5"/>
      <c r="Z95" s="2"/>
      <c r="AA95" s="5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</row>
    <row r="96" spans="1:78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4"/>
      <c r="L96" s="3"/>
      <c r="M96" s="3"/>
      <c r="N96" s="21"/>
      <c r="O96" s="21"/>
      <c r="P96" s="21"/>
      <c r="Q96" s="2"/>
      <c r="R96" s="2"/>
      <c r="S96" s="2"/>
      <c r="T96" s="11"/>
      <c r="U96" s="2"/>
      <c r="V96" s="11"/>
      <c r="W96" s="2"/>
      <c r="X96" s="2"/>
      <c r="Y96" s="5"/>
      <c r="Z96" s="2"/>
      <c r="AA96" s="5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</row>
    <row r="97" spans="1:78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4"/>
      <c r="L97" s="3"/>
      <c r="M97" s="3"/>
      <c r="N97" s="21"/>
      <c r="O97" s="21"/>
      <c r="P97" s="21"/>
      <c r="Q97" s="2"/>
      <c r="R97" s="2"/>
      <c r="S97" s="2"/>
      <c r="T97" s="11"/>
      <c r="U97" s="2"/>
      <c r="V97" s="11"/>
      <c r="W97" s="2"/>
      <c r="X97" s="2"/>
      <c r="Y97" s="5"/>
      <c r="Z97" s="2"/>
      <c r="AA97" s="5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</row>
    <row r="98" spans="1:78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1"/>
      <c r="O98" s="21"/>
      <c r="P98" s="21"/>
      <c r="Q98" s="2"/>
      <c r="R98" s="2"/>
      <c r="S98" s="2"/>
      <c r="T98" s="11"/>
      <c r="U98" s="2"/>
      <c r="V98" s="11"/>
      <c r="W98" s="2"/>
      <c r="X98" s="2"/>
      <c r="Y98" s="5"/>
      <c r="Z98" s="2"/>
      <c r="AA98" s="5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</row>
    <row r="99" spans="1:78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1"/>
      <c r="O99" s="21"/>
      <c r="P99" s="21"/>
      <c r="Q99" s="2"/>
      <c r="R99" s="2"/>
      <c r="S99" s="2"/>
      <c r="T99" s="11"/>
      <c r="U99" s="2"/>
      <c r="V99" s="11"/>
      <c r="W99" s="2"/>
      <c r="X99" s="2"/>
      <c r="Y99" s="5"/>
      <c r="Z99" s="2"/>
      <c r="AA99" s="5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</row>
    <row r="100" spans="1:78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1"/>
      <c r="O100" s="21"/>
      <c r="P100" s="21"/>
      <c r="Q100" s="2"/>
      <c r="R100" s="2"/>
      <c r="S100" s="2"/>
      <c r="T100" s="11"/>
      <c r="U100" s="2"/>
      <c r="V100" s="11"/>
      <c r="W100" s="2"/>
      <c r="X100" s="2"/>
      <c r="Y100" s="5"/>
      <c r="Z100" s="2"/>
      <c r="AA100" s="5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</row>
    <row r="101" spans="1:78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1"/>
      <c r="O101" s="21"/>
      <c r="P101" s="21"/>
      <c r="Q101" s="2"/>
      <c r="R101" s="2"/>
      <c r="S101" s="2"/>
      <c r="T101" s="11"/>
      <c r="U101" s="2"/>
      <c r="V101" s="11"/>
      <c r="W101" s="2"/>
      <c r="X101" s="2"/>
      <c r="Y101" s="5"/>
      <c r="Z101" s="2"/>
      <c r="AA101" s="5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</row>
    <row r="102" spans="1:78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1"/>
      <c r="O102" s="21"/>
      <c r="P102" s="21"/>
      <c r="Q102" s="2"/>
      <c r="R102" s="2"/>
      <c r="S102" s="2"/>
      <c r="T102" s="11"/>
      <c r="U102" s="2"/>
      <c r="V102" s="11"/>
      <c r="W102" s="2"/>
      <c r="X102" s="2"/>
      <c r="Y102" s="5"/>
      <c r="Z102" s="2"/>
      <c r="AA102" s="5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</row>
    <row r="103" spans="1:78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21"/>
      <c r="O103" s="21"/>
      <c r="P103" s="21"/>
      <c r="Q103" s="2"/>
      <c r="R103" s="2"/>
      <c r="S103" s="2"/>
      <c r="T103" s="11"/>
      <c r="U103" s="2"/>
      <c r="V103" s="11"/>
      <c r="W103" s="2"/>
      <c r="X103" s="2"/>
      <c r="Y103" s="5"/>
      <c r="Z103" s="2"/>
      <c r="AA103" s="5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</row>
    <row r="104" spans="1:78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1"/>
      <c r="O104" s="21"/>
      <c r="P104" s="21"/>
      <c r="Q104" s="2"/>
      <c r="R104" s="2"/>
      <c r="S104" s="2"/>
      <c r="T104" s="11"/>
      <c r="U104" s="2"/>
      <c r="V104" s="11"/>
      <c r="W104" s="2"/>
      <c r="X104" s="2"/>
      <c r="Y104" s="5"/>
      <c r="Z104" s="2"/>
      <c r="AA104" s="5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</row>
    <row r="105" spans="1:78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1"/>
      <c r="O105" s="21"/>
      <c r="P105" s="21"/>
      <c r="Q105" s="2"/>
      <c r="R105" s="2"/>
      <c r="S105" s="2"/>
      <c r="T105" s="11"/>
      <c r="U105" s="2"/>
      <c r="V105" s="11"/>
      <c r="W105" s="2"/>
      <c r="X105" s="2"/>
      <c r="Y105" s="5"/>
      <c r="Z105" s="2"/>
      <c r="AA105" s="5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</row>
    <row r="106" spans="1:78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1"/>
      <c r="O106" s="21"/>
      <c r="P106" s="21"/>
      <c r="Q106" s="2"/>
      <c r="R106" s="2"/>
      <c r="S106" s="2"/>
      <c r="T106" s="11"/>
      <c r="U106" s="2"/>
      <c r="V106" s="11"/>
      <c r="W106" s="2"/>
      <c r="X106" s="2"/>
      <c r="Y106" s="5"/>
      <c r="Z106" s="2"/>
      <c r="AA106" s="5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</row>
    <row r="107" spans="1:78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1"/>
      <c r="O107" s="21"/>
      <c r="P107" s="21"/>
      <c r="Q107" s="2"/>
      <c r="R107" s="2"/>
      <c r="S107" s="2"/>
      <c r="T107" s="11"/>
      <c r="U107" s="2"/>
      <c r="V107" s="11"/>
      <c r="W107" s="2"/>
      <c r="X107" s="2"/>
      <c r="Y107" s="5"/>
      <c r="Z107" s="2"/>
      <c r="AA107" s="5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</row>
    <row r="108" spans="1:78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1"/>
      <c r="O108" s="21"/>
      <c r="P108" s="21"/>
      <c r="Q108" s="2"/>
      <c r="R108" s="2"/>
      <c r="S108" s="2"/>
      <c r="T108" s="11"/>
      <c r="U108" s="2"/>
      <c r="V108" s="11"/>
      <c r="W108" s="2"/>
      <c r="X108" s="2"/>
      <c r="Y108" s="5"/>
      <c r="Z108" s="2"/>
      <c r="AA108" s="5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</row>
    <row r="109" spans="1:78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1"/>
      <c r="O109" s="21"/>
      <c r="P109" s="21"/>
      <c r="Q109" s="2"/>
      <c r="R109" s="2"/>
      <c r="S109" s="2"/>
      <c r="T109" s="11"/>
      <c r="U109" s="2"/>
      <c r="V109" s="11"/>
      <c r="W109" s="2"/>
      <c r="X109" s="2"/>
      <c r="Y109" s="5"/>
      <c r="Z109" s="2"/>
      <c r="AA109" s="5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</row>
    <row r="110" spans="1:78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1"/>
      <c r="O110" s="21"/>
      <c r="P110" s="21"/>
      <c r="Q110" s="2"/>
      <c r="R110" s="2"/>
      <c r="S110" s="2"/>
      <c r="T110" s="11"/>
      <c r="U110" s="2"/>
      <c r="V110" s="11"/>
      <c r="W110" s="2"/>
      <c r="X110" s="2"/>
      <c r="Y110" s="5"/>
      <c r="Z110" s="2"/>
      <c r="AA110" s="5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</row>
    <row r="111" spans="1:78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1"/>
      <c r="O111" s="21"/>
      <c r="P111" s="21"/>
      <c r="Q111" s="2"/>
      <c r="R111" s="2"/>
      <c r="S111" s="2"/>
      <c r="T111" s="11"/>
      <c r="U111" s="2"/>
      <c r="V111" s="11"/>
      <c r="W111" s="2"/>
      <c r="X111" s="2"/>
      <c r="Y111" s="5"/>
      <c r="Z111" s="2"/>
      <c r="AA111" s="5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</row>
    <row r="112" spans="1:78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1"/>
      <c r="O112" s="21"/>
      <c r="P112" s="21"/>
      <c r="Q112" s="2"/>
      <c r="R112" s="2"/>
      <c r="S112" s="2"/>
      <c r="T112" s="11"/>
      <c r="U112" s="2"/>
      <c r="V112" s="11"/>
      <c r="W112" s="2"/>
      <c r="X112" s="2"/>
      <c r="Y112" s="5"/>
      <c r="Z112" s="2"/>
      <c r="AA112" s="5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</row>
    <row r="113" spans="1:78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1"/>
      <c r="O113" s="21"/>
      <c r="P113" s="21"/>
      <c r="Q113" s="2"/>
      <c r="R113" s="2"/>
      <c r="S113" s="2"/>
      <c r="T113" s="11"/>
      <c r="U113" s="2"/>
      <c r="V113" s="11"/>
      <c r="W113" s="2"/>
      <c r="X113" s="2"/>
      <c r="Y113" s="5"/>
      <c r="Z113" s="2"/>
      <c r="AA113" s="5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</row>
    <row r="114" spans="1:78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1"/>
      <c r="O114" s="21"/>
      <c r="P114" s="21"/>
      <c r="Q114" s="2"/>
      <c r="R114" s="2"/>
      <c r="S114" s="2"/>
      <c r="T114" s="11"/>
      <c r="U114" s="2"/>
      <c r="V114" s="11"/>
      <c r="W114" s="2"/>
      <c r="X114" s="2"/>
      <c r="Y114" s="5"/>
      <c r="Z114" s="2"/>
      <c r="AA114" s="5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</row>
    <row r="115" spans="1:78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1"/>
      <c r="O115" s="21"/>
      <c r="P115" s="21"/>
      <c r="Q115" s="2"/>
      <c r="R115" s="2"/>
      <c r="S115" s="2"/>
      <c r="T115" s="11"/>
      <c r="U115" s="2"/>
      <c r="V115" s="11"/>
      <c r="W115" s="2"/>
      <c r="X115" s="2"/>
      <c r="Y115" s="5"/>
      <c r="Z115" s="2"/>
      <c r="AA115" s="5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</row>
    <row r="116" spans="1:78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1"/>
      <c r="O116" s="21"/>
      <c r="P116" s="21"/>
      <c r="Q116" s="2"/>
      <c r="R116" s="2"/>
      <c r="S116" s="2"/>
      <c r="T116" s="11"/>
      <c r="U116" s="2"/>
      <c r="V116" s="11"/>
      <c r="W116" s="2"/>
      <c r="X116" s="2"/>
      <c r="Y116" s="5"/>
      <c r="Z116" s="2"/>
      <c r="AA116" s="5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</row>
    <row r="117" spans="1:78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1"/>
      <c r="O117" s="21"/>
      <c r="P117" s="21"/>
      <c r="Q117" s="2"/>
      <c r="R117" s="2"/>
      <c r="S117" s="2"/>
      <c r="T117" s="11"/>
      <c r="U117" s="2"/>
      <c r="V117" s="11"/>
      <c r="W117" s="2"/>
      <c r="X117" s="2"/>
      <c r="Y117" s="5"/>
      <c r="Z117" s="2"/>
      <c r="AA117" s="5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</row>
    <row r="118" spans="1:78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1"/>
      <c r="O118" s="21"/>
      <c r="P118" s="21"/>
      <c r="Q118" s="2"/>
      <c r="R118" s="2"/>
      <c r="S118" s="2"/>
      <c r="T118" s="11"/>
      <c r="U118" s="2"/>
      <c r="V118" s="11"/>
      <c r="W118" s="2"/>
      <c r="X118" s="2"/>
      <c r="Y118" s="5"/>
      <c r="Z118" s="2"/>
      <c r="AA118" s="5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</row>
    <row r="119" spans="1:78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1"/>
      <c r="O119" s="21"/>
      <c r="P119" s="21"/>
      <c r="Q119" s="2"/>
      <c r="R119" s="2"/>
      <c r="S119" s="2"/>
      <c r="T119" s="11"/>
      <c r="U119" s="2"/>
      <c r="V119" s="11"/>
      <c r="W119" s="2"/>
      <c r="X119" s="2"/>
      <c r="Y119" s="5"/>
      <c r="Z119" s="2"/>
      <c r="AA119" s="5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</row>
    <row r="120" spans="1:78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1"/>
      <c r="O120" s="21"/>
      <c r="P120" s="21"/>
      <c r="Q120" s="2"/>
      <c r="R120" s="2"/>
      <c r="S120" s="2"/>
      <c r="T120" s="11"/>
      <c r="U120" s="2"/>
      <c r="V120" s="11"/>
      <c r="W120" s="2"/>
      <c r="X120" s="2"/>
      <c r="Y120" s="5"/>
      <c r="Z120" s="2"/>
      <c r="AA120" s="5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</row>
    <row r="121" spans="1:78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1"/>
      <c r="O121" s="21"/>
      <c r="P121" s="21"/>
      <c r="Q121" s="2"/>
      <c r="R121" s="2"/>
      <c r="S121" s="2"/>
      <c r="T121" s="11"/>
      <c r="U121" s="2"/>
      <c r="V121" s="11"/>
      <c r="W121" s="2"/>
      <c r="X121" s="2"/>
      <c r="Y121" s="5"/>
      <c r="Z121" s="2"/>
      <c r="AA121" s="5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</row>
    <row r="122" spans="1:78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1"/>
      <c r="O122" s="21"/>
      <c r="P122" s="21"/>
      <c r="Q122" s="2"/>
      <c r="R122" s="2"/>
      <c r="S122" s="2"/>
      <c r="T122" s="11"/>
      <c r="U122" s="2"/>
      <c r="V122" s="11"/>
      <c r="W122" s="2"/>
      <c r="X122" s="2"/>
      <c r="Y122" s="5"/>
      <c r="Z122" s="2"/>
      <c r="AA122" s="5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</row>
    <row r="123" spans="1:78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1"/>
      <c r="O123" s="21"/>
      <c r="P123" s="21"/>
      <c r="Q123" s="2"/>
      <c r="R123" s="2"/>
      <c r="S123" s="2"/>
      <c r="T123" s="11"/>
      <c r="U123" s="2"/>
      <c r="V123" s="11"/>
      <c r="W123" s="2"/>
      <c r="X123" s="2"/>
      <c r="Y123" s="5"/>
      <c r="Z123" s="2"/>
      <c r="AA123" s="5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</row>
    <row r="124" spans="1:78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1"/>
      <c r="O124" s="21"/>
      <c r="P124" s="21"/>
      <c r="Q124" s="2"/>
      <c r="R124" s="2"/>
      <c r="S124" s="2"/>
      <c r="T124" s="11"/>
      <c r="U124" s="2"/>
      <c r="V124" s="11"/>
      <c r="W124" s="2"/>
      <c r="X124" s="2"/>
      <c r="Y124" s="5"/>
      <c r="Z124" s="2"/>
      <c r="AA124" s="5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</row>
    <row r="125" spans="1:78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1"/>
      <c r="O125" s="21"/>
      <c r="P125" s="21"/>
      <c r="Q125" s="2"/>
      <c r="R125" s="2"/>
      <c r="S125" s="2"/>
      <c r="T125" s="11"/>
      <c r="U125" s="2"/>
      <c r="V125" s="11"/>
      <c r="W125" s="2"/>
      <c r="X125" s="2"/>
      <c r="Y125" s="5"/>
      <c r="Z125" s="2"/>
      <c r="AA125" s="5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</row>
    <row r="126" spans="1:78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1"/>
      <c r="O126" s="21"/>
      <c r="P126" s="21"/>
      <c r="Q126" s="2"/>
      <c r="R126" s="2"/>
      <c r="S126" s="2"/>
      <c r="T126" s="11"/>
      <c r="U126" s="2"/>
      <c r="V126" s="11"/>
      <c r="W126" s="2"/>
      <c r="X126" s="2"/>
      <c r="Y126" s="5"/>
      <c r="Z126" s="2"/>
      <c r="AA126" s="5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</row>
    <row r="127" spans="1:78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1"/>
      <c r="O127" s="21"/>
      <c r="P127" s="21"/>
      <c r="Q127" s="2"/>
      <c r="R127" s="2"/>
      <c r="S127" s="2"/>
      <c r="T127" s="11"/>
      <c r="U127" s="2"/>
      <c r="V127" s="11"/>
      <c r="W127" s="2"/>
      <c r="X127" s="2"/>
      <c r="Y127" s="5"/>
      <c r="Z127" s="2"/>
      <c r="AA127" s="5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</row>
    <row r="128" spans="1:78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33"/>
      <c r="O128" s="21"/>
      <c r="P128" s="21"/>
      <c r="Q128" s="2"/>
      <c r="R128" s="2"/>
      <c r="S128" s="2"/>
      <c r="T128" s="11"/>
      <c r="U128" s="2"/>
      <c r="V128" s="11"/>
      <c r="W128" s="2"/>
      <c r="X128" s="2"/>
      <c r="Y128" s="5"/>
      <c r="Z128" s="2"/>
      <c r="AA128" s="5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</row>
    <row r="129" spans="1:78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1"/>
      <c r="O129" s="21"/>
      <c r="P129" s="21"/>
      <c r="Q129" s="2"/>
      <c r="R129" s="2"/>
      <c r="S129" s="2"/>
      <c r="T129" s="11"/>
      <c r="U129" s="2"/>
      <c r="V129" s="11"/>
      <c r="W129" s="2"/>
      <c r="X129" s="2"/>
      <c r="Y129" s="5"/>
      <c r="Z129" s="2"/>
      <c r="AA129" s="5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</row>
    <row r="130" spans="1:78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1"/>
      <c r="O130" s="21"/>
      <c r="P130" s="21"/>
      <c r="Q130" s="2"/>
      <c r="R130" s="2"/>
      <c r="S130" s="2"/>
      <c r="T130" s="11"/>
      <c r="U130" s="2"/>
      <c r="V130" s="11"/>
      <c r="W130" s="2"/>
      <c r="X130" s="2"/>
      <c r="Y130" s="5"/>
      <c r="Z130" s="2"/>
      <c r="AA130" s="5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</row>
    <row r="131" spans="1:78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1"/>
      <c r="O131" s="21"/>
      <c r="P131" s="21"/>
      <c r="Q131" s="2"/>
      <c r="R131" s="2"/>
      <c r="S131" s="2"/>
      <c r="T131" s="11"/>
      <c r="U131" s="2"/>
      <c r="V131" s="11"/>
      <c r="W131" s="2"/>
      <c r="X131" s="2"/>
      <c r="Y131" s="5"/>
      <c r="Z131" s="2"/>
      <c r="AA131" s="5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</row>
    <row r="132" spans="1:78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1"/>
      <c r="O132" s="21"/>
      <c r="P132" s="21"/>
      <c r="Q132" s="2"/>
      <c r="R132" s="2"/>
      <c r="S132" s="2"/>
      <c r="T132" s="11"/>
      <c r="U132" s="2"/>
      <c r="V132" s="11"/>
      <c r="W132" s="2"/>
      <c r="X132" s="2"/>
      <c r="Y132" s="5"/>
      <c r="Z132" s="2"/>
      <c r="AA132" s="5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</row>
    <row r="133" spans="1:78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1"/>
      <c r="O133" s="21"/>
      <c r="P133" s="21"/>
      <c r="Q133" s="2"/>
      <c r="R133" s="2"/>
      <c r="S133" s="2"/>
      <c r="T133" s="11"/>
      <c r="U133" s="2"/>
      <c r="V133" s="11"/>
      <c r="W133" s="2"/>
      <c r="X133" s="2"/>
      <c r="Y133" s="5"/>
      <c r="Z133" s="2"/>
      <c r="AA133" s="5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</row>
    <row r="134" spans="1:78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1"/>
      <c r="O134" s="21"/>
      <c r="P134" s="21"/>
      <c r="Q134" s="2"/>
      <c r="R134" s="2"/>
      <c r="S134" s="2"/>
      <c r="T134" s="11"/>
      <c r="U134" s="2"/>
      <c r="V134" s="11"/>
      <c r="W134" s="2"/>
      <c r="X134" s="2"/>
      <c r="Y134" s="5"/>
      <c r="Z134" s="2"/>
      <c r="AA134" s="5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</row>
    <row r="135" spans="1:78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1"/>
      <c r="O135" s="21"/>
      <c r="P135" s="21"/>
      <c r="Q135" s="2"/>
      <c r="R135" s="2"/>
      <c r="S135" s="2"/>
      <c r="T135" s="11"/>
      <c r="U135" s="2"/>
      <c r="V135" s="11"/>
      <c r="W135" s="2"/>
      <c r="X135" s="2"/>
      <c r="Y135" s="5"/>
      <c r="Z135" s="2"/>
      <c r="AA135" s="5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</row>
    <row r="136" spans="1:78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1"/>
      <c r="O136" s="21"/>
      <c r="P136" s="21"/>
      <c r="Q136" s="2"/>
      <c r="R136" s="2"/>
      <c r="S136" s="2"/>
      <c r="T136" s="11"/>
      <c r="U136" s="2"/>
      <c r="V136" s="11"/>
      <c r="W136" s="2"/>
      <c r="X136" s="2"/>
      <c r="Y136" s="5"/>
      <c r="Z136" s="2"/>
      <c r="AA136" s="5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</row>
    <row r="137" spans="1:78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1"/>
      <c r="O137" s="21"/>
      <c r="P137" s="21"/>
      <c r="Q137" s="2"/>
      <c r="R137" s="2"/>
      <c r="S137" s="2"/>
      <c r="T137" s="11"/>
      <c r="U137" s="2"/>
      <c r="V137" s="11"/>
      <c r="W137" s="2"/>
      <c r="X137" s="2"/>
      <c r="Y137" s="5"/>
      <c r="Z137" s="2"/>
      <c r="AA137" s="5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</row>
    <row r="138" spans="1:78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21"/>
      <c r="O138" s="21"/>
      <c r="P138" s="21"/>
      <c r="Q138" s="2"/>
      <c r="R138" s="2"/>
      <c r="S138" s="2"/>
      <c r="T138" s="11"/>
      <c r="U138" s="2"/>
      <c r="V138" s="11"/>
      <c r="W138" s="2"/>
      <c r="X138" s="2"/>
      <c r="Y138" s="5"/>
      <c r="Z138" s="2"/>
      <c r="AA138" s="5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</row>
    <row r="139" spans="1:78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1"/>
      <c r="O139" s="21"/>
      <c r="P139" s="21"/>
      <c r="Q139" s="2"/>
      <c r="R139" s="2"/>
      <c r="S139" s="2"/>
      <c r="T139" s="11"/>
      <c r="U139" s="2"/>
      <c r="V139" s="11"/>
      <c r="W139" s="2"/>
      <c r="X139" s="2"/>
      <c r="Y139" s="5"/>
      <c r="Z139" s="2"/>
      <c r="AA139" s="5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</row>
    <row r="140" spans="1:78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1"/>
      <c r="O140" s="21"/>
      <c r="P140" s="21"/>
      <c r="Q140" s="2"/>
      <c r="R140" s="2"/>
      <c r="S140" s="2"/>
      <c r="T140" s="11"/>
      <c r="U140" s="2"/>
      <c r="V140" s="11"/>
      <c r="W140" s="2"/>
      <c r="X140" s="2"/>
      <c r="Y140" s="5"/>
      <c r="Z140" s="2"/>
      <c r="AA140" s="5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</row>
    <row r="141" spans="1:78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1"/>
      <c r="O141" s="21"/>
      <c r="P141" s="21"/>
      <c r="Q141" s="2"/>
      <c r="R141" s="2"/>
      <c r="S141" s="2"/>
      <c r="T141" s="11"/>
      <c r="U141" s="2"/>
      <c r="V141" s="11"/>
      <c r="W141" s="2"/>
      <c r="X141" s="2"/>
      <c r="Y141" s="5"/>
      <c r="Z141" s="2"/>
      <c r="AA141" s="5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</row>
    <row r="142" spans="1:78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1"/>
      <c r="O142" s="21"/>
      <c r="P142" s="21"/>
      <c r="Q142" s="2"/>
      <c r="R142" s="2"/>
      <c r="S142" s="2"/>
      <c r="T142" s="11"/>
      <c r="U142" s="2"/>
      <c r="V142" s="11"/>
      <c r="W142" s="2"/>
      <c r="X142" s="2"/>
      <c r="Y142" s="5"/>
      <c r="Z142" s="2"/>
      <c r="AA142" s="5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</row>
    <row r="143" spans="1:78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2"/>
      <c r="X143" s="2"/>
      <c r="Y143" s="5"/>
      <c r="Z143" s="2"/>
      <c r="AA143" s="5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</row>
    <row r="144" spans="1:78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1"/>
      <c r="O144" s="21"/>
      <c r="P144" s="21"/>
      <c r="Q144" s="2"/>
      <c r="R144" s="2"/>
      <c r="S144" s="2"/>
      <c r="T144" s="11"/>
      <c r="U144" s="2"/>
      <c r="V144" s="11"/>
      <c r="W144" s="2"/>
      <c r="X144" s="2"/>
      <c r="Y144" s="5"/>
      <c r="Z144" s="2"/>
      <c r="AA144" s="5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</row>
    <row r="145" spans="1:78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1"/>
      <c r="O145" s="21"/>
      <c r="P145" s="21"/>
      <c r="Q145" s="2"/>
      <c r="R145" s="2"/>
      <c r="S145" s="2"/>
      <c r="T145" s="11"/>
      <c r="U145" s="2"/>
      <c r="V145" s="11"/>
      <c r="W145" s="2"/>
      <c r="X145" s="2"/>
      <c r="Y145" s="5"/>
      <c r="Z145" s="2"/>
      <c r="AA145" s="5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</row>
    <row r="146" spans="1:78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1"/>
      <c r="O146" s="21"/>
      <c r="P146" s="21"/>
      <c r="Q146" s="2"/>
      <c r="R146" s="2"/>
      <c r="S146" s="2"/>
      <c r="T146" s="11"/>
      <c r="U146" s="2"/>
      <c r="V146" s="11"/>
      <c r="W146" s="2"/>
      <c r="X146" s="2"/>
      <c r="Y146" s="5"/>
      <c r="Z146" s="2"/>
      <c r="AA146" s="5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</row>
    <row r="147" spans="1:78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1"/>
      <c r="O147" s="21"/>
      <c r="P147" s="21"/>
      <c r="Q147" s="2"/>
      <c r="R147" s="2"/>
      <c r="S147" s="2"/>
      <c r="T147" s="11"/>
      <c r="U147" s="2"/>
      <c r="V147" s="11"/>
      <c r="W147" s="2"/>
      <c r="X147" s="2"/>
      <c r="Y147" s="5"/>
      <c r="Z147" s="2"/>
      <c r="AA147" s="5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</row>
    <row r="148" spans="1:78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1"/>
      <c r="O148" s="21"/>
      <c r="P148" s="21"/>
      <c r="Q148" s="2"/>
      <c r="R148" s="2"/>
      <c r="S148" s="2"/>
      <c r="T148" s="11"/>
      <c r="U148" s="2"/>
      <c r="V148" s="11"/>
      <c r="W148" s="2"/>
      <c r="X148" s="2"/>
      <c r="Y148" s="5"/>
      <c r="Z148" s="2"/>
      <c r="AA148" s="5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</row>
    <row r="149" spans="1:78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1"/>
      <c r="O149" s="21"/>
      <c r="P149" s="21"/>
      <c r="Q149" s="2"/>
      <c r="R149" s="2"/>
      <c r="S149" s="2"/>
      <c r="T149" s="11"/>
      <c r="U149" s="2"/>
      <c r="V149" s="11"/>
      <c r="W149" s="2"/>
      <c r="X149" s="2"/>
      <c r="Y149" s="5"/>
      <c r="Z149" s="2"/>
      <c r="AA149" s="5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</row>
    <row r="150" spans="1:78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1"/>
      <c r="O150" s="21"/>
      <c r="P150" s="21"/>
      <c r="Q150" s="2"/>
      <c r="R150" s="2"/>
      <c r="S150" s="2"/>
      <c r="T150" s="11"/>
      <c r="U150" s="2"/>
      <c r="V150" s="11"/>
      <c r="W150" s="2"/>
      <c r="X150" s="2"/>
      <c r="Y150" s="5"/>
      <c r="Z150" s="2"/>
      <c r="AA150" s="5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</row>
    <row r="151" spans="1:78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1"/>
      <c r="O151" s="21"/>
      <c r="P151" s="21"/>
      <c r="Q151" s="2"/>
      <c r="R151" s="2"/>
      <c r="S151" s="2"/>
      <c r="T151" s="11"/>
      <c r="U151" s="2"/>
      <c r="V151" s="11"/>
      <c r="W151" s="2"/>
      <c r="X151" s="2"/>
      <c r="Y151" s="5"/>
      <c r="Z151" s="2"/>
      <c r="AA151" s="5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</row>
    <row r="152" spans="1:78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1"/>
      <c r="O152" s="21"/>
      <c r="P152" s="21"/>
      <c r="Q152" s="2"/>
      <c r="R152" s="2"/>
      <c r="S152" s="2"/>
      <c r="T152" s="11"/>
      <c r="U152" s="2"/>
      <c r="V152" s="11"/>
      <c r="W152" s="2"/>
      <c r="X152" s="2"/>
      <c r="Y152" s="5"/>
      <c r="Z152" s="2"/>
      <c r="AA152" s="5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</row>
    <row r="153" spans="1:78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1"/>
      <c r="O153" s="21"/>
      <c r="P153" s="21"/>
      <c r="Q153" s="2"/>
      <c r="R153" s="2"/>
      <c r="S153" s="2"/>
      <c r="T153" s="11"/>
      <c r="U153" s="2"/>
      <c r="V153" s="11"/>
      <c r="W153" s="2"/>
      <c r="X153" s="2"/>
      <c r="Y153" s="5"/>
      <c r="Z153" s="2"/>
      <c r="AA153" s="5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 spans="1:78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1"/>
      <c r="O154" s="21"/>
      <c r="P154" s="21"/>
      <c r="Q154" s="2"/>
      <c r="R154" s="2"/>
      <c r="S154" s="2"/>
      <c r="T154" s="11"/>
      <c r="U154" s="2"/>
      <c r="V154" s="11"/>
      <c r="W154" s="2"/>
      <c r="X154" s="2"/>
      <c r="Y154" s="5"/>
      <c r="Z154" s="2"/>
      <c r="AA154" s="5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 spans="1:78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1"/>
      <c r="O155" s="21"/>
      <c r="P155" s="21"/>
      <c r="Q155" s="2"/>
      <c r="R155" s="2"/>
      <c r="S155" s="2"/>
      <c r="T155" s="11"/>
      <c r="U155" s="2"/>
      <c r="V155" s="11"/>
      <c r="W155" s="2"/>
      <c r="X155" s="2"/>
      <c r="Y155" s="5"/>
      <c r="Z155" s="2"/>
      <c r="AA155" s="5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</row>
    <row r="156" spans="1:78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1"/>
      <c r="O156" s="21"/>
      <c r="P156" s="21"/>
      <c r="Q156" s="2"/>
      <c r="R156" s="2"/>
      <c r="S156" s="2"/>
      <c r="T156" s="11"/>
      <c r="U156" s="2"/>
      <c r="V156" s="11"/>
      <c r="W156" s="2"/>
      <c r="X156" s="2"/>
      <c r="Y156" s="5"/>
      <c r="Z156" s="2"/>
      <c r="AA156" s="5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</row>
    <row r="157" spans="1:78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1"/>
      <c r="O157" s="21"/>
      <c r="P157" s="21"/>
      <c r="Q157" s="2"/>
      <c r="R157" s="2"/>
      <c r="S157" s="2"/>
      <c r="T157" s="11"/>
      <c r="U157" s="2"/>
      <c r="V157" s="11"/>
      <c r="W157" s="2"/>
      <c r="X157" s="2"/>
      <c r="Y157" s="5"/>
      <c r="Z157" s="2"/>
      <c r="AA157" s="5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</row>
    <row r="158" spans="1:78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1"/>
      <c r="O158" s="21"/>
      <c r="P158" s="21"/>
      <c r="Q158" s="2"/>
      <c r="R158" s="2"/>
      <c r="S158" s="2"/>
      <c r="T158" s="11"/>
      <c r="U158" s="2"/>
      <c r="V158" s="11"/>
      <c r="W158" s="2"/>
      <c r="X158" s="2"/>
      <c r="Y158" s="5"/>
      <c r="Z158" s="2"/>
      <c r="AA158" s="5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</row>
    <row r="159" spans="1:78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1"/>
      <c r="O159" s="21"/>
      <c r="P159" s="21"/>
      <c r="Q159" s="2"/>
      <c r="R159" s="2"/>
      <c r="S159" s="2"/>
      <c r="T159" s="11"/>
      <c r="U159" s="2"/>
      <c r="V159" s="11"/>
      <c r="W159" s="2"/>
      <c r="X159" s="2"/>
      <c r="Y159" s="5"/>
      <c r="Z159" s="2"/>
      <c r="AA159" s="5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</row>
    <row r="160" spans="1:78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1"/>
      <c r="O160" s="21"/>
      <c r="P160" s="21"/>
      <c r="Q160" s="2"/>
      <c r="R160" s="2"/>
      <c r="S160" s="2"/>
      <c r="T160" s="11"/>
      <c r="U160" s="2"/>
      <c r="V160" s="11"/>
      <c r="W160" s="2"/>
      <c r="X160" s="2"/>
      <c r="Y160" s="5"/>
      <c r="Z160" s="2"/>
      <c r="AA160" s="5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</row>
    <row r="161" spans="1:78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1"/>
      <c r="O161" s="21"/>
      <c r="P161" s="21"/>
      <c r="Q161" s="2"/>
      <c r="R161" s="2"/>
      <c r="S161" s="2"/>
      <c r="T161" s="11"/>
      <c r="U161" s="2"/>
      <c r="V161" s="11"/>
      <c r="W161" s="2"/>
      <c r="X161" s="2"/>
      <c r="Y161" s="5"/>
      <c r="Z161" s="2"/>
      <c r="AA161" s="5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</row>
    <row r="162" spans="1:78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1"/>
      <c r="O162" s="21"/>
      <c r="P162" s="21"/>
      <c r="Q162" s="2"/>
      <c r="R162" s="2"/>
      <c r="S162" s="2"/>
      <c r="T162" s="11"/>
      <c r="U162" s="2"/>
      <c r="V162" s="11"/>
      <c r="W162" s="2"/>
      <c r="X162" s="2"/>
      <c r="Y162" s="5"/>
      <c r="Z162" s="2"/>
      <c r="AA162" s="5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</row>
    <row r="163" spans="1:78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1"/>
      <c r="O163" s="21"/>
      <c r="P163" s="21"/>
      <c r="Q163" s="2"/>
      <c r="R163" s="2"/>
      <c r="S163" s="2"/>
      <c r="T163" s="11"/>
      <c r="U163" s="2"/>
      <c r="V163" s="11"/>
      <c r="W163" s="2"/>
      <c r="X163" s="2"/>
      <c r="Y163" s="5"/>
      <c r="Z163" s="2"/>
      <c r="AA163" s="5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</row>
    <row r="164" spans="1:78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1"/>
      <c r="O164" s="21"/>
      <c r="P164" s="21"/>
      <c r="Q164" s="2"/>
      <c r="R164" s="2"/>
      <c r="S164" s="2"/>
      <c r="T164" s="11"/>
      <c r="U164" s="2"/>
      <c r="V164" s="11"/>
      <c r="W164" s="2"/>
      <c r="X164" s="2"/>
      <c r="Y164" s="5"/>
      <c r="Z164" s="2"/>
      <c r="AA164" s="5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</row>
    <row r="165" spans="1:78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1"/>
      <c r="O165" s="21"/>
      <c r="P165" s="21"/>
      <c r="Q165" s="2"/>
      <c r="R165" s="2"/>
      <c r="S165" s="2"/>
      <c r="T165" s="11"/>
      <c r="U165" s="2"/>
      <c r="V165" s="11"/>
      <c r="W165" s="2"/>
      <c r="X165" s="2"/>
      <c r="Y165" s="5"/>
      <c r="Z165" s="2"/>
      <c r="AA165" s="5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</row>
    <row r="166" spans="1:78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1"/>
      <c r="O166" s="21"/>
      <c r="P166" s="21"/>
      <c r="Q166" s="2"/>
      <c r="R166" s="2"/>
      <c r="S166" s="2"/>
      <c r="T166" s="11"/>
      <c r="U166" s="2"/>
      <c r="V166" s="11"/>
      <c r="W166" s="2"/>
      <c r="X166" s="2"/>
      <c r="Y166" s="5"/>
      <c r="Z166" s="2"/>
      <c r="AA166" s="5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</row>
    <row r="167" spans="1:78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1"/>
      <c r="O167" s="21"/>
      <c r="P167" s="21"/>
      <c r="Q167" s="2"/>
      <c r="R167" s="2"/>
      <c r="S167" s="2"/>
      <c r="T167" s="11"/>
      <c r="U167" s="2"/>
      <c r="V167" s="11"/>
      <c r="W167" s="2"/>
      <c r="X167" s="2"/>
      <c r="Y167" s="5"/>
      <c r="Z167" s="2"/>
      <c r="AA167" s="5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</row>
    <row r="168" spans="1:78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1"/>
      <c r="O168" s="21"/>
      <c r="P168" s="21"/>
      <c r="Q168" s="2"/>
      <c r="R168" s="2"/>
      <c r="S168" s="2"/>
      <c r="T168" s="11"/>
      <c r="U168" s="2"/>
      <c r="V168" s="11"/>
      <c r="W168" s="2"/>
      <c r="X168" s="2"/>
      <c r="Y168" s="5"/>
      <c r="Z168" s="2"/>
      <c r="AA168" s="5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</row>
    <row r="169" spans="1:78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3"/>
      <c r="O169" s="23"/>
      <c r="P169" s="23"/>
      <c r="Q169" s="8"/>
      <c r="R169" s="8"/>
      <c r="S169" s="8"/>
      <c r="T169" s="13"/>
      <c r="U169" s="8"/>
      <c r="V169" s="13"/>
      <c r="W169" s="8"/>
      <c r="X169" s="8"/>
      <c r="Y169" s="19"/>
      <c r="Z169" s="8"/>
      <c r="AA169" s="19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</row>
    <row r="170" spans="1:78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3"/>
      <c r="O170" s="23"/>
      <c r="P170" s="23"/>
      <c r="Q170" s="8"/>
      <c r="R170" s="8"/>
      <c r="S170" s="8"/>
      <c r="T170" s="13"/>
      <c r="U170" s="8"/>
      <c r="V170" s="13"/>
      <c r="W170" s="8"/>
      <c r="X170" s="8"/>
      <c r="Y170" s="19"/>
      <c r="Z170" s="8"/>
      <c r="AA170" s="19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</row>
    <row r="171" spans="1:78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3"/>
      <c r="O171" s="23"/>
      <c r="P171" s="23"/>
      <c r="Q171" s="8"/>
      <c r="R171" s="8"/>
      <c r="S171" s="8"/>
      <c r="T171" s="13"/>
      <c r="U171" s="8"/>
      <c r="V171" s="13"/>
      <c r="W171" s="8"/>
      <c r="X171" s="8"/>
      <c r="Y171" s="19"/>
      <c r="Z171" s="8"/>
      <c r="AA171" s="19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</row>
    <row r="172" spans="1:78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3"/>
      <c r="O172" s="23"/>
      <c r="P172" s="23"/>
      <c r="Q172" s="8"/>
      <c r="R172" s="8"/>
      <c r="S172" s="8"/>
      <c r="T172" s="13"/>
      <c r="U172" s="8"/>
      <c r="V172" s="13"/>
      <c r="W172" s="8"/>
      <c r="X172" s="8"/>
      <c r="Y172" s="19"/>
      <c r="Z172" s="8"/>
      <c r="AA172" s="19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</row>
    <row r="173" spans="1:78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3"/>
      <c r="O173" s="23"/>
      <c r="P173" s="23"/>
      <c r="Q173" s="8"/>
      <c r="R173" s="8"/>
      <c r="S173" s="8"/>
      <c r="T173" s="13"/>
      <c r="U173" s="8"/>
      <c r="V173" s="13"/>
      <c r="W173" s="8"/>
      <c r="X173" s="8"/>
      <c r="Y173" s="19"/>
      <c r="Z173" s="8"/>
      <c r="AA173" s="19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</row>
    <row r="174" spans="1:78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3"/>
      <c r="O174" s="23"/>
      <c r="P174" s="23"/>
      <c r="Q174" s="8"/>
      <c r="R174" s="8"/>
      <c r="S174" s="8"/>
      <c r="T174" s="13"/>
      <c r="U174" s="8"/>
      <c r="V174" s="13"/>
      <c r="W174" s="8"/>
      <c r="X174" s="8"/>
      <c r="Y174" s="19"/>
      <c r="Z174" s="8"/>
      <c r="AA174" s="19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</row>
    <row r="175" spans="1:78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3"/>
      <c r="O175" s="23"/>
      <c r="P175" s="23"/>
      <c r="Q175" s="8"/>
      <c r="R175" s="8"/>
      <c r="S175" s="8"/>
      <c r="T175" s="13"/>
      <c r="U175" s="8"/>
      <c r="V175" s="13"/>
      <c r="W175" s="8"/>
      <c r="X175" s="8"/>
      <c r="Y175" s="19"/>
      <c r="Z175" s="8"/>
      <c r="AA175" s="19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</row>
    <row r="176" spans="1:78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3"/>
      <c r="O176" s="23"/>
      <c r="P176" s="23"/>
      <c r="Q176" s="8"/>
      <c r="R176" s="8"/>
      <c r="S176" s="8"/>
      <c r="T176" s="13"/>
      <c r="U176" s="8"/>
      <c r="V176" s="13"/>
      <c r="W176" s="8"/>
      <c r="X176" s="8"/>
      <c r="Y176" s="19"/>
      <c r="Z176" s="8"/>
      <c r="AA176" s="19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</row>
    <row r="177" spans="1:78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3"/>
      <c r="O177" s="23"/>
      <c r="P177" s="23"/>
      <c r="Q177" s="8"/>
      <c r="R177" s="8"/>
      <c r="S177" s="8"/>
      <c r="T177" s="13"/>
      <c r="U177" s="8"/>
      <c r="V177" s="13"/>
      <c r="W177" s="8"/>
      <c r="X177" s="8"/>
      <c r="Y177" s="19"/>
      <c r="Z177" s="8"/>
      <c r="AA177" s="19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</row>
    <row r="178" spans="1:78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3"/>
      <c r="O178" s="23"/>
      <c r="P178" s="23"/>
      <c r="Q178" s="8"/>
      <c r="R178" s="8"/>
      <c r="S178" s="8"/>
      <c r="T178" s="13"/>
      <c r="U178" s="8"/>
      <c r="V178" s="13"/>
      <c r="W178" s="8"/>
      <c r="X178" s="8"/>
      <c r="Y178" s="19"/>
      <c r="Z178" s="8"/>
      <c r="AA178" s="19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</row>
    <row r="179" spans="1:78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8"/>
      <c r="X179" s="8"/>
      <c r="Y179" s="19"/>
      <c r="Z179" s="8"/>
      <c r="AA179" s="19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</row>
    <row r="180" spans="1:78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8"/>
      <c r="X180" s="8"/>
      <c r="Y180" s="19"/>
      <c r="Z180" s="8"/>
      <c r="AA180" s="19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</row>
    <row r="181" spans="1:78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8"/>
      <c r="X181" s="8"/>
      <c r="Y181" s="19"/>
      <c r="Z181" s="8"/>
      <c r="AA181" s="19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</row>
    <row r="182" spans="1:78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8"/>
      <c r="X182" s="8"/>
      <c r="Y182" s="19"/>
      <c r="Z182" s="8"/>
      <c r="AA182" s="19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</row>
    <row r="183" spans="1:78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8"/>
      <c r="X183" s="8"/>
      <c r="Y183" s="19"/>
      <c r="Z183" s="8"/>
      <c r="AA183" s="19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</row>
    <row r="184" spans="1:78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8"/>
      <c r="X184" s="8"/>
      <c r="Y184" s="19"/>
      <c r="Z184" s="8"/>
      <c r="AA184" s="19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</row>
    <row r="185" spans="1:78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8"/>
      <c r="X185" s="8"/>
      <c r="Y185" s="19"/>
      <c r="Z185" s="8"/>
      <c r="AA185" s="19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</row>
    <row r="186" spans="1:78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23"/>
      <c r="O186" s="23"/>
      <c r="P186" s="23"/>
      <c r="Q186" s="8"/>
      <c r="R186" s="8"/>
      <c r="S186" s="8"/>
      <c r="T186" s="13"/>
      <c r="U186" s="8"/>
      <c r="V186" s="13"/>
      <c r="W186" s="8"/>
      <c r="X186" s="8"/>
      <c r="Y186" s="19"/>
      <c r="Z186" s="8"/>
      <c r="AA186" s="19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</row>
    <row r="187" spans="1:78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23"/>
      <c r="O187" s="23"/>
      <c r="P187" s="23"/>
      <c r="Q187" s="8"/>
      <c r="R187" s="8"/>
      <c r="S187" s="8"/>
      <c r="T187" s="13"/>
      <c r="U187" s="8"/>
      <c r="V187" s="13"/>
      <c r="W187" s="8"/>
      <c r="X187" s="8"/>
      <c r="Y187" s="19"/>
      <c r="Z187" s="8"/>
      <c r="AA187" s="19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</row>
    <row r="188" spans="1:78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23"/>
      <c r="O188" s="23"/>
      <c r="P188" s="23"/>
      <c r="Q188" s="8"/>
      <c r="R188" s="8"/>
      <c r="S188" s="8"/>
      <c r="T188" s="13"/>
      <c r="U188" s="8"/>
      <c r="V188" s="13"/>
      <c r="W188" s="8"/>
      <c r="X188" s="8"/>
      <c r="Y188" s="19"/>
      <c r="Z188" s="8"/>
      <c r="AA188" s="19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</row>
    <row r="189" spans="1:78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4"/>
      <c r="L189" s="3"/>
      <c r="M189" s="3"/>
      <c r="N189" s="23"/>
      <c r="O189" s="23"/>
      <c r="P189" s="23"/>
      <c r="Q189" s="8"/>
      <c r="R189" s="8"/>
      <c r="S189" s="8"/>
      <c r="T189" s="13"/>
      <c r="U189" s="8"/>
      <c r="V189" s="13"/>
      <c r="W189" s="8"/>
      <c r="X189" s="8"/>
      <c r="Y189" s="19"/>
      <c r="Z189" s="8"/>
      <c r="AA189" s="19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</row>
    <row r="190" spans="1:78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4"/>
      <c r="L190" s="3"/>
      <c r="M190" s="3"/>
      <c r="N190" s="23"/>
      <c r="O190" s="23"/>
      <c r="P190" s="23"/>
      <c r="Q190" s="8"/>
      <c r="R190" s="8"/>
      <c r="S190" s="8"/>
      <c r="T190" s="13"/>
      <c r="U190" s="8"/>
      <c r="V190" s="13"/>
      <c r="W190" s="8"/>
      <c r="X190" s="8"/>
      <c r="Y190" s="19"/>
      <c r="Z190" s="8"/>
      <c r="AA190" s="19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</row>
    <row r="191" spans="1:78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4"/>
      <c r="L191" s="3"/>
      <c r="M191" s="3"/>
      <c r="N191" s="23"/>
      <c r="O191" s="23"/>
      <c r="P191" s="23"/>
      <c r="Q191" s="8"/>
      <c r="R191" s="8"/>
      <c r="S191" s="8"/>
      <c r="T191" s="13"/>
      <c r="U191" s="8"/>
      <c r="V191" s="13"/>
      <c r="W191" s="8"/>
      <c r="X191" s="8"/>
      <c r="Y191" s="19"/>
      <c r="Z191" s="8"/>
      <c r="AA191" s="19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</row>
    <row r="192" spans="1:78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4"/>
      <c r="L192" s="3"/>
      <c r="M192" s="3"/>
      <c r="N192" s="23"/>
      <c r="O192" s="23"/>
      <c r="P192" s="23"/>
      <c r="Q192" s="8"/>
      <c r="R192" s="8"/>
      <c r="S192" s="8"/>
      <c r="T192" s="13"/>
      <c r="U192" s="8"/>
      <c r="V192" s="13"/>
      <c r="W192" s="8"/>
      <c r="X192" s="8"/>
      <c r="Y192" s="19"/>
      <c r="Z192" s="8"/>
      <c r="AA192" s="19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</row>
    <row r="193" spans="1:78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4"/>
      <c r="L193" s="3"/>
      <c r="M193" s="3"/>
      <c r="N193" s="23"/>
      <c r="O193" s="23"/>
      <c r="P193" s="23"/>
      <c r="Q193" s="8"/>
      <c r="R193" s="8"/>
      <c r="S193" s="8"/>
      <c r="T193" s="13"/>
      <c r="U193" s="8"/>
      <c r="V193" s="13"/>
      <c r="W193" s="8"/>
      <c r="X193" s="8"/>
      <c r="Y193" s="19"/>
      <c r="Z193" s="8"/>
      <c r="AA193" s="19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</row>
    <row r="194" spans="1:78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4"/>
      <c r="L194" s="3"/>
      <c r="M194" s="3"/>
      <c r="N194" s="23"/>
      <c r="O194" s="23"/>
      <c r="P194" s="23"/>
      <c r="Q194" s="8"/>
      <c r="R194" s="8"/>
      <c r="S194" s="8"/>
      <c r="T194" s="13"/>
      <c r="U194" s="8"/>
      <c r="V194" s="13"/>
      <c r="W194" s="8"/>
      <c r="X194" s="8"/>
      <c r="Y194" s="19"/>
      <c r="Z194" s="8"/>
      <c r="AA194" s="19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</row>
    <row r="195" spans="1:78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4"/>
      <c r="L195" s="3"/>
      <c r="M195" s="3"/>
      <c r="N195" s="23"/>
      <c r="O195" s="23"/>
      <c r="P195" s="23"/>
      <c r="Q195" s="8"/>
      <c r="R195" s="8"/>
      <c r="S195" s="8"/>
      <c r="T195" s="13"/>
      <c r="U195" s="8"/>
      <c r="V195" s="13"/>
      <c r="W195" s="8"/>
      <c r="X195" s="8"/>
      <c r="Y195" s="19"/>
      <c r="Z195" s="8"/>
      <c r="AA195" s="19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</row>
    <row r="196" spans="1:78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4"/>
      <c r="L196" s="3"/>
      <c r="M196" s="3"/>
      <c r="N196" s="23"/>
      <c r="O196" s="23"/>
      <c r="P196" s="23"/>
      <c r="Q196" s="8"/>
      <c r="R196" s="8"/>
      <c r="S196" s="8"/>
      <c r="T196" s="13"/>
      <c r="U196" s="8"/>
      <c r="V196" s="13"/>
      <c r="W196" s="8"/>
      <c r="X196" s="8"/>
      <c r="Y196" s="19"/>
      <c r="Z196" s="8"/>
      <c r="AA196" s="19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</row>
    <row r="197" spans="1:78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4"/>
      <c r="L197" s="3"/>
      <c r="M197" s="3"/>
      <c r="N197" s="23"/>
      <c r="O197" s="23"/>
      <c r="P197" s="23"/>
      <c r="Q197" s="8"/>
      <c r="R197" s="8"/>
      <c r="S197" s="8"/>
      <c r="T197" s="13"/>
      <c r="U197" s="8"/>
      <c r="V197" s="13"/>
      <c r="W197" s="8"/>
      <c r="X197" s="8"/>
      <c r="Y197" s="19"/>
      <c r="Z197" s="8"/>
      <c r="AA197" s="19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</row>
    <row r="198" spans="1:78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4"/>
      <c r="L198" s="3"/>
      <c r="M198" s="3"/>
      <c r="N198" s="23"/>
      <c r="O198" s="23"/>
      <c r="P198" s="23"/>
      <c r="Q198" s="8"/>
      <c r="R198" s="8"/>
      <c r="S198" s="8"/>
      <c r="T198" s="13"/>
      <c r="U198" s="8"/>
      <c r="V198" s="13"/>
      <c r="W198" s="8"/>
      <c r="X198" s="8"/>
      <c r="Y198" s="19"/>
      <c r="Z198" s="8"/>
      <c r="AA198" s="19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</row>
    <row r="199" spans="1:78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4"/>
      <c r="L199" s="3"/>
      <c r="M199" s="3"/>
      <c r="N199" s="23"/>
      <c r="O199" s="23"/>
      <c r="P199" s="23"/>
      <c r="Q199" s="8"/>
      <c r="R199" s="8"/>
      <c r="S199" s="8"/>
      <c r="T199" s="13"/>
      <c r="U199" s="8"/>
      <c r="V199" s="13"/>
      <c r="W199" s="8"/>
      <c r="X199" s="8"/>
      <c r="Y199" s="19"/>
      <c r="Z199" s="8"/>
      <c r="AA199" s="19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</row>
    <row r="200" spans="1:78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4"/>
      <c r="L200" s="3"/>
      <c r="M200" s="3"/>
      <c r="N200" s="23"/>
      <c r="O200" s="23"/>
      <c r="P200" s="23"/>
      <c r="Q200" s="8"/>
      <c r="R200" s="8"/>
      <c r="S200" s="8"/>
      <c r="T200" s="13"/>
      <c r="U200" s="8"/>
      <c r="V200" s="13"/>
      <c r="W200" s="8"/>
      <c r="X200" s="8"/>
      <c r="Y200" s="19"/>
      <c r="Z200" s="8"/>
      <c r="AA200" s="19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</row>
    <row r="201" spans="1:78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4"/>
      <c r="L201" s="3"/>
      <c r="M201" s="3"/>
      <c r="N201" s="23"/>
      <c r="O201" s="23"/>
      <c r="P201" s="23"/>
      <c r="Q201" s="8"/>
      <c r="R201" s="8"/>
      <c r="S201" s="8"/>
      <c r="T201" s="13"/>
      <c r="U201" s="8"/>
      <c r="V201" s="13"/>
      <c r="W201" s="8"/>
      <c r="X201" s="8"/>
      <c r="Y201" s="19"/>
      <c r="Z201" s="8"/>
      <c r="AA201" s="19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</row>
    <row r="202" spans="1:78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4"/>
      <c r="L202" s="3"/>
      <c r="M202" s="3"/>
      <c r="N202" s="23"/>
      <c r="O202" s="23"/>
      <c r="P202" s="23"/>
      <c r="Q202" s="8"/>
      <c r="R202" s="8"/>
      <c r="S202" s="8"/>
      <c r="T202" s="13"/>
      <c r="U202" s="8"/>
      <c r="V202" s="13"/>
      <c r="W202" s="8"/>
      <c r="X202" s="8"/>
      <c r="Y202" s="19"/>
      <c r="Z202" s="8"/>
      <c r="AA202" s="19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</row>
    <row r="203" spans="1:78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4"/>
      <c r="L203" s="3"/>
      <c r="M203" s="3"/>
      <c r="N203" s="23"/>
      <c r="O203" s="23"/>
      <c r="P203" s="23"/>
      <c r="Q203" s="8"/>
      <c r="R203" s="8"/>
      <c r="S203" s="8"/>
      <c r="T203" s="13"/>
      <c r="U203" s="8"/>
      <c r="V203" s="13"/>
      <c r="W203" s="8"/>
      <c r="X203" s="8"/>
      <c r="Y203" s="19"/>
      <c r="Z203" s="8"/>
      <c r="AA203" s="19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</row>
    <row r="204" spans="1:78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4"/>
      <c r="L204" s="3"/>
      <c r="M204" s="3"/>
      <c r="N204" s="23"/>
      <c r="O204" s="23"/>
      <c r="P204" s="23"/>
      <c r="Q204" s="8"/>
      <c r="R204" s="8"/>
      <c r="S204" s="8"/>
      <c r="T204" s="13"/>
      <c r="U204" s="8"/>
      <c r="V204" s="13"/>
      <c r="W204" s="8"/>
      <c r="X204" s="8"/>
      <c r="Y204" s="19"/>
      <c r="Z204" s="8"/>
      <c r="AA204" s="19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</row>
    <row r="205" spans="1:78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4"/>
      <c r="L205" s="3"/>
      <c r="M205" s="3"/>
      <c r="N205" s="23"/>
      <c r="O205" s="23"/>
      <c r="P205" s="23"/>
      <c r="Q205" s="8"/>
      <c r="R205" s="8"/>
      <c r="S205" s="8"/>
      <c r="T205" s="13"/>
      <c r="U205" s="8"/>
      <c r="V205" s="13"/>
      <c r="W205" s="8"/>
      <c r="X205" s="8"/>
      <c r="Y205" s="19"/>
      <c r="Z205" s="8"/>
      <c r="AA205" s="19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</row>
    <row r="206" spans="1:78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4"/>
      <c r="L206" s="3"/>
      <c r="M206" s="3"/>
      <c r="N206" s="23"/>
      <c r="O206" s="23"/>
      <c r="P206" s="23"/>
      <c r="Q206" s="8"/>
      <c r="R206" s="8"/>
      <c r="S206" s="8"/>
      <c r="T206" s="13"/>
      <c r="U206" s="8"/>
      <c r="V206" s="13"/>
      <c r="W206" s="8"/>
      <c r="X206" s="8"/>
      <c r="Y206" s="19"/>
      <c r="Z206" s="8"/>
      <c r="AA206" s="19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</row>
    <row r="207" spans="1:78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4"/>
      <c r="L207" s="3"/>
      <c r="M207" s="3"/>
      <c r="N207" s="23"/>
      <c r="O207" s="23"/>
      <c r="P207" s="23"/>
      <c r="Q207" s="8"/>
      <c r="R207" s="8"/>
      <c r="S207" s="8"/>
      <c r="T207" s="13"/>
      <c r="U207" s="8"/>
      <c r="V207" s="13"/>
      <c r="W207" s="8"/>
      <c r="X207" s="8"/>
      <c r="Y207" s="19"/>
      <c r="Z207" s="8"/>
      <c r="AA207" s="19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</row>
    <row r="208" spans="1:78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4"/>
      <c r="L208" s="3"/>
      <c r="M208" s="3"/>
      <c r="N208" s="23"/>
      <c r="O208" s="23"/>
      <c r="P208" s="23"/>
      <c r="Q208" s="8"/>
      <c r="R208" s="8"/>
      <c r="S208" s="8"/>
      <c r="T208" s="13"/>
      <c r="U208" s="8"/>
      <c r="V208" s="13"/>
      <c r="W208" s="8"/>
      <c r="X208" s="8"/>
      <c r="Y208" s="19"/>
      <c r="Z208" s="8"/>
      <c r="AA208" s="19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</row>
    <row r="209" spans="1:78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4"/>
      <c r="L209" s="3"/>
      <c r="M209" s="3"/>
      <c r="N209" s="23"/>
      <c r="O209" s="23"/>
      <c r="P209" s="23"/>
      <c r="Q209" s="8"/>
      <c r="R209" s="8"/>
      <c r="S209" s="8"/>
      <c r="T209" s="13"/>
      <c r="U209" s="8"/>
      <c r="V209" s="13"/>
      <c r="W209" s="8"/>
      <c r="X209" s="8"/>
      <c r="Y209" s="19"/>
      <c r="Z209" s="8"/>
      <c r="AA209" s="19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</row>
    <row r="210" spans="1:78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4"/>
      <c r="L210" s="3"/>
      <c r="M210" s="3"/>
      <c r="N210" s="23"/>
      <c r="O210" s="23"/>
      <c r="P210" s="23"/>
      <c r="Q210" s="8"/>
      <c r="R210" s="8"/>
      <c r="S210" s="8"/>
      <c r="T210" s="13"/>
      <c r="U210" s="8"/>
      <c r="V210" s="13"/>
      <c r="W210" s="8"/>
      <c r="X210" s="8"/>
      <c r="Y210" s="19"/>
      <c r="Z210" s="8"/>
      <c r="AA210" s="19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</row>
    <row r="211" spans="1:78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4"/>
      <c r="L211" s="3"/>
      <c r="M211" s="3"/>
      <c r="N211" s="23"/>
      <c r="O211" s="23"/>
      <c r="P211" s="23"/>
      <c r="Q211" s="8"/>
      <c r="R211" s="8"/>
      <c r="S211" s="8"/>
      <c r="T211" s="13"/>
      <c r="U211" s="8"/>
      <c r="V211" s="13"/>
      <c r="W211" s="8"/>
      <c r="X211" s="8"/>
      <c r="Y211" s="19"/>
      <c r="Z211" s="8"/>
      <c r="AA211" s="19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</row>
    <row r="212" spans="1:78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4"/>
      <c r="L212" s="3"/>
      <c r="M212" s="3"/>
      <c r="N212" s="23"/>
      <c r="O212" s="23"/>
      <c r="P212" s="23"/>
      <c r="Q212" s="8"/>
      <c r="R212" s="8"/>
      <c r="S212" s="8"/>
      <c r="T212" s="13"/>
      <c r="U212" s="8"/>
      <c r="V212" s="13"/>
      <c r="W212" s="8"/>
      <c r="X212" s="8"/>
      <c r="Y212" s="19"/>
      <c r="Z212" s="8"/>
      <c r="AA212" s="19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</row>
    <row r="213" spans="1:78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4"/>
      <c r="L213" s="3"/>
      <c r="M213" s="3"/>
      <c r="N213" s="23"/>
      <c r="O213" s="23"/>
      <c r="P213" s="23"/>
      <c r="Q213" s="8"/>
      <c r="R213" s="8"/>
      <c r="S213" s="8"/>
      <c r="T213" s="13"/>
      <c r="U213" s="8"/>
      <c r="V213" s="13"/>
      <c r="W213" s="8"/>
      <c r="X213" s="8"/>
      <c r="Y213" s="19"/>
      <c r="Z213" s="8"/>
      <c r="AA213" s="19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C607-9D98-4785-B36F-2CF7B626A37E}">
  <dimension ref="A1:BZ223"/>
  <sheetViews>
    <sheetView topLeftCell="M1" zoomScale="110" zoomScaleNormal="11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4" width="23.77734375" style="8" customWidth="1"/>
    <col min="25" max="25" width="23.77734375" style="19" customWidth="1"/>
    <col min="26" max="26" width="47.33203125" style="8" customWidth="1"/>
    <col min="27" max="27" width="51.6640625" style="19" customWidth="1"/>
    <col min="28" max="16384" width="8.88671875" style="6"/>
  </cols>
  <sheetData>
    <row r="1" spans="1:27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20</v>
      </c>
      <c r="N1" s="22" t="s">
        <v>28</v>
      </c>
      <c r="O1" s="22" t="s">
        <v>17</v>
      </c>
      <c r="P1" s="22" t="s">
        <v>26</v>
      </c>
      <c r="Q1" s="18" t="s">
        <v>12</v>
      </c>
      <c r="R1" s="17" t="s">
        <v>15</v>
      </c>
      <c r="S1" s="17" t="s">
        <v>27</v>
      </c>
      <c r="T1" s="12" t="s">
        <v>13</v>
      </c>
      <c r="U1" s="17" t="s">
        <v>14</v>
      </c>
      <c r="V1" s="12" t="s">
        <v>24</v>
      </c>
      <c r="W1" s="17" t="s">
        <v>18</v>
      </c>
      <c r="X1" s="17" t="s">
        <v>21</v>
      </c>
      <c r="Y1" s="12" t="s">
        <v>23</v>
      </c>
      <c r="Z1" s="25" t="s">
        <v>25</v>
      </c>
      <c r="AA1" s="25" t="s">
        <v>22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4">
        <v>32.099009900990097</v>
      </c>
      <c r="L2" s="2">
        <f>(K2/1000000)</f>
        <v>3.2099009900990095E-5</v>
      </c>
      <c r="M2" s="3">
        <f>(3.142*3.07*3.07*25.4*25.4)/(4*1000000)</f>
        <v>4.7762865441819992E-3</v>
      </c>
      <c r="N2" s="21">
        <f>(L2*J2)/M2</f>
        <v>1.3524878552604352E-7</v>
      </c>
      <c r="O2" s="21">
        <f>(2.032/1000)</f>
        <v>2.032E-3</v>
      </c>
      <c r="P2" s="21">
        <v>7.43403717661394E-11</v>
      </c>
      <c r="Q2" s="2">
        <v>0.31</v>
      </c>
      <c r="R2" s="2">
        <f>(1+Q2)*100000*1</f>
        <v>131000</v>
      </c>
      <c r="S2" s="2">
        <f>(5.19402087617513/1000)</f>
        <v>5.1940208761751296E-3</v>
      </c>
      <c r="T2" s="11">
        <v>0.08</v>
      </c>
      <c r="U2" s="11">
        <f>(1+T2)*100000</f>
        <v>108000</v>
      </c>
      <c r="V2" s="11">
        <f t="shared" ref="V2:V65" si="1">(L2*U2)</f>
        <v>3.4666930693069302</v>
      </c>
      <c r="W2" s="2">
        <f>(100/1000000)*100000</f>
        <v>10</v>
      </c>
      <c r="X2" s="2">
        <f>(N2+((P2/O2)*(SQRT(V2)-SQRT(W2))))</f>
        <v>8.767490250959912E-8</v>
      </c>
      <c r="Y2" s="11">
        <f>((X2*O2/P2) + SQRT(V2))^2</f>
        <v>18.133870815989237</v>
      </c>
      <c r="Z2" s="2">
        <f>(X2*S2)/(R2-Y2)</f>
        <v>3.4767047333280655E-15</v>
      </c>
      <c r="AA2" s="2">
        <f>(Z2*6.022E+23)</f>
        <v>2093671590.4101613</v>
      </c>
    </row>
    <row r="3" spans="1:27" x14ac:dyDescent="0.25">
      <c r="A3" s="26">
        <v>3</v>
      </c>
      <c r="B3" s="26">
        <f t="shared" ref="B3:B66" si="2">(A3/60)</f>
        <v>0.05</v>
      </c>
      <c r="C3" s="26">
        <v>20</v>
      </c>
      <c r="D3" s="26">
        <f t="shared" si="0"/>
        <v>29.146000000000001</v>
      </c>
      <c r="E3" s="26">
        <f t="shared" ref="E3:E66" si="3">(D3/(1000000*60))</f>
        <v>4.8576666666666667E-7</v>
      </c>
      <c r="F3" s="26">
        <v>21.1</v>
      </c>
      <c r="G3" s="26">
        <f t="shared" ref="G3:G66" si="4">(273+F3)</f>
        <v>294.10000000000002</v>
      </c>
      <c r="H3" s="26">
        <v>101.3</v>
      </c>
      <c r="I3" s="26">
        <f t="shared" ref="I3:I66" si="5">(H3*1000)</f>
        <v>101300</v>
      </c>
      <c r="J3" s="26">
        <f t="shared" ref="J3:J66" si="6">((I3*E3)/(8.314*G3))</f>
        <v>2.0124824921938581E-5</v>
      </c>
      <c r="K3" s="28">
        <v>25.861386138613859</v>
      </c>
      <c r="L3" s="27">
        <f t="shared" ref="L3:L66" si="7">(K3/1000000)</f>
        <v>2.586138613861386E-5</v>
      </c>
      <c r="M3" s="29">
        <f t="shared" ref="M3:M66" si="8">(3.142*3.07*3.07*25.4*25.4)/(4*1000000)</f>
        <v>4.7762865441819992E-3</v>
      </c>
      <c r="N3" s="33">
        <f t="shared" ref="N3:N66" si="9">(L3*J3)/M3</f>
        <v>1.089666341129012E-7</v>
      </c>
      <c r="O3" s="21">
        <f t="shared" ref="O3:O66" si="10">(2.032/1000)</f>
        <v>2.032E-3</v>
      </c>
      <c r="P3" s="21">
        <v>7.43403717661394E-11</v>
      </c>
      <c r="Q3" s="2">
        <v>0.31</v>
      </c>
      <c r="R3" s="27">
        <f t="shared" ref="R3:R66" si="11">(1+Q3)*100000*1</f>
        <v>131000</v>
      </c>
      <c r="S3" s="2">
        <f t="shared" ref="S3:S66" si="12">(5.19402087617513/1000)</f>
        <v>5.1940208761751296E-3</v>
      </c>
      <c r="T3" s="11">
        <v>0.08</v>
      </c>
      <c r="U3" s="30">
        <f t="shared" ref="U3:U66" si="13">(1+T3)*100000</f>
        <v>108000</v>
      </c>
      <c r="V3" s="30">
        <f t="shared" si="1"/>
        <v>2.7930297029702968</v>
      </c>
      <c r="W3" s="2">
        <f t="shared" ref="W3:W66" si="14">(100/1000000)*100000</f>
        <v>10</v>
      </c>
      <c r="X3" s="2">
        <f t="shared" ref="X3:X66" si="15">(N3+((P3/O3)*(SQRT(V3)-SQRT(W3))))</f>
        <v>5.4417129794351913E-8</v>
      </c>
      <c r="Y3" s="11">
        <f t="shared" ref="Y3:Y66" si="16">((X3*O3/P3) + SQRT(V3))^2</f>
        <v>9.9771290159527428</v>
      </c>
      <c r="Z3" s="2">
        <f t="shared" ref="Z3:Z66" si="17">(X3*S3)/(R3-Y3)</f>
        <v>2.1577498955915112E-15</v>
      </c>
      <c r="AA3" s="27">
        <f t="shared" ref="AA3:AA66" si="18">(Z3*6.022E+23)</f>
        <v>1299396987.1252081</v>
      </c>
    </row>
    <row r="4" spans="1:27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26.306930693069308</v>
      </c>
      <c r="L4" s="27">
        <f t="shared" si="7"/>
        <v>2.6306930693069309E-5</v>
      </c>
      <c r="M4" s="29">
        <f t="shared" si="8"/>
        <v>4.7762865441819992E-3</v>
      </c>
      <c r="N4" s="33">
        <f t="shared" si="9"/>
        <v>1.1084393064241138E-7</v>
      </c>
      <c r="O4" s="21">
        <f t="shared" si="10"/>
        <v>2.032E-3</v>
      </c>
      <c r="P4" s="21">
        <v>7.43403717661394E-11</v>
      </c>
      <c r="Q4" s="2">
        <v>0.31</v>
      </c>
      <c r="R4" s="27">
        <f t="shared" si="11"/>
        <v>131000</v>
      </c>
      <c r="S4" s="2">
        <f t="shared" si="12"/>
        <v>5.1940208761751296E-3</v>
      </c>
      <c r="T4" s="11">
        <v>0.08</v>
      </c>
      <c r="U4" s="30">
        <f t="shared" si="13"/>
        <v>108000</v>
      </c>
      <c r="V4" s="30">
        <f t="shared" si="1"/>
        <v>2.8411485148514855</v>
      </c>
      <c r="W4" s="2">
        <f t="shared" si="14"/>
        <v>10</v>
      </c>
      <c r="X4" s="2">
        <f t="shared" si="15"/>
        <v>5.6818858817200601E-8</v>
      </c>
      <c r="Y4" s="11">
        <f t="shared" si="16"/>
        <v>10.488803899676341</v>
      </c>
      <c r="Z4" s="2">
        <f t="shared" si="17"/>
        <v>2.2529921377840305E-15</v>
      </c>
      <c r="AA4" s="27">
        <f t="shared" si="18"/>
        <v>1356751865.3735433</v>
      </c>
    </row>
    <row r="5" spans="1:27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30.71287128712871</v>
      </c>
      <c r="L5" s="27">
        <f t="shared" si="7"/>
        <v>3.0712871287128708E-5</v>
      </c>
      <c r="M5" s="29">
        <f t="shared" si="8"/>
        <v>4.7762865441819992E-3</v>
      </c>
      <c r="N5" s="33">
        <f t="shared" si="9"/>
        <v>1.2940830743423411E-7</v>
      </c>
      <c r="O5" s="21">
        <f t="shared" si="10"/>
        <v>2.032E-3</v>
      </c>
      <c r="P5" s="21">
        <v>7.43403717661394E-11</v>
      </c>
      <c r="Q5" s="2">
        <v>0.31</v>
      </c>
      <c r="R5" s="27">
        <f t="shared" si="11"/>
        <v>131000</v>
      </c>
      <c r="S5" s="2">
        <f t="shared" si="12"/>
        <v>5.1940208761751296E-3</v>
      </c>
      <c r="T5" s="11">
        <v>0.08</v>
      </c>
      <c r="U5" s="30">
        <f t="shared" si="13"/>
        <v>108000</v>
      </c>
      <c r="V5" s="30">
        <f t="shared" si="1"/>
        <v>3.3169900990099004</v>
      </c>
      <c r="W5" s="2">
        <f t="shared" si="14"/>
        <v>10</v>
      </c>
      <c r="X5" s="2">
        <f t="shared" si="15"/>
        <v>8.0347427360408825E-8</v>
      </c>
      <c r="Y5" s="11">
        <f t="shared" si="16"/>
        <v>16.139951455679949</v>
      </c>
      <c r="Z5" s="2">
        <f t="shared" si="17"/>
        <v>3.186088842566265E-15</v>
      </c>
      <c r="AA5" s="27">
        <f t="shared" si="18"/>
        <v>1918662700.9934049</v>
      </c>
    </row>
    <row r="6" spans="1:27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28.212871287128714</v>
      </c>
      <c r="L6" s="27">
        <f t="shared" si="7"/>
        <v>2.8212871287128712E-5</v>
      </c>
      <c r="M6" s="29">
        <f t="shared" si="8"/>
        <v>4.7762865441819992E-3</v>
      </c>
      <c r="N6" s="33">
        <f t="shared" si="9"/>
        <v>1.1887458801864929E-7</v>
      </c>
      <c r="O6" s="21">
        <f t="shared" si="10"/>
        <v>2.032E-3</v>
      </c>
      <c r="P6" s="21">
        <v>7.43403717661394E-11</v>
      </c>
      <c r="Q6" s="2">
        <v>0.31</v>
      </c>
      <c r="R6" s="27">
        <f t="shared" si="11"/>
        <v>131000</v>
      </c>
      <c r="S6" s="2">
        <f t="shared" si="12"/>
        <v>5.1940208761751296E-3</v>
      </c>
      <c r="T6" s="11">
        <v>0.08</v>
      </c>
      <c r="U6" s="30">
        <f t="shared" si="13"/>
        <v>108000</v>
      </c>
      <c r="V6" s="30">
        <f t="shared" si="1"/>
        <v>3.0469900990099008</v>
      </c>
      <c r="W6" s="2">
        <f t="shared" si="14"/>
        <v>10</v>
      </c>
      <c r="X6" s="2">
        <f t="shared" si="15"/>
        <v>6.7044324044010176E-8</v>
      </c>
      <c r="Y6" s="11">
        <f t="shared" si="16"/>
        <v>12.803048231524032</v>
      </c>
      <c r="Z6" s="2">
        <f t="shared" si="17"/>
        <v>2.6585011880349083E-15</v>
      </c>
      <c r="AA6" s="27">
        <f t="shared" si="18"/>
        <v>1600949415.4346218</v>
      </c>
    </row>
    <row r="7" spans="1:27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25.613861386138613</v>
      </c>
      <c r="L7" s="27">
        <f t="shared" si="7"/>
        <v>2.5613861386138613E-5</v>
      </c>
      <c r="M7" s="29">
        <f t="shared" si="8"/>
        <v>4.7762865441819992E-3</v>
      </c>
      <c r="N7" s="33">
        <f t="shared" si="9"/>
        <v>1.0792369159650665E-7</v>
      </c>
      <c r="O7" s="21">
        <f t="shared" si="10"/>
        <v>2.032E-3</v>
      </c>
      <c r="P7" s="21">
        <v>7.43403717661394E-11</v>
      </c>
      <c r="Q7" s="2">
        <v>0.31</v>
      </c>
      <c r="R7" s="27">
        <f t="shared" si="11"/>
        <v>131000</v>
      </c>
      <c r="S7" s="2">
        <f t="shared" si="12"/>
        <v>5.1940208761751296E-3</v>
      </c>
      <c r="T7" s="11">
        <v>0.08</v>
      </c>
      <c r="U7" s="30">
        <f t="shared" si="13"/>
        <v>108000</v>
      </c>
      <c r="V7" s="30">
        <f t="shared" si="1"/>
        <v>2.7662970297029701</v>
      </c>
      <c r="W7" s="2">
        <f t="shared" si="14"/>
        <v>10</v>
      </c>
      <c r="X7" s="2">
        <f t="shared" si="15"/>
        <v>5.3080882881225318E-8</v>
      </c>
      <c r="Y7" s="11">
        <f t="shared" si="16"/>
        <v>9.6977287183847753</v>
      </c>
      <c r="Z7" s="2">
        <f t="shared" si="17"/>
        <v>2.1047604977650066E-15</v>
      </c>
      <c r="AA7" s="27">
        <f t="shared" si="18"/>
        <v>1267486771.754087</v>
      </c>
    </row>
    <row r="8" spans="1:27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34.698019801980195</v>
      </c>
      <c r="L8" s="27">
        <f t="shared" si="7"/>
        <v>3.4698019801980197E-5</v>
      </c>
      <c r="M8" s="29">
        <f t="shared" si="8"/>
        <v>4.7762865441819992E-3</v>
      </c>
      <c r="N8" s="33">
        <f t="shared" si="9"/>
        <v>1.4619968194818616E-7</v>
      </c>
      <c r="O8" s="21">
        <f t="shared" si="10"/>
        <v>2.032E-3</v>
      </c>
      <c r="P8" s="21">
        <v>7.43403717661394E-11</v>
      </c>
      <c r="Q8" s="2">
        <v>0.31</v>
      </c>
      <c r="R8" s="27">
        <f t="shared" si="11"/>
        <v>131000</v>
      </c>
      <c r="S8" s="2">
        <f t="shared" si="12"/>
        <v>5.1940208761751296E-3</v>
      </c>
      <c r="T8" s="11">
        <v>0.08</v>
      </c>
      <c r="U8" s="30">
        <f t="shared" si="13"/>
        <v>108000</v>
      </c>
      <c r="V8" s="30">
        <f t="shared" si="1"/>
        <v>3.7473861386138614</v>
      </c>
      <c r="W8" s="2">
        <f t="shared" si="14"/>
        <v>10</v>
      </c>
      <c r="X8" s="2">
        <f t="shared" si="15"/>
        <v>1.0132981641788602E-7</v>
      </c>
      <c r="Y8" s="11">
        <f t="shared" si="16"/>
        <v>22.142097086601286</v>
      </c>
      <c r="Z8" s="2">
        <f t="shared" si="17"/>
        <v>4.0183065311971819E-15</v>
      </c>
      <c r="AA8" s="27">
        <f t="shared" si="18"/>
        <v>2419824193.0869431</v>
      </c>
    </row>
    <row r="9" spans="1:27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31.579207920792083</v>
      </c>
      <c r="L9" s="27">
        <f t="shared" si="7"/>
        <v>3.1579207920792085E-5</v>
      </c>
      <c r="M9" s="29">
        <f t="shared" si="8"/>
        <v>4.7762865441819992E-3</v>
      </c>
      <c r="N9" s="33">
        <f t="shared" si="9"/>
        <v>1.3305860624161501E-7</v>
      </c>
      <c r="O9" s="21">
        <f t="shared" si="10"/>
        <v>2.032E-3</v>
      </c>
      <c r="P9" s="21">
        <v>7.43403717661394E-11</v>
      </c>
      <c r="Q9" s="2">
        <v>0.31</v>
      </c>
      <c r="R9" s="27">
        <f t="shared" si="11"/>
        <v>131000</v>
      </c>
      <c r="S9" s="2">
        <f t="shared" si="12"/>
        <v>5.1940208761751296E-3</v>
      </c>
      <c r="T9" s="11">
        <v>0.08</v>
      </c>
      <c r="U9" s="30">
        <f t="shared" si="13"/>
        <v>108000</v>
      </c>
      <c r="V9" s="30">
        <f t="shared" si="1"/>
        <v>3.4105544554455451</v>
      </c>
      <c r="W9" s="2">
        <f t="shared" si="14"/>
        <v>10</v>
      </c>
      <c r="X9" s="2">
        <f t="shared" si="15"/>
        <v>8.4930934637261102E-8</v>
      </c>
      <c r="Y9" s="11">
        <f t="shared" si="16"/>
        <v>17.374293793111672</v>
      </c>
      <c r="Z9" s="2">
        <f t="shared" si="17"/>
        <v>3.3678745189339685E-15</v>
      </c>
      <c r="AA9" s="27">
        <f t="shared" si="18"/>
        <v>2028134035.3020358</v>
      </c>
    </row>
    <row r="10" spans="1:27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43.188118811881189</v>
      </c>
      <c r="L10" s="27">
        <f t="shared" si="7"/>
        <v>4.3188118811881192E-5</v>
      </c>
      <c r="M10" s="29">
        <f t="shared" si="8"/>
        <v>4.7762865441819992E-3</v>
      </c>
      <c r="N10" s="33">
        <f t="shared" si="9"/>
        <v>1.8197261026051877E-7</v>
      </c>
      <c r="O10" s="21">
        <f t="shared" si="10"/>
        <v>2.032E-3</v>
      </c>
      <c r="P10" s="21">
        <v>7.43403717661394E-11</v>
      </c>
      <c r="Q10" s="2">
        <v>0.31</v>
      </c>
      <c r="R10" s="27">
        <f t="shared" si="11"/>
        <v>131000</v>
      </c>
      <c r="S10" s="2">
        <f t="shared" si="12"/>
        <v>5.1940208761751296E-3</v>
      </c>
      <c r="T10" s="11">
        <v>0.08</v>
      </c>
      <c r="U10" s="30">
        <f t="shared" si="13"/>
        <v>108000</v>
      </c>
      <c r="V10" s="30">
        <f t="shared" si="1"/>
        <v>4.6643168316831689</v>
      </c>
      <c r="W10" s="2">
        <f t="shared" si="14"/>
        <v>10</v>
      </c>
      <c r="X10" s="2">
        <f t="shared" si="15"/>
        <v>1.452935863004755E-7</v>
      </c>
      <c r="Y10" s="11">
        <f t="shared" si="16"/>
        <v>37.590623781081497</v>
      </c>
      <c r="Z10" s="2">
        <f t="shared" si="17"/>
        <v>5.7624010127295255E-15</v>
      </c>
      <c r="AA10" s="27">
        <f t="shared" si="18"/>
        <v>3470117889.8657203</v>
      </c>
    </row>
    <row r="11" spans="1:27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48.361386138613859</v>
      </c>
      <c r="L11" s="27">
        <f t="shared" si="7"/>
        <v>4.8361386138613861E-5</v>
      </c>
      <c r="M11" s="29">
        <f t="shared" si="8"/>
        <v>4.7762865441819992E-3</v>
      </c>
      <c r="N11" s="33">
        <f t="shared" si="9"/>
        <v>2.0377010885316456E-7</v>
      </c>
      <c r="O11" s="21">
        <f t="shared" si="10"/>
        <v>2.032E-3</v>
      </c>
      <c r="P11" s="21">
        <v>7.43403717661394E-11</v>
      </c>
      <c r="Q11" s="2">
        <v>0.31</v>
      </c>
      <c r="R11" s="27">
        <f t="shared" si="11"/>
        <v>131000</v>
      </c>
      <c r="S11" s="2">
        <f t="shared" si="12"/>
        <v>5.1940208761751296E-3</v>
      </c>
      <c r="T11" s="11">
        <v>0.08</v>
      </c>
      <c r="U11" s="30">
        <f t="shared" si="13"/>
        <v>108000</v>
      </c>
      <c r="V11" s="30">
        <f t="shared" si="1"/>
        <v>5.2230297029702974</v>
      </c>
      <c r="W11" s="2">
        <f t="shared" si="14"/>
        <v>10</v>
      </c>
      <c r="X11" s="2">
        <f t="shared" si="15"/>
        <v>1.716895021797304E-7</v>
      </c>
      <c r="Y11" s="11">
        <f t="shared" si="16"/>
        <v>48.696812869321697</v>
      </c>
      <c r="Z11" s="2">
        <f t="shared" si="17"/>
        <v>6.8098509662580681E-15</v>
      </c>
      <c r="AA11" s="27">
        <f t="shared" si="18"/>
        <v>4100892251.880609</v>
      </c>
    </row>
    <row r="12" spans="1:27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64.67326732673267</v>
      </c>
      <c r="L12" s="27">
        <f t="shared" si="7"/>
        <v>6.4673267326732672E-5</v>
      </c>
      <c r="M12" s="29">
        <f t="shared" si="8"/>
        <v>4.7762865441819992E-3</v>
      </c>
      <c r="N12" s="33">
        <f t="shared" si="9"/>
        <v>2.7250002068356454E-7</v>
      </c>
      <c r="O12" s="21">
        <f t="shared" si="10"/>
        <v>2.032E-3</v>
      </c>
      <c r="P12" s="21">
        <v>7.43403717661394E-11</v>
      </c>
      <c r="Q12" s="2">
        <v>0.31</v>
      </c>
      <c r="R12" s="27">
        <f t="shared" si="11"/>
        <v>131000</v>
      </c>
      <c r="S12" s="2">
        <f t="shared" si="12"/>
        <v>5.1940208761751296E-3</v>
      </c>
      <c r="T12" s="11">
        <v>0.08</v>
      </c>
      <c r="U12" s="30">
        <f t="shared" si="13"/>
        <v>108000</v>
      </c>
      <c r="V12" s="30">
        <f t="shared" si="1"/>
        <v>6.9847128712871287</v>
      </c>
      <c r="W12" s="2">
        <f t="shared" si="14"/>
        <v>10</v>
      </c>
      <c r="X12" s="2">
        <f t="shared" si="15"/>
        <v>2.5349724153757109E-7</v>
      </c>
      <c r="Y12" s="11">
        <f t="shared" si="16"/>
        <v>91.621022383943426</v>
      </c>
      <c r="Z12" s="2">
        <f t="shared" si="17"/>
        <v>1.00579502617177E-14</v>
      </c>
      <c r="AA12" s="27">
        <f t="shared" si="18"/>
        <v>6056897647.6063995</v>
      </c>
    </row>
    <row r="13" spans="1:27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90.069306930693074</v>
      </c>
      <c r="L13" s="27">
        <f t="shared" si="7"/>
        <v>9.0069306930693068E-5</v>
      </c>
      <c r="M13" s="29">
        <f t="shared" si="8"/>
        <v>4.7762865441819992E-3</v>
      </c>
      <c r="N13" s="33">
        <f t="shared" si="9"/>
        <v>3.7950592286564403E-7</v>
      </c>
      <c r="O13" s="21">
        <f t="shared" si="10"/>
        <v>2.032E-3</v>
      </c>
      <c r="P13" s="21">
        <v>7.43403717661394E-11</v>
      </c>
      <c r="Q13" s="2">
        <v>0.31</v>
      </c>
      <c r="R13" s="27">
        <f t="shared" si="11"/>
        <v>131000</v>
      </c>
      <c r="S13" s="2">
        <f t="shared" si="12"/>
        <v>5.1940208761751296E-3</v>
      </c>
      <c r="T13" s="11">
        <v>0.08</v>
      </c>
      <c r="U13" s="30">
        <f t="shared" si="13"/>
        <v>108000</v>
      </c>
      <c r="V13" s="30">
        <f t="shared" si="1"/>
        <v>9.7274851485148517</v>
      </c>
      <c r="W13" s="2">
        <f t="shared" si="14"/>
        <v>10</v>
      </c>
      <c r="X13" s="2">
        <f t="shared" si="15"/>
        <v>3.7791865326010992E-7</v>
      </c>
      <c r="Y13" s="11">
        <f t="shared" si="16"/>
        <v>180.87075572171975</v>
      </c>
      <c r="Z13" s="2">
        <f t="shared" si="17"/>
        <v>1.5004819141271378E-14</v>
      </c>
      <c r="AA13" s="27">
        <f t="shared" si="18"/>
        <v>9035902086.8736248</v>
      </c>
    </row>
    <row r="14" spans="1:27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103.46039603960396</v>
      </c>
      <c r="L14" s="27">
        <f t="shared" si="7"/>
        <v>1.0346039603960396E-4</v>
      </c>
      <c r="M14" s="29">
        <f t="shared" si="8"/>
        <v>4.7762865441819992E-3</v>
      </c>
      <c r="N14" s="33">
        <f t="shared" si="9"/>
        <v>4.3592911300258845E-7</v>
      </c>
      <c r="O14" s="21">
        <f t="shared" si="10"/>
        <v>2.032E-3</v>
      </c>
      <c r="P14" s="21">
        <v>7.43403717661394E-11</v>
      </c>
      <c r="Q14" s="2">
        <v>0.31</v>
      </c>
      <c r="R14" s="27">
        <f t="shared" si="11"/>
        <v>131000</v>
      </c>
      <c r="S14" s="2">
        <f t="shared" si="12"/>
        <v>5.1940208761751296E-3</v>
      </c>
      <c r="T14" s="11">
        <v>0.08</v>
      </c>
      <c r="U14" s="30">
        <f t="shared" si="13"/>
        <v>108000</v>
      </c>
      <c r="V14" s="30">
        <f t="shared" si="1"/>
        <v>11.173722772277227</v>
      </c>
      <c r="W14" s="2">
        <f t="shared" si="14"/>
        <v>10</v>
      </c>
      <c r="X14" s="2">
        <f t="shared" si="15"/>
        <v>4.425302683392899E-7</v>
      </c>
      <c r="Y14" s="11">
        <f t="shared" si="16"/>
        <v>238.35397779717195</v>
      </c>
      <c r="Z14" s="2">
        <f t="shared" si="17"/>
        <v>1.7577871814976812E-14</v>
      </c>
      <c r="AA14" s="27">
        <f t="shared" si="18"/>
        <v>10585394406.979036</v>
      </c>
    </row>
    <row r="15" spans="1:27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119.50000000000003</v>
      </c>
      <c r="L15" s="27">
        <f t="shared" si="7"/>
        <v>1.1950000000000003E-4</v>
      </c>
      <c r="M15" s="29">
        <f t="shared" si="8"/>
        <v>4.7762865441819992E-3</v>
      </c>
      <c r="N15" s="33">
        <f t="shared" si="9"/>
        <v>5.0351178806495463E-7</v>
      </c>
      <c r="O15" s="21">
        <f t="shared" si="10"/>
        <v>2.032E-3</v>
      </c>
      <c r="P15" s="21">
        <v>7.43403717661394E-11</v>
      </c>
      <c r="Q15" s="2">
        <v>0.31</v>
      </c>
      <c r="R15" s="27">
        <f t="shared" si="11"/>
        <v>131000</v>
      </c>
      <c r="S15" s="2">
        <f t="shared" si="12"/>
        <v>5.1940208761751296E-3</v>
      </c>
      <c r="T15" s="11">
        <v>0.08</v>
      </c>
      <c r="U15" s="30">
        <f t="shared" si="13"/>
        <v>108000</v>
      </c>
      <c r="V15" s="30">
        <f t="shared" si="1"/>
        <v>12.906000000000004</v>
      </c>
      <c r="W15" s="2">
        <f t="shared" si="14"/>
        <v>10</v>
      </c>
      <c r="X15" s="2">
        <f t="shared" si="15"/>
        <v>5.1925111222238549E-7</v>
      </c>
      <c r="Y15" s="11">
        <f t="shared" si="16"/>
        <v>316.32629817563071</v>
      </c>
      <c r="Z15" s="2">
        <f t="shared" si="17"/>
        <v>2.0637628561115164E-14</v>
      </c>
      <c r="AA15" s="27">
        <f t="shared" si="18"/>
        <v>12427979919.503551</v>
      </c>
    </row>
    <row r="16" spans="1:27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140.14356435643566</v>
      </c>
      <c r="L16" s="27">
        <f t="shared" si="7"/>
        <v>1.4014356435643565E-4</v>
      </c>
      <c r="M16" s="29">
        <f t="shared" si="8"/>
        <v>4.7762865441819992E-3</v>
      </c>
      <c r="N16" s="33">
        <f t="shared" si="9"/>
        <v>5.9049319393225884E-7</v>
      </c>
      <c r="O16" s="21">
        <f t="shared" si="10"/>
        <v>2.032E-3</v>
      </c>
      <c r="P16" s="21">
        <v>7.43403717661394E-11</v>
      </c>
      <c r="Q16" s="2">
        <v>0.31</v>
      </c>
      <c r="R16" s="27">
        <f t="shared" si="11"/>
        <v>131000</v>
      </c>
      <c r="S16" s="2">
        <f t="shared" si="12"/>
        <v>5.1940208761751296E-3</v>
      </c>
      <c r="T16" s="11">
        <v>0.08</v>
      </c>
      <c r="U16" s="30">
        <f t="shared" si="13"/>
        <v>108000</v>
      </c>
      <c r="V16" s="30">
        <f t="shared" si="1"/>
        <v>15.135504950495051</v>
      </c>
      <c r="W16" s="2">
        <f t="shared" si="14"/>
        <v>10</v>
      </c>
      <c r="X16" s="2">
        <f t="shared" si="15"/>
        <v>6.1713280162878185E-7</v>
      </c>
      <c r="Y16" s="11">
        <f t="shared" si="16"/>
        <v>430.93532991610095</v>
      </c>
      <c r="Z16" s="2">
        <f t="shared" si="17"/>
        <v>2.4549464784262656E-14</v>
      </c>
      <c r="AA16" s="27">
        <f t="shared" si="18"/>
        <v>14783687693.082972</v>
      </c>
    </row>
    <row r="17" spans="1:78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154.92079207920796</v>
      </c>
      <c r="L17" s="27">
        <f t="shared" si="7"/>
        <v>1.5492079207920796E-4</v>
      </c>
      <c r="M17" s="29">
        <f t="shared" si="8"/>
        <v>4.7762865441819992E-3</v>
      </c>
      <c r="N17" s="33">
        <f t="shared" si="9"/>
        <v>6.5275686216101284E-7</v>
      </c>
      <c r="O17" s="21">
        <f t="shared" si="10"/>
        <v>2.032E-3</v>
      </c>
      <c r="P17" s="21">
        <v>7.43403717661394E-11</v>
      </c>
      <c r="Q17" s="2">
        <v>0.31</v>
      </c>
      <c r="R17" s="27">
        <f t="shared" si="11"/>
        <v>131000</v>
      </c>
      <c r="S17" s="2">
        <f t="shared" si="12"/>
        <v>5.1940208761751296E-3</v>
      </c>
      <c r="T17" s="11">
        <v>0.08</v>
      </c>
      <c r="U17" s="30">
        <f t="shared" si="13"/>
        <v>108000</v>
      </c>
      <c r="V17" s="30">
        <f t="shared" si="1"/>
        <v>16.731445544554461</v>
      </c>
      <c r="W17" s="2">
        <f t="shared" si="14"/>
        <v>10</v>
      </c>
      <c r="X17" s="2">
        <f t="shared" si="15"/>
        <v>6.8671238708482862E-7</v>
      </c>
      <c r="Y17" s="11">
        <f t="shared" si="16"/>
        <v>522.61723647033921</v>
      </c>
      <c r="Z17" s="2">
        <f t="shared" si="17"/>
        <v>2.7336526828645345E-14</v>
      </c>
      <c r="AA17" s="27">
        <f t="shared" si="18"/>
        <v>16462056456.210228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168.23762376237624</v>
      </c>
      <c r="L18" s="27">
        <f t="shared" si="7"/>
        <v>1.6823762376237623E-4</v>
      </c>
      <c r="M18" s="29">
        <f t="shared" si="8"/>
        <v>4.7762865441819992E-3</v>
      </c>
      <c r="N18" s="33">
        <f t="shared" si="9"/>
        <v>7.0886716954303877E-7</v>
      </c>
      <c r="O18" s="21">
        <f t="shared" si="10"/>
        <v>2.032E-3</v>
      </c>
      <c r="P18" s="21">
        <v>7.43403717661394E-11</v>
      </c>
      <c r="Q18" s="2">
        <v>0.31</v>
      </c>
      <c r="R18" s="27">
        <f t="shared" si="11"/>
        <v>131000</v>
      </c>
      <c r="S18" s="2">
        <f t="shared" si="12"/>
        <v>5.1940208761751296E-3</v>
      </c>
      <c r="T18" s="11">
        <v>0.08</v>
      </c>
      <c r="U18" s="30">
        <f t="shared" si="13"/>
        <v>108000</v>
      </c>
      <c r="V18" s="30">
        <f t="shared" si="1"/>
        <v>18.169663366336632</v>
      </c>
      <c r="W18" s="2">
        <f t="shared" si="14"/>
        <v>10</v>
      </c>
      <c r="X18" s="2">
        <f t="shared" si="15"/>
        <v>7.4912186440761074E-7</v>
      </c>
      <c r="Y18" s="11">
        <f t="shared" si="16"/>
        <v>612.01253576598026</v>
      </c>
      <c r="Z18" s="2">
        <f t="shared" si="17"/>
        <v>2.9841357921101979E-14</v>
      </c>
      <c r="AA18" s="27">
        <f t="shared" si="18"/>
        <v>17970465740.087612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 spans="1:78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202.7673267326733</v>
      </c>
      <c r="L19" s="27">
        <f t="shared" si="7"/>
        <v>2.027673267326733E-4</v>
      </c>
      <c r="M19" s="29">
        <f t="shared" si="8"/>
        <v>4.7762865441819992E-3</v>
      </c>
      <c r="N19" s="33">
        <f t="shared" si="9"/>
        <v>8.5435765058007668E-7</v>
      </c>
      <c r="O19" s="21">
        <f t="shared" si="10"/>
        <v>2.032E-3</v>
      </c>
      <c r="P19" s="21">
        <v>7.43403717661394E-11</v>
      </c>
      <c r="Q19" s="2">
        <v>0.31</v>
      </c>
      <c r="R19" s="27">
        <f t="shared" si="11"/>
        <v>131000</v>
      </c>
      <c r="S19" s="2">
        <f t="shared" si="12"/>
        <v>5.1940208761751296E-3</v>
      </c>
      <c r="T19" s="11">
        <v>0.08</v>
      </c>
      <c r="U19" s="30">
        <f t="shared" si="13"/>
        <v>108000</v>
      </c>
      <c r="V19" s="30">
        <f t="shared" si="1"/>
        <v>21.898871287128717</v>
      </c>
      <c r="W19" s="2">
        <f t="shared" si="14"/>
        <v>10</v>
      </c>
      <c r="X19" s="2">
        <f t="shared" si="15"/>
        <v>9.0986946927515353E-7</v>
      </c>
      <c r="Y19" s="11">
        <f t="shared" si="16"/>
        <v>873.18794244622927</v>
      </c>
      <c r="Z19" s="2">
        <f t="shared" si="17"/>
        <v>3.6317504004626838E-14</v>
      </c>
      <c r="AA19" s="27">
        <f t="shared" si="18"/>
        <v>21870400911.586285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203.50990099009903</v>
      </c>
      <c r="L20" s="27">
        <f t="shared" si="7"/>
        <v>2.0350990099009904E-4</v>
      </c>
      <c r="M20" s="29">
        <f t="shared" si="8"/>
        <v>4.7762865441819992E-3</v>
      </c>
      <c r="N20" s="33">
        <f t="shared" si="9"/>
        <v>8.5748647812926032E-7</v>
      </c>
      <c r="O20" s="21">
        <f t="shared" si="10"/>
        <v>2.032E-3</v>
      </c>
      <c r="P20" s="21">
        <v>7.43403717661394E-11</v>
      </c>
      <c r="Q20" s="2">
        <v>0.31</v>
      </c>
      <c r="R20" s="27">
        <f t="shared" si="11"/>
        <v>131000</v>
      </c>
      <c r="S20" s="2">
        <f t="shared" si="12"/>
        <v>5.1940208761751296E-3</v>
      </c>
      <c r="T20" s="11">
        <v>0.08</v>
      </c>
      <c r="U20" s="30">
        <f t="shared" si="13"/>
        <v>108000</v>
      </c>
      <c r="V20" s="30">
        <f t="shared" si="1"/>
        <v>21.979069306930697</v>
      </c>
      <c r="W20" s="2">
        <f t="shared" si="14"/>
        <v>10</v>
      </c>
      <c r="X20" s="2">
        <f t="shared" si="15"/>
        <v>9.1331150041745861E-7</v>
      </c>
      <c r="Y20" s="11">
        <f t="shared" si="16"/>
        <v>879.26472306149719</v>
      </c>
      <c r="Z20" s="2">
        <f t="shared" si="17"/>
        <v>3.6456595403667803E-14</v>
      </c>
      <c r="AA20" s="27">
        <f t="shared" si="18"/>
        <v>21954161752.088753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215.11881188118815</v>
      </c>
      <c r="L21" s="27">
        <f t="shared" si="7"/>
        <v>2.1511881188118816E-4</v>
      </c>
      <c r="M21" s="29">
        <f t="shared" si="8"/>
        <v>4.7762865441819992E-3</v>
      </c>
      <c r="N21" s="33">
        <f t="shared" si="9"/>
        <v>9.0640048214816424E-7</v>
      </c>
      <c r="O21" s="21">
        <f t="shared" si="10"/>
        <v>2.032E-3</v>
      </c>
      <c r="P21" s="21">
        <v>7.43403717661394E-11</v>
      </c>
      <c r="Q21" s="2">
        <v>0.31</v>
      </c>
      <c r="R21" s="27">
        <f t="shared" si="11"/>
        <v>131000</v>
      </c>
      <c r="S21" s="2">
        <f t="shared" si="12"/>
        <v>5.1940208761751296E-3</v>
      </c>
      <c r="T21" s="11">
        <v>0.08</v>
      </c>
      <c r="U21" s="30">
        <f t="shared" si="13"/>
        <v>108000</v>
      </c>
      <c r="V21" s="30">
        <f t="shared" si="1"/>
        <v>23.232831683168321</v>
      </c>
      <c r="W21" s="2">
        <f t="shared" si="14"/>
        <v>10</v>
      </c>
      <c r="X21" s="2">
        <f t="shared" si="15"/>
        <v>9.6704960813492766E-7</v>
      </c>
      <c r="Y21" s="11">
        <f t="shared" si="16"/>
        <v>976.75764844155265</v>
      </c>
      <c r="Z21" s="2">
        <f t="shared" si="17"/>
        <v>3.8630599899738532E-14</v>
      </c>
      <c r="AA21" s="27">
        <f t="shared" si="18"/>
        <v>23263347259.622543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231.87623762376239</v>
      </c>
      <c r="L22" s="27">
        <f t="shared" si="7"/>
        <v>2.3187623762376238E-4</v>
      </c>
      <c r="M22" s="29">
        <f t="shared" si="8"/>
        <v>4.7762865441819992E-3</v>
      </c>
      <c r="N22" s="33">
        <f t="shared" si="9"/>
        <v>9.7700769050807415E-7</v>
      </c>
      <c r="O22" s="21">
        <f t="shared" si="10"/>
        <v>2.032E-3</v>
      </c>
      <c r="P22" s="21">
        <v>7.43403717661394E-11</v>
      </c>
      <c r="Q22" s="2">
        <v>0.31</v>
      </c>
      <c r="R22" s="27">
        <f t="shared" si="11"/>
        <v>131000</v>
      </c>
      <c r="S22" s="2">
        <f t="shared" si="12"/>
        <v>5.1940208761751296E-3</v>
      </c>
      <c r="T22" s="11">
        <v>0.08</v>
      </c>
      <c r="U22" s="30">
        <f t="shared" si="13"/>
        <v>108000</v>
      </c>
      <c r="V22" s="30">
        <f t="shared" si="1"/>
        <v>25.042633663366338</v>
      </c>
      <c r="W22" s="2">
        <f t="shared" si="14"/>
        <v>10</v>
      </c>
      <c r="X22" s="2">
        <f t="shared" si="15"/>
        <v>1.0443963554570515E-6</v>
      </c>
      <c r="Y22" s="11">
        <f t="shared" si="16"/>
        <v>1125.7041226284823</v>
      </c>
      <c r="Z22" s="2">
        <f t="shared" si="17"/>
        <v>4.1768206992761049E-14</v>
      </c>
      <c r="AA22" s="27">
        <f t="shared" si="18"/>
        <v>25152814251.040703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246.10891089108912</v>
      </c>
      <c r="L23" s="27">
        <f t="shared" si="7"/>
        <v>2.461089108910891E-4</v>
      </c>
      <c r="M23" s="29">
        <f t="shared" si="8"/>
        <v>4.7762865441819992E-3</v>
      </c>
      <c r="N23" s="33">
        <f t="shared" si="9"/>
        <v>1.03697688520076E-6</v>
      </c>
      <c r="O23" s="21">
        <f t="shared" si="10"/>
        <v>2.032E-3</v>
      </c>
      <c r="P23" s="21">
        <v>7.43403717661394E-11</v>
      </c>
      <c r="Q23" s="2">
        <v>0.31</v>
      </c>
      <c r="R23" s="27">
        <f t="shared" si="11"/>
        <v>131000</v>
      </c>
      <c r="S23" s="2">
        <f t="shared" si="12"/>
        <v>5.1940208761751296E-3</v>
      </c>
      <c r="T23" s="11">
        <v>0.08</v>
      </c>
      <c r="U23" s="30">
        <f t="shared" si="13"/>
        <v>108000</v>
      </c>
      <c r="V23" s="30">
        <f t="shared" si="1"/>
        <v>26.579762376237621</v>
      </c>
      <c r="W23" s="2">
        <f t="shared" si="14"/>
        <v>10</v>
      </c>
      <c r="X23" s="2">
        <f t="shared" si="15"/>
        <v>1.109900648366815E-6</v>
      </c>
      <c r="Y23" s="11">
        <f t="shared" si="16"/>
        <v>1259.7733746420456</v>
      </c>
      <c r="Z23" s="2">
        <f t="shared" si="17"/>
        <v>4.4433768061345437E-14</v>
      </c>
      <c r="AA23" s="27">
        <f t="shared" si="18"/>
        <v>26758015126.542225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 spans="1:78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246.08415841584161</v>
      </c>
      <c r="L24" s="27">
        <f t="shared" si="7"/>
        <v>2.4608415841584163E-4</v>
      </c>
      <c r="M24" s="29">
        <f t="shared" si="8"/>
        <v>4.7762865441819992E-3</v>
      </c>
      <c r="N24" s="33">
        <f t="shared" si="9"/>
        <v>1.0368725909491208E-6</v>
      </c>
      <c r="O24" s="21">
        <f t="shared" si="10"/>
        <v>2.032E-3</v>
      </c>
      <c r="P24" s="21">
        <v>7.43403717661394E-11</v>
      </c>
      <c r="Q24" s="2">
        <v>0.31</v>
      </c>
      <c r="R24" s="27">
        <f t="shared" si="11"/>
        <v>131000</v>
      </c>
      <c r="S24" s="2">
        <f t="shared" si="12"/>
        <v>5.1940208761751296E-3</v>
      </c>
      <c r="T24" s="11">
        <v>0.08</v>
      </c>
      <c r="U24" s="30">
        <f t="shared" si="13"/>
        <v>108000</v>
      </c>
      <c r="V24" s="30">
        <f t="shared" si="1"/>
        <v>26.577089108910897</v>
      </c>
      <c r="W24" s="2">
        <f t="shared" si="14"/>
        <v>10</v>
      </c>
      <c r="X24" s="2">
        <f t="shared" si="15"/>
        <v>1.1097868688649358E-6</v>
      </c>
      <c r="Y24" s="11">
        <f t="shared" si="16"/>
        <v>1259.5342119263019</v>
      </c>
      <c r="Z24" s="2">
        <f t="shared" si="17"/>
        <v>4.4429131111685764E-14</v>
      </c>
      <c r="AA24" s="27">
        <f t="shared" si="18"/>
        <v>26755222755.457169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260.49009900990097</v>
      </c>
      <c r="L25" s="27">
        <f t="shared" si="7"/>
        <v>2.6049009900990097E-4</v>
      </c>
      <c r="M25" s="29">
        <f t="shared" si="8"/>
        <v>4.7762865441819992E-3</v>
      </c>
      <c r="N25" s="33">
        <f t="shared" si="9"/>
        <v>1.0975718454032825E-6</v>
      </c>
      <c r="O25" s="21">
        <f t="shared" si="10"/>
        <v>2.032E-3</v>
      </c>
      <c r="P25" s="21">
        <v>7.43403717661394E-11</v>
      </c>
      <c r="Q25" s="2">
        <v>0.31</v>
      </c>
      <c r="R25" s="27">
        <f t="shared" si="11"/>
        <v>131000</v>
      </c>
      <c r="S25" s="2">
        <f t="shared" si="12"/>
        <v>5.1940208761751296E-3</v>
      </c>
      <c r="T25" s="11">
        <v>0.08</v>
      </c>
      <c r="U25" s="30">
        <f t="shared" si="13"/>
        <v>108000</v>
      </c>
      <c r="V25" s="30">
        <f t="shared" si="1"/>
        <v>28.132930693069305</v>
      </c>
      <c r="W25" s="2">
        <f t="shared" si="14"/>
        <v>10</v>
      </c>
      <c r="X25" s="2">
        <f t="shared" si="15"/>
        <v>1.175928165231815E-6</v>
      </c>
      <c r="Y25" s="11">
        <f t="shared" si="16"/>
        <v>1402.244632952895</v>
      </c>
      <c r="Z25" s="2">
        <f t="shared" si="17"/>
        <v>4.7128867485380819E-14</v>
      </c>
      <c r="AA25" s="27">
        <f t="shared" si="18"/>
        <v>28381003999.696331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258.93069306930698</v>
      </c>
      <c r="L26" s="27">
        <f t="shared" si="7"/>
        <v>2.5893069306930696E-4</v>
      </c>
      <c r="M26" s="29">
        <f t="shared" si="8"/>
        <v>4.7762865441819992E-3</v>
      </c>
      <c r="N26" s="33">
        <f t="shared" si="9"/>
        <v>1.0910013075499971E-6</v>
      </c>
      <c r="O26" s="21">
        <f t="shared" si="10"/>
        <v>2.032E-3</v>
      </c>
      <c r="P26" s="21">
        <v>7.43403717661394E-11</v>
      </c>
      <c r="Q26" s="2">
        <v>0.31</v>
      </c>
      <c r="R26" s="27">
        <f t="shared" si="11"/>
        <v>131000</v>
      </c>
      <c r="S26" s="2">
        <f t="shared" si="12"/>
        <v>5.1940208761751296E-3</v>
      </c>
      <c r="T26" s="11">
        <v>0.08</v>
      </c>
      <c r="U26" s="30">
        <f t="shared" si="13"/>
        <v>108000</v>
      </c>
      <c r="V26" s="30">
        <f t="shared" si="1"/>
        <v>27.964514851485152</v>
      </c>
      <c r="W26" s="2">
        <f t="shared" si="14"/>
        <v>10</v>
      </c>
      <c r="X26" s="2">
        <f t="shared" si="15"/>
        <v>1.1687759289192913E-6</v>
      </c>
      <c r="Y26" s="11">
        <f t="shared" si="16"/>
        <v>1386.4571180863652</v>
      </c>
      <c r="Z26" s="2">
        <f t="shared" si="17"/>
        <v>4.6836514452108853E-14</v>
      </c>
      <c r="AA26" s="27">
        <f t="shared" si="18"/>
        <v>28204949003.059952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281.40594059405942</v>
      </c>
      <c r="L27" s="27">
        <f t="shared" si="7"/>
        <v>2.8140594059405943E-4</v>
      </c>
      <c r="M27" s="29">
        <f t="shared" si="8"/>
        <v>4.7762865441819992E-3</v>
      </c>
      <c r="N27" s="33">
        <f t="shared" si="9"/>
        <v>1.1857004880386211E-6</v>
      </c>
      <c r="O27" s="21">
        <f t="shared" si="10"/>
        <v>2.032E-3</v>
      </c>
      <c r="P27" s="21">
        <v>7.43403717661394E-11</v>
      </c>
      <c r="Q27" s="2">
        <v>0.31</v>
      </c>
      <c r="R27" s="27">
        <f t="shared" si="11"/>
        <v>131000</v>
      </c>
      <c r="S27" s="2">
        <f t="shared" si="12"/>
        <v>5.1940208761751296E-3</v>
      </c>
      <c r="T27" s="11">
        <v>0.08</v>
      </c>
      <c r="U27" s="30">
        <f t="shared" si="13"/>
        <v>108000</v>
      </c>
      <c r="V27" s="30">
        <f t="shared" si="1"/>
        <v>30.391841584158421</v>
      </c>
      <c r="W27" s="2">
        <f t="shared" si="14"/>
        <v>10</v>
      </c>
      <c r="X27" s="2">
        <f t="shared" si="15"/>
        <v>1.2716968575051338E-6</v>
      </c>
      <c r="Y27" s="11">
        <f t="shared" si="16"/>
        <v>1621.9229172305702</v>
      </c>
      <c r="Z27" s="2">
        <f t="shared" si="17"/>
        <v>5.105362651063591E-14</v>
      </c>
      <c r="AA27" s="27">
        <f t="shared" si="18"/>
        <v>30744493884.704945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265.7376237623763</v>
      </c>
      <c r="L28" s="27">
        <f t="shared" si="7"/>
        <v>2.6573762376237633E-4</v>
      </c>
      <c r="M28" s="29">
        <f t="shared" si="8"/>
        <v>4.7762865441819992E-3</v>
      </c>
      <c r="N28" s="33">
        <f t="shared" si="9"/>
        <v>1.119682226750847E-6</v>
      </c>
      <c r="O28" s="21">
        <f t="shared" si="10"/>
        <v>2.032E-3</v>
      </c>
      <c r="P28" s="21">
        <v>7.43403717661394E-11</v>
      </c>
      <c r="Q28" s="2">
        <v>0.31</v>
      </c>
      <c r="R28" s="27">
        <f t="shared" si="11"/>
        <v>131000</v>
      </c>
      <c r="S28" s="2">
        <f t="shared" si="12"/>
        <v>5.1940208761751296E-3</v>
      </c>
      <c r="T28" s="11">
        <v>0.08</v>
      </c>
      <c r="U28" s="30">
        <f t="shared" si="13"/>
        <v>108000</v>
      </c>
      <c r="V28" s="30">
        <f t="shared" si="1"/>
        <v>28.699663366336644</v>
      </c>
      <c r="W28" s="2">
        <f t="shared" si="14"/>
        <v>10</v>
      </c>
      <c r="X28" s="2">
        <f t="shared" si="15"/>
        <v>1.1999833286288491E-6</v>
      </c>
      <c r="Y28" s="11">
        <f t="shared" si="16"/>
        <v>1455.9744023837129</v>
      </c>
      <c r="Z28" s="2">
        <f t="shared" si="17"/>
        <v>4.811289776743707E-14</v>
      </c>
      <c r="AA28" s="27">
        <f t="shared" si="18"/>
        <v>28973587035.550606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8">
        <v>277.59405940594064</v>
      </c>
      <c r="L29" s="27">
        <f t="shared" si="7"/>
        <v>2.7759405940594066E-4</v>
      </c>
      <c r="M29" s="29">
        <f t="shared" si="8"/>
        <v>4.7762865441819992E-3</v>
      </c>
      <c r="N29" s="33">
        <f t="shared" si="9"/>
        <v>1.1696391732861454E-6</v>
      </c>
      <c r="O29" s="21">
        <f t="shared" si="10"/>
        <v>2.032E-3</v>
      </c>
      <c r="P29" s="21">
        <v>7.43403717661394E-11</v>
      </c>
      <c r="Q29" s="2">
        <v>0.31</v>
      </c>
      <c r="R29" s="27">
        <f t="shared" si="11"/>
        <v>131000</v>
      </c>
      <c r="S29" s="2">
        <f t="shared" si="12"/>
        <v>5.1940208761751296E-3</v>
      </c>
      <c r="T29" s="11">
        <v>0.08</v>
      </c>
      <c r="U29" s="30">
        <f t="shared" si="13"/>
        <v>108000</v>
      </c>
      <c r="V29" s="30">
        <f t="shared" si="1"/>
        <v>29.98015841584159</v>
      </c>
      <c r="W29" s="2">
        <f t="shared" si="14"/>
        <v>10</v>
      </c>
      <c r="X29" s="2">
        <f t="shared" si="15"/>
        <v>1.254264869679706E-6</v>
      </c>
      <c r="Y29" s="11">
        <f t="shared" si="16"/>
        <v>1580.7905810288019</v>
      </c>
      <c r="Z29" s="2">
        <f t="shared" si="17"/>
        <v>5.0337797198863916E-14</v>
      </c>
      <c r="AA29" s="27">
        <f t="shared" si="18"/>
        <v>30313421473.155853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8">
        <v>279.84653465346537</v>
      </c>
      <c r="L30" s="27">
        <f t="shared" si="7"/>
        <v>2.7984653465346537E-4</v>
      </c>
      <c r="M30" s="29">
        <f t="shared" si="8"/>
        <v>4.7762865441819992E-3</v>
      </c>
      <c r="N30" s="33">
        <f t="shared" si="9"/>
        <v>1.1791299501853355E-6</v>
      </c>
      <c r="O30" s="21">
        <f t="shared" si="10"/>
        <v>2.032E-3</v>
      </c>
      <c r="P30" s="21">
        <v>7.43403717661394E-11</v>
      </c>
      <c r="Q30" s="2">
        <v>0.31</v>
      </c>
      <c r="R30" s="27">
        <f t="shared" si="11"/>
        <v>131000</v>
      </c>
      <c r="S30" s="2">
        <f t="shared" si="12"/>
        <v>5.1940208761751296E-3</v>
      </c>
      <c r="T30" s="11">
        <v>0.08</v>
      </c>
      <c r="U30" s="30">
        <f t="shared" si="13"/>
        <v>108000</v>
      </c>
      <c r="V30" s="30">
        <f t="shared" si="1"/>
        <v>30.223425742574261</v>
      </c>
      <c r="W30" s="2">
        <f t="shared" si="14"/>
        <v>10</v>
      </c>
      <c r="X30" s="2">
        <f t="shared" si="15"/>
        <v>1.2645667187913163E-6</v>
      </c>
      <c r="Y30" s="11">
        <f t="shared" si="16"/>
        <v>1605.0371455150303</v>
      </c>
      <c r="Z30" s="2">
        <f t="shared" si="17"/>
        <v>5.0760754451507006E-14</v>
      </c>
      <c r="AA30" s="27">
        <f t="shared" si="18"/>
        <v>30568126330.697521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8">
        <v>286.95049504950498</v>
      </c>
      <c r="L31" s="27">
        <f t="shared" si="7"/>
        <v>2.8695049504950498E-4</v>
      </c>
      <c r="M31" s="29">
        <f t="shared" si="8"/>
        <v>4.7762865441819992E-3</v>
      </c>
      <c r="N31" s="33">
        <f t="shared" si="9"/>
        <v>1.2090624004058588E-6</v>
      </c>
      <c r="O31" s="21">
        <f t="shared" si="10"/>
        <v>2.032E-3</v>
      </c>
      <c r="P31" s="21">
        <v>7.43403717661394E-11</v>
      </c>
      <c r="Q31" s="2">
        <v>0.31</v>
      </c>
      <c r="R31" s="27">
        <f t="shared" si="11"/>
        <v>131000</v>
      </c>
      <c r="S31" s="2">
        <f t="shared" si="12"/>
        <v>5.1940208761751296E-3</v>
      </c>
      <c r="T31" s="11">
        <v>0.08</v>
      </c>
      <c r="U31" s="30">
        <f t="shared" si="13"/>
        <v>108000</v>
      </c>
      <c r="V31" s="30">
        <f t="shared" si="1"/>
        <v>30.990653465346536</v>
      </c>
      <c r="W31" s="2">
        <f t="shared" si="14"/>
        <v>10</v>
      </c>
      <c r="X31" s="2">
        <f t="shared" si="15"/>
        <v>1.2970360096263149E-6</v>
      </c>
      <c r="Y31" s="11">
        <f t="shared" si="16"/>
        <v>1682.6209689387417</v>
      </c>
      <c r="Z31" s="2">
        <f t="shared" si="17"/>
        <v>5.2095334452547319E-14</v>
      </c>
      <c r="AA31" s="27">
        <f t="shared" si="18"/>
        <v>31371810407.323997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8">
        <v>281.30693069306932</v>
      </c>
      <c r="L32" s="27">
        <f t="shared" si="7"/>
        <v>2.8130693069306932E-4</v>
      </c>
      <c r="M32" s="29">
        <f t="shared" si="8"/>
        <v>4.7762865441819992E-3</v>
      </c>
      <c r="N32" s="33">
        <f t="shared" si="9"/>
        <v>1.1852833110320632E-6</v>
      </c>
      <c r="O32" s="21">
        <f t="shared" si="10"/>
        <v>2.032E-3</v>
      </c>
      <c r="P32" s="21">
        <v>7.43403717661394E-11</v>
      </c>
      <c r="Q32" s="2">
        <v>0.31</v>
      </c>
      <c r="R32" s="27">
        <f t="shared" si="11"/>
        <v>131000</v>
      </c>
      <c r="S32" s="2">
        <f t="shared" si="12"/>
        <v>5.1940208761751296E-3</v>
      </c>
      <c r="T32" s="11">
        <v>0.08</v>
      </c>
      <c r="U32" s="30">
        <f t="shared" si="13"/>
        <v>108000</v>
      </c>
      <c r="V32" s="30">
        <f t="shared" si="1"/>
        <v>30.381148514851485</v>
      </c>
      <c r="W32" s="2">
        <f t="shared" si="14"/>
        <v>10</v>
      </c>
      <c r="X32" s="2">
        <f t="shared" si="15"/>
        <v>1.2712441964546464E-6</v>
      </c>
      <c r="Y32" s="11">
        <f t="shared" si="16"/>
        <v>1620.8483810173686</v>
      </c>
      <c r="Z32" s="2">
        <f t="shared" si="17"/>
        <v>5.1035030083882017E-14</v>
      </c>
      <c r="AA32" s="27">
        <f t="shared" si="18"/>
        <v>30733295116.513752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8">
        <v>291.75247524752479</v>
      </c>
      <c r="L33" s="27">
        <f t="shared" si="7"/>
        <v>2.9175247524752476E-4</v>
      </c>
      <c r="M33" s="29">
        <f t="shared" si="8"/>
        <v>4.7762865441819992E-3</v>
      </c>
      <c r="N33" s="33">
        <f t="shared" si="9"/>
        <v>1.2292954852239126E-6</v>
      </c>
      <c r="O33" s="21">
        <f t="shared" si="10"/>
        <v>2.032E-3</v>
      </c>
      <c r="P33" s="21">
        <v>7.43403717661394E-11</v>
      </c>
      <c r="Q33" s="2">
        <v>0.31</v>
      </c>
      <c r="R33" s="27">
        <f t="shared" si="11"/>
        <v>131000</v>
      </c>
      <c r="S33" s="2">
        <f t="shared" si="12"/>
        <v>5.1940208761751296E-3</v>
      </c>
      <c r="T33" s="11">
        <v>0.08</v>
      </c>
      <c r="U33" s="30">
        <f t="shared" si="13"/>
        <v>108000</v>
      </c>
      <c r="V33" s="30">
        <f t="shared" si="1"/>
        <v>31.509267326732672</v>
      </c>
      <c r="W33" s="2">
        <f t="shared" si="14"/>
        <v>10</v>
      </c>
      <c r="X33" s="2">
        <f t="shared" si="15"/>
        <v>1.3189661425448247E-6</v>
      </c>
      <c r="Y33" s="11">
        <f t="shared" si="16"/>
        <v>1736.0207441129114</v>
      </c>
      <c r="Z33" s="2">
        <f t="shared" si="17"/>
        <v>5.299804105352882E-14</v>
      </c>
      <c r="AA33" s="27">
        <f t="shared" si="18"/>
        <v>31915420322.435059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8">
        <v>289.82178217821786</v>
      </c>
      <c r="L34" s="27">
        <f t="shared" si="7"/>
        <v>2.8982178217821787E-4</v>
      </c>
      <c r="M34" s="29">
        <f t="shared" si="8"/>
        <v>4.7762865441819992E-3</v>
      </c>
      <c r="N34" s="33">
        <f t="shared" si="9"/>
        <v>1.2211605335960352E-6</v>
      </c>
      <c r="O34" s="21">
        <f t="shared" si="10"/>
        <v>2.032E-3</v>
      </c>
      <c r="P34" s="21">
        <v>7.43403717661394E-11</v>
      </c>
      <c r="Q34" s="2">
        <v>0.31</v>
      </c>
      <c r="R34" s="27">
        <f t="shared" si="11"/>
        <v>131000</v>
      </c>
      <c r="S34" s="2">
        <f t="shared" si="12"/>
        <v>5.1940208761751296E-3</v>
      </c>
      <c r="T34" s="11">
        <v>0.08</v>
      </c>
      <c r="U34" s="30">
        <f t="shared" si="13"/>
        <v>108000</v>
      </c>
      <c r="V34" s="30">
        <f t="shared" si="1"/>
        <v>31.300752475247531</v>
      </c>
      <c r="W34" s="2">
        <f t="shared" si="14"/>
        <v>10</v>
      </c>
      <c r="X34" s="2">
        <f t="shared" si="15"/>
        <v>1.3101505639481292E-6</v>
      </c>
      <c r="Y34" s="11">
        <f t="shared" si="16"/>
        <v>1714.4581183366008</v>
      </c>
      <c r="Z34" s="2">
        <f t="shared" si="17"/>
        <v>5.2635037770177373E-14</v>
      </c>
      <c r="AA34" s="27">
        <f t="shared" si="18"/>
        <v>31696819745.200817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8">
        <v>288.70792079207922</v>
      </c>
      <c r="L35" s="27">
        <f t="shared" si="7"/>
        <v>2.8870792079207922E-4</v>
      </c>
      <c r="M35" s="29">
        <f t="shared" si="8"/>
        <v>4.7762865441819992E-3</v>
      </c>
      <c r="N35" s="33">
        <f t="shared" si="9"/>
        <v>1.2164672922722597E-6</v>
      </c>
      <c r="O35" s="21">
        <f t="shared" si="10"/>
        <v>2.032E-3</v>
      </c>
      <c r="P35" s="21">
        <v>7.43403717661394E-11</v>
      </c>
      <c r="Q35" s="2">
        <v>0.31</v>
      </c>
      <c r="R35" s="27">
        <f t="shared" si="11"/>
        <v>131000</v>
      </c>
      <c r="S35" s="2">
        <f t="shared" si="12"/>
        <v>5.1940208761751296E-3</v>
      </c>
      <c r="T35" s="11">
        <v>0.08</v>
      </c>
      <c r="U35" s="30">
        <f t="shared" si="13"/>
        <v>108000</v>
      </c>
      <c r="V35" s="30">
        <f t="shared" si="1"/>
        <v>31.180455445544556</v>
      </c>
      <c r="W35" s="2">
        <f t="shared" si="14"/>
        <v>10</v>
      </c>
      <c r="X35" s="2">
        <f t="shared" si="15"/>
        <v>1.3050636217094101E-6</v>
      </c>
      <c r="Y35" s="11">
        <f t="shared" si="16"/>
        <v>1702.0747842626333</v>
      </c>
      <c r="Z35" s="2">
        <f t="shared" si="17"/>
        <v>5.2425649402998742E-14</v>
      </c>
      <c r="AA35" s="27">
        <f t="shared" si="18"/>
        <v>31570726070.485844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8">
        <v>286.50495049504951</v>
      </c>
      <c r="L36" s="27">
        <f t="shared" si="7"/>
        <v>2.8650495049504951E-4</v>
      </c>
      <c r="M36" s="29">
        <f t="shared" si="8"/>
        <v>4.7762865441819992E-3</v>
      </c>
      <c r="N36" s="33">
        <f t="shared" si="9"/>
        <v>1.2071851038763483E-6</v>
      </c>
      <c r="O36" s="21">
        <f t="shared" si="10"/>
        <v>2.032E-3</v>
      </c>
      <c r="P36" s="21">
        <v>7.43403717661394E-11</v>
      </c>
      <c r="Q36" s="2">
        <v>0.31</v>
      </c>
      <c r="R36" s="27">
        <f t="shared" si="11"/>
        <v>131000</v>
      </c>
      <c r="S36" s="2">
        <f t="shared" si="12"/>
        <v>5.1940208761751296E-3</v>
      </c>
      <c r="T36" s="11">
        <v>0.08</v>
      </c>
      <c r="U36" s="30">
        <f t="shared" si="13"/>
        <v>108000</v>
      </c>
      <c r="V36" s="30">
        <f t="shared" si="1"/>
        <v>30.942534653465348</v>
      </c>
      <c r="W36" s="2">
        <f t="shared" si="14"/>
        <v>10</v>
      </c>
      <c r="X36" s="2">
        <f t="shared" si="15"/>
        <v>1.2950005375891064E-6</v>
      </c>
      <c r="Y36" s="11">
        <f t="shared" si="16"/>
        <v>1677.7054266269242</v>
      </c>
      <c r="Z36" s="2">
        <f t="shared" si="17"/>
        <v>5.2011602864652104E-14</v>
      </c>
      <c r="AA36" s="27">
        <f t="shared" si="18"/>
        <v>31321387245.093498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8">
        <v>287.61881188118809</v>
      </c>
      <c r="L37" s="27">
        <f t="shared" si="7"/>
        <v>2.876188118811881E-4</v>
      </c>
      <c r="M37" s="29">
        <f t="shared" si="8"/>
        <v>4.7762865441819992E-3</v>
      </c>
      <c r="N37" s="33">
        <f t="shared" si="9"/>
        <v>1.2118783452001237E-6</v>
      </c>
      <c r="O37" s="21">
        <f t="shared" si="10"/>
        <v>2.032E-3</v>
      </c>
      <c r="P37" s="21">
        <v>7.43403717661394E-11</v>
      </c>
      <c r="Q37" s="2">
        <v>0.31</v>
      </c>
      <c r="R37" s="27">
        <f t="shared" si="11"/>
        <v>131000</v>
      </c>
      <c r="S37" s="2">
        <f t="shared" si="12"/>
        <v>5.1940208761751296E-3</v>
      </c>
      <c r="T37" s="11">
        <v>0.08</v>
      </c>
      <c r="U37" s="30">
        <f t="shared" si="13"/>
        <v>108000</v>
      </c>
      <c r="V37" s="30">
        <f t="shared" si="1"/>
        <v>31.062831683168316</v>
      </c>
      <c r="W37" s="2">
        <f t="shared" si="14"/>
        <v>10</v>
      </c>
      <c r="X37" s="2">
        <f t="shared" si="15"/>
        <v>1.3000889876132061E-6</v>
      </c>
      <c r="Y37" s="11">
        <f t="shared" si="16"/>
        <v>1690.0067305764849</v>
      </c>
      <c r="Z37" s="2">
        <f t="shared" si="17"/>
        <v>5.2220939556301983E-14</v>
      </c>
      <c r="AA37" s="27">
        <f t="shared" si="18"/>
        <v>31447449800.805054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8">
        <v>301.9009900990099</v>
      </c>
      <c r="L38" s="27">
        <f t="shared" si="7"/>
        <v>3.0190099009900991E-4</v>
      </c>
      <c r="M38" s="29">
        <f t="shared" si="8"/>
        <v>4.7762865441819992E-3</v>
      </c>
      <c r="N38" s="33">
        <f t="shared" si="9"/>
        <v>1.2720561283960884E-6</v>
      </c>
      <c r="O38" s="21">
        <f t="shared" si="10"/>
        <v>2.032E-3</v>
      </c>
      <c r="P38" s="21">
        <v>7.43403717661394E-11</v>
      </c>
      <c r="Q38" s="2">
        <v>0.31</v>
      </c>
      <c r="R38" s="27">
        <f t="shared" si="11"/>
        <v>131000</v>
      </c>
      <c r="S38" s="2">
        <f t="shared" si="12"/>
        <v>5.1940208761751296E-3</v>
      </c>
      <c r="T38" s="11">
        <v>0.08</v>
      </c>
      <c r="U38" s="30">
        <f t="shared" si="13"/>
        <v>108000</v>
      </c>
      <c r="V38" s="30">
        <f t="shared" si="1"/>
        <v>32.605306930693068</v>
      </c>
      <c r="W38" s="2">
        <f t="shared" si="14"/>
        <v>10</v>
      </c>
      <c r="X38" s="2">
        <f t="shared" si="15"/>
        <v>1.3652679800405252E-6</v>
      </c>
      <c r="Y38" s="11">
        <f t="shared" si="16"/>
        <v>1851.4069301304366</v>
      </c>
      <c r="Z38" s="2">
        <f t="shared" si="17"/>
        <v>5.4907531095345136E-14</v>
      </c>
      <c r="AA38" s="27">
        <f t="shared" si="18"/>
        <v>33065315225.616844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8">
        <v>288.16336633663366</v>
      </c>
      <c r="L39" s="27">
        <f t="shared" si="7"/>
        <v>2.8816336633663363E-4</v>
      </c>
      <c r="M39" s="29">
        <f t="shared" si="8"/>
        <v>4.7762865441819992E-3</v>
      </c>
      <c r="N39" s="33">
        <f t="shared" si="9"/>
        <v>1.2141728187361917E-6</v>
      </c>
      <c r="O39" s="21">
        <f t="shared" si="10"/>
        <v>2.032E-3</v>
      </c>
      <c r="P39" s="21">
        <v>7.43403717661394E-11</v>
      </c>
      <c r="Q39" s="2">
        <v>0.31</v>
      </c>
      <c r="R39" s="27">
        <f t="shared" si="11"/>
        <v>131000</v>
      </c>
      <c r="S39" s="2">
        <f t="shared" si="12"/>
        <v>5.1940208761751296E-3</v>
      </c>
      <c r="T39" s="11">
        <v>0.08</v>
      </c>
      <c r="U39" s="30">
        <f t="shared" si="13"/>
        <v>108000</v>
      </c>
      <c r="V39" s="30">
        <f t="shared" si="1"/>
        <v>31.121643564356432</v>
      </c>
      <c r="W39" s="2">
        <f t="shared" si="14"/>
        <v>10</v>
      </c>
      <c r="X39" s="2">
        <f t="shared" si="15"/>
        <v>1.3025763957674966E-6</v>
      </c>
      <c r="Y39" s="11">
        <f t="shared" si="16"/>
        <v>1696.0358007951954</v>
      </c>
      <c r="Z39" s="2">
        <f t="shared" si="17"/>
        <v>5.2323291357148835E-14</v>
      </c>
      <c r="AA39" s="27">
        <f t="shared" si="18"/>
        <v>31509086055.275028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8">
        <v>307.32178217821786</v>
      </c>
      <c r="L40" s="27">
        <f t="shared" si="7"/>
        <v>3.0732178217821786E-4</v>
      </c>
      <c r="M40" s="29">
        <f t="shared" si="8"/>
        <v>4.7762865441819992E-3</v>
      </c>
      <c r="N40" s="33">
        <f t="shared" si="9"/>
        <v>1.2948965695051292E-6</v>
      </c>
      <c r="O40" s="21">
        <f t="shared" si="10"/>
        <v>2.032E-3</v>
      </c>
      <c r="P40" s="21">
        <v>7.43403717661394E-11</v>
      </c>
      <c r="Q40" s="2">
        <v>0.31</v>
      </c>
      <c r="R40" s="27">
        <f t="shared" si="11"/>
        <v>131000</v>
      </c>
      <c r="S40" s="2">
        <f t="shared" si="12"/>
        <v>5.1940208761751296E-3</v>
      </c>
      <c r="T40" s="11">
        <v>0.08</v>
      </c>
      <c r="U40" s="30">
        <f t="shared" si="13"/>
        <v>108000</v>
      </c>
      <c r="V40" s="30">
        <f t="shared" si="1"/>
        <v>33.190752475247528</v>
      </c>
      <c r="W40" s="2">
        <f t="shared" si="14"/>
        <v>10</v>
      </c>
      <c r="X40" s="2">
        <f t="shared" si="15"/>
        <v>1.3899755611732218E-6</v>
      </c>
      <c r="Y40" s="11">
        <f t="shared" si="16"/>
        <v>1914.4444421531641</v>
      </c>
      <c r="Z40" s="2">
        <f t="shared" si="17"/>
        <v>5.592850455581506E-14</v>
      </c>
      <c r="AA40" s="27">
        <f t="shared" si="18"/>
        <v>33680145443.511829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8">
        <v>302.29702970297029</v>
      </c>
      <c r="L41" s="27">
        <f t="shared" si="7"/>
        <v>3.0229702970297032E-4</v>
      </c>
      <c r="M41" s="29">
        <f t="shared" si="8"/>
        <v>4.7762865441819992E-3</v>
      </c>
      <c r="N41" s="33">
        <f t="shared" si="9"/>
        <v>1.2737248364223199E-6</v>
      </c>
      <c r="O41" s="21">
        <f t="shared" si="10"/>
        <v>2.032E-3</v>
      </c>
      <c r="P41" s="21">
        <v>7.43403717661394E-11</v>
      </c>
      <c r="Q41" s="2">
        <v>0.31</v>
      </c>
      <c r="R41" s="27">
        <f t="shared" si="11"/>
        <v>131000</v>
      </c>
      <c r="S41" s="2">
        <f t="shared" si="12"/>
        <v>5.1940208761751296E-3</v>
      </c>
      <c r="T41" s="11">
        <v>0.08</v>
      </c>
      <c r="U41" s="30">
        <f t="shared" si="13"/>
        <v>108000</v>
      </c>
      <c r="V41" s="30">
        <f t="shared" si="1"/>
        <v>32.648079207920794</v>
      </c>
      <c r="W41" s="2">
        <f t="shared" si="14"/>
        <v>10</v>
      </c>
      <c r="X41" s="2">
        <f t="shared" si="15"/>
        <v>1.3670736648291675E-6</v>
      </c>
      <c r="Y41" s="11">
        <f t="shared" si="16"/>
        <v>1855.9793378943186</v>
      </c>
      <c r="Z41" s="2">
        <f t="shared" si="17"/>
        <v>5.4982097645620594E-14</v>
      </c>
      <c r="AA41" s="27">
        <f t="shared" si="18"/>
        <v>33110219202.192722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0">
        <v>296.20792079207922</v>
      </c>
      <c r="L42" s="27">
        <f t="shared" si="7"/>
        <v>2.9620792079207924E-4</v>
      </c>
      <c r="M42" s="29">
        <f t="shared" si="8"/>
        <v>4.7762865441819992E-3</v>
      </c>
      <c r="N42" s="33">
        <f t="shared" si="9"/>
        <v>1.2480684505190144E-6</v>
      </c>
      <c r="O42" s="21">
        <f t="shared" si="10"/>
        <v>2.032E-3</v>
      </c>
      <c r="P42" s="21">
        <v>7.43403717661394E-11</v>
      </c>
      <c r="Q42" s="2">
        <v>0.31</v>
      </c>
      <c r="R42" s="27">
        <f t="shared" si="11"/>
        <v>131000</v>
      </c>
      <c r="S42" s="2">
        <f t="shared" si="12"/>
        <v>5.1940208761751296E-3</v>
      </c>
      <c r="T42" s="11">
        <v>0.08</v>
      </c>
      <c r="U42" s="30">
        <f t="shared" si="13"/>
        <v>108000</v>
      </c>
      <c r="V42" s="30">
        <f t="shared" si="1"/>
        <v>31.990455445544558</v>
      </c>
      <c r="W42" s="2">
        <f t="shared" si="14"/>
        <v>10</v>
      </c>
      <c r="X42" s="2">
        <f t="shared" si="15"/>
        <v>1.3393012412660143E-6</v>
      </c>
      <c r="Y42" s="11">
        <f t="shared" si="16"/>
        <v>1786.2554491028618</v>
      </c>
      <c r="Z42" s="9">
        <f t="shared" si="17"/>
        <v>5.3836057694952414E-14</v>
      </c>
      <c r="AA42" s="9">
        <f t="shared" si="18"/>
        <v>32420073943.900345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0">
        <v>292.59405940594058</v>
      </c>
      <c r="L43" s="27">
        <f t="shared" si="7"/>
        <v>2.9259405940594059E-4</v>
      </c>
      <c r="M43" s="29">
        <f t="shared" si="8"/>
        <v>4.7762865441819992E-3</v>
      </c>
      <c r="N43" s="33">
        <f t="shared" si="9"/>
        <v>1.2328414897796539E-6</v>
      </c>
      <c r="O43" s="21">
        <f t="shared" si="10"/>
        <v>2.032E-3</v>
      </c>
      <c r="P43" s="21">
        <v>7.43403717661394E-11</v>
      </c>
      <c r="Q43" s="2">
        <v>0.31</v>
      </c>
      <c r="R43" s="27">
        <f t="shared" si="11"/>
        <v>131000</v>
      </c>
      <c r="S43" s="2">
        <f t="shared" si="12"/>
        <v>5.1940208761751296E-3</v>
      </c>
      <c r="T43" s="11">
        <v>0.08</v>
      </c>
      <c r="U43" s="30">
        <f t="shared" si="13"/>
        <v>108000</v>
      </c>
      <c r="V43" s="30">
        <f t="shared" si="1"/>
        <v>31.600158415841584</v>
      </c>
      <c r="W43" s="2">
        <f t="shared" si="14"/>
        <v>10</v>
      </c>
      <c r="X43" s="2">
        <f t="shared" si="15"/>
        <v>1.3228081257151474E-6</v>
      </c>
      <c r="Y43" s="11">
        <f t="shared" si="16"/>
        <v>1745.4587875657521</v>
      </c>
      <c r="Z43" s="9">
        <f t="shared" si="17"/>
        <v>5.3156298847917085E-14</v>
      </c>
      <c r="AA43" s="9">
        <f t="shared" si="18"/>
        <v>32010723166.215672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0">
        <v>302.61881188118809</v>
      </c>
      <c r="L44" s="27">
        <f t="shared" si="7"/>
        <v>3.0261881188118809E-4</v>
      </c>
      <c r="M44" s="29">
        <f t="shared" si="8"/>
        <v>4.7762865441819992E-3</v>
      </c>
      <c r="N44" s="33">
        <f t="shared" si="9"/>
        <v>1.2750806616936324E-6</v>
      </c>
      <c r="O44" s="21">
        <f t="shared" si="10"/>
        <v>2.032E-3</v>
      </c>
      <c r="P44" s="21">
        <v>7.43403717661394E-11</v>
      </c>
      <c r="Q44" s="2">
        <v>0.31</v>
      </c>
      <c r="R44" s="27">
        <f t="shared" si="11"/>
        <v>131000</v>
      </c>
      <c r="S44" s="2">
        <f t="shared" si="12"/>
        <v>5.1940208761751296E-3</v>
      </c>
      <c r="T44" s="11">
        <v>0.08</v>
      </c>
      <c r="U44" s="30">
        <f t="shared" si="13"/>
        <v>108000</v>
      </c>
      <c r="V44" s="30">
        <f t="shared" si="1"/>
        <v>32.682831683168317</v>
      </c>
      <c r="W44" s="2">
        <f t="shared" si="14"/>
        <v>10</v>
      </c>
      <c r="X44" s="2">
        <f t="shared" si="15"/>
        <v>1.368540717665159E-6</v>
      </c>
      <c r="Y44" s="11">
        <f t="shared" si="16"/>
        <v>1859.6982601020977</v>
      </c>
      <c r="Z44" s="9">
        <f t="shared" si="17"/>
        <v>5.504268583610133E-14</v>
      </c>
      <c r="AA44" s="9">
        <f t="shared" si="18"/>
        <v>33146705410.500221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0">
        <v>298.53465346534654</v>
      </c>
      <c r="L45" s="27">
        <f t="shared" si="7"/>
        <v>2.9853465346534654E-4</v>
      </c>
      <c r="M45" s="29">
        <f t="shared" si="8"/>
        <v>4.7762865441819992E-3</v>
      </c>
      <c r="N45" s="33">
        <f t="shared" si="9"/>
        <v>1.2578721101731231E-6</v>
      </c>
      <c r="O45" s="21">
        <f t="shared" si="10"/>
        <v>2.032E-3</v>
      </c>
      <c r="P45" s="21">
        <v>7.43403717661394E-11</v>
      </c>
      <c r="Q45" s="2">
        <v>0.31</v>
      </c>
      <c r="R45" s="27">
        <f t="shared" si="11"/>
        <v>131000</v>
      </c>
      <c r="S45" s="2">
        <f t="shared" si="12"/>
        <v>5.1940208761751296E-3</v>
      </c>
      <c r="T45" s="11">
        <v>0.08</v>
      </c>
      <c r="U45" s="30">
        <f t="shared" si="13"/>
        <v>108000</v>
      </c>
      <c r="V45" s="30">
        <f t="shared" si="1"/>
        <v>32.24174257425743</v>
      </c>
      <c r="W45" s="2">
        <f t="shared" si="14"/>
        <v>10</v>
      </c>
      <c r="X45" s="2">
        <f t="shared" si="15"/>
        <v>1.3499160127025415E-6</v>
      </c>
      <c r="Y45" s="11">
        <f t="shared" si="16"/>
        <v>1812.7521738655569</v>
      </c>
      <c r="Z45" s="9">
        <f t="shared" si="17"/>
        <v>5.4273870440342911E-14</v>
      </c>
      <c r="AA45" s="9">
        <f t="shared" si="18"/>
        <v>32683724779.174503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0">
        <v>298.93069306930693</v>
      </c>
      <c r="L46" s="27">
        <f t="shared" si="7"/>
        <v>2.989306930693069E-4</v>
      </c>
      <c r="M46" s="29">
        <f t="shared" si="8"/>
        <v>4.7762865441819992E-3</v>
      </c>
      <c r="N46" s="33">
        <f t="shared" si="9"/>
        <v>1.2595408181993541E-6</v>
      </c>
      <c r="O46" s="21">
        <f t="shared" si="10"/>
        <v>2.032E-3</v>
      </c>
      <c r="P46" s="21">
        <v>7.43403717661394E-11</v>
      </c>
      <c r="Q46" s="2">
        <v>0.31</v>
      </c>
      <c r="R46" s="27">
        <f t="shared" si="11"/>
        <v>131000</v>
      </c>
      <c r="S46" s="2">
        <f t="shared" si="12"/>
        <v>5.1940208761751296E-3</v>
      </c>
      <c r="T46" s="11">
        <v>0.08</v>
      </c>
      <c r="U46" s="30">
        <f t="shared" si="13"/>
        <v>108000</v>
      </c>
      <c r="V46" s="30">
        <f t="shared" si="1"/>
        <v>32.284514851485149</v>
      </c>
      <c r="W46" s="2">
        <f t="shared" si="14"/>
        <v>10</v>
      </c>
      <c r="X46" s="2">
        <f t="shared" si="15"/>
        <v>1.3517224671060807E-6</v>
      </c>
      <c r="Y46" s="11">
        <f t="shared" si="16"/>
        <v>1817.2802138326333</v>
      </c>
      <c r="Z46" s="9">
        <f t="shared" si="17"/>
        <v>5.4348404527830006E-14</v>
      </c>
      <c r="AA46" s="9">
        <f t="shared" si="18"/>
        <v>32728609206.659233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0">
        <v>296.00990099009903</v>
      </c>
      <c r="L47" s="27">
        <f t="shared" si="7"/>
        <v>2.9600990099009901E-4</v>
      </c>
      <c r="M47" s="29">
        <f t="shared" si="8"/>
        <v>4.7762865441819992E-3</v>
      </c>
      <c r="N47" s="33">
        <f t="shared" si="9"/>
        <v>1.2472340965058986E-6</v>
      </c>
      <c r="O47" s="21">
        <f t="shared" si="10"/>
        <v>2.032E-3</v>
      </c>
      <c r="P47" s="21">
        <v>7.43403717661394E-11</v>
      </c>
      <c r="Q47" s="2">
        <v>0.31</v>
      </c>
      <c r="R47" s="27">
        <f t="shared" si="11"/>
        <v>131000</v>
      </c>
      <c r="S47" s="2">
        <f t="shared" si="12"/>
        <v>5.1940208761751296E-3</v>
      </c>
      <c r="T47" s="11">
        <v>0.08</v>
      </c>
      <c r="U47" s="30">
        <f t="shared" si="13"/>
        <v>108000</v>
      </c>
      <c r="V47" s="30">
        <f t="shared" si="1"/>
        <v>31.969069306930692</v>
      </c>
      <c r="W47" s="2">
        <f t="shared" si="14"/>
        <v>10</v>
      </c>
      <c r="X47" s="2">
        <f t="shared" si="15"/>
        <v>1.3383977096041982E-6</v>
      </c>
      <c r="Y47" s="11">
        <f t="shared" si="16"/>
        <v>1784.0087381579954</v>
      </c>
      <c r="Z47" s="9">
        <f t="shared" si="17"/>
        <v>5.3798802891372764E-14</v>
      </c>
      <c r="AA47" s="9">
        <f t="shared" si="18"/>
        <v>32397639101.184681</v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0">
        <v>312.37128712871288</v>
      </c>
      <c r="L48" s="27">
        <f t="shared" si="7"/>
        <v>3.1237128712871288E-4</v>
      </c>
      <c r="M48" s="29">
        <f t="shared" si="8"/>
        <v>4.7762865441819992E-3</v>
      </c>
      <c r="N48" s="33">
        <f t="shared" si="9"/>
        <v>1.3161725968395775E-6</v>
      </c>
      <c r="O48" s="21">
        <f t="shared" si="10"/>
        <v>2.032E-3</v>
      </c>
      <c r="P48" s="21">
        <v>7.43403717661394E-11</v>
      </c>
      <c r="Q48" s="2">
        <v>0.31</v>
      </c>
      <c r="R48" s="27">
        <f t="shared" si="11"/>
        <v>131000</v>
      </c>
      <c r="S48" s="2">
        <f t="shared" si="12"/>
        <v>5.1940208761751296E-3</v>
      </c>
      <c r="T48" s="11">
        <v>0.08</v>
      </c>
      <c r="U48" s="30">
        <f t="shared" si="13"/>
        <v>108000</v>
      </c>
      <c r="V48" s="30">
        <f t="shared" si="1"/>
        <v>33.73609900990099</v>
      </c>
      <c r="W48" s="2">
        <f t="shared" si="14"/>
        <v>10</v>
      </c>
      <c r="X48" s="2">
        <f t="shared" si="15"/>
        <v>1.41297608371715E-6</v>
      </c>
      <c r="Y48" s="11">
        <f t="shared" si="16"/>
        <v>1974.041953282346</v>
      </c>
      <c r="Z48" s="9">
        <f t="shared" si="17"/>
        <v>5.6880238577308165E-14</v>
      </c>
      <c r="AA48" s="9">
        <f t="shared" si="18"/>
        <v>34253279671.254978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0">
        <v>300.44059405940595</v>
      </c>
      <c r="L49" s="27">
        <f t="shared" si="7"/>
        <v>3.0044059405940596E-4</v>
      </c>
      <c r="M49" s="29">
        <f t="shared" si="8"/>
        <v>4.7762865441819992E-3</v>
      </c>
      <c r="N49" s="33">
        <f t="shared" si="9"/>
        <v>1.265902767549361E-6</v>
      </c>
      <c r="O49" s="21">
        <f t="shared" si="10"/>
        <v>2.032E-3</v>
      </c>
      <c r="P49" s="21">
        <v>7.43403717661394E-11</v>
      </c>
      <c r="Q49" s="2">
        <v>0.31</v>
      </c>
      <c r="R49" s="27">
        <f t="shared" si="11"/>
        <v>131000</v>
      </c>
      <c r="S49" s="2">
        <f t="shared" si="12"/>
        <v>5.1940208761751296E-3</v>
      </c>
      <c r="T49" s="11">
        <v>0.08</v>
      </c>
      <c r="U49" s="30">
        <f t="shared" si="13"/>
        <v>108000</v>
      </c>
      <c r="V49" s="30">
        <f t="shared" si="1"/>
        <v>32.447584158415843</v>
      </c>
      <c r="W49" s="2">
        <f t="shared" si="14"/>
        <v>10</v>
      </c>
      <c r="X49" s="2">
        <f t="shared" si="15"/>
        <v>1.3586087392668679E-6</v>
      </c>
      <c r="Y49" s="11">
        <f t="shared" si="16"/>
        <v>1834.5912703049648</v>
      </c>
      <c r="Z49" s="9">
        <f t="shared" si="17"/>
        <v>5.4632600351023926E-14</v>
      </c>
      <c r="AA49" s="9">
        <f t="shared" si="18"/>
        <v>32899751931.386608</v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0">
        <v>297.99009900990103</v>
      </c>
      <c r="L50" s="27">
        <f t="shared" si="7"/>
        <v>2.9799009900990101E-4</v>
      </c>
      <c r="M50" s="29">
        <f t="shared" si="8"/>
        <v>4.7762865441819992E-3</v>
      </c>
      <c r="N50" s="33">
        <f t="shared" si="9"/>
        <v>1.255577636637055E-6</v>
      </c>
      <c r="O50" s="21">
        <f t="shared" si="10"/>
        <v>2.032E-3</v>
      </c>
      <c r="P50" s="21">
        <v>7.43403717661394E-11</v>
      </c>
      <c r="Q50" s="2">
        <v>0.31</v>
      </c>
      <c r="R50" s="27">
        <f t="shared" si="11"/>
        <v>131000</v>
      </c>
      <c r="S50" s="2">
        <f t="shared" si="12"/>
        <v>5.1940208761751296E-3</v>
      </c>
      <c r="T50" s="11">
        <v>0.08</v>
      </c>
      <c r="U50" s="30">
        <f t="shared" si="13"/>
        <v>108000</v>
      </c>
      <c r="V50" s="30">
        <f t="shared" si="1"/>
        <v>32.182930693069309</v>
      </c>
      <c r="W50" s="2">
        <f t="shared" si="14"/>
        <v>10</v>
      </c>
      <c r="X50" s="2">
        <f t="shared" si="15"/>
        <v>1.347431988624176E-6</v>
      </c>
      <c r="Y50" s="11">
        <f t="shared" si="16"/>
        <v>1806.5346476755353</v>
      </c>
      <c r="Z50" s="9">
        <f t="shared" si="17"/>
        <v>5.4171392175712866E-14</v>
      </c>
      <c r="AA50" s="9">
        <f t="shared" si="18"/>
        <v>32622012368.214291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0">
        <v>294.94554455445547</v>
      </c>
      <c r="L51" s="27">
        <f t="shared" si="7"/>
        <v>2.9494554455445547E-4</v>
      </c>
      <c r="M51" s="29">
        <f t="shared" si="8"/>
        <v>4.7762865441819992E-3</v>
      </c>
      <c r="N51" s="33">
        <f t="shared" si="9"/>
        <v>1.2427494436854022E-6</v>
      </c>
      <c r="O51" s="21">
        <f t="shared" si="10"/>
        <v>2.032E-3</v>
      </c>
      <c r="P51" s="21">
        <v>7.43403717661394E-11</v>
      </c>
      <c r="Q51" s="2">
        <v>0.31</v>
      </c>
      <c r="R51" s="27">
        <f t="shared" si="11"/>
        <v>131000</v>
      </c>
      <c r="S51" s="2">
        <f t="shared" si="12"/>
        <v>5.1940208761751296E-3</v>
      </c>
      <c r="T51" s="11">
        <v>0.08</v>
      </c>
      <c r="U51" s="30">
        <f t="shared" si="13"/>
        <v>108000</v>
      </c>
      <c r="V51" s="30">
        <f t="shared" si="1"/>
        <v>31.85411881188119</v>
      </c>
      <c r="W51" s="2">
        <f t="shared" si="14"/>
        <v>10</v>
      </c>
      <c r="X51" s="2">
        <f t="shared" si="15"/>
        <v>1.3335408298437657E-6</v>
      </c>
      <c r="Y51" s="11">
        <f t="shared" si="16"/>
        <v>1771.9550620235807</v>
      </c>
      <c r="Z51" s="9">
        <f t="shared" si="17"/>
        <v>5.3598573844901866E-14</v>
      </c>
      <c r="AA51" s="9">
        <f t="shared" si="18"/>
        <v>32277061169.399906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 spans="1:78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0">
        <v>309.02970297029702</v>
      </c>
      <c r="L52" s="27">
        <f t="shared" si="7"/>
        <v>3.0902970297029704E-4</v>
      </c>
      <c r="M52" s="29">
        <f t="shared" si="8"/>
        <v>4.7762865441819992E-3</v>
      </c>
      <c r="N52" s="33">
        <f t="shared" si="9"/>
        <v>1.3020928728682513E-6</v>
      </c>
      <c r="O52" s="21">
        <f t="shared" si="10"/>
        <v>2.032E-3</v>
      </c>
      <c r="P52" s="21">
        <v>7.43403717661394E-11</v>
      </c>
      <c r="Q52" s="2">
        <v>0.31</v>
      </c>
      <c r="R52" s="27">
        <f t="shared" si="11"/>
        <v>131000</v>
      </c>
      <c r="S52" s="2">
        <f t="shared" si="12"/>
        <v>5.1940208761751296E-3</v>
      </c>
      <c r="T52" s="11">
        <v>0.08</v>
      </c>
      <c r="U52" s="30">
        <f t="shared" si="13"/>
        <v>108000</v>
      </c>
      <c r="V52" s="30">
        <f t="shared" si="1"/>
        <v>33.375207920792079</v>
      </c>
      <c r="W52" s="2">
        <f t="shared" si="14"/>
        <v>10</v>
      </c>
      <c r="X52" s="2">
        <f t="shared" si="15"/>
        <v>1.3977567244071549E-6</v>
      </c>
      <c r="Y52" s="11">
        <f t="shared" si="16"/>
        <v>1934.5077629157765</v>
      </c>
      <c r="Z52" s="9">
        <f t="shared" si="17"/>
        <v>5.6250338340234752E-14</v>
      </c>
      <c r="AA52" s="9">
        <f t="shared" si="18"/>
        <v>33873953748.489368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0">
        <v>305.34158415841586</v>
      </c>
      <c r="L53" s="27">
        <f t="shared" si="7"/>
        <v>3.0534158415841586E-4</v>
      </c>
      <c r="M53" s="29">
        <f t="shared" si="8"/>
        <v>4.7762865441819992E-3</v>
      </c>
      <c r="N53" s="33">
        <f t="shared" si="9"/>
        <v>1.2865530293739727E-6</v>
      </c>
      <c r="O53" s="21">
        <f t="shared" si="10"/>
        <v>2.032E-3</v>
      </c>
      <c r="P53" s="21">
        <v>7.43403717661394E-11</v>
      </c>
      <c r="Q53" s="2">
        <v>0.31</v>
      </c>
      <c r="R53" s="27">
        <f t="shared" si="11"/>
        <v>131000</v>
      </c>
      <c r="S53" s="2">
        <f t="shared" si="12"/>
        <v>5.1940208761751296E-3</v>
      </c>
      <c r="T53" s="11">
        <v>0.08</v>
      </c>
      <c r="U53" s="30">
        <f t="shared" si="13"/>
        <v>108000</v>
      </c>
      <c r="V53" s="30">
        <f t="shared" si="1"/>
        <v>32.976891089108911</v>
      </c>
      <c r="W53" s="2">
        <f t="shared" si="14"/>
        <v>10</v>
      </c>
      <c r="X53" s="2">
        <f t="shared" si="15"/>
        <v>1.3809518844554748E-6</v>
      </c>
      <c r="Y53" s="11">
        <f t="shared" si="16"/>
        <v>1891.3038520930579</v>
      </c>
      <c r="Z53" s="9">
        <f t="shared" si="17"/>
        <v>5.5555459321176036E-14</v>
      </c>
      <c r="AA53" s="9">
        <f t="shared" si="18"/>
        <v>33455497603.212212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0">
        <v>296.97524752475249</v>
      </c>
      <c r="L54" s="27">
        <f t="shared" si="7"/>
        <v>2.9697524752475248E-4</v>
      </c>
      <c r="M54" s="29">
        <f t="shared" si="8"/>
        <v>4.7762865441819992E-3</v>
      </c>
      <c r="N54" s="33">
        <f t="shared" si="9"/>
        <v>1.2513015723198373E-6</v>
      </c>
      <c r="O54" s="21">
        <f t="shared" si="10"/>
        <v>2.032E-3</v>
      </c>
      <c r="P54" s="21">
        <v>7.43403717661394E-11</v>
      </c>
      <c r="Q54" s="2">
        <v>0.31</v>
      </c>
      <c r="R54" s="27">
        <f t="shared" si="11"/>
        <v>131000</v>
      </c>
      <c r="S54" s="2">
        <f t="shared" si="12"/>
        <v>5.1940208761751296E-3</v>
      </c>
      <c r="T54" s="11">
        <v>0.08</v>
      </c>
      <c r="U54" s="30">
        <f t="shared" si="13"/>
        <v>108000</v>
      </c>
      <c r="V54" s="30">
        <f t="shared" si="1"/>
        <v>32.073326732673266</v>
      </c>
      <c r="W54" s="2">
        <f t="shared" si="14"/>
        <v>10</v>
      </c>
      <c r="X54" s="2">
        <f t="shared" si="15"/>
        <v>1.3428022082957804E-6</v>
      </c>
      <c r="Y54" s="11">
        <f t="shared" si="16"/>
        <v>1794.9737974235206</v>
      </c>
      <c r="Z54" s="9">
        <f t="shared" si="17"/>
        <v>5.398042868337941E-14</v>
      </c>
      <c r="AA54" s="9">
        <f t="shared" si="18"/>
        <v>32507014153.131081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0">
        <v>311.3564356435644</v>
      </c>
      <c r="L55" s="27">
        <f t="shared" si="7"/>
        <v>3.113564356435644E-4</v>
      </c>
      <c r="M55" s="29">
        <f t="shared" si="8"/>
        <v>4.7762865441819992E-3</v>
      </c>
      <c r="N55" s="33">
        <f t="shared" si="9"/>
        <v>1.3118965325223599E-6</v>
      </c>
      <c r="O55" s="21">
        <f t="shared" si="10"/>
        <v>2.032E-3</v>
      </c>
      <c r="P55" s="21">
        <v>7.43403717661394E-11</v>
      </c>
      <c r="Q55" s="2">
        <v>0.31</v>
      </c>
      <c r="R55" s="27">
        <f t="shared" si="11"/>
        <v>131000</v>
      </c>
      <c r="S55" s="2">
        <f t="shared" si="12"/>
        <v>5.1940208761751296E-3</v>
      </c>
      <c r="T55" s="11">
        <v>0.08</v>
      </c>
      <c r="U55" s="30">
        <f t="shared" si="13"/>
        <v>108000</v>
      </c>
      <c r="V55" s="30">
        <f t="shared" si="1"/>
        <v>33.626495049504953</v>
      </c>
      <c r="W55" s="2">
        <f t="shared" si="14"/>
        <v>10</v>
      </c>
      <c r="X55" s="2">
        <f t="shared" si="15"/>
        <v>1.4083545552255481E-6</v>
      </c>
      <c r="Y55" s="11">
        <f t="shared" si="16"/>
        <v>1961.996126083031</v>
      </c>
      <c r="Z55" s="9">
        <f t="shared" si="17"/>
        <v>5.6688903588785709E-14</v>
      </c>
      <c r="AA55" s="9">
        <f t="shared" si="18"/>
        <v>34138057741.166756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0">
        <v>305.41584158415844</v>
      </c>
      <c r="L56" s="27">
        <f t="shared" si="7"/>
        <v>3.0541584158415844E-4</v>
      </c>
      <c r="M56" s="29">
        <f t="shared" si="8"/>
        <v>4.7762865441819992E-3</v>
      </c>
      <c r="N56" s="33">
        <f t="shared" si="9"/>
        <v>1.2868659121288912E-6</v>
      </c>
      <c r="O56" s="21">
        <f t="shared" si="10"/>
        <v>2.032E-3</v>
      </c>
      <c r="P56" s="21">
        <v>7.43403717661394E-11</v>
      </c>
      <c r="Q56" s="2">
        <v>0.31</v>
      </c>
      <c r="R56" s="27">
        <f t="shared" si="11"/>
        <v>131000</v>
      </c>
      <c r="S56" s="2">
        <f t="shared" si="12"/>
        <v>5.1940208761751296E-3</v>
      </c>
      <c r="T56" s="11">
        <v>0.08</v>
      </c>
      <c r="U56" s="30">
        <f t="shared" si="13"/>
        <v>108000</v>
      </c>
      <c r="V56" s="30">
        <f t="shared" si="1"/>
        <v>32.984910891089115</v>
      </c>
      <c r="W56" s="2">
        <f t="shared" si="14"/>
        <v>10</v>
      </c>
      <c r="X56" s="2">
        <f t="shared" si="15"/>
        <v>1.3812903120639529E-6</v>
      </c>
      <c r="Y56" s="11">
        <f t="shared" si="16"/>
        <v>1892.169273877638</v>
      </c>
      <c r="Z56" s="9">
        <f t="shared" si="17"/>
        <v>5.5569446690943629E-14</v>
      </c>
      <c r="AA56" s="9">
        <f t="shared" si="18"/>
        <v>33463920797.286255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301.5792079207921</v>
      </c>
      <c r="L57" s="27">
        <f t="shared" si="7"/>
        <v>3.0157920792079208E-4</v>
      </c>
      <c r="M57" s="29">
        <f t="shared" si="8"/>
        <v>4.7762865441819992E-3</v>
      </c>
      <c r="N57" s="33">
        <f t="shared" si="9"/>
        <v>1.2707003031247757E-6</v>
      </c>
      <c r="O57" s="21">
        <f t="shared" si="10"/>
        <v>2.032E-3</v>
      </c>
      <c r="P57" s="21">
        <v>7.43403717661394E-11</v>
      </c>
      <c r="Q57" s="2">
        <v>0.31</v>
      </c>
      <c r="R57" s="27">
        <f t="shared" si="11"/>
        <v>131000</v>
      </c>
      <c r="S57" s="2">
        <f t="shared" si="12"/>
        <v>5.1940208761751296E-3</v>
      </c>
      <c r="T57" s="11">
        <v>0.08</v>
      </c>
      <c r="U57" s="30">
        <f t="shared" si="13"/>
        <v>108000</v>
      </c>
      <c r="V57" s="30">
        <f t="shared" si="1"/>
        <v>32.570554455445546</v>
      </c>
      <c r="W57" s="2">
        <f t="shared" si="14"/>
        <v>10</v>
      </c>
      <c r="X57" s="2">
        <f t="shared" si="15"/>
        <v>1.3638007949812194E-6</v>
      </c>
      <c r="Y57" s="11">
        <f t="shared" si="16"/>
        <v>1847.6956901939666</v>
      </c>
      <c r="Z57" s="9">
        <f t="shared" si="17"/>
        <v>5.4846948631166312E-14</v>
      </c>
      <c r="AA57" s="9">
        <f t="shared" si="18"/>
        <v>33028832465.688354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298.68316831683171</v>
      </c>
      <c r="L58" s="27">
        <f t="shared" si="7"/>
        <v>2.9868316831683172E-4</v>
      </c>
      <c r="M58" s="29">
        <f t="shared" si="8"/>
        <v>4.7762865441819992E-3</v>
      </c>
      <c r="N58" s="33">
        <f t="shared" si="9"/>
        <v>1.2584978756829596E-6</v>
      </c>
      <c r="O58" s="21">
        <f t="shared" si="10"/>
        <v>2.032E-3</v>
      </c>
      <c r="P58" s="21">
        <v>7.43403717661394E-11</v>
      </c>
      <c r="Q58" s="2">
        <v>0.31</v>
      </c>
      <c r="R58" s="27">
        <f t="shared" si="11"/>
        <v>131000</v>
      </c>
      <c r="S58" s="2">
        <f t="shared" si="12"/>
        <v>5.1940208761751296E-3</v>
      </c>
      <c r="T58" s="11">
        <v>0.08</v>
      </c>
      <c r="U58" s="30">
        <f t="shared" si="13"/>
        <v>108000</v>
      </c>
      <c r="V58" s="30">
        <f t="shared" si="1"/>
        <v>32.257782178217823</v>
      </c>
      <c r="W58" s="2">
        <f t="shared" si="14"/>
        <v>10</v>
      </c>
      <c r="X58" s="2">
        <f t="shared" si="15"/>
        <v>1.3505934438048446E-6</v>
      </c>
      <c r="Y58" s="11">
        <f t="shared" si="16"/>
        <v>1814.4495767919466</v>
      </c>
      <c r="Z58" s="9">
        <f t="shared" si="17"/>
        <v>5.4301820283821659E-14</v>
      </c>
      <c r="AA58" s="9">
        <f t="shared" si="18"/>
        <v>32700556174.917404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304.15346534653469</v>
      </c>
      <c r="L59" s="27">
        <f t="shared" si="7"/>
        <v>3.0415346534653468E-4</v>
      </c>
      <c r="M59" s="29">
        <f t="shared" si="8"/>
        <v>4.7762865441819992E-3</v>
      </c>
      <c r="N59" s="33">
        <f t="shared" si="9"/>
        <v>1.281546905295279E-6</v>
      </c>
      <c r="O59" s="21">
        <f t="shared" si="10"/>
        <v>2.032E-3</v>
      </c>
      <c r="P59" s="21">
        <v>7.43403717661394E-11</v>
      </c>
      <c r="Q59" s="2">
        <v>0.31</v>
      </c>
      <c r="R59" s="27">
        <f t="shared" si="11"/>
        <v>131000</v>
      </c>
      <c r="S59" s="2">
        <f t="shared" si="12"/>
        <v>5.1940208761751296E-3</v>
      </c>
      <c r="T59" s="11">
        <v>0.08</v>
      </c>
      <c r="U59" s="30">
        <f t="shared" si="13"/>
        <v>108000</v>
      </c>
      <c r="V59" s="30">
        <f t="shared" si="1"/>
        <v>32.848574257425746</v>
      </c>
      <c r="W59" s="2">
        <f t="shared" si="14"/>
        <v>10</v>
      </c>
      <c r="X59" s="2">
        <f t="shared" si="15"/>
        <v>1.3755366194804989E-6</v>
      </c>
      <c r="Y59" s="11">
        <f t="shared" si="16"/>
        <v>1877.4820202422559</v>
      </c>
      <c r="Z59" s="9">
        <f t="shared" si="17"/>
        <v>5.5331680556640901E-14</v>
      </c>
      <c r="AA59" s="9">
        <f t="shared" si="18"/>
        <v>33320738031.209152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306.03465346534659</v>
      </c>
      <c r="L60" s="27">
        <f t="shared" si="7"/>
        <v>3.0603465346534662E-4</v>
      </c>
      <c r="M60" s="29">
        <f t="shared" si="8"/>
        <v>4.7762865441819992E-3</v>
      </c>
      <c r="N60" s="33">
        <f t="shared" si="9"/>
        <v>1.2894732684198777E-6</v>
      </c>
      <c r="O60" s="21">
        <f t="shared" si="10"/>
        <v>2.032E-3</v>
      </c>
      <c r="P60" s="21">
        <v>7.43403717661394E-11</v>
      </c>
      <c r="Q60" s="2">
        <v>0.31</v>
      </c>
      <c r="R60" s="27">
        <f t="shared" si="11"/>
        <v>131000</v>
      </c>
      <c r="S60" s="2">
        <f t="shared" si="12"/>
        <v>5.1940208761751296E-3</v>
      </c>
      <c r="T60" s="11">
        <v>0.08</v>
      </c>
      <c r="U60" s="30">
        <f t="shared" si="13"/>
        <v>108000</v>
      </c>
      <c r="V60" s="30">
        <f t="shared" si="1"/>
        <v>33.051742574257432</v>
      </c>
      <c r="W60" s="2">
        <f t="shared" si="14"/>
        <v>10</v>
      </c>
      <c r="X60" s="2">
        <f t="shared" si="15"/>
        <v>1.3841104214827374E-6</v>
      </c>
      <c r="Y60" s="11">
        <f t="shared" si="16"/>
        <v>1899.3882453962201</v>
      </c>
      <c r="Z60" s="9">
        <f t="shared" si="17"/>
        <v>5.5686013616868312E-14</v>
      </c>
      <c r="AA60" s="9">
        <f t="shared" si="18"/>
        <v>33534117400.078098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297.89108910891093</v>
      </c>
      <c r="L61" s="27">
        <f t="shared" si="7"/>
        <v>2.9789108910891095E-4</v>
      </c>
      <c r="M61" s="29">
        <f t="shared" si="8"/>
        <v>4.7762865441819992E-3</v>
      </c>
      <c r="N61" s="33">
        <f t="shared" si="9"/>
        <v>1.2551604596304973E-6</v>
      </c>
      <c r="O61" s="21">
        <f t="shared" si="10"/>
        <v>2.032E-3</v>
      </c>
      <c r="P61" s="21">
        <v>7.43403717661394E-11</v>
      </c>
      <c r="Q61" s="2">
        <v>0.31</v>
      </c>
      <c r="R61" s="27">
        <f t="shared" si="11"/>
        <v>131000</v>
      </c>
      <c r="S61" s="2">
        <f t="shared" si="12"/>
        <v>5.1940208761751296E-3</v>
      </c>
      <c r="T61" s="11">
        <v>0.08</v>
      </c>
      <c r="U61" s="30">
        <f t="shared" si="13"/>
        <v>108000</v>
      </c>
      <c r="V61" s="30">
        <f t="shared" si="1"/>
        <v>32.172237623762385</v>
      </c>
      <c r="W61" s="2">
        <f t="shared" si="14"/>
        <v>10</v>
      </c>
      <c r="X61" s="2">
        <f t="shared" si="15"/>
        <v>1.3469803292803671E-6</v>
      </c>
      <c r="Y61" s="11">
        <f t="shared" si="16"/>
        <v>1805.4052494957455</v>
      </c>
      <c r="Z61" s="9">
        <f t="shared" si="17"/>
        <v>5.4152760520595776E-14</v>
      </c>
      <c r="AA61" s="9">
        <f t="shared" si="18"/>
        <v>32610792385.502777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304.25247524752479</v>
      </c>
      <c r="L62" s="27">
        <f t="shared" si="7"/>
        <v>3.0425247524752479E-4</v>
      </c>
      <c r="M62" s="29">
        <f t="shared" si="8"/>
        <v>4.7762865441819992E-3</v>
      </c>
      <c r="N62" s="33">
        <f t="shared" si="9"/>
        <v>1.2819640823018369E-6</v>
      </c>
      <c r="O62" s="21">
        <f t="shared" si="10"/>
        <v>2.032E-3</v>
      </c>
      <c r="P62" s="21">
        <v>7.43403717661394E-11</v>
      </c>
      <c r="Q62" s="2">
        <v>0.31</v>
      </c>
      <c r="R62" s="27">
        <f t="shared" si="11"/>
        <v>131000</v>
      </c>
      <c r="S62" s="2">
        <f t="shared" si="12"/>
        <v>5.1940208761751296E-3</v>
      </c>
      <c r="T62" s="11">
        <v>0.08</v>
      </c>
      <c r="U62" s="30">
        <f t="shared" si="13"/>
        <v>108000</v>
      </c>
      <c r="V62" s="30">
        <f t="shared" si="1"/>
        <v>32.859267326732677</v>
      </c>
      <c r="W62" s="2">
        <f t="shared" si="14"/>
        <v>10</v>
      </c>
      <c r="X62" s="2">
        <f t="shared" si="15"/>
        <v>1.3759879220488423E-6</v>
      </c>
      <c r="Y62" s="11">
        <f t="shared" si="16"/>
        <v>1878.6320479230717</v>
      </c>
      <c r="Z62" s="9">
        <f t="shared" si="17"/>
        <v>5.5350327415514076E-14</v>
      </c>
      <c r="AA62" s="9">
        <f t="shared" si="18"/>
        <v>33331967169.622578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s="4" customFormat="1" x14ac:dyDescent="0.25">
      <c r="A63" s="26">
        <v>183</v>
      </c>
      <c r="B63" s="26">
        <f t="shared" si="2"/>
        <v>3.05</v>
      </c>
      <c r="C63" s="26">
        <v>20</v>
      </c>
      <c r="D63" s="26">
        <f t="shared" si="0"/>
        <v>29.146000000000001</v>
      </c>
      <c r="E63" s="26">
        <f t="shared" si="3"/>
        <v>4.8576666666666667E-7</v>
      </c>
      <c r="F63" s="26">
        <v>21.1</v>
      </c>
      <c r="G63" s="26">
        <f t="shared" si="4"/>
        <v>294.10000000000002</v>
      </c>
      <c r="H63" s="26">
        <v>101.3</v>
      </c>
      <c r="I63" s="26">
        <f t="shared" si="5"/>
        <v>101300</v>
      </c>
      <c r="J63" s="26">
        <f t="shared" si="6"/>
        <v>2.0124824921938581E-5</v>
      </c>
      <c r="K63" s="20">
        <v>293.03960396039605</v>
      </c>
      <c r="L63" s="27">
        <f t="shared" si="7"/>
        <v>2.9303960396039606E-4</v>
      </c>
      <c r="M63" s="29">
        <f t="shared" si="8"/>
        <v>4.7762865441819992E-3</v>
      </c>
      <c r="N63" s="33">
        <f t="shared" si="9"/>
        <v>1.2347187863091642E-6</v>
      </c>
      <c r="O63" s="21">
        <f t="shared" si="10"/>
        <v>2.032E-3</v>
      </c>
      <c r="P63" s="21">
        <v>7.43403717661394E-11</v>
      </c>
      <c r="Q63" s="2">
        <v>0.31</v>
      </c>
      <c r="R63" s="27">
        <f t="shared" si="11"/>
        <v>131000</v>
      </c>
      <c r="S63" s="2">
        <f t="shared" si="12"/>
        <v>5.1940208761751296E-3</v>
      </c>
      <c r="T63" s="11">
        <v>0.08</v>
      </c>
      <c r="U63" s="30">
        <f t="shared" si="13"/>
        <v>108000</v>
      </c>
      <c r="V63" s="30">
        <f t="shared" si="1"/>
        <v>31.648277227722772</v>
      </c>
      <c r="W63" s="2">
        <f t="shared" si="14"/>
        <v>10</v>
      </c>
      <c r="X63" s="2">
        <f t="shared" si="15"/>
        <v>1.3248419444866059E-6</v>
      </c>
      <c r="Y63" s="11">
        <f t="shared" si="16"/>
        <v>1750.464968858161</v>
      </c>
      <c r="Z63" s="9">
        <f t="shared" si="17"/>
        <v>5.3240088760380362E-14</v>
      </c>
      <c r="AA63" s="9">
        <f t="shared" si="18"/>
        <v>32061181451.501057</v>
      </c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s="4" customFormat="1" x14ac:dyDescent="0.25">
      <c r="A64" s="26">
        <v>186</v>
      </c>
      <c r="B64" s="26">
        <f t="shared" si="2"/>
        <v>3.1</v>
      </c>
      <c r="C64" s="26">
        <v>20</v>
      </c>
      <c r="D64" s="26">
        <f t="shared" si="0"/>
        <v>29.146000000000001</v>
      </c>
      <c r="E64" s="26">
        <f t="shared" si="3"/>
        <v>4.8576666666666667E-7</v>
      </c>
      <c r="F64" s="26">
        <v>21.1</v>
      </c>
      <c r="G64" s="26">
        <f t="shared" si="4"/>
        <v>294.10000000000002</v>
      </c>
      <c r="H64" s="26">
        <v>101.3</v>
      </c>
      <c r="I64" s="26">
        <f t="shared" si="5"/>
        <v>101300</v>
      </c>
      <c r="J64" s="26">
        <f t="shared" si="6"/>
        <v>2.0124824921938581E-5</v>
      </c>
      <c r="K64" s="20">
        <v>301.20792079207922</v>
      </c>
      <c r="L64" s="27">
        <f t="shared" si="7"/>
        <v>3.012079207920792E-4</v>
      </c>
      <c r="M64" s="29">
        <f t="shared" si="8"/>
        <v>4.7762865441819992E-3</v>
      </c>
      <c r="N64" s="33">
        <f t="shared" si="9"/>
        <v>1.2691358893501839E-6</v>
      </c>
      <c r="O64" s="21">
        <f t="shared" si="10"/>
        <v>2.032E-3</v>
      </c>
      <c r="P64" s="21">
        <v>7.43403717661394E-11</v>
      </c>
      <c r="Q64" s="2">
        <v>0.31</v>
      </c>
      <c r="R64" s="27">
        <f t="shared" si="11"/>
        <v>131000</v>
      </c>
      <c r="S64" s="2">
        <f t="shared" si="12"/>
        <v>5.1940208761751296E-3</v>
      </c>
      <c r="T64" s="11">
        <v>0.08</v>
      </c>
      <c r="U64" s="30">
        <f t="shared" si="13"/>
        <v>108000</v>
      </c>
      <c r="V64" s="30">
        <f t="shared" si="1"/>
        <v>32.530455445544554</v>
      </c>
      <c r="W64" s="2">
        <f t="shared" si="14"/>
        <v>10</v>
      </c>
      <c r="X64" s="2">
        <f t="shared" si="15"/>
        <v>1.3621078152947987E-6</v>
      </c>
      <c r="Y64" s="11">
        <f t="shared" si="16"/>
        <v>1843.4177703314551</v>
      </c>
      <c r="Z64" s="9">
        <f t="shared" si="17"/>
        <v>5.4777048959548313E-14</v>
      </c>
      <c r="AA64" s="9">
        <f t="shared" si="18"/>
        <v>32986738883.439995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s="4" customFormat="1" x14ac:dyDescent="0.25">
      <c r="A65" s="26">
        <v>189</v>
      </c>
      <c r="B65" s="26">
        <f t="shared" si="2"/>
        <v>3.15</v>
      </c>
      <c r="C65" s="26">
        <v>20</v>
      </c>
      <c r="D65" s="26">
        <f t="shared" si="0"/>
        <v>29.146000000000001</v>
      </c>
      <c r="E65" s="26">
        <f t="shared" si="3"/>
        <v>4.8576666666666667E-7</v>
      </c>
      <c r="F65" s="26">
        <v>21.1</v>
      </c>
      <c r="G65" s="26">
        <f t="shared" si="4"/>
        <v>294.10000000000002</v>
      </c>
      <c r="H65" s="26">
        <v>101.3</v>
      </c>
      <c r="I65" s="26">
        <f t="shared" si="5"/>
        <v>101300</v>
      </c>
      <c r="J65" s="26">
        <f t="shared" si="6"/>
        <v>2.0124824921938581E-5</v>
      </c>
      <c r="K65" s="20">
        <v>299.79702970297035</v>
      </c>
      <c r="L65" s="27">
        <f t="shared" si="7"/>
        <v>2.9979702970297037E-4</v>
      </c>
      <c r="M65" s="29">
        <f t="shared" si="8"/>
        <v>4.7762865441819992E-3</v>
      </c>
      <c r="N65" s="33">
        <f t="shared" si="9"/>
        <v>1.2631911170067353E-6</v>
      </c>
      <c r="O65" s="21">
        <f t="shared" si="10"/>
        <v>2.032E-3</v>
      </c>
      <c r="P65" s="21">
        <v>7.43403717661394E-11</v>
      </c>
      <c r="Q65" s="2">
        <v>0.31</v>
      </c>
      <c r="R65" s="27">
        <f t="shared" si="11"/>
        <v>131000</v>
      </c>
      <c r="S65" s="2">
        <f t="shared" si="12"/>
        <v>5.1940208761751296E-3</v>
      </c>
      <c r="T65" s="11">
        <v>0.08</v>
      </c>
      <c r="U65" s="30">
        <f t="shared" si="13"/>
        <v>108000</v>
      </c>
      <c r="V65" s="30">
        <f t="shared" si="1"/>
        <v>32.378079207920798</v>
      </c>
      <c r="W65" s="2">
        <f t="shared" si="14"/>
        <v>10</v>
      </c>
      <c r="X65" s="2">
        <f t="shared" si="15"/>
        <v>1.3556737683519889E-6</v>
      </c>
      <c r="Y65" s="11">
        <f t="shared" si="16"/>
        <v>1827.2035076488771</v>
      </c>
      <c r="Z65" s="9">
        <f t="shared" si="17"/>
        <v>5.4511460967868643E-14</v>
      </c>
      <c r="AA65" s="9">
        <f t="shared" si="18"/>
        <v>32826801794.850498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s="4" customFormat="1" x14ac:dyDescent="0.25">
      <c r="A66" s="26">
        <v>192</v>
      </c>
      <c r="B66" s="26">
        <f t="shared" si="2"/>
        <v>3.2</v>
      </c>
      <c r="C66" s="26">
        <v>20</v>
      </c>
      <c r="D66" s="26">
        <f t="shared" ref="D66:D97" si="19">(C66*1.4573)</f>
        <v>29.146000000000001</v>
      </c>
      <c r="E66" s="26">
        <f t="shared" si="3"/>
        <v>4.8576666666666667E-7</v>
      </c>
      <c r="F66" s="26">
        <v>21.1</v>
      </c>
      <c r="G66" s="26">
        <f t="shared" si="4"/>
        <v>294.10000000000002</v>
      </c>
      <c r="H66" s="26">
        <v>101.3</v>
      </c>
      <c r="I66" s="26">
        <f t="shared" si="5"/>
        <v>101300</v>
      </c>
      <c r="J66" s="26">
        <f t="shared" si="6"/>
        <v>2.0124824921938581E-5</v>
      </c>
      <c r="K66" s="20">
        <v>290.88613861386142</v>
      </c>
      <c r="L66" s="27">
        <f t="shared" si="7"/>
        <v>2.908861386138614E-4</v>
      </c>
      <c r="M66" s="29">
        <f t="shared" si="8"/>
        <v>4.7762865441819992E-3</v>
      </c>
      <c r="N66" s="33">
        <f t="shared" si="9"/>
        <v>1.2256451864165316E-6</v>
      </c>
      <c r="O66" s="21">
        <f t="shared" si="10"/>
        <v>2.032E-3</v>
      </c>
      <c r="P66" s="21">
        <v>7.43403717661394E-11</v>
      </c>
      <c r="Q66" s="2">
        <v>0.31</v>
      </c>
      <c r="R66" s="27">
        <f t="shared" si="11"/>
        <v>131000</v>
      </c>
      <c r="S66" s="2">
        <f t="shared" si="12"/>
        <v>5.1940208761751296E-3</v>
      </c>
      <c r="T66" s="11">
        <v>0.08</v>
      </c>
      <c r="U66" s="30">
        <f t="shared" si="13"/>
        <v>108000</v>
      </c>
      <c r="V66" s="30">
        <f t="shared" ref="V66:V97" si="20">(L66*U66)</f>
        <v>31.41570297029703</v>
      </c>
      <c r="W66" s="2">
        <f t="shared" si="14"/>
        <v>10</v>
      </c>
      <c r="X66" s="2">
        <f t="shared" si="15"/>
        <v>1.3150107136227252E-6</v>
      </c>
      <c r="Y66" s="11">
        <f t="shared" si="16"/>
        <v>1726.3298097177446</v>
      </c>
      <c r="Z66" s="9">
        <f t="shared" si="17"/>
        <v>5.2835144920824166E-14</v>
      </c>
      <c r="AA66" s="9">
        <f t="shared" si="18"/>
        <v>31817324271.320313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s="4" customFormat="1" x14ac:dyDescent="0.25">
      <c r="A67" s="26">
        <v>195</v>
      </c>
      <c r="B67" s="26">
        <f t="shared" ref="B67:B97" si="21">(A67/60)</f>
        <v>3.25</v>
      </c>
      <c r="C67" s="26">
        <v>20</v>
      </c>
      <c r="D67" s="26">
        <f t="shared" si="19"/>
        <v>29.146000000000001</v>
      </c>
      <c r="E67" s="26">
        <f t="shared" ref="E67:E97" si="22">(D67/(1000000*60))</f>
        <v>4.8576666666666667E-7</v>
      </c>
      <c r="F67" s="26">
        <v>21.1</v>
      </c>
      <c r="G67" s="26">
        <f t="shared" ref="G67:G97" si="23">(273+F67)</f>
        <v>294.10000000000002</v>
      </c>
      <c r="H67" s="26">
        <v>101.3</v>
      </c>
      <c r="I67" s="26">
        <f t="shared" ref="I67:I97" si="24">(H67*1000)</f>
        <v>101300</v>
      </c>
      <c r="J67" s="26">
        <f t="shared" ref="J67:J97" si="25">((I67*E67)/(8.314*G67))</f>
        <v>2.0124824921938581E-5</v>
      </c>
      <c r="K67" s="20">
        <v>306.72772277227722</v>
      </c>
      <c r="L67" s="27">
        <f t="shared" ref="L67:L97" si="26">(K67/1000000)</f>
        <v>3.0672772277227722E-4</v>
      </c>
      <c r="M67" s="29">
        <f t="shared" ref="M67:M97" si="27">(3.142*3.07*3.07*25.4*25.4)/(4*1000000)</f>
        <v>4.7762865441819992E-3</v>
      </c>
      <c r="N67" s="33">
        <f t="shared" ref="N67:N97" si="28">(L67*J67)/M67</f>
        <v>1.2923935074657821E-6</v>
      </c>
      <c r="O67" s="21">
        <f t="shared" ref="O67:O97" si="29">(2.032/1000)</f>
        <v>2.032E-3</v>
      </c>
      <c r="P67" s="21">
        <v>7.43403717661394E-11</v>
      </c>
      <c r="Q67" s="2">
        <v>0.31</v>
      </c>
      <c r="R67" s="27">
        <f t="shared" ref="R67:R97" si="30">(1+Q67)*100000*1</f>
        <v>131000</v>
      </c>
      <c r="S67" s="2">
        <f t="shared" ref="S67:S97" si="31">(5.19402087617513/1000)</f>
        <v>5.1940208761751296E-3</v>
      </c>
      <c r="T67" s="11">
        <v>0.08</v>
      </c>
      <c r="U67" s="30">
        <f t="shared" ref="U67:U97" si="32">(1+T67)*100000</f>
        <v>108000</v>
      </c>
      <c r="V67" s="30">
        <f t="shared" si="20"/>
        <v>33.126594059405939</v>
      </c>
      <c r="W67" s="2">
        <f t="shared" ref="W67:W97" si="33">(100/1000000)*100000</f>
        <v>10</v>
      </c>
      <c r="X67" s="2">
        <f t="shared" ref="X67:X97" si="34">(N67+((P67/O67)*(SQRT(V67)-SQRT(W67))))</f>
        <v>1.3872686888285765E-6</v>
      </c>
      <c r="Y67" s="11">
        <f t="shared" ref="Y67:Y97" si="35">((X67*O67/P67) + SQRT(V67))^2</f>
        <v>1907.4885924929006</v>
      </c>
      <c r="Z67" s="9">
        <f t="shared" ref="Z67:Z97" si="36">(X67*S67)/(R67-Y67)</f>
        <v>5.5816580311882482E-14</v>
      </c>
      <c r="AA67" s="9">
        <f t="shared" ref="AA67:AA97" si="37">(Z67*6.022E+23)</f>
        <v>33612744663.815632</v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s="4" customFormat="1" x14ac:dyDescent="0.25">
      <c r="A68" s="26">
        <v>198</v>
      </c>
      <c r="B68" s="26">
        <f t="shared" si="21"/>
        <v>3.3</v>
      </c>
      <c r="C68" s="26">
        <v>20</v>
      </c>
      <c r="D68" s="26">
        <f t="shared" si="19"/>
        <v>29.146000000000001</v>
      </c>
      <c r="E68" s="26">
        <f t="shared" si="22"/>
        <v>4.8576666666666667E-7</v>
      </c>
      <c r="F68" s="26">
        <v>21.1</v>
      </c>
      <c r="G68" s="26">
        <f t="shared" si="23"/>
        <v>294.10000000000002</v>
      </c>
      <c r="H68" s="26">
        <v>101.3</v>
      </c>
      <c r="I68" s="26">
        <f t="shared" si="24"/>
        <v>101300</v>
      </c>
      <c r="J68" s="26">
        <f t="shared" si="25"/>
        <v>2.0124824921938581E-5</v>
      </c>
      <c r="K68" s="20">
        <v>302.89108910891093</v>
      </c>
      <c r="L68" s="27">
        <f t="shared" si="26"/>
        <v>3.0289108910891091E-4</v>
      </c>
      <c r="M68" s="29">
        <f t="shared" si="27"/>
        <v>4.7762865441819992E-3</v>
      </c>
      <c r="N68" s="33">
        <f t="shared" si="28"/>
        <v>1.2762278984616668E-6</v>
      </c>
      <c r="O68" s="21">
        <f t="shared" si="29"/>
        <v>2.032E-3</v>
      </c>
      <c r="P68" s="21">
        <v>7.43403717661394E-11</v>
      </c>
      <c r="Q68" s="2">
        <v>0.31</v>
      </c>
      <c r="R68" s="27">
        <f t="shared" si="30"/>
        <v>131000</v>
      </c>
      <c r="S68" s="2">
        <f t="shared" si="31"/>
        <v>5.1940208761751296E-3</v>
      </c>
      <c r="T68" s="11">
        <v>0.08</v>
      </c>
      <c r="U68" s="30">
        <f t="shared" si="32"/>
        <v>108000</v>
      </c>
      <c r="V68" s="30">
        <f t="shared" si="20"/>
        <v>32.712237623762377</v>
      </c>
      <c r="W68" s="2">
        <f t="shared" si="33"/>
        <v>10</v>
      </c>
      <c r="X68" s="2">
        <f t="shared" si="34"/>
        <v>1.3697820238846367E-6</v>
      </c>
      <c r="Y68" s="11">
        <f t="shared" si="35"/>
        <v>1862.847729766017</v>
      </c>
      <c r="Z68" s="9">
        <f t="shared" si="36"/>
        <v>5.5093954782106107E-14</v>
      </c>
      <c r="AA68" s="9">
        <f t="shared" si="37"/>
        <v>33177579569.784298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s="4" customFormat="1" x14ac:dyDescent="0.25">
      <c r="A69" s="26">
        <v>201</v>
      </c>
      <c r="B69" s="26">
        <f t="shared" si="21"/>
        <v>3.35</v>
      </c>
      <c r="C69" s="26">
        <v>20</v>
      </c>
      <c r="D69" s="26">
        <f t="shared" si="19"/>
        <v>29.146000000000001</v>
      </c>
      <c r="E69" s="26">
        <f t="shared" si="22"/>
        <v>4.8576666666666667E-7</v>
      </c>
      <c r="F69" s="26">
        <v>21.1</v>
      </c>
      <c r="G69" s="26">
        <f t="shared" si="23"/>
        <v>294.10000000000002</v>
      </c>
      <c r="H69" s="26">
        <v>101.3</v>
      </c>
      <c r="I69" s="26">
        <f t="shared" si="24"/>
        <v>101300</v>
      </c>
      <c r="J69" s="26">
        <f t="shared" si="25"/>
        <v>2.0124824921938581E-5</v>
      </c>
      <c r="K69" s="20">
        <v>301.33168316831683</v>
      </c>
      <c r="L69" s="27">
        <f t="shared" si="26"/>
        <v>3.0133168316831684E-4</v>
      </c>
      <c r="M69" s="29">
        <f t="shared" si="27"/>
        <v>4.7762865441819992E-3</v>
      </c>
      <c r="N69" s="33">
        <f t="shared" si="28"/>
        <v>1.2696573606083812E-6</v>
      </c>
      <c r="O69" s="21">
        <f t="shared" si="29"/>
        <v>2.032E-3</v>
      </c>
      <c r="P69" s="21">
        <v>7.43403717661394E-11</v>
      </c>
      <c r="Q69" s="2">
        <v>0.31</v>
      </c>
      <c r="R69" s="27">
        <f t="shared" si="30"/>
        <v>131000</v>
      </c>
      <c r="S69" s="2">
        <f t="shared" si="31"/>
        <v>5.1940208761751296E-3</v>
      </c>
      <c r="T69" s="11">
        <v>0.08</v>
      </c>
      <c r="U69" s="30">
        <f t="shared" si="32"/>
        <v>108000</v>
      </c>
      <c r="V69" s="30">
        <f t="shared" si="20"/>
        <v>32.54382178217822</v>
      </c>
      <c r="W69" s="2">
        <f t="shared" si="33"/>
        <v>10</v>
      </c>
      <c r="X69" s="2">
        <f t="shared" si="34"/>
        <v>1.3626721506567606E-6</v>
      </c>
      <c r="Y69" s="11">
        <f t="shared" si="35"/>
        <v>1844.8432340531174</v>
      </c>
      <c r="Z69" s="9">
        <f t="shared" si="36"/>
        <v>5.4800348473269777E-14</v>
      </c>
      <c r="AA69" s="9">
        <f t="shared" si="37"/>
        <v>33000769850.603062</v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s="4" customFormat="1" x14ac:dyDescent="0.25">
      <c r="A70" s="26">
        <v>204</v>
      </c>
      <c r="B70" s="26">
        <f t="shared" si="21"/>
        <v>3.4</v>
      </c>
      <c r="C70" s="26">
        <v>20</v>
      </c>
      <c r="D70" s="26">
        <f t="shared" si="19"/>
        <v>29.146000000000001</v>
      </c>
      <c r="E70" s="26">
        <f t="shared" si="22"/>
        <v>4.8576666666666667E-7</v>
      </c>
      <c r="F70" s="26">
        <v>21.1</v>
      </c>
      <c r="G70" s="26">
        <f t="shared" si="23"/>
        <v>294.10000000000002</v>
      </c>
      <c r="H70" s="26">
        <v>101.3</v>
      </c>
      <c r="I70" s="26">
        <f t="shared" si="24"/>
        <v>101300</v>
      </c>
      <c r="J70" s="26">
        <f t="shared" si="25"/>
        <v>2.0124824921938581E-5</v>
      </c>
      <c r="K70" s="20">
        <v>292.61881188118809</v>
      </c>
      <c r="L70" s="27">
        <f t="shared" si="26"/>
        <v>2.9261881188118812E-4</v>
      </c>
      <c r="M70" s="29">
        <f t="shared" si="27"/>
        <v>4.7762865441819992E-3</v>
      </c>
      <c r="N70" s="33">
        <f t="shared" si="28"/>
        <v>1.2329457840312934E-6</v>
      </c>
      <c r="O70" s="21">
        <f t="shared" si="29"/>
        <v>2.032E-3</v>
      </c>
      <c r="P70" s="21">
        <v>7.43403717661394E-11</v>
      </c>
      <c r="Q70" s="2">
        <v>0.31</v>
      </c>
      <c r="R70" s="27">
        <f t="shared" si="30"/>
        <v>131000</v>
      </c>
      <c r="S70" s="2">
        <f t="shared" si="31"/>
        <v>5.1940208761751296E-3</v>
      </c>
      <c r="T70" s="11">
        <v>0.08</v>
      </c>
      <c r="U70" s="30">
        <f t="shared" si="32"/>
        <v>108000</v>
      </c>
      <c r="V70" s="30">
        <f t="shared" si="20"/>
        <v>31.602831683168315</v>
      </c>
      <c r="W70" s="2">
        <f t="shared" si="33"/>
        <v>10</v>
      </c>
      <c r="X70" s="2">
        <f t="shared" si="34"/>
        <v>1.3229211187719812E-6</v>
      </c>
      <c r="Y70" s="11">
        <f t="shared" si="35"/>
        <v>1745.736734952274</v>
      </c>
      <c r="Z70" s="9">
        <f t="shared" si="36"/>
        <v>5.3160953726875822E-14</v>
      </c>
      <c r="AA70" s="9">
        <f t="shared" si="37"/>
        <v>32013526334.324623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s="4" customFormat="1" x14ac:dyDescent="0.25">
      <c r="A71" s="26">
        <v>207</v>
      </c>
      <c r="B71" s="26">
        <f t="shared" si="21"/>
        <v>3.45</v>
      </c>
      <c r="C71" s="26">
        <v>20</v>
      </c>
      <c r="D71" s="26">
        <f t="shared" si="19"/>
        <v>29.146000000000001</v>
      </c>
      <c r="E71" s="26">
        <f t="shared" si="22"/>
        <v>4.8576666666666667E-7</v>
      </c>
      <c r="F71" s="26">
        <v>21.1</v>
      </c>
      <c r="G71" s="26">
        <f t="shared" si="23"/>
        <v>294.10000000000002</v>
      </c>
      <c r="H71" s="26">
        <v>101.3</v>
      </c>
      <c r="I71" s="26">
        <f t="shared" si="24"/>
        <v>101300</v>
      </c>
      <c r="J71" s="26">
        <f t="shared" si="25"/>
        <v>2.0124824921938581E-5</v>
      </c>
      <c r="K71" s="20">
        <v>293.41089108910893</v>
      </c>
      <c r="L71" s="27">
        <f t="shared" si="26"/>
        <v>2.9341089108910894E-4</v>
      </c>
      <c r="M71" s="29">
        <f t="shared" si="27"/>
        <v>4.7762865441819992E-3</v>
      </c>
      <c r="N71" s="33">
        <f t="shared" si="28"/>
        <v>1.2362832000837561E-6</v>
      </c>
      <c r="O71" s="21">
        <f t="shared" si="29"/>
        <v>2.032E-3</v>
      </c>
      <c r="P71" s="21">
        <v>7.43403717661394E-11</v>
      </c>
      <c r="Q71" s="2">
        <v>0.31</v>
      </c>
      <c r="R71" s="27">
        <f t="shared" si="30"/>
        <v>131000</v>
      </c>
      <c r="S71" s="2">
        <f t="shared" si="31"/>
        <v>5.1940208761751296E-3</v>
      </c>
      <c r="T71" s="11">
        <v>0.08</v>
      </c>
      <c r="U71" s="30">
        <f t="shared" si="32"/>
        <v>108000</v>
      </c>
      <c r="V71" s="30">
        <f t="shared" si="20"/>
        <v>31.688376237623764</v>
      </c>
      <c r="W71" s="2">
        <f t="shared" si="33"/>
        <v>10</v>
      </c>
      <c r="X71" s="2">
        <f t="shared" si="34"/>
        <v>1.3265367025905885E-6</v>
      </c>
      <c r="Y71" s="11">
        <f t="shared" si="35"/>
        <v>1754.6418466478501</v>
      </c>
      <c r="Z71" s="9">
        <f t="shared" si="36"/>
        <v>5.3309917081067201E-14</v>
      </c>
      <c r="AA71" s="9">
        <f t="shared" si="37"/>
        <v>32103232066.21867</v>
      </c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s="4" customFormat="1" x14ac:dyDescent="0.25">
      <c r="A72" s="26">
        <v>210</v>
      </c>
      <c r="B72" s="26">
        <f t="shared" si="21"/>
        <v>3.5</v>
      </c>
      <c r="C72" s="26">
        <v>20</v>
      </c>
      <c r="D72" s="26">
        <f t="shared" si="19"/>
        <v>29.146000000000001</v>
      </c>
      <c r="E72" s="26">
        <f t="shared" si="22"/>
        <v>4.8576666666666667E-7</v>
      </c>
      <c r="F72" s="26">
        <v>21.1</v>
      </c>
      <c r="G72" s="26">
        <f t="shared" si="23"/>
        <v>294.10000000000002</v>
      </c>
      <c r="H72" s="26">
        <v>101.3</v>
      </c>
      <c r="I72" s="26">
        <f t="shared" si="24"/>
        <v>101300</v>
      </c>
      <c r="J72" s="26">
        <f t="shared" si="25"/>
        <v>2.0124824921938581E-5</v>
      </c>
      <c r="K72" s="20">
        <v>295.91089108910893</v>
      </c>
      <c r="L72" s="27">
        <f t="shared" si="26"/>
        <v>2.9591089108910895E-4</v>
      </c>
      <c r="M72" s="29">
        <f t="shared" si="27"/>
        <v>4.7762865441819992E-3</v>
      </c>
      <c r="N72" s="33">
        <f t="shared" si="28"/>
        <v>1.2468169194993409E-6</v>
      </c>
      <c r="O72" s="21">
        <f t="shared" si="29"/>
        <v>2.032E-3</v>
      </c>
      <c r="P72" s="21">
        <v>7.43403717661394E-11</v>
      </c>
      <c r="Q72" s="2">
        <v>0.31</v>
      </c>
      <c r="R72" s="27">
        <f t="shared" si="30"/>
        <v>131000</v>
      </c>
      <c r="S72" s="2">
        <f t="shared" si="31"/>
        <v>5.1940208761751296E-3</v>
      </c>
      <c r="T72" s="11">
        <v>0.08</v>
      </c>
      <c r="U72" s="30">
        <f t="shared" si="32"/>
        <v>108000</v>
      </c>
      <c r="V72" s="30">
        <f t="shared" si="20"/>
        <v>31.958376237623767</v>
      </c>
      <c r="W72" s="2">
        <f t="shared" si="33"/>
        <v>10</v>
      </c>
      <c r="X72" s="2">
        <f t="shared" si="34"/>
        <v>1.3379459350962928E-6</v>
      </c>
      <c r="Y72" s="11">
        <f t="shared" si="35"/>
        <v>1782.8858728099392</v>
      </c>
      <c r="Z72" s="9">
        <f t="shared" si="36"/>
        <v>5.3780175830606281E-14</v>
      </c>
      <c r="AA72" s="9">
        <f t="shared" si="37"/>
        <v>32386421885.191105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s="4" customFormat="1" x14ac:dyDescent="0.25">
      <c r="A73" s="26">
        <v>213</v>
      </c>
      <c r="B73" s="26">
        <f t="shared" si="21"/>
        <v>3.55</v>
      </c>
      <c r="C73" s="26">
        <v>20</v>
      </c>
      <c r="D73" s="26">
        <f t="shared" si="19"/>
        <v>29.146000000000001</v>
      </c>
      <c r="E73" s="26">
        <f t="shared" si="22"/>
        <v>4.8576666666666667E-7</v>
      </c>
      <c r="F73" s="26">
        <v>21.1</v>
      </c>
      <c r="G73" s="26">
        <f t="shared" si="23"/>
        <v>294.10000000000002</v>
      </c>
      <c r="H73" s="26">
        <v>101.3</v>
      </c>
      <c r="I73" s="26">
        <f t="shared" si="24"/>
        <v>101300</v>
      </c>
      <c r="J73" s="26">
        <f t="shared" si="25"/>
        <v>2.0124824921938581E-5</v>
      </c>
      <c r="K73" s="20">
        <v>295.31683168316835</v>
      </c>
      <c r="L73" s="27">
        <f t="shared" si="26"/>
        <v>2.9531683168316835E-4</v>
      </c>
      <c r="M73" s="29">
        <f t="shared" si="27"/>
        <v>4.7762865441819992E-3</v>
      </c>
      <c r="N73" s="33">
        <f t="shared" si="28"/>
        <v>1.244313857459994E-6</v>
      </c>
      <c r="O73" s="21">
        <f t="shared" si="29"/>
        <v>2.032E-3</v>
      </c>
      <c r="P73" s="21">
        <v>7.43403717661394E-11</v>
      </c>
      <c r="Q73" s="2">
        <v>0.31</v>
      </c>
      <c r="R73" s="27">
        <f t="shared" si="30"/>
        <v>131000</v>
      </c>
      <c r="S73" s="2">
        <f t="shared" si="31"/>
        <v>5.1940208761751296E-3</v>
      </c>
      <c r="T73" s="11">
        <v>0.08</v>
      </c>
      <c r="U73" s="30">
        <f t="shared" si="32"/>
        <v>108000</v>
      </c>
      <c r="V73" s="30">
        <f t="shared" si="20"/>
        <v>31.894217821782181</v>
      </c>
      <c r="W73" s="2">
        <f t="shared" si="33"/>
        <v>10</v>
      </c>
      <c r="X73" s="2">
        <f t="shared" si="34"/>
        <v>1.3352351663877897E-6</v>
      </c>
      <c r="Y73" s="11">
        <f t="shared" si="35"/>
        <v>1776.1555432083333</v>
      </c>
      <c r="Z73" s="9">
        <f t="shared" si="36"/>
        <v>5.3668418224008762E-14</v>
      </c>
      <c r="AA73" s="9">
        <f t="shared" si="37"/>
        <v>32319121454.498077</v>
      </c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s="4" customFormat="1" x14ac:dyDescent="0.25">
      <c r="A74" s="26">
        <v>216</v>
      </c>
      <c r="B74" s="26">
        <f t="shared" si="21"/>
        <v>3.6</v>
      </c>
      <c r="C74" s="26">
        <v>20</v>
      </c>
      <c r="D74" s="26">
        <f t="shared" si="19"/>
        <v>29.146000000000001</v>
      </c>
      <c r="E74" s="26">
        <f t="shared" si="22"/>
        <v>4.8576666666666667E-7</v>
      </c>
      <c r="F74" s="26">
        <v>21.1</v>
      </c>
      <c r="G74" s="26">
        <f t="shared" si="23"/>
        <v>294.10000000000002</v>
      </c>
      <c r="H74" s="26">
        <v>101.3</v>
      </c>
      <c r="I74" s="26">
        <f t="shared" si="24"/>
        <v>101300</v>
      </c>
      <c r="J74" s="26">
        <f t="shared" si="25"/>
        <v>2.0124824921938581E-5</v>
      </c>
      <c r="K74" s="20">
        <v>298.73267326732679</v>
      </c>
      <c r="L74" s="27">
        <f t="shared" si="26"/>
        <v>2.9873267326732678E-4</v>
      </c>
      <c r="M74" s="29">
        <f t="shared" si="27"/>
        <v>4.7762865441819992E-3</v>
      </c>
      <c r="N74" s="33">
        <f t="shared" si="28"/>
        <v>1.2587064641862387E-6</v>
      </c>
      <c r="O74" s="21">
        <f t="shared" si="29"/>
        <v>2.032E-3</v>
      </c>
      <c r="P74" s="21">
        <v>7.43403717661394E-11</v>
      </c>
      <c r="Q74" s="2">
        <v>0.31</v>
      </c>
      <c r="R74" s="27">
        <f t="shared" si="30"/>
        <v>131000</v>
      </c>
      <c r="S74" s="2">
        <f t="shared" si="31"/>
        <v>5.1940208761751296E-3</v>
      </c>
      <c r="T74" s="11">
        <v>0.08</v>
      </c>
      <c r="U74" s="30">
        <f t="shared" si="32"/>
        <v>108000</v>
      </c>
      <c r="V74" s="30">
        <f t="shared" si="20"/>
        <v>32.263128712871293</v>
      </c>
      <c r="W74" s="2">
        <f t="shared" si="33"/>
        <v>10</v>
      </c>
      <c r="X74" s="2">
        <f t="shared" si="34"/>
        <v>1.35081925131774E-6</v>
      </c>
      <c r="Y74" s="11">
        <f t="shared" si="35"/>
        <v>1815.0155409876327</v>
      </c>
      <c r="Z74" s="9">
        <f t="shared" si="36"/>
        <v>5.4311137015383433E-14</v>
      </c>
      <c r="AA74" s="9">
        <f t="shared" si="37"/>
        <v>32706166710.663906</v>
      </c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s="4" customFormat="1" x14ac:dyDescent="0.25">
      <c r="A75" s="26">
        <v>219</v>
      </c>
      <c r="B75" s="26">
        <f t="shared" si="21"/>
        <v>3.65</v>
      </c>
      <c r="C75" s="26">
        <v>20</v>
      </c>
      <c r="D75" s="26">
        <f t="shared" si="19"/>
        <v>29.146000000000001</v>
      </c>
      <c r="E75" s="26">
        <f t="shared" si="22"/>
        <v>4.8576666666666667E-7</v>
      </c>
      <c r="F75" s="26">
        <v>21.1</v>
      </c>
      <c r="G75" s="26">
        <f t="shared" si="23"/>
        <v>294.10000000000002</v>
      </c>
      <c r="H75" s="26">
        <v>101.3</v>
      </c>
      <c r="I75" s="26">
        <f t="shared" si="24"/>
        <v>101300</v>
      </c>
      <c r="J75" s="26">
        <f t="shared" si="25"/>
        <v>2.0124824921938581E-5</v>
      </c>
      <c r="K75" s="20">
        <v>300.41584158415844</v>
      </c>
      <c r="L75" s="27">
        <f t="shared" si="26"/>
        <v>3.0041584158415843E-4</v>
      </c>
      <c r="M75" s="29">
        <f t="shared" si="27"/>
        <v>4.7762865441819992E-3</v>
      </c>
      <c r="N75" s="33">
        <f t="shared" si="28"/>
        <v>1.2657984732977214E-6</v>
      </c>
      <c r="O75" s="21">
        <f t="shared" si="29"/>
        <v>2.032E-3</v>
      </c>
      <c r="P75" s="21">
        <v>7.43403717661394E-11</v>
      </c>
      <c r="Q75" s="2">
        <v>0.31</v>
      </c>
      <c r="R75" s="27">
        <f t="shared" si="30"/>
        <v>131000</v>
      </c>
      <c r="S75" s="2">
        <f t="shared" si="31"/>
        <v>5.1940208761751296E-3</v>
      </c>
      <c r="T75" s="11">
        <v>0.08</v>
      </c>
      <c r="U75" s="30">
        <f t="shared" si="32"/>
        <v>108000</v>
      </c>
      <c r="V75" s="30">
        <f t="shared" si="20"/>
        <v>32.444910891089108</v>
      </c>
      <c r="W75" s="2">
        <f t="shared" si="33"/>
        <v>10</v>
      </c>
      <c r="X75" s="2">
        <f t="shared" si="34"/>
        <v>1.3584958601954719E-6</v>
      </c>
      <c r="Y75" s="11">
        <f t="shared" si="35"/>
        <v>1834.3068706994347</v>
      </c>
      <c r="Z75" s="9">
        <f t="shared" si="36"/>
        <v>5.4627940957893112E-14</v>
      </c>
      <c r="AA75" s="9">
        <f t="shared" si="37"/>
        <v>32896946044.843235</v>
      </c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s="4" customFormat="1" x14ac:dyDescent="0.25">
      <c r="A76" s="26">
        <v>222</v>
      </c>
      <c r="B76" s="26">
        <f t="shared" si="21"/>
        <v>3.7</v>
      </c>
      <c r="C76" s="26">
        <v>20</v>
      </c>
      <c r="D76" s="26">
        <f t="shared" si="19"/>
        <v>29.146000000000001</v>
      </c>
      <c r="E76" s="26">
        <f t="shared" si="22"/>
        <v>4.8576666666666667E-7</v>
      </c>
      <c r="F76" s="26">
        <v>21.1</v>
      </c>
      <c r="G76" s="26">
        <f t="shared" si="23"/>
        <v>294.10000000000002</v>
      </c>
      <c r="H76" s="26">
        <v>101.3</v>
      </c>
      <c r="I76" s="26">
        <f t="shared" si="24"/>
        <v>101300</v>
      </c>
      <c r="J76" s="26">
        <f t="shared" si="25"/>
        <v>2.0124824921938581E-5</v>
      </c>
      <c r="K76" s="20">
        <v>291.43069306930693</v>
      </c>
      <c r="L76" s="27">
        <f t="shared" si="26"/>
        <v>2.9143069306930693E-4</v>
      </c>
      <c r="M76" s="29">
        <f t="shared" si="27"/>
        <v>4.7762865441819992E-3</v>
      </c>
      <c r="N76" s="33">
        <f t="shared" si="28"/>
        <v>1.2279396599525996E-6</v>
      </c>
      <c r="O76" s="21">
        <f t="shared" si="29"/>
        <v>2.032E-3</v>
      </c>
      <c r="P76" s="21">
        <v>7.43403717661394E-11</v>
      </c>
      <c r="Q76" s="2">
        <v>0.31</v>
      </c>
      <c r="R76" s="27">
        <f t="shared" si="30"/>
        <v>131000</v>
      </c>
      <c r="S76" s="2">
        <f t="shared" si="31"/>
        <v>5.1940208761751296E-3</v>
      </c>
      <c r="T76" s="11">
        <v>0.08</v>
      </c>
      <c r="U76" s="30">
        <f t="shared" si="32"/>
        <v>108000</v>
      </c>
      <c r="V76" s="30">
        <f t="shared" si="20"/>
        <v>31.47451485148515</v>
      </c>
      <c r="W76" s="2">
        <f t="shared" si="33"/>
        <v>10</v>
      </c>
      <c r="X76" s="2">
        <f t="shared" si="34"/>
        <v>1.3174970361837841E-6</v>
      </c>
      <c r="Y76" s="11">
        <f t="shared" si="35"/>
        <v>1732.418328805664</v>
      </c>
      <c r="Z76" s="9">
        <f t="shared" si="36"/>
        <v>5.2937534854203398E-14</v>
      </c>
      <c r="AA76" s="9">
        <f t="shared" si="37"/>
        <v>31878983489.201286</v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s="4" customFormat="1" x14ac:dyDescent="0.25">
      <c r="A77" s="26">
        <v>225</v>
      </c>
      <c r="B77" s="26">
        <f t="shared" si="21"/>
        <v>3.75</v>
      </c>
      <c r="C77" s="26">
        <v>20</v>
      </c>
      <c r="D77" s="26">
        <f t="shared" si="19"/>
        <v>29.146000000000001</v>
      </c>
      <c r="E77" s="26">
        <f t="shared" si="22"/>
        <v>4.8576666666666667E-7</v>
      </c>
      <c r="F77" s="26">
        <v>21.1</v>
      </c>
      <c r="G77" s="26">
        <f t="shared" si="23"/>
        <v>294.10000000000002</v>
      </c>
      <c r="H77" s="26">
        <v>101.3</v>
      </c>
      <c r="I77" s="26">
        <f t="shared" si="24"/>
        <v>101300</v>
      </c>
      <c r="J77" s="26">
        <f t="shared" si="25"/>
        <v>2.0124824921938581E-5</v>
      </c>
      <c r="K77" s="20">
        <v>297.17326732673268</v>
      </c>
      <c r="L77" s="27">
        <f t="shared" si="26"/>
        <v>2.9717326732673266E-4</v>
      </c>
      <c r="M77" s="29">
        <f t="shared" si="27"/>
        <v>4.7762865441819992E-3</v>
      </c>
      <c r="N77" s="33">
        <f t="shared" si="28"/>
        <v>1.2521359263329527E-6</v>
      </c>
      <c r="O77" s="21">
        <f t="shared" si="29"/>
        <v>2.032E-3</v>
      </c>
      <c r="P77" s="21">
        <v>7.43403717661394E-11</v>
      </c>
      <c r="Q77" s="2">
        <v>0.31</v>
      </c>
      <c r="R77" s="27">
        <f t="shared" si="30"/>
        <v>131000</v>
      </c>
      <c r="S77" s="2">
        <f t="shared" si="31"/>
        <v>5.1940208761751296E-3</v>
      </c>
      <c r="T77" s="11">
        <v>0.08</v>
      </c>
      <c r="U77" s="30">
        <f t="shared" si="32"/>
        <v>108000</v>
      </c>
      <c r="V77" s="30">
        <f t="shared" si="20"/>
        <v>32.094712871287129</v>
      </c>
      <c r="W77" s="2">
        <f t="shared" si="33"/>
        <v>10</v>
      </c>
      <c r="X77" s="2">
        <f t="shared" si="34"/>
        <v>1.3437056274693127E-6</v>
      </c>
      <c r="Y77" s="11">
        <f t="shared" si="35"/>
        <v>1797.2268787101791</v>
      </c>
      <c r="Z77" s="9">
        <f t="shared" si="36"/>
        <v>5.4017687948213124E-14</v>
      </c>
      <c r="AA77" s="9">
        <f t="shared" si="37"/>
        <v>32529451682.413944</v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s="4" customFormat="1" x14ac:dyDescent="0.25">
      <c r="A78" s="26">
        <v>228</v>
      </c>
      <c r="B78" s="26">
        <f t="shared" si="21"/>
        <v>3.8</v>
      </c>
      <c r="C78" s="26">
        <v>20</v>
      </c>
      <c r="D78" s="26">
        <f t="shared" si="19"/>
        <v>29.146000000000001</v>
      </c>
      <c r="E78" s="26">
        <f t="shared" si="22"/>
        <v>4.8576666666666667E-7</v>
      </c>
      <c r="F78" s="26">
        <v>21.1</v>
      </c>
      <c r="G78" s="26">
        <f t="shared" si="23"/>
        <v>294.10000000000002</v>
      </c>
      <c r="H78" s="26">
        <v>101.3</v>
      </c>
      <c r="I78" s="26">
        <f t="shared" si="24"/>
        <v>101300</v>
      </c>
      <c r="J78" s="26">
        <f t="shared" si="25"/>
        <v>2.0124824921938581E-5</v>
      </c>
      <c r="K78" s="20">
        <v>293.60891089108912</v>
      </c>
      <c r="L78" s="27">
        <f t="shared" si="26"/>
        <v>2.9360891089108912E-4</v>
      </c>
      <c r="M78" s="29">
        <f t="shared" si="27"/>
        <v>4.7762865441819992E-3</v>
      </c>
      <c r="N78" s="33">
        <f t="shared" si="28"/>
        <v>1.2371175540968715E-6</v>
      </c>
      <c r="O78" s="21">
        <f t="shared" si="29"/>
        <v>2.032E-3</v>
      </c>
      <c r="P78" s="21">
        <v>7.43403717661394E-11</v>
      </c>
      <c r="Q78" s="2">
        <v>0.31</v>
      </c>
      <c r="R78" s="27">
        <f t="shared" si="30"/>
        <v>131000</v>
      </c>
      <c r="S78" s="2">
        <f t="shared" si="31"/>
        <v>5.1940208761751296E-3</v>
      </c>
      <c r="T78" s="11">
        <v>0.08</v>
      </c>
      <c r="U78" s="30">
        <f t="shared" si="32"/>
        <v>108000</v>
      </c>
      <c r="V78" s="30">
        <f t="shared" si="20"/>
        <v>31.709762376237624</v>
      </c>
      <c r="W78" s="2">
        <f t="shared" si="33"/>
        <v>10</v>
      </c>
      <c r="X78" s="2">
        <f t="shared" si="34"/>
        <v>1.3274405398590316E-6</v>
      </c>
      <c r="Y78" s="11">
        <f t="shared" si="35"/>
        <v>1756.8713954724758</v>
      </c>
      <c r="Z78" s="9">
        <f t="shared" si="36"/>
        <v>5.3347160118711829E-14</v>
      </c>
      <c r="AA78" s="9">
        <f t="shared" si="37"/>
        <v>32125659823.488266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 spans="1:78" s="4" customFormat="1" x14ac:dyDescent="0.25">
      <c r="A79" s="26">
        <v>231</v>
      </c>
      <c r="B79" s="26">
        <f t="shared" si="21"/>
        <v>3.85</v>
      </c>
      <c r="C79" s="26">
        <v>20</v>
      </c>
      <c r="D79" s="26">
        <f t="shared" si="19"/>
        <v>29.146000000000001</v>
      </c>
      <c r="E79" s="26">
        <f t="shared" si="22"/>
        <v>4.8576666666666667E-7</v>
      </c>
      <c r="F79" s="26">
        <v>21.1</v>
      </c>
      <c r="G79" s="26">
        <f t="shared" si="23"/>
        <v>294.10000000000002</v>
      </c>
      <c r="H79" s="26">
        <v>101.3</v>
      </c>
      <c r="I79" s="26">
        <f t="shared" si="24"/>
        <v>101300</v>
      </c>
      <c r="J79" s="26">
        <f t="shared" si="25"/>
        <v>2.0124824921938581E-5</v>
      </c>
      <c r="K79" s="20">
        <v>292.99009900990103</v>
      </c>
      <c r="L79" s="27">
        <f t="shared" si="26"/>
        <v>2.9299009900990105E-4</v>
      </c>
      <c r="M79" s="29">
        <f t="shared" si="27"/>
        <v>4.7762865441819992E-3</v>
      </c>
      <c r="N79" s="33">
        <f t="shared" si="28"/>
        <v>1.2345101978058856E-6</v>
      </c>
      <c r="O79" s="21">
        <f t="shared" si="29"/>
        <v>2.032E-3</v>
      </c>
      <c r="P79" s="21">
        <v>7.43403717661394E-11</v>
      </c>
      <c r="Q79" s="2">
        <v>0.31</v>
      </c>
      <c r="R79" s="27">
        <f t="shared" si="30"/>
        <v>131000</v>
      </c>
      <c r="S79" s="2">
        <f t="shared" si="31"/>
        <v>5.1940208761751296E-3</v>
      </c>
      <c r="T79" s="11">
        <v>0.08</v>
      </c>
      <c r="U79" s="30">
        <f t="shared" si="32"/>
        <v>108000</v>
      </c>
      <c r="V79" s="30">
        <f t="shared" si="20"/>
        <v>31.642930693069314</v>
      </c>
      <c r="W79" s="2">
        <f t="shared" si="33"/>
        <v>10</v>
      </c>
      <c r="X79" s="2">
        <f t="shared" si="34"/>
        <v>1.3246159705018978E-6</v>
      </c>
      <c r="Y79" s="11">
        <f t="shared" si="35"/>
        <v>1749.9083993612305</v>
      </c>
      <c r="Z79" s="9">
        <f t="shared" si="36"/>
        <v>5.3230778551091062E-14</v>
      </c>
      <c r="AA79" s="9">
        <f t="shared" si="37"/>
        <v>32055574843.467037</v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4" customFormat="1" x14ac:dyDescent="0.25">
      <c r="A80" s="26">
        <v>234</v>
      </c>
      <c r="B80" s="26">
        <f t="shared" si="21"/>
        <v>3.9</v>
      </c>
      <c r="C80" s="26">
        <v>20</v>
      </c>
      <c r="D80" s="26">
        <f t="shared" si="19"/>
        <v>29.146000000000001</v>
      </c>
      <c r="E80" s="26">
        <f t="shared" si="22"/>
        <v>4.8576666666666667E-7</v>
      </c>
      <c r="F80" s="26">
        <v>21.1</v>
      </c>
      <c r="G80" s="26">
        <f t="shared" si="23"/>
        <v>294.10000000000002</v>
      </c>
      <c r="H80" s="26">
        <v>101.3</v>
      </c>
      <c r="I80" s="26">
        <f t="shared" si="24"/>
        <v>101300</v>
      </c>
      <c r="J80" s="26">
        <f t="shared" si="25"/>
        <v>2.0124824921938581E-5</v>
      </c>
      <c r="K80" s="20">
        <v>291.6782178217822</v>
      </c>
      <c r="L80" s="27">
        <f t="shared" si="26"/>
        <v>2.9167821782178217E-4</v>
      </c>
      <c r="M80" s="29">
        <f t="shared" si="27"/>
        <v>4.7762865441819992E-3</v>
      </c>
      <c r="N80" s="33">
        <f t="shared" si="28"/>
        <v>1.2289826024689941E-6</v>
      </c>
      <c r="O80" s="21">
        <f t="shared" si="29"/>
        <v>2.032E-3</v>
      </c>
      <c r="P80" s="21">
        <v>7.43403717661394E-11</v>
      </c>
      <c r="Q80" s="2">
        <v>0.31</v>
      </c>
      <c r="R80" s="27">
        <f t="shared" si="30"/>
        <v>131000</v>
      </c>
      <c r="S80" s="2">
        <f t="shared" si="31"/>
        <v>5.1940208761751296E-3</v>
      </c>
      <c r="T80" s="11">
        <v>0.08</v>
      </c>
      <c r="U80" s="30">
        <f t="shared" si="32"/>
        <v>108000</v>
      </c>
      <c r="V80" s="30">
        <f t="shared" si="20"/>
        <v>31.501247524752475</v>
      </c>
      <c r="W80" s="2">
        <f t="shared" si="33"/>
        <v>10</v>
      </c>
      <c r="X80" s="2">
        <f t="shared" si="34"/>
        <v>1.3186271235469222E-6</v>
      </c>
      <c r="Y80" s="11">
        <f t="shared" si="35"/>
        <v>1735.1891106748537</v>
      </c>
      <c r="Z80" s="9">
        <f t="shared" si="36"/>
        <v>5.2984077882243454E-14</v>
      </c>
      <c r="AA80" s="9">
        <f t="shared" si="37"/>
        <v>31907011700.687008</v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 spans="1:78" s="4" customFormat="1" x14ac:dyDescent="0.25">
      <c r="A81" s="26">
        <v>237</v>
      </c>
      <c r="B81" s="26">
        <f t="shared" si="21"/>
        <v>3.95</v>
      </c>
      <c r="C81" s="26">
        <v>20</v>
      </c>
      <c r="D81" s="26">
        <f t="shared" si="19"/>
        <v>29.146000000000001</v>
      </c>
      <c r="E81" s="26">
        <f t="shared" si="22"/>
        <v>4.8576666666666667E-7</v>
      </c>
      <c r="F81" s="26">
        <v>21.1</v>
      </c>
      <c r="G81" s="26">
        <f t="shared" si="23"/>
        <v>294.10000000000002</v>
      </c>
      <c r="H81" s="26">
        <v>101.3</v>
      </c>
      <c r="I81" s="26">
        <f t="shared" si="24"/>
        <v>101300</v>
      </c>
      <c r="J81" s="26">
        <f t="shared" si="25"/>
        <v>2.0124824921938581E-5</v>
      </c>
      <c r="K81" s="20">
        <v>303.46039603960401</v>
      </c>
      <c r="L81" s="27">
        <f t="shared" si="26"/>
        <v>3.0346039603960402E-4</v>
      </c>
      <c r="M81" s="29">
        <f t="shared" si="27"/>
        <v>4.7762865441819992E-3</v>
      </c>
      <c r="N81" s="33">
        <f t="shared" si="28"/>
        <v>1.2786266662493744E-6</v>
      </c>
      <c r="O81" s="21">
        <f t="shared" si="29"/>
        <v>2.032E-3</v>
      </c>
      <c r="P81" s="21">
        <v>7.43403717661394E-11</v>
      </c>
      <c r="Q81" s="2">
        <v>0.31</v>
      </c>
      <c r="R81" s="27">
        <f t="shared" si="30"/>
        <v>131000</v>
      </c>
      <c r="S81" s="2">
        <f t="shared" si="31"/>
        <v>5.1940208761751296E-3</v>
      </c>
      <c r="T81" s="11">
        <v>0.08</v>
      </c>
      <c r="U81" s="30">
        <f t="shared" si="32"/>
        <v>108000</v>
      </c>
      <c r="V81" s="30">
        <f t="shared" si="20"/>
        <v>32.773722772277232</v>
      </c>
      <c r="W81" s="2">
        <f t="shared" si="33"/>
        <v>10</v>
      </c>
      <c r="X81" s="2">
        <f t="shared" si="34"/>
        <v>1.3723773458146552E-6</v>
      </c>
      <c r="Y81" s="11">
        <f t="shared" si="35"/>
        <v>1869.4409495602681</v>
      </c>
      <c r="Z81" s="9">
        <f t="shared" si="36"/>
        <v>5.5201159482061893E-14</v>
      </c>
      <c r="AA81" s="9">
        <f t="shared" si="37"/>
        <v>33242138240.097675</v>
      </c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s="4" customFormat="1" x14ac:dyDescent="0.25">
      <c r="A82" s="26">
        <v>240</v>
      </c>
      <c r="B82" s="26">
        <f t="shared" si="21"/>
        <v>4</v>
      </c>
      <c r="C82" s="26">
        <v>20</v>
      </c>
      <c r="D82" s="26">
        <f t="shared" si="19"/>
        <v>29.146000000000001</v>
      </c>
      <c r="E82" s="26">
        <f t="shared" si="22"/>
        <v>4.8576666666666667E-7</v>
      </c>
      <c r="F82" s="26">
        <v>21.1</v>
      </c>
      <c r="G82" s="26">
        <f t="shared" si="23"/>
        <v>294.10000000000002</v>
      </c>
      <c r="H82" s="26">
        <v>101.3</v>
      </c>
      <c r="I82" s="26">
        <f t="shared" si="24"/>
        <v>101300</v>
      </c>
      <c r="J82" s="26">
        <f t="shared" si="25"/>
        <v>2.0124824921938581E-5</v>
      </c>
      <c r="K82" s="20">
        <v>298.53465346534654</v>
      </c>
      <c r="L82" s="27">
        <f t="shared" si="26"/>
        <v>2.9853465346534654E-4</v>
      </c>
      <c r="M82" s="29">
        <f t="shared" si="27"/>
        <v>4.7762865441819992E-3</v>
      </c>
      <c r="N82" s="33">
        <f t="shared" si="28"/>
        <v>1.2578721101731231E-6</v>
      </c>
      <c r="O82" s="21">
        <f t="shared" si="29"/>
        <v>2.032E-3</v>
      </c>
      <c r="P82" s="21">
        <v>7.43403717661394E-11</v>
      </c>
      <c r="Q82" s="2">
        <v>0.31</v>
      </c>
      <c r="R82" s="27">
        <f t="shared" si="30"/>
        <v>131000</v>
      </c>
      <c r="S82" s="2">
        <f t="shared" si="31"/>
        <v>5.1940208761751296E-3</v>
      </c>
      <c r="T82" s="11">
        <v>0.08</v>
      </c>
      <c r="U82" s="30">
        <f t="shared" si="32"/>
        <v>108000</v>
      </c>
      <c r="V82" s="30">
        <f t="shared" si="20"/>
        <v>32.24174257425743</v>
      </c>
      <c r="W82" s="2">
        <f t="shared" si="33"/>
        <v>10</v>
      </c>
      <c r="X82" s="2">
        <f t="shared" si="34"/>
        <v>1.3499160127025415E-6</v>
      </c>
      <c r="Y82" s="11">
        <f t="shared" si="35"/>
        <v>1812.7521738655569</v>
      </c>
      <c r="Z82" s="9">
        <f t="shared" si="36"/>
        <v>5.4273870440342911E-14</v>
      </c>
      <c r="AA82" s="9">
        <f t="shared" si="37"/>
        <v>32683724779.174503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s="4" customFormat="1" x14ac:dyDescent="0.25">
      <c r="A83" s="26">
        <v>243</v>
      </c>
      <c r="B83" s="26">
        <f t="shared" si="21"/>
        <v>4.05</v>
      </c>
      <c r="C83" s="26">
        <v>20</v>
      </c>
      <c r="D83" s="26">
        <f t="shared" si="19"/>
        <v>29.146000000000001</v>
      </c>
      <c r="E83" s="26">
        <f t="shared" si="22"/>
        <v>4.8576666666666667E-7</v>
      </c>
      <c r="F83" s="26">
        <v>21.1</v>
      </c>
      <c r="G83" s="26">
        <f t="shared" si="23"/>
        <v>294.10000000000002</v>
      </c>
      <c r="H83" s="26">
        <v>101.3</v>
      </c>
      <c r="I83" s="26">
        <f t="shared" si="24"/>
        <v>101300</v>
      </c>
      <c r="J83" s="26">
        <f t="shared" si="25"/>
        <v>2.0124824921938581E-5</v>
      </c>
      <c r="K83" s="20">
        <v>297.47029702970303</v>
      </c>
      <c r="L83" s="27">
        <f t="shared" si="26"/>
        <v>2.9747029702970301E-4</v>
      </c>
      <c r="M83" s="29">
        <f t="shared" si="27"/>
        <v>4.7762865441819992E-3</v>
      </c>
      <c r="N83" s="33">
        <f t="shared" si="28"/>
        <v>1.2533874573526267E-6</v>
      </c>
      <c r="O83" s="21">
        <f t="shared" si="29"/>
        <v>2.032E-3</v>
      </c>
      <c r="P83" s="21">
        <v>7.43403717661394E-11</v>
      </c>
      <c r="Q83" s="2">
        <v>0.31</v>
      </c>
      <c r="R83" s="27">
        <f t="shared" si="30"/>
        <v>131000</v>
      </c>
      <c r="S83" s="2">
        <f t="shared" si="31"/>
        <v>5.1940208761751296E-3</v>
      </c>
      <c r="T83" s="11">
        <v>0.08</v>
      </c>
      <c r="U83" s="30">
        <f t="shared" si="32"/>
        <v>108000</v>
      </c>
      <c r="V83" s="30">
        <f t="shared" si="20"/>
        <v>32.126792079207924</v>
      </c>
      <c r="W83" s="2">
        <f t="shared" si="33"/>
        <v>10</v>
      </c>
      <c r="X83" s="2">
        <f t="shared" si="34"/>
        <v>1.3450607130991043E-6</v>
      </c>
      <c r="Y83" s="11">
        <f t="shared" si="35"/>
        <v>1800.6089502235382</v>
      </c>
      <c r="Z83" s="9">
        <f t="shared" si="36"/>
        <v>5.4073578573355374E-14</v>
      </c>
      <c r="AA83" s="9">
        <f t="shared" si="37"/>
        <v>32563109016.874607</v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s="4" customFormat="1" x14ac:dyDescent="0.25">
      <c r="A84" s="26">
        <v>246</v>
      </c>
      <c r="B84" s="26">
        <f t="shared" si="21"/>
        <v>4.0999999999999996</v>
      </c>
      <c r="C84" s="26">
        <v>20</v>
      </c>
      <c r="D84" s="26">
        <f t="shared" si="19"/>
        <v>29.146000000000001</v>
      </c>
      <c r="E84" s="26">
        <f t="shared" si="22"/>
        <v>4.8576666666666667E-7</v>
      </c>
      <c r="F84" s="26">
        <v>21.1</v>
      </c>
      <c r="G84" s="26">
        <f t="shared" si="23"/>
        <v>294.10000000000002</v>
      </c>
      <c r="H84" s="26">
        <v>101.3</v>
      </c>
      <c r="I84" s="26">
        <f t="shared" si="24"/>
        <v>101300</v>
      </c>
      <c r="J84" s="26">
        <f t="shared" si="25"/>
        <v>2.0124824921938581E-5</v>
      </c>
      <c r="K84" s="20">
        <v>292.12376237623766</v>
      </c>
      <c r="L84" s="27">
        <f t="shared" si="26"/>
        <v>2.9212376237623764E-4</v>
      </c>
      <c r="M84" s="29">
        <f t="shared" si="27"/>
        <v>4.7762865441819992E-3</v>
      </c>
      <c r="N84" s="33">
        <f t="shared" si="28"/>
        <v>1.2308598989985044E-6</v>
      </c>
      <c r="O84" s="21">
        <f t="shared" si="29"/>
        <v>2.032E-3</v>
      </c>
      <c r="P84" s="21">
        <v>7.43403717661394E-11</v>
      </c>
      <c r="Q84" s="2">
        <v>0.31</v>
      </c>
      <c r="R84" s="27">
        <f t="shared" si="30"/>
        <v>131000</v>
      </c>
      <c r="S84" s="2">
        <f t="shared" si="31"/>
        <v>5.1940208761751296E-3</v>
      </c>
      <c r="T84" s="11">
        <v>0.08</v>
      </c>
      <c r="U84" s="30">
        <f t="shared" si="32"/>
        <v>108000</v>
      </c>
      <c r="V84" s="30">
        <f t="shared" si="20"/>
        <v>31.549366336633664</v>
      </c>
      <c r="W84" s="2">
        <f t="shared" si="33"/>
        <v>10</v>
      </c>
      <c r="X84" s="2">
        <f t="shared" si="34"/>
        <v>1.3206611876710181E-6</v>
      </c>
      <c r="Y84" s="11">
        <f t="shared" si="35"/>
        <v>1740.1816725232477</v>
      </c>
      <c r="Z84" s="9">
        <f t="shared" si="36"/>
        <v>5.3067858735024817E-14</v>
      </c>
      <c r="AA84" s="9">
        <f t="shared" si="37"/>
        <v>31957464530.231945</v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s="4" customFormat="1" x14ac:dyDescent="0.25">
      <c r="A85" s="26">
        <v>249</v>
      </c>
      <c r="B85" s="26">
        <f t="shared" si="21"/>
        <v>4.1500000000000004</v>
      </c>
      <c r="C85" s="26">
        <v>20</v>
      </c>
      <c r="D85" s="26">
        <f t="shared" si="19"/>
        <v>29.146000000000001</v>
      </c>
      <c r="E85" s="26">
        <f t="shared" si="22"/>
        <v>4.8576666666666667E-7</v>
      </c>
      <c r="F85" s="26">
        <v>21.1</v>
      </c>
      <c r="G85" s="26">
        <f t="shared" si="23"/>
        <v>294.10000000000002</v>
      </c>
      <c r="H85" s="26">
        <v>101.3</v>
      </c>
      <c r="I85" s="26">
        <f t="shared" si="24"/>
        <v>101300</v>
      </c>
      <c r="J85" s="26">
        <f t="shared" si="25"/>
        <v>2.0124824921938581E-5</v>
      </c>
      <c r="K85" s="20">
        <v>280.49009900990103</v>
      </c>
      <c r="L85" s="27">
        <f t="shared" si="26"/>
        <v>2.8049009900990102E-4</v>
      </c>
      <c r="M85" s="29">
        <f t="shared" si="27"/>
        <v>4.7762865441819992E-3</v>
      </c>
      <c r="N85" s="33">
        <f t="shared" si="28"/>
        <v>1.1818416007279613E-6</v>
      </c>
      <c r="O85" s="21">
        <f t="shared" si="29"/>
        <v>2.032E-3</v>
      </c>
      <c r="P85" s="21">
        <v>7.43403717661394E-11</v>
      </c>
      <c r="Q85" s="2">
        <v>0.31</v>
      </c>
      <c r="R85" s="27">
        <f t="shared" si="30"/>
        <v>131000</v>
      </c>
      <c r="S85" s="2">
        <f t="shared" si="31"/>
        <v>5.1940208761751296E-3</v>
      </c>
      <c r="T85" s="11">
        <v>0.08</v>
      </c>
      <c r="U85" s="30">
        <f t="shared" si="32"/>
        <v>108000</v>
      </c>
      <c r="V85" s="30">
        <f t="shared" si="20"/>
        <v>30.292930693069309</v>
      </c>
      <c r="W85" s="2">
        <f t="shared" si="33"/>
        <v>10</v>
      </c>
      <c r="X85" s="2">
        <f t="shared" si="34"/>
        <v>1.2675095041938777E-6</v>
      </c>
      <c r="Y85" s="11">
        <f t="shared" si="35"/>
        <v>1611.9959958826228</v>
      </c>
      <c r="Z85" s="9">
        <f t="shared" si="36"/>
        <v>5.0881616701683488E-14</v>
      </c>
      <c r="AA85" s="9">
        <f t="shared" si="37"/>
        <v>30640909577.753799</v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s="4" customFormat="1" x14ac:dyDescent="0.25">
      <c r="A86" s="26">
        <v>252</v>
      </c>
      <c r="B86" s="26">
        <f t="shared" si="21"/>
        <v>4.2</v>
      </c>
      <c r="C86" s="26">
        <v>20</v>
      </c>
      <c r="D86" s="26">
        <f t="shared" si="19"/>
        <v>29.146000000000001</v>
      </c>
      <c r="E86" s="26">
        <f t="shared" si="22"/>
        <v>4.8576666666666667E-7</v>
      </c>
      <c r="F86" s="26">
        <v>21.1</v>
      </c>
      <c r="G86" s="26">
        <f t="shared" si="23"/>
        <v>294.10000000000002</v>
      </c>
      <c r="H86" s="26">
        <v>101.3</v>
      </c>
      <c r="I86" s="26">
        <f t="shared" si="24"/>
        <v>101300</v>
      </c>
      <c r="J86" s="26">
        <f t="shared" si="25"/>
        <v>2.0124824921938581E-5</v>
      </c>
      <c r="K86" s="20">
        <v>296.97524752475249</v>
      </c>
      <c r="L86" s="27">
        <f t="shared" si="26"/>
        <v>2.9697524752475248E-4</v>
      </c>
      <c r="M86" s="29">
        <f t="shared" si="27"/>
        <v>4.7762865441819992E-3</v>
      </c>
      <c r="N86" s="33">
        <f t="shared" si="28"/>
        <v>1.2513015723198373E-6</v>
      </c>
      <c r="O86" s="21">
        <f t="shared" si="29"/>
        <v>2.032E-3</v>
      </c>
      <c r="P86" s="21">
        <v>7.43403717661394E-11</v>
      </c>
      <c r="Q86" s="2">
        <v>0.31</v>
      </c>
      <c r="R86" s="27">
        <f t="shared" si="30"/>
        <v>131000</v>
      </c>
      <c r="S86" s="2">
        <f t="shared" si="31"/>
        <v>5.1940208761751296E-3</v>
      </c>
      <c r="T86" s="11">
        <v>0.08</v>
      </c>
      <c r="U86" s="30">
        <f t="shared" si="32"/>
        <v>108000</v>
      </c>
      <c r="V86" s="30">
        <f t="shared" si="20"/>
        <v>32.073326732673266</v>
      </c>
      <c r="W86" s="2">
        <f t="shared" si="33"/>
        <v>10</v>
      </c>
      <c r="X86" s="2">
        <f t="shared" si="34"/>
        <v>1.3428022082957804E-6</v>
      </c>
      <c r="Y86" s="11">
        <f t="shared" si="35"/>
        <v>1794.9737974235206</v>
      </c>
      <c r="Z86" s="9">
        <f t="shared" si="36"/>
        <v>5.398042868337941E-14</v>
      </c>
      <c r="AA86" s="9">
        <f t="shared" si="37"/>
        <v>32507014153.131081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s="4" customFormat="1" x14ac:dyDescent="0.25">
      <c r="A87" s="26">
        <v>255</v>
      </c>
      <c r="B87" s="26">
        <f t="shared" si="21"/>
        <v>4.25</v>
      </c>
      <c r="C87" s="26">
        <v>20</v>
      </c>
      <c r="D87" s="26">
        <f t="shared" si="19"/>
        <v>29.146000000000001</v>
      </c>
      <c r="E87" s="26">
        <f t="shared" si="22"/>
        <v>4.8576666666666667E-7</v>
      </c>
      <c r="F87" s="26">
        <v>21.1</v>
      </c>
      <c r="G87" s="26">
        <f t="shared" si="23"/>
        <v>294.10000000000002</v>
      </c>
      <c r="H87" s="26">
        <v>101.3</v>
      </c>
      <c r="I87" s="26">
        <f t="shared" si="24"/>
        <v>101300</v>
      </c>
      <c r="J87" s="26">
        <f t="shared" si="25"/>
        <v>2.0124824921938581E-5</v>
      </c>
      <c r="K87" s="20">
        <v>282.19801980198019</v>
      </c>
      <c r="L87" s="27">
        <f t="shared" si="26"/>
        <v>2.821980198019802E-4</v>
      </c>
      <c r="M87" s="29">
        <f t="shared" si="27"/>
        <v>4.7762865441819992E-3</v>
      </c>
      <c r="N87" s="33">
        <f t="shared" si="28"/>
        <v>1.1890379040910834E-6</v>
      </c>
      <c r="O87" s="21">
        <f t="shared" si="29"/>
        <v>2.032E-3</v>
      </c>
      <c r="P87" s="21">
        <v>7.43403717661394E-11</v>
      </c>
      <c r="Q87" s="2">
        <v>0.31</v>
      </c>
      <c r="R87" s="27">
        <f t="shared" si="30"/>
        <v>131000</v>
      </c>
      <c r="S87" s="2">
        <f t="shared" si="31"/>
        <v>5.1940208761751296E-3</v>
      </c>
      <c r="T87" s="11">
        <v>0.08</v>
      </c>
      <c r="U87" s="30">
        <f t="shared" si="32"/>
        <v>108000</v>
      </c>
      <c r="V87" s="30">
        <f t="shared" si="20"/>
        <v>30.477386138613863</v>
      </c>
      <c r="W87" s="2">
        <f t="shared" si="33"/>
        <v>10</v>
      </c>
      <c r="X87" s="2">
        <f t="shared" si="34"/>
        <v>1.2753179214802274E-6</v>
      </c>
      <c r="Y87" s="11">
        <f t="shared" si="35"/>
        <v>1630.5310343365318</v>
      </c>
      <c r="Z87" s="9">
        <f t="shared" si="36"/>
        <v>5.1202404716422612E-14</v>
      </c>
      <c r="AA87" s="9">
        <f t="shared" si="37"/>
        <v>30834088120.229698</v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s="4" customFormat="1" x14ac:dyDescent="0.25">
      <c r="A88" s="26">
        <v>258</v>
      </c>
      <c r="B88" s="26">
        <f t="shared" si="21"/>
        <v>4.3</v>
      </c>
      <c r="C88" s="26">
        <v>20</v>
      </c>
      <c r="D88" s="26">
        <f t="shared" si="19"/>
        <v>29.146000000000001</v>
      </c>
      <c r="E88" s="26">
        <f t="shared" si="22"/>
        <v>4.8576666666666667E-7</v>
      </c>
      <c r="F88" s="26">
        <v>21.1</v>
      </c>
      <c r="G88" s="26">
        <f t="shared" si="23"/>
        <v>294.10000000000002</v>
      </c>
      <c r="H88" s="26">
        <v>101.3</v>
      </c>
      <c r="I88" s="26">
        <f t="shared" si="24"/>
        <v>101300</v>
      </c>
      <c r="J88" s="26">
        <f t="shared" si="25"/>
        <v>2.0124824921938581E-5</v>
      </c>
      <c r="K88" s="20">
        <v>285.58910891089113</v>
      </c>
      <c r="L88" s="27">
        <f t="shared" si="26"/>
        <v>2.8558910891089115E-4</v>
      </c>
      <c r="M88" s="29">
        <f t="shared" si="27"/>
        <v>4.7762865441819992E-3</v>
      </c>
      <c r="N88" s="33">
        <f t="shared" si="28"/>
        <v>1.2033262165656888E-6</v>
      </c>
      <c r="O88" s="21">
        <f t="shared" si="29"/>
        <v>2.032E-3</v>
      </c>
      <c r="P88" s="21">
        <v>7.43403717661394E-11</v>
      </c>
      <c r="Q88" s="2">
        <v>0.31</v>
      </c>
      <c r="R88" s="27">
        <f t="shared" si="30"/>
        <v>131000</v>
      </c>
      <c r="S88" s="2">
        <f t="shared" si="31"/>
        <v>5.1940208761751296E-3</v>
      </c>
      <c r="T88" s="11">
        <v>0.08</v>
      </c>
      <c r="U88" s="30">
        <f t="shared" si="32"/>
        <v>108000</v>
      </c>
      <c r="V88" s="30">
        <f t="shared" si="20"/>
        <v>30.843623762376243</v>
      </c>
      <c r="W88" s="2">
        <f t="shared" si="33"/>
        <v>10</v>
      </c>
      <c r="X88" s="2">
        <f t="shared" si="34"/>
        <v>1.2908161250263219E-6</v>
      </c>
      <c r="Y88" s="11">
        <f t="shared" si="35"/>
        <v>1667.6221111295602</v>
      </c>
      <c r="Z88" s="9">
        <f t="shared" si="36"/>
        <v>5.1839500750934175E-14</v>
      </c>
      <c r="AA88" s="9">
        <f t="shared" si="37"/>
        <v>31217747352.212563</v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s="4" customFormat="1" x14ac:dyDescent="0.25">
      <c r="A89" s="26">
        <v>261</v>
      </c>
      <c r="B89" s="26">
        <f t="shared" si="21"/>
        <v>4.3499999999999996</v>
      </c>
      <c r="C89" s="26">
        <v>20</v>
      </c>
      <c r="D89" s="26">
        <f t="shared" si="19"/>
        <v>29.146000000000001</v>
      </c>
      <c r="E89" s="26">
        <f t="shared" si="22"/>
        <v>4.8576666666666667E-7</v>
      </c>
      <c r="F89" s="26">
        <v>21.1</v>
      </c>
      <c r="G89" s="26">
        <f t="shared" si="23"/>
        <v>294.10000000000002</v>
      </c>
      <c r="H89" s="26">
        <v>101.3</v>
      </c>
      <c r="I89" s="26">
        <f t="shared" si="24"/>
        <v>101300</v>
      </c>
      <c r="J89" s="26">
        <f t="shared" si="25"/>
        <v>2.0124824921938581E-5</v>
      </c>
      <c r="K89" s="20">
        <v>293.03960396039605</v>
      </c>
      <c r="L89" s="27">
        <f t="shared" si="26"/>
        <v>2.9303960396039606E-4</v>
      </c>
      <c r="M89" s="29">
        <f t="shared" si="27"/>
        <v>4.7762865441819992E-3</v>
      </c>
      <c r="N89" s="33">
        <f t="shared" si="28"/>
        <v>1.2347187863091642E-6</v>
      </c>
      <c r="O89" s="21">
        <f t="shared" si="29"/>
        <v>2.032E-3</v>
      </c>
      <c r="P89" s="21">
        <v>7.43403717661394E-11</v>
      </c>
      <c r="Q89" s="2">
        <v>0.31</v>
      </c>
      <c r="R89" s="27">
        <f t="shared" si="30"/>
        <v>131000</v>
      </c>
      <c r="S89" s="2">
        <f t="shared" si="31"/>
        <v>5.1940208761751296E-3</v>
      </c>
      <c r="T89" s="11">
        <v>0.08</v>
      </c>
      <c r="U89" s="30">
        <f t="shared" si="32"/>
        <v>108000</v>
      </c>
      <c r="V89" s="30">
        <f t="shared" si="20"/>
        <v>31.648277227722772</v>
      </c>
      <c r="W89" s="2">
        <f t="shared" si="33"/>
        <v>10</v>
      </c>
      <c r="X89" s="2">
        <f t="shared" si="34"/>
        <v>1.3248419444866059E-6</v>
      </c>
      <c r="Y89" s="11">
        <f t="shared" si="35"/>
        <v>1750.464968858161</v>
      </c>
      <c r="Z89" s="9">
        <f t="shared" si="36"/>
        <v>5.3240088760380362E-14</v>
      </c>
      <c r="AA89" s="9">
        <f t="shared" si="37"/>
        <v>32061181451.501057</v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s="4" customFormat="1" x14ac:dyDescent="0.25">
      <c r="A90" s="26">
        <v>264</v>
      </c>
      <c r="B90" s="26">
        <f t="shared" si="21"/>
        <v>4.4000000000000004</v>
      </c>
      <c r="C90" s="26">
        <v>20</v>
      </c>
      <c r="D90" s="26">
        <f t="shared" si="19"/>
        <v>29.146000000000001</v>
      </c>
      <c r="E90" s="26">
        <f t="shared" si="22"/>
        <v>4.8576666666666667E-7</v>
      </c>
      <c r="F90" s="26">
        <v>21.1</v>
      </c>
      <c r="G90" s="26">
        <f t="shared" si="23"/>
        <v>294.10000000000002</v>
      </c>
      <c r="H90" s="26">
        <v>101.3</v>
      </c>
      <c r="I90" s="26">
        <f t="shared" si="24"/>
        <v>101300</v>
      </c>
      <c r="J90" s="26">
        <f t="shared" si="25"/>
        <v>2.0124824921938581E-5</v>
      </c>
      <c r="K90" s="20">
        <v>290.56435643564362</v>
      </c>
      <c r="L90" s="27">
        <f t="shared" si="26"/>
        <v>2.9056435643564363E-4</v>
      </c>
      <c r="M90" s="29">
        <f t="shared" si="27"/>
        <v>4.7762865441819992E-3</v>
      </c>
      <c r="N90" s="33">
        <f t="shared" si="28"/>
        <v>1.2242893611452191E-6</v>
      </c>
      <c r="O90" s="21">
        <f t="shared" si="29"/>
        <v>2.032E-3</v>
      </c>
      <c r="P90" s="21">
        <v>7.43403717661394E-11</v>
      </c>
      <c r="Q90" s="2">
        <v>0.31</v>
      </c>
      <c r="R90" s="27">
        <f t="shared" si="30"/>
        <v>131000</v>
      </c>
      <c r="S90" s="2">
        <f t="shared" si="31"/>
        <v>5.1940208761751296E-3</v>
      </c>
      <c r="T90" s="11">
        <v>0.08</v>
      </c>
      <c r="U90" s="30">
        <f t="shared" si="32"/>
        <v>108000</v>
      </c>
      <c r="V90" s="30">
        <f t="shared" si="20"/>
        <v>31.380950495049511</v>
      </c>
      <c r="W90" s="2">
        <f t="shared" si="33"/>
        <v>10</v>
      </c>
      <c r="X90" s="2">
        <f t="shared" si="34"/>
        <v>1.3135414386031825E-6</v>
      </c>
      <c r="Y90" s="11">
        <f t="shared" si="35"/>
        <v>1722.7367031568551</v>
      </c>
      <c r="Z90" s="9">
        <f t="shared" si="36"/>
        <v>5.2774644820259313E-14</v>
      </c>
      <c r="AA90" s="9">
        <f t="shared" si="37"/>
        <v>31780891110.760159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s="4" customFormat="1" x14ac:dyDescent="0.25">
      <c r="A91" s="26">
        <v>267</v>
      </c>
      <c r="B91" s="26">
        <f t="shared" si="21"/>
        <v>4.45</v>
      </c>
      <c r="C91" s="26">
        <v>20</v>
      </c>
      <c r="D91" s="26">
        <f t="shared" si="19"/>
        <v>29.146000000000001</v>
      </c>
      <c r="E91" s="26">
        <f t="shared" si="22"/>
        <v>4.8576666666666667E-7</v>
      </c>
      <c r="F91" s="26">
        <v>21.1</v>
      </c>
      <c r="G91" s="26">
        <f t="shared" si="23"/>
        <v>294.10000000000002</v>
      </c>
      <c r="H91" s="26">
        <v>101.3</v>
      </c>
      <c r="I91" s="26">
        <f t="shared" si="24"/>
        <v>101300</v>
      </c>
      <c r="J91" s="26">
        <f t="shared" si="25"/>
        <v>2.0124824921938581E-5</v>
      </c>
      <c r="K91" s="20">
        <v>295.11881188118815</v>
      </c>
      <c r="L91" s="27">
        <f t="shared" si="26"/>
        <v>2.9511881188118818E-4</v>
      </c>
      <c r="M91" s="29">
        <f t="shared" si="27"/>
        <v>4.7762865441819992E-3</v>
      </c>
      <c r="N91" s="33">
        <f t="shared" si="28"/>
        <v>1.2434795034468784E-6</v>
      </c>
      <c r="O91" s="21">
        <f t="shared" si="29"/>
        <v>2.032E-3</v>
      </c>
      <c r="P91" s="21">
        <v>7.43403717661394E-11</v>
      </c>
      <c r="Q91" s="2">
        <v>0.31</v>
      </c>
      <c r="R91" s="27">
        <f t="shared" si="30"/>
        <v>131000</v>
      </c>
      <c r="S91" s="2">
        <f t="shared" si="31"/>
        <v>5.1940208761751296E-3</v>
      </c>
      <c r="T91" s="11">
        <v>0.08</v>
      </c>
      <c r="U91" s="30">
        <f t="shared" si="32"/>
        <v>108000</v>
      </c>
      <c r="V91" s="30">
        <f t="shared" si="20"/>
        <v>31.872831683168322</v>
      </c>
      <c r="W91" s="2">
        <f t="shared" si="33"/>
        <v>10</v>
      </c>
      <c r="X91" s="2">
        <f t="shared" si="34"/>
        <v>1.3343315304012991E-6</v>
      </c>
      <c r="Y91" s="11">
        <f t="shared" si="35"/>
        <v>1773.9147145728632</v>
      </c>
      <c r="Z91" s="9">
        <f t="shared" si="36"/>
        <v>5.3631167494823251E-14</v>
      </c>
      <c r="AA91" s="9">
        <f t="shared" si="37"/>
        <v>32296689065.382565</v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s="4" customFormat="1" x14ac:dyDescent="0.25">
      <c r="A92" s="26">
        <v>270</v>
      </c>
      <c r="B92" s="26">
        <f t="shared" si="21"/>
        <v>4.5</v>
      </c>
      <c r="C92" s="26">
        <v>20</v>
      </c>
      <c r="D92" s="26">
        <f t="shared" si="19"/>
        <v>29.146000000000001</v>
      </c>
      <c r="E92" s="26">
        <f t="shared" si="22"/>
        <v>4.8576666666666667E-7</v>
      </c>
      <c r="F92" s="26">
        <v>21.1</v>
      </c>
      <c r="G92" s="26">
        <f t="shared" si="23"/>
        <v>294.10000000000002</v>
      </c>
      <c r="H92" s="26">
        <v>101.3</v>
      </c>
      <c r="I92" s="26">
        <f t="shared" si="24"/>
        <v>101300</v>
      </c>
      <c r="J92" s="26">
        <f t="shared" si="25"/>
        <v>2.0124824921938581E-5</v>
      </c>
      <c r="K92" s="20">
        <v>291.50495049504951</v>
      </c>
      <c r="L92" s="27">
        <f t="shared" si="26"/>
        <v>2.9150495049504952E-4</v>
      </c>
      <c r="M92" s="29">
        <f t="shared" si="27"/>
        <v>4.7762865441819992E-3</v>
      </c>
      <c r="N92" s="33">
        <f t="shared" si="28"/>
        <v>1.2282525427075181E-6</v>
      </c>
      <c r="O92" s="21">
        <f t="shared" si="29"/>
        <v>2.032E-3</v>
      </c>
      <c r="P92" s="21">
        <v>7.43403717661394E-11</v>
      </c>
      <c r="Q92" s="2">
        <v>0.31</v>
      </c>
      <c r="R92" s="27">
        <f t="shared" si="30"/>
        <v>131000</v>
      </c>
      <c r="S92" s="2">
        <f t="shared" si="31"/>
        <v>5.1940208761751296E-3</v>
      </c>
      <c r="T92" s="11">
        <v>0.08</v>
      </c>
      <c r="U92" s="30">
        <f t="shared" si="32"/>
        <v>108000</v>
      </c>
      <c r="V92" s="30">
        <f t="shared" si="20"/>
        <v>31.482534653465347</v>
      </c>
      <c r="W92" s="2">
        <f t="shared" si="33"/>
        <v>10</v>
      </c>
      <c r="X92" s="2">
        <f t="shared" si="34"/>
        <v>1.3178360662772412E-6</v>
      </c>
      <c r="Y92" s="11">
        <f t="shared" si="35"/>
        <v>1733.2493485797145</v>
      </c>
      <c r="Z92" s="9">
        <f t="shared" si="36"/>
        <v>5.2951497621212128E-14</v>
      </c>
      <c r="AA92" s="9">
        <f t="shared" si="37"/>
        <v>31887391867.493946</v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</row>
    <row r="93" spans="1:78" s="4" customFormat="1" x14ac:dyDescent="0.25">
      <c r="A93" s="26">
        <v>273</v>
      </c>
      <c r="B93" s="26">
        <f t="shared" si="21"/>
        <v>4.55</v>
      </c>
      <c r="C93" s="26">
        <v>20</v>
      </c>
      <c r="D93" s="26">
        <f t="shared" si="19"/>
        <v>29.146000000000001</v>
      </c>
      <c r="E93" s="26">
        <f t="shared" si="22"/>
        <v>4.8576666666666667E-7</v>
      </c>
      <c r="F93" s="26">
        <v>21.1</v>
      </c>
      <c r="G93" s="26">
        <f t="shared" si="23"/>
        <v>294.10000000000002</v>
      </c>
      <c r="H93" s="26">
        <v>101.3</v>
      </c>
      <c r="I93" s="26">
        <f t="shared" si="24"/>
        <v>101300</v>
      </c>
      <c r="J93" s="26">
        <f t="shared" si="25"/>
        <v>2.0124824921938581E-5</v>
      </c>
      <c r="K93" s="20">
        <v>295.68811881188122</v>
      </c>
      <c r="L93" s="27">
        <f t="shared" si="26"/>
        <v>2.9568811881188124E-4</v>
      </c>
      <c r="M93" s="29">
        <f t="shared" si="27"/>
        <v>4.7762865441819992E-3</v>
      </c>
      <c r="N93" s="33">
        <f t="shared" si="28"/>
        <v>1.2458782712345858E-6</v>
      </c>
      <c r="O93" s="21">
        <f t="shared" si="29"/>
        <v>2.032E-3</v>
      </c>
      <c r="P93" s="21">
        <v>7.43403717661394E-11</v>
      </c>
      <c r="Q93" s="2">
        <v>0.31</v>
      </c>
      <c r="R93" s="27">
        <f t="shared" si="30"/>
        <v>131000</v>
      </c>
      <c r="S93" s="2">
        <f t="shared" si="31"/>
        <v>5.1940208761751296E-3</v>
      </c>
      <c r="T93" s="11">
        <v>0.08</v>
      </c>
      <c r="U93" s="30">
        <f t="shared" si="32"/>
        <v>108000</v>
      </c>
      <c r="V93" s="30">
        <f t="shared" si="20"/>
        <v>31.934316831683173</v>
      </c>
      <c r="W93" s="2">
        <f t="shared" si="33"/>
        <v>10</v>
      </c>
      <c r="X93" s="2">
        <f t="shared" si="34"/>
        <v>1.3369294212847422E-6</v>
      </c>
      <c r="Y93" s="11">
        <f t="shared" si="35"/>
        <v>1780.3606205306519</v>
      </c>
      <c r="Z93" s="9">
        <f t="shared" si="36"/>
        <v>5.3738265773468547E-14</v>
      </c>
      <c r="AA93" s="9">
        <f t="shared" si="37"/>
        <v>32361183648.782761</v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</row>
    <row r="94" spans="1:78" s="4" customFormat="1" x14ac:dyDescent="0.25">
      <c r="A94" s="26">
        <v>276</v>
      </c>
      <c r="B94" s="26">
        <f t="shared" si="21"/>
        <v>4.5999999999999996</v>
      </c>
      <c r="C94" s="26">
        <v>20</v>
      </c>
      <c r="D94" s="26">
        <f t="shared" si="19"/>
        <v>29.146000000000001</v>
      </c>
      <c r="E94" s="26">
        <f t="shared" si="22"/>
        <v>4.8576666666666667E-7</v>
      </c>
      <c r="F94" s="26">
        <v>21.1</v>
      </c>
      <c r="G94" s="26">
        <f t="shared" si="23"/>
        <v>294.10000000000002</v>
      </c>
      <c r="H94" s="26">
        <v>101.3</v>
      </c>
      <c r="I94" s="26">
        <f t="shared" si="24"/>
        <v>101300</v>
      </c>
      <c r="J94" s="26">
        <f t="shared" si="25"/>
        <v>2.0124824921938581E-5</v>
      </c>
      <c r="K94" s="20">
        <v>293.6584158415842</v>
      </c>
      <c r="L94" s="27">
        <f t="shared" si="26"/>
        <v>2.9365841584158418E-4</v>
      </c>
      <c r="M94" s="29">
        <f t="shared" si="27"/>
        <v>4.7762865441819992E-3</v>
      </c>
      <c r="N94" s="33">
        <f t="shared" si="28"/>
        <v>1.2373261426001505E-6</v>
      </c>
      <c r="O94" s="21">
        <f t="shared" si="29"/>
        <v>2.032E-3</v>
      </c>
      <c r="P94" s="21">
        <v>7.43403717661394E-11</v>
      </c>
      <c r="Q94" s="2">
        <v>0.31</v>
      </c>
      <c r="R94" s="27">
        <f t="shared" si="30"/>
        <v>131000</v>
      </c>
      <c r="S94" s="2">
        <f t="shared" si="31"/>
        <v>5.1940208761751296E-3</v>
      </c>
      <c r="T94" s="11">
        <v>0.08</v>
      </c>
      <c r="U94" s="30">
        <f t="shared" si="32"/>
        <v>108000</v>
      </c>
      <c r="V94" s="30">
        <f t="shared" si="20"/>
        <v>31.71510891089109</v>
      </c>
      <c r="W94" s="2">
        <f t="shared" si="33"/>
        <v>10</v>
      </c>
      <c r="X94" s="2">
        <f t="shared" si="34"/>
        <v>1.3276664955147507E-6</v>
      </c>
      <c r="Y94" s="11">
        <f t="shared" si="35"/>
        <v>1757.4289870836883</v>
      </c>
      <c r="Z94" s="9">
        <f t="shared" si="36"/>
        <v>5.3356471016138495E-14</v>
      </c>
      <c r="AA94" s="9">
        <f t="shared" si="37"/>
        <v>32131266845.918602</v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</row>
    <row r="95" spans="1:78" s="4" customFormat="1" x14ac:dyDescent="0.25">
      <c r="A95" s="26">
        <v>279</v>
      </c>
      <c r="B95" s="26">
        <f t="shared" si="21"/>
        <v>4.6500000000000004</v>
      </c>
      <c r="C95" s="26">
        <v>20</v>
      </c>
      <c r="D95" s="26">
        <f t="shared" si="19"/>
        <v>29.146000000000001</v>
      </c>
      <c r="E95" s="26">
        <f t="shared" si="22"/>
        <v>4.8576666666666667E-7</v>
      </c>
      <c r="F95" s="26">
        <v>21.1</v>
      </c>
      <c r="G95" s="26">
        <f t="shared" si="23"/>
        <v>294.10000000000002</v>
      </c>
      <c r="H95" s="26">
        <v>101.3</v>
      </c>
      <c r="I95" s="26">
        <f t="shared" si="24"/>
        <v>101300</v>
      </c>
      <c r="J95" s="26">
        <f t="shared" si="25"/>
        <v>2.0124824921938581E-5</v>
      </c>
      <c r="K95" s="20">
        <v>280.36633663366337</v>
      </c>
      <c r="L95" s="27">
        <f t="shared" si="26"/>
        <v>2.8036633663366337E-4</v>
      </c>
      <c r="M95" s="29">
        <f t="shared" si="27"/>
        <v>4.7762865441819992E-3</v>
      </c>
      <c r="N95" s="33">
        <f t="shared" si="28"/>
        <v>1.1813201294697639E-6</v>
      </c>
      <c r="O95" s="21">
        <f t="shared" si="29"/>
        <v>2.032E-3</v>
      </c>
      <c r="P95" s="21">
        <v>7.43403717661394E-11</v>
      </c>
      <c r="Q95" s="2">
        <v>0.31</v>
      </c>
      <c r="R95" s="27">
        <f t="shared" si="30"/>
        <v>131000</v>
      </c>
      <c r="S95" s="2">
        <f t="shared" si="31"/>
        <v>5.1940208761751296E-3</v>
      </c>
      <c r="T95" s="11">
        <v>0.08</v>
      </c>
      <c r="U95" s="30">
        <f t="shared" si="32"/>
        <v>108000</v>
      </c>
      <c r="V95" s="30">
        <f t="shared" si="20"/>
        <v>30.279564356435646</v>
      </c>
      <c r="W95" s="2">
        <f t="shared" si="33"/>
        <v>10</v>
      </c>
      <c r="X95" s="2">
        <f t="shared" si="34"/>
        <v>1.2669436045336656E-6</v>
      </c>
      <c r="Y95" s="11">
        <f t="shared" si="35"/>
        <v>1610.6566768119387</v>
      </c>
      <c r="Z95" s="9">
        <f t="shared" si="36"/>
        <v>5.0858373354964846E-14</v>
      </c>
      <c r="AA95" s="9">
        <f t="shared" si="37"/>
        <v>30626912434.359833</v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</row>
    <row r="96" spans="1:78" s="4" customFormat="1" x14ac:dyDescent="0.25">
      <c r="A96" s="26">
        <v>282</v>
      </c>
      <c r="B96" s="26">
        <f t="shared" si="21"/>
        <v>4.7</v>
      </c>
      <c r="C96" s="26">
        <v>20</v>
      </c>
      <c r="D96" s="26">
        <f t="shared" si="19"/>
        <v>29.146000000000001</v>
      </c>
      <c r="E96" s="26">
        <f t="shared" si="22"/>
        <v>4.8576666666666667E-7</v>
      </c>
      <c r="F96" s="26">
        <v>21.1</v>
      </c>
      <c r="G96" s="26">
        <f t="shared" si="23"/>
        <v>294.10000000000002</v>
      </c>
      <c r="H96" s="26">
        <v>101.3</v>
      </c>
      <c r="I96" s="26">
        <f t="shared" si="24"/>
        <v>101300</v>
      </c>
      <c r="J96" s="26">
        <f t="shared" si="25"/>
        <v>2.0124824921938581E-5</v>
      </c>
      <c r="K96" s="20">
        <v>291.0594059405941</v>
      </c>
      <c r="L96" s="27">
        <f t="shared" si="26"/>
        <v>2.9105940594059411E-4</v>
      </c>
      <c r="M96" s="29">
        <f t="shared" si="27"/>
        <v>4.7762865441819992E-3</v>
      </c>
      <c r="N96" s="33">
        <f t="shared" si="28"/>
        <v>1.226375246178008E-6</v>
      </c>
      <c r="O96" s="21">
        <f t="shared" si="29"/>
        <v>2.032E-3</v>
      </c>
      <c r="P96" s="21">
        <v>7.43403717661394E-11</v>
      </c>
      <c r="Q96" s="2">
        <v>0.31</v>
      </c>
      <c r="R96" s="27">
        <f t="shared" si="30"/>
        <v>131000</v>
      </c>
      <c r="S96" s="2">
        <f t="shared" si="31"/>
        <v>5.1940208761751296E-3</v>
      </c>
      <c r="T96" s="11">
        <v>0.08</v>
      </c>
      <c r="U96" s="30">
        <f t="shared" si="32"/>
        <v>108000</v>
      </c>
      <c r="V96" s="30">
        <f t="shared" si="20"/>
        <v>31.434415841584162</v>
      </c>
      <c r="W96" s="2">
        <f t="shared" si="33"/>
        <v>10</v>
      </c>
      <c r="X96" s="2">
        <f t="shared" si="34"/>
        <v>1.3158018357196703E-6</v>
      </c>
      <c r="Y96" s="11">
        <f t="shared" si="35"/>
        <v>1728.2659916918433</v>
      </c>
      <c r="Z96" s="9">
        <f t="shared" si="36"/>
        <v>5.2867722832574464E-14</v>
      </c>
      <c r="AA96" s="9">
        <f t="shared" si="37"/>
        <v>31836942689.776344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</row>
    <row r="97" spans="1:78" s="4" customFormat="1" x14ac:dyDescent="0.25">
      <c r="A97" s="26">
        <v>285</v>
      </c>
      <c r="B97" s="26">
        <f t="shared" si="21"/>
        <v>4.75</v>
      </c>
      <c r="C97" s="26">
        <v>20</v>
      </c>
      <c r="D97" s="26">
        <f t="shared" si="19"/>
        <v>29.146000000000001</v>
      </c>
      <c r="E97" s="26">
        <f t="shared" si="22"/>
        <v>4.8576666666666667E-7</v>
      </c>
      <c r="F97" s="26">
        <v>21.1</v>
      </c>
      <c r="G97" s="26">
        <f t="shared" si="23"/>
        <v>294.10000000000002</v>
      </c>
      <c r="H97" s="26">
        <v>101.3</v>
      </c>
      <c r="I97" s="26">
        <f t="shared" si="24"/>
        <v>101300</v>
      </c>
      <c r="J97" s="26">
        <f t="shared" si="25"/>
        <v>2.0124824921938581E-5</v>
      </c>
      <c r="K97" s="20">
        <v>291.9009900990099</v>
      </c>
      <c r="L97" s="27">
        <f t="shared" si="26"/>
        <v>2.9190099009900988E-4</v>
      </c>
      <c r="M97" s="29">
        <f t="shared" si="27"/>
        <v>4.7762865441819992E-3</v>
      </c>
      <c r="N97" s="33">
        <f t="shared" si="28"/>
        <v>1.2299212507337494E-6</v>
      </c>
      <c r="O97" s="21">
        <f t="shared" si="29"/>
        <v>2.032E-3</v>
      </c>
      <c r="P97" s="21">
        <v>7.43403717661394E-11</v>
      </c>
      <c r="Q97" s="2">
        <v>0.31</v>
      </c>
      <c r="R97" s="27">
        <f t="shared" si="30"/>
        <v>131000</v>
      </c>
      <c r="S97" s="2">
        <f t="shared" si="31"/>
        <v>5.1940208761751296E-3</v>
      </c>
      <c r="T97" s="11">
        <v>0.08</v>
      </c>
      <c r="U97" s="30">
        <f t="shared" si="32"/>
        <v>108000</v>
      </c>
      <c r="V97" s="30">
        <f t="shared" si="20"/>
        <v>31.525306930693066</v>
      </c>
      <c r="W97" s="2">
        <f t="shared" si="33"/>
        <v>10</v>
      </c>
      <c r="X97" s="2">
        <f t="shared" si="34"/>
        <v>1.3196441705641601E-6</v>
      </c>
      <c r="Y97" s="11">
        <f t="shared" si="35"/>
        <v>1737.6845632483387</v>
      </c>
      <c r="Z97" s="9">
        <f t="shared" si="36"/>
        <v>5.3025967760780716E-14</v>
      </c>
      <c r="AA97" s="9">
        <f t="shared" si="37"/>
        <v>31932237785.542149</v>
      </c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</row>
    <row r="98" spans="1:78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1"/>
      <c r="O98" s="21"/>
      <c r="P98" s="21"/>
      <c r="Q98" s="2"/>
      <c r="R98" s="2"/>
      <c r="S98" s="2"/>
      <c r="T98" s="11"/>
      <c r="U98" s="2"/>
      <c r="V98" s="11"/>
      <c r="W98" s="2"/>
      <c r="X98" s="2"/>
      <c r="Y98" s="5"/>
      <c r="Z98" s="2"/>
      <c r="AA98" s="5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</row>
    <row r="99" spans="1:78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1"/>
      <c r="O99" s="21"/>
      <c r="P99" s="21"/>
      <c r="Q99" s="2"/>
      <c r="R99" s="2"/>
      <c r="S99" s="2"/>
      <c r="T99" s="11"/>
      <c r="U99" s="2"/>
      <c r="V99" s="11"/>
      <c r="W99" s="2"/>
      <c r="X99" s="2"/>
      <c r="Y99" s="5"/>
      <c r="Z99" s="2"/>
      <c r="AA99" s="5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</row>
    <row r="100" spans="1:78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1"/>
      <c r="O100" s="21"/>
      <c r="P100" s="21"/>
      <c r="Q100" s="2"/>
      <c r="R100" s="2"/>
      <c r="S100" s="2"/>
      <c r="T100" s="11"/>
      <c r="U100" s="2"/>
      <c r="V100" s="11"/>
      <c r="W100" s="2"/>
      <c r="X100" s="2"/>
      <c r="Y100" s="5"/>
      <c r="Z100" s="31"/>
      <c r="AA100" s="31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</row>
    <row r="101" spans="1:78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1"/>
      <c r="O101" s="21"/>
      <c r="P101" s="21"/>
      <c r="Q101" s="2"/>
      <c r="R101" s="2"/>
      <c r="S101" s="2"/>
      <c r="T101" s="11"/>
      <c r="U101" s="2"/>
      <c r="V101" s="11"/>
      <c r="W101" s="2"/>
      <c r="X101" s="2"/>
      <c r="Y101" s="5"/>
      <c r="Z101" s="32">
        <f>AVERAGE(Z42:Z97)</f>
        <v>5.3979787137867379E-14</v>
      </c>
      <c r="AA101" s="32">
        <f>AVERAGE(AA42:AA97)</f>
        <v>32506627814.423748</v>
      </c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</row>
    <row r="102" spans="1:78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1"/>
      <c r="O102" s="21"/>
      <c r="P102" s="21"/>
      <c r="Q102" s="2"/>
      <c r="R102" s="2"/>
      <c r="S102" s="2"/>
      <c r="T102" s="11"/>
      <c r="U102" s="2"/>
      <c r="V102" s="11"/>
      <c r="W102" s="2"/>
      <c r="X102" s="2"/>
      <c r="Y102" s="5"/>
      <c r="Z102" s="2"/>
      <c r="AA102" s="5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</row>
    <row r="103" spans="1:78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21"/>
      <c r="O103" s="21"/>
      <c r="P103" s="21"/>
      <c r="Q103" s="2"/>
      <c r="R103" s="2"/>
      <c r="S103" s="2"/>
      <c r="T103" s="11"/>
      <c r="U103" s="2"/>
      <c r="V103" s="11"/>
      <c r="W103" s="2"/>
      <c r="X103" s="2"/>
      <c r="Y103" s="5"/>
      <c r="Z103" s="2"/>
      <c r="AA103" s="5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</row>
    <row r="104" spans="1:78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1"/>
      <c r="O104" s="21"/>
      <c r="P104" s="21"/>
      <c r="Q104" s="2"/>
      <c r="R104" s="2"/>
      <c r="S104" s="2"/>
      <c r="T104" s="11"/>
      <c r="U104" s="2"/>
      <c r="V104" s="11"/>
      <c r="W104" s="2"/>
      <c r="X104" s="2"/>
      <c r="Y104" s="5"/>
      <c r="Z104" s="2"/>
      <c r="AA104" s="5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</row>
    <row r="105" spans="1:78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1"/>
      <c r="O105" s="21"/>
      <c r="P105" s="21"/>
      <c r="Q105" s="2"/>
      <c r="R105" s="2"/>
      <c r="S105" s="2"/>
      <c r="T105" s="11"/>
      <c r="U105" s="2"/>
      <c r="V105" s="11"/>
      <c r="W105" s="2"/>
      <c r="X105" s="2"/>
      <c r="Y105" s="5"/>
      <c r="Z105" s="2"/>
      <c r="AA105" s="5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</row>
    <row r="106" spans="1:78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1"/>
      <c r="O106" s="21"/>
      <c r="P106" s="21"/>
      <c r="Q106" s="2"/>
      <c r="R106" s="2"/>
      <c r="S106" s="2"/>
      <c r="T106" s="11"/>
      <c r="U106" s="2"/>
      <c r="V106" s="11"/>
      <c r="W106" s="2"/>
      <c r="X106" s="2"/>
      <c r="Y106" s="5"/>
      <c r="Z106" s="2"/>
      <c r="AA106" s="5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</row>
    <row r="107" spans="1:78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1"/>
      <c r="O107" s="21"/>
      <c r="P107" s="21"/>
      <c r="Q107" s="2"/>
      <c r="R107" s="2"/>
      <c r="S107" s="2"/>
      <c r="T107" s="11"/>
      <c r="U107" s="2"/>
      <c r="V107" s="11"/>
      <c r="W107" s="2"/>
      <c r="X107" s="2"/>
      <c r="Y107" s="5"/>
      <c r="Z107" s="2"/>
      <c r="AA107" s="5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</row>
    <row r="108" spans="1:78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1"/>
      <c r="O108" s="21"/>
      <c r="P108" s="21"/>
      <c r="Q108" s="2"/>
      <c r="R108" s="2"/>
      <c r="S108" s="2"/>
      <c r="T108" s="11"/>
      <c r="U108" s="2"/>
      <c r="V108" s="11"/>
      <c r="W108" s="2"/>
      <c r="X108" s="2"/>
      <c r="Y108" s="5"/>
      <c r="Z108" s="2"/>
      <c r="AA108" s="5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</row>
    <row r="109" spans="1:78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1"/>
      <c r="O109" s="21"/>
      <c r="P109" s="21"/>
      <c r="Q109" s="2"/>
      <c r="R109" s="2"/>
      <c r="S109" s="2"/>
      <c r="T109" s="11"/>
      <c r="U109" s="2"/>
      <c r="V109" s="11"/>
      <c r="W109" s="2"/>
      <c r="X109" s="2"/>
      <c r="Y109" s="5"/>
      <c r="Z109" s="2"/>
      <c r="AA109" s="5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</row>
    <row r="110" spans="1:78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1"/>
      <c r="O110" s="21"/>
      <c r="P110" s="21"/>
      <c r="Q110" s="2"/>
      <c r="R110" s="2"/>
      <c r="S110" s="2"/>
      <c r="T110" s="11"/>
      <c r="U110" s="2"/>
      <c r="V110" s="11"/>
      <c r="W110" s="2"/>
      <c r="X110" s="2"/>
      <c r="Y110" s="5"/>
      <c r="Z110" s="2"/>
      <c r="AA110" s="5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</row>
    <row r="111" spans="1:78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1"/>
      <c r="O111" s="21"/>
      <c r="P111" s="21"/>
      <c r="Q111" s="2"/>
      <c r="R111" s="2"/>
      <c r="S111" s="2"/>
      <c r="T111" s="11"/>
      <c r="U111" s="2"/>
      <c r="V111" s="11"/>
      <c r="W111" s="2"/>
      <c r="X111" s="2"/>
      <c r="Y111" s="5"/>
      <c r="Z111" s="2"/>
      <c r="AA111" s="5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</row>
    <row r="112" spans="1:78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1"/>
      <c r="O112" s="21"/>
      <c r="P112" s="21"/>
      <c r="Q112" s="2"/>
      <c r="R112" s="2"/>
      <c r="S112" s="2"/>
      <c r="T112" s="11"/>
      <c r="U112" s="2"/>
      <c r="V112" s="11"/>
      <c r="W112" s="2"/>
      <c r="X112" s="2"/>
      <c r="Y112" s="5"/>
      <c r="Z112" s="2"/>
      <c r="AA112" s="5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</row>
    <row r="113" spans="1:78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1"/>
      <c r="O113" s="21"/>
      <c r="P113" s="21"/>
      <c r="Q113" s="2"/>
      <c r="R113" s="2"/>
      <c r="S113" s="2"/>
      <c r="T113" s="11"/>
      <c r="U113" s="2"/>
      <c r="V113" s="11"/>
      <c r="W113" s="2"/>
      <c r="X113" s="2"/>
      <c r="Y113" s="5"/>
      <c r="Z113" s="2"/>
      <c r="AA113" s="5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</row>
    <row r="114" spans="1:78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1"/>
      <c r="O114" s="21"/>
      <c r="P114" s="21"/>
      <c r="Q114" s="2"/>
      <c r="R114" s="2"/>
      <c r="S114" s="2"/>
      <c r="T114" s="11"/>
      <c r="U114" s="2"/>
      <c r="V114" s="11"/>
      <c r="W114" s="2"/>
      <c r="X114" s="2"/>
      <c r="Y114" s="5"/>
      <c r="Z114" s="2"/>
      <c r="AA114" s="5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</row>
    <row r="115" spans="1:78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1"/>
      <c r="O115" s="21"/>
      <c r="P115" s="21"/>
      <c r="Q115" s="2"/>
      <c r="R115" s="2"/>
      <c r="S115" s="2"/>
      <c r="T115" s="11"/>
      <c r="U115" s="2"/>
      <c r="V115" s="11"/>
      <c r="W115" s="2"/>
      <c r="X115" s="2"/>
      <c r="Y115" s="5"/>
      <c r="Z115" s="2"/>
      <c r="AA115" s="5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</row>
    <row r="116" spans="1:78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1"/>
      <c r="O116" s="21"/>
      <c r="P116" s="21"/>
      <c r="Q116" s="2"/>
      <c r="R116" s="2"/>
      <c r="S116" s="2"/>
      <c r="T116" s="11"/>
      <c r="U116" s="2"/>
      <c r="V116" s="11"/>
      <c r="W116" s="2"/>
      <c r="X116" s="2"/>
      <c r="Y116" s="5"/>
      <c r="Z116" s="2"/>
      <c r="AA116" s="5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</row>
    <row r="117" spans="1:78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1"/>
      <c r="O117" s="21"/>
      <c r="P117" s="21"/>
      <c r="Q117" s="2"/>
      <c r="R117" s="2"/>
      <c r="S117" s="2"/>
      <c r="T117" s="11"/>
      <c r="U117" s="2"/>
      <c r="V117" s="11"/>
      <c r="W117" s="2"/>
      <c r="X117" s="2"/>
      <c r="Y117" s="5"/>
      <c r="Z117" s="2"/>
      <c r="AA117" s="5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</row>
    <row r="118" spans="1:78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1"/>
      <c r="O118" s="21"/>
      <c r="P118" s="21"/>
      <c r="Q118" s="2"/>
      <c r="R118" s="2"/>
      <c r="S118" s="2"/>
      <c r="T118" s="11"/>
      <c r="U118" s="2"/>
      <c r="V118" s="11"/>
      <c r="W118" s="2"/>
      <c r="X118" s="2"/>
      <c r="Y118" s="5"/>
      <c r="Z118" s="2"/>
      <c r="AA118" s="5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</row>
    <row r="119" spans="1:78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1"/>
      <c r="O119" s="21"/>
      <c r="P119" s="21"/>
      <c r="Q119" s="2"/>
      <c r="R119" s="2"/>
      <c r="S119" s="2"/>
      <c r="T119" s="11"/>
      <c r="U119" s="2"/>
      <c r="V119" s="11"/>
      <c r="W119" s="2"/>
      <c r="X119" s="2"/>
      <c r="Y119" s="5"/>
      <c r="Z119" s="2"/>
      <c r="AA119" s="5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</row>
    <row r="120" spans="1:78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1"/>
      <c r="O120" s="21"/>
      <c r="P120" s="21"/>
      <c r="Q120" s="2"/>
      <c r="R120" s="2"/>
      <c r="S120" s="2"/>
      <c r="T120" s="11"/>
      <c r="U120" s="2"/>
      <c r="V120" s="11"/>
      <c r="W120" s="2"/>
      <c r="X120" s="2"/>
      <c r="Y120" s="5"/>
      <c r="Z120" s="2"/>
      <c r="AA120" s="5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</row>
    <row r="121" spans="1:78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1"/>
      <c r="O121" s="21"/>
      <c r="P121" s="21"/>
      <c r="Q121" s="2"/>
      <c r="R121" s="2"/>
      <c r="S121" s="2"/>
      <c r="T121" s="11"/>
      <c r="U121" s="2"/>
      <c r="V121" s="11"/>
      <c r="W121" s="2"/>
      <c r="X121" s="2"/>
      <c r="Y121" s="5"/>
      <c r="Z121" s="2"/>
      <c r="AA121" s="5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</row>
    <row r="122" spans="1:78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1"/>
      <c r="O122" s="21"/>
      <c r="P122" s="21"/>
      <c r="Q122" s="2"/>
      <c r="R122" s="2"/>
      <c r="S122" s="2"/>
      <c r="T122" s="11"/>
      <c r="U122" s="2"/>
      <c r="V122" s="11"/>
      <c r="W122" s="2"/>
      <c r="X122" s="2"/>
      <c r="Y122" s="5"/>
      <c r="Z122" s="2"/>
      <c r="AA122" s="5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</row>
    <row r="123" spans="1:78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1"/>
      <c r="O123" s="21"/>
      <c r="P123" s="21"/>
      <c r="Q123" s="2"/>
      <c r="R123" s="2"/>
      <c r="S123" s="2"/>
      <c r="T123" s="11"/>
      <c r="U123" s="2"/>
      <c r="V123" s="11"/>
      <c r="W123" s="2"/>
      <c r="X123" s="2"/>
      <c r="Y123" s="5"/>
      <c r="Z123" s="2"/>
      <c r="AA123" s="5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</row>
    <row r="124" spans="1:78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1"/>
      <c r="O124" s="21"/>
      <c r="P124" s="21"/>
      <c r="Q124" s="2"/>
      <c r="R124" s="2"/>
      <c r="S124" s="2"/>
      <c r="T124" s="11"/>
      <c r="U124" s="2"/>
      <c r="V124" s="11"/>
      <c r="W124" s="2"/>
      <c r="X124" s="2"/>
      <c r="Y124" s="5"/>
      <c r="Z124" s="2"/>
      <c r="AA124" s="5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</row>
    <row r="125" spans="1:78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1"/>
      <c r="O125" s="21"/>
      <c r="P125" s="21"/>
      <c r="Q125" s="2"/>
      <c r="R125" s="2"/>
      <c r="S125" s="2"/>
      <c r="T125" s="11"/>
      <c r="U125" s="2"/>
      <c r="V125" s="11"/>
      <c r="W125" s="2"/>
      <c r="X125" s="2"/>
      <c r="Y125" s="5"/>
      <c r="Z125" s="2"/>
      <c r="AA125" s="5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</row>
    <row r="126" spans="1:78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1"/>
      <c r="O126" s="21"/>
      <c r="P126" s="21"/>
      <c r="Q126" s="2"/>
      <c r="R126" s="2"/>
      <c r="S126" s="2"/>
      <c r="T126" s="11"/>
      <c r="U126" s="2"/>
      <c r="V126" s="11"/>
      <c r="W126" s="2"/>
      <c r="X126" s="2"/>
      <c r="Y126" s="5"/>
      <c r="Z126" s="2"/>
      <c r="AA126" s="5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</row>
    <row r="127" spans="1:78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1"/>
      <c r="O127" s="21"/>
      <c r="P127" s="21"/>
      <c r="Q127" s="2"/>
      <c r="R127" s="2"/>
      <c r="S127" s="2"/>
      <c r="T127" s="11"/>
      <c r="U127" s="2"/>
      <c r="V127" s="11"/>
      <c r="W127" s="2"/>
      <c r="X127" s="2"/>
      <c r="Y127" s="5"/>
      <c r="Z127" s="2"/>
      <c r="AA127" s="5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</row>
    <row r="128" spans="1:78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21"/>
      <c r="O128" s="21"/>
      <c r="P128" s="21"/>
      <c r="Q128" s="2"/>
      <c r="R128" s="2"/>
      <c r="S128" s="2"/>
      <c r="T128" s="11"/>
      <c r="U128" s="2"/>
      <c r="V128" s="11"/>
      <c r="W128" s="2"/>
      <c r="X128" s="2"/>
      <c r="Y128" s="5"/>
      <c r="Z128" s="2"/>
      <c r="AA128" s="5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</row>
    <row r="129" spans="1:78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1"/>
      <c r="O129" s="21"/>
      <c r="P129" s="21"/>
      <c r="Q129" s="2"/>
      <c r="R129" s="2"/>
      <c r="S129" s="2"/>
      <c r="T129" s="11"/>
      <c r="U129" s="2"/>
      <c r="V129" s="11"/>
      <c r="W129" s="2"/>
      <c r="X129" s="2"/>
      <c r="Y129" s="5"/>
      <c r="Z129" s="2"/>
      <c r="AA129" s="5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</row>
    <row r="130" spans="1:78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1"/>
      <c r="O130" s="21"/>
      <c r="P130" s="21"/>
      <c r="Q130" s="2"/>
      <c r="R130" s="2"/>
      <c r="S130" s="2"/>
      <c r="T130" s="11"/>
      <c r="U130" s="2"/>
      <c r="V130" s="11"/>
      <c r="W130" s="2"/>
      <c r="X130" s="2"/>
      <c r="Y130" s="5"/>
      <c r="Z130" s="2"/>
      <c r="AA130" s="5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</row>
    <row r="131" spans="1:78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1"/>
      <c r="O131" s="21"/>
      <c r="P131" s="21"/>
      <c r="Q131" s="2"/>
      <c r="R131" s="2"/>
      <c r="S131" s="2"/>
      <c r="T131" s="11"/>
      <c r="U131" s="2"/>
      <c r="V131" s="11"/>
      <c r="W131" s="2"/>
      <c r="X131" s="2"/>
      <c r="Y131" s="5"/>
      <c r="Z131" s="2"/>
      <c r="AA131" s="5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</row>
    <row r="132" spans="1:78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1"/>
      <c r="O132" s="21"/>
      <c r="P132" s="21"/>
      <c r="Q132" s="2"/>
      <c r="R132" s="2"/>
      <c r="S132" s="2"/>
      <c r="T132" s="11"/>
      <c r="U132" s="2"/>
      <c r="V132" s="11"/>
      <c r="W132" s="2"/>
      <c r="X132" s="2"/>
      <c r="Y132" s="5"/>
      <c r="Z132" s="2"/>
      <c r="AA132" s="5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</row>
    <row r="133" spans="1:78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1"/>
      <c r="O133" s="21"/>
      <c r="P133" s="21"/>
      <c r="Q133" s="2"/>
      <c r="R133" s="2"/>
      <c r="S133" s="2"/>
      <c r="T133" s="11"/>
      <c r="U133" s="2"/>
      <c r="V133" s="11"/>
      <c r="W133" s="2"/>
      <c r="X133" s="2"/>
      <c r="Y133" s="5"/>
      <c r="Z133" s="2"/>
      <c r="AA133" s="5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</row>
    <row r="134" spans="1:78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1"/>
      <c r="O134" s="21"/>
      <c r="P134" s="21"/>
      <c r="Q134" s="2"/>
      <c r="R134" s="2"/>
      <c r="S134" s="2"/>
      <c r="T134" s="11"/>
      <c r="U134" s="2"/>
      <c r="V134" s="11"/>
      <c r="W134" s="2"/>
      <c r="X134" s="2"/>
      <c r="Y134" s="5"/>
      <c r="Z134" s="2"/>
      <c r="AA134" s="5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</row>
    <row r="135" spans="1:78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1"/>
      <c r="O135" s="21"/>
      <c r="P135" s="21"/>
      <c r="Q135" s="2"/>
      <c r="R135" s="2"/>
      <c r="S135" s="2"/>
      <c r="T135" s="11"/>
      <c r="U135" s="2"/>
      <c r="V135" s="11"/>
      <c r="W135" s="2"/>
      <c r="X135" s="2"/>
      <c r="Y135" s="5"/>
      <c r="Z135" s="2"/>
      <c r="AA135" s="5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</row>
    <row r="136" spans="1:78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1"/>
      <c r="O136" s="21"/>
      <c r="P136" s="21"/>
      <c r="Q136" s="2"/>
      <c r="R136" s="2"/>
      <c r="S136" s="2"/>
      <c r="T136" s="11"/>
      <c r="U136" s="2"/>
      <c r="V136" s="11"/>
      <c r="W136" s="2"/>
      <c r="X136" s="2"/>
      <c r="Y136" s="5"/>
      <c r="Z136" s="2"/>
      <c r="AA136" s="5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</row>
    <row r="137" spans="1:78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1"/>
      <c r="O137" s="21"/>
      <c r="P137" s="21"/>
      <c r="Q137" s="2"/>
      <c r="R137" s="2"/>
      <c r="S137" s="2"/>
      <c r="T137" s="11"/>
      <c r="U137" s="2"/>
      <c r="V137" s="11"/>
      <c r="W137" s="2"/>
      <c r="X137" s="2"/>
      <c r="Y137" s="5"/>
      <c r="Z137" s="2"/>
      <c r="AA137" s="5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</row>
    <row r="138" spans="1:78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33"/>
      <c r="O138" s="21"/>
      <c r="P138" s="21"/>
      <c r="Q138" s="2"/>
      <c r="R138" s="2"/>
      <c r="S138" s="2"/>
      <c r="T138" s="11"/>
      <c r="U138" s="2"/>
      <c r="V138" s="11"/>
      <c r="W138" s="2"/>
      <c r="X138" s="2"/>
      <c r="Y138" s="5"/>
      <c r="Z138" s="2"/>
      <c r="AA138" s="5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</row>
    <row r="139" spans="1:78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1"/>
      <c r="O139" s="21"/>
      <c r="P139" s="21"/>
      <c r="Q139" s="2"/>
      <c r="R139" s="2"/>
      <c r="S139" s="2"/>
      <c r="T139" s="11"/>
      <c r="U139" s="2"/>
      <c r="V139" s="11"/>
      <c r="W139" s="2"/>
      <c r="X139" s="2"/>
      <c r="Y139" s="5"/>
      <c r="Z139" s="2"/>
      <c r="AA139" s="5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</row>
    <row r="140" spans="1:78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1"/>
      <c r="O140" s="21"/>
      <c r="P140" s="21"/>
      <c r="Q140" s="2"/>
      <c r="R140" s="2"/>
      <c r="S140" s="2"/>
      <c r="T140" s="11"/>
      <c r="U140" s="2"/>
      <c r="V140" s="11"/>
      <c r="W140" s="2"/>
      <c r="X140" s="2"/>
      <c r="Y140" s="5"/>
      <c r="Z140" s="2"/>
      <c r="AA140" s="5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</row>
    <row r="141" spans="1:78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1"/>
      <c r="O141" s="21"/>
      <c r="P141" s="21"/>
      <c r="Q141" s="2"/>
      <c r="R141" s="2"/>
      <c r="S141" s="2"/>
      <c r="T141" s="11"/>
      <c r="U141" s="2"/>
      <c r="V141" s="11"/>
      <c r="W141" s="2"/>
      <c r="X141" s="2"/>
      <c r="Y141" s="5"/>
      <c r="Z141" s="2"/>
      <c r="AA141" s="5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</row>
    <row r="142" spans="1:78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1"/>
      <c r="O142" s="21"/>
      <c r="P142" s="21"/>
      <c r="Q142" s="2"/>
      <c r="R142" s="2"/>
      <c r="S142" s="2"/>
      <c r="T142" s="11"/>
      <c r="U142" s="2"/>
      <c r="V142" s="11"/>
      <c r="W142" s="2"/>
      <c r="X142" s="2"/>
      <c r="Y142" s="5"/>
      <c r="Z142" s="2"/>
      <c r="AA142" s="5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</row>
    <row r="143" spans="1:78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2"/>
      <c r="X143" s="2"/>
      <c r="Y143" s="5"/>
      <c r="Z143" s="2"/>
      <c r="AA143" s="5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</row>
    <row r="144" spans="1:78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1"/>
      <c r="O144" s="21"/>
      <c r="P144" s="21"/>
      <c r="Q144" s="2"/>
      <c r="R144" s="2"/>
      <c r="S144" s="2"/>
      <c r="T144" s="11"/>
      <c r="U144" s="2"/>
      <c r="V144" s="11"/>
      <c r="W144" s="2"/>
      <c r="X144" s="2"/>
      <c r="Y144" s="5"/>
      <c r="Z144" s="2"/>
      <c r="AA144" s="5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</row>
    <row r="145" spans="1:78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1"/>
      <c r="O145" s="21"/>
      <c r="P145" s="21"/>
      <c r="Q145" s="2"/>
      <c r="R145" s="2"/>
      <c r="S145" s="2"/>
      <c r="T145" s="11"/>
      <c r="U145" s="2"/>
      <c r="V145" s="11"/>
      <c r="W145" s="2"/>
      <c r="X145" s="2"/>
      <c r="Y145" s="5"/>
      <c r="Z145" s="2"/>
      <c r="AA145" s="5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</row>
    <row r="146" spans="1:78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1"/>
      <c r="O146" s="21"/>
      <c r="P146" s="21"/>
      <c r="Q146" s="2"/>
      <c r="R146" s="2"/>
      <c r="S146" s="2"/>
      <c r="T146" s="11"/>
      <c r="U146" s="2"/>
      <c r="V146" s="11"/>
      <c r="W146" s="2"/>
      <c r="X146" s="2"/>
      <c r="Y146" s="5"/>
      <c r="Z146" s="2"/>
      <c r="AA146" s="5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</row>
    <row r="147" spans="1:78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1"/>
      <c r="O147" s="21"/>
      <c r="P147" s="21"/>
      <c r="Q147" s="2"/>
      <c r="R147" s="2"/>
      <c r="S147" s="2"/>
      <c r="T147" s="11"/>
      <c r="U147" s="2"/>
      <c r="V147" s="11"/>
      <c r="W147" s="2"/>
      <c r="X147" s="2"/>
      <c r="Y147" s="5"/>
      <c r="Z147" s="2"/>
      <c r="AA147" s="5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</row>
    <row r="148" spans="1:78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1"/>
      <c r="O148" s="21"/>
      <c r="P148" s="21"/>
      <c r="Q148" s="2"/>
      <c r="R148" s="2"/>
      <c r="S148" s="2"/>
      <c r="T148" s="11"/>
      <c r="U148" s="2"/>
      <c r="V148" s="11"/>
      <c r="W148" s="2"/>
      <c r="X148" s="2"/>
      <c r="Y148" s="5"/>
      <c r="Z148" s="2"/>
      <c r="AA148" s="5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</row>
    <row r="149" spans="1:78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1"/>
      <c r="O149" s="21"/>
      <c r="P149" s="21"/>
      <c r="Q149" s="2"/>
      <c r="R149" s="2"/>
      <c r="S149" s="2"/>
      <c r="T149" s="11"/>
      <c r="U149" s="2"/>
      <c r="V149" s="11"/>
      <c r="W149" s="2"/>
      <c r="X149" s="2"/>
      <c r="Y149" s="5"/>
      <c r="Z149" s="2"/>
      <c r="AA149" s="5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</row>
    <row r="150" spans="1:78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1"/>
      <c r="O150" s="21"/>
      <c r="P150" s="21"/>
      <c r="Q150" s="2"/>
      <c r="R150" s="2"/>
      <c r="S150" s="2"/>
      <c r="T150" s="11"/>
      <c r="U150" s="2"/>
      <c r="V150" s="11"/>
      <c r="W150" s="2"/>
      <c r="X150" s="2"/>
      <c r="Y150" s="5"/>
      <c r="Z150" s="2"/>
      <c r="AA150" s="5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</row>
    <row r="151" spans="1:78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1"/>
      <c r="O151" s="21"/>
      <c r="P151" s="21"/>
      <c r="Q151" s="2"/>
      <c r="R151" s="2"/>
      <c r="S151" s="2"/>
      <c r="T151" s="11"/>
      <c r="U151" s="2"/>
      <c r="V151" s="11"/>
      <c r="W151" s="2"/>
      <c r="X151" s="2"/>
      <c r="Y151" s="5"/>
      <c r="Z151" s="2"/>
      <c r="AA151" s="5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</row>
    <row r="152" spans="1:78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1"/>
      <c r="O152" s="21"/>
      <c r="P152" s="21"/>
      <c r="Q152" s="2"/>
      <c r="R152" s="2"/>
      <c r="S152" s="2"/>
      <c r="T152" s="11"/>
      <c r="U152" s="2"/>
      <c r="V152" s="11"/>
      <c r="W152" s="2"/>
      <c r="X152" s="2"/>
      <c r="Y152" s="5"/>
      <c r="Z152" s="2"/>
      <c r="AA152" s="5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</row>
    <row r="153" spans="1:78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1"/>
      <c r="O153" s="21"/>
      <c r="P153" s="21"/>
      <c r="Q153" s="2"/>
      <c r="R153" s="2"/>
      <c r="S153" s="2"/>
      <c r="T153" s="11"/>
      <c r="U153" s="2"/>
      <c r="V153" s="11"/>
      <c r="W153" s="2"/>
      <c r="X153" s="2"/>
      <c r="Y153" s="5"/>
      <c r="Z153" s="2"/>
      <c r="AA153" s="5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 spans="1:78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1"/>
      <c r="O154" s="21"/>
      <c r="P154" s="21"/>
      <c r="Q154" s="2"/>
      <c r="R154" s="2"/>
      <c r="S154" s="2"/>
      <c r="T154" s="11"/>
      <c r="U154" s="2"/>
      <c r="V154" s="11"/>
      <c r="W154" s="2"/>
      <c r="X154" s="2"/>
      <c r="Y154" s="5"/>
      <c r="Z154" s="2"/>
      <c r="AA154" s="5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 spans="1:78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1"/>
      <c r="O155" s="21"/>
      <c r="P155" s="21"/>
      <c r="Q155" s="2"/>
      <c r="R155" s="2"/>
      <c r="S155" s="2"/>
      <c r="T155" s="11"/>
      <c r="U155" s="2"/>
      <c r="V155" s="11"/>
      <c r="W155" s="2"/>
      <c r="X155" s="2"/>
      <c r="Y155" s="5"/>
      <c r="Z155" s="2"/>
      <c r="AA155" s="5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</row>
    <row r="156" spans="1:78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1"/>
      <c r="O156" s="21"/>
      <c r="P156" s="21"/>
      <c r="Q156" s="2"/>
      <c r="R156" s="2"/>
      <c r="S156" s="2"/>
      <c r="T156" s="11"/>
      <c r="U156" s="2"/>
      <c r="V156" s="11"/>
      <c r="W156" s="2"/>
      <c r="X156" s="2"/>
      <c r="Y156" s="5"/>
      <c r="Z156" s="2"/>
      <c r="AA156" s="5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</row>
    <row r="157" spans="1:78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1"/>
      <c r="O157" s="21"/>
      <c r="P157" s="21"/>
      <c r="Q157" s="2"/>
      <c r="R157" s="2"/>
      <c r="S157" s="2"/>
      <c r="T157" s="11"/>
      <c r="U157" s="2"/>
      <c r="V157" s="11"/>
      <c r="W157" s="2"/>
      <c r="X157" s="2"/>
      <c r="Y157" s="5"/>
      <c r="Z157" s="2"/>
      <c r="AA157" s="5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</row>
    <row r="158" spans="1:78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1"/>
      <c r="O158" s="21"/>
      <c r="P158" s="21"/>
      <c r="Q158" s="2"/>
      <c r="R158" s="2"/>
      <c r="S158" s="2"/>
      <c r="T158" s="11"/>
      <c r="U158" s="2"/>
      <c r="V158" s="11"/>
      <c r="W158" s="2"/>
      <c r="X158" s="2"/>
      <c r="Y158" s="5"/>
      <c r="Z158" s="2"/>
      <c r="AA158" s="5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</row>
    <row r="159" spans="1:78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1"/>
      <c r="O159" s="21"/>
      <c r="P159" s="21"/>
      <c r="Q159" s="2"/>
      <c r="R159" s="2"/>
      <c r="S159" s="2"/>
      <c r="T159" s="11"/>
      <c r="U159" s="2"/>
      <c r="V159" s="11"/>
      <c r="W159" s="2"/>
      <c r="X159" s="2"/>
      <c r="Y159" s="5"/>
      <c r="Z159" s="2"/>
      <c r="AA159" s="5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</row>
    <row r="160" spans="1:78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1"/>
      <c r="O160" s="21"/>
      <c r="P160" s="21"/>
      <c r="Q160" s="2"/>
      <c r="R160" s="2"/>
      <c r="S160" s="2"/>
      <c r="T160" s="11"/>
      <c r="U160" s="2"/>
      <c r="V160" s="11"/>
      <c r="W160" s="2"/>
      <c r="X160" s="2"/>
      <c r="Y160" s="5"/>
      <c r="Z160" s="2"/>
      <c r="AA160" s="5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</row>
    <row r="161" spans="1:78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1"/>
      <c r="O161" s="21"/>
      <c r="P161" s="21"/>
      <c r="Q161" s="2"/>
      <c r="R161" s="2"/>
      <c r="S161" s="2"/>
      <c r="T161" s="11"/>
      <c r="U161" s="2"/>
      <c r="V161" s="11"/>
      <c r="W161" s="2"/>
      <c r="X161" s="2"/>
      <c r="Y161" s="5"/>
      <c r="Z161" s="2"/>
      <c r="AA161" s="5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</row>
    <row r="162" spans="1:78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1"/>
      <c r="O162" s="21"/>
      <c r="P162" s="21"/>
      <c r="Q162" s="2"/>
      <c r="R162" s="2"/>
      <c r="S162" s="2"/>
      <c r="T162" s="11"/>
      <c r="U162" s="2"/>
      <c r="V162" s="11"/>
      <c r="W162" s="2"/>
      <c r="X162" s="2"/>
      <c r="Y162" s="5"/>
      <c r="Z162" s="2"/>
      <c r="AA162" s="5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</row>
    <row r="163" spans="1:78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1"/>
      <c r="O163" s="21"/>
      <c r="P163" s="21"/>
      <c r="Q163" s="2"/>
      <c r="R163" s="2"/>
      <c r="S163" s="2"/>
      <c r="T163" s="11"/>
      <c r="U163" s="2"/>
      <c r="V163" s="11"/>
      <c r="W163" s="2"/>
      <c r="X163" s="2"/>
      <c r="Y163" s="5"/>
      <c r="Z163" s="2"/>
      <c r="AA163" s="5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</row>
    <row r="164" spans="1:78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1"/>
      <c r="O164" s="21"/>
      <c r="P164" s="21"/>
      <c r="Q164" s="2"/>
      <c r="R164" s="2"/>
      <c r="S164" s="2"/>
      <c r="T164" s="11"/>
      <c r="U164" s="2"/>
      <c r="V164" s="11"/>
      <c r="W164" s="2"/>
      <c r="X164" s="2"/>
      <c r="Y164" s="5"/>
      <c r="Z164" s="2"/>
      <c r="AA164" s="5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</row>
    <row r="165" spans="1:78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1"/>
      <c r="O165" s="21"/>
      <c r="P165" s="21"/>
      <c r="Q165" s="2"/>
      <c r="R165" s="2"/>
      <c r="S165" s="2"/>
      <c r="T165" s="11"/>
      <c r="U165" s="2"/>
      <c r="V165" s="11"/>
      <c r="W165" s="2"/>
      <c r="X165" s="2"/>
      <c r="Y165" s="5"/>
      <c r="Z165" s="2"/>
      <c r="AA165" s="5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</row>
    <row r="166" spans="1:78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1"/>
      <c r="O166" s="21"/>
      <c r="P166" s="21"/>
      <c r="Q166" s="2"/>
      <c r="R166" s="2"/>
      <c r="S166" s="2"/>
      <c r="T166" s="11"/>
      <c r="U166" s="2"/>
      <c r="V166" s="11"/>
      <c r="W166" s="2"/>
      <c r="X166" s="2"/>
      <c r="Y166" s="5"/>
      <c r="Z166" s="2"/>
      <c r="AA166" s="5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</row>
    <row r="167" spans="1:78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1"/>
      <c r="O167" s="21"/>
      <c r="P167" s="21"/>
      <c r="Q167" s="2"/>
      <c r="R167" s="2"/>
      <c r="S167" s="2"/>
      <c r="T167" s="11"/>
      <c r="U167" s="2"/>
      <c r="V167" s="11"/>
      <c r="W167" s="2"/>
      <c r="X167" s="2"/>
      <c r="Y167" s="5"/>
      <c r="Z167" s="2"/>
      <c r="AA167" s="5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</row>
    <row r="168" spans="1:78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1"/>
      <c r="O168" s="21"/>
      <c r="P168" s="21"/>
      <c r="Q168" s="2"/>
      <c r="R168" s="2"/>
      <c r="S168" s="2"/>
      <c r="T168" s="11"/>
      <c r="U168" s="2"/>
      <c r="V168" s="11"/>
      <c r="W168" s="2"/>
      <c r="X168" s="2"/>
      <c r="Y168" s="5"/>
      <c r="Z168" s="2"/>
      <c r="AA168" s="5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</row>
    <row r="169" spans="1:78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1"/>
      <c r="O169" s="21"/>
      <c r="P169" s="21"/>
      <c r="Q169" s="2"/>
      <c r="R169" s="2"/>
      <c r="S169" s="2"/>
      <c r="T169" s="11"/>
      <c r="U169" s="2"/>
      <c r="V169" s="11"/>
      <c r="W169" s="2"/>
      <c r="X169" s="2"/>
      <c r="Y169" s="5"/>
      <c r="Z169" s="2"/>
      <c r="AA169" s="5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</row>
    <row r="170" spans="1:78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1"/>
      <c r="O170" s="21"/>
      <c r="P170" s="21"/>
      <c r="Q170" s="2"/>
      <c r="R170" s="2"/>
      <c r="S170" s="2"/>
      <c r="T170" s="11"/>
      <c r="U170" s="2"/>
      <c r="V170" s="11"/>
      <c r="W170" s="2"/>
      <c r="X170" s="2"/>
      <c r="Y170" s="5"/>
      <c r="Z170" s="2"/>
      <c r="AA170" s="5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</row>
    <row r="171" spans="1:78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1"/>
      <c r="O171" s="21"/>
      <c r="P171" s="21"/>
      <c r="Q171" s="2"/>
      <c r="R171" s="2"/>
      <c r="S171" s="2"/>
      <c r="T171" s="11"/>
      <c r="U171" s="2"/>
      <c r="V171" s="11"/>
      <c r="W171" s="2"/>
      <c r="X171" s="2"/>
      <c r="Y171" s="5"/>
      <c r="Z171" s="2"/>
      <c r="AA171" s="5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</row>
    <row r="172" spans="1:78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1"/>
      <c r="O172" s="21"/>
      <c r="P172" s="21"/>
      <c r="Q172" s="2"/>
      <c r="R172" s="2"/>
      <c r="S172" s="2"/>
      <c r="T172" s="11"/>
      <c r="U172" s="2"/>
      <c r="V172" s="11"/>
      <c r="W172" s="2"/>
      <c r="X172" s="2"/>
      <c r="Y172" s="5"/>
      <c r="Z172" s="2"/>
      <c r="AA172" s="5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</row>
    <row r="173" spans="1:78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1"/>
      <c r="O173" s="21"/>
      <c r="P173" s="21"/>
      <c r="Q173" s="2"/>
      <c r="R173" s="2"/>
      <c r="S173" s="2"/>
      <c r="T173" s="11"/>
      <c r="U173" s="2"/>
      <c r="V173" s="11"/>
      <c r="W173" s="2"/>
      <c r="X173" s="2"/>
      <c r="Y173" s="5"/>
      <c r="Z173" s="2"/>
      <c r="AA173" s="5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</row>
    <row r="174" spans="1:78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1"/>
      <c r="O174" s="21"/>
      <c r="P174" s="21"/>
      <c r="Q174" s="2"/>
      <c r="R174" s="2"/>
      <c r="S174" s="2"/>
      <c r="T174" s="11"/>
      <c r="U174" s="2"/>
      <c r="V174" s="11"/>
      <c r="W174" s="2"/>
      <c r="X174" s="2"/>
      <c r="Y174" s="5"/>
      <c r="Z174" s="2"/>
      <c r="AA174" s="5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</row>
    <row r="175" spans="1:78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1"/>
      <c r="O175" s="21"/>
      <c r="P175" s="21"/>
      <c r="Q175" s="2"/>
      <c r="R175" s="2"/>
      <c r="S175" s="2"/>
      <c r="T175" s="11"/>
      <c r="U175" s="2"/>
      <c r="V175" s="11"/>
      <c r="W175" s="2"/>
      <c r="X175" s="2"/>
      <c r="Y175" s="5"/>
      <c r="Z175" s="2"/>
      <c r="AA175" s="5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</row>
    <row r="176" spans="1:78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1"/>
      <c r="O176" s="21"/>
      <c r="P176" s="21"/>
      <c r="Q176" s="2"/>
      <c r="R176" s="2"/>
      <c r="S176" s="2"/>
      <c r="T176" s="11"/>
      <c r="U176" s="2"/>
      <c r="V176" s="11"/>
      <c r="W176" s="2"/>
      <c r="X176" s="2"/>
      <c r="Y176" s="5"/>
      <c r="Z176" s="2"/>
      <c r="AA176" s="5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</row>
    <row r="177" spans="1:78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1"/>
      <c r="O177" s="21"/>
      <c r="P177" s="21"/>
      <c r="Q177" s="2"/>
      <c r="R177" s="2"/>
      <c r="S177" s="2"/>
      <c r="T177" s="11"/>
      <c r="U177" s="2"/>
      <c r="V177" s="11"/>
      <c r="W177" s="2"/>
      <c r="X177" s="2"/>
      <c r="Y177" s="5"/>
      <c r="Z177" s="2"/>
      <c r="AA177" s="5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</row>
    <row r="178" spans="1:78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1"/>
      <c r="O178" s="21"/>
      <c r="P178" s="21"/>
      <c r="Q178" s="2"/>
      <c r="R178" s="2"/>
      <c r="S178" s="2"/>
      <c r="T178" s="11"/>
      <c r="U178" s="2"/>
      <c r="V178" s="11"/>
      <c r="W178" s="2"/>
      <c r="X178" s="2"/>
      <c r="Y178" s="5"/>
      <c r="Z178" s="2"/>
      <c r="AA178" s="5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</row>
    <row r="179" spans="1:78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8"/>
      <c r="X179" s="8"/>
      <c r="Y179" s="19"/>
      <c r="Z179" s="8"/>
      <c r="AA179" s="19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</row>
    <row r="180" spans="1:78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8"/>
      <c r="X180" s="8"/>
      <c r="Y180" s="19"/>
      <c r="Z180" s="8"/>
      <c r="AA180" s="19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</row>
    <row r="181" spans="1:78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8"/>
      <c r="X181" s="8"/>
      <c r="Y181" s="19"/>
      <c r="Z181" s="8"/>
      <c r="AA181" s="19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</row>
    <row r="182" spans="1:78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8"/>
      <c r="X182" s="8"/>
      <c r="Y182" s="19"/>
      <c r="Z182" s="8"/>
      <c r="AA182" s="19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</row>
    <row r="183" spans="1:78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8"/>
      <c r="X183" s="8"/>
      <c r="Y183" s="19"/>
      <c r="Z183" s="8"/>
      <c r="AA183" s="19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</row>
    <row r="184" spans="1:78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8"/>
      <c r="X184" s="8"/>
      <c r="Y184" s="19"/>
      <c r="Z184" s="8"/>
      <c r="AA184" s="19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</row>
    <row r="185" spans="1:78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8"/>
      <c r="X185" s="8"/>
      <c r="Y185" s="19"/>
      <c r="Z185" s="8"/>
      <c r="AA185" s="19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</row>
    <row r="186" spans="1:78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23"/>
      <c r="O186" s="23"/>
      <c r="P186" s="23"/>
      <c r="Q186" s="8"/>
      <c r="R186" s="8"/>
      <c r="S186" s="8"/>
      <c r="T186" s="13"/>
      <c r="U186" s="8"/>
      <c r="V186" s="13"/>
      <c r="W186" s="8"/>
      <c r="X186" s="8"/>
      <c r="Y186" s="19"/>
      <c r="Z186" s="8"/>
      <c r="AA186" s="19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</row>
    <row r="187" spans="1:78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23"/>
      <c r="O187" s="23"/>
      <c r="P187" s="23"/>
      <c r="Q187" s="8"/>
      <c r="R187" s="8"/>
      <c r="S187" s="8"/>
      <c r="T187" s="13"/>
      <c r="U187" s="8"/>
      <c r="V187" s="13"/>
      <c r="W187" s="8"/>
      <c r="X187" s="8"/>
      <c r="Y187" s="19"/>
      <c r="Z187" s="8"/>
      <c r="AA187" s="19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</row>
    <row r="188" spans="1:78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23"/>
      <c r="O188" s="23"/>
      <c r="P188" s="23"/>
      <c r="Q188" s="8"/>
      <c r="R188" s="8"/>
      <c r="S188" s="8"/>
      <c r="T188" s="13"/>
      <c r="U188" s="8"/>
      <c r="V188" s="13"/>
      <c r="W188" s="8"/>
      <c r="X188" s="8"/>
      <c r="Y188" s="19"/>
      <c r="Z188" s="8"/>
      <c r="AA188" s="19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</row>
    <row r="189" spans="1:78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4"/>
      <c r="L189" s="3"/>
      <c r="M189" s="3"/>
      <c r="N189" s="23"/>
      <c r="O189" s="23"/>
      <c r="P189" s="23"/>
      <c r="Q189" s="8"/>
      <c r="R189" s="8"/>
      <c r="S189" s="8"/>
      <c r="T189" s="13"/>
      <c r="U189" s="8"/>
      <c r="V189" s="13"/>
      <c r="W189" s="8"/>
      <c r="X189" s="8"/>
      <c r="Y189" s="19"/>
      <c r="Z189" s="8"/>
      <c r="AA189" s="19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</row>
    <row r="190" spans="1:78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4"/>
      <c r="L190" s="3"/>
      <c r="M190" s="3"/>
      <c r="N190" s="23"/>
      <c r="O190" s="23"/>
      <c r="P190" s="23"/>
      <c r="Q190" s="8"/>
      <c r="R190" s="8"/>
      <c r="S190" s="8"/>
      <c r="T190" s="13"/>
      <c r="U190" s="8"/>
      <c r="V190" s="13"/>
      <c r="W190" s="8"/>
      <c r="X190" s="8"/>
      <c r="Y190" s="19"/>
      <c r="Z190" s="8"/>
      <c r="AA190" s="19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</row>
    <row r="191" spans="1:78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4"/>
      <c r="L191" s="3"/>
      <c r="M191" s="3"/>
      <c r="N191" s="23"/>
      <c r="O191" s="23"/>
      <c r="P191" s="23"/>
      <c r="Q191" s="8"/>
      <c r="R191" s="8"/>
      <c r="S191" s="8"/>
      <c r="T191" s="13"/>
      <c r="U191" s="8"/>
      <c r="V191" s="13"/>
      <c r="W191" s="8"/>
      <c r="X191" s="8"/>
      <c r="Y191" s="19"/>
      <c r="Z191" s="8"/>
      <c r="AA191" s="19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</row>
    <row r="192" spans="1:78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4"/>
      <c r="L192" s="3"/>
      <c r="M192" s="3"/>
      <c r="N192" s="23"/>
      <c r="O192" s="23"/>
      <c r="P192" s="23"/>
      <c r="Q192" s="8"/>
      <c r="R192" s="8"/>
      <c r="S192" s="8"/>
      <c r="T192" s="13"/>
      <c r="U192" s="8"/>
      <c r="V192" s="13"/>
      <c r="W192" s="8"/>
      <c r="X192" s="8"/>
      <c r="Y192" s="19"/>
      <c r="Z192" s="8"/>
      <c r="AA192" s="19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</row>
    <row r="193" spans="1:78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4"/>
      <c r="L193" s="3"/>
      <c r="M193" s="3"/>
      <c r="N193" s="23"/>
      <c r="O193" s="23"/>
      <c r="P193" s="23"/>
      <c r="Q193" s="8"/>
      <c r="R193" s="8"/>
      <c r="S193" s="8"/>
      <c r="T193" s="13"/>
      <c r="U193" s="8"/>
      <c r="V193" s="13"/>
      <c r="W193" s="8"/>
      <c r="X193" s="8"/>
      <c r="Y193" s="19"/>
      <c r="Z193" s="8"/>
      <c r="AA193" s="19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</row>
    <row r="194" spans="1:78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4"/>
      <c r="L194" s="3"/>
      <c r="M194" s="3"/>
      <c r="N194" s="23"/>
      <c r="O194" s="23"/>
      <c r="P194" s="23"/>
      <c r="Q194" s="8"/>
      <c r="R194" s="8"/>
      <c r="S194" s="8"/>
      <c r="T194" s="13"/>
      <c r="U194" s="8"/>
      <c r="V194" s="13"/>
      <c r="W194" s="8"/>
      <c r="X194" s="8"/>
      <c r="Y194" s="19"/>
      <c r="Z194" s="8"/>
      <c r="AA194" s="19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</row>
    <row r="195" spans="1:78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4"/>
      <c r="L195" s="3"/>
      <c r="M195" s="3"/>
      <c r="N195" s="23"/>
      <c r="O195" s="23"/>
      <c r="P195" s="23"/>
      <c r="Q195" s="8"/>
      <c r="R195" s="8"/>
      <c r="S195" s="8"/>
      <c r="T195" s="13"/>
      <c r="U195" s="8"/>
      <c r="V195" s="13"/>
      <c r="W195" s="8"/>
      <c r="X195" s="8"/>
      <c r="Y195" s="19"/>
      <c r="Z195" s="8"/>
      <c r="AA195" s="19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</row>
    <row r="196" spans="1:78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4"/>
      <c r="L196" s="3"/>
      <c r="M196" s="3"/>
      <c r="N196" s="23"/>
      <c r="O196" s="23"/>
      <c r="P196" s="23"/>
      <c r="Q196" s="8"/>
      <c r="R196" s="8"/>
      <c r="S196" s="8"/>
      <c r="T196" s="13"/>
      <c r="U196" s="8"/>
      <c r="V196" s="13"/>
      <c r="W196" s="8"/>
      <c r="X196" s="8"/>
      <c r="Y196" s="19"/>
      <c r="Z196" s="8"/>
      <c r="AA196" s="19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</row>
    <row r="197" spans="1:78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4"/>
      <c r="L197" s="3"/>
      <c r="M197" s="3"/>
      <c r="N197" s="23"/>
      <c r="O197" s="23"/>
      <c r="P197" s="23"/>
      <c r="Q197" s="8"/>
      <c r="R197" s="8"/>
      <c r="S197" s="8"/>
      <c r="T197" s="13"/>
      <c r="U197" s="8"/>
      <c r="V197" s="13"/>
      <c r="W197" s="8"/>
      <c r="X197" s="8"/>
      <c r="Y197" s="19"/>
      <c r="Z197" s="8"/>
      <c r="AA197" s="19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</row>
    <row r="198" spans="1:78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4"/>
      <c r="L198" s="3"/>
      <c r="M198" s="3"/>
      <c r="N198" s="23"/>
      <c r="O198" s="23"/>
      <c r="P198" s="23"/>
      <c r="Q198" s="8"/>
      <c r="R198" s="8"/>
      <c r="S198" s="8"/>
      <c r="T198" s="13"/>
      <c r="U198" s="8"/>
      <c r="V198" s="13"/>
      <c r="W198" s="8"/>
      <c r="X198" s="8"/>
      <c r="Y198" s="19"/>
      <c r="Z198" s="8"/>
      <c r="AA198" s="19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</row>
    <row r="199" spans="1:78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4"/>
      <c r="L199" s="3"/>
      <c r="M199" s="3"/>
      <c r="N199" s="23"/>
      <c r="O199" s="23"/>
      <c r="P199" s="23"/>
      <c r="Q199" s="8"/>
      <c r="R199" s="8"/>
      <c r="S199" s="8"/>
      <c r="T199" s="13"/>
      <c r="U199" s="8"/>
      <c r="V199" s="13"/>
      <c r="W199" s="8"/>
      <c r="X199" s="8"/>
      <c r="Y199" s="19"/>
      <c r="Z199" s="8"/>
      <c r="AA199" s="19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</row>
    <row r="200" spans="1:78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4"/>
      <c r="L200" s="3"/>
      <c r="M200" s="3"/>
      <c r="N200" s="23"/>
      <c r="O200" s="23"/>
      <c r="P200" s="23"/>
      <c r="Q200" s="8"/>
      <c r="R200" s="8"/>
      <c r="S200" s="8"/>
      <c r="T200" s="13"/>
      <c r="U200" s="8"/>
      <c r="V200" s="13"/>
      <c r="W200" s="8"/>
      <c r="X200" s="8"/>
      <c r="Y200" s="19"/>
      <c r="Z200" s="8"/>
      <c r="AA200" s="19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</row>
    <row r="201" spans="1:78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4"/>
      <c r="L201" s="3"/>
      <c r="M201" s="3"/>
      <c r="N201" s="23"/>
      <c r="O201" s="23"/>
      <c r="P201" s="23"/>
      <c r="Q201" s="8"/>
      <c r="R201" s="8"/>
      <c r="S201" s="8"/>
      <c r="T201" s="13"/>
      <c r="U201" s="8"/>
      <c r="V201" s="13"/>
      <c r="W201" s="8"/>
      <c r="X201" s="8"/>
      <c r="Y201" s="19"/>
      <c r="Z201" s="8"/>
      <c r="AA201" s="19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</row>
    <row r="202" spans="1:78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4"/>
      <c r="L202" s="3"/>
      <c r="M202" s="3"/>
      <c r="N202" s="23"/>
      <c r="O202" s="23"/>
      <c r="P202" s="23"/>
      <c r="Q202" s="8"/>
      <c r="R202" s="8"/>
      <c r="S202" s="8"/>
      <c r="T202" s="13"/>
      <c r="U202" s="8"/>
      <c r="V202" s="13"/>
      <c r="W202" s="8"/>
      <c r="X202" s="8"/>
      <c r="Y202" s="19"/>
      <c r="Z202" s="8"/>
      <c r="AA202" s="19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</row>
    <row r="203" spans="1:78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4"/>
      <c r="L203" s="3"/>
      <c r="M203" s="3"/>
      <c r="N203" s="23"/>
      <c r="O203" s="23"/>
      <c r="P203" s="23"/>
      <c r="Q203" s="8"/>
      <c r="R203" s="8"/>
      <c r="S203" s="8"/>
      <c r="T203" s="13"/>
      <c r="U203" s="8"/>
      <c r="V203" s="13"/>
      <c r="W203" s="8"/>
      <c r="X203" s="8"/>
      <c r="Y203" s="19"/>
      <c r="Z203" s="8"/>
      <c r="AA203" s="19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</row>
    <row r="204" spans="1:78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4"/>
      <c r="L204" s="3"/>
      <c r="M204" s="3"/>
      <c r="N204" s="23"/>
      <c r="O204" s="23"/>
      <c r="P204" s="23"/>
      <c r="Q204" s="8"/>
      <c r="R204" s="8"/>
      <c r="S204" s="8"/>
      <c r="T204" s="13"/>
      <c r="U204" s="8"/>
      <c r="V204" s="13"/>
      <c r="W204" s="8"/>
      <c r="X204" s="8"/>
      <c r="Y204" s="19"/>
      <c r="Z204" s="8"/>
      <c r="AA204" s="19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</row>
    <row r="205" spans="1:78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4"/>
      <c r="L205" s="3"/>
      <c r="M205" s="3"/>
      <c r="N205" s="23"/>
      <c r="O205" s="23"/>
      <c r="P205" s="23"/>
      <c r="Q205" s="8"/>
      <c r="R205" s="8"/>
      <c r="S205" s="8"/>
      <c r="T205" s="13"/>
      <c r="U205" s="8"/>
      <c r="V205" s="13"/>
      <c r="W205" s="8"/>
      <c r="X205" s="8"/>
      <c r="Y205" s="19"/>
      <c r="Z205" s="8"/>
      <c r="AA205" s="19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</row>
    <row r="206" spans="1:78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4"/>
      <c r="L206" s="3"/>
      <c r="M206" s="3"/>
      <c r="N206" s="23"/>
      <c r="O206" s="23"/>
      <c r="P206" s="23"/>
      <c r="Q206" s="8"/>
      <c r="R206" s="8"/>
      <c r="S206" s="8"/>
      <c r="T206" s="13"/>
      <c r="U206" s="8"/>
      <c r="V206" s="13"/>
      <c r="W206" s="8"/>
      <c r="X206" s="8"/>
      <c r="Y206" s="19"/>
      <c r="Z206" s="8"/>
      <c r="AA206" s="19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</row>
    <row r="207" spans="1:78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4"/>
      <c r="L207" s="3"/>
      <c r="M207" s="3"/>
      <c r="N207" s="23"/>
      <c r="O207" s="23"/>
      <c r="P207" s="23"/>
      <c r="Q207" s="8"/>
      <c r="R207" s="8"/>
      <c r="S207" s="8"/>
      <c r="T207" s="13"/>
      <c r="U207" s="8"/>
      <c r="V207" s="13"/>
      <c r="W207" s="8"/>
      <c r="X207" s="8"/>
      <c r="Y207" s="19"/>
      <c r="Z207" s="8"/>
      <c r="AA207" s="19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</row>
    <row r="208" spans="1:78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4"/>
      <c r="L208" s="3"/>
      <c r="M208" s="3"/>
      <c r="N208" s="23"/>
      <c r="O208" s="23"/>
      <c r="P208" s="23"/>
      <c r="Q208" s="8"/>
      <c r="R208" s="8"/>
      <c r="S208" s="8"/>
      <c r="T208" s="13"/>
      <c r="U208" s="8"/>
      <c r="V208" s="13"/>
      <c r="W208" s="8"/>
      <c r="X208" s="8"/>
      <c r="Y208" s="19"/>
      <c r="Z208" s="8"/>
      <c r="AA208" s="19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</row>
    <row r="209" spans="1:78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4"/>
      <c r="L209" s="3"/>
      <c r="M209" s="3"/>
      <c r="N209" s="23"/>
      <c r="O209" s="23"/>
      <c r="P209" s="23"/>
      <c r="Q209" s="8"/>
      <c r="R209" s="8"/>
      <c r="S209" s="8"/>
      <c r="T209" s="13"/>
      <c r="U209" s="8"/>
      <c r="V209" s="13"/>
      <c r="W209" s="8"/>
      <c r="X209" s="8"/>
      <c r="Y209" s="19"/>
      <c r="Z209" s="8"/>
      <c r="AA209" s="19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</row>
    <row r="210" spans="1:78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4"/>
      <c r="L210" s="3"/>
      <c r="M210" s="3"/>
      <c r="N210" s="23"/>
      <c r="O210" s="23"/>
      <c r="P210" s="23"/>
      <c r="Q210" s="8"/>
      <c r="R210" s="8"/>
      <c r="S210" s="8"/>
      <c r="T210" s="13"/>
      <c r="U210" s="8"/>
      <c r="V210" s="13"/>
      <c r="W210" s="8"/>
      <c r="X210" s="8"/>
      <c r="Y210" s="19"/>
      <c r="Z210" s="8"/>
      <c r="AA210" s="19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</row>
    <row r="211" spans="1:78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4"/>
      <c r="L211" s="3"/>
      <c r="M211" s="3"/>
      <c r="N211" s="23"/>
      <c r="O211" s="23"/>
      <c r="P211" s="23"/>
      <c r="Q211" s="8"/>
      <c r="R211" s="8"/>
      <c r="S211" s="8"/>
      <c r="T211" s="13"/>
      <c r="U211" s="8"/>
      <c r="V211" s="13"/>
      <c r="W211" s="8"/>
      <c r="X211" s="8"/>
      <c r="Y211" s="19"/>
      <c r="Z211" s="8"/>
      <c r="AA211" s="19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</row>
    <row r="212" spans="1:78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4"/>
      <c r="L212" s="3"/>
      <c r="M212" s="3"/>
      <c r="N212" s="23"/>
      <c r="O212" s="23"/>
      <c r="P212" s="23"/>
      <c r="Q212" s="8"/>
      <c r="R212" s="8"/>
      <c r="S212" s="8"/>
      <c r="T212" s="13"/>
      <c r="U212" s="8"/>
      <c r="V212" s="13"/>
      <c r="W212" s="8"/>
      <c r="X212" s="8"/>
      <c r="Y212" s="19"/>
      <c r="Z212" s="8"/>
      <c r="AA212" s="19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</row>
    <row r="213" spans="1:78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4"/>
      <c r="L213" s="3"/>
      <c r="M213" s="3"/>
      <c r="N213" s="23"/>
      <c r="O213" s="23"/>
      <c r="P213" s="23"/>
      <c r="Q213" s="8"/>
      <c r="R213" s="8"/>
      <c r="S213" s="8"/>
      <c r="T213" s="13"/>
      <c r="U213" s="8"/>
      <c r="V213" s="13"/>
      <c r="W213" s="8"/>
      <c r="X213" s="8"/>
      <c r="Y213" s="19"/>
      <c r="Z213" s="8"/>
      <c r="AA213" s="19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</row>
    <row r="214" spans="1:78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4"/>
      <c r="L214" s="3"/>
      <c r="M214" s="3"/>
      <c r="N214" s="23"/>
      <c r="O214" s="23"/>
      <c r="P214" s="23"/>
      <c r="Q214" s="8"/>
      <c r="R214" s="8"/>
      <c r="S214" s="8"/>
      <c r="T214" s="13"/>
      <c r="U214" s="8"/>
      <c r="V214" s="13"/>
      <c r="W214" s="8"/>
      <c r="X214" s="8"/>
      <c r="Y214" s="19"/>
      <c r="Z214" s="8"/>
      <c r="AA214" s="19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</row>
    <row r="215" spans="1:78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4"/>
      <c r="L215" s="3"/>
      <c r="M215" s="3"/>
      <c r="N215" s="23"/>
      <c r="O215" s="23"/>
      <c r="P215" s="23"/>
      <c r="Q215" s="8"/>
      <c r="R215" s="8"/>
      <c r="S215" s="8"/>
      <c r="T215" s="13"/>
      <c r="U215" s="8"/>
      <c r="V215" s="13"/>
      <c r="W215" s="8"/>
      <c r="X215" s="8"/>
      <c r="Y215" s="19"/>
      <c r="Z215" s="8"/>
      <c r="AA215" s="19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</row>
    <row r="216" spans="1:78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4"/>
      <c r="L216" s="3"/>
      <c r="M216" s="3"/>
      <c r="N216" s="23"/>
      <c r="O216" s="23"/>
      <c r="P216" s="23"/>
      <c r="Q216" s="8"/>
      <c r="R216" s="8"/>
      <c r="S216" s="8"/>
      <c r="T216" s="13"/>
      <c r="U216" s="8"/>
      <c r="V216" s="13"/>
      <c r="W216" s="8"/>
      <c r="X216" s="8"/>
      <c r="Y216" s="19"/>
      <c r="Z216" s="8"/>
      <c r="AA216" s="19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</row>
    <row r="217" spans="1:78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4"/>
      <c r="L217" s="3"/>
      <c r="M217" s="3"/>
      <c r="N217" s="23"/>
      <c r="O217" s="23"/>
      <c r="P217" s="23"/>
      <c r="Q217" s="8"/>
      <c r="R217" s="8"/>
      <c r="S217" s="8"/>
      <c r="T217" s="13"/>
      <c r="U217" s="8"/>
      <c r="V217" s="13"/>
      <c r="W217" s="8"/>
      <c r="X217" s="8"/>
      <c r="Y217" s="19"/>
      <c r="Z217" s="8"/>
      <c r="AA217" s="19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</row>
    <row r="218" spans="1:78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4"/>
      <c r="L218" s="3"/>
      <c r="M218" s="3"/>
      <c r="N218" s="23"/>
      <c r="O218" s="23"/>
      <c r="P218" s="23"/>
      <c r="Q218" s="8"/>
      <c r="R218" s="8"/>
      <c r="S218" s="8"/>
      <c r="T218" s="13"/>
      <c r="U218" s="8"/>
      <c r="V218" s="13"/>
      <c r="W218" s="8"/>
      <c r="X218" s="8"/>
      <c r="Y218" s="19"/>
      <c r="Z218" s="8"/>
      <c r="AA218" s="19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</row>
    <row r="219" spans="1:78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4"/>
      <c r="L219" s="3"/>
      <c r="M219" s="3"/>
      <c r="N219" s="23"/>
      <c r="O219" s="23"/>
      <c r="P219" s="23"/>
      <c r="Q219" s="8"/>
      <c r="R219" s="8"/>
      <c r="S219" s="8"/>
      <c r="T219" s="13"/>
      <c r="U219" s="8"/>
      <c r="V219" s="13"/>
      <c r="W219" s="8"/>
      <c r="X219" s="8"/>
      <c r="Y219" s="19"/>
      <c r="Z219" s="8"/>
      <c r="AA219" s="19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</row>
    <row r="220" spans="1:78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4"/>
      <c r="L220" s="3"/>
      <c r="M220" s="3"/>
      <c r="N220" s="23"/>
      <c r="O220" s="23"/>
      <c r="P220" s="23"/>
      <c r="Q220" s="8"/>
      <c r="R220" s="8"/>
      <c r="S220" s="8"/>
      <c r="T220" s="13"/>
      <c r="U220" s="8"/>
      <c r="V220" s="13"/>
      <c r="W220" s="8"/>
      <c r="X220" s="8"/>
      <c r="Y220" s="19"/>
      <c r="Z220" s="8"/>
      <c r="AA220" s="19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</row>
    <row r="221" spans="1:78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4"/>
      <c r="L221" s="3"/>
      <c r="M221" s="3"/>
      <c r="N221" s="23"/>
      <c r="O221" s="23"/>
      <c r="P221" s="23"/>
      <c r="Q221" s="8"/>
      <c r="R221" s="8"/>
      <c r="S221" s="8"/>
      <c r="T221" s="13"/>
      <c r="U221" s="8"/>
      <c r="V221" s="13"/>
      <c r="W221" s="8"/>
      <c r="X221" s="8"/>
      <c r="Y221" s="19"/>
      <c r="Z221" s="8"/>
      <c r="AA221" s="19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</row>
    <row r="222" spans="1:78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4"/>
      <c r="L222" s="3"/>
      <c r="M222" s="3"/>
      <c r="N222" s="23"/>
      <c r="O222" s="23"/>
      <c r="P222" s="23"/>
      <c r="Q222" s="8"/>
      <c r="R222" s="8"/>
      <c r="S222" s="8"/>
      <c r="T222" s="13"/>
      <c r="U222" s="8"/>
      <c r="V222" s="13"/>
      <c r="W222" s="8"/>
      <c r="X222" s="8"/>
      <c r="Y222" s="19"/>
      <c r="Z222" s="8"/>
      <c r="AA222" s="19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</row>
    <row r="223" spans="1:78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4"/>
      <c r="L223" s="3"/>
      <c r="M223" s="3"/>
      <c r="N223" s="23"/>
      <c r="O223" s="23"/>
      <c r="P223" s="23"/>
      <c r="Q223" s="8"/>
      <c r="R223" s="8"/>
      <c r="S223" s="8"/>
      <c r="T223" s="13"/>
      <c r="U223" s="8"/>
      <c r="V223" s="13"/>
      <c r="W223" s="8"/>
      <c r="X223" s="8"/>
      <c r="Y223" s="19"/>
      <c r="Z223" s="8"/>
      <c r="AA223" s="19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B1AA-894B-4BE8-B3A4-F8BE6FC84F27}">
  <dimension ref="A1:BZ185"/>
  <sheetViews>
    <sheetView topLeftCell="L1" zoomScale="120" zoomScaleNormal="12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4" width="23.77734375" style="8" customWidth="1"/>
    <col min="25" max="25" width="23.77734375" style="19" customWidth="1"/>
    <col min="26" max="26" width="47.33203125" style="8" customWidth="1"/>
    <col min="27" max="27" width="51.6640625" style="19" customWidth="1"/>
    <col min="28" max="16384" width="8.88671875" style="6"/>
  </cols>
  <sheetData>
    <row r="1" spans="1:27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20</v>
      </c>
      <c r="N1" s="22" t="s">
        <v>28</v>
      </c>
      <c r="O1" s="22" t="s">
        <v>17</v>
      </c>
      <c r="P1" s="22" t="s">
        <v>19</v>
      </c>
      <c r="Q1" s="18" t="s">
        <v>12</v>
      </c>
      <c r="R1" s="17" t="s">
        <v>15</v>
      </c>
      <c r="S1" s="17" t="s">
        <v>16</v>
      </c>
      <c r="T1" s="12" t="s">
        <v>13</v>
      </c>
      <c r="U1" s="17" t="s">
        <v>14</v>
      </c>
      <c r="V1" s="12" t="s">
        <v>24</v>
      </c>
      <c r="W1" s="17" t="s">
        <v>18</v>
      </c>
      <c r="X1" s="17" t="s">
        <v>21</v>
      </c>
      <c r="Y1" s="12" t="s">
        <v>23</v>
      </c>
      <c r="Z1" s="25" t="s">
        <v>25</v>
      </c>
      <c r="AA1" s="25" t="s">
        <v>22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28">
        <v>23.287128712871286</v>
      </c>
      <c r="L2" s="2">
        <f>(K2/1000000)</f>
        <v>2.3287128712871286E-5</v>
      </c>
      <c r="M2" s="3">
        <f>(3.142*3.07*3.07*25.4*25.4)/(4*1000000)</f>
        <v>4.7762865441819992E-3</v>
      </c>
      <c r="N2" s="21">
        <f>(L2*J2)/M2</f>
        <v>9.8120031942398019E-8</v>
      </c>
      <c r="O2" s="21">
        <f>(2.032/1000)</f>
        <v>2.032E-3</v>
      </c>
      <c r="P2" s="21">
        <v>1.1208581181901367E-10</v>
      </c>
      <c r="Q2" s="2">
        <v>0.31</v>
      </c>
      <c r="R2" s="2">
        <f>(1+Q2)*100000*1</f>
        <v>131000</v>
      </c>
      <c r="S2" s="2">
        <v>5.2493374855265302E-3</v>
      </c>
      <c r="T2" s="11">
        <v>0.06</v>
      </c>
      <c r="U2" s="11">
        <f>(1+T2)*100000</f>
        <v>106000</v>
      </c>
      <c r="V2" s="11">
        <f t="shared" ref="V2:V62" si="1">(L2*U2)</f>
        <v>2.4684356435643564</v>
      </c>
      <c r="W2" s="2">
        <f>(120/1000000)*100000</f>
        <v>12</v>
      </c>
      <c r="X2" s="2">
        <f>(N2+((P2/O2)*(SQRT(V2)-SQRT(W2))))</f>
        <v>-6.2971696693102787E-9</v>
      </c>
      <c r="Y2" s="11">
        <f>((X2*O2/P2) + SQRT(V2))^2</f>
        <v>2.1227453083064796</v>
      </c>
      <c r="Z2" s="2">
        <f>(X2*S2)/(R2-Y2)</f>
        <v>-2.5233972863210846E-16</v>
      </c>
      <c r="AA2" s="2">
        <f>(Z2*6.022E+23)</f>
        <v>-151958984.58225572</v>
      </c>
    </row>
    <row r="3" spans="1:27" x14ac:dyDescent="0.25">
      <c r="A3" s="26">
        <v>3</v>
      </c>
      <c r="B3" s="26">
        <f t="shared" ref="B3:B62" si="2">(A3/60)</f>
        <v>0.05</v>
      </c>
      <c r="C3" s="26">
        <v>20</v>
      </c>
      <c r="D3" s="26">
        <f t="shared" si="0"/>
        <v>29.146000000000001</v>
      </c>
      <c r="E3" s="26">
        <f t="shared" ref="E3:E62" si="3">(D3/(1000000*60))</f>
        <v>4.8576666666666667E-7</v>
      </c>
      <c r="F3" s="26">
        <v>21.1</v>
      </c>
      <c r="G3" s="26">
        <f t="shared" ref="G3:G62" si="4">(273+F3)</f>
        <v>294.10000000000002</v>
      </c>
      <c r="H3" s="26">
        <v>101.3</v>
      </c>
      <c r="I3" s="26">
        <f t="shared" ref="I3:I62" si="5">(H3*1000)</f>
        <v>101300</v>
      </c>
      <c r="J3" s="26">
        <f t="shared" ref="J3:J62" si="6">((I3*E3)/(8.314*G3))</f>
        <v>2.0124824921938581E-5</v>
      </c>
      <c r="K3" s="28">
        <v>17.915841584158418</v>
      </c>
      <c r="L3" s="27">
        <f t="shared" ref="L3:L62" si="7">(K3/1000000)</f>
        <v>1.7915841584158418E-5</v>
      </c>
      <c r="M3" s="29">
        <f t="shared" ref="M3:M66" si="8">(3.142*3.07*3.07*25.4*25.4)/(4*1000000)</f>
        <v>4.7762865441819992E-3</v>
      </c>
      <c r="N3" s="33">
        <f t="shared" ref="N3:N62" si="9">(L3*J3)/M3</f>
        <v>7.5488179336636577E-8</v>
      </c>
      <c r="O3" s="21">
        <f t="shared" ref="O3:O66" si="10">(2.032/1000)</f>
        <v>2.032E-3</v>
      </c>
      <c r="P3" s="21">
        <v>1.1208581181901367E-10</v>
      </c>
      <c r="Q3" s="2">
        <v>0.31</v>
      </c>
      <c r="R3" s="27">
        <f t="shared" ref="R3:R62" si="11">(1+Q3)*100000*1</f>
        <v>131000</v>
      </c>
      <c r="S3" s="2">
        <v>5.2493374855265302E-3</v>
      </c>
      <c r="T3" s="11">
        <v>0.06</v>
      </c>
      <c r="U3" s="30">
        <f t="shared" ref="U3:U62" si="12">(1+T3)*100000</f>
        <v>106000</v>
      </c>
      <c r="V3" s="30">
        <f t="shared" si="1"/>
        <v>1.8990792079207923</v>
      </c>
      <c r="W3" s="2">
        <f t="shared" ref="W3:W66" si="13">(120/1000000)*100000</f>
        <v>12</v>
      </c>
      <c r="X3" s="2">
        <f t="shared" ref="X3:X62" si="14">(N3+((P3/O3)*(SQRT(V3)-SQRT(W3))))</f>
        <v>-3.9577989077595112E-8</v>
      </c>
      <c r="Y3" s="11">
        <f t="shared" ref="Y3:Y62" si="15">((X3*O3/P3) + SQRT(V3))^2</f>
        <v>0.43634316603818873</v>
      </c>
      <c r="Z3" s="2">
        <f t="shared" ref="Z3:Z62" si="16">(X3*S3)/(R3-Y3)</f>
        <v>-1.585945905980438E-15</v>
      </c>
      <c r="AA3" s="27">
        <f t="shared" ref="AA3:AA62" si="17">(Z3*6.022E+23)</f>
        <v>-955056624.58141983</v>
      </c>
    </row>
    <row r="4" spans="1:27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19.524752475247524</v>
      </c>
      <c r="L4" s="27">
        <f t="shared" si="7"/>
        <v>1.9524752475247525E-5</v>
      </c>
      <c r="M4" s="29">
        <f t="shared" si="8"/>
        <v>4.7762865441819992E-3</v>
      </c>
      <c r="N4" s="33">
        <f t="shared" si="9"/>
        <v>8.2267305693201056E-8</v>
      </c>
      <c r="O4" s="21">
        <f t="shared" si="10"/>
        <v>2.032E-3</v>
      </c>
      <c r="P4" s="21">
        <v>1.1208581181901367E-10</v>
      </c>
      <c r="Q4" s="2">
        <v>0.31</v>
      </c>
      <c r="R4" s="27">
        <f t="shared" si="11"/>
        <v>131000</v>
      </c>
      <c r="S4" s="2">
        <v>5.2493374855265302E-3</v>
      </c>
      <c r="T4" s="11">
        <v>0.06</v>
      </c>
      <c r="U4" s="30">
        <f t="shared" si="12"/>
        <v>106000</v>
      </c>
      <c r="V4" s="30">
        <f t="shared" si="1"/>
        <v>2.0696237623762377</v>
      </c>
      <c r="W4" s="2">
        <f t="shared" si="13"/>
        <v>12</v>
      </c>
      <c r="X4" s="2">
        <f t="shared" si="14"/>
        <v>-2.9459021536922627E-8</v>
      </c>
      <c r="Y4" s="11">
        <f t="shared" si="15"/>
        <v>0.81822348536643152</v>
      </c>
      <c r="Z4" s="2">
        <f t="shared" si="16"/>
        <v>-1.180468029979902E-15</v>
      </c>
      <c r="AA4" s="27">
        <f t="shared" si="17"/>
        <v>-710877847.65389705</v>
      </c>
    </row>
    <row r="5" spans="1:27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21.059405940594061</v>
      </c>
      <c r="L5" s="27">
        <f t="shared" si="7"/>
        <v>2.1059405940594063E-5</v>
      </c>
      <c r="M5" s="29">
        <f t="shared" si="8"/>
        <v>4.7762865441819992E-3</v>
      </c>
      <c r="N5" s="33">
        <f t="shared" si="9"/>
        <v>8.8733549294847203E-8</v>
      </c>
      <c r="O5" s="21">
        <f t="shared" si="10"/>
        <v>2.032E-3</v>
      </c>
      <c r="P5" s="21">
        <v>1.1208581181901367E-10</v>
      </c>
      <c r="Q5" s="2">
        <v>0.31</v>
      </c>
      <c r="R5" s="27">
        <f t="shared" si="11"/>
        <v>131000</v>
      </c>
      <c r="S5" s="2">
        <v>5.2493374855265302E-3</v>
      </c>
      <c r="T5" s="11">
        <v>0.06</v>
      </c>
      <c r="U5" s="30">
        <f t="shared" si="12"/>
        <v>106000</v>
      </c>
      <c r="V5" s="30">
        <f t="shared" si="1"/>
        <v>2.2322970297029707</v>
      </c>
      <c r="W5" s="2">
        <f t="shared" si="13"/>
        <v>12</v>
      </c>
      <c r="X5" s="2">
        <f t="shared" si="14"/>
        <v>-1.9933107911141365E-8</v>
      </c>
      <c r="Y5" s="11">
        <f t="shared" si="15"/>
        <v>1.2830561804604823</v>
      </c>
      <c r="Z5" s="2">
        <f t="shared" si="16"/>
        <v>-7.9875294202976127E-16</v>
      </c>
      <c r="AA5" s="27">
        <f t="shared" si="17"/>
        <v>-481009021.69032228</v>
      </c>
    </row>
    <row r="6" spans="1:27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19.846534653465348</v>
      </c>
      <c r="L6" s="27">
        <f t="shared" si="7"/>
        <v>1.9846534653465346E-5</v>
      </c>
      <c r="M6" s="29">
        <f t="shared" si="8"/>
        <v>4.7762865441819992E-3</v>
      </c>
      <c r="N6" s="33">
        <f t="shared" si="9"/>
        <v>8.3623130964513944E-8</v>
      </c>
      <c r="O6" s="21">
        <f t="shared" si="10"/>
        <v>2.032E-3</v>
      </c>
      <c r="P6" s="21">
        <v>1.1208581181901367E-10</v>
      </c>
      <c r="Q6" s="2">
        <v>0.31</v>
      </c>
      <c r="R6" s="27">
        <f t="shared" si="11"/>
        <v>131000</v>
      </c>
      <c r="S6" s="2">
        <v>5.2493374855265302E-3</v>
      </c>
      <c r="T6" s="11">
        <v>0.06</v>
      </c>
      <c r="U6" s="30">
        <f t="shared" si="12"/>
        <v>106000</v>
      </c>
      <c r="V6" s="30">
        <f t="shared" si="1"/>
        <v>2.1037326732673267</v>
      </c>
      <c r="W6" s="2">
        <f t="shared" si="13"/>
        <v>12</v>
      </c>
      <c r="X6" s="2">
        <f t="shared" si="14"/>
        <v>-2.7451956846987802E-8</v>
      </c>
      <c r="Y6" s="11">
        <f t="shared" si="15"/>
        <v>0.90773136906873453</v>
      </c>
      <c r="Z6" s="2">
        <f t="shared" si="16"/>
        <v>-1.1000426310775062E-15</v>
      </c>
      <c r="AA6" s="27">
        <f t="shared" si="17"/>
        <v>-662445672.4348743</v>
      </c>
    </row>
    <row r="7" spans="1:27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19.747524752475247</v>
      </c>
      <c r="L7" s="27">
        <f t="shared" si="7"/>
        <v>1.9747524752475247E-5</v>
      </c>
      <c r="M7" s="29">
        <f t="shared" si="8"/>
        <v>4.7762865441819992E-3</v>
      </c>
      <c r="N7" s="33">
        <f t="shared" si="9"/>
        <v>8.3205953957956133E-8</v>
      </c>
      <c r="O7" s="21">
        <f t="shared" si="10"/>
        <v>2.032E-3</v>
      </c>
      <c r="P7" s="21">
        <v>1.1208581181901367E-10</v>
      </c>
      <c r="Q7" s="2">
        <v>0.31</v>
      </c>
      <c r="R7" s="27">
        <f t="shared" si="11"/>
        <v>131000</v>
      </c>
      <c r="S7" s="2">
        <v>5.2493374855265302E-3</v>
      </c>
      <c r="T7" s="11">
        <v>0.06</v>
      </c>
      <c r="U7" s="30">
        <f t="shared" si="12"/>
        <v>106000</v>
      </c>
      <c r="V7" s="30">
        <f t="shared" si="1"/>
        <v>2.0932376237623762</v>
      </c>
      <c r="W7" s="2">
        <f t="shared" si="13"/>
        <v>12</v>
      </c>
      <c r="X7" s="2">
        <f t="shared" si="14"/>
        <v>-2.8068949192184138E-8</v>
      </c>
      <c r="Y7" s="11">
        <f t="shared" si="15"/>
        <v>0.87973424621615492</v>
      </c>
      <c r="Z7" s="2">
        <f t="shared" si="16"/>
        <v>-1.124766234116389E-15</v>
      </c>
      <c r="AA7" s="27">
        <f t="shared" si="17"/>
        <v>-677334226.18488955</v>
      </c>
    </row>
    <row r="8" spans="1:27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15.366336633663368</v>
      </c>
      <c r="L8" s="27">
        <f t="shared" si="7"/>
        <v>1.5366336633663367E-5</v>
      </c>
      <c r="M8" s="29">
        <f t="shared" si="8"/>
        <v>4.7762865441819992E-3</v>
      </c>
      <c r="N8" s="33">
        <f t="shared" si="9"/>
        <v>6.4745871417772834E-8</v>
      </c>
      <c r="O8" s="21">
        <f t="shared" si="10"/>
        <v>2.032E-3</v>
      </c>
      <c r="P8" s="21">
        <v>1.1208581181901367E-10</v>
      </c>
      <c r="Q8" s="2">
        <v>0.31</v>
      </c>
      <c r="R8" s="27">
        <f t="shared" si="11"/>
        <v>131000</v>
      </c>
      <c r="S8" s="2">
        <v>5.2493374855265302E-3</v>
      </c>
      <c r="T8" s="11">
        <v>0.06</v>
      </c>
      <c r="U8" s="30">
        <f t="shared" si="12"/>
        <v>106000</v>
      </c>
      <c r="V8" s="30">
        <f t="shared" si="1"/>
        <v>1.6288316831683169</v>
      </c>
      <c r="W8" s="2">
        <f t="shared" si="13"/>
        <v>12</v>
      </c>
      <c r="X8" s="2">
        <f t="shared" si="14"/>
        <v>-5.5936387766567722E-8</v>
      </c>
      <c r="Y8" s="11">
        <f t="shared" si="15"/>
        <v>6.8742530140899219E-2</v>
      </c>
      <c r="Z8" s="2">
        <f t="shared" si="16"/>
        <v>-2.2414437495458478E-15</v>
      </c>
      <c r="AA8" s="27">
        <f t="shared" si="17"/>
        <v>-1349797425.9765096</v>
      </c>
    </row>
    <row r="9" spans="1:27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23.534653465346533</v>
      </c>
      <c r="L9" s="27">
        <f t="shared" si="7"/>
        <v>2.3534653465346533E-5</v>
      </c>
      <c r="M9" s="29">
        <f t="shared" si="8"/>
        <v>4.7762865441819992E-3</v>
      </c>
      <c r="N9" s="33">
        <f t="shared" si="9"/>
        <v>9.9162974458792548E-8</v>
      </c>
      <c r="O9" s="21">
        <f t="shared" si="10"/>
        <v>2.032E-3</v>
      </c>
      <c r="P9" s="21">
        <v>1.1208581181901367E-10</v>
      </c>
      <c r="Q9" s="2">
        <v>0.31</v>
      </c>
      <c r="R9" s="27">
        <f t="shared" si="11"/>
        <v>131000</v>
      </c>
      <c r="S9" s="2">
        <v>5.2493374855265302E-3</v>
      </c>
      <c r="T9" s="11">
        <v>0.06</v>
      </c>
      <c r="U9" s="30">
        <f t="shared" si="12"/>
        <v>106000</v>
      </c>
      <c r="V9" s="30">
        <f t="shared" si="1"/>
        <v>2.4946732673267324</v>
      </c>
      <c r="W9" s="2">
        <f t="shared" si="13"/>
        <v>12</v>
      </c>
      <c r="X9" s="2">
        <f t="shared" si="14"/>
        <v>-4.7948588183721303E-9</v>
      </c>
      <c r="Y9" s="11">
        <f t="shared" si="15"/>
        <v>2.2276387355621985</v>
      </c>
      <c r="Z9" s="2">
        <f t="shared" si="16"/>
        <v>-1.9213939045982506E-16</v>
      </c>
      <c r="AA9" s="27">
        <f t="shared" si="17"/>
        <v>-115706340.93490666</v>
      </c>
    </row>
    <row r="10" spans="1:27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33.509900990099005</v>
      </c>
      <c r="L10" s="27">
        <f t="shared" si="7"/>
        <v>3.3509900990099003E-5</v>
      </c>
      <c r="M10" s="29">
        <f t="shared" si="8"/>
        <v>4.7762865441819992E-3</v>
      </c>
      <c r="N10" s="33">
        <f t="shared" si="9"/>
        <v>1.4119355786949234E-7</v>
      </c>
      <c r="O10" s="21">
        <f t="shared" si="10"/>
        <v>2.032E-3</v>
      </c>
      <c r="P10" s="21">
        <v>1.1208581181901367E-10</v>
      </c>
      <c r="Q10" s="2">
        <v>0.31</v>
      </c>
      <c r="R10" s="27">
        <f t="shared" si="11"/>
        <v>131000</v>
      </c>
      <c r="S10" s="2">
        <v>5.2493374855265302E-3</v>
      </c>
      <c r="T10" s="11">
        <v>0.06</v>
      </c>
      <c r="U10" s="30">
        <f t="shared" si="12"/>
        <v>106000</v>
      </c>
      <c r="V10" s="30">
        <f t="shared" si="1"/>
        <v>3.5520495049504945</v>
      </c>
      <c r="W10" s="2">
        <f t="shared" si="13"/>
        <v>12</v>
      </c>
      <c r="X10" s="2">
        <f t="shared" si="14"/>
        <v>5.407257460494843E-8</v>
      </c>
      <c r="Y10" s="11">
        <f t="shared" si="15"/>
        <v>8.2080422158526751</v>
      </c>
      <c r="Z10" s="2">
        <f t="shared" si="16"/>
        <v>2.166892967646117E-15</v>
      </c>
      <c r="AA10" s="27">
        <f t="shared" si="17"/>
        <v>1304902945.1164918</v>
      </c>
    </row>
    <row r="11" spans="1:27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55.019801980198018</v>
      </c>
      <c r="L11" s="27">
        <f t="shared" si="7"/>
        <v>5.501980198019802E-5</v>
      </c>
      <c r="M11" s="29">
        <f t="shared" si="8"/>
        <v>4.7762865441819992E-3</v>
      </c>
      <c r="N11" s="33">
        <f t="shared" si="9"/>
        <v>2.3182526254417764E-7</v>
      </c>
      <c r="O11" s="21">
        <f t="shared" si="10"/>
        <v>2.032E-3</v>
      </c>
      <c r="P11" s="21">
        <v>1.1208581181901367E-10</v>
      </c>
      <c r="Q11" s="2">
        <v>0.31</v>
      </c>
      <c r="R11" s="27">
        <f t="shared" si="11"/>
        <v>131000</v>
      </c>
      <c r="S11" s="2">
        <v>5.2493374855265302E-3</v>
      </c>
      <c r="T11" s="11">
        <v>0.06</v>
      </c>
      <c r="U11" s="30">
        <f t="shared" si="12"/>
        <v>106000</v>
      </c>
      <c r="V11" s="30">
        <f t="shared" si="1"/>
        <v>5.8320990099009897</v>
      </c>
      <c r="W11" s="2">
        <f t="shared" si="13"/>
        <v>12</v>
      </c>
      <c r="X11" s="2">
        <f t="shared" si="14"/>
        <v>1.7395502141372519E-7</v>
      </c>
      <c r="Y11" s="11">
        <f t="shared" si="15"/>
        <v>31.009292406521464</v>
      </c>
      <c r="Z11" s="2">
        <f t="shared" si="16"/>
        <v>6.972250528687126E-15</v>
      </c>
      <c r="AA11" s="27">
        <f t="shared" si="17"/>
        <v>4198689268.3753877</v>
      </c>
    </row>
    <row r="12" spans="1:27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72.965346534653463</v>
      </c>
      <c r="L12" s="27">
        <f t="shared" si="7"/>
        <v>7.2965346534653461E-5</v>
      </c>
      <c r="M12" s="29">
        <f t="shared" si="8"/>
        <v>4.7762865441819992E-3</v>
      </c>
      <c r="N12" s="33">
        <f t="shared" si="9"/>
        <v>3.0743859498278151E-7</v>
      </c>
      <c r="O12" s="21">
        <f t="shared" si="10"/>
        <v>2.032E-3</v>
      </c>
      <c r="P12" s="21">
        <v>1.1208581181901367E-10</v>
      </c>
      <c r="Q12" s="2">
        <v>0.31</v>
      </c>
      <c r="R12" s="27">
        <f t="shared" si="11"/>
        <v>131000</v>
      </c>
      <c r="S12" s="2">
        <v>5.2493374855265302E-3</v>
      </c>
      <c r="T12" s="11">
        <v>0.06</v>
      </c>
      <c r="U12" s="30">
        <f t="shared" si="12"/>
        <v>106000</v>
      </c>
      <c r="V12" s="30">
        <f t="shared" si="1"/>
        <v>7.7343267326732672</v>
      </c>
      <c r="W12" s="2">
        <f t="shared" si="13"/>
        <v>12</v>
      </c>
      <c r="X12" s="2">
        <f t="shared" si="14"/>
        <v>2.6976210438022579E-7</v>
      </c>
      <c r="Y12" s="11">
        <f t="shared" si="15"/>
        <v>58.853048901339164</v>
      </c>
      <c r="Z12" s="2">
        <f t="shared" si="16"/>
        <v>1.0814570970777329E-14</v>
      </c>
      <c r="AA12" s="27">
        <f t="shared" si="17"/>
        <v>6512534638.602107</v>
      </c>
    </row>
    <row r="13" spans="1:27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97.123762376237622</v>
      </c>
      <c r="L13" s="27">
        <f t="shared" si="7"/>
        <v>9.7123762376237618E-5</v>
      </c>
      <c r="M13" s="29">
        <f t="shared" si="8"/>
        <v>4.7762865441819992E-3</v>
      </c>
      <c r="N13" s="33">
        <f t="shared" si="9"/>
        <v>4.0922978458288829E-7</v>
      </c>
      <c r="O13" s="21">
        <f t="shared" si="10"/>
        <v>2.032E-3</v>
      </c>
      <c r="P13" s="21">
        <v>1.1208581181901367E-10</v>
      </c>
      <c r="Q13" s="2">
        <v>0.31</v>
      </c>
      <c r="R13" s="27">
        <f t="shared" si="11"/>
        <v>131000</v>
      </c>
      <c r="S13" s="2">
        <v>5.2493374855265302E-3</v>
      </c>
      <c r="T13" s="11">
        <v>0.06</v>
      </c>
      <c r="U13" s="30">
        <f t="shared" si="12"/>
        <v>106000</v>
      </c>
      <c r="V13" s="30">
        <f t="shared" si="1"/>
        <v>10.295118811881187</v>
      </c>
      <c r="W13" s="2">
        <f t="shared" si="13"/>
        <v>12</v>
      </c>
      <c r="X13" s="2">
        <f t="shared" si="14"/>
        <v>3.9513627020859107E-7</v>
      </c>
      <c r="Y13" s="11">
        <f t="shared" si="15"/>
        <v>107.57865817113755</v>
      </c>
      <c r="Z13" s="2">
        <f t="shared" si="16"/>
        <v>1.5846628963186968E-14</v>
      </c>
      <c r="AA13" s="27">
        <f t="shared" si="17"/>
        <v>9542839961.6311932</v>
      </c>
    </row>
    <row r="14" spans="1:27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121.08415841584161</v>
      </c>
      <c r="L14" s="27">
        <f t="shared" si="7"/>
        <v>1.2108415841584161E-4</v>
      </c>
      <c r="M14" s="29">
        <f t="shared" si="8"/>
        <v>4.7762865441819992E-3</v>
      </c>
      <c r="N14" s="33">
        <f t="shared" si="9"/>
        <v>5.1018662016987962E-7</v>
      </c>
      <c r="O14" s="21">
        <f t="shared" si="10"/>
        <v>2.032E-3</v>
      </c>
      <c r="P14" s="21">
        <v>1.1208581181901367E-10</v>
      </c>
      <c r="Q14" s="2">
        <v>0.31</v>
      </c>
      <c r="R14" s="27">
        <f t="shared" si="11"/>
        <v>131000</v>
      </c>
      <c r="S14" s="2">
        <v>5.2493374855265302E-3</v>
      </c>
      <c r="T14" s="11">
        <v>0.06</v>
      </c>
      <c r="U14" s="30">
        <f t="shared" si="12"/>
        <v>106000</v>
      </c>
      <c r="V14" s="30">
        <f t="shared" si="1"/>
        <v>12.834920792079211</v>
      </c>
      <c r="W14" s="2">
        <f t="shared" si="13"/>
        <v>12</v>
      </c>
      <c r="X14" s="2">
        <f t="shared" si="14"/>
        <v>5.1672224643503854E-7</v>
      </c>
      <c r="Y14" s="11">
        <f t="shared" si="15"/>
        <v>167.70836376482202</v>
      </c>
      <c r="Z14" s="2">
        <f t="shared" si="16"/>
        <v>2.0732262837362759E-14</v>
      </c>
      <c r="AA14" s="27">
        <f t="shared" si="17"/>
        <v>12484968680.659855</v>
      </c>
    </row>
    <row r="15" spans="1:27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144.52475247524754</v>
      </c>
      <c r="L15" s="27">
        <f t="shared" si="7"/>
        <v>1.4452475247524754E-4</v>
      </c>
      <c r="M15" s="29">
        <f t="shared" si="8"/>
        <v>4.7762865441819992E-3</v>
      </c>
      <c r="N15" s="33">
        <f t="shared" si="9"/>
        <v>6.0895327647244219E-7</v>
      </c>
      <c r="O15" s="21">
        <f t="shared" si="10"/>
        <v>2.032E-3</v>
      </c>
      <c r="P15" s="21">
        <v>1.1208581181901367E-10</v>
      </c>
      <c r="Q15" s="2">
        <v>0.31</v>
      </c>
      <c r="R15" s="27">
        <f t="shared" si="11"/>
        <v>131000</v>
      </c>
      <c r="S15" s="2">
        <v>5.2493374855265302E-3</v>
      </c>
      <c r="T15" s="11">
        <v>0.06</v>
      </c>
      <c r="U15" s="30">
        <f t="shared" si="12"/>
        <v>106000</v>
      </c>
      <c r="V15" s="30">
        <f t="shared" si="1"/>
        <v>15.31962376237624</v>
      </c>
      <c r="W15" s="2">
        <f t="shared" si="13"/>
        <v>12</v>
      </c>
      <c r="X15" s="2">
        <f t="shared" si="14"/>
        <v>6.3377142948626508E-7</v>
      </c>
      <c r="Y15" s="11">
        <f t="shared" si="15"/>
        <v>237.27244931092943</v>
      </c>
      <c r="Z15" s="2">
        <f t="shared" si="16"/>
        <v>2.5442113241086594E-14</v>
      </c>
      <c r="AA15" s="27">
        <f t="shared" si="17"/>
        <v>15321240593.782349</v>
      </c>
    </row>
    <row r="16" spans="1:27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176.05940594059408</v>
      </c>
      <c r="L16" s="27">
        <f t="shared" si="7"/>
        <v>1.7605940594059408E-4</v>
      </c>
      <c r="M16" s="29">
        <f t="shared" si="8"/>
        <v>4.7762865441819992E-3</v>
      </c>
      <c r="N16" s="33">
        <f t="shared" si="9"/>
        <v>7.4182415306110611E-7</v>
      </c>
      <c r="O16" s="21">
        <f t="shared" si="10"/>
        <v>2.032E-3</v>
      </c>
      <c r="P16" s="21">
        <v>1.1208581181901367E-10</v>
      </c>
      <c r="Q16" s="2">
        <v>0.31</v>
      </c>
      <c r="R16" s="27">
        <f t="shared" si="11"/>
        <v>131000</v>
      </c>
      <c r="S16" s="2">
        <v>5.2493374855265302E-3</v>
      </c>
      <c r="T16" s="11">
        <v>0.06</v>
      </c>
      <c r="U16" s="30">
        <f t="shared" si="12"/>
        <v>106000</v>
      </c>
      <c r="V16" s="30">
        <f t="shared" si="1"/>
        <v>18.662297029702973</v>
      </c>
      <c r="W16" s="2">
        <f t="shared" si="13"/>
        <v>12</v>
      </c>
      <c r="X16" s="2">
        <f t="shared" si="14"/>
        <v>7.890351419770437E-7</v>
      </c>
      <c r="Y16" s="11">
        <f t="shared" si="15"/>
        <v>346.86753962466014</v>
      </c>
      <c r="Z16" s="2">
        <f t="shared" si="16"/>
        <v>3.1701587785765552E-14</v>
      </c>
      <c r="AA16" s="27">
        <f t="shared" si="17"/>
        <v>19090696164.588017</v>
      </c>
    </row>
    <row r="17" spans="1:78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190.96039603960398</v>
      </c>
      <c r="L17" s="27">
        <f t="shared" si="7"/>
        <v>1.9096039603960397E-4</v>
      </c>
      <c r="M17" s="29">
        <f t="shared" si="8"/>
        <v>4.7762865441819992E-3</v>
      </c>
      <c r="N17" s="33">
        <f t="shared" si="9"/>
        <v>8.0460929254805724E-7</v>
      </c>
      <c r="O17" s="21">
        <f t="shared" si="10"/>
        <v>2.032E-3</v>
      </c>
      <c r="P17" s="21">
        <v>1.1208581181901367E-10</v>
      </c>
      <c r="Q17" s="2">
        <v>0.31</v>
      </c>
      <c r="R17" s="27">
        <f t="shared" si="11"/>
        <v>131000</v>
      </c>
      <c r="S17" s="2">
        <v>5.2493374855265302E-3</v>
      </c>
      <c r="T17" s="11">
        <v>0.06</v>
      </c>
      <c r="U17" s="30">
        <f t="shared" si="12"/>
        <v>106000</v>
      </c>
      <c r="V17" s="30">
        <f t="shared" si="1"/>
        <v>20.241801980198019</v>
      </c>
      <c r="W17" s="2">
        <f t="shared" si="13"/>
        <v>12</v>
      </c>
      <c r="X17" s="2">
        <f t="shared" si="14"/>
        <v>8.6169954999227411E-7</v>
      </c>
      <c r="Y17" s="11">
        <f t="shared" si="15"/>
        <v>404.84706943213587</v>
      </c>
      <c r="Z17" s="2">
        <f t="shared" si="16"/>
        <v>3.4636444366665497E-14</v>
      </c>
      <c r="AA17" s="27">
        <f t="shared" si="17"/>
        <v>20858066797.605965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209.20297029702971</v>
      </c>
      <c r="L18" s="27">
        <f t="shared" si="7"/>
        <v>2.092029702970297E-4</v>
      </c>
      <c r="M18" s="29">
        <f t="shared" si="8"/>
        <v>4.7762865441819992E-3</v>
      </c>
      <c r="N18" s="33">
        <f t="shared" si="9"/>
        <v>8.8147415600633444E-7</v>
      </c>
      <c r="O18" s="21">
        <f t="shared" si="10"/>
        <v>2.032E-3</v>
      </c>
      <c r="P18" s="21">
        <v>1.1208581181901367E-10</v>
      </c>
      <c r="Q18" s="2">
        <v>0.31</v>
      </c>
      <c r="R18" s="27">
        <f t="shared" si="11"/>
        <v>131000</v>
      </c>
      <c r="S18" s="2">
        <v>5.2493374855265302E-3</v>
      </c>
      <c r="T18" s="11">
        <v>0.06</v>
      </c>
      <c r="U18" s="30">
        <f t="shared" si="12"/>
        <v>106000</v>
      </c>
      <c r="V18" s="30">
        <f t="shared" si="1"/>
        <v>22.175514851485147</v>
      </c>
      <c r="W18" s="2">
        <f t="shared" si="13"/>
        <v>12</v>
      </c>
      <c r="X18" s="2">
        <f t="shared" si="14"/>
        <v>9.5014805849990388E-7</v>
      </c>
      <c r="Y18" s="11">
        <f t="shared" si="15"/>
        <v>481.11314244950069</v>
      </c>
      <c r="Z18" s="2">
        <f t="shared" si="16"/>
        <v>3.8213992935193849E-14</v>
      </c>
      <c r="AA18" s="27">
        <f t="shared" si="17"/>
        <v>23012466545.573738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 spans="1:78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221.82673267326734</v>
      </c>
      <c r="L19" s="27">
        <f t="shared" si="7"/>
        <v>2.2182673267326735E-4</v>
      </c>
      <c r="M19" s="29">
        <f t="shared" si="8"/>
        <v>4.7762865441819992E-3</v>
      </c>
      <c r="N19" s="33">
        <f t="shared" si="9"/>
        <v>9.3466422434245601E-7</v>
      </c>
      <c r="O19" s="21">
        <f t="shared" si="10"/>
        <v>2.032E-3</v>
      </c>
      <c r="P19" s="21">
        <v>1.1208581181901367E-10</v>
      </c>
      <c r="Q19" s="2">
        <v>0.31</v>
      </c>
      <c r="R19" s="27">
        <f t="shared" si="11"/>
        <v>131000</v>
      </c>
      <c r="S19" s="2">
        <v>5.2493374855265302E-3</v>
      </c>
      <c r="T19" s="11">
        <v>0.06</v>
      </c>
      <c r="U19" s="30">
        <f t="shared" si="12"/>
        <v>106000</v>
      </c>
      <c r="V19" s="30">
        <f t="shared" si="1"/>
        <v>23.513633663366338</v>
      </c>
      <c r="W19" s="2">
        <f t="shared" si="13"/>
        <v>12</v>
      </c>
      <c r="X19" s="2">
        <f t="shared" si="14"/>
        <v>1.0110604267424677E-6</v>
      </c>
      <c r="Y19" s="11">
        <f t="shared" si="15"/>
        <v>537.24597362347436</v>
      </c>
      <c r="Z19" s="2">
        <f t="shared" si="16"/>
        <v>4.0681322710377972E-14</v>
      </c>
      <c r="AA19" s="27">
        <f t="shared" si="17"/>
        <v>24498292536.189617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240.09405940594058</v>
      </c>
      <c r="L20" s="27">
        <f t="shared" si="7"/>
        <v>2.4009405940594058E-4</v>
      </c>
      <c r="M20" s="29">
        <f t="shared" si="8"/>
        <v>4.7762865441819992E-3</v>
      </c>
      <c r="N20" s="33">
        <f t="shared" si="9"/>
        <v>1.0116333820523726E-6</v>
      </c>
      <c r="O20" s="21">
        <f t="shared" si="10"/>
        <v>2.032E-3</v>
      </c>
      <c r="P20" s="21">
        <v>1.1208581181901367E-10</v>
      </c>
      <c r="Q20" s="2">
        <v>0.31</v>
      </c>
      <c r="R20" s="27">
        <f t="shared" si="11"/>
        <v>131000</v>
      </c>
      <c r="S20" s="2">
        <v>5.2493374855265302E-3</v>
      </c>
      <c r="T20" s="11">
        <v>0.06</v>
      </c>
      <c r="U20" s="30">
        <f t="shared" si="12"/>
        <v>106000</v>
      </c>
      <c r="V20" s="30">
        <f t="shared" si="1"/>
        <v>25.449970297029701</v>
      </c>
      <c r="W20" s="2">
        <f t="shared" si="13"/>
        <v>12</v>
      </c>
      <c r="X20" s="2">
        <f t="shared" si="14"/>
        <v>1.0988250422535843E-6</v>
      </c>
      <c r="Y20" s="11">
        <f t="shared" si="15"/>
        <v>623.26917239539682</v>
      </c>
      <c r="Z20" s="2">
        <f t="shared" si="16"/>
        <v>4.424181713809114E-14</v>
      </c>
      <c r="AA20" s="27">
        <f t="shared" si="17"/>
        <v>26642422280.558487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255.63861386138615</v>
      </c>
      <c r="L21" s="27">
        <f t="shared" si="7"/>
        <v>2.5563861386138613E-4</v>
      </c>
      <c r="M21" s="29">
        <f t="shared" si="8"/>
        <v>4.7762865441819992E-3</v>
      </c>
      <c r="N21" s="33">
        <f t="shared" si="9"/>
        <v>1.0771301720819496E-6</v>
      </c>
      <c r="O21" s="21">
        <f t="shared" si="10"/>
        <v>2.032E-3</v>
      </c>
      <c r="P21" s="21">
        <v>1.1208581181901367E-10</v>
      </c>
      <c r="Q21" s="2">
        <v>0.31</v>
      </c>
      <c r="R21" s="27">
        <f t="shared" si="11"/>
        <v>131000</v>
      </c>
      <c r="S21" s="2">
        <v>5.2493374855265302E-3</v>
      </c>
      <c r="T21" s="11">
        <v>0.06</v>
      </c>
      <c r="U21" s="30">
        <f t="shared" si="12"/>
        <v>106000</v>
      </c>
      <c r="V21" s="30">
        <f t="shared" si="1"/>
        <v>27.097693069306931</v>
      </c>
      <c r="W21" s="2">
        <f t="shared" si="13"/>
        <v>12</v>
      </c>
      <c r="X21" s="2">
        <f t="shared" si="14"/>
        <v>1.1731887520045927E-6</v>
      </c>
      <c r="Y21" s="11">
        <f t="shared" si="15"/>
        <v>700.88563750788376</v>
      </c>
      <c r="Z21" s="2">
        <f t="shared" si="16"/>
        <v>4.7264048751420925E-14</v>
      </c>
      <c r="AA21" s="27">
        <f t="shared" si="17"/>
        <v>28462410158.105682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266.23267326732679</v>
      </c>
      <c r="L22" s="27">
        <f t="shared" si="7"/>
        <v>2.662326732673268E-4</v>
      </c>
      <c r="M22" s="29">
        <f t="shared" si="8"/>
        <v>4.7762865441819992E-3</v>
      </c>
      <c r="N22" s="33">
        <f t="shared" si="9"/>
        <v>1.121768111783636E-6</v>
      </c>
      <c r="O22" s="21">
        <f t="shared" si="10"/>
        <v>2.032E-3</v>
      </c>
      <c r="P22" s="21">
        <v>1.1208581181901367E-10</v>
      </c>
      <c r="Q22" s="2">
        <v>0.31</v>
      </c>
      <c r="R22" s="27">
        <f t="shared" si="11"/>
        <v>131000</v>
      </c>
      <c r="S22" s="2">
        <v>5.2493374855265302E-3</v>
      </c>
      <c r="T22" s="11">
        <v>0.06</v>
      </c>
      <c r="U22" s="30">
        <f t="shared" si="12"/>
        <v>106000</v>
      </c>
      <c r="V22" s="30">
        <f t="shared" si="1"/>
        <v>28.220663366336641</v>
      </c>
      <c r="W22" s="2">
        <f t="shared" si="13"/>
        <v>12</v>
      </c>
      <c r="X22" s="2">
        <f t="shared" si="14"/>
        <v>1.2237160496415958E-6</v>
      </c>
      <c r="Y22" s="11">
        <f t="shared" si="15"/>
        <v>756.0861358910995</v>
      </c>
      <c r="Z22" s="2">
        <f t="shared" si="16"/>
        <v>4.9320527466076414E-14</v>
      </c>
      <c r="AA22" s="27">
        <f t="shared" si="17"/>
        <v>29700821640.071217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278.88118811881191</v>
      </c>
      <c r="L23" s="27">
        <f t="shared" si="7"/>
        <v>2.788811881188119E-4</v>
      </c>
      <c r="M23" s="29">
        <f t="shared" si="8"/>
        <v>4.7762865441819992E-3</v>
      </c>
      <c r="N23" s="33">
        <f t="shared" si="9"/>
        <v>1.1750624743713966E-6</v>
      </c>
      <c r="O23" s="21">
        <f t="shared" si="10"/>
        <v>2.032E-3</v>
      </c>
      <c r="P23" s="21">
        <v>1.1208581181901367E-10</v>
      </c>
      <c r="Q23" s="2">
        <v>0.31</v>
      </c>
      <c r="R23" s="27">
        <f t="shared" si="11"/>
        <v>131000</v>
      </c>
      <c r="S23" s="2">
        <v>5.2493374855265302E-3</v>
      </c>
      <c r="T23" s="11">
        <v>0.06</v>
      </c>
      <c r="U23" s="30">
        <f t="shared" si="12"/>
        <v>106000</v>
      </c>
      <c r="V23" s="30">
        <f t="shared" si="1"/>
        <v>29.56140594059406</v>
      </c>
      <c r="W23" s="2">
        <f t="shared" si="13"/>
        <v>12</v>
      </c>
      <c r="X23" s="2">
        <f t="shared" si="14"/>
        <v>1.2838904374299023E-6</v>
      </c>
      <c r="Y23" s="11">
        <f t="shared" si="15"/>
        <v>824.41614031174663</v>
      </c>
      <c r="Z23" s="2">
        <f t="shared" si="16"/>
        <v>5.1772951583410554E-14</v>
      </c>
      <c r="AA23" s="27">
        <f t="shared" si="17"/>
        <v>31177671443.529839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 spans="1:78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277.51980198019805</v>
      </c>
      <c r="L24" s="27">
        <f t="shared" si="7"/>
        <v>2.7751980198019807E-4</v>
      </c>
      <c r="M24" s="29">
        <f t="shared" si="8"/>
        <v>4.7762865441819992E-3</v>
      </c>
      <c r="N24" s="33">
        <f t="shared" si="9"/>
        <v>1.1693262905312269E-6</v>
      </c>
      <c r="O24" s="21">
        <f t="shared" si="10"/>
        <v>2.032E-3</v>
      </c>
      <c r="P24" s="21">
        <v>1.1208581181901367E-10</v>
      </c>
      <c r="Q24" s="2">
        <v>0.31</v>
      </c>
      <c r="R24" s="27">
        <f t="shared" si="11"/>
        <v>131000</v>
      </c>
      <c r="S24" s="2">
        <v>5.2493374855265302E-3</v>
      </c>
      <c r="T24" s="11">
        <v>0.06</v>
      </c>
      <c r="U24" s="30">
        <f t="shared" si="12"/>
        <v>106000</v>
      </c>
      <c r="V24" s="30">
        <f t="shared" si="1"/>
        <v>29.417099009900994</v>
      </c>
      <c r="W24" s="2">
        <f t="shared" si="13"/>
        <v>12</v>
      </c>
      <c r="X24" s="2">
        <f t="shared" si="14"/>
        <v>1.2774213403363265E-6</v>
      </c>
      <c r="Y24" s="11">
        <f t="shared" si="15"/>
        <v>816.93545331379335</v>
      </c>
      <c r="Z24" s="2">
        <f t="shared" si="16"/>
        <v>5.1509124861892126E-14</v>
      </c>
      <c r="AA24" s="27">
        <f t="shared" si="17"/>
        <v>31018794991.83144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297.74257425742576</v>
      </c>
      <c r="L25" s="27">
        <f t="shared" si="7"/>
        <v>2.9774257425742577E-4</v>
      </c>
      <c r="M25" s="29">
        <f t="shared" si="8"/>
        <v>4.7762865441819992E-3</v>
      </c>
      <c r="N25" s="33">
        <f t="shared" si="9"/>
        <v>1.2545346941206606E-6</v>
      </c>
      <c r="O25" s="21">
        <f t="shared" si="10"/>
        <v>2.032E-3</v>
      </c>
      <c r="P25" s="21">
        <v>1.1208581181901367E-10</v>
      </c>
      <c r="Q25" s="2">
        <v>0.31</v>
      </c>
      <c r="R25" s="27">
        <f t="shared" si="11"/>
        <v>131000</v>
      </c>
      <c r="S25" s="2">
        <v>5.2493374855265302E-3</v>
      </c>
      <c r="T25" s="11">
        <v>0.06</v>
      </c>
      <c r="U25" s="30">
        <f t="shared" si="12"/>
        <v>106000</v>
      </c>
      <c r="V25" s="30">
        <f t="shared" si="1"/>
        <v>31.560712871287134</v>
      </c>
      <c r="W25" s="2">
        <f t="shared" si="13"/>
        <v>12</v>
      </c>
      <c r="X25" s="2">
        <f t="shared" si="14"/>
        <v>1.3733385165589793E-6</v>
      </c>
      <c r="Y25" s="11">
        <f t="shared" si="15"/>
        <v>931.17139245668341</v>
      </c>
      <c r="Z25" s="2">
        <f t="shared" si="16"/>
        <v>5.542540386092442E-14</v>
      </c>
      <c r="AA25" s="27">
        <f t="shared" si="17"/>
        <v>33377178205.048687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281.70297029702971</v>
      </c>
      <c r="L26" s="27">
        <f t="shared" si="7"/>
        <v>2.8170297029702973E-4</v>
      </c>
      <c r="M26" s="29">
        <f t="shared" si="8"/>
        <v>4.7762865441819992E-3</v>
      </c>
      <c r="N26" s="33">
        <f t="shared" si="9"/>
        <v>1.1869520190582944E-6</v>
      </c>
      <c r="O26" s="21">
        <f t="shared" si="10"/>
        <v>2.032E-3</v>
      </c>
      <c r="P26" s="21">
        <v>1.1208581181901367E-10</v>
      </c>
      <c r="Q26" s="2">
        <v>0.31</v>
      </c>
      <c r="R26" s="27">
        <f t="shared" si="11"/>
        <v>131000</v>
      </c>
      <c r="S26" s="2">
        <v>5.2493374855265302E-3</v>
      </c>
      <c r="T26" s="11">
        <v>0.06</v>
      </c>
      <c r="U26" s="30">
        <f t="shared" si="12"/>
        <v>106000</v>
      </c>
      <c r="V26" s="30">
        <f t="shared" si="1"/>
        <v>29.860514851485153</v>
      </c>
      <c r="W26" s="2">
        <f t="shared" si="13"/>
        <v>12</v>
      </c>
      <c r="X26" s="2">
        <f t="shared" si="14"/>
        <v>1.2972934364606423E-6</v>
      </c>
      <c r="Y26" s="11">
        <f t="shared" si="15"/>
        <v>840.01820949956527</v>
      </c>
      <c r="Z26" s="2">
        <f t="shared" si="16"/>
        <v>5.2319698974000585E-14</v>
      </c>
      <c r="AA26" s="27">
        <f t="shared" si="17"/>
        <v>31506922722.143154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299.37623762376239</v>
      </c>
      <c r="L27" s="27">
        <f t="shared" si="7"/>
        <v>2.9937623762376237E-4</v>
      </c>
      <c r="M27" s="29">
        <f t="shared" si="8"/>
        <v>4.7762865441819992E-3</v>
      </c>
      <c r="N27" s="33">
        <f t="shared" si="9"/>
        <v>1.2614181147288642E-6</v>
      </c>
      <c r="O27" s="21">
        <f t="shared" si="10"/>
        <v>2.032E-3</v>
      </c>
      <c r="P27" s="21">
        <v>1.1208581181901367E-10</v>
      </c>
      <c r="Q27" s="2">
        <v>0.31</v>
      </c>
      <c r="R27" s="27">
        <f t="shared" si="11"/>
        <v>131000</v>
      </c>
      <c r="S27" s="2">
        <v>5.2493374855265302E-3</v>
      </c>
      <c r="T27" s="11">
        <v>0.06</v>
      </c>
      <c r="U27" s="30">
        <f t="shared" si="12"/>
        <v>106000</v>
      </c>
      <c r="V27" s="30">
        <f t="shared" si="1"/>
        <v>31.733881188118811</v>
      </c>
      <c r="W27" s="2">
        <f t="shared" si="13"/>
        <v>12</v>
      </c>
      <c r="X27" s="2">
        <f t="shared" si="14"/>
        <v>1.3810709171935083E-6</v>
      </c>
      <c r="Y27" s="11">
        <f t="shared" si="15"/>
        <v>940.69015921153778</v>
      </c>
      <c r="Z27" s="2">
        <f t="shared" si="16"/>
        <v>5.574154856479776E-14</v>
      </c>
      <c r="AA27" s="27">
        <f t="shared" si="17"/>
        <v>33567560545.721214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297.0990099009901</v>
      </c>
      <c r="L28" s="27">
        <f t="shared" si="7"/>
        <v>2.9709900990099007E-4</v>
      </c>
      <c r="M28" s="29">
        <f t="shared" si="8"/>
        <v>4.7762865441819992E-3</v>
      </c>
      <c r="N28" s="33">
        <f t="shared" si="9"/>
        <v>1.2518230435780344E-6</v>
      </c>
      <c r="O28" s="21">
        <f t="shared" si="10"/>
        <v>2.032E-3</v>
      </c>
      <c r="P28" s="21">
        <v>1.1208581181901367E-10</v>
      </c>
      <c r="Q28" s="2">
        <v>0.31</v>
      </c>
      <c r="R28" s="27">
        <f t="shared" si="11"/>
        <v>131000</v>
      </c>
      <c r="S28" s="2">
        <v>5.2493374855265302E-3</v>
      </c>
      <c r="T28" s="11">
        <v>0.06</v>
      </c>
      <c r="U28" s="30">
        <f t="shared" si="12"/>
        <v>106000</v>
      </c>
      <c r="V28" s="30">
        <f t="shared" si="1"/>
        <v>31.492495049504946</v>
      </c>
      <c r="W28" s="2">
        <f t="shared" si="13"/>
        <v>12</v>
      </c>
      <c r="X28" s="2">
        <f t="shared" si="14"/>
        <v>1.3702917800354465E-6</v>
      </c>
      <c r="Y28" s="11">
        <f t="shared" si="15"/>
        <v>927.43345369050394</v>
      </c>
      <c r="Z28" s="2">
        <f t="shared" si="16"/>
        <v>5.5300853962068853E-14</v>
      </c>
      <c r="AA28" s="27">
        <f t="shared" si="17"/>
        <v>33302174255.957867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8">
        <v>294.15346534653469</v>
      </c>
      <c r="L29" s="27">
        <f t="shared" si="7"/>
        <v>2.941534653465347E-4</v>
      </c>
      <c r="M29" s="29">
        <f t="shared" si="8"/>
        <v>4.7762865441819992E-3</v>
      </c>
      <c r="N29" s="33">
        <f t="shared" si="9"/>
        <v>1.2394120276329399E-6</v>
      </c>
      <c r="O29" s="21">
        <f t="shared" si="10"/>
        <v>2.032E-3</v>
      </c>
      <c r="P29" s="21">
        <v>1.1208581181901367E-10</v>
      </c>
      <c r="Q29" s="2">
        <v>0.31</v>
      </c>
      <c r="R29" s="27">
        <f t="shared" si="11"/>
        <v>131000</v>
      </c>
      <c r="S29" s="2">
        <v>5.2493374855265302E-3</v>
      </c>
      <c r="T29" s="11">
        <v>0.06</v>
      </c>
      <c r="U29" s="30">
        <f t="shared" si="12"/>
        <v>106000</v>
      </c>
      <c r="V29" s="30">
        <f t="shared" si="1"/>
        <v>31.180267326732679</v>
      </c>
      <c r="W29" s="2">
        <f t="shared" si="13"/>
        <v>12</v>
      </c>
      <c r="X29" s="2">
        <f t="shared" si="14"/>
        <v>1.3563424488929498E-6</v>
      </c>
      <c r="Y29" s="11">
        <f t="shared" si="15"/>
        <v>910.41095942264337</v>
      </c>
      <c r="Z29" s="27">
        <f t="shared" si="16"/>
        <v>5.4730738352657759E-14</v>
      </c>
      <c r="AA29" s="27">
        <f t="shared" si="17"/>
        <v>32958850635.970505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8">
        <v>296.23267326732673</v>
      </c>
      <c r="L30" s="27">
        <f t="shared" si="7"/>
        <v>2.9623267326732672E-4</v>
      </c>
      <c r="M30" s="29">
        <f t="shared" si="8"/>
        <v>4.7762865441819992E-3</v>
      </c>
      <c r="N30" s="33">
        <f t="shared" si="9"/>
        <v>1.2481727447706536E-6</v>
      </c>
      <c r="O30" s="21">
        <f t="shared" si="10"/>
        <v>2.032E-3</v>
      </c>
      <c r="P30" s="21">
        <v>1.1208581181901367E-10</v>
      </c>
      <c r="Q30" s="2">
        <v>0.31</v>
      </c>
      <c r="R30" s="27">
        <f t="shared" si="11"/>
        <v>131000</v>
      </c>
      <c r="S30" s="2">
        <v>5.2493374855265302E-3</v>
      </c>
      <c r="T30" s="11">
        <v>0.06</v>
      </c>
      <c r="U30" s="30">
        <f t="shared" si="12"/>
        <v>106000</v>
      </c>
      <c r="V30" s="30">
        <f t="shared" si="1"/>
        <v>31.40066336633663</v>
      </c>
      <c r="W30" s="2">
        <f t="shared" si="13"/>
        <v>12</v>
      </c>
      <c r="X30" s="2">
        <f t="shared" si="14"/>
        <v>1.3661898303093454E-6</v>
      </c>
      <c r="Y30" s="11">
        <f t="shared" si="15"/>
        <v>922.41222098524133</v>
      </c>
      <c r="Z30" s="27">
        <f t="shared" si="16"/>
        <v>5.5133183287282324E-14</v>
      </c>
      <c r="AA30" s="27">
        <f t="shared" si="17"/>
        <v>33201202975.601418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8">
        <v>300.39108910891088</v>
      </c>
      <c r="L31" s="27">
        <f t="shared" si="7"/>
        <v>3.003910891089109E-4</v>
      </c>
      <c r="M31" s="29">
        <f t="shared" si="8"/>
        <v>4.7762865441819992E-3</v>
      </c>
      <c r="N31" s="33">
        <f t="shared" si="9"/>
        <v>1.2656941790460819E-6</v>
      </c>
      <c r="O31" s="21">
        <f t="shared" si="10"/>
        <v>2.032E-3</v>
      </c>
      <c r="P31" s="21">
        <v>1.1208581181901367E-10</v>
      </c>
      <c r="Q31" s="2">
        <v>0.31</v>
      </c>
      <c r="R31" s="27">
        <f t="shared" si="11"/>
        <v>131000</v>
      </c>
      <c r="S31" s="2">
        <v>5.2493374855265302E-3</v>
      </c>
      <c r="T31" s="11">
        <v>0.06</v>
      </c>
      <c r="U31" s="30">
        <f t="shared" si="12"/>
        <v>106000</v>
      </c>
      <c r="V31" s="30">
        <f t="shared" si="1"/>
        <v>31.841455445544554</v>
      </c>
      <c r="W31" s="2">
        <f t="shared" si="13"/>
        <v>12</v>
      </c>
      <c r="X31" s="2">
        <f t="shared" si="14"/>
        <v>1.385873212134797E-6</v>
      </c>
      <c r="Y31" s="11">
        <f t="shared" si="15"/>
        <v>946.62510563750288</v>
      </c>
      <c r="Z31" s="27">
        <f t="shared" si="16"/>
        <v>5.5937927089976661E-14</v>
      </c>
      <c r="AA31" s="27">
        <f t="shared" si="17"/>
        <v>33685819693.583946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8">
        <v>296.33168316831683</v>
      </c>
      <c r="L32" s="27">
        <f t="shared" si="7"/>
        <v>2.9633168316831683E-4</v>
      </c>
      <c r="M32" s="29">
        <f t="shared" si="8"/>
        <v>4.7762865441819992E-3</v>
      </c>
      <c r="N32" s="33">
        <f t="shared" si="9"/>
        <v>1.2485899217772116E-6</v>
      </c>
      <c r="O32" s="21">
        <f t="shared" si="10"/>
        <v>2.032E-3</v>
      </c>
      <c r="P32" s="21">
        <v>1.1208581181901367E-10</v>
      </c>
      <c r="Q32" s="2">
        <v>0.31</v>
      </c>
      <c r="R32" s="27">
        <f t="shared" si="11"/>
        <v>131000</v>
      </c>
      <c r="S32" s="2">
        <v>5.2493374855265302E-3</v>
      </c>
      <c r="T32" s="11">
        <v>0.06</v>
      </c>
      <c r="U32" s="30">
        <f t="shared" si="12"/>
        <v>106000</v>
      </c>
      <c r="V32" s="30">
        <f t="shared" si="1"/>
        <v>31.411158415841584</v>
      </c>
      <c r="W32" s="2">
        <f t="shared" si="13"/>
        <v>12</v>
      </c>
      <c r="X32" s="2">
        <f t="shared" si="14"/>
        <v>1.3666586579596075E-6</v>
      </c>
      <c r="Y32" s="11">
        <f t="shared" si="15"/>
        <v>922.98545989608022</v>
      </c>
      <c r="Z32" s="27">
        <f t="shared" si="16"/>
        <v>5.5152346081366456E-14</v>
      </c>
      <c r="AA32" s="27">
        <f t="shared" si="17"/>
        <v>33212742810.198883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8">
        <v>311.03465346534659</v>
      </c>
      <c r="L33" s="27">
        <f t="shared" si="7"/>
        <v>3.1103465346534658E-4</v>
      </c>
      <c r="M33" s="29">
        <f t="shared" si="8"/>
        <v>4.7762865441819992E-3</v>
      </c>
      <c r="N33" s="33">
        <f t="shared" si="9"/>
        <v>1.3105407072510472E-6</v>
      </c>
      <c r="O33" s="21">
        <f t="shared" si="10"/>
        <v>2.032E-3</v>
      </c>
      <c r="P33" s="21">
        <v>1.1208581181901367E-10</v>
      </c>
      <c r="Q33" s="2">
        <v>0.31</v>
      </c>
      <c r="R33" s="27">
        <f t="shared" si="11"/>
        <v>131000</v>
      </c>
      <c r="S33" s="2">
        <v>5.2493374855265302E-3</v>
      </c>
      <c r="T33" s="11">
        <v>0.06</v>
      </c>
      <c r="U33" s="30">
        <f t="shared" si="12"/>
        <v>106000</v>
      </c>
      <c r="V33" s="30">
        <f t="shared" si="1"/>
        <v>32.969673267326741</v>
      </c>
      <c r="W33" s="2">
        <f t="shared" si="13"/>
        <v>12</v>
      </c>
      <c r="X33" s="2">
        <f t="shared" si="14"/>
        <v>1.4361860792716946E-6</v>
      </c>
      <c r="Y33" s="11">
        <f t="shared" si="15"/>
        <v>1009.8725972169065</v>
      </c>
      <c r="Z33" s="27">
        <f t="shared" si="16"/>
        <v>5.7996907709399414E-14</v>
      </c>
      <c r="AA33" s="27">
        <f t="shared" si="17"/>
        <v>34925737822.600327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8">
        <v>311.03465346534659</v>
      </c>
      <c r="L34" s="27">
        <f t="shared" si="7"/>
        <v>3.1103465346534658E-4</v>
      </c>
      <c r="M34" s="29">
        <f t="shared" si="8"/>
        <v>4.7762865441819992E-3</v>
      </c>
      <c r="N34" s="33">
        <f t="shared" si="9"/>
        <v>1.3105407072510472E-6</v>
      </c>
      <c r="O34" s="21">
        <f t="shared" si="10"/>
        <v>2.032E-3</v>
      </c>
      <c r="P34" s="21">
        <v>1.1208581181901367E-10</v>
      </c>
      <c r="Q34" s="2">
        <v>0.31</v>
      </c>
      <c r="R34" s="27">
        <f t="shared" si="11"/>
        <v>131000</v>
      </c>
      <c r="S34" s="2">
        <v>5.2493374855265302E-3</v>
      </c>
      <c r="T34" s="11">
        <v>0.06</v>
      </c>
      <c r="U34" s="30">
        <f t="shared" si="12"/>
        <v>106000</v>
      </c>
      <c r="V34" s="30">
        <f t="shared" si="1"/>
        <v>32.969673267326741</v>
      </c>
      <c r="W34" s="2">
        <f t="shared" si="13"/>
        <v>12</v>
      </c>
      <c r="X34" s="2">
        <f t="shared" si="14"/>
        <v>1.4361860792716946E-6</v>
      </c>
      <c r="Y34" s="11">
        <f t="shared" si="15"/>
        <v>1009.8725972169065</v>
      </c>
      <c r="Z34" s="27">
        <f t="shared" si="16"/>
        <v>5.7996907709399414E-14</v>
      </c>
      <c r="AA34" s="27">
        <f t="shared" si="17"/>
        <v>34925737822.600327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8">
        <v>310.88613861386142</v>
      </c>
      <c r="L35" s="27">
        <f t="shared" si="7"/>
        <v>3.108861386138614E-4</v>
      </c>
      <c r="M35" s="29">
        <f t="shared" si="8"/>
        <v>4.7762865441819992E-3</v>
      </c>
      <c r="N35" s="33">
        <f t="shared" si="9"/>
        <v>1.3099149417412104E-6</v>
      </c>
      <c r="O35" s="21">
        <f t="shared" si="10"/>
        <v>2.032E-3</v>
      </c>
      <c r="P35" s="21">
        <v>1.1208581181901367E-10</v>
      </c>
      <c r="Q35" s="2">
        <v>0.31</v>
      </c>
      <c r="R35" s="27">
        <f t="shared" si="11"/>
        <v>131000</v>
      </c>
      <c r="S35" s="2">
        <v>5.2493374855265302E-3</v>
      </c>
      <c r="T35" s="11">
        <v>0.06</v>
      </c>
      <c r="U35" s="30">
        <f t="shared" si="12"/>
        <v>106000</v>
      </c>
      <c r="V35" s="30">
        <f t="shared" si="1"/>
        <v>32.95393069306931</v>
      </c>
      <c r="W35" s="2">
        <f t="shared" si="13"/>
        <v>12</v>
      </c>
      <c r="X35" s="2">
        <f t="shared" si="14"/>
        <v>1.4354846884422567E-6</v>
      </c>
      <c r="Y35" s="11">
        <f t="shared" si="15"/>
        <v>1008.9775001569144</v>
      </c>
      <c r="Z35" s="27">
        <f t="shared" si="16"/>
        <v>5.7968184571733848E-14</v>
      </c>
      <c r="AA35" s="27">
        <f t="shared" si="17"/>
        <v>34908440749.098122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8">
        <v>313.63366336633663</v>
      </c>
      <c r="L36" s="27">
        <f t="shared" si="7"/>
        <v>3.1363366336633664E-4</v>
      </c>
      <c r="M36" s="29">
        <f t="shared" si="8"/>
        <v>4.7762865441819992E-3</v>
      </c>
      <c r="N36" s="33">
        <f t="shared" si="9"/>
        <v>1.3214916036731897E-6</v>
      </c>
      <c r="O36" s="21">
        <f t="shared" si="10"/>
        <v>2.032E-3</v>
      </c>
      <c r="P36" s="21">
        <v>1.1208581181901367E-10</v>
      </c>
      <c r="Q36" s="2">
        <v>0.31</v>
      </c>
      <c r="R36" s="27">
        <f t="shared" si="11"/>
        <v>131000</v>
      </c>
      <c r="S36" s="2">
        <v>5.2493374855265302E-3</v>
      </c>
      <c r="T36" s="11">
        <v>0.06</v>
      </c>
      <c r="U36" s="30">
        <f t="shared" si="12"/>
        <v>106000</v>
      </c>
      <c r="V36" s="30">
        <f t="shared" si="1"/>
        <v>33.245168316831688</v>
      </c>
      <c r="W36" s="2">
        <f t="shared" si="13"/>
        <v>12</v>
      </c>
      <c r="X36" s="2">
        <f t="shared" si="14"/>
        <v>1.4484575079287635E-6</v>
      </c>
      <c r="Y36" s="11">
        <f t="shared" si="15"/>
        <v>1025.5942773776076</v>
      </c>
      <c r="Z36" s="27">
        <f t="shared" si="16"/>
        <v>5.8499534968363388E-14</v>
      </c>
      <c r="AA36" s="27">
        <f t="shared" si="17"/>
        <v>35228419957.948433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8">
        <v>307.12376237623761</v>
      </c>
      <c r="L37" s="27">
        <f t="shared" si="7"/>
        <v>3.0712376237623763E-4</v>
      </c>
      <c r="M37" s="29">
        <f t="shared" si="8"/>
        <v>4.7762865441819992E-3</v>
      </c>
      <c r="N37" s="33">
        <f t="shared" si="9"/>
        <v>1.2940622154920134E-6</v>
      </c>
      <c r="O37" s="21">
        <f t="shared" si="10"/>
        <v>2.032E-3</v>
      </c>
      <c r="P37" s="21">
        <v>1.1208581181901367E-10</v>
      </c>
      <c r="Q37" s="2">
        <v>0.31</v>
      </c>
      <c r="R37" s="27">
        <f t="shared" si="11"/>
        <v>131000</v>
      </c>
      <c r="S37" s="2">
        <v>5.2493374855265302E-3</v>
      </c>
      <c r="T37" s="11">
        <v>0.06</v>
      </c>
      <c r="U37" s="30">
        <f t="shared" si="12"/>
        <v>106000</v>
      </c>
      <c r="V37" s="30">
        <f t="shared" si="1"/>
        <v>32.555118811881187</v>
      </c>
      <c r="W37" s="2">
        <f t="shared" si="13"/>
        <v>12</v>
      </c>
      <c r="X37" s="2">
        <f t="shared" si="14"/>
        <v>1.4177100595178365E-6</v>
      </c>
      <c r="Y37" s="11">
        <f t="shared" si="15"/>
        <v>986.42027777276223</v>
      </c>
      <c r="Z37" s="27">
        <f t="shared" si="16"/>
        <v>5.7240471148743625E-14</v>
      </c>
      <c r="AA37" s="27">
        <f t="shared" si="17"/>
        <v>34470211725.773415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8">
        <v>317.29702970297035</v>
      </c>
      <c r="L38" s="27">
        <f t="shared" si="7"/>
        <v>3.1729702970297036E-4</v>
      </c>
      <c r="M38" s="29">
        <f t="shared" si="8"/>
        <v>4.7762865441819992E-3</v>
      </c>
      <c r="N38" s="33">
        <f t="shared" si="9"/>
        <v>1.3369271529158291E-6</v>
      </c>
      <c r="O38" s="21">
        <f t="shared" si="10"/>
        <v>2.032E-3</v>
      </c>
      <c r="P38" s="21">
        <v>1.1208581181901367E-10</v>
      </c>
      <c r="Q38" s="2">
        <v>0.31</v>
      </c>
      <c r="R38" s="27">
        <f t="shared" si="11"/>
        <v>131000</v>
      </c>
      <c r="S38" s="2">
        <v>5.2493374855265302E-3</v>
      </c>
      <c r="T38" s="11">
        <v>0.06</v>
      </c>
      <c r="U38" s="30">
        <f t="shared" si="12"/>
        <v>106000</v>
      </c>
      <c r="V38" s="30">
        <f t="shared" si="1"/>
        <v>33.633485148514858</v>
      </c>
      <c r="W38" s="2">
        <f t="shared" si="13"/>
        <v>12</v>
      </c>
      <c r="X38" s="2">
        <f t="shared" si="14"/>
        <v>1.465745122176412E-6</v>
      </c>
      <c r="Y38" s="11">
        <f t="shared" si="15"/>
        <v>1047.9388421163355</v>
      </c>
      <c r="Z38" s="27">
        <f t="shared" si="16"/>
        <v>5.9207916715690564E-14</v>
      </c>
      <c r="AA38" s="27">
        <f t="shared" si="17"/>
        <v>35655007446.188858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8">
        <v>310.53960396039605</v>
      </c>
      <c r="L39" s="27">
        <f t="shared" si="7"/>
        <v>3.1053960396039605E-4</v>
      </c>
      <c r="M39" s="29">
        <f t="shared" si="8"/>
        <v>4.7762865441819992E-3</v>
      </c>
      <c r="N39" s="33">
        <f t="shared" si="9"/>
        <v>1.308454822218258E-6</v>
      </c>
      <c r="O39" s="21">
        <f t="shared" si="10"/>
        <v>2.032E-3</v>
      </c>
      <c r="P39" s="21">
        <v>1.1208581181901367E-10</v>
      </c>
      <c r="Q39" s="2">
        <v>0.31</v>
      </c>
      <c r="R39" s="27">
        <f t="shared" si="11"/>
        <v>131000</v>
      </c>
      <c r="S39" s="2">
        <v>5.2493374855265302E-3</v>
      </c>
      <c r="T39" s="11">
        <v>0.06</v>
      </c>
      <c r="U39" s="30">
        <f t="shared" si="12"/>
        <v>106000</v>
      </c>
      <c r="V39" s="30">
        <f t="shared" si="1"/>
        <v>32.91719801980198</v>
      </c>
      <c r="W39" s="2">
        <f t="shared" si="13"/>
        <v>12</v>
      </c>
      <c r="X39" s="2">
        <f t="shared" si="14"/>
        <v>1.4338480395618836E-6</v>
      </c>
      <c r="Y39" s="11">
        <f t="shared" si="15"/>
        <v>1006.8903219774444</v>
      </c>
      <c r="Z39" s="27">
        <f t="shared" si="16"/>
        <v>5.790116323291128E-14</v>
      </c>
      <c r="AA39" s="27">
        <f t="shared" si="17"/>
        <v>34868080498.859177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8">
        <v>310.49009900990103</v>
      </c>
      <c r="L40" s="27">
        <f t="shared" si="7"/>
        <v>3.1049009900990104E-4</v>
      </c>
      <c r="M40" s="29">
        <f t="shared" si="8"/>
        <v>4.7762865441819992E-3</v>
      </c>
      <c r="N40" s="33">
        <f t="shared" si="9"/>
        <v>1.3082462337149792E-6</v>
      </c>
      <c r="O40" s="21">
        <f t="shared" si="10"/>
        <v>2.032E-3</v>
      </c>
      <c r="P40" s="21">
        <v>1.1208581181901367E-10</v>
      </c>
      <c r="Q40" s="2">
        <v>0.31</v>
      </c>
      <c r="R40" s="27">
        <f t="shared" si="11"/>
        <v>131000</v>
      </c>
      <c r="S40" s="2">
        <v>5.2493374855265302E-3</v>
      </c>
      <c r="T40" s="11">
        <v>0.06</v>
      </c>
      <c r="U40" s="30">
        <f t="shared" si="12"/>
        <v>106000</v>
      </c>
      <c r="V40" s="30">
        <f t="shared" si="1"/>
        <v>32.91195049504951</v>
      </c>
      <c r="W40" s="2">
        <f t="shared" si="13"/>
        <v>12</v>
      </c>
      <c r="X40" s="2">
        <f t="shared" si="14"/>
        <v>1.433614224540121E-6</v>
      </c>
      <c r="Y40" s="11">
        <f t="shared" si="15"/>
        <v>1006.5923115802273</v>
      </c>
      <c r="Z40" s="27">
        <f t="shared" si="16"/>
        <v>5.789158867733031E-14</v>
      </c>
      <c r="AA40" s="27">
        <f t="shared" si="17"/>
        <v>34862314701.488312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8">
        <v>308.90594059405942</v>
      </c>
      <c r="L41" s="27">
        <f t="shared" si="7"/>
        <v>3.089059405940594E-4</v>
      </c>
      <c r="M41" s="29">
        <f t="shared" si="8"/>
        <v>4.7762865441819992E-3</v>
      </c>
      <c r="N41" s="33">
        <f t="shared" si="9"/>
        <v>1.301571401610054E-6</v>
      </c>
      <c r="O41" s="21">
        <f t="shared" si="10"/>
        <v>2.032E-3</v>
      </c>
      <c r="P41" s="21">
        <v>1.1208581181901367E-10</v>
      </c>
      <c r="Q41" s="2">
        <v>0.31</v>
      </c>
      <c r="R41" s="27">
        <f t="shared" si="11"/>
        <v>131000</v>
      </c>
      <c r="S41" s="2">
        <v>5.2493374855265302E-3</v>
      </c>
      <c r="T41" s="11">
        <v>0.06</v>
      </c>
      <c r="U41" s="30">
        <f t="shared" si="12"/>
        <v>106000</v>
      </c>
      <c r="V41" s="30">
        <f t="shared" si="1"/>
        <v>32.744029702970295</v>
      </c>
      <c r="W41" s="2">
        <f t="shared" si="13"/>
        <v>12</v>
      </c>
      <c r="X41" s="2">
        <f t="shared" si="14"/>
        <v>1.4261310793212702E-6</v>
      </c>
      <c r="Y41" s="11">
        <f t="shared" si="15"/>
        <v>997.07683021961236</v>
      </c>
      <c r="Z41" s="27">
        <f t="shared" si="16"/>
        <v>5.7585192328165712E-14</v>
      </c>
      <c r="AA41" s="27">
        <f t="shared" si="17"/>
        <v>34677802820.021393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8">
        <v>303.46039603960401</v>
      </c>
      <c r="L42" s="27">
        <f t="shared" si="7"/>
        <v>3.0346039603960402E-4</v>
      </c>
      <c r="M42" s="29">
        <f t="shared" si="8"/>
        <v>4.7762865441819992E-3</v>
      </c>
      <c r="N42" s="33">
        <f t="shared" si="9"/>
        <v>1.2786266662493744E-6</v>
      </c>
      <c r="O42" s="21">
        <f t="shared" si="10"/>
        <v>2.032E-3</v>
      </c>
      <c r="P42" s="21">
        <v>1.1208581181901367E-10</v>
      </c>
      <c r="Q42" s="2">
        <v>0.31</v>
      </c>
      <c r="R42" s="27">
        <f t="shared" si="11"/>
        <v>131000</v>
      </c>
      <c r="S42" s="2">
        <v>5.2493374855265302E-3</v>
      </c>
      <c r="T42" s="11">
        <v>0.06</v>
      </c>
      <c r="U42" s="30">
        <f t="shared" si="12"/>
        <v>106000</v>
      </c>
      <c r="V42" s="30">
        <f t="shared" si="1"/>
        <v>32.166801980198024</v>
      </c>
      <c r="W42" s="2">
        <f t="shared" si="13"/>
        <v>12</v>
      </c>
      <c r="X42" s="2">
        <f t="shared" si="14"/>
        <v>1.4003918393694886E-6</v>
      </c>
      <c r="Y42" s="11">
        <f t="shared" si="15"/>
        <v>964.676146222292</v>
      </c>
      <c r="Z42" s="27">
        <f t="shared" si="16"/>
        <v>5.6531788124693804E-14</v>
      </c>
      <c r="AA42" s="27">
        <f t="shared" si="17"/>
        <v>34043442808.690609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8">
        <v>303.38613861386142</v>
      </c>
      <c r="L43" s="27">
        <f t="shared" si="7"/>
        <v>3.0338613861386144E-4</v>
      </c>
      <c r="M43" s="29">
        <f t="shared" si="8"/>
        <v>4.7762865441819992E-3</v>
      </c>
      <c r="N43" s="33">
        <f t="shared" si="9"/>
        <v>1.2783137834944559E-6</v>
      </c>
      <c r="O43" s="21">
        <f t="shared" si="10"/>
        <v>2.032E-3</v>
      </c>
      <c r="P43" s="21">
        <v>1.1208581181901367E-10</v>
      </c>
      <c r="Q43" s="2">
        <v>0.31</v>
      </c>
      <c r="R43" s="27">
        <f t="shared" si="11"/>
        <v>131000</v>
      </c>
      <c r="S43" s="2">
        <v>5.2493374855265302E-3</v>
      </c>
      <c r="T43" s="11">
        <v>0.06</v>
      </c>
      <c r="U43" s="30">
        <f t="shared" si="12"/>
        <v>106000</v>
      </c>
      <c r="V43" s="30">
        <f t="shared" si="1"/>
        <v>32.158930693069316</v>
      </c>
      <c r="W43" s="2">
        <f t="shared" si="13"/>
        <v>12</v>
      </c>
      <c r="X43" s="2">
        <f t="shared" si="14"/>
        <v>1.4000406771966571E-6</v>
      </c>
      <c r="Y43" s="11">
        <f t="shared" si="15"/>
        <v>964.23762885838482</v>
      </c>
      <c r="Z43" s="27">
        <f t="shared" si="16"/>
        <v>5.6517421623556092E-14</v>
      </c>
      <c r="AA43" s="27">
        <f t="shared" si="17"/>
        <v>34034791301.705479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8">
        <v>308.70792079207922</v>
      </c>
      <c r="L44" s="27">
        <f t="shared" si="7"/>
        <v>3.0870792079207922E-4</v>
      </c>
      <c r="M44" s="29">
        <f t="shared" si="8"/>
        <v>4.7762865441819992E-3</v>
      </c>
      <c r="N44" s="33">
        <f t="shared" si="9"/>
        <v>1.3007370475969385E-6</v>
      </c>
      <c r="O44" s="21">
        <f t="shared" si="10"/>
        <v>2.032E-3</v>
      </c>
      <c r="P44" s="21">
        <v>1.1208581181901367E-10</v>
      </c>
      <c r="Q44" s="2">
        <v>0.31</v>
      </c>
      <c r="R44" s="27">
        <f t="shared" si="11"/>
        <v>131000</v>
      </c>
      <c r="S44" s="2">
        <v>5.2493374855265302E-3</v>
      </c>
      <c r="T44" s="11">
        <v>0.06</v>
      </c>
      <c r="U44" s="30">
        <f t="shared" si="12"/>
        <v>106000</v>
      </c>
      <c r="V44" s="30">
        <f t="shared" si="1"/>
        <v>32.723039603960395</v>
      </c>
      <c r="W44" s="2">
        <f t="shared" si="13"/>
        <v>12</v>
      </c>
      <c r="X44" s="2">
        <f t="shared" si="14"/>
        <v>1.4251955405767734E-6</v>
      </c>
      <c r="Y44" s="11">
        <f t="shared" si="15"/>
        <v>995.89023926105108</v>
      </c>
      <c r="Z44" s="27">
        <f t="shared" si="16"/>
        <v>5.7546891318463958E-14</v>
      </c>
      <c r="AA44" s="27">
        <f t="shared" si="17"/>
        <v>34654737951.978996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8">
        <v>303.23762376237624</v>
      </c>
      <c r="L45" s="27">
        <f t="shared" si="7"/>
        <v>3.0323762376237626E-4</v>
      </c>
      <c r="M45" s="29">
        <f t="shared" si="8"/>
        <v>4.7762865441819992E-3</v>
      </c>
      <c r="N45" s="33">
        <f t="shared" si="9"/>
        <v>1.2776880179846192E-6</v>
      </c>
      <c r="O45" s="21">
        <f t="shared" si="10"/>
        <v>2.032E-3</v>
      </c>
      <c r="P45" s="21">
        <v>1.1208581181901367E-10</v>
      </c>
      <c r="Q45" s="2">
        <v>0.31</v>
      </c>
      <c r="R45" s="27">
        <f t="shared" si="11"/>
        <v>131000</v>
      </c>
      <c r="S45" s="2">
        <v>5.2493374855265302E-3</v>
      </c>
      <c r="T45" s="11">
        <v>0.06</v>
      </c>
      <c r="U45" s="30">
        <f t="shared" si="12"/>
        <v>106000</v>
      </c>
      <c r="V45" s="30">
        <f t="shared" si="1"/>
        <v>32.143188118811885</v>
      </c>
      <c r="W45" s="2">
        <f t="shared" si="13"/>
        <v>12</v>
      </c>
      <c r="X45" s="2">
        <f t="shared" si="14"/>
        <v>1.399338338794388E-6</v>
      </c>
      <c r="Y45" s="11">
        <f t="shared" si="15"/>
        <v>963.36086156896715</v>
      </c>
      <c r="Z45" s="27">
        <f t="shared" si="16"/>
        <v>5.6488688460703891E-14</v>
      </c>
      <c r="AA45" s="27">
        <f t="shared" si="17"/>
        <v>34017488191.035885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8">
        <v>307.02475247524757</v>
      </c>
      <c r="L46" s="27">
        <f t="shared" si="7"/>
        <v>3.0702475247524756E-4</v>
      </c>
      <c r="M46" s="29">
        <f t="shared" si="8"/>
        <v>4.7762865441819992E-3</v>
      </c>
      <c r="N46" s="33">
        <f t="shared" si="9"/>
        <v>1.2936450384854556E-6</v>
      </c>
      <c r="O46" s="21">
        <f t="shared" si="10"/>
        <v>2.032E-3</v>
      </c>
      <c r="P46" s="21">
        <v>1.1208581181901367E-10</v>
      </c>
      <c r="Q46" s="2">
        <v>0.31</v>
      </c>
      <c r="R46" s="27">
        <f t="shared" si="11"/>
        <v>131000</v>
      </c>
      <c r="S46" s="2">
        <v>5.2493374855265302E-3</v>
      </c>
      <c r="T46" s="11">
        <v>0.06</v>
      </c>
      <c r="U46" s="30">
        <f t="shared" si="12"/>
        <v>106000</v>
      </c>
      <c r="V46" s="30">
        <f t="shared" si="1"/>
        <v>32.54462376237624</v>
      </c>
      <c r="W46" s="2">
        <f t="shared" si="13"/>
        <v>12</v>
      </c>
      <c r="X46" s="2">
        <f t="shared" si="14"/>
        <v>1.4172421476125851E-6</v>
      </c>
      <c r="Y46" s="11">
        <f t="shared" si="15"/>
        <v>985.82974943059116</v>
      </c>
      <c r="Z46" s="27">
        <f t="shared" si="16"/>
        <v>5.7221319162310962E-14</v>
      </c>
      <c r="AA46" s="27">
        <f t="shared" si="17"/>
        <v>34458678399.543663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8">
        <v>309.79702970297035</v>
      </c>
      <c r="L47" s="27">
        <f t="shared" si="7"/>
        <v>3.0979702970297034E-4</v>
      </c>
      <c r="M47" s="29">
        <f t="shared" si="8"/>
        <v>4.7762865441819992E-3</v>
      </c>
      <c r="N47" s="33">
        <f t="shared" si="9"/>
        <v>1.3053259946690746E-6</v>
      </c>
      <c r="O47" s="21">
        <f t="shared" si="10"/>
        <v>2.032E-3</v>
      </c>
      <c r="P47" s="21">
        <v>1.1208581181901367E-10</v>
      </c>
      <c r="Q47" s="2">
        <v>0.31</v>
      </c>
      <c r="R47" s="27">
        <f t="shared" si="11"/>
        <v>131000</v>
      </c>
      <c r="S47" s="2">
        <v>5.2493374855265302E-3</v>
      </c>
      <c r="T47" s="11">
        <v>0.06</v>
      </c>
      <c r="U47" s="30">
        <f t="shared" si="12"/>
        <v>106000</v>
      </c>
      <c r="V47" s="30">
        <f t="shared" si="1"/>
        <v>32.838485148514856</v>
      </c>
      <c r="W47" s="2">
        <f t="shared" si="13"/>
        <v>12</v>
      </c>
      <c r="X47" s="2">
        <f t="shared" si="14"/>
        <v>1.4303406028450295E-6</v>
      </c>
      <c r="Y47" s="11">
        <f t="shared" si="15"/>
        <v>1002.4243119955059</v>
      </c>
      <c r="Z47" s="27">
        <f t="shared" si="16"/>
        <v>5.7757542814530034E-14</v>
      </c>
      <c r="AA47" s="27">
        <f t="shared" si="17"/>
        <v>34781592282.909988</v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8">
        <v>290.81188118811883</v>
      </c>
      <c r="L48" s="27">
        <f t="shared" si="7"/>
        <v>2.9081188118811882E-4</v>
      </c>
      <c r="M48" s="29">
        <f t="shared" si="8"/>
        <v>4.7762865441819992E-3</v>
      </c>
      <c r="N48" s="33">
        <f t="shared" si="9"/>
        <v>1.2253323036616133E-6</v>
      </c>
      <c r="O48" s="21">
        <f t="shared" si="10"/>
        <v>2.032E-3</v>
      </c>
      <c r="P48" s="21">
        <v>1.1208581181901367E-10</v>
      </c>
      <c r="Q48" s="2">
        <v>0.31</v>
      </c>
      <c r="R48" s="27">
        <f t="shared" si="11"/>
        <v>131000</v>
      </c>
      <c r="S48" s="2">
        <v>5.2493374855265302E-3</v>
      </c>
      <c r="T48" s="11">
        <v>0.06</v>
      </c>
      <c r="U48" s="30">
        <f t="shared" si="12"/>
        <v>106000</v>
      </c>
      <c r="V48" s="30">
        <f t="shared" si="1"/>
        <v>30.826059405940594</v>
      </c>
      <c r="W48" s="2">
        <f t="shared" si="13"/>
        <v>12</v>
      </c>
      <c r="X48" s="2">
        <f t="shared" si="14"/>
        <v>1.3405082224748813E-6</v>
      </c>
      <c r="Y48" s="11">
        <f t="shared" si="15"/>
        <v>891.2703670099387</v>
      </c>
      <c r="Z48" s="27">
        <f t="shared" si="16"/>
        <v>5.4083842657931103E-14</v>
      </c>
      <c r="AA48" s="27">
        <f t="shared" si="17"/>
        <v>32569290048.60611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8">
        <v>305.96039603960401</v>
      </c>
      <c r="L49" s="27">
        <f t="shared" si="7"/>
        <v>3.0596039603960403E-4</v>
      </c>
      <c r="M49" s="29">
        <f t="shared" si="8"/>
        <v>4.7762865441819992E-3</v>
      </c>
      <c r="N49" s="33">
        <f t="shared" si="9"/>
        <v>1.2891603856649592E-6</v>
      </c>
      <c r="O49" s="21">
        <f t="shared" si="10"/>
        <v>2.032E-3</v>
      </c>
      <c r="P49" s="21">
        <v>1.1208581181901367E-10</v>
      </c>
      <c r="Q49" s="2">
        <v>0.31</v>
      </c>
      <c r="R49" s="27">
        <f t="shared" si="11"/>
        <v>131000</v>
      </c>
      <c r="S49" s="2">
        <v>5.2493374855265302E-3</v>
      </c>
      <c r="T49" s="11">
        <v>0.06</v>
      </c>
      <c r="U49" s="30">
        <f t="shared" si="12"/>
        <v>106000</v>
      </c>
      <c r="V49" s="30">
        <f t="shared" si="1"/>
        <v>32.431801980198024</v>
      </c>
      <c r="W49" s="2">
        <f t="shared" si="13"/>
        <v>12</v>
      </c>
      <c r="X49" s="2">
        <f t="shared" si="14"/>
        <v>1.4122115771230986E-6</v>
      </c>
      <c r="Y49" s="11">
        <f t="shared" si="15"/>
        <v>979.49156224202272</v>
      </c>
      <c r="Z49" s="27">
        <f t="shared" si="16"/>
        <v>5.7015429783798894E-14</v>
      </c>
      <c r="AA49" s="27">
        <f t="shared" si="17"/>
        <v>34334691815.803696</v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8">
        <v>296.75247524752479</v>
      </c>
      <c r="L50" s="27">
        <f t="shared" si="7"/>
        <v>2.9675247524752477E-4</v>
      </c>
      <c r="M50" s="29">
        <f t="shared" si="8"/>
        <v>4.7762865441819992E-3</v>
      </c>
      <c r="N50" s="33">
        <f t="shared" si="9"/>
        <v>1.2503629240550822E-6</v>
      </c>
      <c r="O50" s="21">
        <f t="shared" si="10"/>
        <v>2.032E-3</v>
      </c>
      <c r="P50" s="21">
        <v>1.1208581181901367E-10</v>
      </c>
      <c r="Q50" s="2">
        <v>0.31</v>
      </c>
      <c r="R50" s="27">
        <f t="shared" si="11"/>
        <v>131000</v>
      </c>
      <c r="S50" s="2">
        <v>5.2493374855265302E-3</v>
      </c>
      <c r="T50" s="11">
        <v>0.06</v>
      </c>
      <c r="U50" s="30">
        <f t="shared" si="12"/>
        <v>106000</v>
      </c>
      <c r="V50" s="30">
        <f t="shared" si="1"/>
        <v>31.455762376237626</v>
      </c>
      <c r="W50" s="2">
        <f t="shared" si="13"/>
        <v>12</v>
      </c>
      <c r="X50" s="2">
        <f t="shared" si="14"/>
        <v>1.3686510792693374E-6</v>
      </c>
      <c r="Y50" s="11">
        <f t="shared" si="15"/>
        <v>925.42349959290391</v>
      </c>
      <c r="Z50" s="27">
        <f t="shared" si="16"/>
        <v>5.5233786711520757E-14</v>
      </c>
      <c r="AA50" s="27">
        <f t="shared" si="17"/>
        <v>33261786357.677799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8">
        <v>300.11881188118815</v>
      </c>
      <c r="L51" s="27">
        <f t="shared" si="7"/>
        <v>3.0011881188118814E-4</v>
      </c>
      <c r="M51" s="29">
        <f t="shared" si="8"/>
        <v>4.7762865441819992E-3</v>
      </c>
      <c r="N51" s="33">
        <f t="shared" si="9"/>
        <v>1.264546942278048E-6</v>
      </c>
      <c r="O51" s="21">
        <f t="shared" si="10"/>
        <v>2.032E-3</v>
      </c>
      <c r="P51" s="21">
        <v>1.1208581181901367E-10</v>
      </c>
      <c r="Q51" s="2">
        <v>0.31</v>
      </c>
      <c r="R51" s="27">
        <f t="shared" si="11"/>
        <v>131000</v>
      </c>
      <c r="S51" s="2">
        <v>5.2493374855265302E-3</v>
      </c>
      <c r="T51" s="11">
        <v>0.06</v>
      </c>
      <c r="U51" s="30">
        <f t="shared" si="12"/>
        <v>106000</v>
      </c>
      <c r="V51" s="30">
        <f t="shared" si="1"/>
        <v>31.812594059405942</v>
      </c>
      <c r="W51" s="2">
        <f t="shared" si="13"/>
        <v>12</v>
      </c>
      <c r="X51" s="2">
        <f t="shared" si="14"/>
        <v>1.3845848789067115E-6</v>
      </c>
      <c r="Y51" s="11">
        <f t="shared" si="15"/>
        <v>945.03116577732226</v>
      </c>
      <c r="Z51" s="27">
        <f t="shared" si="16"/>
        <v>5.5885241232134073E-14</v>
      </c>
      <c r="AA51" s="27">
        <f t="shared" si="17"/>
        <v>33654092269.991138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 spans="1:78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8">
        <v>296.95049504950498</v>
      </c>
      <c r="L52" s="27">
        <f t="shared" si="7"/>
        <v>2.9695049504950501E-4</v>
      </c>
      <c r="M52" s="29">
        <f t="shared" si="8"/>
        <v>4.7762865441819992E-3</v>
      </c>
      <c r="N52" s="33">
        <f t="shared" si="9"/>
        <v>1.2511972780681981E-6</v>
      </c>
      <c r="O52" s="21">
        <f t="shared" si="10"/>
        <v>2.032E-3</v>
      </c>
      <c r="P52" s="21">
        <v>1.1208581181901367E-10</v>
      </c>
      <c r="Q52" s="2">
        <v>0.31</v>
      </c>
      <c r="R52" s="27">
        <f t="shared" si="11"/>
        <v>131000</v>
      </c>
      <c r="S52" s="2">
        <v>5.2493374855265302E-3</v>
      </c>
      <c r="T52" s="11">
        <v>0.06</v>
      </c>
      <c r="U52" s="30">
        <f t="shared" si="12"/>
        <v>106000</v>
      </c>
      <c r="V52" s="30">
        <f t="shared" si="1"/>
        <v>31.47675247524753</v>
      </c>
      <c r="W52" s="2">
        <f t="shared" si="13"/>
        <v>12</v>
      </c>
      <c r="X52" s="2">
        <f t="shared" si="14"/>
        <v>1.3695886354668966E-6</v>
      </c>
      <c r="Y52" s="11">
        <f t="shared" si="15"/>
        <v>926.57180628798869</v>
      </c>
      <c r="Z52" s="27">
        <f t="shared" si="16"/>
        <v>5.5272111020251106E-14</v>
      </c>
      <c r="AA52" s="27">
        <f t="shared" si="17"/>
        <v>33284865256.395218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8">
        <v>297.71782178217825</v>
      </c>
      <c r="L53" s="27">
        <f t="shared" si="7"/>
        <v>2.9771782178217825E-4</v>
      </c>
      <c r="M53" s="29">
        <f t="shared" si="8"/>
        <v>4.7762865441819992E-3</v>
      </c>
      <c r="N53" s="33">
        <f t="shared" si="9"/>
        <v>1.2544303998690211E-6</v>
      </c>
      <c r="O53" s="21">
        <f t="shared" si="10"/>
        <v>2.032E-3</v>
      </c>
      <c r="P53" s="21">
        <v>1.1208581181901367E-10</v>
      </c>
      <c r="Q53" s="2">
        <v>0.31</v>
      </c>
      <c r="R53" s="27">
        <f t="shared" si="11"/>
        <v>131000</v>
      </c>
      <c r="S53" s="2">
        <v>5.2493374855265302E-3</v>
      </c>
      <c r="T53" s="11">
        <v>0.06</v>
      </c>
      <c r="U53" s="30">
        <f t="shared" si="12"/>
        <v>106000</v>
      </c>
      <c r="V53" s="30">
        <f t="shared" si="1"/>
        <v>31.558089108910895</v>
      </c>
      <c r="W53" s="2">
        <f t="shared" si="13"/>
        <v>12</v>
      </c>
      <c r="X53" s="2">
        <f t="shared" si="14"/>
        <v>1.3732213410852865E-6</v>
      </c>
      <c r="Y53" s="11">
        <f t="shared" si="15"/>
        <v>931.02750139810644</v>
      </c>
      <c r="Z53" s="27">
        <f t="shared" si="16"/>
        <v>5.5420613565325823E-14</v>
      </c>
      <c r="AA53" s="27">
        <f t="shared" si="17"/>
        <v>33374293489.039211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8">
        <v>291.85148514851488</v>
      </c>
      <c r="L54" s="27">
        <f t="shared" si="7"/>
        <v>2.9185148514851488E-4</v>
      </c>
      <c r="M54" s="29">
        <f t="shared" si="8"/>
        <v>4.7762865441819992E-3</v>
      </c>
      <c r="N54" s="33">
        <f t="shared" si="9"/>
        <v>1.2297126622304705E-6</v>
      </c>
      <c r="O54" s="21">
        <f t="shared" si="10"/>
        <v>2.032E-3</v>
      </c>
      <c r="P54" s="21">
        <v>1.1208581181901367E-10</v>
      </c>
      <c r="Q54" s="2">
        <v>0.31</v>
      </c>
      <c r="R54" s="27">
        <f t="shared" si="11"/>
        <v>131000</v>
      </c>
      <c r="S54" s="2">
        <v>5.2493374855265302E-3</v>
      </c>
      <c r="T54" s="11">
        <v>0.06</v>
      </c>
      <c r="U54" s="30">
        <f t="shared" si="12"/>
        <v>106000</v>
      </c>
      <c r="V54" s="30">
        <f t="shared" si="1"/>
        <v>30.936257425742578</v>
      </c>
      <c r="W54" s="2">
        <f t="shared" si="13"/>
        <v>12</v>
      </c>
      <c r="X54" s="2">
        <f t="shared" si="14"/>
        <v>1.3454355014329118E-6</v>
      </c>
      <c r="Y54" s="11">
        <f t="shared" si="15"/>
        <v>897.20576225430432</v>
      </c>
      <c r="Z54" s="27">
        <f t="shared" si="16"/>
        <v>5.4285113962455835E-14</v>
      </c>
      <c r="AA54" s="27">
        <f t="shared" si="17"/>
        <v>32690495628.190907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8">
        <v>303.38613861386142</v>
      </c>
      <c r="L55" s="27">
        <f t="shared" si="7"/>
        <v>3.0338613861386144E-4</v>
      </c>
      <c r="M55" s="29">
        <f t="shared" si="8"/>
        <v>4.7762865441819992E-3</v>
      </c>
      <c r="N55" s="33">
        <f t="shared" si="9"/>
        <v>1.2783137834944559E-6</v>
      </c>
      <c r="O55" s="21">
        <f t="shared" si="10"/>
        <v>2.032E-3</v>
      </c>
      <c r="P55" s="21">
        <v>1.1208581181901367E-10</v>
      </c>
      <c r="Q55" s="2">
        <v>0.31</v>
      </c>
      <c r="R55" s="27">
        <f t="shared" si="11"/>
        <v>131000</v>
      </c>
      <c r="S55" s="2">
        <v>5.2493374855265302E-3</v>
      </c>
      <c r="T55" s="11">
        <v>0.06</v>
      </c>
      <c r="U55" s="30">
        <f t="shared" si="12"/>
        <v>106000</v>
      </c>
      <c r="V55" s="30">
        <f t="shared" si="1"/>
        <v>32.158930693069316</v>
      </c>
      <c r="W55" s="2">
        <f t="shared" si="13"/>
        <v>12</v>
      </c>
      <c r="X55" s="2">
        <f t="shared" si="14"/>
        <v>1.4000406771966571E-6</v>
      </c>
      <c r="Y55" s="11">
        <f t="shared" si="15"/>
        <v>964.23762885838482</v>
      </c>
      <c r="Z55" s="27">
        <f t="shared" si="16"/>
        <v>5.6517421623556092E-14</v>
      </c>
      <c r="AA55" s="27">
        <f t="shared" si="17"/>
        <v>34034791301.705479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8">
        <v>293.88118811881191</v>
      </c>
      <c r="L56" s="27">
        <f t="shared" si="7"/>
        <v>2.9388118811881188E-4</v>
      </c>
      <c r="M56" s="29">
        <f t="shared" si="8"/>
        <v>4.7762865441819992E-3</v>
      </c>
      <c r="N56" s="33">
        <f t="shared" si="9"/>
        <v>1.2382647908649056E-6</v>
      </c>
      <c r="O56" s="21">
        <f t="shared" si="10"/>
        <v>2.032E-3</v>
      </c>
      <c r="P56" s="21">
        <v>1.1208581181901367E-10</v>
      </c>
      <c r="Q56" s="2">
        <v>0.31</v>
      </c>
      <c r="R56" s="27">
        <f t="shared" si="11"/>
        <v>131000</v>
      </c>
      <c r="S56" s="2">
        <v>5.2493374855265302E-3</v>
      </c>
      <c r="T56" s="11">
        <v>0.06</v>
      </c>
      <c r="U56" s="30">
        <f t="shared" si="12"/>
        <v>106000</v>
      </c>
      <c r="V56" s="30">
        <f t="shared" si="1"/>
        <v>31.15140594059406</v>
      </c>
      <c r="W56" s="2">
        <f t="shared" si="13"/>
        <v>12</v>
      </c>
      <c r="X56" s="2">
        <f t="shared" si="14"/>
        <v>1.3550526268279608E-6</v>
      </c>
      <c r="Y56" s="11">
        <f t="shared" si="15"/>
        <v>908.84456396517396</v>
      </c>
      <c r="Z56" s="27">
        <f t="shared" si="16"/>
        <v>5.4678033452986721E-14</v>
      </c>
      <c r="AA56" s="27">
        <f t="shared" si="17"/>
        <v>32927111745.388603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8">
        <v>288.95544554455449</v>
      </c>
      <c r="L57" s="27">
        <f t="shared" si="7"/>
        <v>2.8895544554455451E-4</v>
      </c>
      <c r="M57" s="29">
        <f t="shared" si="8"/>
        <v>4.7762865441819992E-3</v>
      </c>
      <c r="N57" s="33">
        <f t="shared" si="9"/>
        <v>1.2175102347886546E-6</v>
      </c>
      <c r="O57" s="21">
        <f t="shared" si="10"/>
        <v>2.032E-3</v>
      </c>
      <c r="P57" s="21">
        <v>1.1208581181901367E-10</v>
      </c>
      <c r="Q57" s="2">
        <v>0.31</v>
      </c>
      <c r="R57" s="27">
        <f t="shared" si="11"/>
        <v>131000</v>
      </c>
      <c r="S57" s="2">
        <v>5.2493374855265302E-3</v>
      </c>
      <c r="T57" s="11">
        <v>0.06</v>
      </c>
      <c r="U57" s="30">
        <f t="shared" si="12"/>
        <v>106000</v>
      </c>
      <c r="V57" s="30">
        <f t="shared" si="1"/>
        <v>30.629277227722778</v>
      </c>
      <c r="W57" s="2">
        <f t="shared" si="13"/>
        <v>12</v>
      </c>
      <c r="X57" s="2">
        <f t="shared" si="14"/>
        <v>1.3317070729701336E-6</v>
      </c>
      <c r="Y57" s="11">
        <f t="shared" si="15"/>
        <v>880.71519543327815</v>
      </c>
      <c r="Z57" s="27">
        <f t="shared" si="16"/>
        <v>5.3724395030163833E-14</v>
      </c>
      <c r="AA57" s="27">
        <f t="shared" si="17"/>
        <v>32352830687.164661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8">
        <v>280.11881188118815</v>
      </c>
      <c r="L58" s="27">
        <f t="shared" si="7"/>
        <v>2.8011881188118814E-4</v>
      </c>
      <c r="M58" s="29">
        <f t="shared" si="8"/>
        <v>4.7762865441819992E-3</v>
      </c>
      <c r="N58" s="33">
        <f t="shared" si="9"/>
        <v>1.1802771869533695E-6</v>
      </c>
      <c r="O58" s="21">
        <f t="shared" si="10"/>
        <v>2.032E-3</v>
      </c>
      <c r="P58" s="21">
        <v>1.1208581181901367E-10</v>
      </c>
      <c r="Q58" s="2">
        <v>0.31</v>
      </c>
      <c r="R58" s="27">
        <f t="shared" si="11"/>
        <v>131000</v>
      </c>
      <c r="S58" s="2">
        <v>5.2493374855265302E-3</v>
      </c>
      <c r="T58" s="11">
        <v>0.06</v>
      </c>
      <c r="U58" s="30">
        <f t="shared" si="12"/>
        <v>106000</v>
      </c>
      <c r="V58" s="30">
        <f t="shared" si="1"/>
        <v>29.692594059405941</v>
      </c>
      <c r="W58" s="2">
        <f t="shared" si="13"/>
        <v>12</v>
      </c>
      <c r="X58" s="2">
        <f t="shared" si="14"/>
        <v>1.2897698839835643E-6</v>
      </c>
      <c r="Y58" s="11">
        <f t="shared" si="15"/>
        <v>831.24310863295284</v>
      </c>
      <c r="Z58" s="27">
        <f t="shared" si="16"/>
        <v>5.2012768358450473E-14</v>
      </c>
      <c r="AA58" s="27">
        <f t="shared" si="17"/>
        <v>31322089105.458878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8">
        <v>293.26237623762381</v>
      </c>
      <c r="L59" s="27">
        <f t="shared" si="7"/>
        <v>2.9326237623762382E-4</v>
      </c>
      <c r="M59" s="29">
        <f t="shared" si="8"/>
        <v>4.7762865441819992E-3</v>
      </c>
      <c r="N59" s="33">
        <f t="shared" si="9"/>
        <v>1.2356574345739195E-6</v>
      </c>
      <c r="O59" s="21">
        <f t="shared" si="10"/>
        <v>2.032E-3</v>
      </c>
      <c r="P59" s="21">
        <v>1.1208581181901367E-10</v>
      </c>
      <c r="Q59" s="2">
        <v>0.31</v>
      </c>
      <c r="R59" s="27">
        <f t="shared" si="11"/>
        <v>131000</v>
      </c>
      <c r="S59" s="2">
        <v>5.2493374855265302E-3</v>
      </c>
      <c r="T59" s="11">
        <v>0.06</v>
      </c>
      <c r="U59" s="30">
        <f t="shared" si="12"/>
        <v>106000</v>
      </c>
      <c r="V59" s="30">
        <f t="shared" si="1"/>
        <v>31.085811881188125</v>
      </c>
      <c r="W59" s="2">
        <f t="shared" si="13"/>
        <v>12</v>
      </c>
      <c r="X59" s="2">
        <f t="shared" si="14"/>
        <v>1.3521209671949142E-6</v>
      </c>
      <c r="Y59" s="11">
        <f t="shared" si="15"/>
        <v>905.28905363663512</v>
      </c>
      <c r="Z59" s="27">
        <f t="shared" si="16"/>
        <v>5.4558246268666306E-14</v>
      </c>
      <c r="AA59" s="27">
        <f t="shared" si="17"/>
        <v>32854975902.990852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8">
        <v>294.72277227722776</v>
      </c>
      <c r="L60" s="27">
        <f t="shared" si="7"/>
        <v>2.9472277227722776E-4</v>
      </c>
      <c r="M60" s="29">
        <f t="shared" si="8"/>
        <v>4.7762865441819992E-3</v>
      </c>
      <c r="N60" s="33">
        <f t="shared" si="9"/>
        <v>1.2418107954206471E-6</v>
      </c>
      <c r="O60" s="21">
        <f t="shared" si="10"/>
        <v>2.032E-3</v>
      </c>
      <c r="P60" s="21">
        <v>1.1208581181901367E-10</v>
      </c>
      <c r="Q60" s="2">
        <v>0.31</v>
      </c>
      <c r="R60" s="27">
        <f t="shared" si="11"/>
        <v>131000</v>
      </c>
      <c r="S60" s="2">
        <v>5.2493374855265302E-3</v>
      </c>
      <c r="T60" s="11">
        <v>0.06</v>
      </c>
      <c r="U60" s="30">
        <f t="shared" si="12"/>
        <v>106000</v>
      </c>
      <c r="V60" s="30">
        <f t="shared" si="1"/>
        <v>31.240613861386144</v>
      </c>
      <c r="W60" s="2">
        <f t="shared" si="13"/>
        <v>12</v>
      </c>
      <c r="X60" s="2">
        <f t="shared" si="14"/>
        <v>1.3590391364887356E-6</v>
      </c>
      <c r="Y60" s="11">
        <f t="shared" si="15"/>
        <v>913.6900409838496</v>
      </c>
      <c r="Z60" s="27">
        <f t="shared" si="16"/>
        <v>5.4840936649794426E-14</v>
      </c>
      <c r="AA60" s="27">
        <f t="shared" si="17"/>
        <v>33025212050.506207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8">
        <v>282.56930693069307</v>
      </c>
      <c r="L61" s="27">
        <f t="shared" si="7"/>
        <v>2.8256930693069309E-4</v>
      </c>
      <c r="M61" s="29">
        <f t="shared" si="8"/>
        <v>4.7762865441819992E-3</v>
      </c>
      <c r="N61" s="33">
        <f t="shared" si="9"/>
        <v>1.1906023178656754E-6</v>
      </c>
      <c r="O61" s="21">
        <f t="shared" si="10"/>
        <v>2.032E-3</v>
      </c>
      <c r="P61" s="21">
        <v>1.1208581181901367E-10</v>
      </c>
      <c r="Q61" s="2">
        <v>0.31</v>
      </c>
      <c r="R61" s="27">
        <f t="shared" si="11"/>
        <v>131000</v>
      </c>
      <c r="S61" s="2">
        <v>5.2493374855265302E-3</v>
      </c>
      <c r="T61" s="11">
        <v>0.06</v>
      </c>
      <c r="U61" s="30">
        <f t="shared" si="12"/>
        <v>106000</v>
      </c>
      <c r="V61" s="30">
        <f t="shared" si="1"/>
        <v>29.952346534653469</v>
      </c>
      <c r="W61" s="2">
        <f t="shared" si="13"/>
        <v>12</v>
      </c>
      <c r="X61" s="2">
        <f t="shared" si="14"/>
        <v>1.3014068699699154E-6</v>
      </c>
      <c r="Y61" s="11">
        <f t="shared" si="15"/>
        <v>844.83445393464388</v>
      </c>
      <c r="Z61" s="27">
        <f t="shared" si="16"/>
        <v>5.2487535456569879E-14</v>
      </c>
      <c r="AA61" s="27">
        <f t="shared" si="17"/>
        <v>31607993851.946384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8">
        <v>286.23267326732673</v>
      </c>
      <c r="L62" s="27">
        <f t="shared" si="7"/>
        <v>2.8623267326732674E-4</v>
      </c>
      <c r="M62" s="29">
        <f t="shared" si="8"/>
        <v>4.7762865441819992E-3</v>
      </c>
      <c r="N62" s="33">
        <f t="shared" si="9"/>
        <v>1.2060378671083143E-6</v>
      </c>
      <c r="O62" s="21">
        <f t="shared" si="10"/>
        <v>2.032E-3</v>
      </c>
      <c r="P62" s="21">
        <v>1.1208581181901367E-10</v>
      </c>
      <c r="Q62" s="2">
        <v>0.31</v>
      </c>
      <c r="R62" s="27">
        <f t="shared" si="11"/>
        <v>131000</v>
      </c>
      <c r="S62" s="2">
        <v>5.2493374855265302E-3</v>
      </c>
      <c r="T62" s="11">
        <v>0.06</v>
      </c>
      <c r="U62" s="30">
        <f t="shared" si="12"/>
        <v>106000</v>
      </c>
      <c r="V62" s="30">
        <f t="shared" si="1"/>
        <v>30.340663366336635</v>
      </c>
      <c r="W62" s="2">
        <f t="shared" si="13"/>
        <v>12</v>
      </c>
      <c r="X62" s="2">
        <f t="shared" si="14"/>
        <v>1.3187930133975369E-6</v>
      </c>
      <c r="Y62" s="11">
        <f t="shared" si="15"/>
        <v>865.33583606412276</v>
      </c>
      <c r="Z62" s="27">
        <f t="shared" si="16"/>
        <v>5.3197121960965487E-14</v>
      </c>
      <c r="AA62" s="27">
        <f t="shared" si="17"/>
        <v>32035306844.893417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s="4" customFormat="1" x14ac:dyDescent="0.25">
      <c r="A63" s="26">
        <v>183</v>
      </c>
      <c r="B63" s="26">
        <f t="shared" ref="B63:B126" si="18">(A63/60)</f>
        <v>3.05</v>
      </c>
      <c r="C63" s="26">
        <v>20</v>
      </c>
      <c r="D63" s="26">
        <f t="shared" ref="D63:D126" si="19">(C63*1.4573)</f>
        <v>29.146000000000001</v>
      </c>
      <c r="E63" s="26">
        <f t="shared" ref="E63:E126" si="20">(D63/(1000000*60))</f>
        <v>4.8576666666666667E-7</v>
      </c>
      <c r="F63" s="26">
        <v>21.1</v>
      </c>
      <c r="G63" s="26">
        <f t="shared" ref="G63:G126" si="21">(273+F63)</f>
        <v>294.10000000000002</v>
      </c>
      <c r="H63" s="26">
        <v>101.3</v>
      </c>
      <c r="I63" s="26">
        <f t="shared" ref="I63:I126" si="22">(H63*1000)</f>
        <v>101300</v>
      </c>
      <c r="J63" s="26">
        <f t="shared" ref="J63:J126" si="23">((I63*E63)/(8.314*G63))</f>
        <v>2.0124824921938581E-5</v>
      </c>
      <c r="K63" s="28">
        <v>283.26237623762381</v>
      </c>
      <c r="L63" s="27">
        <f t="shared" ref="L63:L126" si="24">(K63/1000000)</f>
        <v>2.8326237623762379E-4</v>
      </c>
      <c r="M63" s="29">
        <f t="shared" si="8"/>
        <v>4.7762865441819992E-3</v>
      </c>
      <c r="N63" s="33">
        <f t="shared" ref="N63:N126" si="25">(L63*J63)/M63</f>
        <v>1.19352255691158E-6</v>
      </c>
      <c r="O63" s="21">
        <f t="shared" si="10"/>
        <v>2.032E-3</v>
      </c>
      <c r="P63" s="21">
        <v>1.1208581181901367E-10</v>
      </c>
      <c r="Q63" s="2">
        <v>0.31</v>
      </c>
      <c r="R63" s="27">
        <f t="shared" ref="R63:R126" si="26">(1+Q63)*100000*1</f>
        <v>131000</v>
      </c>
      <c r="S63" s="2">
        <v>5.2493374855265302E-3</v>
      </c>
      <c r="T63" s="11">
        <v>0.06</v>
      </c>
      <c r="U63" s="30">
        <f t="shared" ref="U63:U126" si="27">(1+T63)*100000</f>
        <v>106000</v>
      </c>
      <c r="V63" s="30">
        <f t="shared" ref="V63:V126" si="28">(L63*U63)</f>
        <v>30.025811881188122</v>
      </c>
      <c r="W63" s="2">
        <f t="shared" si="13"/>
        <v>12</v>
      </c>
      <c r="X63" s="2">
        <f t="shared" ref="X63:X126" si="29">(N63+((P63/O63)*(SQRT(V63)-SQRT(W63))))</f>
        <v>1.3046971058343285E-6</v>
      </c>
      <c r="Y63" s="11">
        <f t="shared" ref="Y63:Y126" si="30">((X63*O63/P63) + SQRT(V63))^2</f>
        <v>848.69628270508781</v>
      </c>
      <c r="Z63" s="27">
        <f t="shared" ref="Z63:Z126" si="31">(X63*S63)/(R63-Y63)</f>
        <v>5.2621796549887541E-14</v>
      </c>
      <c r="AA63" s="27">
        <f t="shared" ref="AA63:AA126" si="32">(Z63*6.022E+23)</f>
        <v>31688845882.342278</v>
      </c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s="4" customFormat="1" x14ac:dyDescent="0.25">
      <c r="A64" s="26">
        <v>186</v>
      </c>
      <c r="B64" s="26">
        <f t="shared" si="18"/>
        <v>3.1</v>
      </c>
      <c r="C64" s="26">
        <v>20</v>
      </c>
      <c r="D64" s="26">
        <f t="shared" si="19"/>
        <v>29.146000000000001</v>
      </c>
      <c r="E64" s="26">
        <f t="shared" si="20"/>
        <v>4.8576666666666667E-7</v>
      </c>
      <c r="F64" s="26">
        <v>21.1</v>
      </c>
      <c r="G64" s="26">
        <f t="shared" si="21"/>
        <v>294.10000000000002</v>
      </c>
      <c r="H64" s="26">
        <v>101.3</v>
      </c>
      <c r="I64" s="26">
        <f t="shared" si="22"/>
        <v>101300</v>
      </c>
      <c r="J64" s="26">
        <f t="shared" si="23"/>
        <v>2.0124824921938581E-5</v>
      </c>
      <c r="K64" s="28">
        <v>295.66336633663371</v>
      </c>
      <c r="L64" s="27">
        <f t="shared" si="24"/>
        <v>2.9566336633663371E-4</v>
      </c>
      <c r="M64" s="29">
        <f t="shared" si="8"/>
        <v>4.7762865441819992E-3</v>
      </c>
      <c r="N64" s="33">
        <f t="shared" si="25"/>
        <v>1.2457739769829464E-6</v>
      </c>
      <c r="O64" s="21">
        <f t="shared" si="10"/>
        <v>2.032E-3</v>
      </c>
      <c r="P64" s="21">
        <v>1.1208581181901367E-10</v>
      </c>
      <c r="Q64" s="2">
        <v>0.31</v>
      </c>
      <c r="R64" s="27">
        <f t="shared" si="26"/>
        <v>131000</v>
      </c>
      <c r="S64" s="2">
        <v>5.2493374855265302E-3</v>
      </c>
      <c r="T64" s="11">
        <v>0.06</v>
      </c>
      <c r="U64" s="30">
        <f t="shared" si="27"/>
        <v>106000</v>
      </c>
      <c r="V64" s="30">
        <f t="shared" si="28"/>
        <v>31.340316831683172</v>
      </c>
      <c r="W64" s="2">
        <f t="shared" si="13"/>
        <v>12</v>
      </c>
      <c r="X64" s="2">
        <f t="shared" si="29"/>
        <v>1.3634939036661732E-6</v>
      </c>
      <c r="Y64" s="11">
        <f t="shared" si="30"/>
        <v>919.11918426274917</v>
      </c>
      <c r="Z64" s="27">
        <f t="shared" si="31"/>
        <v>5.5022995039066739E-14</v>
      </c>
      <c r="AA64" s="27">
        <f t="shared" si="32"/>
        <v>33134847612.525993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s="4" customFormat="1" x14ac:dyDescent="0.25">
      <c r="A65" s="26">
        <v>189</v>
      </c>
      <c r="B65" s="26">
        <f t="shared" si="18"/>
        <v>3.15</v>
      </c>
      <c r="C65" s="26">
        <v>20</v>
      </c>
      <c r="D65" s="26">
        <f t="shared" si="19"/>
        <v>29.146000000000001</v>
      </c>
      <c r="E65" s="26">
        <f t="shared" si="20"/>
        <v>4.8576666666666667E-7</v>
      </c>
      <c r="F65" s="26">
        <v>21.1</v>
      </c>
      <c r="G65" s="26">
        <f t="shared" si="21"/>
        <v>294.10000000000002</v>
      </c>
      <c r="H65" s="26">
        <v>101.3</v>
      </c>
      <c r="I65" s="26">
        <f t="shared" si="22"/>
        <v>101300</v>
      </c>
      <c r="J65" s="26">
        <f t="shared" si="23"/>
        <v>2.0124824921938581E-5</v>
      </c>
      <c r="K65" s="28">
        <v>282.74257425742576</v>
      </c>
      <c r="L65" s="27">
        <f t="shared" si="24"/>
        <v>2.8274257425742573E-4</v>
      </c>
      <c r="M65" s="29">
        <f t="shared" si="8"/>
        <v>4.7762865441819992E-3</v>
      </c>
      <c r="N65" s="33">
        <f t="shared" si="25"/>
        <v>1.1913323776271514E-6</v>
      </c>
      <c r="O65" s="21">
        <f t="shared" si="10"/>
        <v>2.032E-3</v>
      </c>
      <c r="P65" s="21">
        <v>1.1208581181901367E-10</v>
      </c>
      <c r="Q65" s="2">
        <v>0.31</v>
      </c>
      <c r="R65" s="27">
        <f t="shared" si="26"/>
        <v>131000</v>
      </c>
      <c r="S65" s="2">
        <v>5.2493374855265302E-3</v>
      </c>
      <c r="T65" s="11">
        <v>0.06</v>
      </c>
      <c r="U65" s="30">
        <f t="shared" si="27"/>
        <v>106000</v>
      </c>
      <c r="V65" s="30">
        <f t="shared" si="28"/>
        <v>29.970712871287127</v>
      </c>
      <c r="W65" s="2">
        <f t="shared" si="13"/>
        <v>12</v>
      </c>
      <c r="X65" s="2">
        <f t="shared" si="29"/>
        <v>1.3022294714363004E-6</v>
      </c>
      <c r="Y65" s="11">
        <f t="shared" si="30"/>
        <v>845.79917516761759</v>
      </c>
      <c r="Z65" s="27">
        <f t="shared" si="31"/>
        <v>5.2521101400084412E-14</v>
      </c>
      <c r="AA65" s="27">
        <f t="shared" si="32"/>
        <v>31628207263.130833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s="4" customFormat="1" x14ac:dyDescent="0.25">
      <c r="A66" s="26">
        <v>192</v>
      </c>
      <c r="B66" s="26">
        <f t="shared" si="18"/>
        <v>3.2</v>
      </c>
      <c r="C66" s="26">
        <v>20</v>
      </c>
      <c r="D66" s="26">
        <f t="shared" si="19"/>
        <v>29.146000000000001</v>
      </c>
      <c r="E66" s="26">
        <f t="shared" si="20"/>
        <v>4.8576666666666667E-7</v>
      </c>
      <c r="F66" s="26">
        <v>21.1</v>
      </c>
      <c r="G66" s="26">
        <f t="shared" si="21"/>
        <v>294.10000000000002</v>
      </c>
      <c r="H66" s="26">
        <v>101.3</v>
      </c>
      <c r="I66" s="26">
        <f t="shared" si="22"/>
        <v>101300</v>
      </c>
      <c r="J66" s="26">
        <f t="shared" si="23"/>
        <v>2.0124824921938581E-5</v>
      </c>
      <c r="K66" s="28">
        <v>280.49009900990103</v>
      </c>
      <c r="L66" s="27">
        <f t="shared" si="24"/>
        <v>2.8049009900990102E-4</v>
      </c>
      <c r="M66" s="29">
        <f t="shared" si="8"/>
        <v>4.7762865441819992E-3</v>
      </c>
      <c r="N66" s="33">
        <f t="shared" si="25"/>
        <v>1.1818416007279613E-6</v>
      </c>
      <c r="O66" s="21">
        <f t="shared" si="10"/>
        <v>2.032E-3</v>
      </c>
      <c r="P66" s="21">
        <v>1.1208581181901367E-10</v>
      </c>
      <c r="Q66" s="2">
        <v>0.31</v>
      </c>
      <c r="R66" s="27">
        <f t="shared" si="26"/>
        <v>131000</v>
      </c>
      <c r="S66" s="2">
        <v>5.2493374855265302E-3</v>
      </c>
      <c r="T66" s="11">
        <v>0.06</v>
      </c>
      <c r="U66" s="30">
        <f t="shared" si="27"/>
        <v>106000</v>
      </c>
      <c r="V66" s="30">
        <f t="shared" si="28"/>
        <v>29.731950495049507</v>
      </c>
      <c r="W66" s="2">
        <f t="shared" si="13"/>
        <v>12</v>
      </c>
      <c r="X66" s="2">
        <f t="shared" si="29"/>
        <v>1.2915334314715056E-6</v>
      </c>
      <c r="Y66" s="11">
        <f t="shared" si="30"/>
        <v>833.29608879718728</v>
      </c>
      <c r="Z66" s="27">
        <f t="shared" si="31"/>
        <v>5.2084708699845855E-14</v>
      </c>
      <c r="AA66" s="27">
        <f t="shared" si="32"/>
        <v>31365411579.047176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s="4" customFormat="1" x14ac:dyDescent="0.25">
      <c r="A67" s="26">
        <v>195</v>
      </c>
      <c r="B67" s="26">
        <f t="shared" si="18"/>
        <v>3.25</v>
      </c>
      <c r="C67" s="26">
        <v>20</v>
      </c>
      <c r="D67" s="26">
        <f t="shared" si="19"/>
        <v>29.146000000000001</v>
      </c>
      <c r="E67" s="26">
        <f t="shared" si="20"/>
        <v>4.8576666666666667E-7</v>
      </c>
      <c r="F67" s="26">
        <v>21.1</v>
      </c>
      <c r="G67" s="26">
        <f t="shared" si="21"/>
        <v>294.10000000000002</v>
      </c>
      <c r="H67" s="26">
        <v>101.3</v>
      </c>
      <c r="I67" s="26">
        <f t="shared" si="22"/>
        <v>101300</v>
      </c>
      <c r="J67" s="26">
        <f t="shared" si="23"/>
        <v>2.0124824921938581E-5</v>
      </c>
      <c r="K67" s="28">
        <v>282.81683168316835</v>
      </c>
      <c r="L67" s="27">
        <f t="shared" si="24"/>
        <v>2.8281683168316832E-4</v>
      </c>
      <c r="M67" s="29">
        <f t="shared" ref="M67:M130" si="33">(3.142*3.07*3.07*25.4*25.4)/(4*1000000)</f>
        <v>4.7762865441819992E-3</v>
      </c>
      <c r="N67" s="33">
        <f t="shared" si="25"/>
        <v>1.1916452603820699E-6</v>
      </c>
      <c r="O67" s="21">
        <f t="shared" ref="O67:O130" si="34">(2.032/1000)</f>
        <v>2.032E-3</v>
      </c>
      <c r="P67" s="21">
        <v>1.1208581181901367E-10</v>
      </c>
      <c r="Q67" s="2">
        <v>0.31</v>
      </c>
      <c r="R67" s="27">
        <f t="shared" si="26"/>
        <v>131000</v>
      </c>
      <c r="S67" s="2">
        <v>5.2493374855265302E-3</v>
      </c>
      <c r="T67" s="11">
        <v>0.06</v>
      </c>
      <c r="U67" s="30">
        <f t="shared" si="27"/>
        <v>106000</v>
      </c>
      <c r="V67" s="30">
        <f t="shared" si="28"/>
        <v>29.978584158415842</v>
      </c>
      <c r="W67" s="2">
        <f t="shared" ref="W67:W130" si="35">(120/1000000)*100000</f>
        <v>12</v>
      </c>
      <c r="X67" s="2">
        <f t="shared" si="29"/>
        <v>1.3025820062415357E-6</v>
      </c>
      <c r="Y67" s="11">
        <f t="shared" si="30"/>
        <v>846.2127773328707</v>
      </c>
      <c r="Z67" s="27">
        <f t="shared" si="31"/>
        <v>5.2535486667307803E-14</v>
      </c>
      <c r="AA67" s="27">
        <f t="shared" si="32"/>
        <v>31636870071.052761</v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s="4" customFormat="1" x14ac:dyDescent="0.25">
      <c r="A68" s="26">
        <v>198</v>
      </c>
      <c r="B68" s="26">
        <f t="shared" si="18"/>
        <v>3.3</v>
      </c>
      <c r="C68" s="26">
        <v>20</v>
      </c>
      <c r="D68" s="26">
        <f t="shared" si="19"/>
        <v>29.146000000000001</v>
      </c>
      <c r="E68" s="26">
        <f t="shared" si="20"/>
        <v>4.8576666666666667E-7</v>
      </c>
      <c r="F68" s="26">
        <v>21.1</v>
      </c>
      <c r="G68" s="26">
        <f t="shared" si="21"/>
        <v>294.10000000000002</v>
      </c>
      <c r="H68" s="26">
        <v>101.3</v>
      </c>
      <c r="I68" s="26">
        <f t="shared" si="22"/>
        <v>101300</v>
      </c>
      <c r="J68" s="26">
        <f t="shared" si="23"/>
        <v>2.0124824921938581E-5</v>
      </c>
      <c r="K68" s="28">
        <v>289.52475247524751</v>
      </c>
      <c r="L68" s="27">
        <f t="shared" si="24"/>
        <v>2.8952475247524752E-4</v>
      </c>
      <c r="M68" s="29">
        <f t="shared" si="33"/>
        <v>4.7762865441819992E-3</v>
      </c>
      <c r="N68" s="33">
        <f t="shared" si="25"/>
        <v>1.2199090025763617E-6</v>
      </c>
      <c r="O68" s="21">
        <f t="shared" si="34"/>
        <v>2.032E-3</v>
      </c>
      <c r="P68" s="21">
        <v>1.1208581181901367E-10</v>
      </c>
      <c r="Q68" s="2">
        <v>0.31</v>
      </c>
      <c r="R68" s="27">
        <f t="shared" si="26"/>
        <v>131000</v>
      </c>
      <c r="S68" s="2">
        <v>5.2493374855265302E-3</v>
      </c>
      <c r="T68" s="11">
        <v>0.06</v>
      </c>
      <c r="U68" s="30">
        <f t="shared" si="27"/>
        <v>106000</v>
      </c>
      <c r="V68" s="30">
        <f t="shared" si="28"/>
        <v>30.689623762376236</v>
      </c>
      <c r="W68" s="2">
        <f t="shared" si="35"/>
        <v>12</v>
      </c>
      <c r="X68" s="2">
        <f t="shared" si="29"/>
        <v>1.3344064256494809E-6</v>
      </c>
      <c r="Y68" s="11">
        <f t="shared" si="30"/>
        <v>883.94614947976129</v>
      </c>
      <c r="Z68" s="27">
        <f t="shared" si="31"/>
        <v>5.3834630422595496E-14</v>
      </c>
      <c r="AA68" s="27">
        <f t="shared" si="32"/>
        <v>32419214440.487011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s="4" customFormat="1" x14ac:dyDescent="0.25">
      <c r="A69" s="26">
        <v>201</v>
      </c>
      <c r="B69" s="26">
        <f t="shared" si="18"/>
        <v>3.35</v>
      </c>
      <c r="C69" s="26">
        <v>20</v>
      </c>
      <c r="D69" s="26">
        <f t="shared" si="19"/>
        <v>29.146000000000001</v>
      </c>
      <c r="E69" s="26">
        <f t="shared" si="20"/>
        <v>4.8576666666666667E-7</v>
      </c>
      <c r="F69" s="26">
        <v>21.1</v>
      </c>
      <c r="G69" s="26">
        <f t="shared" si="21"/>
        <v>294.10000000000002</v>
      </c>
      <c r="H69" s="26">
        <v>101.3</v>
      </c>
      <c r="I69" s="26">
        <f t="shared" si="22"/>
        <v>101300</v>
      </c>
      <c r="J69" s="26">
        <f t="shared" si="23"/>
        <v>2.0124824921938581E-5</v>
      </c>
      <c r="K69" s="28">
        <v>283.46039603960401</v>
      </c>
      <c r="L69" s="27">
        <f t="shared" si="24"/>
        <v>2.8346039603960402E-4</v>
      </c>
      <c r="M69" s="29">
        <f t="shared" si="33"/>
        <v>4.7762865441819992E-3</v>
      </c>
      <c r="N69" s="33">
        <f t="shared" si="25"/>
        <v>1.1943569109246958E-6</v>
      </c>
      <c r="O69" s="21">
        <f t="shared" si="34"/>
        <v>2.032E-3</v>
      </c>
      <c r="P69" s="21">
        <v>1.1208581181901367E-10</v>
      </c>
      <c r="Q69" s="2">
        <v>0.31</v>
      </c>
      <c r="R69" s="27">
        <f t="shared" si="26"/>
        <v>131000</v>
      </c>
      <c r="S69" s="2">
        <v>5.2493374855265302E-3</v>
      </c>
      <c r="T69" s="11">
        <v>0.06</v>
      </c>
      <c r="U69" s="30">
        <f t="shared" si="27"/>
        <v>106000</v>
      </c>
      <c r="V69" s="30">
        <f t="shared" si="28"/>
        <v>30.046801980198026</v>
      </c>
      <c r="W69" s="2">
        <f t="shared" si="35"/>
        <v>12</v>
      </c>
      <c r="X69" s="2">
        <f t="shared" si="29"/>
        <v>1.3056370900638158E-6</v>
      </c>
      <c r="Y69" s="11">
        <f t="shared" si="30"/>
        <v>849.80110404197922</v>
      </c>
      <c r="Z69" s="27">
        <f t="shared" si="31"/>
        <v>5.2660155554926454E-14</v>
      </c>
      <c r="AA69" s="27">
        <f t="shared" si="32"/>
        <v>31711945675.176712</v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s="4" customFormat="1" x14ac:dyDescent="0.25">
      <c r="A70" s="26">
        <v>204</v>
      </c>
      <c r="B70" s="26">
        <f t="shared" si="18"/>
        <v>3.4</v>
      </c>
      <c r="C70" s="26">
        <v>20</v>
      </c>
      <c r="D70" s="26">
        <f t="shared" si="19"/>
        <v>29.146000000000001</v>
      </c>
      <c r="E70" s="26">
        <f t="shared" si="20"/>
        <v>4.8576666666666667E-7</v>
      </c>
      <c r="F70" s="26">
        <v>21.1</v>
      </c>
      <c r="G70" s="26">
        <f t="shared" si="21"/>
        <v>294.10000000000002</v>
      </c>
      <c r="H70" s="26">
        <v>101.3</v>
      </c>
      <c r="I70" s="26">
        <f t="shared" si="22"/>
        <v>101300</v>
      </c>
      <c r="J70" s="26">
        <f t="shared" si="23"/>
        <v>2.0124824921938581E-5</v>
      </c>
      <c r="K70" s="20">
        <v>281.87623762376239</v>
      </c>
      <c r="L70" s="27">
        <f t="shared" si="24"/>
        <v>2.8187623762376238E-4</v>
      </c>
      <c r="M70" s="29">
        <f t="shared" si="33"/>
        <v>4.7762865441819992E-3</v>
      </c>
      <c r="N70" s="33">
        <f t="shared" si="25"/>
        <v>1.1876820788197706E-6</v>
      </c>
      <c r="O70" s="21">
        <f t="shared" si="34"/>
        <v>2.032E-3</v>
      </c>
      <c r="P70" s="21">
        <v>1.1208581181901367E-10</v>
      </c>
      <c r="Q70" s="2">
        <v>0.31</v>
      </c>
      <c r="R70" s="27">
        <f t="shared" si="26"/>
        <v>131000</v>
      </c>
      <c r="S70" s="2">
        <v>5.2493374855265302E-3</v>
      </c>
      <c r="T70" s="11">
        <v>0.06</v>
      </c>
      <c r="U70" s="30">
        <f t="shared" si="27"/>
        <v>106000</v>
      </c>
      <c r="V70" s="30">
        <f t="shared" si="28"/>
        <v>29.878881188118811</v>
      </c>
      <c r="W70" s="2">
        <f t="shared" si="35"/>
        <v>12</v>
      </c>
      <c r="X70" s="2">
        <f t="shared" si="29"/>
        <v>1.2981161800734121E-6</v>
      </c>
      <c r="Y70" s="11">
        <f t="shared" si="30"/>
        <v>840.98047666425964</v>
      </c>
      <c r="Z70" s="9">
        <f t="shared" si="31"/>
        <v>5.235326717720217E-14</v>
      </c>
      <c r="AA70" s="9">
        <f t="shared" si="32"/>
        <v>31527137494.111149</v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s="4" customFormat="1" x14ac:dyDescent="0.25">
      <c r="A71" s="26">
        <v>207</v>
      </c>
      <c r="B71" s="26">
        <f t="shared" si="18"/>
        <v>3.45</v>
      </c>
      <c r="C71" s="26">
        <v>20</v>
      </c>
      <c r="D71" s="26">
        <f t="shared" si="19"/>
        <v>29.146000000000001</v>
      </c>
      <c r="E71" s="26">
        <f t="shared" si="20"/>
        <v>4.8576666666666667E-7</v>
      </c>
      <c r="F71" s="26">
        <v>21.1</v>
      </c>
      <c r="G71" s="26">
        <f t="shared" si="21"/>
        <v>294.10000000000002</v>
      </c>
      <c r="H71" s="26">
        <v>101.3</v>
      </c>
      <c r="I71" s="26">
        <f t="shared" si="22"/>
        <v>101300</v>
      </c>
      <c r="J71" s="26">
        <f t="shared" si="23"/>
        <v>2.0124824921938581E-5</v>
      </c>
      <c r="K71" s="20">
        <v>295.41584158415844</v>
      </c>
      <c r="L71" s="27">
        <f t="shared" si="24"/>
        <v>2.9541584158415842E-4</v>
      </c>
      <c r="M71" s="29">
        <f t="shared" si="33"/>
        <v>4.7762865441819992E-3</v>
      </c>
      <c r="N71" s="33">
        <f t="shared" si="25"/>
        <v>1.2447310344665517E-6</v>
      </c>
      <c r="O71" s="21">
        <f t="shared" si="34"/>
        <v>2.032E-3</v>
      </c>
      <c r="P71" s="21">
        <v>1.1208581181901367E-10</v>
      </c>
      <c r="Q71" s="2">
        <v>0.31</v>
      </c>
      <c r="R71" s="27">
        <f t="shared" si="26"/>
        <v>131000</v>
      </c>
      <c r="S71" s="2">
        <v>5.2493374855265302E-3</v>
      </c>
      <c r="T71" s="11">
        <v>0.06</v>
      </c>
      <c r="U71" s="30">
        <f t="shared" si="27"/>
        <v>106000</v>
      </c>
      <c r="V71" s="30">
        <f t="shared" si="28"/>
        <v>31.314079207920791</v>
      </c>
      <c r="W71" s="2">
        <f t="shared" si="35"/>
        <v>12</v>
      </c>
      <c r="X71" s="2">
        <f t="shared" si="29"/>
        <v>1.3623216724178319E-6</v>
      </c>
      <c r="Y71" s="11">
        <f t="shared" si="30"/>
        <v>917.68906986951094</v>
      </c>
      <c r="Z71" s="9">
        <f t="shared" si="31"/>
        <v>5.4975085937773671E-14</v>
      </c>
      <c r="AA71" s="9">
        <f t="shared" si="32"/>
        <v>33105996751.727306</v>
      </c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s="4" customFormat="1" x14ac:dyDescent="0.25">
      <c r="A72" s="26">
        <v>210</v>
      </c>
      <c r="B72" s="26">
        <f t="shared" si="18"/>
        <v>3.5</v>
      </c>
      <c r="C72" s="26">
        <v>20</v>
      </c>
      <c r="D72" s="26">
        <f t="shared" si="19"/>
        <v>29.146000000000001</v>
      </c>
      <c r="E72" s="26">
        <f t="shared" si="20"/>
        <v>4.8576666666666667E-7</v>
      </c>
      <c r="F72" s="26">
        <v>21.1</v>
      </c>
      <c r="G72" s="26">
        <f t="shared" si="21"/>
        <v>294.10000000000002</v>
      </c>
      <c r="H72" s="26">
        <v>101.3</v>
      </c>
      <c r="I72" s="26">
        <f t="shared" si="22"/>
        <v>101300</v>
      </c>
      <c r="J72" s="26">
        <f t="shared" si="23"/>
        <v>2.0124824921938581E-5</v>
      </c>
      <c r="K72" s="20">
        <v>277.99009900990103</v>
      </c>
      <c r="L72" s="27">
        <f t="shared" si="24"/>
        <v>2.7799009900990101E-4</v>
      </c>
      <c r="M72" s="29">
        <f t="shared" si="33"/>
        <v>4.7762865441819992E-3</v>
      </c>
      <c r="N72" s="33">
        <f t="shared" si="25"/>
        <v>1.1713078813123764E-6</v>
      </c>
      <c r="O72" s="21">
        <f t="shared" si="34"/>
        <v>2.032E-3</v>
      </c>
      <c r="P72" s="21">
        <v>1.1208581181901367E-10</v>
      </c>
      <c r="Q72" s="2">
        <v>0.31</v>
      </c>
      <c r="R72" s="27">
        <f t="shared" si="26"/>
        <v>131000</v>
      </c>
      <c r="S72" s="2">
        <v>5.2493374855265302E-3</v>
      </c>
      <c r="T72" s="11">
        <v>0.06</v>
      </c>
      <c r="U72" s="30">
        <f t="shared" si="27"/>
        <v>106000</v>
      </c>
      <c r="V72" s="30">
        <f t="shared" si="28"/>
        <v>29.466950495049506</v>
      </c>
      <c r="W72" s="2">
        <f t="shared" si="35"/>
        <v>12</v>
      </c>
      <c r="X72" s="2">
        <f t="shared" si="29"/>
        <v>1.2796563221526213E-6</v>
      </c>
      <c r="Y72" s="11">
        <f t="shared" si="30"/>
        <v>819.51625703579862</v>
      </c>
      <c r="Z72" s="9">
        <f t="shared" si="31"/>
        <v>5.1600268391457853E-14</v>
      </c>
      <c r="AA72" s="9">
        <f t="shared" si="32"/>
        <v>31073681625.335918</v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s="4" customFormat="1" x14ac:dyDescent="0.25">
      <c r="A73" s="26">
        <v>213</v>
      </c>
      <c r="B73" s="26">
        <f t="shared" si="18"/>
        <v>3.55</v>
      </c>
      <c r="C73" s="26">
        <v>20</v>
      </c>
      <c r="D73" s="26">
        <f t="shared" si="19"/>
        <v>29.146000000000001</v>
      </c>
      <c r="E73" s="26">
        <f t="shared" si="20"/>
        <v>4.8576666666666667E-7</v>
      </c>
      <c r="F73" s="26">
        <v>21.1</v>
      </c>
      <c r="G73" s="26">
        <f t="shared" si="21"/>
        <v>294.10000000000002</v>
      </c>
      <c r="H73" s="26">
        <v>101.3</v>
      </c>
      <c r="I73" s="26">
        <f t="shared" si="22"/>
        <v>101300</v>
      </c>
      <c r="J73" s="26">
        <f t="shared" si="23"/>
        <v>2.0124824921938581E-5</v>
      </c>
      <c r="K73" s="20">
        <v>293.7574257425743</v>
      </c>
      <c r="L73" s="27">
        <f t="shared" si="24"/>
        <v>2.9375742574257429E-4</v>
      </c>
      <c r="M73" s="29">
        <f t="shared" si="33"/>
        <v>4.7762865441819992E-3</v>
      </c>
      <c r="N73" s="33">
        <f t="shared" si="25"/>
        <v>1.2377433196067085E-6</v>
      </c>
      <c r="O73" s="21">
        <f t="shared" si="34"/>
        <v>2.032E-3</v>
      </c>
      <c r="P73" s="21">
        <v>1.1208581181901367E-10</v>
      </c>
      <c r="Q73" s="2">
        <v>0.31</v>
      </c>
      <c r="R73" s="27">
        <f t="shared" si="26"/>
        <v>131000</v>
      </c>
      <c r="S73" s="2">
        <v>5.2493374855265302E-3</v>
      </c>
      <c r="T73" s="11">
        <v>0.06</v>
      </c>
      <c r="U73" s="30">
        <f t="shared" si="27"/>
        <v>106000</v>
      </c>
      <c r="V73" s="30">
        <f t="shared" si="28"/>
        <v>31.138287128712875</v>
      </c>
      <c r="W73" s="2">
        <f t="shared" si="35"/>
        <v>12</v>
      </c>
      <c r="X73" s="2">
        <f t="shared" si="29"/>
        <v>1.3544663222363187E-6</v>
      </c>
      <c r="Y73" s="11">
        <f t="shared" si="30"/>
        <v>908.13296415959655</v>
      </c>
      <c r="Z73" s="9">
        <f t="shared" si="31"/>
        <v>5.4654076386185926E-14</v>
      </c>
      <c r="AA73" s="9">
        <f t="shared" si="32"/>
        <v>32912684799.761166</v>
      </c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s="4" customFormat="1" x14ac:dyDescent="0.25">
      <c r="A74" s="26">
        <v>216</v>
      </c>
      <c r="B74" s="26">
        <f t="shared" si="18"/>
        <v>3.6</v>
      </c>
      <c r="C74" s="26">
        <v>20</v>
      </c>
      <c r="D74" s="26">
        <f t="shared" si="19"/>
        <v>29.146000000000001</v>
      </c>
      <c r="E74" s="26">
        <f t="shared" si="20"/>
        <v>4.8576666666666667E-7</v>
      </c>
      <c r="F74" s="26">
        <v>21.1</v>
      </c>
      <c r="G74" s="26">
        <f t="shared" si="21"/>
        <v>294.10000000000002</v>
      </c>
      <c r="H74" s="26">
        <v>101.3</v>
      </c>
      <c r="I74" s="26">
        <f t="shared" si="22"/>
        <v>101300</v>
      </c>
      <c r="J74" s="26">
        <f t="shared" si="23"/>
        <v>2.0124824921938581E-5</v>
      </c>
      <c r="K74" s="20">
        <v>279.52475247524751</v>
      </c>
      <c r="L74" s="27">
        <f t="shared" si="24"/>
        <v>2.7952475247524749E-4</v>
      </c>
      <c r="M74" s="29">
        <f t="shared" si="33"/>
        <v>4.7762865441819992E-3</v>
      </c>
      <c r="N74" s="33">
        <f t="shared" si="25"/>
        <v>1.1777741249140222E-6</v>
      </c>
      <c r="O74" s="21">
        <f t="shared" si="34"/>
        <v>2.032E-3</v>
      </c>
      <c r="P74" s="21">
        <v>1.1208581181901367E-10</v>
      </c>
      <c r="Q74" s="2">
        <v>0.31</v>
      </c>
      <c r="R74" s="27">
        <f t="shared" si="26"/>
        <v>131000</v>
      </c>
      <c r="S74" s="2">
        <v>5.2493374855265302E-3</v>
      </c>
      <c r="T74" s="11">
        <v>0.06</v>
      </c>
      <c r="U74" s="30">
        <f t="shared" si="27"/>
        <v>106000</v>
      </c>
      <c r="V74" s="30">
        <f t="shared" si="28"/>
        <v>29.629623762376234</v>
      </c>
      <c r="W74" s="2">
        <f t="shared" si="35"/>
        <v>12</v>
      </c>
      <c r="X74" s="2">
        <f t="shared" si="29"/>
        <v>1.2869479333002929E-6</v>
      </c>
      <c r="Y74" s="11">
        <f t="shared" si="30"/>
        <v>827.96303388143872</v>
      </c>
      <c r="Z74" s="9">
        <f t="shared" si="31"/>
        <v>5.1897659325654495E-14</v>
      </c>
      <c r="AA74" s="9">
        <f t="shared" si="32"/>
        <v>31252770445.909138</v>
      </c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s="4" customFormat="1" x14ac:dyDescent="0.25">
      <c r="A75" s="26">
        <v>219</v>
      </c>
      <c r="B75" s="26">
        <f t="shared" si="18"/>
        <v>3.65</v>
      </c>
      <c r="C75" s="26">
        <v>20</v>
      </c>
      <c r="D75" s="26">
        <f t="shared" si="19"/>
        <v>29.146000000000001</v>
      </c>
      <c r="E75" s="26">
        <f t="shared" si="20"/>
        <v>4.8576666666666667E-7</v>
      </c>
      <c r="F75" s="26">
        <v>21.1</v>
      </c>
      <c r="G75" s="26">
        <f t="shared" si="21"/>
        <v>294.10000000000002</v>
      </c>
      <c r="H75" s="26">
        <v>101.3</v>
      </c>
      <c r="I75" s="26">
        <f t="shared" si="22"/>
        <v>101300</v>
      </c>
      <c r="J75" s="26">
        <f t="shared" si="23"/>
        <v>2.0124824921938581E-5</v>
      </c>
      <c r="K75" s="20">
        <v>288.16336633663366</v>
      </c>
      <c r="L75" s="27">
        <f t="shared" si="24"/>
        <v>2.8816336633663363E-4</v>
      </c>
      <c r="M75" s="29">
        <f t="shared" si="33"/>
        <v>4.7762865441819992E-3</v>
      </c>
      <c r="N75" s="33">
        <f t="shared" si="25"/>
        <v>1.2141728187361917E-6</v>
      </c>
      <c r="O75" s="21">
        <f t="shared" si="34"/>
        <v>2.032E-3</v>
      </c>
      <c r="P75" s="21">
        <v>1.1208581181901367E-10</v>
      </c>
      <c r="Q75" s="2">
        <v>0.31</v>
      </c>
      <c r="R75" s="27">
        <f t="shared" si="26"/>
        <v>131000</v>
      </c>
      <c r="S75" s="2">
        <v>5.2493374855265302E-3</v>
      </c>
      <c r="T75" s="11">
        <v>0.06</v>
      </c>
      <c r="U75" s="30">
        <f t="shared" si="27"/>
        <v>106000</v>
      </c>
      <c r="V75" s="30">
        <f t="shared" si="28"/>
        <v>30.545316831683166</v>
      </c>
      <c r="W75" s="2">
        <f t="shared" si="35"/>
        <v>12</v>
      </c>
      <c r="X75" s="2">
        <f t="shared" si="29"/>
        <v>1.3279509588342739E-6</v>
      </c>
      <c r="Y75" s="11">
        <f t="shared" si="30"/>
        <v>876.22873746877553</v>
      </c>
      <c r="Z75" s="9">
        <f t="shared" si="31"/>
        <v>5.3571016882730733E-14</v>
      </c>
      <c r="AA75" s="9">
        <f t="shared" si="32"/>
        <v>32260466366.780449</v>
      </c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s="4" customFormat="1" x14ac:dyDescent="0.25">
      <c r="A76" s="26">
        <v>222</v>
      </c>
      <c r="B76" s="26">
        <f t="shared" si="18"/>
        <v>3.7</v>
      </c>
      <c r="C76" s="26">
        <v>20</v>
      </c>
      <c r="D76" s="26">
        <f t="shared" si="19"/>
        <v>29.146000000000001</v>
      </c>
      <c r="E76" s="26">
        <f t="shared" si="20"/>
        <v>4.8576666666666667E-7</v>
      </c>
      <c r="F76" s="26">
        <v>21.1</v>
      </c>
      <c r="G76" s="26">
        <f t="shared" si="21"/>
        <v>294.10000000000002</v>
      </c>
      <c r="H76" s="26">
        <v>101.3</v>
      </c>
      <c r="I76" s="26">
        <f t="shared" si="22"/>
        <v>101300</v>
      </c>
      <c r="J76" s="26">
        <f t="shared" si="23"/>
        <v>2.0124824921938581E-5</v>
      </c>
      <c r="K76" s="20">
        <v>274.97029702970298</v>
      </c>
      <c r="L76" s="27">
        <f t="shared" si="24"/>
        <v>2.74970297029703E-4</v>
      </c>
      <c r="M76" s="29">
        <f t="shared" si="33"/>
        <v>4.7762865441819992E-3</v>
      </c>
      <c r="N76" s="33">
        <f t="shared" si="25"/>
        <v>1.158583982612363E-6</v>
      </c>
      <c r="O76" s="21">
        <f t="shared" si="34"/>
        <v>2.032E-3</v>
      </c>
      <c r="P76" s="21">
        <v>1.1208581181901367E-10</v>
      </c>
      <c r="Q76" s="2">
        <v>0.31</v>
      </c>
      <c r="R76" s="27">
        <f t="shared" si="26"/>
        <v>131000</v>
      </c>
      <c r="S76" s="2">
        <v>5.2493374855265302E-3</v>
      </c>
      <c r="T76" s="11">
        <v>0.06</v>
      </c>
      <c r="U76" s="30">
        <f t="shared" si="27"/>
        <v>106000</v>
      </c>
      <c r="V76" s="30">
        <f t="shared" si="28"/>
        <v>29.146851485148517</v>
      </c>
      <c r="W76" s="2">
        <f t="shared" si="35"/>
        <v>12</v>
      </c>
      <c r="X76" s="2">
        <f t="shared" si="29"/>
        <v>1.2653016338128358E-6</v>
      </c>
      <c r="Y76" s="11">
        <f t="shared" si="30"/>
        <v>803.00790759936592</v>
      </c>
      <c r="Z76" s="9">
        <f t="shared" si="31"/>
        <v>5.1014967320887617E-14</v>
      </c>
      <c r="AA76" s="9">
        <f t="shared" si="32"/>
        <v>30721213320.638523</v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s="4" customFormat="1" x14ac:dyDescent="0.25">
      <c r="A77" s="26">
        <v>225</v>
      </c>
      <c r="B77" s="26">
        <f t="shared" si="18"/>
        <v>3.75</v>
      </c>
      <c r="C77" s="26">
        <v>20</v>
      </c>
      <c r="D77" s="26">
        <f t="shared" si="19"/>
        <v>29.146000000000001</v>
      </c>
      <c r="E77" s="26">
        <f t="shared" si="20"/>
        <v>4.8576666666666667E-7</v>
      </c>
      <c r="F77" s="26">
        <v>21.1</v>
      </c>
      <c r="G77" s="26">
        <f t="shared" si="21"/>
        <v>294.10000000000002</v>
      </c>
      <c r="H77" s="26">
        <v>101.3</v>
      </c>
      <c r="I77" s="26">
        <f t="shared" si="22"/>
        <v>101300</v>
      </c>
      <c r="J77" s="26">
        <f t="shared" si="23"/>
        <v>2.0124824921938581E-5</v>
      </c>
      <c r="K77" s="20">
        <v>277.24752475247527</v>
      </c>
      <c r="L77" s="27">
        <f t="shared" si="24"/>
        <v>2.7724752475247525E-4</v>
      </c>
      <c r="M77" s="29">
        <f t="shared" si="33"/>
        <v>4.7762865441819992E-3</v>
      </c>
      <c r="N77" s="33">
        <f t="shared" si="25"/>
        <v>1.1681790537631928E-6</v>
      </c>
      <c r="O77" s="21">
        <f t="shared" si="34"/>
        <v>2.032E-3</v>
      </c>
      <c r="P77" s="21">
        <v>1.1208581181901367E-10</v>
      </c>
      <c r="Q77" s="2">
        <v>0.31</v>
      </c>
      <c r="R77" s="27">
        <f t="shared" si="26"/>
        <v>131000</v>
      </c>
      <c r="S77" s="2">
        <v>5.2493374855265302E-3</v>
      </c>
      <c r="T77" s="11">
        <v>0.06</v>
      </c>
      <c r="U77" s="30">
        <f t="shared" si="27"/>
        <v>106000</v>
      </c>
      <c r="V77" s="30">
        <f t="shared" si="28"/>
        <v>29.388237623762375</v>
      </c>
      <c r="W77" s="2">
        <f t="shared" si="35"/>
        <v>12</v>
      </c>
      <c r="X77" s="2">
        <f t="shared" si="29"/>
        <v>1.2761273053554493E-6</v>
      </c>
      <c r="Y77" s="11">
        <f t="shared" si="30"/>
        <v>815.44296086973293</v>
      </c>
      <c r="Z77" s="9">
        <f t="shared" si="31"/>
        <v>5.1456355904739299E-14</v>
      </c>
      <c r="AA77" s="9">
        <f t="shared" si="32"/>
        <v>30987017525.834007</v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s="4" customFormat="1" x14ac:dyDescent="0.25">
      <c r="A78" s="26">
        <v>228</v>
      </c>
      <c r="B78" s="26">
        <f t="shared" si="18"/>
        <v>3.8</v>
      </c>
      <c r="C78" s="26">
        <v>20</v>
      </c>
      <c r="D78" s="26">
        <f t="shared" si="19"/>
        <v>29.146000000000001</v>
      </c>
      <c r="E78" s="26">
        <f t="shared" si="20"/>
        <v>4.8576666666666667E-7</v>
      </c>
      <c r="F78" s="26">
        <v>21.1</v>
      </c>
      <c r="G78" s="26">
        <f t="shared" si="21"/>
        <v>294.10000000000002</v>
      </c>
      <c r="H78" s="26">
        <v>101.3</v>
      </c>
      <c r="I78" s="26">
        <f t="shared" si="22"/>
        <v>101300</v>
      </c>
      <c r="J78" s="26">
        <f t="shared" si="23"/>
        <v>2.0124824921938581E-5</v>
      </c>
      <c r="K78" s="20">
        <v>283.55940594059405</v>
      </c>
      <c r="L78" s="27">
        <f t="shared" si="24"/>
        <v>2.8355940594059403E-4</v>
      </c>
      <c r="M78" s="29">
        <f t="shared" si="33"/>
        <v>4.7762865441819992E-3</v>
      </c>
      <c r="N78" s="33">
        <f t="shared" si="25"/>
        <v>1.1947740879312533E-6</v>
      </c>
      <c r="O78" s="21">
        <f t="shared" si="34"/>
        <v>2.032E-3</v>
      </c>
      <c r="P78" s="21">
        <v>1.1208581181901367E-10</v>
      </c>
      <c r="Q78" s="2">
        <v>0.31</v>
      </c>
      <c r="R78" s="27">
        <f t="shared" si="26"/>
        <v>131000</v>
      </c>
      <c r="S78" s="2">
        <v>5.2493374855265302E-3</v>
      </c>
      <c r="T78" s="11">
        <v>0.06</v>
      </c>
      <c r="U78" s="30">
        <f t="shared" si="27"/>
        <v>106000</v>
      </c>
      <c r="V78" s="30">
        <f t="shared" si="28"/>
        <v>30.057297029702969</v>
      </c>
      <c r="W78" s="2">
        <f t="shared" si="35"/>
        <v>12</v>
      </c>
      <c r="X78" s="2">
        <f t="shared" si="29"/>
        <v>1.3061070683427137E-6</v>
      </c>
      <c r="Y78" s="11">
        <f t="shared" si="30"/>
        <v>850.35375494772381</v>
      </c>
      <c r="Z78" s="9">
        <f t="shared" si="31"/>
        <v>5.2679334840859861E-14</v>
      </c>
      <c r="AA78" s="9">
        <f t="shared" si="32"/>
        <v>31723495441.16581</v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 spans="1:78" s="4" customFormat="1" x14ac:dyDescent="0.25">
      <c r="A79" s="26">
        <v>231</v>
      </c>
      <c r="B79" s="26">
        <f t="shared" si="18"/>
        <v>3.85</v>
      </c>
      <c r="C79" s="26">
        <v>20</v>
      </c>
      <c r="D79" s="26">
        <f t="shared" si="19"/>
        <v>29.146000000000001</v>
      </c>
      <c r="E79" s="26">
        <f t="shared" si="20"/>
        <v>4.8576666666666667E-7</v>
      </c>
      <c r="F79" s="26">
        <v>21.1</v>
      </c>
      <c r="G79" s="26">
        <f t="shared" si="21"/>
        <v>294.10000000000002</v>
      </c>
      <c r="H79" s="26">
        <v>101.3</v>
      </c>
      <c r="I79" s="26">
        <f t="shared" si="22"/>
        <v>101300</v>
      </c>
      <c r="J79" s="26">
        <f t="shared" si="23"/>
        <v>2.0124824921938581E-5</v>
      </c>
      <c r="K79" s="20">
        <v>278.58415841584161</v>
      </c>
      <c r="L79" s="27">
        <f t="shared" si="24"/>
        <v>2.785841584158416E-4</v>
      </c>
      <c r="M79" s="29">
        <f t="shared" si="33"/>
        <v>4.7762865441819992E-3</v>
      </c>
      <c r="N79" s="33">
        <f t="shared" si="25"/>
        <v>1.1738109433517233E-6</v>
      </c>
      <c r="O79" s="21">
        <f t="shared" si="34"/>
        <v>2.032E-3</v>
      </c>
      <c r="P79" s="21">
        <v>1.1208581181901367E-10</v>
      </c>
      <c r="Q79" s="2">
        <v>0.31</v>
      </c>
      <c r="R79" s="27">
        <f t="shared" si="26"/>
        <v>131000</v>
      </c>
      <c r="S79" s="2">
        <v>5.2493374855265302E-3</v>
      </c>
      <c r="T79" s="11">
        <v>0.06</v>
      </c>
      <c r="U79" s="30">
        <f t="shared" si="27"/>
        <v>106000</v>
      </c>
      <c r="V79" s="30">
        <f t="shared" si="28"/>
        <v>29.52992079207921</v>
      </c>
      <c r="W79" s="2">
        <f t="shared" si="35"/>
        <v>12</v>
      </c>
      <c r="X79" s="2">
        <f t="shared" si="29"/>
        <v>1.282479150905608E-6</v>
      </c>
      <c r="Y79" s="11">
        <f t="shared" si="30"/>
        <v>822.78140045078612</v>
      </c>
      <c r="Z79" s="9">
        <f t="shared" si="31"/>
        <v>5.1715391937851376E-14</v>
      </c>
      <c r="AA79" s="9">
        <f t="shared" si="32"/>
        <v>31143009024.974098</v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4" customFormat="1" x14ac:dyDescent="0.25">
      <c r="A80" s="26">
        <v>234</v>
      </c>
      <c r="B80" s="26">
        <f t="shared" si="18"/>
        <v>3.9</v>
      </c>
      <c r="C80" s="26">
        <v>20</v>
      </c>
      <c r="D80" s="26">
        <f t="shared" si="19"/>
        <v>29.146000000000001</v>
      </c>
      <c r="E80" s="26">
        <f t="shared" si="20"/>
        <v>4.8576666666666667E-7</v>
      </c>
      <c r="F80" s="26">
        <v>21.1</v>
      </c>
      <c r="G80" s="26">
        <f t="shared" si="21"/>
        <v>294.10000000000002</v>
      </c>
      <c r="H80" s="26">
        <v>101.3</v>
      </c>
      <c r="I80" s="26">
        <f t="shared" si="22"/>
        <v>101300</v>
      </c>
      <c r="J80" s="26">
        <f t="shared" si="23"/>
        <v>2.0124824921938581E-5</v>
      </c>
      <c r="K80" s="20">
        <v>284.02970297029702</v>
      </c>
      <c r="L80" s="27">
        <f t="shared" si="24"/>
        <v>2.8402970297029703E-4</v>
      </c>
      <c r="M80" s="29">
        <f t="shared" si="33"/>
        <v>4.7762865441819992E-3</v>
      </c>
      <c r="N80" s="33">
        <f t="shared" si="25"/>
        <v>1.1967556787124031E-6</v>
      </c>
      <c r="O80" s="21">
        <f t="shared" si="34"/>
        <v>2.032E-3</v>
      </c>
      <c r="P80" s="21">
        <v>1.1208581181901367E-10</v>
      </c>
      <c r="Q80" s="2">
        <v>0.31</v>
      </c>
      <c r="R80" s="27">
        <f t="shared" si="26"/>
        <v>131000</v>
      </c>
      <c r="S80" s="2">
        <v>5.2493374855265302E-3</v>
      </c>
      <c r="T80" s="11">
        <v>0.06</v>
      </c>
      <c r="U80" s="30">
        <f t="shared" si="27"/>
        <v>106000</v>
      </c>
      <c r="V80" s="30">
        <f t="shared" si="28"/>
        <v>30.107148514851485</v>
      </c>
      <c r="W80" s="2">
        <f t="shared" si="35"/>
        <v>12</v>
      </c>
      <c r="X80" s="2">
        <f t="shared" si="29"/>
        <v>1.3083393393739249E-6</v>
      </c>
      <c r="Y80" s="11">
        <f t="shared" si="30"/>
        <v>852.98103360016978</v>
      </c>
      <c r="Z80" s="9">
        <f t="shared" si="31"/>
        <v>5.2770434486383869E-14</v>
      </c>
      <c r="AA80" s="9">
        <f t="shared" si="32"/>
        <v>31778355647.700367</v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 spans="1:78" s="4" customFormat="1" x14ac:dyDescent="0.25">
      <c r="A81" s="26">
        <v>237</v>
      </c>
      <c r="B81" s="26">
        <f t="shared" si="18"/>
        <v>3.95</v>
      </c>
      <c r="C81" s="26">
        <v>20</v>
      </c>
      <c r="D81" s="26">
        <f t="shared" si="19"/>
        <v>29.146000000000001</v>
      </c>
      <c r="E81" s="26">
        <f t="shared" si="20"/>
        <v>4.8576666666666667E-7</v>
      </c>
      <c r="F81" s="26">
        <v>21.1</v>
      </c>
      <c r="G81" s="26">
        <f t="shared" si="21"/>
        <v>294.10000000000002</v>
      </c>
      <c r="H81" s="26">
        <v>101.3</v>
      </c>
      <c r="I81" s="26">
        <f t="shared" si="22"/>
        <v>101300</v>
      </c>
      <c r="J81" s="26">
        <f t="shared" si="23"/>
        <v>2.0124824921938581E-5</v>
      </c>
      <c r="K81" s="20">
        <v>275.06930693069307</v>
      </c>
      <c r="L81" s="27">
        <f t="shared" si="24"/>
        <v>2.7506930693069307E-4</v>
      </c>
      <c r="M81" s="29">
        <f t="shared" si="33"/>
        <v>4.7762865441819992E-3</v>
      </c>
      <c r="N81" s="33">
        <f t="shared" si="25"/>
        <v>1.1590011596189207E-6</v>
      </c>
      <c r="O81" s="21">
        <f t="shared" si="34"/>
        <v>2.032E-3</v>
      </c>
      <c r="P81" s="21">
        <v>1.1208581181901367E-10</v>
      </c>
      <c r="Q81" s="2">
        <v>0.31</v>
      </c>
      <c r="R81" s="27">
        <f t="shared" si="26"/>
        <v>131000</v>
      </c>
      <c r="S81" s="2">
        <v>5.2493374855265302E-3</v>
      </c>
      <c r="T81" s="11">
        <v>0.06</v>
      </c>
      <c r="U81" s="30">
        <f t="shared" si="27"/>
        <v>106000</v>
      </c>
      <c r="V81" s="30">
        <f t="shared" si="28"/>
        <v>29.157346534653463</v>
      </c>
      <c r="W81" s="2">
        <f t="shared" si="35"/>
        <v>12</v>
      </c>
      <c r="X81" s="2">
        <f t="shared" si="29"/>
        <v>1.2657724209074418E-6</v>
      </c>
      <c r="Y81" s="11">
        <f t="shared" si="30"/>
        <v>803.54679268235225</v>
      </c>
      <c r="Z81" s="9">
        <f t="shared" si="31"/>
        <v>5.1034159944701539E-14</v>
      </c>
      <c r="AA81" s="9">
        <f t="shared" si="32"/>
        <v>30732771118.699268</v>
      </c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s="4" customFormat="1" x14ac:dyDescent="0.25">
      <c r="A82" s="26">
        <v>240</v>
      </c>
      <c r="B82" s="26">
        <f t="shared" si="18"/>
        <v>4</v>
      </c>
      <c r="C82" s="26">
        <v>20</v>
      </c>
      <c r="D82" s="26">
        <f t="shared" si="19"/>
        <v>29.146000000000001</v>
      </c>
      <c r="E82" s="26">
        <f t="shared" si="20"/>
        <v>4.8576666666666667E-7</v>
      </c>
      <c r="F82" s="26">
        <v>21.1</v>
      </c>
      <c r="G82" s="26">
        <f t="shared" si="21"/>
        <v>294.10000000000002</v>
      </c>
      <c r="H82" s="26">
        <v>101.3</v>
      </c>
      <c r="I82" s="26">
        <f t="shared" si="22"/>
        <v>101300</v>
      </c>
      <c r="J82" s="26">
        <f t="shared" si="23"/>
        <v>2.0124824921938581E-5</v>
      </c>
      <c r="K82" s="20">
        <v>282.29702970297029</v>
      </c>
      <c r="L82" s="27">
        <f t="shared" si="24"/>
        <v>2.8229702970297026E-4</v>
      </c>
      <c r="M82" s="29">
        <f t="shared" si="33"/>
        <v>4.7762865441819992E-3</v>
      </c>
      <c r="N82" s="33">
        <f t="shared" si="25"/>
        <v>1.1894550810976411E-6</v>
      </c>
      <c r="O82" s="21">
        <f t="shared" si="34"/>
        <v>2.032E-3</v>
      </c>
      <c r="P82" s="21">
        <v>1.1208581181901367E-10</v>
      </c>
      <c r="Q82" s="2">
        <v>0.31</v>
      </c>
      <c r="R82" s="27">
        <f t="shared" si="26"/>
        <v>131000</v>
      </c>
      <c r="S82" s="2">
        <v>5.2493374855265302E-3</v>
      </c>
      <c r="T82" s="11">
        <v>0.06</v>
      </c>
      <c r="U82" s="30">
        <f t="shared" si="27"/>
        <v>106000</v>
      </c>
      <c r="V82" s="30">
        <f t="shared" si="28"/>
        <v>29.92348514851485</v>
      </c>
      <c r="W82" s="2">
        <f t="shared" si="35"/>
        <v>12</v>
      </c>
      <c r="X82" s="2">
        <f t="shared" si="29"/>
        <v>1.3001141531796547E-6</v>
      </c>
      <c r="Y82" s="11">
        <f t="shared" si="30"/>
        <v>843.31945489599207</v>
      </c>
      <c r="Z82" s="9">
        <f t="shared" si="31"/>
        <v>5.2434788065945824E-14</v>
      </c>
      <c r="AA82" s="9">
        <f t="shared" si="32"/>
        <v>31576229373.312576</v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s="4" customFormat="1" x14ac:dyDescent="0.25">
      <c r="A83" s="26">
        <v>243</v>
      </c>
      <c r="B83" s="26">
        <f t="shared" si="18"/>
        <v>4.05</v>
      </c>
      <c r="C83" s="26">
        <v>20</v>
      </c>
      <c r="D83" s="26">
        <f t="shared" si="19"/>
        <v>29.146000000000001</v>
      </c>
      <c r="E83" s="26">
        <f t="shared" si="20"/>
        <v>4.8576666666666667E-7</v>
      </c>
      <c r="F83" s="26">
        <v>21.1</v>
      </c>
      <c r="G83" s="26">
        <f t="shared" si="21"/>
        <v>294.10000000000002</v>
      </c>
      <c r="H83" s="26">
        <v>101.3</v>
      </c>
      <c r="I83" s="26">
        <f t="shared" si="22"/>
        <v>101300</v>
      </c>
      <c r="J83" s="26">
        <f t="shared" si="23"/>
        <v>2.0124824921938581E-5</v>
      </c>
      <c r="K83" s="20">
        <v>285.11881188118815</v>
      </c>
      <c r="L83" s="27">
        <f t="shared" si="24"/>
        <v>2.8511881188118815E-4</v>
      </c>
      <c r="M83" s="29">
        <f t="shared" si="33"/>
        <v>4.7762865441819992E-3</v>
      </c>
      <c r="N83" s="33">
        <f t="shared" si="25"/>
        <v>1.2013446257845391E-6</v>
      </c>
      <c r="O83" s="21">
        <f t="shared" si="34"/>
        <v>2.032E-3</v>
      </c>
      <c r="P83" s="21">
        <v>1.1208581181901367E-10</v>
      </c>
      <c r="Q83" s="2">
        <v>0.31</v>
      </c>
      <c r="R83" s="27">
        <f t="shared" si="26"/>
        <v>131000</v>
      </c>
      <c r="S83" s="2">
        <v>5.2493374855265302E-3</v>
      </c>
      <c r="T83" s="11">
        <v>0.06</v>
      </c>
      <c r="U83" s="30">
        <f t="shared" si="27"/>
        <v>106000</v>
      </c>
      <c r="V83" s="30">
        <f t="shared" si="28"/>
        <v>30.222594059405942</v>
      </c>
      <c r="W83" s="2">
        <f t="shared" si="35"/>
        <v>12</v>
      </c>
      <c r="X83" s="2">
        <f t="shared" si="29"/>
        <v>1.3135080135155461E-6</v>
      </c>
      <c r="Y83" s="11">
        <f t="shared" si="30"/>
        <v>859.0791253417591</v>
      </c>
      <c r="Z83" s="9">
        <f t="shared" si="31"/>
        <v>5.2981389762313307E-14</v>
      </c>
      <c r="AA83" s="9">
        <f t="shared" si="32"/>
        <v>31905392914.865074</v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s="4" customFormat="1" x14ac:dyDescent="0.25">
      <c r="A84" s="26">
        <v>246</v>
      </c>
      <c r="B84" s="26">
        <f t="shared" si="18"/>
        <v>4.0999999999999996</v>
      </c>
      <c r="C84" s="26">
        <v>20</v>
      </c>
      <c r="D84" s="26">
        <f t="shared" si="19"/>
        <v>29.146000000000001</v>
      </c>
      <c r="E84" s="26">
        <f t="shared" si="20"/>
        <v>4.8576666666666667E-7</v>
      </c>
      <c r="F84" s="26">
        <v>21.1</v>
      </c>
      <c r="G84" s="26">
        <f t="shared" si="21"/>
        <v>294.10000000000002</v>
      </c>
      <c r="H84" s="26">
        <v>101.3</v>
      </c>
      <c r="I84" s="26">
        <f t="shared" si="22"/>
        <v>101300</v>
      </c>
      <c r="J84" s="26">
        <f t="shared" si="23"/>
        <v>2.0124824921938581E-5</v>
      </c>
      <c r="K84" s="20">
        <v>272.91584158415844</v>
      </c>
      <c r="L84" s="27">
        <f t="shared" si="24"/>
        <v>2.7291584158415847E-4</v>
      </c>
      <c r="M84" s="29">
        <f t="shared" si="33"/>
        <v>4.7762865441819992E-3</v>
      </c>
      <c r="N84" s="33">
        <f t="shared" si="25"/>
        <v>1.1499275597262885E-6</v>
      </c>
      <c r="O84" s="21">
        <f t="shared" si="34"/>
        <v>2.032E-3</v>
      </c>
      <c r="P84" s="21">
        <v>1.1208581181901367E-10</v>
      </c>
      <c r="Q84" s="2">
        <v>0.31</v>
      </c>
      <c r="R84" s="27">
        <f t="shared" si="26"/>
        <v>131000</v>
      </c>
      <c r="S84" s="2">
        <v>5.2493374855265302E-3</v>
      </c>
      <c r="T84" s="11">
        <v>0.06</v>
      </c>
      <c r="U84" s="30">
        <f t="shared" si="27"/>
        <v>106000</v>
      </c>
      <c r="V84" s="30">
        <f t="shared" si="28"/>
        <v>28.929079207920797</v>
      </c>
      <c r="W84" s="2">
        <f t="shared" si="35"/>
        <v>12</v>
      </c>
      <c r="X84" s="2">
        <f t="shared" si="29"/>
        <v>1.2555306156279128E-6</v>
      </c>
      <c r="Y84" s="11">
        <f t="shared" si="30"/>
        <v>791.86237053262323</v>
      </c>
      <c r="Z84" s="9">
        <f t="shared" si="31"/>
        <v>5.0616682219946469E-14</v>
      </c>
      <c r="AA84" s="9">
        <f t="shared" si="32"/>
        <v>30481366032.851765</v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s="4" customFormat="1" x14ac:dyDescent="0.25">
      <c r="A85" s="26">
        <v>249</v>
      </c>
      <c r="B85" s="26">
        <f t="shared" si="18"/>
        <v>4.1500000000000004</v>
      </c>
      <c r="C85" s="26">
        <v>20</v>
      </c>
      <c r="D85" s="26">
        <f t="shared" si="19"/>
        <v>29.146000000000001</v>
      </c>
      <c r="E85" s="26">
        <f t="shared" si="20"/>
        <v>4.8576666666666667E-7</v>
      </c>
      <c r="F85" s="26">
        <v>21.1</v>
      </c>
      <c r="G85" s="26">
        <f t="shared" si="21"/>
        <v>294.10000000000002</v>
      </c>
      <c r="H85" s="26">
        <v>101.3</v>
      </c>
      <c r="I85" s="26">
        <f t="shared" si="22"/>
        <v>101300</v>
      </c>
      <c r="J85" s="26">
        <f t="shared" si="23"/>
        <v>2.0124824921938581E-5</v>
      </c>
      <c r="K85" s="20">
        <v>281.50495049504951</v>
      </c>
      <c r="L85" s="27">
        <f t="shared" si="24"/>
        <v>2.815049504950495E-4</v>
      </c>
      <c r="M85" s="29">
        <f t="shared" si="33"/>
        <v>4.7762865441819992E-3</v>
      </c>
      <c r="N85" s="33">
        <f t="shared" si="25"/>
        <v>1.1861176650451786E-6</v>
      </c>
      <c r="O85" s="21">
        <f t="shared" si="34"/>
        <v>2.032E-3</v>
      </c>
      <c r="P85" s="21">
        <v>1.1208581181901367E-10</v>
      </c>
      <c r="Q85" s="2">
        <v>0.31</v>
      </c>
      <c r="R85" s="27">
        <f t="shared" si="26"/>
        <v>131000</v>
      </c>
      <c r="S85" s="2">
        <v>5.2493374855265302E-3</v>
      </c>
      <c r="T85" s="11">
        <v>0.06</v>
      </c>
      <c r="U85" s="30">
        <f t="shared" si="27"/>
        <v>106000</v>
      </c>
      <c r="V85" s="30">
        <f t="shared" si="28"/>
        <v>29.839524752475246</v>
      </c>
      <c r="W85" s="2">
        <f t="shared" si="35"/>
        <v>12</v>
      </c>
      <c r="X85" s="2">
        <f t="shared" si="29"/>
        <v>1.2963531231368073E-6</v>
      </c>
      <c r="Y85" s="11">
        <f t="shared" si="30"/>
        <v>838.91907677086203</v>
      </c>
      <c r="Z85" s="9">
        <f t="shared" si="31"/>
        <v>5.2281334754550137E-14</v>
      </c>
      <c r="AA85" s="9">
        <f t="shared" si="32"/>
        <v>31483819789.190094</v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s="4" customFormat="1" x14ac:dyDescent="0.25">
      <c r="A86" s="26">
        <v>252</v>
      </c>
      <c r="B86" s="26">
        <f t="shared" si="18"/>
        <v>4.2</v>
      </c>
      <c r="C86" s="26">
        <v>20</v>
      </c>
      <c r="D86" s="26">
        <f t="shared" si="19"/>
        <v>29.146000000000001</v>
      </c>
      <c r="E86" s="26">
        <f t="shared" si="20"/>
        <v>4.8576666666666667E-7</v>
      </c>
      <c r="F86" s="26">
        <v>21.1</v>
      </c>
      <c r="G86" s="26">
        <f t="shared" si="21"/>
        <v>294.10000000000002</v>
      </c>
      <c r="H86" s="26">
        <v>101.3</v>
      </c>
      <c r="I86" s="26">
        <f t="shared" si="22"/>
        <v>101300</v>
      </c>
      <c r="J86" s="26">
        <f t="shared" si="23"/>
        <v>2.0124824921938581E-5</v>
      </c>
      <c r="K86" s="20">
        <v>286.0594059405941</v>
      </c>
      <c r="L86" s="27">
        <f t="shared" si="24"/>
        <v>2.8605940594059409E-4</v>
      </c>
      <c r="M86" s="29">
        <f t="shared" si="33"/>
        <v>4.7762865441819992E-3</v>
      </c>
      <c r="N86" s="33">
        <f t="shared" si="25"/>
        <v>1.2053078073468384E-6</v>
      </c>
      <c r="O86" s="21">
        <f t="shared" si="34"/>
        <v>2.032E-3</v>
      </c>
      <c r="P86" s="21">
        <v>1.1208581181901367E-10</v>
      </c>
      <c r="Q86" s="2">
        <v>0.31</v>
      </c>
      <c r="R86" s="27">
        <f t="shared" si="26"/>
        <v>131000</v>
      </c>
      <c r="S86" s="2">
        <v>5.2493374855265302E-3</v>
      </c>
      <c r="T86" s="11">
        <v>0.06</v>
      </c>
      <c r="U86" s="30">
        <f t="shared" si="27"/>
        <v>106000</v>
      </c>
      <c r="V86" s="30">
        <f t="shared" si="28"/>
        <v>30.322297029702973</v>
      </c>
      <c r="W86" s="2">
        <f t="shared" si="35"/>
        <v>12</v>
      </c>
      <c r="X86" s="2">
        <f t="shared" si="29"/>
        <v>1.3179709780242896E-6</v>
      </c>
      <c r="Y86" s="11">
        <f t="shared" si="30"/>
        <v>864.36124038067805</v>
      </c>
      <c r="Z86" s="9">
        <f t="shared" si="31"/>
        <v>5.3163564767668756E-14</v>
      </c>
      <c r="AA86" s="9">
        <f t="shared" si="32"/>
        <v>32015098703.090126</v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s="4" customFormat="1" x14ac:dyDescent="0.25">
      <c r="A87" s="26">
        <v>255</v>
      </c>
      <c r="B87" s="26">
        <f t="shared" si="18"/>
        <v>4.25</v>
      </c>
      <c r="C87" s="26">
        <v>20</v>
      </c>
      <c r="D87" s="26">
        <f t="shared" si="19"/>
        <v>29.146000000000001</v>
      </c>
      <c r="E87" s="26">
        <f t="shared" si="20"/>
        <v>4.8576666666666667E-7</v>
      </c>
      <c r="F87" s="26">
        <v>21.1</v>
      </c>
      <c r="G87" s="26">
        <f t="shared" si="21"/>
        <v>294.10000000000002</v>
      </c>
      <c r="H87" s="26">
        <v>101.3</v>
      </c>
      <c r="I87" s="26">
        <f t="shared" si="22"/>
        <v>101300</v>
      </c>
      <c r="J87" s="26">
        <f t="shared" si="23"/>
        <v>2.0124824921938581E-5</v>
      </c>
      <c r="K87" s="20">
        <v>277.12376237623766</v>
      </c>
      <c r="L87" s="27">
        <f t="shared" si="24"/>
        <v>2.7712376237623766E-4</v>
      </c>
      <c r="M87" s="29">
        <f t="shared" si="33"/>
        <v>4.7762865441819992E-3</v>
      </c>
      <c r="N87" s="33">
        <f t="shared" si="25"/>
        <v>1.1676575825049957E-6</v>
      </c>
      <c r="O87" s="21">
        <f t="shared" si="34"/>
        <v>2.032E-3</v>
      </c>
      <c r="P87" s="21">
        <v>1.1208581181901367E-10</v>
      </c>
      <c r="Q87" s="2">
        <v>0.31</v>
      </c>
      <c r="R87" s="27">
        <f t="shared" si="26"/>
        <v>131000</v>
      </c>
      <c r="S87" s="2">
        <v>5.2493374855265302E-3</v>
      </c>
      <c r="T87" s="11">
        <v>0.06</v>
      </c>
      <c r="U87" s="30">
        <f t="shared" si="27"/>
        <v>106000</v>
      </c>
      <c r="V87" s="30">
        <f t="shared" si="28"/>
        <v>29.37511881188119</v>
      </c>
      <c r="W87" s="2">
        <f t="shared" si="35"/>
        <v>12</v>
      </c>
      <c r="X87" s="2">
        <f t="shared" si="29"/>
        <v>1.2755390838082218E-6</v>
      </c>
      <c r="Y87" s="11">
        <f t="shared" si="30"/>
        <v>814.76495699597035</v>
      </c>
      <c r="Z87" s="9">
        <f t="shared" si="31"/>
        <v>5.1432369613012309E-14</v>
      </c>
      <c r="AA87" s="9">
        <f t="shared" si="32"/>
        <v>30972572980.956013</v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s="4" customFormat="1" x14ac:dyDescent="0.25">
      <c r="A88" s="26">
        <v>258</v>
      </c>
      <c r="B88" s="26">
        <f t="shared" si="18"/>
        <v>4.3</v>
      </c>
      <c r="C88" s="26">
        <v>20</v>
      </c>
      <c r="D88" s="26">
        <f t="shared" si="19"/>
        <v>29.146000000000001</v>
      </c>
      <c r="E88" s="26">
        <f t="shared" si="20"/>
        <v>4.8576666666666667E-7</v>
      </c>
      <c r="F88" s="26">
        <v>21.1</v>
      </c>
      <c r="G88" s="26">
        <f t="shared" si="21"/>
        <v>294.10000000000002</v>
      </c>
      <c r="H88" s="26">
        <v>101.3</v>
      </c>
      <c r="I88" s="26">
        <f t="shared" si="22"/>
        <v>101300</v>
      </c>
      <c r="J88" s="26">
        <f t="shared" si="23"/>
        <v>2.0124824921938581E-5</v>
      </c>
      <c r="K88" s="20">
        <v>288.83168316831689</v>
      </c>
      <c r="L88" s="27">
        <f t="shared" si="24"/>
        <v>2.8883168316831687E-4</v>
      </c>
      <c r="M88" s="29">
        <f t="shared" si="33"/>
        <v>4.7762865441819992E-3</v>
      </c>
      <c r="N88" s="33">
        <f t="shared" si="25"/>
        <v>1.2169887635304571E-6</v>
      </c>
      <c r="O88" s="21">
        <f t="shared" si="34"/>
        <v>2.032E-3</v>
      </c>
      <c r="P88" s="21">
        <v>1.1208581181901367E-10</v>
      </c>
      <c r="Q88" s="2">
        <v>0.31</v>
      </c>
      <c r="R88" s="27">
        <f t="shared" si="26"/>
        <v>131000</v>
      </c>
      <c r="S88" s="2">
        <v>5.2493374855265302E-3</v>
      </c>
      <c r="T88" s="11">
        <v>0.06</v>
      </c>
      <c r="U88" s="30">
        <f t="shared" si="27"/>
        <v>106000</v>
      </c>
      <c r="V88" s="30">
        <f t="shared" si="28"/>
        <v>30.616158415841589</v>
      </c>
      <c r="W88" s="2">
        <f t="shared" si="35"/>
        <v>12</v>
      </c>
      <c r="X88" s="2">
        <f t="shared" si="29"/>
        <v>1.3311202179984011E-6</v>
      </c>
      <c r="Y88" s="11">
        <f t="shared" si="30"/>
        <v>880.01351263865149</v>
      </c>
      <c r="Z88" s="9">
        <f t="shared" si="31"/>
        <v>5.3700430246816496E-14</v>
      </c>
      <c r="AA88" s="9">
        <f t="shared" si="32"/>
        <v>32338399094.632896</v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s="4" customFormat="1" x14ac:dyDescent="0.25">
      <c r="A89" s="26">
        <v>261</v>
      </c>
      <c r="B89" s="26">
        <f t="shared" si="18"/>
        <v>4.3499999999999996</v>
      </c>
      <c r="C89" s="26">
        <v>20</v>
      </c>
      <c r="D89" s="26">
        <f t="shared" si="19"/>
        <v>29.146000000000001</v>
      </c>
      <c r="E89" s="26">
        <f t="shared" si="20"/>
        <v>4.8576666666666667E-7</v>
      </c>
      <c r="F89" s="26">
        <v>21.1</v>
      </c>
      <c r="G89" s="26">
        <f t="shared" si="21"/>
        <v>294.10000000000002</v>
      </c>
      <c r="H89" s="26">
        <v>101.3</v>
      </c>
      <c r="I89" s="26">
        <f t="shared" si="22"/>
        <v>101300</v>
      </c>
      <c r="J89" s="26">
        <f t="shared" si="23"/>
        <v>2.0124824921938581E-5</v>
      </c>
      <c r="K89" s="20">
        <v>279.35148514851488</v>
      </c>
      <c r="L89" s="27">
        <f t="shared" si="24"/>
        <v>2.793514851485149E-4</v>
      </c>
      <c r="M89" s="29">
        <f t="shared" si="33"/>
        <v>4.7762865441819992E-3</v>
      </c>
      <c r="N89" s="33">
        <f t="shared" si="25"/>
        <v>1.1770440651525466E-6</v>
      </c>
      <c r="O89" s="21">
        <f t="shared" si="34"/>
        <v>2.032E-3</v>
      </c>
      <c r="P89" s="21">
        <v>1.1208581181901367E-10</v>
      </c>
      <c r="Q89" s="2">
        <v>0.31</v>
      </c>
      <c r="R89" s="27">
        <f t="shared" si="26"/>
        <v>131000</v>
      </c>
      <c r="S89" s="2">
        <v>5.2493374855265302E-3</v>
      </c>
      <c r="T89" s="11">
        <v>0.06</v>
      </c>
      <c r="U89" s="30">
        <f t="shared" si="27"/>
        <v>106000</v>
      </c>
      <c r="V89" s="30">
        <f t="shared" si="28"/>
        <v>29.611257425742579</v>
      </c>
      <c r="W89" s="2">
        <f t="shared" si="35"/>
        <v>12</v>
      </c>
      <c r="X89" s="2">
        <f t="shared" si="29"/>
        <v>1.2861248005349513E-6</v>
      </c>
      <c r="Y89" s="11">
        <f t="shared" si="30"/>
        <v>827.00743377826177</v>
      </c>
      <c r="Z89" s="9">
        <f t="shared" si="31"/>
        <v>5.1864084810671624E-14</v>
      </c>
      <c r="AA89" s="9">
        <f t="shared" si="32"/>
        <v>31232551872.986454</v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s="4" customFormat="1" x14ac:dyDescent="0.25">
      <c r="A90" s="26">
        <v>264</v>
      </c>
      <c r="B90" s="26">
        <f t="shared" si="18"/>
        <v>4.4000000000000004</v>
      </c>
      <c r="C90" s="26">
        <v>20</v>
      </c>
      <c r="D90" s="26">
        <f t="shared" si="19"/>
        <v>29.146000000000001</v>
      </c>
      <c r="E90" s="26">
        <f t="shared" si="20"/>
        <v>4.8576666666666667E-7</v>
      </c>
      <c r="F90" s="26">
        <v>21.1</v>
      </c>
      <c r="G90" s="26">
        <f t="shared" si="21"/>
        <v>294.10000000000002</v>
      </c>
      <c r="H90" s="26">
        <v>101.3</v>
      </c>
      <c r="I90" s="26">
        <f t="shared" si="22"/>
        <v>101300</v>
      </c>
      <c r="J90" s="26">
        <f t="shared" si="23"/>
        <v>2.0124824921938581E-5</v>
      </c>
      <c r="K90" s="20">
        <v>280.71287128712873</v>
      </c>
      <c r="L90" s="27">
        <f t="shared" si="24"/>
        <v>2.8071287128712873E-4</v>
      </c>
      <c r="M90" s="29">
        <f t="shared" si="33"/>
        <v>4.7762865441819992E-3</v>
      </c>
      <c r="N90" s="33">
        <f t="shared" si="25"/>
        <v>1.1827802489927161E-6</v>
      </c>
      <c r="O90" s="21">
        <f t="shared" si="34"/>
        <v>2.032E-3</v>
      </c>
      <c r="P90" s="21">
        <v>1.1208581181901367E-10</v>
      </c>
      <c r="Q90" s="2">
        <v>0.31</v>
      </c>
      <c r="R90" s="27">
        <f t="shared" si="26"/>
        <v>131000</v>
      </c>
      <c r="S90" s="2">
        <v>5.2493374855265302E-3</v>
      </c>
      <c r="T90" s="11">
        <v>0.06</v>
      </c>
      <c r="U90" s="30">
        <f t="shared" si="27"/>
        <v>106000</v>
      </c>
      <c r="V90" s="30">
        <f t="shared" si="28"/>
        <v>29.755564356435645</v>
      </c>
      <c r="W90" s="2">
        <f t="shared" si="35"/>
        <v>12</v>
      </c>
      <c r="X90" s="2">
        <f t="shared" si="29"/>
        <v>1.2925914967056458E-6</v>
      </c>
      <c r="Y90" s="11">
        <f t="shared" si="30"/>
        <v>834.52895977156527</v>
      </c>
      <c r="Z90" s="9">
        <f t="shared" si="31"/>
        <v>5.2127871876503761E-14</v>
      </c>
      <c r="AA90" s="9">
        <f t="shared" si="32"/>
        <v>31391404444.030567</v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s="4" customFormat="1" x14ac:dyDescent="0.25">
      <c r="A91" s="26">
        <v>267</v>
      </c>
      <c r="B91" s="26">
        <f t="shared" si="18"/>
        <v>4.45</v>
      </c>
      <c r="C91" s="26">
        <v>20</v>
      </c>
      <c r="D91" s="26">
        <f t="shared" si="19"/>
        <v>29.146000000000001</v>
      </c>
      <c r="E91" s="26">
        <f t="shared" si="20"/>
        <v>4.8576666666666667E-7</v>
      </c>
      <c r="F91" s="26">
        <v>21.1</v>
      </c>
      <c r="G91" s="26">
        <f t="shared" si="21"/>
        <v>294.10000000000002</v>
      </c>
      <c r="H91" s="26">
        <v>101.3</v>
      </c>
      <c r="I91" s="26">
        <f t="shared" si="22"/>
        <v>101300</v>
      </c>
      <c r="J91" s="26">
        <f t="shared" si="23"/>
        <v>2.0124824921938581E-5</v>
      </c>
      <c r="K91" s="20">
        <v>285.63861386138615</v>
      </c>
      <c r="L91" s="27">
        <f t="shared" si="24"/>
        <v>2.8563861386138615E-4</v>
      </c>
      <c r="M91" s="29">
        <f t="shared" si="33"/>
        <v>4.7762865441819992E-3</v>
      </c>
      <c r="N91" s="33">
        <f t="shared" si="25"/>
        <v>1.2035348050689675E-6</v>
      </c>
      <c r="O91" s="21">
        <f t="shared" si="34"/>
        <v>2.032E-3</v>
      </c>
      <c r="P91" s="21">
        <v>1.1208581181901367E-10</v>
      </c>
      <c r="Q91" s="2">
        <v>0.31</v>
      </c>
      <c r="R91" s="27">
        <f t="shared" si="26"/>
        <v>131000</v>
      </c>
      <c r="S91" s="2">
        <v>5.2493374855265302E-3</v>
      </c>
      <c r="T91" s="11">
        <v>0.06</v>
      </c>
      <c r="U91" s="30">
        <f t="shared" si="27"/>
        <v>106000</v>
      </c>
      <c r="V91" s="30">
        <f t="shared" si="28"/>
        <v>30.277693069306931</v>
      </c>
      <c r="W91" s="2">
        <f t="shared" si="35"/>
        <v>12</v>
      </c>
      <c r="X91" s="2">
        <f t="shared" si="29"/>
        <v>1.3159744903680009E-6</v>
      </c>
      <c r="Y91" s="11">
        <f t="shared" si="30"/>
        <v>861.99640429777901</v>
      </c>
      <c r="Z91" s="9">
        <f t="shared" si="31"/>
        <v>5.3082066970585939E-14</v>
      </c>
      <c r="AA91" s="9">
        <f t="shared" si="32"/>
        <v>31966020729.686855</v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s="4" customFormat="1" x14ac:dyDescent="0.25">
      <c r="A92" s="26">
        <v>270</v>
      </c>
      <c r="B92" s="26">
        <f t="shared" si="18"/>
        <v>4.5</v>
      </c>
      <c r="C92" s="26">
        <v>20</v>
      </c>
      <c r="D92" s="26">
        <f t="shared" si="19"/>
        <v>29.146000000000001</v>
      </c>
      <c r="E92" s="26">
        <f t="shared" si="20"/>
        <v>4.8576666666666667E-7</v>
      </c>
      <c r="F92" s="26">
        <v>21.1</v>
      </c>
      <c r="G92" s="26">
        <f t="shared" si="21"/>
        <v>294.10000000000002</v>
      </c>
      <c r="H92" s="26">
        <v>101.3</v>
      </c>
      <c r="I92" s="26">
        <f t="shared" si="22"/>
        <v>101300</v>
      </c>
      <c r="J92" s="26">
        <f t="shared" si="23"/>
        <v>2.0124824921938581E-5</v>
      </c>
      <c r="K92" s="20">
        <v>279.32673267326737</v>
      </c>
      <c r="L92" s="27">
        <f t="shared" si="24"/>
        <v>2.7932673267326737E-4</v>
      </c>
      <c r="M92" s="29">
        <f t="shared" si="33"/>
        <v>4.7762865441819992E-3</v>
      </c>
      <c r="N92" s="33">
        <f t="shared" si="25"/>
        <v>1.176939770900907E-6</v>
      </c>
      <c r="O92" s="21">
        <f t="shared" si="34"/>
        <v>2.032E-3</v>
      </c>
      <c r="P92" s="21">
        <v>1.1208581181901367E-10</v>
      </c>
      <c r="Q92" s="2">
        <v>0.31</v>
      </c>
      <c r="R92" s="27">
        <f t="shared" si="26"/>
        <v>131000</v>
      </c>
      <c r="S92" s="2">
        <v>5.2493374855265302E-3</v>
      </c>
      <c r="T92" s="11">
        <v>0.06</v>
      </c>
      <c r="U92" s="30">
        <f t="shared" si="27"/>
        <v>106000</v>
      </c>
      <c r="V92" s="30">
        <f t="shared" si="28"/>
        <v>29.608633663366341</v>
      </c>
      <c r="W92" s="2">
        <f t="shared" si="35"/>
        <v>12</v>
      </c>
      <c r="X92" s="2">
        <f t="shared" si="29"/>
        <v>1.2860072077839024E-6</v>
      </c>
      <c r="Y92" s="11">
        <f t="shared" si="30"/>
        <v>826.87095960790168</v>
      </c>
      <c r="Z92" s="9">
        <f t="shared" si="31"/>
        <v>5.1859288412608094E-14</v>
      </c>
      <c r="AA92" s="9">
        <f t="shared" si="32"/>
        <v>31229663482.072594</v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</row>
    <row r="93" spans="1:78" s="4" customFormat="1" x14ac:dyDescent="0.25">
      <c r="A93" s="26">
        <v>273</v>
      </c>
      <c r="B93" s="26">
        <f t="shared" si="18"/>
        <v>4.55</v>
      </c>
      <c r="C93" s="26">
        <v>20</v>
      </c>
      <c r="D93" s="26">
        <f t="shared" si="19"/>
        <v>29.146000000000001</v>
      </c>
      <c r="E93" s="26">
        <f t="shared" si="20"/>
        <v>4.8576666666666667E-7</v>
      </c>
      <c r="F93" s="26">
        <v>21.1</v>
      </c>
      <c r="G93" s="26">
        <f t="shared" si="21"/>
        <v>294.10000000000002</v>
      </c>
      <c r="H93" s="26">
        <v>101.3</v>
      </c>
      <c r="I93" s="26">
        <f t="shared" si="22"/>
        <v>101300</v>
      </c>
      <c r="J93" s="26">
        <f t="shared" si="23"/>
        <v>2.0124824921938581E-5</v>
      </c>
      <c r="K93" s="20">
        <v>278.78217821782181</v>
      </c>
      <c r="L93" s="27">
        <f t="shared" si="24"/>
        <v>2.7878217821782178E-4</v>
      </c>
      <c r="M93" s="29">
        <f t="shared" si="33"/>
        <v>4.7762865441819992E-3</v>
      </c>
      <c r="N93" s="33">
        <f t="shared" si="25"/>
        <v>1.1746452973648387E-6</v>
      </c>
      <c r="O93" s="21">
        <f t="shared" si="34"/>
        <v>2.032E-3</v>
      </c>
      <c r="P93" s="21">
        <v>1.1208581181901367E-10</v>
      </c>
      <c r="Q93" s="2">
        <v>0.31</v>
      </c>
      <c r="R93" s="27">
        <f t="shared" si="26"/>
        <v>131000</v>
      </c>
      <c r="S93" s="2">
        <v>5.2493374855265302E-3</v>
      </c>
      <c r="T93" s="11">
        <v>0.06</v>
      </c>
      <c r="U93" s="30">
        <f t="shared" si="27"/>
        <v>106000</v>
      </c>
      <c r="V93" s="30">
        <f t="shared" si="28"/>
        <v>29.55091089108911</v>
      </c>
      <c r="W93" s="2">
        <f t="shared" si="35"/>
        <v>12</v>
      </c>
      <c r="X93" s="2">
        <f t="shared" si="29"/>
        <v>1.2834200180455448E-6</v>
      </c>
      <c r="Y93" s="11">
        <f t="shared" si="30"/>
        <v>823.87106644494793</v>
      </c>
      <c r="Z93" s="9">
        <f t="shared" si="31"/>
        <v>5.1753765191776369E-14</v>
      </c>
      <c r="AA93" s="9">
        <f t="shared" si="32"/>
        <v>31166117398.487732</v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</row>
    <row r="94" spans="1:78" s="4" customFormat="1" x14ac:dyDescent="0.25">
      <c r="A94" s="26">
        <v>276</v>
      </c>
      <c r="B94" s="26">
        <f t="shared" si="18"/>
        <v>4.5999999999999996</v>
      </c>
      <c r="C94" s="26">
        <v>20</v>
      </c>
      <c r="D94" s="26">
        <f t="shared" si="19"/>
        <v>29.146000000000001</v>
      </c>
      <c r="E94" s="26">
        <f t="shared" si="20"/>
        <v>4.8576666666666667E-7</v>
      </c>
      <c r="F94" s="26">
        <v>21.1</v>
      </c>
      <c r="G94" s="26">
        <f t="shared" si="21"/>
        <v>294.10000000000002</v>
      </c>
      <c r="H94" s="26">
        <v>101.3</v>
      </c>
      <c r="I94" s="26">
        <f t="shared" si="22"/>
        <v>101300</v>
      </c>
      <c r="J94" s="26">
        <f t="shared" si="23"/>
        <v>2.0124824921938581E-5</v>
      </c>
      <c r="K94" s="20">
        <v>277.59405940594064</v>
      </c>
      <c r="L94" s="27">
        <f t="shared" si="24"/>
        <v>2.7759405940594066E-4</v>
      </c>
      <c r="M94" s="29">
        <f t="shared" si="33"/>
        <v>4.7762865441819992E-3</v>
      </c>
      <c r="N94" s="33">
        <f t="shared" si="25"/>
        <v>1.1696391732861454E-6</v>
      </c>
      <c r="O94" s="21">
        <f t="shared" si="34"/>
        <v>2.032E-3</v>
      </c>
      <c r="P94" s="21">
        <v>1.1208581181901367E-10</v>
      </c>
      <c r="Q94" s="2">
        <v>0.31</v>
      </c>
      <c r="R94" s="27">
        <f t="shared" si="26"/>
        <v>131000</v>
      </c>
      <c r="S94" s="2">
        <v>5.2493374855265302E-3</v>
      </c>
      <c r="T94" s="11">
        <v>0.06</v>
      </c>
      <c r="U94" s="30">
        <f t="shared" si="27"/>
        <v>106000</v>
      </c>
      <c r="V94" s="30">
        <f t="shared" si="28"/>
        <v>29.424970297029709</v>
      </c>
      <c r="W94" s="2">
        <f t="shared" si="35"/>
        <v>12</v>
      </c>
      <c r="X94" s="2">
        <f t="shared" si="29"/>
        <v>1.2777742464680366E-6</v>
      </c>
      <c r="Y94" s="11">
        <f t="shared" si="30"/>
        <v>817.34270762455685</v>
      </c>
      <c r="Z94" s="9">
        <f t="shared" si="31"/>
        <v>5.1523516185115724E-14</v>
      </c>
      <c r="AA94" s="9">
        <f t="shared" si="32"/>
        <v>31027461446.676689</v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</row>
    <row r="95" spans="1:78" s="4" customFormat="1" x14ac:dyDescent="0.25">
      <c r="A95" s="26">
        <v>279</v>
      </c>
      <c r="B95" s="26">
        <f t="shared" si="18"/>
        <v>4.6500000000000004</v>
      </c>
      <c r="C95" s="26">
        <v>20</v>
      </c>
      <c r="D95" s="26">
        <f t="shared" si="19"/>
        <v>29.146000000000001</v>
      </c>
      <c r="E95" s="26">
        <f t="shared" si="20"/>
        <v>4.8576666666666667E-7</v>
      </c>
      <c r="F95" s="26">
        <v>21.1</v>
      </c>
      <c r="G95" s="26">
        <f t="shared" si="21"/>
        <v>294.10000000000002</v>
      </c>
      <c r="H95" s="26">
        <v>101.3</v>
      </c>
      <c r="I95" s="26">
        <f t="shared" si="22"/>
        <v>101300</v>
      </c>
      <c r="J95" s="26">
        <f t="shared" si="23"/>
        <v>2.0124824921938581E-5</v>
      </c>
      <c r="K95" s="20">
        <v>276.00990099009903</v>
      </c>
      <c r="L95" s="27">
        <f t="shared" si="24"/>
        <v>2.7600990099009901E-4</v>
      </c>
      <c r="M95" s="29">
        <f t="shared" si="33"/>
        <v>4.7762865441819992E-3</v>
      </c>
      <c r="N95" s="33">
        <f t="shared" si="25"/>
        <v>1.16296434118122E-6</v>
      </c>
      <c r="O95" s="21">
        <f t="shared" si="34"/>
        <v>2.032E-3</v>
      </c>
      <c r="P95" s="21">
        <v>1.1208581181901367E-10</v>
      </c>
      <c r="Q95" s="2">
        <v>0.31</v>
      </c>
      <c r="R95" s="27">
        <f t="shared" si="26"/>
        <v>131000</v>
      </c>
      <c r="S95" s="2">
        <v>5.2493374855265302E-3</v>
      </c>
      <c r="T95" s="11">
        <v>0.06</v>
      </c>
      <c r="U95" s="30">
        <f t="shared" si="27"/>
        <v>106000</v>
      </c>
      <c r="V95" s="30">
        <f t="shared" si="28"/>
        <v>29.257049504950494</v>
      </c>
      <c r="W95" s="2">
        <f t="shared" si="35"/>
        <v>12</v>
      </c>
      <c r="X95" s="2">
        <f t="shared" si="29"/>
        <v>1.2702444178725712E-6</v>
      </c>
      <c r="Y95" s="11">
        <f t="shared" si="30"/>
        <v>808.67422553566814</v>
      </c>
      <c r="Z95" s="9">
        <f t="shared" si="31"/>
        <v>5.1216481580888555E-14</v>
      </c>
      <c r="AA95" s="9">
        <f t="shared" si="32"/>
        <v>30842565208.011089</v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</row>
    <row r="96" spans="1:78" s="4" customFormat="1" x14ac:dyDescent="0.25">
      <c r="A96" s="26">
        <v>282</v>
      </c>
      <c r="B96" s="26">
        <f t="shared" si="18"/>
        <v>4.7</v>
      </c>
      <c r="C96" s="26">
        <v>20</v>
      </c>
      <c r="D96" s="26">
        <f t="shared" si="19"/>
        <v>29.146000000000001</v>
      </c>
      <c r="E96" s="26">
        <f t="shared" si="20"/>
        <v>4.8576666666666667E-7</v>
      </c>
      <c r="F96" s="26">
        <v>21.1</v>
      </c>
      <c r="G96" s="26">
        <f t="shared" si="21"/>
        <v>294.10000000000002</v>
      </c>
      <c r="H96" s="26">
        <v>101.3</v>
      </c>
      <c r="I96" s="26">
        <f t="shared" si="22"/>
        <v>101300</v>
      </c>
      <c r="J96" s="26">
        <f t="shared" si="23"/>
        <v>2.0124824921938581E-5</v>
      </c>
      <c r="K96" s="20">
        <v>279.42574257425741</v>
      </c>
      <c r="L96" s="27">
        <f t="shared" si="24"/>
        <v>2.7942574257425743E-4</v>
      </c>
      <c r="M96" s="29">
        <f t="shared" si="33"/>
        <v>4.7762865441819992E-3</v>
      </c>
      <c r="N96" s="33">
        <f t="shared" si="25"/>
        <v>1.1773569479074647E-6</v>
      </c>
      <c r="O96" s="21">
        <f t="shared" si="34"/>
        <v>2.032E-3</v>
      </c>
      <c r="P96" s="21">
        <v>1.1208581181901367E-10</v>
      </c>
      <c r="Q96" s="2">
        <v>0.31</v>
      </c>
      <c r="R96" s="27">
        <f t="shared" si="26"/>
        <v>131000</v>
      </c>
      <c r="S96" s="2">
        <v>5.2493374855265302E-3</v>
      </c>
      <c r="T96" s="11">
        <v>0.06</v>
      </c>
      <c r="U96" s="30">
        <f t="shared" si="27"/>
        <v>106000</v>
      </c>
      <c r="V96" s="30">
        <f t="shared" si="28"/>
        <v>29.619128712871287</v>
      </c>
      <c r="W96" s="2">
        <f t="shared" si="35"/>
        <v>12</v>
      </c>
      <c r="X96" s="2">
        <f t="shared" si="29"/>
        <v>1.2864775752534712E-6</v>
      </c>
      <c r="Y96" s="11">
        <f t="shared" si="30"/>
        <v>827.41691648560914</v>
      </c>
      <c r="Z96" s="9">
        <f t="shared" si="31"/>
        <v>5.1878473946658373E-14</v>
      </c>
      <c r="AA96" s="9">
        <f t="shared" si="32"/>
        <v>31241217010.677673</v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</row>
    <row r="97" spans="1:78" s="4" customFormat="1" x14ac:dyDescent="0.25">
      <c r="A97" s="26">
        <v>285</v>
      </c>
      <c r="B97" s="26">
        <f t="shared" si="18"/>
        <v>4.75</v>
      </c>
      <c r="C97" s="26">
        <v>20</v>
      </c>
      <c r="D97" s="26">
        <f t="shared" si="19"/>
        <v>29.146000000000001</v>
      </c>
      <c r="E97" s="26">
        <f t="shared" si="20"/>
        <v>4.8576666666666667E-7</v>
      </c>
      <c r="F97" s="26">
        <v>21.1</v>
      </c>
      <c r="G97" s="26">
        <f t="shared" si="21"/>
        <v>294.10000000000002</v>
      </c>
      <c r="H97" s="26">
        <v>101.3</v>
      </c>
      <c r="I97" s="26">
        <f t="shared" si="22"/>
        <v>101300</v>
      </c>
      <c r="J97" s="26">
        <f t="shared" si="23"/>
        <v>2.0124824921938581E-5</v>
      </c>
      <c r="K97" s="20">
        <v>274.15346534653469</v>
      </c>
      <c r="L97" s="27">
        <f t="shared" si="24"/>
        <v>2.7415346534653471E-4</v>
      </c>
      <c r="M97" s="29">
        <f t="shared" si="33"/>
        <v>4.7762865441819992E-3</v>
      </c>
      <c r="N97" s="33">
        <f t="shared" si="25"/>
        <v>1.1551422723082611E-6</v>
      </c>
      <c r="O97" s="21">
        <f t="shared" si="34"/>
        <v>2.032E-3</v>
      </c>
      <c r="P97" s="21">
        <v>1.1208581181901367E-10</v>
      </c>
      <c r="Q97" s="2">
        <v>0.31</v>
      </c>
      <c r="R97" s="27">
        <f t="shared" si="26"/>
        <v>131000</v>
      </c>
      <c r="S97" s="2">
        <v>5.2493374855265302E-3</v>
      </c>
      <c r="T97" s="11">
        <v>0.06</v>
      </c>
      <c r="U97" s="30">
        <f t="shared" si="27"/>
        <v>106000</v>
      </c>
      <c r="V97" s="30">
        <f t="shared" si="28"/>
        <v>29.060267326732678</v>
      </c>
      <c r="W97" s="2">
        <f t="shared" si="35"/>
        <v>12</v>
      </c>
      <c r="X97" s="2">
        <f t="shared" si="29"/>
        <v>1.2614172714901445E-6</v>
      </c>
      <c r="Y97" s="11">
        <f t="shared" si="30"/>
        <v>798.56824696355579</v>
      </c>
      <c r="Z97" s="9">
        <f t="shared" si="31"/>
        <v>5.0856621766522068E-14</v>
      </c>
      <c r="AA97" s="9">
        <f t="shared" si="32"/>
        <v>30625857627.799591</v>
      </c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</row>
    <row r="98" spans="1:78" s="4" customFormat="1" x14ac:dyDescent="0.25">
      <c r="A98" s="26">
        <v>288</v>
      </c>
      <c r="B98" s="26">
        <f t="shared" si="18"/>
        <v>4.8</v>
      </c>
      <c r="C98" s="26">
        <v>20</v>
      </c>
      <c r="D98" s="26">
        <f t="shared" si="19"/>
        <v>29.146000000000001</v>
      </c>
      <c r="E98" s="26">
        <f t="shared" si="20"/>
        <v>4.8576666666666667E-7</v>
      </c>
      <c r="F98" s="26">
        <v>21.1</v>
      </c>
      <c r="G98" s="26">
        <f t="shared" si="21"/>
        <v>294.10000000000002</v>
      </c>
      <c r="H98" s="26">
        <v>101.3</v>
      </c>
      <c r="I98" s="26">
        <f t="shared" si="22"/>
        <v>101300</v>
      </c>
      <c r="J98" s="26">
        <f t="shared" si="23"/>
        <v>2.0124824921938581E-5</v>
      </c>
      <c r="K98" s="20">
        <v>280.56435643564362</v>
      </c>
      <c r="L98" s="27">
        <f t="shared" si="24"/>
        <v>2.8056435643564361E-4</v>
      </c>
      <c r="M98" s="29">
        <f t="shared" si="33"/>
        <v>4.7762865441819992E-3</v>
      </c>
      <c r="N98" s="33">
        <f t="shared" si="25"/>
        <v>1.1821544834828798E-6</v>
      </c>
      <c r="O98" s="21">
        <f t="shared" si="34"/>
        <v>2.032E-3</v>
      </c>
      <c r="P98" s="21">
        <v>1.1208581181901367E-10</v>
      </c>
      <c r="Q98" s="2">
        <v>0.31</v>
      </c>
      <c r="R98" s="27">
        <f t="shared" si="26"/>
        <v>131000</v>
      </c>
      <c r="S98" s="2">
        <v>5.2493374855265302E-3</v>
      </c>
      <c r="T98" s="11">
        <v>0.06</v>
      </c>
      <c r="U98" s="30">
        <f t="shared" si="27"/>
        <v>106000</v>
      </c>
      <c r="V98" s="30">
        <f t="shared" si="28"/>
        <v>29.739821782178222</v>
      </c>
      <c r="W98" s="2">
        <f t="shared" si="35"/>
        <v>12</v>
      </c>
      <c r="X98" s="2">
        <f t="shared" si="29"/>
        <v>1.2918861251502514E-6</v>
      </c>
      <c r="Y98" s="11">
        <f t="shared" si="30"/>
        <v>833.70695555654913</v>
      </c>
      <c r="Z98" s="9">
        <f t="shared" si="31"/>
        <v>5.2099096510856078E-14</v>
      </c>
      <c r="AA98" s="9">
        <f t="shared" si="32"/>
        <v>31374075918.837532</v>
      </c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</row>
    <row r="99" spans="1:78" s="4" customFormat="1" x14ac:dyDescent="0.25">
      <c r="A99" s="26">
        <v>291</v>
      </c>
      <c r="B99" s="26">
        <f t="shared" si="18"/>
        <v>4.8499999999999996</v>
      </c>
      <c r="C99" s="26">
        <v>20</v>
      </c>
      <c r="D99" s="26">
        <f t="shared" si="19"/>
        <v>29.146000000000001</v>
      </c>
      <c r="E99" s="26">
        <f t="shared" si="20"/>
        <v>4.8576666666666667E-7</v>
      </c>
      <c r="F99" s="26">
        <v>21.1</v>
      </c>
      <c r="G99" s="26">
        <f t="shared" si="21"/>
        <v>294.10000000000002</v>
      </c>
      <c r="H99" s="26">
        <v>101.3</v>
      </c>
      <c r="I99" s="26">
        <f t="shared" si="22"/>
        <v>101300</v>
      </c>
      <c r="J99" s="26">
        <f t="shared" si="23"/>
        <v>2.0124824921938581E-5</v>
      </c>
      <c r="K99" s="20">
        <v>284.47524752475249</v>
      </c>
      <c r="L99" s="27">
        <f t="shared" si="24"/>
        <v>2.844752475247525E-4</v>
      </c>
      <c r="M99" s="29">
        <f t="shared" si="33"/>
        <v>4.7762865441819992E-3</v>
      </c>
      <c r="N99" s="33">
        <f t="shared" si="25"/>
        <v>1.1986329752419134E-6</v>
      </c>
      <c r="O99" s="21">
        <f t="shared" si="34"/>
        <v>2.032E-3</v>
      </c>
      <c r="P99" s="21">
        <v>1.1208581181901367E-10</v>
      </c>
      <c r="Q99" s="2">
        <v>0.31</v>
      </c>
      <c r="R99" s="27">
        <f t="shared" si="26"/>
        <v>131000</v>
      </c>
      <c r="S99" s="2">
        <v>5.2493374855265302E-3</v>
      </c>
      <c r="T99" s="11">
        <v>0.06</v>
      </c>
      <c r="U99" s="30">
        <f t="shared" si="27"/>
        <v>106000</v>
      </c>
      <c r="V99" s="30">
        <f t="shared" si="28"/>
        <v>30.154376237623765</v>
      </c>
      <c r="W99" s="2">
        <f t="shared" si="35"/>
        <v>12</v>
      </c>
      <c r="X99" s="2">
        <f t="shared" si="29"/>
        <v>1.3104539310856124E-6</v>
      </c>
      <c r="Y99" s="11">
        <f t="shared" si="30"/>
        <v>855.47336662420798</v>
      </c>
      <c r="Z99" s="9">
        <f t="shared" si="31"/>
        <v>5.2856736441032709E-14</v>
      </c>
      <c r="AA99" s="9">
        <f t="shared" si="32"/>
        <v>31830326684.789898</v>
      </c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</row>
    <row r="100" spans="1:78" s="4" customFormat="1" x14ac:dyDescent="0.25">
      <c r="A100" s="26">
        <v>294</v>
      </c>
      <c r="B100" s="26">
        <f t="shared" si="18"/>
        <v>4.9000000000000004</v>
      </c>
      <c r="C100" s="26">
        <v>20</v>
      </c>
      <c r="D100" s="26">
        <f t="shared" si="19"/>
        <v>29.146000000000001</v>
      </c>
      <c r="E100" s="26">
        <f t="shared" si="20"/>
        <v>4.8576666666666667E-7</v>
      </c>
      <c r="F100" s="26">
        <v>21.1</v>
      </c>
      <c r="G100" s="26">
        <f t="shared" si="21"/>
        <v>294.10000000000002</v>
      </c>
      <c r="H100" s="26">
        <v>101.3</v>
      </c>
      <c r="I100" s="26">
        <f t="shared" si="22"/>
        <v>101300</v>
      </c>
      <c r="J100" s="26">
        <f t="shared" si="23"/>
        <v>2.0124824921938581E-5</v>
      </c>
      <c r="K100" s="20">
        <v>278.08910891089107</v>
      </c>
      <c r="L100" s="27">
        <f t="shared" si="24"/>
        <v>2.7808910891089108E-4</v>
      </c>
      <c r="M100" s="29">
        <f t="shared" si="33"/>
        <v>4.7762865441819992E-3</v>
      </c>
      <c r="N100" s="33">
        <f t="shared" si="25"/>
        <v>1.1717250583189342E-6</v>
      </c>
      <c r="O100" s="21">
        <f t="shared" si="34"/>
        <v>2.032E-3</v>
      </c>
      <c r="P100" s="21">
        <v>1.1208581181901367E-10</v>
      </c>
      <c r="Q100" s="2">
        <v>0.31</v>
      </c>
      <c r="R100" s="27">
        <f t="shared" si="26"/>
        <v>131000</v>
      </c>
      <c r="S100" s="2">
        <v>5.2493374855265302E-3</v>
      </c>
      <c r="T100" s="11">
        <v>0.06</v>
      </c>
      <c r="U100" s="30">
        <f t="shared" si="27"/>
        <v>106000</v>
      </c>
      <c r="V100" s="30">
        <f t="shared" si="28"/>
        <v>29.477445544554453</v>
      </c>
      <c r="W100" s="2">
        <f t="shared" si="35"/>
        <v>12</v>
      </c>
      <c r="X100" s="2">
        <f t="shared" si="29"/>
        <v>1.2801268173214859E-6</v>
      </c>
      <c r="Y100" s="11">
        <f t="shared" si="30"/>
        <v>820.06004603462873</v>
      </c>
      <c r="Z100" s="9">
        <f t="shared" si="31"/>
        <v>5.1619456044992267E-14</v>
      </c>
      <c r="AA100" s="9">
        <f t="shared" si="32"/>
        <v>31085236430.294346</v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</row>
    <row r="101" spans="1:78" s="4" customFormat="1" x14ac:dyDescent="0.25">
      <c r="A101" s="26">
        <v>297</v>
      </c>
      <c r="B101" s="26">
        <f t="shared" si="18"/>
        <v>4.95</v>
      </c>
      <c r="C101" s="26">
        <v>20</v>
      </c>
      <c r="D101" s="26">
        <f t="shared" si="19"/>
        <v>29.146000000000001</v>
      </c>
      <c r="E101" s="26">
        <f t="shared" si="20"/>
        <v>4.8576666666666667E-7</v>
      </c>
      <c r="F101" s="26">
        <v>21.1</v>
      </c>
      <c r="G101" s="26">
        <f t="shared" si="21"/>
        <v>294.10000000000002</v>
      </c>
      <c r="H101" s="26">
        <v>101.3</v>
      </c>
      <c r="I101" s="26">
        <f t="shared" si="22"/>
        <v>101300</v>
      </c>
      <c r="J101" s="26">
        <f t="shared" si="23"/>
        <v>2.0124824921938581E-5</v>
      </c>
      <c r="K101" s="20">
        <v>274.05445544554453</v>
      </c>
      <c r="L101" s="27">
        <f t="shared" si="24"/>
        <v>2.7405445544554453E-4</v>
      </c>
      <c r="M101" s="29">
        <f t="shared" si="33"/>
        <v>4.7762865441819992E-3</v>
      </c>
      <c r="N101" s="33">
        <f t="shared" si="25"/>
        <v>1.154725095301703E-6</v>
      </c>
      <c r="O101" s="21">
        <f t="shared" si="34"/>
        <v>2.032E-3</v>
      </c>
      <c r="P101" s="21">
        <v>1.1208581181901367E-10</v>
      </c>
      <c r="Q101" s="2">
        <v>0.31</v>
      </c>
      <c r="R101" s="27">
        <f t="shared" si="26"/>
        <v>131000</v>
      </c>
      <c r="S101" s="2">
        <v>5.2493374855265302E-3</v>
      </c>
      <c r="T101" s="11">
        <v>0.06</v>
      </c>
      <c r="U101" s="30">
        <f t="shared" si="27"/>
        <v>106000</v>
      </c>
      <c r="V101" s="30">
        <f t="shared" si="28"/>
        <v>29.049772277227721</v>
      </c>
      <c r="W101" s="2">
        <f t="shared" si="35"/>
        <v>12</v>
      </c>
      <c r="X101" s="2">
        <f t="shared" si="29"/>
        <v>1.2609463949086788E-6</v>
      </c>
      <c r="Y101" s="11">
        <f t="shared" si="30"/>
        <v>798.03085082681912</v>
      </c>
      <c r="Z101" s="9">
        <f t="shared" si="31"/>
        <v>5.0837427584909151E-14</v>
      </c>
      <c r="AA101" s="9">
        <f t="shared" si="32"/>
        <v>30614298891.632294</v>
      </c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</row>
    <row r="102" spans="1:78" s="4" customFormat="1" x14ac:dyDescent="0.25">
      <c r="A102" s="26">
        <v>300</v>
      </c>
      <c r="B102" s="26">
        <f t="shared" si="18"/>
        <v>5</v>
      </c>
      <c r="C102" s="26">
        <v>20</v>
      </c>
      <c r="D102" s="26">
        <f t="shared" si="19"/>
        <v>29.146000000000001</v>
      </c>
      <c r="E102" s="26">
        <f t="shared" si="20"/>
        <v>4.8576666666666667E-7</v>
      </c>
      <c r="F102" s="26">
        <v>21.1</v>
      </c>
      <c r="G102" s="26">
        <f t="shared" si="21"/>
        <v>294.10000000000002</v>
      </c>
      <c r="H102" s="26">
        <v>101.3</v>
      </c>
      <c r="I102" s="26">
        <f t="shared" si="22"/>
        <v>101300</v>
      </c>
      <c r="J102" s="26">
        <f t="shared" si="23"/>
        <v>2.0124824921938581E-5</v>
      </c>
      <c r="K102" s="20">
        <v>284.10396039603961</v>
      </c>
      <c r="L102" s="27">
        <f t="shared" si="24"/>
        <v>2.8410396039603962E-4</v>
      </c>
      <c r="M102" s="29">
        <f t="shared" si="33"/>
        <v>4.7762865441819992E-3</v>
      </c>
      <c r="N102" s="33">
        <f t="shared" si="25"/>
        <v>1.1970685614673213E-6</v>
      </c>
      <c r="O102" s="21">
        <f t="shared" si="34"/>
        <v>2.032E-3</v>
      </c>
      <c r="P102" s="21">
        <v>1.1208581181901367E-10</v>
      </c>
      <c r="Q102" s="2">
        <v>0.31</v>
      </c>
      <c r="R102" s="27">
        <f t="shared" si="26"/>
        <v>131000</v>
      </c>
      <c r="S102" s="2">
        <v>5.2493374855265302E-3</v>
      </c>
      <c r="T102" s="11">
        <v>0.06</v>
      </c>
      <c r="U102" s="30">
        <f t="shared" si="27"/>
        <v>106000</v>
      </c>
      <c r="V102" s="30">
        <f t="shared" si="28"/>
        <v>30.1150198019802</v>
      </c>
      <c r="W102" s="2">
        <f t="shared" si="35"/>
        <v>12</v>
      </c>
      <c r="X102" s="2">
        <f t="shared" si="29"/>
        <v>1.3086917842439194E-6</v>
      </c>
      <c r="Y102" s="11">
        <f t="shared" si="30"/>
        <v>853.39619731178414</v>
      </c>
      <c r="Z102" s="9">
        <f t="shared" si="31"/>
        <v>5.2784818345680925E-14</v>
      </c>
      <c r="AA102" s="9">
        <f t="shared" si="32"/>
        <v>31787017607.769054</v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</row>
    <row r="103" spans="1:78" s="4" customFormat="1" x14ac:dyDescent="0.25">
      <c r="A103" s="26">
        <v>303</v>
      </c>
      <c r="B103" s="26">
        <f t="shared" si="18"/>
        <v>5.05</v>
      </c>
      <c r="C103" s="26">
        <v>20</v>
      </c>
      <c r="D103" s="26">
        <f t="shared" si="19"/>
        <v>29.146000000000001</v>
      </c>
      <c r="E103" s="26">
        <f t="shared" si="20"/>
        <v>4.8576666666666667E-7</v>
      </c>
      <c r="F103" s="26">
        <v>21.1</v>
      </c>
      <c r="G103" s="26">
        <f t="shared" si="21"/>
        <v>294.10000000000002</v>
      </c>
      <c r="H103" s="26">
        <v>101.3</v>
      </c>
      <c r="I103" s="26">
        <f t="shared" si="22"/>
        <v>101300</v>
      </c>
      <c r="J103" s="26">
        <f t="shared" si="23"/>
        <v>2.0124824921938581E-5</v>
      </c>
      <c r="K103" s="20">
        <v>270.71287128712873</v>
      </c>
      <c r="L103" s="27">
        <f t="shared" si="24"/>
        <v>2.7071287128712876E-4</v>
      </c>
      <c r="M103" s="29">
        <f t="shared" si="33"/>
        <v>4.7762865441819992E-3</v>
      </c>
      <c r="N103" s="33">
        <f t="shared" si="25"/>
        <v>1.140645371330377E-6</v>
      </c>
      <c r="O103" s="21">
        <f t="shared" si="34"/>
        <v>2.032E-3</v>
      </c>
      <c r="P103" s="21">
        <v>1.1208581181901367E-10</v>
      </c>
      <c r="Q103" s="2">
        <v>0.31</v>
      </c>
      <c r="R103" s="27">
        <f t="shared" si="26"/>
        <v>131000</v>
      </c>
      <c r="S103" s="2">
        <v>5.2493374855265302E-3</v>
      </c>
      <c r="T103" s="11">
        <v>0.06</v>
      </c>
      <c r="U103" s="30">
        <f t="shared" si="27"/>
        <v>106000</v>
      </c>
      <c r="V103" s="30">
        <f t="shared" si="28"/>
        <v>28.695564356435646</v>
      </c>
      <c r="W103" s="2">
        <f t="shared" si="35"/>
        <v>12</v>
      </c>
      <c r="X103" s="2">
        <f t="shared" si="29"/>
        <v>1.2450485875739778E-6</v>
      </c>
      <c r="Y103" s="11">
        <f t="shared" si="30"/>
        <v>779.98821110485926</v>
      </c>
      <c r="Z103" s="9">
        <f t="shared" si="31"/>
        <v>5.0189522580056242E-14</v>
      </c>
      <c r="AA103" s="9">
        <f t="shared" si="32"/>
        <v>30224130497.709869</v>
      </c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</row>
    <row r="104" spans="1:78" s="4" customFormat="1" x14ac:dyDescent="0.25">
      <c r="A104" s="26">
        <v>306</v>
      </c>
      <c r="B104" s="26">
        <f t="shared" si="18"/>
        <v>5.0999999999999996</v>
      </c>
      <c r="C104" s="26">
        <v>20</v>
      </c>
      <c r="D104" s="26">
        <f t="shared" si="19"/>
        <v>29.146000000000001</v>
      </c>
      <c r="E104" s="26">
        <f t="shared" si="20"/>
        <v>4.8576666666666667E-7</v>
      </c>
      <c r="F104" s="26">
        <v>21.1</v>
      </c>
      <c r="G104" s="26">
        <f t="shared" si="21"/>
        <v>294.10000000000002</v>
      </c>
      <c r="H104" s="26">
        <v>101.3</v>
      </c>
      <c r="I104" s="26">
        <f t="shared" si="22"/>
        <v>101300</v>
      </c>
      <c r="J104" s="26">
        <f t="shared" si="23"/>
        <v>2.0124824921938581E-5</v>
      </c>
      <c r="K104" s="20">
        <v>292.84158415841586</v>
      </c>
      <c r="L104" s="27">
        <f t="shared" si="24"/>
        <v>2.9284158415841588E-4</v>
      </c>
      <c r="M104" s="29">
        <f t="shared" si="33"/>
        <v>4.7762865441819992E-3</v>
      </c>
      <c r="N104" s="33">
        <f t="shared" si="25"/>
        <v>1.2338844322960486E-6</v>
      </c>
      <c r="O104" s="21">
        <f t="shared" si="34"/>
        <v>2.032E-3</v>
      </c>
      <c r="P104" s="21">
        <v>1.1208581181901367E-10</v>
      </c>
      <c r="Q104" s="2">
        <v>0.31</v>
      </c>
      <c r="R104" s="27">
        <f t="shared" si="26"/>
        <v>131000</v>
      </c>
      <c r="S104" s="2">
        <v>5.2493374855265302E-3</v>
      </c>
      <c r="T104" s="11">
        <v>0.06</v>
      </c>
      <c r="U104" s="30">
        <f t="shared" si="27"/>
        <v>106000</v>
      </c>
      <c r="V104" s="30">
        <f t="shared" si="28"/>
        <v>31.041207920792083</v>
      </c>
      <c r="W104" s="2">
        <f t="shared" si="35"/>
        <v>12</v>
      </c>
      <c r="X104" s="2">
        <f t="shared" si="29"/>
        <v>1.3501272431678926E-6</v>
      </c>
      <c r="Y104" s="11">
        <f t="shared" si="30"/>
        <v>902.8748610480427</v>
      </c>
      <c r="Z104" s="9">
        <f t="shared" si="31"/>
        <v>5.4476788324278147E-14</v>
      </c>
      <c r="AA104" s="9">
        <f t="shared" si="32"/>
        <v>32805921928.880302</v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</row>
    <row r="105" spans="1:78" s="4" customFormat="1" x14ac:dyDescent="0.25">
      <c r="A105" s="26">
        <v>309</v>
      </c>
      <c r="B105" s="26">
        <f t="shared" si="18"/>
        <v>5.15</v>
      </c>
      <c r="C105" s="26">
        <v>20</v>
      </c>
      <c r="D105" s="26">
        <f t="shared" si="19"/>
        <v>29.146000000000001</v>
      </c>
      <c r="E105" s="26">
        <f t="shared" si="20"/>
        <v>4.8576666666666667E-7</v>
      </c>
      <c r="F105" s="26">
        <v>21.1</v>
      </c>
      <c r="G105" s="26">
        <f t="shared" si="21"/>
        <v>294.10000000000002</v>
      </c>
      <c r="H105" s="26">
        <v>101.3</v>
      </c>
      <c r="I105" s="26">
        <f t="shared" si="22"/>
        <v>101300</v>
      </c>
      <c r="J105" s="26">
        <f t="shared" si="23"/>
        <v>2.0124824921938581E-5</v>
      </c>
      <c r="K105" s="20">
        <v>282.79207920792084</v>
      </c>
      <c r="L105" s="27">
        <f t="shared" si="24"/>
        <v>2.8279207920792085E-4</v>
      </c>
      <c r="M105" s="29">
        <f t="shared" si="33"/>
        <v>4.7762865441819992E-3</v>
      </c>
      <c r="N105" s="33">
        <f t="shared" si="25"/>
        <v>1.1915409661304305E-6</v>
      </c>
      <c r="O105" s="21">
        <f t="shared" si="34"/>
        <v>2.032E-3</v>
      </c>
      <c r="P105" s="21">
        <v>1.1208581181901367E-10</v>
      </c>
      <c r="Q105" s="2">
        <v>0.31</v>
      </c>
      <c r="R105" s="27">
        <f t="shared" si="26"/>
        <v>131000</v>
      </c>
      <c r="S105" s="2">
        <v>5.2493374855265302E-3</v>
      </c>
      <c r="T105" s="11">
        <v>0.06</v>
      </c>
      <c r="U105" s="30">
        <f t="shared" si="27"/>
        <v>106000</v>
      </c>
      <c r="V105" s="30">
        <f t="shared" si="28"/>
        <v>29.975960396039611</v>
      </c>
      <c r="W105" s="2">
        <f t="shared" si="35"/>
        <v>12</v>
      </c>
      <c r="X105" s="2">
        <f t="shared" si="29"/>
        <v>1.3024644952182534E-6</v>
      </c>
      <c r="Y105" s="11">
        <f t="shared" si="30"/>
        <v>846.07489993098318</v>
      </c>
      <c r="Z105" s="9">
        <f t="shared" si="31"/>
        <v>5.2530691587363761E-14</v>
      </c>
      <c r="AA105" s="9">
        <f t="shared" si="32"/>
        <v>31633982473.910458</v>
      </c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</row>
    <row r="106" spans="1:78" s="4" customFormat="1" x14ac:dyDescent="0.25">
      <c r="A106" s="26">
        <v>312</v>
      </c>
      <c r="B106" s="26">
        <f t="shared" si="18"/>
        <v>5.2</v>
      </c>
      <c r="C106" s="26">
        <v>20</v>
      </c>
      <c r="D106" s="26">
        <f t="shared" si="19"/>
        <v>29.146000000000001</v>
      </c>
      <c r="E106" s="26">
        <f t="shared" si="20"/>
        <v>4.8576666666666667E-7</v>
      </c>
      <c r="F106" s="26">
        <v>21.1</v>
      </c>
      <c r="G106" s="26">
        <f t="shared" si="21"/>
        <v>294.10000000000002</v>
      </c>
      <c r="H106" s="26">
        <v>101.3</v>
      </c>
      <c r="I106" s="26">
        <f t="shared" si="22"/>
        <v>101300</v>
      </c>
      <c r="J106" s="26">
        <f t="shared" si="23"/>
        <v>2.0124824921938581E-5</v>
      </c>
      <c r="K106" s="20">
        <v>272.32178217821786</v>
      </c>
      <c r="L106" s="27">
        <f t="shared" si="24"/>
        <v>2.7232178217821788E-4</v>
      </c>
      <c r="M106" s="29">
        <f t="shared" si="33"/>
        <v>4.7762865441819992E-3</v>
      </c>
      <c r="N106" s="33">
        <f t="shared" si="25"/>
        <v>1.1474244976869417E-6</v>
      </c>
      <c r="O106" s="21">
        <f t="shared" si="34"/>
        <v>2.032E-3</v>
      </c>
      <c r="P106" s="21">
        <v>1.1208581181901367E-10</v>
      </c>
      <c r="Q106" s="2">
        <v>0.31</v>
      </c>
      <c r="R106" s="27">
        <f t="shared" si="26"/>
        <v>131000</v>
      </c>
      <c r="S106" s="2">
        <v>5.2493374855265302E-3</v>
      </c>
      <c r="T106" s="11">
        <v>0.06</v>
      </c>
      <c r="U106" s="30">
        <f t="shared" si="27"/>
        <v>106000</v>
      </c>
      <c r="V106" s="30">
        <f t="shared" si="28"/>
        <v>28.866108910891096</v>
      </c>
      <c r="W106" s="2">
        <f t="shared" si="35"/>
        <v>12</v>
      </c>
      <c r="X106" s="2">
        <f t="shared" si="29"/>
        <v>1.2527044796652039E-6</v>
      </c>
      <c r="Y106" s="11">
        <f t="shared" si="30"/>
        <v>788.65249099754442</v>
      </c>
      <c r="Z106" s="9">
        <f t="shared" si="31"/>
        <v>5.0501501667809127E-14</v>
      </c>
      <c r="AA106" s="9">
        <f t="shared" si="32"/>
        <v>30412004304.354656</v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</row>
    <row r="107" spans="1:78" s="4" customFormat="1" x14ac:dyDescent="0.25">
      <c r="A107" s="26">
        <v>315</v>
      </c>
      <c r="B107" s="26">
        <f t="shared" si="18"/>
        <v>5.25</v>
      </c>
      <c r="C107" s="26">
        <v>20</v>
      </c>
      <c r="D107" s="26">
        <f t="shared" si="19"/>
        <v>29.146000000000001</v>
      </c>
      <c r="E107" s="26">
        <f t="shared" si="20"/>
        <v>4.8576666666666667E-7</v>
      </c>
      <c r="F107" s="26">
        <v>21.1</v>
      </c>
      <c r="G107" s="26">
        <f t="shared" si="21"/>
        <v>294.10000000000002</v>
      </c>
      <c r="H107" s="26">
        <v>101.3</v>
      </c>
      <c r="I107" s="26">
        <f t="shared" si="22"/>
        <v>101300</v>
      </c>
      <c r="J107" s="26">
        <f t="shared" si="23"/>
        <v>2.0124824921938581E-5</v>
      </c>
      <c r="K107" s="20">
        <v>270.24257425742576</v>
      </c>
      <c r="L107" s="27">
        <f t="shared" si="24"/>
        <v>2.7024257425742576E-4</v>
      </c>
      <c r="M107" s="29">
        <f t="shared" si="33"/>
        <v>4.7762865441819992E-3</v>
      </c>
      <c r="N107" s="33">
        <f t="shared" si="25"/>
        <v>1.1386637805492273E-6</v>
      </c>
      <c r="O107" s="21">
        <f t="shared" si="34"/>
        <v>2.032E-3</v>
      </c>
      <c r="P107" s="21">
        <v>1.1208581181901367E-10</v>
      </c>
      <c r="Q107" s="2">
        <v>0.31</v>
      </c>
      <c r="R107" s="27">
        <f t="shared" si="26"/>
        <v>131000</v>
      </c>
      <c r="S107" s="2">
        <v>5.2493374855265302E-3</v>
      </c>
      <c r="T107" s="11">
        <v>0.06</v>
      </c>
      <c r="U107" s="30">
        <f t="shared" si="27"/>
        <v>106000</v>
      </c>
      <c r="V107" s="30">
        <f t="shared" si="28"/>
        <v>28.645712871287131</v>
      </c>
      <c r="W107" s="2">
        <f t="shared" si="35"/>
        <v>12</v>
      </c>
      <c r="X107" s="2">
        <f t="shared" si="29"/>
        <v>1.2428102196268689E-6</v>
      </c>
      <c r="Y107" s="11">
        <f t="shared" si="30"/>
        <v>777.4636200596733</v>
      </c>
      <c r="Z107" s="9">
        <f t="shared" si="31"/>
        <v>5.0098319804249633E-14</v>
      </c>
      <c r="AA107" s="9">
        <f t="shared" si="32"/>
        <v>30169208186.119129</v>
      </c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</row>
    <row r="108" spans="1:78" s="4" customFormat="1" x14ac:dyDescent="0.25">
      <c r="A108" s="26">
        <v>318</v>
      </c>
      <c r="B108" s="26">
        <f t="shared" si="18"/>
        <v>5.3</v>
      </c>
      <c r="C108" s="26">
        <v>20</v>
      </c>
      <c r="D108" s="26">
        <f t="shared" si="19"/>
        <v>29.146000000000001</v>
      </c>
      <c r="E108" s="26">
        <f t="shared" si="20"/>
        <v>4.8576666666666667E-7</v>
      </c>
      <c r="F108" s="26">
        <v>21.1</v>
      </c>
      <c r="G108" s="26">
        <f t="shared" si="21"/>
        <v>294.10000000000002</v>
      </c>
      <c r="H108" s="26">
        <v>101.3</v>
      </c>
      <c r="I108" s="26">
        <f t="shared" si="22"/>
        <v>101300</v>
      </c>
      <c r="J108" s="26">
        <f t="shared" si="23"/>
        <v>2.0124824921938581E-5</v>
      </c>
      <c r="K108" s="20">
        <v>286.20792079207922</v>
      </c>
      <c r="L108" s="27">
        <f t="shared" si="24"/>
        <v>2.8620792079207921E-4</v>
      </c>
      <c r="M108" s="29">
        <f t="shared" si="33"/>
        <v>4.7762865441819992E-3</v>
      </c>
      <c r="N108" s="33">
        <f t="shared" si="25"/>
        <v>1.2059335728566749E-6</v>
      </c>
      <c r="O108" s="21">
        <f t="shared" si="34"/>
        <v>2.032E-3</v>
      </c>
      <c r="P108" s="21">
        <v>1.1208581181901367E-10</v>
      </c>
      <c r="Q108" s="2">
        <v>0.31</v>
      </c>
      <c r="R108" s="27">
        <f t="shared" si="26"/>
        <v>131000</v>
      </c>
      <c r="S108" s="2">
        <v>5.2493374855265302E-3</v>
      </c>
      <c r="T108" s="11">
        <v>0.06</v>
      </c>
      <c r="U108" s="30">
        <f t="shared" si="27"/>
        <v>106000</v>
      </c>
      <c r="V108" s="30">
        <f t="shared" si="28"/>
        <v>30.338039603960397</v>
      </c>
      <c r="W108" s="2">
        <f t="shared" si="35"/>
        <v>12</v>
      </c>
      <c r="X108" s="2">
        <f t="shared" si="29"/>
        <v>1.3186755814774947E-6</v>
      </c>
      <c r="Y108" s="11">
        <f t="shared" si="30"/>
        <v>865.19657812498588</v>
      </c>
      <c r="Z108" s="9">
        <f t="shared" si="31"/>
        <v>5.3192328101943595E-14</v>
      </c>
      <c r="AA108" s="9">
        <f t="shared" si="32"/>
        <v>32032419982.990433</v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</row>
    <row r="109" spans="1:78" s="4" customFormat="1" x14ac:dyDescent="0.25">
      <c r="A109" s="26">
        <v>321</v>
      </c>
      <c r="B109" s="26">
        <f t="shared" si="18"/>
        <v>5.35</v>
      </c>
      <c r="C109" s="26">
        <v>20</v>
      </c>
      <c r="D109" s="26">
        <f t="shared" si="19"/>
        <v>29.146000000000001</v>
      </c>
      <c r="E109" s="26">
        <f t="shared" si="20"/>
        <v>4.8576666666666667E-7</v>
      </c>
      <c r="F109" s="26">
        <v>21.1</v>
      </c>
      <c r="G109" s="26">
        <f t="shared" si="21"/>
        <v>294.10000000000002</v>
      </c>
      <c r="H109" s="26">
        <v>101.3</v>
      </c>
      <c r="I109" s="26">
        <f t="shared" si="22"/>
        <v>101300</v>
      </c>
      <c r="J109" s="26">
        <f t="shared" si="23"/>
        <v>2.0124824921938581E-5</v>
      </c>
      <c r="K109" s="20">
        <v>285.21782178217825</v>
      </c>
      <c r="L109" s="27">
        <f t="shared" si="24"/>
        <v>2.8521782178217827E-4</v>
      </c>
      <c r="M109" s="29">
        <f t="shared" si="33"/>
        <v>4.7762865441819992E-3</v>
      </c>
      <c r="N109" s="33">
        <f t="shared" si="25"/>
        <v>1.201761802791097E-6</v>
      </c>
      <c r="O109" s="21">
        <f t="shared" si="34"/>
        <v>2.032E-3</v>
      </c>
      <c r="P109" s="21">
        <v>1.1208581181901367E-10</v>
      </c>
      <c r="Q109" s="2">
        <v>0.31</v>
      </c>
      <c r="R109" s="27">
        <f t="shared" si="26"/>
        <v>131000</v>
      </c>
      <c r="S109" s="2">
        <v>5.2493374855265302E-3</v>
      </c>
      <c r="T109" s="11">
        <v>0.06</v>
      </c>
      <c r="U109" s="30">
        <f t="shared" si="27"/>
        <v>106000</v>
      </c>
      <c r="V109" s="30">
        <f t="shared" si="28"/>
        <v>30.233089108910896</v>
      </c>
      <c r="W109" s="2">
        <f t="shared" si="35"/>
        <v>12</v>
      </c>
      <c r="X109" s="2">
        <f t="shared" si="29"/>
        <v>1.3139778380358635E-6</v>
      </c>
      <c r="Y109" s="11">
        <f t="shared" si="30"/>
        <v>859.63445754423196</v>
      </c>
      <c r="Z109" s="9">
        <f t="shared" si="31"/>
        <v>5.300056666970546E-14</v>
      </c>
      <c r="AA109" s="9">
        <f t="shared" si="32"/>
        <v>31916941248.496628</v>
      </c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</row>
    <row r="110" spans="1:78" s="4" customFormat="1" x14ac:dyDescent="0.25">
      <c r="A110" s="26">
        <v>324</v>
      </c>
      <c r="B110" s="26">
        <f t="shared" si="18"/>
        <v>5.4</v>
      </c>
      <c r="C110" s="26">
        <v>20</v>
      </c>
      <c r="D110" s="26">
        <f t="shared" si="19"/>
        <v>29.146000000000001</v>
      </c>
      <c r="E110" s="26">
        <f t="shared" si="20"/>
        <v>4.8576666666666667E-7</v>
      </c>
      <c r="F110" s="26">
        <v>21.1</v>
      </c>
      <c r="G110" s="26">
        <f t="shared" si="21"/>
        <v>294.10000000000002</v>
      </c>
      <c r="H110" s="26">
        <v>101.3</v>
      </c>
      <c r="I110" s="26">
        <f t="shared" si="22"/>
        <v>101300</v>
      </c>
      <c r="J110" s="26">
        <f t="shared" si="23"/>
        <v>2.0124824921938581E-5</v>
      </c>
      <c r="K110" s="20">
        <v>274.20297029702971</v>
      </c>
      <c r="L110" s="27">
        <f t="shared" si="24"/>
        <v>2.7420297029702971E-4</v>
      </c>
      <c r="M110" s="29">
        <f t="shared" si="33"/>
        <v>4.7762865441819992E-3</v>
      </c>
      <c r="N110" s="33">
        <f t="shared" si="25"/>
        <v>1.15535086081154E-6</v>
      </c>
      <c r="O110" s="21">
        <f t="shared" si="34"/>
        <v>2.032E-3</v>
      </c>
      <c r="P110" s="21">
        <v>1.1208581181901367E-10</v>
      </c>
      <c r="Q110" s="2">
        <v>0.31</v>
      </c>
      <c r="R110" s="27">
        <f t="shared" si="26"/>
        <v>131000</v>
      </c>
      <c r="S110" s="2">
        <v>5.2493374855265302E-3</v>
      </c>
      <c r="T110" s="11">
        <v>0.06</v>
      </c>
      <c r="U110" s="30">
        <f t="shared" si="27"/>
        <v>106000</v>
      </c>
      <c r="V110" s="30">
        <f t="shared" si="28"/>
        <v>29.065514851485148</v>
      </c>
      <c r="W110" s="2">
        <f t="shared" si="35"/>
        <v>12</v>
      </c>
      <c r="X110" s="2">
        <f t="shared" si="29"/>
        <v>1.2616527061445996E-6</v>
      </c>
      <c r="Y110" s="11">
        <f t="shared" si="30"/>
        <v>798.83700540954521</v>
      </c>
      <c r="Z110" s="9">
        <f t="shared" si="31"/>
        <v>5.0866218793729194E-14</v>
      </c>
      <c r="AA110" s="9">
        <f t="shared" si="32"/>
        <v>30631636957.583721</v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</row>
    <row r="111" spans="1:78" s="4" customFormat="1" x14ac:dyDescent="0.25">
      <c r="A111" s="26">
        <v>327</v>
      </c>
      <c r="B111" s="26">
        <f t="shared" si="18"/>
        <v>5.45</v>
      </c>
      <c r="C111" s="26">
        <v>20</v>
      </c>
      <c r="D111" s="26">
        <f t="shared" si="19"/>
        <v>29.146000000000001</v>
      </c>
      <c r="E111" s="26">
        <f t="shared" si="20"/>
        <v>4.8576666666666667E-7</v>
      </c>
      <c r="F111" s="26">
        <v>21.1</v>
      </c>
      <c r="G111" s="26">
        <f t="shared" si="21"/>
        <v>294.10000000000002</v>
      </c>
      <c r="H111" s="26">
        <v>101.3</v>
      </c>
      <c r="I111" s="26">
        <f t="shared" si="22"/>
        <v>101300</v>
      </c>
      <c r="J111" s="26">
        <f t="shared" si="23"/>
        <v>2.0124824921938581E-5</v>
      </c>
      <c r="K111" s="20">
        <v>280.29207920792084</v>
      </c>
      <c r="L111" s="27">
        <f t="shared" si="24"/>
        <v>2.8029207920792084E-4</v>
      </c>
      <c r="M111" s="29">
        <f t="shared" si="33"/>
        <v>4.7762865441819992E-3</v>
      </c>
      <c r="N111" s="33">
        <f t="shared" si="25"/>
        <v>1.1810072467148456E-6</v>
      </c>
      <c r="O111" s="21">
        <f t="shared" si="34"/>
        <v>2.032E-3</v>
      </c>
      <c r="P111" s="21">
        <v>1.1208581181901367E-10</v>
      </c>
      <c r="Q111" s="2">
        <v>0.31</v>
      </c>
      <c r="R111" s="27">
        <f t="shared" si="26"/>
        <v>131000</v>
      </c>
      <c r="S111" s="2">
        <v>5.2493374855265302E-3</v>
      </c>
      <c r="T111" s="11">
        <v>0.06</v>
      </c>
      <c r="U111" s="30">
        <f t="shared" si="27"/>
        <v>106000</v>
      </c>
      <c r="V111" s="30">
        <f t="shared" si="28"/>
        <v>29.71096039603961</v>
      </c>
      <c r="W111" s="2">
        <f t="shared" si="35"/>
        <v>12</v>
      </c>
      <c r="X111" s="2">
        <f t="shared" si="29"/>
        <v>1.2905928892239624E-6</v>
      </c>
      <c r="Y111" s="11">
        <f t="shared" si="30"/>
        <v>832.20088527513224</v>
      </c>
      <c r="Z111" s="9">
        <f t="shared" si="31"/>
        <v>5.2046340784991876E-14</v>
      </c>
      <c r="AA111" s="9">
        <f t="shared" si="32"/>
        <v>31342306420.722111</v>
      </c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</row>
    <row r="112" spans="1:78" s="4" customFormat="1" x14ac:dyDescent="0.25">
      <c r="A112" s="26">
        <v>330</v>
      </c>
      <c r="B112" s="26">
        <f t="shared" si="18"/>
        <v>5.5</v>
      </c>
      <c r="C112" s="26">
        <v>20</v>
      </c>
      <c r="D112" s="26">
        <f t="shared" si="19"/>
        <v>29.146000000000001</v>
      </c>
      <c r="E112" s="26">
        <f t="shared" si="20"/>
        <v>4.8576666666666667E-7</v>
      </c>
      <c r="F112" s="26">
        <v>21.1</v>
      </c>
      <c r="G112" s="26">
        <f t="shared" si="21"/>
        <v>294.10000000000002</v>
      </c>
      <c r="H112" s="26">
        <v>101.3</v>
      </c>
      <c r="I112" s="26">
        <f t="shared" si="22"/>
        <v>101300</v>
      </c>
      <c r="J112" s="26">
        <f t="shared" si="23"/>
        <v>2.0124824921938581E-5</v>
      </c>
      <c r="K112" s="20">
        <v>279.25247524752479</v>
      </c>
      <c r="L112" s="27">
        <f t="shared" si="24"/>
        <v>2.7925247524752478E-4</v>
      </c>
      <c r="M112" s="29">
        <f t="shared" si="33"/>
        <v>4.7762865441819992E-3</v>
      </c>
      <c r="N112" s="33">
        <f t="shared" si="25"/>
        <v>1.1766268881459887E-6</v>
      </c>
      <c r="O112" s="21">
        <f t="shared" si="34"/>
        <v>2.032E-3</v>
      </c>
      <c r="P112" s="21">
        <v>1.1208581181901367E-10</v>
      </c>
      <c r="Q112" s="2">
        <v>0.31</v>
      </c>
      <c r="R112" s="27">
        <f t="shared" si="26"/>
        <v>131000</v>
      </c>
      <c r="S112" s="2">
        <v>5.2493374855265302E-3</v>
      </c>
      <c r="T112" s="11">
        <v>0.06</v>
      </c>
      <c r="U112" s="30">
        <f t="shared" si="27"/>
        <v>106000</v>
      </c>
      <c r="V112" s="30">
        <f t="shared" si="28"/>
        <v>29.600762376237626</v>
      </c>
      <c r="W112" s="2">
        <f t="shared" si="35"/>
        <v>12</v>
      </c>
      <c r="X112" s="2">
        <f t="shared" si="29"/>
        <v>1.2856544259950342E-6</v>
      </c>
      <c r="Y112" s="11">
        <f t="shared" si="30"/>
        <v>826.46159729505985</v>
      </c>
      <c r="Z112" s="9">
        <f t="shared" si="31"/>
        <v>5.1844899160155189E-14</v>
      </c>
      <c r="AA112" s="9">
        <f t="shared" si="32"/>
        <v>31220998274.245457</v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</row>
    <row r="113" spans="1:78" s="4" customFormat="1" x14ac:dyDescent="0.25">
      <c r="A113" s="26">
        <v>333</v>
      </c>
      <c r="B113" s="26">
        <f t="shared" si="18"/>
        <v>5.55</v>
      </c>
      <c r="C113" s="26">
        <v>20</v>
      </c>
      <c r="D113" s="26">
        <f t="shared" si="19"/>
        <v>29.146000000000001</v>
      </c>
      <c r="E113" s="26">
        <f t="shared" si="20"/>
        <v>4.8576666666666667E-7</v>
      </c>
      <c r="F113" s="26">
        <v>21.1</v>
      </c>
      <c r="G113" s="26">
        <f t="shared" si="21"/>
        <v>294.10000000000002</v>
      </c>
      <c r="H113" s="26">
        <v>101.3</v>
      </c>
      <c r="I113" s="26">
        <f t="shared" si="22"/>
        <v>101300</v>
      </c>
      <c r="J113" s="26">
        <f t="shared" si="23"/>
        <v>2.0124824921938581E-5</v>
      </c>
      <c r="K113" s="20">
        <v>277.02475247524757</v>
      </c>
      <c r="L113" s="27">
        <f t="shared" si="24"/>
        <v>2.7702475247524754E-4</v>
      </c>
      <c r="M113" s="29">
        <f t="shared" si="33"/>
        <v>4.7762865441819992E-3</v>
      </c>
      <c r="N113" s="33">
        <f t="shared" si="25"/>
        <v>1.1672404054984378E-6</v>
      </c>
      <c r="O113" s="21">
        <f t="shared" si="34"/>
        <v>2.032E-3</v>
      </c>
      <c r="P113" s="21">
        <v>1.1208581181901367E-10</v>
      </c>
      <c r="Q113" s="2">
        <v>0.31</v>
      </c>
      <c r="R113" s="27">
        <f t="shared" si="26"/>
        <v>131000</v>
      </c>
      <c r="S113" s="2">
        <v>5.2493374855265302E-3</v>
      </c>
      <c r="T113" s="11">
        <v>0.06</v>
      </c>
      <c r="U113" s="30">
        <f t="shared" si="27"/>
        <v>106000</v>
      </c>
      <c r="V113" s="30">
        <f t="shared" si="28"/>
        <v>29.36462376237624</v>
      </c>
      <c r="W113" s="2">
        <f t="shared" si="35"/>
        <v>12</v>
      </c>
      <c r="X113" s="2">
        <f t="shared" si="29"/>
        <v>1.2750684958379708E-6</v>
      </c>
      <c r="Y113" s="11">
        <f t="shared" si="30"/>
        <v>814.22273471625579</v>
      </c>
      <c r="Z113" s="9">
        <f t="shared" si="31"/>
        <v>5.1413180398171358E-14</v>
      </c>
      <c r="AA113" s="9">
        <f t="shared" si="32"/>
        <v>30961017235.778793</v>
      </c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</row>
    <row r="114" spans="1:78" s="4" customFormat="1" x14ac:dyDescent="0.25">
      <c r="A114" s="26">
        <v>336</v>
      </c>
      <c r="B114" s="26">
        <f t="shared" si="18"/>
        <v>5.6</v>
      </c>
      <c r="C114" s="26">
        <v>20</v>
      </c>
      <c r="D114" s="26">
        <f t="shared" si="19"/>
        <v>29.146000000000001</v>
      </c>
      <c r="E114" s="26">
        <f t="shared" si="20"/>
        <v>4.8576666666666667E-7</v>
      </c>
      <c r="F114" s="26">
        <v>21.1</v>
      </c>
      <c r="G114" s="26">
        <f t="shared" si="21"/>
        <v>294.10000000000002</v>
      </c>
      <c r="H114" s="26">
        <v>101.3</v>
      </c>
      <c r="I114" s="26">
        <f t="shared" si="22"/>
        <v>101300</v>
      </c>
      <c r="J114" s="26">
        <f t="shared" si="23"/>
        <v>2.0124824921938581E-5</v>
      </c>
      <c r="K114" s="20">
        <v>285.63861386138615</v>
      </c>
      <c r="L114" s="27">
        <f t="shared" si="24"/>
        <v>2.8563861386138615E-4</v>
      </c>
      <c r="M114" s="29">
        <f t="shared" si="33"/>
        <v>4.7762865441819992E-3</v>
      </c>
      <c r="N114" s="33">
        <f t="shared" si="25"/>
        <v>1.2035348050689675E-6</v>
      </c>
      <c r="O114" s="21">
        <f t="shared" si="34"/>
        <v>2.032E-3</v>
      </c>
      <c r="P114" s="21">
        <v>1.1208581181901367E-10</v>
      </c>
      <c r="Q114" s="2">
        <v>0.31</v>
      </c>
      <c r="R114" s="27">
        <f t="shared" si="26"/>
        <v>131000</v>
      </c>
      <c r="S114" s="2">
        <v>5.2493374855265302E-3</v>
      </c>
      <c r="T114" s="11">
        <v>0.06</v>
      </c>
      <c r="U114" s="30">
        <f t="shared" si="27"/>
        <v>106000</v>
      </c>
      <c r="V114" s="30">
        <f t="shared" si="28"/>
        <v>30.277693069306931</v>
      </c>
      <c r="W114" s="2">
        <f t="shared" si="35"/>
        <v>12</v>
      </c>
      <c r="X114" s="2">
        <f t="shared" si="29"/>
        <v>1.3159744903680009E-6</v>
      </c>
      <c r="Y114" s="11">
        <f t="shared" si="30"/>
        <v>861.99640429777901</v>
      </c>
      <c r="Z114" s="9">
        <f t="shared" si="31"/>
        <v>5.3082066970585939E-14</v>
      </c>
      <c r="AA114" s="9">
        <f t="shared" si="32"/>
        <v>31966020729.686855</v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</row>
    <row r="115" spans="1:78" s="4" customFormat="1" x14ac:dyDescent="0.25">
      <c r="A115" s="26">
        <v>339</v>
      </c>
      <c r="B115" s="26">
        <f t="shared" si="18"/>
        <v>5.65</v>
      </c>
      <c r="C115" s="26">
        <v>20</v>
      </c>
      <c r="D115" s="26">
        <f t="shared" si="19"/>
        <v>29.146000000000001</v>
      </c>
      <c r="E115" s="26">
        <f t="shared" si="20"/>
        <v>4.8576666666666667E-7</v>
      </c>
      <c r="F115" s="26">
        <v>21.1</v>
      </c>
      <c r="G115" s="26">
        <f t="shared" si="21"/>
        <v>294.10000000000002</v>
      </c>
      <c r="H115" s="26">
        <v>101.3</v>
      </c>
      <c r="I115" s="26">
        <f t="shared" si="22"/>
        <v>101300</v>
      </c>
      <c r="J115" s="26">
        <f t="shared" si="23"/>
        <v>2.0124824921938581E-5</v>
      </c>
      <c r="K115" s="20">
        <v>284.20297029702971</v>
      </c>
      <c r="L115" s="27">
        <f t="shared" si="24"/>
        <v>2.8420297029702968E-4</v>
      </c>
      <c r="M115" s="29">
        <f t="shared" si="33"/>
        <v>4.7762865441819992E-3</v>
      </c>
      <c r="N115" s="33">
        <f t="shared" si="25"/>
        <v>1.1974857384738793E-6</v>
      </c>
      <c r="O115" s="21">
        <f t="shared" si="34"/>
        <v>2.032E-3</v>
      </c>
      <c r="P115" s="21">
        <v>1.1208581181901367E-10</v>
      </c>
      <c r="Q115" s="2">
        <v>0.31</v>
      </c>
      <c r="R115" s="27">
        <f t="shared" si="26"/>
        <v>131000</v>
      </c>
      <c r="S115" s="2">
        <v>5.2493374855265302E-3</v>
      </c>
      <c r="T115" s="11">
        <v>0.06</v>
      </c>
      <c r="U115" s="30">
        <f t="shared" si="27"/>
        <v>106000</v>
      </c>
      <c r="V115" s="30">
        <f t="shared" si="28"/>
        <v>30.125514851485146</v>
      </c>
      <c r="W115" s="2">
        <f t="shared" si="35"/>
        <v>12</v>
      </c>
      <c r="X115" s="2">
        <f t="shared" si="29"/>
        <v>1.3091617026954993E-6</v>
      </c>
      <c r="Y115" s="11">
        <f t="shared" si="30"/>
        <v>853.94988901252759</v>
      </c>
      <c r="Z115" s="9">
        <f t="shared" si="31"/>
        <v>5.280399669997392E-14</v>
      </c>
      <c r="AA115" s="9">
        <f t="shared" si="32"/>
        <v>31798566812.724297</v>
      </c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</row>
    <row r="116" spans="1:78" s="4" customFormat="1" x14ac:dyDescent="0.25">
      <c r="A116" s="26">
        <v>342</v>
      </c>
      <c r="B116" s="26">
        <f t="shared" si="18"/>
        <v>5.7</v>
      </c>
      <c r="C116" s="26">
        <v>20</v>
      </c>
      <c r="D116" s="26">
        <f t="shared" si="19"/>
        <v>29.146000000000001</v>
      </c>
      <c r="E116" s="26">
        <f t="shared" si="20"/>
        <v>4.8576666666666667E-7</v>
      </c>
      <c r="F116" s="26">
        <v>21.1</v>
      </c>
      <c r="G116" s="26">
        <f t="shared" si="21"/>
        <v>294.10000000000002</v>
      </c>
      <c r="H116" s="26">
        <v>101.3</v>
      </c>
      <c r="I116" s="26">
        <f t="shared" si="22"/>
        <v>101300</v>
      </c>
      <c r="J116" s="26">
        <f t="shared" si="23"/>
        <v>2.0124824921938581E-5</v>
      </c>
      <c r="K116" s="20">
        <v>285.61386138613864</v>
      </c>
      <c r="L116" s="27">
        <f t="shared" si="24"/>
        <v>2.8561386138613862E-4</v>
      </c>
      <c r="M116" s="29">
        <f t="shared" si="33"/>
        <v>4.7762865441819992E-3</v>
      </c>
      <c r="N116" s="33">
        <f t="shared" si="25"/>
        <v>1.2034305108173283E-6</v>
      </c>
      <c r="O116" s="21">
        <f t="shared" si="34"/>
        <v>2.032E-3</v>
      </c>
      <c r="P116" s="21">
        <v>1.1208581181901367E-10</v>
      </c>
      <c r="Q116" s="2">
        <v>0.31</v>
      </c>
      <c r="R116" s="27">
        <f t="shared" si="26"/>
        <v>131000</v>
      </c>
      <c r="S116" s="2">
        <v>5.2493374855265302E-3</v>
      </c>
      <c r="T116" s="11">
        <v>0.06</v>
      </c>
      <c r="U116" s="30">
        <f t="shared" si="27"/>
        <v>106000</v>
      </c>
      <c r="V116" s="30">
        <f t="shared" si="28"/>
        <v>30.275069306930693</v>
      </c>
      <c r="W116" s="2">
        <f t="shared" si="35"/>
        <v>12</v>
      </c>
      <c r="X116" s="2">
        <f t="shared" si="29"/>
        <v>1.3158570447928728E-6</v>
      </c>
      <c r="Y116" s="11">
        <f t="shared" si="30"/>
        <v>861.85738626549903</v>
      </c>
      <c r="Z116" s="9">
        <f t="shared" si="31"/>
        <v>5.3077272904741762E-14</v>
      </c>
      <c r="AA116" s="9">
        <f t="shared" si="32"/>
        <v>31963133743.235489</v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</row>
    <row r="117" spans="1:78" s="4" customFormat="1" x14ac:dyDescent="0.25">
      <c r="A117" s="26">
        <v>345</v>
      </c>
      <c r="B117" s="26">
        <f t="shared" si="18"/>
        <v>5.75</v>
      </c>
      <c r="C117" s="26">
        <v>20</v>
      </c>
      <c r="D117" s="26">
        <f t="shared" si="19"/>
        <v>29.146000000000001</v>
      </c>
      <c r="E117" s="26">
        <f t="shared" si="20"/>
        <v>4.8576666666666667E-7</v>
      </c>
      <c r="F117" s="26">
        <v>21.1</v>
      </c>
      <c r="G117" s="26">
        <f t="shared" si="21"/>
        <v>294.10000000000002</v>
      </c>
      <c r="H117" s="26">
        <v>101.3</v>
      </c>
      <c r="I117" s="26">
        <f t="shared" si="22"/>
        <v>101300</v>
      </c>
      <c r="J117" s="26">
        <f t="shared" si="23"/>
        <v>2.0124824921938581E-5</v>
      </c>
      <c r="K117" s="20">
        <v>277.09900990099015</v>
      </c>
      <c r="L117" s="27">
        <f t="shared" si="24"/>
        <v>2.7709900990099013E-4</v>
      </c>
      <c r="M117" s="29">
        <f t="shared" si="33"/>
        <v>4.7762865441819992E-3</v>
      </c>
      <c r="N117" s="33">
        <f t="shared" si="25"/>
        <v>1.1675532882533562E-6</v>
      </c>
      <c r="O117" s="21">
        <f t="shared" si="34"/>
        <v>2.032E-3</v>
      </c>
      <c r="P117" s="21">
        <v>1.1208581181901367E-10</v>
      </c>
      <c r="Q117" s="2">
        <v>0.31</v>
      </c>
      <c r="R117" s="27">
        <f t="shared" si="26"/>
        <v>131000</v>
      </c>
      <c r="S117" s="2">
        <v>5.2493374855265302E-3</v>
      </c>
      <c r="T117" s="11">
        <v>0.06</v>
      </c>
      <c r="U117" s="30">
        <f t="shared" si="27"/>
        <v>106000</v>
      </c>
      <c r="V117" s="30">
        <f t="shared" si="28"/>
        <v>29.372495049504952</v>
      </c>
      <c r="W117" s="2">
        <f t="shared" si="35"/>
        <v>12</v>
      </c>
      <c r="X117" s="2">
        <f t="shared" si="29"/>
        <v>1.2754214377102711E-6</v>
      </c>
      <c r="Y117" s="11">
        <f t="shared" si="30"/>
        <v>814.62938635733872</v>
      </c>
      <c r="Z117" s="9">
        <f t="shared" si="31"/>
        <v>5.1427572324436412E-14</v>
      </c>
      <c r="AA117" s="9">
        <f t="shared" si="32"/>
        <v>30969684053.775608</v>
      </c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</row>
    <row r="118" spans="1:78" s="4" customFormat="1" x14ac:dyDescent="0.25">
      <c r="A118" s="26">
        <v>348</v>
      </c>
      <c r="B118" s="26">
        <f t="shared" si="18"/>
        <v>5.8</v>
      </c>
      <c r="C118" s="26">
        <v>20</v>
      </c>
      <c r="D118" s="26">
        <f t="shared" si="19"/>
        <v>29.146000000000001</v>
      </c>
      <c r="E118" s="26">
        <f t="shared" si="20"/>
        <v>4.8576666666666667E-7</v>
      </c>
      <c r="F118" s="26">
        <v>21.1</v>
      </c>
      <c r="G118" s="26">
        <f t="shared" si="21"/>
        <v>294.10000000000002</v>
      </c>
      <c r="H118" s="26">
        <v>101.3</v>
      </c>
      <c r="I118" s="26">
        <f t="shared" si="22"/>
        <v>101300</v>
      </c>
      <c r="J118" s="26">
        <f t="shared" si="23"/>
        <v>2.0124824921938581E-5</v>
      </c>
      <c r="K118" s="20">
        <v>276.480198019802</v>
      </c>
      <c r="L118" s="27">
        <f t="shared" si="24"/>
        <v>2.7648019801980201E-4</v>
      </c>
      <c r="M118" s="29">
        <f t="shared" si="33"/>
        <v>4.7762865441819992E-3</v>
      </c>
      <c r="N118" s="33">
        <f t="shared" si="25"/>
        <v>1.1649459319623697E-6</v>
      </c>
      <c r="O118" s="21">
        <f t="shared" si="34"/>
        <v>2.032E-3</v>
      </c>
      <c r="P118" s="21">
        <v>1.1208581181901367E-10</v>
      </c>
      <c r="Q118" s="2">
        <v>0.31</v>
      </c>
      <c r="R118" s="27">
        <f t="shared" si="26"/>
        <v>131000</v>
      </c>
      <c r="S118" s="2">
        <v>5.2493374855265302E-3</v>
      </c>
      <c r="T118" s="11">
        <v>0.06</v>
      </c>
      <c r="U118" s="30">
        <f t="shared" si="27"/>
        <v>106000</v>
      </c>
      <c r="V118" s="30">
        <f t="shared" si="28"/>
        <v>29.306900990099013</v>
      </c>
      <c r="W118" s="2">
        <f t="shared" si="35"/>
        <v>12</v>
      </c>
      <c r="X118" s="2">
        <f t="shared" si="29"/>
        <v>1.2724800912381619E-6</v>
      </c>
      <c r="Y118" s="11">
        <f t="shared" si="30"/>
        <v>811.24338561764489</v>
      </c>
      <c r="Z118" s="9">
        <f t="shared" si="31"/>
        <v>5.1307636820803449E-14</v>
      </c>
      <c r="AA118" s="9">
        <f t="shared" si="32"/>
        <v>30897458893.487839</v>
      </c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</row>
    <row r="119" spans="1:78" s="4" customFormat="1" x14ac:dyDescent="0.25">
      <c r="A119" s="26">
        <v>351</v>
      </c>
      <c r="B119" s="26">
        <f t="shared" si="18"/>
        <v>5.85</v>
      </c>
      <c r="C119" s="26">
        <v>20</v>
      </c>
      <c r="D119" s="26">
        <f t="shared" si="19"/>
        <v>29.146000000000001</v>
      </c>
      <c r="E119" s="26">
        <f t="shared" si="20"/>
        <v>4.8576666666666667E-7</v>
      </c>
      <c r="F119" s="26">
        <v>21.1</v>
      </c>
      <c r="G119" s="26">
        <f t="shared" si="21"/>
        <v>294.10000000000002</v>
      </c>
      <c r="H119" s="26">
        <v>101.3</v>
      </c>
      <c r="I119" s="26">
        <f t="shared" si="22"/>
        <v>101300</v>
      </c>
      <c r="J119" s="26">
        <f t="shared" si="23"/>
        <v>2.0124824921938581E-5</v>
      </c>
      <c r="K119" s="20">
        <v>278.55940594059405</v>
      </c>
      <c r="L119" s="27">
        <f t="shared" si="24"/>
        <v>2.7855940594059407E-4</v>
      </c>
      <c r="M119" s="29">
        <f t="shared" si="33"/>
        <v>4.7762865441819992E-3</v>
      </c>
      <c r="N119" s="33">
        <f t="shared" si="25"/>
        <v>1.1737066491000837E-6</v>
      </c>
      <c r="O119" s="21">
        <f t="shared" si="34"/>
        <v>2.032E-3</v>
      </c>
      <c r="P119" s="21">
        <v>1.1208581181901367E-10</v>
      </c>
      <c r="Q119" s="2">
        <v>0.31</v>
      </c>
      <c r="R119" s="27">
        <f t="shared" si="26"/>
        <v>131000</v>
      </c>
      <c r="S119" s="2">
        <v>5.2493374855265302E-3</v>
      </c>
      <c r="T119" s="11">
        <v>0.06</v>
      </c>
      <c r="U119" s="30">
        <f t="shared" si="27"/>
        <v>106000</v>
      </c>
      <c r="V119" s="30">
        <f t="shared" si="28"/>
        <v>29.527297029702972</v>
      </c>
      <c r="W119" s="2">
        <f t="shared" si="35"/>
        <v>12</v>
      </c>
      <c r="X119" s="2">
        <f t="shared" si="29"/>
        <v>1.2823615398517777E-6</v>
      </c>
      <c r="Y119" s="11">
        <f t="shared" si="30"/>
        <v>822.64523736734452</v>
      </c>
      <c r="Z119" s="9">
        <f t="shared" si="31"/>
        <v>5.1710595236904808E-14</v>
      </c>
      <c r="AA119" s="9">
        <f t="shared" si="32"/>
        <v>31140120451.664078</v>
      </c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</row>
    <row r="120" spans="1:78" s="4" customFormat="1" x14ac:dyDescent="0.25">
      <c r="A120" s="26">
        <v>354</v>
      </c>
      <c r="B120" s="26">
        <f t="shared" si="18"/>
        <v>5.9</v>
      </c>
      <c r="C120" s="26">
        <v>20</v>
      </c>
      <c r="D120" s="26">
        <f t="shared" si="19"/>
        <v>29.146000000000001</v>
      </c>
      <c r="E120" s="26">
        <f t="shared" si="20"/>
        <v>4.8576666666666667E-7</v>
      </c>
      <c r="F120" s="26">
        <v>21.1</v>
      </c>
      <c r="G120" s="26">
        <f t="shared" si="21"/>
        <v>294.10000000000002</v>
      </c>
      <c r="H120" s="26">
        <v>101.3</v>
      </c>
      <c r="I120" s="26">
        <f t="shared" si="22"/>
        <v>101300</v>
      </c>
      <c r="J120" s="26">
        <f t="shared" si="23"/>
        <v>2.0124824921938581E-5</v>
      </c>
      <c r="K120" s="20">
        <v>271.35643564356434</v>
      </c>
      <c r="L120" s="27">
        <f t="shared" si="24"/>
        <v>2.7135643564356435E-4</v>
      </c>
      <c r="M120" s="29">
        <f t="shared" si="33"/>
        <v>4.7762865441819992E-3</v>
      </c>
      <c r="N120" s="33">
        <f t="shared" si="25"/>
        <v>1.1433570218730027E-6</v>
      </c>
      <c r="O120" s="21">
        <f t="shared" si="34"/>
        <v>2.032E-3</v>
      </c>
      <c r="P120" s="21">
        <v>1.1208581181901367E-10</v>
      </c>
      <c r="Q120" s="2">
        <v>0.31</v>
      </c>
      <c r="R120" s="27">
        <f t="shared" si="26"/>
        <v>131000</v>
      </c>
      <c r="S120" s="2">
        <v>5.2493374855265302E-3</v>
      </c>
      <c r="T120" s="11">
        <v>0.06</v>
      </c>
      <c r="U120" s="30">
        <f t="shared" si="27"/>
        <v>106000</v>
      </c>
      <c r="V120" s="30">
        <f t="shared" si="28"/>
        <v>28.76378217821782</v>
      </c>
      <c r="W120" s="2">
        <f t="shared" si="35"/>
        <v>12</v>
      </c>
      <c r="X120" s="2">
        <f t="shared" si="29"/>
        <v>1.2481112562266708E-6</v>
      </c>
      <c r="Y120" s="11">
        <f t="shared" si="30"/>
        <v>783.44881313378426</v>
      </c>
      <c r="Z120" s="9">
        <f t="shared" si="31"/>
        <v>5.0314319828792149E-14</v>
      </c>
      <c r="AA120" s="9">
        <f t="shared" si="32"/>
        <v>30299283400.898632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</row>
    <row r="121" spans="1:78" s="4" customFormat="1" x14ac:dyDescent="0.25">
      <c r="A121" s="26">
        <v>357</v>
      </c>
      <c r="B121" s="26">
        <f t="shared" si="18"/>
        <v>5.95</v>
      </c>
      <c r="C121" s="26">
        <v>20</v>
      </c>
      <c r="D121" s="26">
        <f t="shared" si="19"/>
        <v>29.146000000000001</v>
      </c>
      <c r="E121" s="26">
        <f t="shared" si="20"/>
        <v>4.8576666666666667E-7</v>
      </c>
      <c r="F121" s="26">
        <v>21.1</v>
      </c>
      <c r="G121" s="26">
        <f t="shared" si="21"/>
        <v>294.10000000000002</v>
      </c>
      <c r="H121" s="26">
        <v>101.3</v>
      </c>
      <c r="I121" s="26">
        <f t="shared" si="22"/>
        <v>101300</v>
      </c>
      <c r="J121" s="26">
        <f t="shared" si="23"/>
        <v>2.0124824921938581E-5</v>
      </c>
      <c r="K121" s="20">
        <v>278.36138613861391</v>
      </c>
      <c r="L121" s="27">
        <f t="shared" si="24"/>
        <v>2.783613861386139E-4</v>
      </c>
      <c r="M121" s="29">
        <f t="shared" si="33"/>
        <v>4.7762865441819992E-3</v>
      </c>
      <c r="N121" s="33">
        <f t="shared" si="25"/>
        <v>1.1728722950869683E-6</v>
      </c>
      <c r="O121" s="21">
        <f t="shared" si="34"/>
        <v>2.032E-3</v>
      </c>
      <c r="P121" s="21">
        <v>1.1208581181901367E-10</v>
      </c>
      <c r="Q121" s="2">
        <v>0.31</v>
      </c>
      <c r="R121" s="27">
        <f t="shared" si="26"/>
        <v>131000</v>
      </c>
      <c r="S121" s="2">
        <v>5.2493374855265302E-3</v>
      </c>
      <c r="T121" s="11">
        <v>0.06</v>
      </c>
      <c r="U121" s="30">
        <f t="shared" si="27"/>
        <v>106000</v>
      </c>
      <c r="V121" s="30">
        <f t="shared" si="28"/>
        <v>29.506306930693071</v>
      </c>
      <c r="W121" s="2">
        <f t="shared" si="35"/>
        <v>12</v>
      </c>
      <c r="X121" s="2">
        <f t="shared" si="29"/>
        <v>1.281420630114348E-6</v>
      </c>
      <c r="Y121" s="11">
        <f t="shared" si="30"/>
        <v>821.55629405530919</v>
      </c>
      <c r="Z121" s="9">
        <f t="shared" si="31"/>
        <v>5.1672221274827685E-14</v>
      </c>
      <c r="AA121" s="9">
        <f t="shared" si="32"/>
        <v>31117011651.701233</v>
      </c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</row>
    <row r="122" spans="1:78" s="4" customFormat="1" x14ac:dyDescent="0.25">
      <c r="A122" s="26">
        <v>360</v>
      </c>
      <c r="B122" s="26">
        <f t="shared" si="18"/>
        <v>6</v>
      </c>
      <c r="C122" s="26">
        <v>20</v>
      </c>
      <c r="D122" s="26">
        <f t="shared" si="19"/>
        <v>29.146000000000001</v>
      </c>
      <c r="E122" s="26">
        <f t="shared" si="20"/>
        <v>4.8576666666666667E-7</v>
      </c>
      <c r="F122" s="26">
        <v>21.1</v>
      </c>
      <c r="G122" s="26">
        <f t="shared" si="21"/>
        <v>294.10000000000002</v>
      </c>
      <c r="H122" s="26">
        <v>101.3</v>
      </c>
      <c r="I122" s="26">
        <f t="shared" si="22"/>
        <v>101300</v>
      </c>
      <c r="J122" s="26">
        <f t="shared" si="23"/>
        <v>2.0124824921938581E-5</v>
      </c>
      <c r="K122" s="20">
        <v>273.55940594059405</v>
      </c>
      <c r="L122" s="27">
        <f t="shared" si="24"/>
        <v>2.7355940594059406E-4</v>
      </c>
      <c r="M122" s="29">
        <f t="shared" si="33"/>
        <v>4.7762865441819992E-3</v>
      </c>
      <c r="N122" s="33">
        <f t="shared" si="25"/>
        <v>1.152639210268914E-6</v>
      </c>
      <c r="O122" s="21">
        <f t="shared" si="34"/>
        <v>2.032E-3</v>
      </c>
      <c r="P122" s="21">
        <v>1.1208581181901367E-10</v>
      </c>
      <c r="Q122" s="2">
        <v>0.31</v>
      </c>
      <c r="R122" s="27">
        <f t="shared" si="26"/>
        <v>131000</v>
      </c>
      <c r="S122" s="2">
        <v>5.2493374855265302E-3</v>
      </c>
      <c r="T122" s="11">
        <v>0.06</v>
      </c>
      <c r="U122" s="30">
        <f t="shared" si="27"/>
        <v>106000</v>
      </c>
      <c r="V122" s="30">
        <f t="shared" si="28"/>
        <v>28.99729702970297</v>
      </c>
      <c r="W122" s="2">
        <f t="shared" si="35"/>
        <v>12</v>
      </c>
      <c r="X122" s="2">
        <f t="shared" si="29"/>
        <v>1.2585918663792986E-6</v>
      </c>
      <c r="Y122" s="11">
        <f t="shared" si="30"/>
        <v>795.34628555039717</v>
      </c>
      <c r="Z122" s="9">
        <f t="shared" si="31"/>
        <v>5.0741454123851001E-14</v>
      </c>
      <c r="AA122" s="9">
        <f t="shared" si="32"/>
        <v>30556503673.383076</v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</row>
    <row r="123" spans="1:78" s="4" customFormat="1" x14ac:dyDescent="0.25">
      <c r="A123" s="26">
        <v>363</v>
      </c>
      <c r="B123" s="26">
        <f t="shared" si="18"/>
        <v>6.05</v>
      </c>
      <c r="C123" s="26">
        <v>20</v>
      </c>
      <c r="D123" s="26">
        <f t="shared" si="19"/>
        <v>29.146000000000001</v>
      </c>
      <c r="E123" s="26">
        <f t="shared" si="20"/>
        <v>4.8576666666666667E-7</v>
      </c>
      <c r="F123" s="26">
        <v>21.1</v>
      </c>
      <c r="G123" s="26">
        <f t="shared" si="21"/>
        <v>294.10000000000002</v>
      </c>
      <c r="H123" s="26">
        <v>101.3</v>
      </c>
      <c r="I123" s="26">
        <f t="shared" si="22"/>
        <v>101300</v>
      </c>
      <c r="J123" s="26">
        <f t="shared" si="23"/>
        <v>2.0124824921938581E-5</v>
      </c>
      <c r="K123" s="20">
        <v>276.52970297029708</v>
      </c>
      <c r="L123" s="27">
        <f t="shared" si="24"/>
        <v>2.7652970297029707E-4</v>
      </c>
      <c r="M123" s="29">
        <f t="shared" si="33"/>
        <v>4.7762865441819992E-3</v>
      </c>
      <c r="N123" s="33">
        <f t="shared" si="25"/>
        <v>1.1651545204656488E-6</v>
      </c>
      <c r="O123" s="21">
        <f t="shared" si="34"/>
        <v>2.032E-3</v>
      </c>
      <c r="P123" s="21">
        <v>1.1208581181901367E-10</v>
      </c>
      <c r="Q123" s="2">
        <v>0.31</v>
      </c>
      <c r="R123" s="27">
        <f t="shared" si="26"/>
        <v>131000</v>
      </c>
      <c r="S123" s="2">
        <v>5.2493374855265302E-3</v>
      </c>
      <c r="T123" s="11">
        <v>0.06</v>
      </c>
      <c r="U123" s="30">
        <f t="shared" si="27"/>
        <v>106000</v>
      </c>
      <c r="V123" s="30">
        <f t="shared" si="28"/>
        <v>29.31214851485149</v>
      </c>
      <c r="W123" s="2">
        <f t="shared" si="35"/>
        <v>12</v>
      </c>
      <c r="X123" s="2">
        <f t="shared" si="29"/>
        <v>1.2727154127015549E-6</v>
      </c>
      <c r="Y123" s="11">
        <f t="shared" si="30"/>
        <v>811.5140345729759</v>
      </c>
      <c r="Z123" s="9">
        <f t="shared" si="31"/>
        <v>5.131723189465334E-14</v>
      </c>
      <c r="AA123" s="9">
        <f t="shared" si="32"/>
        <v>30903237046.960243</v>
      </c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</row>
    <row r="124" spans="1:78" s="4" customFormat="1" x14ac:dyDescent="0.25">
      <c r="A124" s="26">
        <v>366</v>
      </c>
      <c r="B124" s="26">
        <f t="shared" si="18"/>
        <v>6.1</v>
      </c>
      <c r="C124" s="26">
        <v>20</v>
      </c>
      <c r="D124" s="26">
        <f t="shared" si="19"/>
        <v>29.146000000000001</v>
      </c>
      <c r="E124" s="26">
        <f t="shared" si="20"/>
        <v>4.8576666666666667E-7</v>
      </c>
      <c r="F124" s="26">
        <v>21.1</v>
      </c>
      <c r="G124" s="26">
        <f t="shared" si="21"/>
        <v>294.10000000000002</v>
      </c>
      <c r="H124" s="26">
        <v>101.3</v>
      </c>
      <c r="I124" s="26">
        <f t="shared" si="22"/>
        <v>101300</v>
      </c>
      <c r="J124" s="26">
        <f t="shared" si="23"/>
        <v>2.0124824921938581E-5</v>
      </c>
      <c r="K124" s="20">
        <v>272.71782178217825</v>
      </c>
      <c r="L124" s="27">
        <f t="shared" si="24"/>
        <v>2.7271782178217823E-4</v>
      </c>
      <c r="M124" s="29">
        <f t="shared" si="33"/>
        <v>4.7762865441819992E-3</v>
      </c>
      <c r="N124" s="33">
        <f t="shared" si="25"/>
        <v>1.1490932057131727E-6</v>
      </c>
      <c r="O124" s="21">
        <f t="shared" si="34"/>
        <v>2.032E-3</v>
      </c>
      <c r="P124" s="21">
        <v>1.1208581181901367E-10</v>
      </c>
      <c r="Q124" s="2">
        <v>0.31</v>
      </c>
      <c r="R124" s="27">
        <f t="shared" si="26"/>
        <v>131000</v>
      </c>
      <c r="S124" s="2">
        <v>5.2493374855265302E-3</v>
      </c>
      <c r="T124" s="11">
        <v>0.06</v>
      </c>
      <c r="U124" s="30">
        <f t="shared" si="27"/>
        <v>106000</v>
      </c>
      <c r="V124" s="30">
        <f t="shared" si="28"/>
        <v>28.908089108910893</v>
      </c>
      <c r="W124" s="2">
        <f t="shared" si="35"/>
        <v>12</v>
      </c>
      <c r="X124" s="2">
        <f t="shared" si="29"/>
        <v>1.2545886094113263E-6</v>
      </c>
      <c r="Y124" s="11">
        <f t="shared" si="30"/>
        <v>790.79176609932404</v>
      </c>
      <c r="Z124" s="9">
        <f t="shared" si="31"/>
        <v>5.0578289397683623E-14</v>
      </c>
      <c r="AA124" s="9">
        <f t="shared" si="32"/>
        <v>30458245875.28508</v>
      </c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</row>
    <row r="125" spans="1:78" s="4" customFormat="1" x14ac:dyDescent="0.25">
      <c r="A125" s="26">
        <v>369</v>
      </c>
      <c r="B125" s="26">
        <f t="shared" si="18"/>
        <v>6.15</v>
      </c>
      <c r="C125" s="26">
        <v>20</v>
      </c>
      <c r="D125" s="26">
        <f t="shared" si="19"/>
        <v>29.146000000000001</v>
      </c>
      <c r="E125" s="26">
        <f t="shared" si="20"/>
        <v>4.8576666666666667E-7</v>
      </c>
      <c r="F125" s="26">
        <v>21.1</v>
      </c>
      <c r="G125" s="26">
        <f t="shared" si="21"/>
        <v>294.10000000000002</v>
      </c>
      <c r="H125" s="26">
        <v>101.3</v>
      </c>
      <c r="I125" s="26">
        <f t="shared" si="22"/>
        <v>101300</v>
      </c>
      <c r="J125" s="26">
        <f t="shared" si="23"/>
        <v>2.0124824921938581E-5</v>
      </c>
      <c r="K125" s="20">
        <v>279.84653465346537</v>
      </c>
      <c r="L125" s="27">
        <f t="shared" si="24"/>
        <v>2.7984653465346537E-4</v>
      </c>
      <c r="M125" s="29">
        <f t="shared" si="33"/>
        <v>4.7762865441819992E-3</v>
      </c>
      <c r="N125" s="33">
        <f t="shared" si="25"/>
        <v>1.1791299501853355E-6</v>
      </c>
      <c r="O125" s="21">
        <f t="shared" si="34"/>
        <v>2.032E-3</v>
      </c>
      <c r="P125" s="21">
        <v>1.1208581181901367E-10</v>
      </c>
      <c r="Q125" s="2">
        <v>0.31</v>
      </c>
      <c r="R125" s="27">
        <f t="shared" si="26"/>
        <v>131000</v>
      </c>
      <c r="S125" s="2">
        <v>5.2493374855265302E-3</v>
      </c>
      <c r="T125" s="11">
        <v>0.06</v>
      </c>
      <c r="U125" s="30">
        <f t="shared" si="27"/>
        <v>106000</v>
      </c>
      <c r="V125" s="30">
        <f t="shared" si="28"/>
        <v>29.663732673267329</v>
      </c>
      <c r="W125" s="2">
        <f t="shared" si="35"/>
        <v>12</v>
      </c>
      <c r="X125" s="2">
        <f t="shared" si="29"/>
        <v>1.2884765319370907E-6</v>
      </c>
      <c r="Y125" s="11">
        <f t="shared" si="30"/>
        <v>829.73902388734427</v>
      </c>
      <c r="Z125" s="9">
        <f t="shared" si="31"/>
        <v>5.1960010739778559E-14</v>
      </c>
      <c r="AA125" s="9">
        <f t="shared" si="32"/>
        <v>31290318467.494648</v>
      </c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</row>
    <row r="126" spans="1:78" s="4" customFormat="1" x14ac:dyDescent="0.25">
      <c r="A126" s="26">
        <v>372</v>
      </c>
      <c r="B126" s="26">
        <f t="shared" si="18"/>
        <v>6.2</v>
      </c>
      <c r="C126" s="26">
        <v>20</v>
      </c>
      <c r="D126" s="26">
        <f t="shared" si="19"/>
        <v>29.146000000000001</v>
      </c>
      <c r="E126" s="26">
        <f t="shared" si="20"/>
        <v>4.8576666666666667E-7</v>
      </c>
      <c r="F126" s="26">
        <v>21.1</v>
      </c>
      <c r="G126" s="26">
        <f t="shared" si="21"/>
        <v>294.10000000000002</v>
      </c>
      <c r="H126" s="26">
        <v>101.3</v>
      </c>
      <c r="I126" s="26">
        <f t="shared" si="22"/>
        <v>101300</v>
      </c>
      <c r="J126" s="26">
        <f t="shared" si="23"/>
        <v>2.0124824921938581E-5</v>
      </c>
      <c r="K126" s="20">
        <v>279.62376237623766</v>
      </c>
      <c r="L126" s="27">
        <f t="shared" si="24"/>
        <v>2.7962376237623766E-4</v>
      </c>
      <c r="M126" s="29">
        <f t="shared" si="33"/>
        <v>4.7762865441819992E-3</v>
      </c>
      <c r="N126" s="33">
        <f t="shared" si="25"/>
        <v>1.1781913019205805E-6</v>
      </c>
      <c r="O126" s="21">
        <f t="shared" si="34"/>
        <v>2.032E-3</v>
      </c>
      <c r="P126" s="21">
        <v>1.1208581181901367E-10</v>
      </c>
      <c r="Q126" s="2">
        <v>0.31</v>
      </c>
      <c r="R126" s="27">
        <f t="shared" si="26"/>
        <v>131000</v>
      </c>
      <c r="S126" s="2">
        <v>5.2493374855265302E-3</v>
      </c>
      <c r="T126" s="11">
        <v>0.06</v>
      </c>
      <c r="U126" s="30">
        <f t="shared" si="27"/>
        <v>106000</v>
      </c>
      <c r="V126" s="30">
        <f t="shared" si="28"/>
        <v>29.640118811881191</v>
      </c>
      <c r="W126" s="2">
        <f t="shared" si="35"/>
        <v>12</v>
      </c>
      <c r="X126" s="2">
        <f t="shared" si="29"/>
        <v>1.2874182819293746E-6</v>
      </c>
      <c r="Y126" s="11">
        <f t="shared" si="30"/>
        <v>828.50931178638405</v>
      </c>
      <c r="Z126" s="9">
        <f t="shared" si="31"/>
        <v>5.1916844549863795E-14</v>
      </c>
      <c r="AA126" s="9">
        <f t="shared" si="32"/>
        <v>31264323787.927979</v>
      </c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</row>
    <row r="127" spans="1:78" s="4" customFormat="1" x14ac:dyDescent="0.25">
      <c r="A127" s="26">
        <v>375</v>
      </c>
      <c r="B127" s="26">
        <f t="shared" ref="B127:B142" si="36">(A127/60)</f>
        <v>6.25</v>
      </c>
      <c r="C127" s="26">
        <v>20</v>
      </c>
      <c r="D127" s="26">
        <f t="shared" ref="D127:D142" si="37">(C127*1.4573)</f>
        <v>29.146000000000001</v>
      </c>
      <c r="E127" s="26">
        <f t="shared" ref="E127:E142" si="38">(D127/(1000000*60))</f>
        <v>4.8576666666666667E-7</v>
      </c>
      <c r="F127" s="26">
        <v>21.1</v>
      </c>
      <c r="G127" s="26">
        <f t="shared" ref="G127:G142" si="39">(273+F127)</f>
        <v>294.10000000000002</v>
      </c>
      <c r="H127" s="26">
        <v>101.3</v>
      </c>
      <c r="I127" s="26">
        <f t="shared" ref="I127:I142" si="40">(H127*1000)</f>
        <v>101300</v>
      </c>
      <c r="J127" s="26">
        <f t="shared" ref="J127:J142" si="41">((I127*E127)/(8.314*G127))</f>
        <v>2.0124824921938581E-5</v>
      </c>
      <c r="K127" s="20">
        <v>277.00000000000006</v>
      </c>
      <c r="L127" s="27">
        <f t="shared" ref="L127:L142" si="42">(K127/1000000)</f>
        <v>2.7700000000000007E-4</v>
      </c>
      <c r="M127" s="29">
        <f t="shared" si="33"/>
        <v>4.7762865441819992E-3</v>
      </c>
      <c r="N127" s="33">
        <f t="shared" ref="N127:N142" si="43">(L127*J127)/M127</f>
        <v>1.1671361112467983E-6</v>
      </c>
      <c r="O127" s="21">
        <f t="shared" si="34"/>
        <v>2.032E-3</v>
      </c>
      <c r="P127" s="21">
        <v>1.1208581181901367E-10</v>
      </c>
      <c r="Q127" s="2">
        <v>0.31</v>
      </c>
      <c r="R127" s="27">
        <f t="shared" ref="R127:R142" si="44">(1+Q127)*100000*1</f>
        <v>131000</v>
      </c>
      <c r="S127" s="2">
        <v>5.2493374855265302E-3</v>
      </c>
      <c r="T127" s="11">
        <v>0.06</v>
      </c>
      <c r="U127" s="30">
        <f t="shared" ref="U127:U142" si="45">(1+T127)*100000</f>
        <v>106000</v>
      </c>
      <c r="V127" s="30">
        <f t="shared" ref="V127:V142" si="46">(L127*U127)</f>
        <v>29.362000000000005</v>
      </c>
      <c r="W127" s="2">
        <f t="shared" si="35"/>
        <v>12</v>
      </c>
      <c r="X127" s="2">
        <f t="shared" ref="X127:X142" si="47">(N127+((P127/O127)*(SQRT(V127)-SQRT(W127))))</f>
        <v>1.2749508473541216E-6</v>
      </c>
      <c r="Y127" s="11">
        <f t="shared" ref="Y127:Y142" si="48">((X127*O127/P127) + SQRT(V127))^2</f>
        <v>814.08720426130765</v>
      </c>
      <c r="Z127" s="9">
        <f t="shared" ref="Z127:Z142" si="49">(X127*S127)/(R127-Y127)</f>
        <v>5.1408383069223068E-14</v>
      </c>
      <c r="AA127" s="9">
        <f t="shared" ref="AA127:AA142" si="50">(Z127*6.022E+23)</f>
        <v>30958128284.286133</v>
      </c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</row>
    <row r="128" spans="1:78" s="4" customFormat="1" x14ac:dyDescent="0.25">
      <c r="A128" s="26">
        <v>378</v>
      </c>
      <c r="B128" s="26">
        <f t="shared" si="36"/>
        <v>6.3</v>
      </c>
      <c r="C128" s="26">
        <v>20</v>
      </c>
      <c r="D128" s="26">
        <f t="shared" si="37"/>
        <v>29.146000000000001</v>
      </c>
      <c r="E128" s="26">
        <f t="shared" si="38"/>
        <v>4.8576666666666667E-7</v>
      </c>
      <c r="F128" s="26">
        <v>21.1</v>
      </c>
      <c r="G128" s="26">
        <f t="shared" si="39"/>
        <v>294.10000000000002</v>
      </c>
      <c r="H128" s="26">
        <v>101.3</v>
      </c>
      <c r="I128" s="26">
        <f t="shared" si="40"/>
        <v>101300</v>
      </c>
      <c r="J128" s="26">
        <f t="shared" si="41"/>
        <v>2.0124824921938581E-5</v>
      </c>
      <c r="K128" s="20">
        <v>267.17326732673268</v>
      </c>
      <c r="L128" s="27">
        <f t="shared" si="42"/>
        <v>2.6717326732673269E-4</v>
      </c>
      <c r="M128" s="29">
        <f t="shared" si="33"/>
        <v>4.7762865441819992E-3</v>
      </c>
      <c r="N128" s="33">
        <f t="shared" si="43"/>
        <v>1.1257312933459352E-6</v>
      </c>
      <c r="O128" s="21">
        <f t="shared" si="34"/>
        <v>2.032E-3</v>
      </c>
      <c r="P128" s="21">
        <v>1.1208581181901367E-10</v>
      </c>
      <c r="Q128" s="2">
        <v>0.31</v>
      </c>
      <c r="R128" s="27">
        <f t="shared" si="44"/>
        <v>131000</v>
      </c>
      <c r="S128" s="2">
        <v>5.2493374855265302E-3</v>
      </c>
      <c r="T128" s="11">
        <v>0.06</v>
      </c>
      <c r="U128" s="30">
        <f t="shared" si="45"/>
        <v>106000</v>
      </c>
      <c r="V128" s="30">
        <f t="shared" si="46"/>
        <v>28.320366336633665</v>
      </c>
      <c r="W128" s="2">
        <f t="shared" si="35"/>
        <v>12</v>
      </c>
      <c r="X128" s="2">
        <f t="shared" si="47"/>
        <v>1.2281964071875114E-6</v>
      </c>
      <c r="Y128" s="11">
        <f t="shared" si="48"/>
        <v>761.07681104956691</v>
      </c>
      <c r="Z128" s="9">
        <f t="shared" si="49"/>
        <v>4.9503000193611836E-14</v>
      </c>
      <c r="AA128" s="9">
        <f t="shared" si="50"/>
        <v>29810706716.593048</v>
      </c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</row>
    <row r="129" spans="1:78" s="4" customFormat="1" x14ac:dyDescent="0.25">
      <c r="A129" s="26">
        <v>381</v>
      </c>
      <c r="B129" s="26">
        <f t="shared" si="36"/>
        <v>6.35</v>
      </c>
      <c r="C129" s="26">
        <v>20</v>
      </c>
      <c r="D129" s="26">
        <f t="shared" si="37"/>
        <v>29.146000000000001</v>
      </c>
      <c r="E129" s="26">
        <f t="shared" si="38"/>
        <v>4.8576666666666667E-7</v>
      </c>
      <c r="F129" s="26">
        <v>21.1</v>
      </c>
      <c r="G129" s="26">
        <f t="shared" si="39"/>
        <v>294.10000000000002</v>
      </c>
      <c r="H129" s="26">
        <v>101.3</v>
      </c>
      <c r="I129" s="26">
        <f t="shared" si="40"/>
        <v>101300</v>
      </c>
      <c r="J129" s="26">
        <f t="shared" si="41"/>
        <v>2.0124824921938581E-5</v>
      </c>
      <c r="K129" s="20">
        <v>274.20297029702971</v>
      </c>
      <c r="L129" s="27">
        <f t="shared" si="42"/>
        <v>2.7420297029702971E-4</v>
      </c>
      <c r="M129" s="29">
        <f t="shared" si="33"/>
        <v>4.7762865441819992E-3</v>
      </c>
      <c r="N129" s="33">
        <f t="shared" si="43"/>
        <v>1.15535086081154E-6</v>
      </c>
      <c r="O129" s="21">
        <f t="shared" si="34"/>
        <v>2.032E-3</v>
      </c>
      <c r="P129" s="21">
        <v>1.1208581181901367E-10</v>
      </c>
      <c r="Q129" s="2">
        <v>0.31</v>
      </c>
      <c r="R129" s="27">
        <f t="shared" si="44"/>
        <v>131000</v>
      </c>
      <c r="S129" s="2">
        <v>5.2493374855265302E-3</v>
      </c>
      <c r="T129" s="11">
        <v>0.06</v>
      </c>
      <c r="U129" s="30">
        <f t="shared" si="45"/>
        <v>106000</v>
      </c>
      <c r="V129" s="30">
        <f t="shared" si="46"/>
        <v>29.065514851485148</v>
      </c>
      <c r="W129" s="2">
        <f t="shared" si="35"/>
        <v>12</v>
      </c>
      <c r="X129" s="2">
        <f t="shared" si="47"/>
        <v>1.2616527061445996E-6</v>
      </c>
      <c r="Y129" s="11">
        <f t="shared" si="48"/>
        <v>798.83700540954521</v>
      </c>
      <c r="Z129" s="9">
        <f t="shared" si="49"/>
        <v>5.0866218793729194E-14</v>
      </c>
      <c r="AA129" s="9">
        <f t="shared" si="50"/>
        <v>30631636957.583721</v>
      </c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</row>
    <row r="130" spans="1:78" s="4" customFormat="1" x14ac:dyDescent="0.25">
      <c r="A130" s="26">
        <v>384</v>
      </c>
      <c r="B130" s="26">
        <f t="shared" si="36"/>
        <v>6.4</v>
      </c>
      <c r="C130" s="26">
        <v>20</v>
      </c>
      <c r="D130" s="26">
        <f t="shared" si="37"/>
        <v>29.146000000000001</v>
      </c>
      <c r="E130" s="26">
        <f t="shared" si="38"/>
        <v>4.8576666666666667E-7</v>
      </c>
      <c r="F130" s="26">
        <v>21.1</v>
      </c>
      <c r="G130" s="26">
        <f t="shared" si="39"/>
        <v>294.10000000000002</v>
      </c>
      <c r="H130" s="26">
        <v>101.3</v>
      </c>
      <c r="I130" s="26">
        <f t="shared" si="40"/>
        <v>101300</v>
      </c>
      <c r="J130" s="26">
        <f t="shared" si="41"/>
        <v>2.0124824921938581E-5</v>
      </c>
      <c r="K130" s="20">
        <v>281.03465346534654</v>
      </c>
      <c r="L130" s="27">
        <f t="shared" si="42"/>
        <v>2.8103465346534655E-4</v>
      </c>
      <c r="M130" s="29">
        <f t="shared" si="33"/>
        <v>4.7762865441819992E-3</v>
      </c>
      <c r="N130" s="33">
        <f t="shared" si="43"/>
        <v>1.1841360742640291E-6</v>
      </c>
      <c r="O130" s="21">
        <f t="shared" si="34"/>
        <v>2.032E-3</v>
      </c>
      <c r="P130" s="21">
        <v>1.1208581181901367E-10</v>
      </c>
      <c r="Q130" s="2">
        <v>0.31</v>
      </c>
      <c r="R130" s="27">
        <f t="shared" si="44"/>
        <v>131000</v>
      </c>
      <c r="S130" s="2">
        <v>5.2493374855265302E-3</v>
      </c>
      <c r="T130" s="11">
        <v>0.06</v>
      </c>
      <c r="U130" s="30">
        <f t="shared" si="45"/>
        <v>106000</v>
      </c>
      <c r="V130" s="30">
        <f t="shared" si="46"/>
        <v>29.789673267326734</v>
      </c>
      <c r="W130" s="2">
        <f t="shared" si="35"/>
        <v>12</v>
      </c>
      <c r="X130" s="2">
        <f t="shared" si="47"/>
        <v>1.2941197295324419E-6</v>
      </c>
      <c r="Y130" s="11">
        <f t="shared" si="48"/>
        <v>836.31120696244648</v>
      </c>
      <c r="Z130" s="9">
        <f t="shared" si="49"/>
        <v>5.2190217333157463E-14</v>
      </c>
      <c r="AA130" s="9">
        <f t="shared" si="50"/>
        <v>31428948878.027424</v>
      </c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</row>
    <row r="131" spans="1:78" s="4" customFormat="1" x14ac:dyDescent="0.25">
      <c r="A131" s="26">
        <v>387</v>
      </c>
      <c r="B131" s="26">
        <f t="shared" si="36"/>
        <v>6.45</v>
      </c>
      <c r="C131" s="26">
        <v>20</v>
      </c>
      <c r="D131" s="26">
        <f t="shared" si="37"/>
        <v>29.146000000000001</v>
      </c>
      <c r="E131" s="26">
        <f t="shared" si="38"/>
        <v>4.8576666666666667E-7</v>
      </c>
      <c r="F131" s="26">
        <v>21.1</v>
      </c>
      <c r="G131" s="26">
        <f t="shared" si="39"/>
        <v>294.10000000000002</v>
      </c>
      <c r="H131" s="26">
        <v>101.3</v>
      </c>
      <c r="I131" s="26">
        <f t="shared" si="40"/>
        <v>101300</v>
      </c>
      <c r="J131" s="26">
        <f t="shared" si="41"/>
        <v>2.0124824921938581E-5</v>
      </c>
      <c r="K131" s="20">
        <v>269.9207920792079</v>
      </c>
      <c r="L131" s="27">
        <f t="shared" si="42"/>
        <v>2.6992079207920788E-4</v>
      </c>
      <c r="M131" s="29">
        <f t="shared" ref="M131:M142" si="51">(3.142*3.07*3.07*25.4*25.4)/(4*1000000)</f>
        <v>4.7762865441819992E-3</v>
      </c>
      <c r="N131" s="33">
        <f t="shared" si="43"/>
        <v>1.1373079552779141E-6</v>
      </c>
      <c r="O131" s="21">
        <f t="shared" ref="O131:O142" si="52">(2.032/1000)</f>
        <v>2.032E-3</v>
      </c>
      <c r="P131" s="21">
        <v>1.1208581181901367E-10</v>
      </c>
      <c r="Q131" s="2">
        <v>0.31</v>
      </c>
      <c r="R131" s="27">
        <f t="shared" si="44"/>
        <v>131000</v>
      </c>
      <c r="S131" s="2">
        <v>5.2493374855265302E-3</v>
      </c>
      <c r="T131" s="11">
        <v>0.06</v>
      </c>
      <c r="U131" s="30">
        <f t="shared" si="45"/>
        <v>106000</v>
      </c>
      <c r="V131" s="30">
        <f t="shared" si="46"/>
        <v>28.611603960396035</v>
      </c>
      <c r="W131" s="2">
        <f t="shared" ref="W131:W142" si="53">(120/1000000)*100000</f>
        <v>12</v>
      </c>
      <c r="X131" s="2">
        <f t="shared" si="47"/>
        <v>1.2412785759587034E-6</v>
      </c>
      <c r="Y131" s="11">
        <f t="shared" si="48"/>
        <v>775.73836613090521</v>
      </c>
      <c r="Z131" s="9">
        <f t="shared" si="49"/>
        <v>5.0035915558351998E-14</v>
      </c>
      <c r="AA131" s="9">
        <f t="shared" si="50"/>
        <v>30131628349.239574</v>
      </c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</row>
    <row r="132" spans="1:78" s="4" customFormat="1" x14ac:dyDescent="0.25">
      <c r="A132" s="26">
        <v>390</v>
      </c>
      <c r="B132" s="26">
        <f t="shared" si="36"/>
        <v>6.5</v>
      </c>
      <c r="C132" s="26">
        <v>20</v>
      </c>
      <c r="D132" s="26">
        <f t="shared" si="37"/>
        <v>29.146000000000001</v>
      </c>
      <c r="E132" s="26">
        <f t="shared" si="38"/>
        <v>4.8576666666666667E-7</v>
      </c>
      <c r="F132" s="26">
        <v>21.1</v>
      </c>
      <c r="G132" s="26">
        <f t="shared" si="39"/>
        <v>294.10000000000002</v>
      </c>
      <c r="H132" s="26">
        <v>101.3</v>
      </c>
      <c r="I132" s="26">
        <f t="shared" si="40"/>
        <v>101300</v>
      </c>
      <c r="J132" s="26">
        <f t="shared" si="41"/>
        <v>2.0124824921938581E-5</v>
      </c>
      <c r="K132" s="20">
        <v>280.21782178217825</v>
      </c>
      <c r="L132" s="27">
        <f t="shared" si="42"/>
        <v>2.8021782178217825E-4</v>
      </c>
      <c r="M132" s="29">
        <f t="shared" si="51"/>
        <v>4.7762865441819992E-3</v>
      </c>
      <c r="N132" s="33">
        <f t="shared" si="43"/>
        <v>1.1806943639599272E-6</v>
      </c>
      <c r="O132" s="21">
        <f t="shared" si="52"/>
        <v>2.032E-3</v>
      </c>
      <c r="P132" s="21">
        <v>1.1208581181901367E-10</v>
      </c>
      <c r="Q132" s="2">
        <v>0.31</v>
      </c>
      <c r="R132" s="27">
        <f t="shared" si="44"/>
        <v>131000</v>
      </c>
      <c r="S132" s="2">
        <v>5.2493374855265302E-3</v>
      </c>
      <c r="T132" s="11">
        <v>0.06</v>
      </c>
      <c r="U132" s="30">
        <f t="shared" si="45"/>
        <v>106000</v>
      </c>
      <c r="V132" s="30">
        <f t="shared" si="46"/>
        <v>29.703089108910895</v>
      </c>
      <c r="W132" s="2">
        <f t="shared" si="53"/>
        <v>12</v>
      </c>
      <c r="X132" s="2">
        <f t="shared" si="47"/>
        <v>1.290240176211077E-6</v>
      </c>
      <c r="Y132" s="11">
        <f t="shared" si="48"/>
        <v>831.79034940373128</v>
      </c>
      <c r="Z132" s="9">
        <f t="shared" si="49"/>
        <v>5.2031952659541993E-14</v>
      </c>
      <c r="AA132" s="9">
        <f t="shared" si="50"/>
        <v>31333641891.576191</v>
      </c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</row>
    <row r="133" spans="1:78" s="4" customFormat="1" x14ac:dyDescent="0.25">
      <c r="A133" s="26">
        <v>393</v>
      </c>
      <c r="B133" s="26">
        <f t="shared" si="36"/>
        <v>6.55</v>
      </c>
      <c r="C133" s="26">
        <v>20</v>
      </c>
      <c r="D133" s="26">
        <f t="shared" si="37"/>
        <v>29.146000000000001</v>
      </c>
      <c r="E133" s="26">
        <f t="shared" si="38"/>
        <v>4.8576666666666667E-7</v>
      </c>
      <c r="F133" s="26">
        <v>21.1</v>
      </c>
      <c r="G133" s="26">
        <f t="shared" si="39"/>
        <v>294.10000000000002</v>
      </c>
      <c r="H133" s="26">
        <v>101.3</v>
      </c>
      <c r="I133" s="26">
        <f t="shared" si="40"/>
        <v>101300</v>
      </c>
      <c r="J133" s="26">
        <f t="shared" si="41"/>
        <v>2.0124824921938581E-5</v>
      </c>
      <c r="K133" s="20">
        <v>270.66336633663371</v>
      </c>
      <c r="L133" s="27">
        <f t="shared" si="42"/>
        <v>2.706633663366337E-4</v>
      </c>
      <c r="M133" s="29">
        <f t="shared" si="51"/>
        <v>4.7762865441819992E-3</v>
      </c>
      <c r="N133" s="33">
        <f t="shared" si="43"/>
        <v>1.1404367828270982E-6</v>
      </c>
      <c r="O133" s="21">
        <f t="shared" si="52"/>
        <v>2.032E-3</v>
      </c>
      <c r="P133" s="21">
        <v>1.1208581181901367E-10</v>
      </c>
      <c r="Q133" s="2">
        <v>0.31</v>
      </c>
      <c r="R133" s="27">
        <f t="shared" si="44"/>
        <v>131000</v>
      </c>
      <c r="S133" s="2">
        <v>5.2493374855265302E-3</v>
      </c>
      <c r="T133" s="11">
        <v>0.06</v>
      </c>
      <c r="U133" s="30">
        <f t="shared" si="45"/>
        <v>106000</v>
      </c>
      <c r="V133" s="30">
        <f t="shared" si="46"/>
        <v>28.690316831683173</v>
      </c>
      <c r="W133" s="2">
        <f t="shared" si="53"/>
        <v>12</v>
      </c>
      <c r="X133" s="2">
        <f t="shared" si="47"/>
        <v>1.2448129804042992E-6</v>
      </c>
      <c r="Y133" s="11">
        <f t="shared" si="48"/>
        <v>779.72229324631564</v>
      </c>
      <c r="Z133" s="9">
        <f t="shared" si="49"/>
        <v>5.0179922478904306E-14</v>
      </c>
      <c r="AA133" s="9">
        <f t="shared" si="50"/>
        <v>30218349316.796173</v>
      </c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</row>
    <row r="134" spans="1:78" s="4" customFormat="1" x14ac:dyDescent="0.25">
      <c r="A134" s="26">
        <v>396</v>
      </c>
      <c r="B134" s="26">
        <f t="shared" si="36"/>
        <v>6.6</v>
      </c>
      <c r="C134" s="26">
        <v>20</v>
      </c>
      <c r="D134" s="26">
        <f t="shared" si="37"/>
        <v>29.146000000000001</v>
      </c>
      <c r="E134" s="26">
        <f t="shared" si="38"/>
        <v>4.8576666666666667E-7</v>
      </c>
      <c r="F134" s="26">
        <v>21.1</v>
      </c>
      <c r="G134" s="26">
        <f t="shared" si="39"/>
        <v>294.10000000000002</v>
      </c>
      <c r="H134" s="26">
        <v>101.3</v>
      </c>
      <c r="I134" s="26">
        <f t="shared" si="40"/>
        <v>101300</v>
      </c>
      <c r="J134" s="26">
        <f t="shared" si="41"/>
        <v>2.0124824921938581E-5</v>
      </c>
      <c r="K134" s="20">
        <v>271.52970297029708</v>
      </c>
      <c r="L134" s="27">
        <f t="shared" si="42"/>
        <v>2.7152970297029711E-4</v>
      </c>
      <c r="M134" s="29">
        <f t="shared" si="51"/>
        <v>4.7762865441819992E-3</v>
      </c>
      <c r="N134" s="33">
        <f t="shared" si="43"/>
        <v>1.1440870816344792E-6</v>
      </c>
      <c r="O134" s="21">
        <f t="shared" si="52"/>
        <v>2.032E-3</v>
      </c>
      <c r="P134" s="21">
        <v>1.1208581181901367E-10</v>
      </c>
      <c r="Q134" s="2">
        <v>0.31</v>
      </c>
      <c r="R134" s="27">
        <f t="shared" si="44"/>
        <v>131000</v>
      </c>
      <c r="S134" s="2">
        <v>5.2493374855265302E-3</v>
      </c>
      <c r="T134" s="11">
        <v>0.06</v>
      </c>
      <c r="U134" s="30">
        <f t="shared" si="45"/>
        <v>106000</v>
      </c>
      <c r="V134" s="30">
        <f t="shared" si="46"/>
        <v>28.782148514851492</v>
      </c>
      <c r="W134" s="2">
        <f t="shared" si="53"/>
        <v>12</v>
      </c>
      <c r="X134" s="2">
        <f t="shared" si="47"/>
        <v>1.2489357497252648E-6</v>
      </c>
      <c r="Y134" s="11">
        <f t="shared" si="48"/>
        <v>784.38167795793856</v>
      </c>
      <c r="Z134" s="9">
        <f t="shared" si="49"/>
        <v>5.0347917803783463E-14</v>
      </c>
      <c r="AA134" s="9">
        <f t="shared" si="50"/>
        <v>30319516101.438404</v>
      </c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</row>
    <row r="135" spans="1:78" s="4" customFormat="1" x14ac:dyDescent="0.25">
      <c r="A135" s="26">
        <v>399</v>
      </c>
      <c r="B135" s="26">
        <f t="shared" si="36"/>
        <v>6.65</v>
      </c>
      <c r="C135" s="26">
        <v>20</v>
      </c>
      <c r="D135" s="26">
        <f t="shared" si="37"/>
        <v>29.146000000000001</v>
      </c>
      <c r="E135" s="26">
        <f t="shared" si="38"/>
        <v>4.8576666666666667E-7</v>
      </c>
      <c r="F135" s="26">
        <v>21.1</v>
      </c>
      <c r="G135" s="26">
        <f t="shared" si="39"/>
        <v>294.10000000000002</v>
      </c>
      <c r="H135" s="26">
        <v>101.3</v>
      </c>
      <c r="I135" s="26">
        <f t="shared" si="40"/>
        <v>101300</v>
      </c>
      <c r="J135" s="26">
        <f t="shared" si="41"/>
        <v>2.0124824921938581E-5</v>
      </c>
      <c r="K135" s="20">
        <v>267.49504950495054</v>
      </c>
      <c r="L135" s="27">
        <f t="shared" si="42"/>
        <v>2.6749504950495057E-4</v>
      </c>
      <c r="M135" s="29">
        <f t="shared" si="51"/>
        <v>4.7762865441819992E-3</v>
      </c>
      <c r="N135" s="33">
        <f t="shared" si="43"/>
        <v>1.1270871186172482E-6</v>
      </c>
      <c r="O135" s="21">
        <f t="shared" si="52"/>
        <v>2.032E-3</v>
      </c>
      <c r="P135" s="21">
        <v>1.1208581181901367E-10</v>
      </c>
      <c r="Q135" s="2">
        <v>0.31</v>
      </c>
      <c r="R135" s="27">
        <f t="shared" si="44"/>
        <v>131000</v>
      </c>
      <c r="S135" s="2">
        <v>5.2493374855265302E-3</v>
      </c>
      <c r="T135" s="11">
        <v>0.06</v>
      </c>
      <c r="U135" s="30">
        <f t="shared" si="45"/>
        <v>106000</v>
      </c>
      <c r="V135" s="30">
        <f t="shared" si="46"/>
        <v>28.354475247524761</v>
      </c>
      <c r="W135" s="2">
        <f t="shared" si="53"/>
        <v>12</v>
      </c>
      <c r="X135" s="2">
        <f t="shared" si="47"/>
        <v>1.229728952032408E-6</v>
      </c>
      <c r="Y135" s="11">
        <f t="shared" si="48"/>
        <v>762.78749740740352</v>
      </c>
      <c r="Z135" s="9">
        <f t="shared" si="49"/>
        <v>4.9565421133475752E-14</v>
      </c>
      <c r="AA135" s="9">
        <f t="shared" si="50"/>
        <v>29848296606.579098</v>
      </c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</row>
    <row r="136" spans="1:78" s="4" customFormat="1" x14ac:dyDescent="0.25">
      <c r="A136" s="26">
        <v>402</v>
      </c>
      <c r="B136" s="26">
        <f t="shared" si="36"/>
        <v>6.7</v>
      </c>
      <c r="C136" s="26">
        <v>20</v>
      </c>
      <c r="D136" s="26">
        <f t="shared" si="37"/>
        <v>29.146000000000001</v>
      </c>
      <c r="E136" s="26">
        <f t="shared" si="38"/>
        <v>4.8576666666666667E-7</v>
      </c>
      <c r="F136" s="26">
        <v>21.1</v>
      </c>
      <c r="G136" s="26">
        <f t="shared" si="39"/>
        <v>294.10000000000002</v>
      </c>
      <c r="H136" s="26">
        <v>101.3</v>
      </c>
      <c r="I136" s="26">
        <f t="shared" si="40"/>
        <v>101300</v>
      </c>
      <c r="J136" s="26">
        <f t="shared" si="41"/>
        <v>2.0124824921938581E-5</v>
      </c>
      <c r="K136" s="20">
        <v>277.32178217821786</v>
      </c>
      <c r="L136" s="27">
        <f t="shared" si="42"/>
        <v>2.7732178217821784E-4</v>
      </c>
      <c r="M136" s="29">
        <f t="shared" si="51"/>
        <v>4.7762865441819992E-3</v>
      </c>
      <c r="N136" s="33">
        <f t="shared" si="43"/>
        <v>1.1684919365181111E-6</v>
      </c>
      <c r="O136" s="21">
        <f t="shared" si="52"/>
        <v>2.032E-3</v>
      </c>
      <c r="P136" s="21">
        <v>1.1208581181901367E-10</v>
      </c>
      <c r="Q136" s="2">
        <v>0.31</v>
      </c>
      <c r="R136" s="27">
        <f t="shared" si="44"/>
        <v>131000</v>
      </c>
      <c r="S136" s="2">
        <v>5.2493374855265302E-3</v>
      </c>
      <c r="T136" s="11">
        <v>0.06</v>
      </c>
      <c r="U136" s="30">
        <f t="shared" si="45"/>
        <v>106000</v>
      </c>
      <c r="V136" s="30">
        <f t="shared" si="46"/>
        <v>29.39610891089109</v>
      </c>
      <c r="W136" s="2">
        <f t="shared" si="53"/>
        <v>12</v>
      </c>
      <c r="X136" s="2">
        <f t="shared" si="47"/>
        <v>1.2764802311326394E-6</v>
      </c>
      <c r="Y136" s="11">
        <f t="shared" si="48"/>
        <v>815.84988373334068</v>
      </c>
      <c r="Z136" s="9">
        <f t="shared" si="49"/>
        <v>5.1470747559006236E-14</v>
      </c>
      <c r="AA136" s="9">
        <f t="shared" si="50"/>
        <v>30995684180.033558</v>
      </c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</row>
    <row r="137" spans="1:78" s="4" customFormat="1" x14ac:dyDescent="0.25">
      <c r="A137" s="26">
        <v>405</v>
      </c>
      <c r="B137" s="26">
        <f t="shared" si="36"/>
        <v>6.75</v>
      </c>
      <c r="C137" s="26">
        <v>20</v>
      </c>
      <c r="D137" s="26">
        <f t="shared" si="37"/>
        <v>29.146000000000001</v>
      </c>
      <c r="E137" s="26">
        <f t="shared" si="38"/>
        <v>4.8576666666666667E-7</v>
      </c>
      <c r="F137" s="26">
        <v>21.1</v>
      </c>
      <c r="G137" s="26">
        <f t="shared" si="39"/>
        <v>294.10000000000002</v>
      </c>
      <c r="H137" s="26">
        <v>101.3</v>
      </c>
      <c r="I137" s="26">
        <f t="shared" si="40"/>
        <v>101300</v>
      </c>
      <c r="J137" s="26">
        <f t="shared" si="41"/>
        <v>2.0124824921938581E-5</v>
      </c>
      <c r="K137" s="20">
        <v>264.77227722772278</v>
      </c>
      <c r="L137" s="27">
        <f t="shared" si="42"/>
        <v>2.647722772277228E-4</v>
      </c>
      <c r="M137" s="29">
        <f t="shared" si="51"/>
        <v>4.7762865441819992E-3</v>
      </c>
      <c r="N137" s="33">
        <f t="shared" si="43"/>
        <v>1.1156147509369081E-6</v>
      </c>
      <c r="O137" s="21">
        <f t="shared" si="52"/>
        <v>2.032E-3</v>
      </c>
      <c r="P137" s="21">
        <v>1.1208581181901367E-10</v>
      </c>
      <c r="Q137" s="2">
        <v>0.31</v>
      </c>
      <c r="R137" s="27">
        <f t="shared" si="44"/>
        <v>131000</v>
      </c>
      <c r="S137" s="2">
        <v>5.2493374855265302E-3</v>
      </c>
      <c r="T137" s="11">
        <v>0.06</v>
      </c>
      <c r="U137" s="30">
        <f t="shared" si="45"/>
        <v>106000</v>
      </c>
      <c r="V137" s="30">
        <f t="shared" si="46"/>
        <v>28.065861386138618</v>
      </c>
      <c r="W137" s="2">
        <f t="shared" si="53"/>
        <v>12</v>
      </c>
      <c r="X137" s="2">
        <f t="shared" si="47"/>
        <v>1.2167578912459349E-6</v>
      </c>
      <c r="Y137" s="11">
        <f t="shared" si="48"/>
        <v>748.36639016339234</v>
      </c>
      <c r="Z137" s="9">
        <f t="shared" si="49"/>
        <v>4.9037180051499486E-14</v>
      </c>
      <c r="AA137" s="9">
        <f t="shared" si="50"/>
        <v>29530189827.012993</v>
      </c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</row>
    <row r="138" spans="1:78" s="4" customFormat="1" x14ac:dyDescent="0.25">
      <c r="A138" s="26">
        <v>408</v>
      </c>
      <c r="B138" s="26">
        <f t="shared" si="36"/>
        <v>6.8</v>
      </c>
      <c r="C138" s="26">
        <v>20</v>
      </c>
      <c r="D138" s="26">
        <f t="shared" si="37"/>
        <v>29.146000000000001</v>
      </c>
      <c r="E138" s="26">
        <f t="shared" si="38"/>
        <v>4.8576666666666667E-7</v>
      </c>
      <c r="F138" s="26">
        <v>21.1</v>
      </c>
      <c r="G138" s="26">
        <f t="shared" si="39"/>
        <v>294.10000000000002</v>
      </c>
      <c r="H138" s="26">
        <v>101.3</v>
      </c>
      <c r="I138" s="26">
        <f t="shared" si="40"/>
        <v>101300</v>
      </c>
      <c r="J138" s="26">
        <f t="shared" si="41"/>
        <v>2.0124824921938581E-5</v>
      </c>
      <c r="K138" s="20">
        <v>272.99009900990103</v>
      </c>
      <c r="L138" s="27">
        <f t="shared" si="42"/>
        <v>2.7299009900990105E-4</v>
      </c>
      <c r="M138" s="29">
        <f t="shared" si="51"/>
        <v>4.7762865441819992E-3</v>
      </c>
      <c r="N138" s="33">
        <f t="shared" si="43"/>
        <v>1.150240442481207E-6</v>
      </c>
      <c r="O138" s="21">
        <f t="shared" si="52"/>
        <v>2.032E-3</v>
      </c>
      <c r="P138" s="21">
        <v>1.1208581181901367E-10</v>
      </c>
      <c r="Q138" s="2">
        <v>0.31</v>
      </c>
      <c r="R138" s="27">
        <f t="shared" si="44"/>
        <v>131000</v>
      </c>
      <c r="S138" s="2">
        <v>5.2493374855265302E-3</v>
      </c>
      <c r="T138" s="11">
        <v>0.06</v>
      </c>
      <c r="U138" s="30">
        <f t="shared" si="45"/>
        <v>106000</v>
      </c>
      <c r="V138" s="30">
        <f t="shared" si="46"/>
        <v>28.936950495049512</v>
      </c>
      <c r="W138" s="2">
        <f t="shared" si="53"/>
        <v>12</v>
      </c>
      <c r="X138" s="2">
        <f t="shared" si="47"/>
        <v>1.2558838578898974E-6</v>
      </c>
      <c r="Y138" s="11">
        <f t="shared" si="48"/>
        <v>792.26401335627088</v>
      </c>
      <c r="Z138" s="9">
        <f t="shared" si="49"/>
        <v>5.063107934973506E-14</v>
      </c>
      <c r="AA138" s="9">
        <f t="shared" si="50"/>
        <v>30490035984.410454</v>
      </c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</row>
    <row r="139" spans="1:78" s="4" customFormat="1" x14ac:dyDescent="0.25">
      <c r="A139" s="26">
        <v>411</v>
      </c>
      <c r="B139" s="26">
        <f t="shared" si="36"/>
        <v>6.85</v>
      </c>
      <c r="C139" s="26">
        <v>20</v>
      </c>
      <c r="D139" s="26">
        <f t="shared" si="37"/>
        <v>29.146000000000001</v>
      </c>
      <c r="E139" s="26">
        <f t="shared" si="38"/>
        <v>4.8576666666666667E-7</v>
      </c>
      <c r="F139" s="26">
        <v>21.1</v>
      </c>
      <c r="G139" s="26">
        <f t="shared" si="39"/>
        <v>294.10000000000002</v>
      </c>
      <c r="H139" s="26">
        <v>101.3</v>
      </c>
      <c r="I139" s="26">
        <f t="shared" si="40"/>
        <v>101300</v>
      </c>
      <c r="J139" s="26">
        <f t="shared" si="41"/>
        <v>2.0124824921938581E-5</v>
      </c>
      <c r="K139" s="20">
        <v>279.57425742574259</v>
      </c>
      <c r="L139" s="27">
        <f t="shared" si="42"/>
        <v>2.795742574257426E-4</v>
      </c>
      <c r="M139" s="29">
        <f t="shared" si="51"/>
        <v>4.7762865441819992E-3</v>
      </c>
      <c r="N139" s="33">
        <f t="shared" si="43"/>
        <v>1.1779827134173016E-6</v>
      </c>
      <c r="O139" s="21">
        <f t="shared" si="52"/>
        <v>2.032E-3</v>
      </c>
      <c r="P139" s="21">
        <v>1.1208581181901367E-10</v>
      </c>
      <c r="Q139" s="2">
        <v>0.31</v>
      </c>
      <c r="R139" s="27">
        <f t="shared" si="44"/>
        <v>131000</v>
      </c>
      <c r="S139" s="2">
        <v>5.2493374855265302E-3</v>
      </c>
      <c r="T139" s="11">
        <v>0.06</v>
      </c>
      <c r="U139" s="30">
        <f t="shared" si="45"/>
        <v>106000</v>
      </c>
      <c r="V139" s="30">
        <f t="shared" si="46"/>
        <v>29.634871287128718</v>
      </c>
      <c r="W139" s="2">
        <f t="shared" si="53"/>
        <v>12</v>
      </c>
      <c r="X139" s="2">
        <f t="shared" si="47"/>
        <v>1.2871831087917389E-6</v>
      </c>
      <c r="Y139" s="11">
        <f t="shared" si="48"/>
        <v>828.23615277083491</v>
      </c>
      <c r="Z139" s="9">
        <f t="shared" si="49"/>
        <v>5.1907251957090813E-14</v>
      </c>
      <c r="AA139" s="9">
        <f t="shared" si="50"/>
        <v>31258547128.560089</v>
      </c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</row>
    <row r="140" spans="1:78" s="4" customFormat="1" x14ac:dyDescent="0.25">
      <c r="A140" s="26">
        <v>414</v>
      </c>
      <c r="B140" s="26">
        <f t="shared" si="36"/>
        <v>6.9</v>
      </c>
      <c r="C140" s="26">
        <v>20</v>
      </c>
      <c r="D140" s="26">
        <f t="shared" si="37"/>
        <v>29.146000000000001</v>
      </c>
      <c r="E140" s="26">
        <f t="shared" si="38"/>
        <v>4.8576666666666667E-7</v>
      </c>
      <c r="F140" s="26">
        <v>21.1</v>
      </c>
      <c r="G140" s="26">
        <f t="shared" si="39"/>
        <v>294.10000000000002</v>
      </c>
      <c r="H140" s="26">
        <v>101.3</v>
      </c>
      <c r="I140" s="26">
        <f t="shared" si="40"/>
        <v>101300</v>
      </c>
      <c r="J140" s="26">
        <f t="shared" si="41"/>
        <v>2.0124824921938581E-5</v>
      </c>
      <c r="K140" s="20">
        <v>275.83663366336634</v>
      </c>
      <c r="L140" s="27">
        <f t="shared" si="42"/>
        <v>2.7583663366336636E-4</v>
      </c>
      <c r="M140" s="29">
        <f t="shared" si="51"/>
        <v>4.7762865441819992E-3</v>
      </c>
      <c r="N140" s="33">
        <f t="shared" si="43"/>
        <v>1.162234281419744E-6</v>
      </c>
      <c r="O140" s="21">
        <f t="shared" si="52"/>
        <v>2.032E-3</v>
      </c>
      <c r="P140" s="21">
        <v>1.1208581181901367E-10</v>
      </c>
      <c r="Q140" s="2">
        <v>0.31</v>
      </c>
      <c r="R140" s="27">
        <f t="shared" si="44"/>
        <v>131000</v>
      </c>
      <c r="S140" s="2">
        <v>5.2493374855265302E-3</v>
      </c>
      <c r="T140" s="11">
        <v>0.06</v>
      </c>
      <c r="U140" s="30">
        <f t="shared" si="45"/>
        <v>106000</v>
      </c>
      <c r="V140" s="30">
        <f t="shared" si="46"/>
        <v>29.238683168316832</v>
      </c>
      <c r="W140" s="2">
        <f t="shared" si="53"/>
        <v>12</v>
      </c>
      <c r="X140" s="2">
        <f t="shared" si="47"/>
        <v>1.26942069417741E-6</v>
      </c>
      <c r="Y140" s="11">
        <f t="shared" si="48"/>
        <v>807.72860755425791</v>
      </c>
      <c r="Z140" s="9">
        <f t="shared" si="49"/>
        <v>5.1182897138049597E-14</v>
      </c>
      <c r="AA140" s="9">
        <f t="shared" si="50"/>
        <v>30822340656.53347</v>
      </c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</row>
    <row r="141" spans="1:78" s="4" customFormat="1" x14ac:dyDescent="0.25">
      <c r="A141" s="26">
        <v>417</v>
      </c>
      <c r="B141" s="26">
        <f t="shared" si="36"/>
        <v>6.95</v>
      </c>
      <c r="C141" s="26">
        <v>20</v>
      </c>
      <c r="D141" s="26">
        <f t="shared" si="37"/>
        <v>29.146000000000001</v>
      </c>
      <c r="E141" s="26">
        <f t="shared" si="38"/>
        <v>4.8576666666666667E-7</v>
      </c>
      <c r="F141" s="26">
        <v>21.1</v>
      </c>
      <c r="G141" s="26">
        <f t="shared" si="39"/>
        <v>294.10000000000002</v>
      </c>
      <c r="H141" s="26">
        <v>101.3</v>
      </c>
      <c r="I141" s="26">
        <f t="shared" si="40"/>
        <v>101300</v>
      </c>
      <c r="J141" s="26">
        <f t="shared" si="41"/>
        <v>2.0124824921938581E-5</v>
      </c>
      <c r="K141" s="20">
        <v>270.88613861386142</v>
      </c>
      <c r="L141" s="27">
        <f t="shared" si="42"/>
        <v>2.708861386138614E-4</v>
      </c>
      <c r="M141" s="29">
        <f t="shared" si="51"/>
        <v>4.7762865441819992E-3</v>
      </c>
      <c r="N141" s="33">
        <f t="shared" si="43"/>
        <v>1.1413754310918532E-6</v>
      </c>
      <c r="O141" s="21">
        <f t="shared" si="52"/>
        <v>2.032E-3</v>
      </c>
      <c r="P141" s="21">
        <v>1.1208581181901367E-10</v>
      </c>
      <c r="Q141" s="2">
        <v>0.31</v>
      </c>
      <c r="R141" s="27">
        <f t="shared" si="44"/>
        <v>131000</v>
      </c>
      <c r="S141" s="2">
        <v>5.2493374855265302E-3</v>
      </c>
      <c r="T141" s="11">
        <v>0.06</v>
      </c>
      <c r="U141" s="30">
        <f t="shared" si="45"/>
        <v>106000</v>
      </c>
      <c r="V141" s="30">
        <f t="shared" si="46"/>
        <v>28.713930693069308</v>
      </c>
      <c r="W141" s="2">
        <f t="shared" si="53"/>
        <v>12</v>
      </c>
      <c r="X141" s="2">
        <f t="shared" si="47"/>
        <v>1.2458731932185026E-6</v>
      </c>
      <c r="Y141" s="11">
        <f t="shared" si="48"/>
        <v>780.91924122403054</v>
      </c>
      <c r="Z141" s="9">
        <f t="shared" si="49"/>
        <v>5.0223122581317766E-14</v>
      </c>
      <c r="AA141" s="9">
        <f t="shared" si="50"/>
        <v>30244364418.469559</v>
      </c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</row>
    <row r="142" spans="1:78" s="4" customFormat="1" x14ac:dyDescent="0.25">
      <c r="A142" s="26">
        <v>420</v>
      </c>
      <c r="B142" s="26">
        <f t="shared" si="36"/>
        <v>7</v>
      </c>
      <c r="C142" s="26">
        <v>20</v>
      </c>
      <c r="D142" s="26">
        <f t="shared" si="37"/>
        <v>29.146000000000001</v>
      </c>
      <c r="E142" s="26">
        <f t="shared" si="38"/>
        <v>4.8576666666666667E-7</v>
      </c>
      <c r="F142" s="26">
        <v>21.1</v>
      </c>
      <c r="G142" s="26">
        <f t="shared" si="39"/>
        <v>294.10000000000002</v>
      </c>
      <c r="H142" s="26">
        <v>101.3</v>
      </c>
      <c r="I142" s="26">
        <f t="shared" si="40"/>
        <v>101300</v>
      </c>
      <c r="J142" s="26">
        <f t="shared" si="41"/>
        <v>2.0124824921938581E-5</v>
      </c>
      <c r="K142" s="20">
        <v>278.18811881188122</v>
      </c>
      <c r="L142" s="27">
        <f t="shared" si="42"/>
        <v>2.7818811881188125E-4</v>
      </c>
      <c r="M142" s="29">
        <f t="shared" si="51"/>
        <v>4.7762865441819992E-3</v>
      </c>
      <c r="N142" s="33">
        <f t="shared" si="43"/>
        <v>1.1721422353254923E-6</v>
      </c>
      <c r="O142" s="21">
        <f t="shared" si="52"/>
        <v>2.032E-3</v>
      </c>
      <c r="P142" s="21">
        <v>1.1208581181901367E-10</v>
      </c>
      <c r="Q142" s="2">
        <v>0.31</v>
      </c>
      <c r="R142" s="27">
        <f t="shared" si="44"/>
        <v>131000</v>
      </c>
      <c r="S142" s="2">
        <v>5.2493374855265302E-3</v>
      </c>
      <c r="T142" s="11">
        <v>0.06</v>
      </c>
      <c r="U142" s="30">
        <f t="shared" si="45"/>
        <v>106000</v>
      </c>
      <c r="V142" s="30">
        <f t="shared" si="46"/>
        <v>29.487940594059413</v>
      </c>
      <c r="W142" s="2">
        <f t="shared" si="53"/>
        <v>12</v>
      </c>
      <c r="X142" s="2">
        <f t="shared" si="47"/>
        <v>1.280597302999587E-6</v>
      </c>
      <c r="Y142" s="11">
        <f t="shared" si="48"/>
        <v>820.60399567369188</v>
      </c>
      <c r="Z142" s="9">
        <f t="shared" si="49"/>
        <v>5.1638643539846383E-14</v>
      </c>
      <c r="AA142" s="9">
        <f t="shared" si="50"/>
        <v>31096791139.695492</v>
      </c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</row>
    <row r="143" spans="1:78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2"/>
      <c r="X143" s="2"/>
      <c r="Y143" s="5"/>
      <c r="Z143" s="2"/>
      <c r="AA143" s="5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</row>
    <row r="144" spans="1:78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3"/>
      <c r="O144" s="23"/>
      <c r="P144" s="23"/>
      <c r="Q144" s="8"/>
      <c r="R144" s="8"/>
      <c r="S144" s="8"/>
      <c r="T144" s="13"/>
      <c r="U144" s="8"/>
      <c r="V144" s="13"/>
      <c r="W144" s="8"/>
      <c r="X144" s="8"/>
      <c r="Y144" s="19"/>
      <c r="Z144" s="8"/>
      <c r="AA144" s="19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</row>
    <row r="145" spans="1:78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3"/>
      <c r="O145" s="23"/>
      <c r="P145" s="23"/>
      <c r="Q145" s="8"/>
      <c r="R145" s="8"/>
      <c r="S145" s="8"/>
      <c r="T145" s="13"/>
      <c r="U145" s="8"/>
      <c r="V145" s="13"/>
      <c r="W145" s="8"/>
      <c r="X145" s="8"/>
      <c r="Y145" s="19"/>
      <c r="Z145" s="32">
        <f>AVERAGE(Z70:Z142)</f>
        <v>5.1739479801029559E-14</v>
      </c>
      <c r="AA145" s="32">
        <f>AVERAGE(AA70:AA142)</f>
        <v>31157514736.18</v>
      </c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</row>
    <row r="146" spans="1:78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3"/>
      <c r="O146" s="23"/>
      <c r="P146" s="23"/>
      <c r="Q146" s="8"/>
      <c r="R146" s="8"/>
      <c r="S146" s="8"/>
      <c r="T146" s="13"/>
      <c r="U146" s="8"/>
      <c r="V146" s="13"/>
      <c r="W146" s="8"/>
      <c r="X146" s="8"/>
      <c r="Y146" s="19"/>
      <c r="Z146" s="8"/>
      <c r="AA146" s="19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</row>
    <row r="147" spans="1:78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3"/>
      <c r="O147" s="23"/>
      <c r="P147" s="23"/>
      <c r="Q147" s="8"/>
      <c r="R147" s="8"/>
      <c r="S147" s="8"/>
      <c r="T147" s="13"/>
      <c r="U147" s="8"/>
      <c r="V147" s="13"/>
      <c r="W147" s="8"/>
      <c r="X147" s="8"/>
      <c r="Y147" s="19"/>
      <c r="Z147" s="8"/>
      <c r="AA147" s="19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</row>
    <row r="148" spans="1:78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3"/>
      <c r="O148" s="23"/>
      <c r="P148" s="23"/>
      <c r="Q148" s="8"/>
      <c r="R148" s="8"/>
      <c r="S148" s="8"/>
      <c r="T148" s="13"/>
      <c r="U148" s="8"/>
      <c r="V148" s="13"/>
      <c r="W148" s="8"/>
      <c r="X148" s="8"/>
      <c r="Y148" s="19"/>
      <c r="Z148" s="8"/>
      <c r="AA148" s="19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</row>
    <row r="149" spans="1:78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3"/>
      <c r="O149" s="23"/>
      <c r="P149" s="23"/>
      <c r="Q149" s="8"/>
      <c r="R149" s="8"/>
      <c r="S149" s="8"/>
      <c r="T149" s="13"/>
      <c r="U149" s="8"/>
      <c r="V149" s="13"/>
      <c r="W149" s="8"/>
      <c r="X149" s="8"/>
      <c r="Y149" s="19"/>
      <c r="Z149" s="8"/>
      <c r="AA149" s="19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</row>
    <row r="150" spans="1:78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3"/>
      <c r="O150" s="23"/>
      <c r="P150" s="23"/>
      <c r="Q150" s="8"/>
      <c r="R150" s="8"/>
      <c r="S150" s="8"/>
      <c r="T150" s="13"/>
      <c r="U150" s="8"/>
      <c r="V150" s="13"/>
      <c r="W150" s="8"/>
      <c r="X150" s="8"/>
      <c r="Y150" s="19"/>
      <c r="Z150" s="8"/>
      <c r="AA150" s="19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</row>
    <row r="151" spans="1:78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3"/>
      <c r="O151" s="23"/>
      <c r="P151" s="23"/>
      <c r="Q151" s="8"/>
      <c r="R151" s="8"/>
      <c r="S151" s="8"/>
      <c r="T151" s="13"/>
      <c r="U151" s="8"/>
      <c r="V151" s="13"/>
      <c r="W151" s="8"/>
      <c r="X151" s="8"/>
      <c r="Y151" s="19"/>
      <c r="Z151" s="8"/>
      <c r="AA151" s="19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</row>
    <row r="152" spans="1:78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3"/>
      <c r="O152" s="23"/>
      <c r="P152" s="23"/>
      <c r="Q152" s="8"/>
      <c r="R152" s="8"/>
      <c r="S152" s="8"/>
      <c r="T152" s="13"/>
      <c r="U152" s="8"/>
      <c r="V152" s="13"/>
      <c r="W152" s="8"/>
      <c r="X152" s="8"/>
      <c r="Y152" s="19"/>
      <c r="Z152" s="8"/>
      <c r="AA152" s="19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</row>
    <row r="153" spans="1:78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3"/>
      <c r="O153" s="23"/>
      <c r="P153" s="23"/>
      <c r="Q153" s="8"/>
      <c r="R153" s="8"/>
      <c r="S153" s="8"/>
      <c r="T153" s="13"/>
      <c r="U153" s="8"/>
      <c r="V153" s="13"/>
      <c r="W153" s="8"/>
      <c r="X153" s="8"/>
      <c r="Y153" s="19"/>
      <c r="Z153" s="8"/>
      <c r="AA153" s="19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 spans="1:78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3"/>
      <c r="O154" s="23"/>
      <c r="P154" s="23"/>
      <c r="Q154" s="8"/>
      <c r="R154" s="8"/>
      <c r="S154" s="8"/>
      <c r="T154" s="13"/>
      <c r="U154" s="8"/>
      <c r="V154" s="13"/>
      <c r="W154" s="8"/>
      <c r="X154" s="8"/>
      <c r="Y154" s="19"/>
      <c r="Z154" s="8"/>
      <c r="AA154" s="19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 spans="1:78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3"/>
      <c r="O155" s="23"/>
      <c r="P155" s="23"/>
      <c r="Q155" s="8"/>
      <c r="R155" s="8"/>
      <c r="S155" s="8"/>
      <c r="T155" s="13"/>
      <c r="U155" s="8"/>
      <c r="V155" s="13"/>
      <c r="W155" s="8"/>
      <c r="X155" s="8"/>
      <c r="Y155" s="19"/>
      <c r="Z155" s="8"/>
      <c r="AA155" s="19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</row>
    <row r="156" spans="1:78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3"/>
      <c r="O156" s="23"/>
      <c r="P156" s="23"/>
      <c r="Q156" s="8"/>
      <c r="R156" s="8"/>
      <c r="S156" s="8"/>
      <c r="T156" s="13"/>
      <c r="U156" s="8"/>
      <c r="V156" s="13"/>
      <c r="W156" s="8"/>
      <c r="X156" s="8"/>
      <c r="Y156" s="19"/>
      <c r="Z156" s="8"/>
      <c r="AA156" s="19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</row>
    <row r="157" spans="1:78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3"/>
      <c r="O157" s="23"/>
      <c r="P157" s="23"/>
      <c r="Q157" s="8"/>
      <c r="R157" s="8"/>
      <c r="S157" s="8"/>
      <c r="T157" s="13"/>
      <c r="U157" s="8"/>
      <c r="V157" s="13"/>
      <c r="W157" s="8"/>
      <c r="X157" s="8"/>
      <c r="Y157" s="19"/>
      <c r="Z157" s="8"/>
      <c r="AA157" s="19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</row>
    <row r="158" spans="1:78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3"/>
      <c r="O158" s="23"/>
      <c r="P158" s="23"/>
      <c r="Q158" s="8"/>
      <c r="R158" s="8"/>
      <c r="S158" s="8"/>
      <c r="T158" s="13"/>
      <c r="U158" s="8"/>
      <c r="V158" s="13"/>
      <c r="W158" s="8"/>
      <c r="X158" s="8"/>
      <c r="Y158" s="19"/>
      <c r="Z158" s="8"/>
      <c r="AA158" s="19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</row>
    <row r="159" spans="1:78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3"/>
      <c r="O159" s="23"/>
      <c r="P159" s="23"/>
      <c r="Q159" s="8"/>
      <c r="R159" s="8"/>
      <c r="S159" s="8"/>
      <c r="T159" s="13"/>
      <c r="U159" s="8"/>
      <c r="V159" s="13"/>
      <c r="W159" s="8"/>
      <c r="X159" s="8"/>
      <c r="Y159" s="19"/>
      <c r="Z159" s="8"/>
      <c r="AA159" s="19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</row>
    <row r="160" spans="1:78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3"/>
      <c r="O160" s="23"/>
      <c r="P160" s="23"/>
      <c r="Q160" s="8"/>
      <c r="R160" s="8"/>
      <c r="S160" s="8"/>
      <c r="T160" s="13"/>
      <c r="U160" s="8"/>
      <c r="V160" s="13"/>
      <c r="W160" s="8"/>
      <c r="X160" s="8"/>
      <c r="Y160" s="19"/>
      <c r="Z160" s="8"/>
      <c r="AA160" s="19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</row>
    <row r="161" spans="1:78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3"/>
      <c r="O161" s="23"/>
      <c r="P161" s="23"/>
      <c r="Q161" s="8"/>
      <c r="R161" s="8"/>
      <c r="S161" s="8"/>
      <c r="T161" s="13"/>
      <c r="U161" s="8"/>
      <c r="V161" s="13"/>
      <c r="W161" s="8"/>
      <c r="X161" s="8"/>
      <c r="Y161" s="19"/>
      <c r="Z161" s="8"/>
      <c r="AA161" s="19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</row>
    <row r="162" spans="1:78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3"/>
      <c r="O162" s="23"/>
      <c r="P162" s="23"/>
      <c r="Q162" s="8"/>
      <c r="R162" s="8"/>
      <c r="S162" s="8"/>
      <c r="T162" s="13"/>
      <c r="U162" s="8"/>
      <c r="V162" s="13"/>
      <c r="W162" s="8"/>
      <c r="X162" s="8"/>
      <c r="Y162" s="19"/>
      <c r="Z162" s="8"/>
      <c r="AA162" s="19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</row>
    <row r="163" spans="1:78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3"/>
      <c r="O163" s="23"/>
      <c r="P163" s="23"/>
      <c r="Q163" s="8"/>
      <c r="R163" s="8"/>
      <c r="S163" s="8"/>
      <c r="T163" s="13"/>
      <c r="U163" s="8"/>
      <c r="V163" s="13"/>
      <c r="W163" s="8"/>
      <c r="X163" s="8"/>
      <c r="Y163" s="19"/>
      <c r="Z163" s="8"/>
      <c r="AA163" s="19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</row>
    <row r="164" spans="1:78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3"/>
      <c r="O164" s="23"/>
      <c r="P164" s="23"/>
      <c r="Q164" s="8"/>
      <c r="R164" s="8"/>
      <c r="S164" s="8"/>
      <c r="T164" s="13"/>
      <c r="U164" s="8"/>
      <c r="V164" s="13"/>
      <c r="W164" s="8"/>
      <c r="X164" s="8"/>
      <c r="Y164" s="19"/>
      <c r="Z164" s="8"/>
      <c r="AA164" s="19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</row>
    <row r="165" spans="1:78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3"/>
      <c r="O165" s="23"/>
      <c r="P165" s="23"/>
      <c r="Q165" s="8"/>
      <c r="R165" s="8"/>
      <c r="S165" s="8"/>
      <c r="T165" s="13"/>
      <c r="U165" s="8"/>
      <c r="V165" s="13"/>
      <c r="W165" s="8"/>
      <c r="X165" s="8"/>
      <c r="Y165" s="19"/>
      <c r="Z165" s="8"/>
      <c r="AA165" s="19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</row>
    <row r="166" spans="1:78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3"/>
      <c r="O166" s="23"/>
      <c r="P166" s="23"/>
      <c r="Q166" s="8"/>
      <c r="R166" s="8"/>
      <c r="S166" s="8"/>
      <c r="T166" s="13"/>
      <c r="U166" s="8"/>
      <c r="V166" s="13"/>
      <c r="W166" s="8"/>
      <c r="X166" s="8"/>
      <c r="Y166" s="19"/>
      <c r="Z166" s="8"/>
      <c r="AA166" s="19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</row>
    <row r="167" spans="1:78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3"/>
      <c r="O167" s="23"/>
      <c r="P167" s="23"/>
      <c r="Q167" s="8"/>
      <c r="R167" s="8"/>
      <c r="S167" s="8"/>
      <c r="T167" s="13"/>
      <c r="U167" s="8"/>
      <c r="V167" s="13"/>
      <c r="W167" s="8"/>
      <c r="X167" s="8"/>
      <c r="Y167" s="19"/>
      <c r="Z167" s="8"/>
      <c r="AA167" s="19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</row>
    <row r="168" spans="1:78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3"/>
      <c r="O168" s="23"/>
      <c r="P168" s="23"/>
      <c r="Q168" s="8"/>
      <c r="R168" s="8"/>
      <c r="S168" s="8"/>
      <c r="T168" s="13"/>
      <c r="U168" s="8"/>
      <c r="V168" s="13"/>
      <c r="W168" s="8"/>
      <c r="X168" s="8"/>
      <c r="Y168" s="19"/>
      <c r="Z168" s="8"/>
      <c r="AA168" s="19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</row>
    <row r="169" spans="1:78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3"/>
      <c r="O169" s="23"/>
      <c r="P169" s="23"/>
      <c r="Q169" s="8"/>
      <c r="R169" s="8"/>
      <c r="S169" s="8"/>
      <c r="T169" s="13"/>
      <c r="U169" s="8"/>
      <c r="V169" s="13"/>
      <c r="W169" s="8"/>
      <c r="X169" s="8"/>
      <c r="Y169" s="19"/>
      <c r="Z169" s="8"/>
      <c r="AA169" s="19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</row>
    <row r="170" spans="1:78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3"/>
      <c r="O170" s="23"/>
      <c r="P170" s="23"/>
      <c r="Q170" s="8"/>
      <c r="R170" s="8"/>
      <c r="S170" s="8"/>
      <c r="T170" s="13"/>
      <c r="U170" s="8"/>
      <c r="V170" s="13"/>
      <c r="W170" s="8"/>
      <c r="X170" s="8"/>
      <c r="Y170" s="19"/>
      <c r="Z170" s="8"/>
      <c r="AA170" s="19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</row>
    <row r="171" spans="1:78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3"/>
      <c r="O171" s="23"/>
      <c r="P171" s="23"/>
      <c r="Q171" s="8"/>
      <c r="R171" s="8"/>
      <c r="S171" s="8"/>
      <c r="T171" s="13"/>
      <c r="U171" s="8"/>
      <c r="V171" s="13"/>
      <c r="W171" s="8"/>
      <c r="X171" s="8"/>
      <c r="Y171" s="19"/>
      <c r="Z171" s="8"/>
      <c r="AA171" s="19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</row>
    <row r="172" spans="1:78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3"/>
      <c r="O172" s="23"/>
      <c r="P172" s="23"/>
      <c r="Q172" s="8"/>
      <c r="R172" s="8"/>
      <c r="S172" s="8"/>
      <c r="T172" s="13"/>
      <c r="U172" s="8"/>
      <c r="V172" s="13"/>
      <c r="W172" s="8"/>
      <c r="X172" s="8"/>
      <c r="Y172" s="19"/>
      <c r="Z172" s="8"/>
      <c r="AA172" s="19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</row>
    <row r="173" spans="1:78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3"/>
      <c r="O173" s="23"/>
      <c r="P173" s="23"/>
      <c r="Q173" s="8"/>
      <c r="R173" s="8"/>
      <c r="S173" s="8"/>
      <c r="T173" s="13"/>
      <c r="U173" s="8"/>
      <c r="V173" s="13"/>
      <c r="W173" s="8"/>
      <c r="X173" s="8"/>
      <c r="Y173" s="19"/>
      <c r="Z173" s="8"/>
      <c r="AA173" s="19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</row>
    <row r="174" spans="1:78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3"/>
      <c r="O174" s="23"/>
      <c r="P174" s="23"/>
      <c r="Q174" s="8"/>
      <c r="R174" s="8"/>
      <c r="S174" s="8"/>
      <c r="T174" s="13"/>
      <c r="U174" s="8"/>
      <c r="V174" s="13"/>
      <c r="W174" s="8"/>
      <c r="X174" s="8"/>
      <c r="Y174" s="19"/>
      <c r="Z174" s="8"/>
      <c r="AA174" s="19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</row>
    <row r="175" spans="1:78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3"/>
      <c r="O175" s="23"/>
      <c r="P175" s="23"/>
      <c r="Q175" s="8"/>
      <c r="R175" s="8"/>
      <c r="S175" s="8"/>
      <c r="T175" s="13"/>
      <c r="U175" s="8"/>
      <c r="V175" s="13"/>
      <c r="W175" s="8"/>
      <c r="X175" s="8"/>
      <c r="Y175" s="19"/>
      <c r="Z175" s="8"/>
      <c r="AA175" s="19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</row>
    <row r="176" spans="1:78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3"/>
      <c r="O176" s="23"/>
      <c r="P176" s="23"/>
      <c r="Q176" s="8"/>
      <c r="R176" s="8"/>
      <c r="S176" s="8"/>
      <c r="T176" s="13"/>
      <c r="U176" s="8"/>
      <c r="V176" s="13"/>
      <c r="W176" s="8"/>
      <c r="X176" s="8"/>
      <c r="Y176" s="19"/>
      <c r="Z176" s="8"/>
      <c r="AA176" s="19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</row>
    <row r="177" spans="1:78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3"/>
      <c r="O177" s="23"/>
      <c r="P177" s="23"/>
      <c r="Q177" s="8"/>
      <c r="R177" s="8"/>
      <c r="S177" s="8"/>
      <c r="T177" s="13"/>
      <c r="U177" s="8"/>
      <c r="V177" s="13"/>
      <c r="W177" s="8"/>
      <c r="X177" s="8"/>
      <c r="Y177" s="19"/>
      <c r="Z177" s="8"/>
      <c r="AA177" s="19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</row>
    <row r="178" spans="1:78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3"/>
      <c r="O178" s="23"/>
      <c r="P178" s="23"/>
      <c r="Q178" s="8"/>
      <c r="R178" s="8"/>
      <c r="S178" s="8"/>
      <c r="T178" s="13"/>
      <c r="U178" s="8"/>
      <c r="V178" s="13"/>
      <c r="W178" s="8"/>
      <c r="X178" s="8"/>
      <c r="Y178" s="19"/>
      <c r="Z178" s="8"/>
      <c r="AA178" s="19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</row>
    <row r="179" spans="1:78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8"/>
      <c r="X179" s="8"/>
      <c r="Y179" s="19"/>
      <c r="Z179" s="8"/>
      <c r="AA179" s="19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</row>
    <row r="180" spans="1:78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8"/>
      <c r="X180" s="8"/>
      <c r="Y180" s="19"/>
      <c r="Z180" s="8"/>
      <c r="AA180" s="19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</row>
    <row r="181" spans="1:78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8"/>
      <c r="X181" s="8"/>
      <c r="Y181" s="19"/>
      <c r="Z181" s="8"/>
      <c r="AA181" s="19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</row>
    <row r="182" spans="1:78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8"/>
      <c r="X182" s="8"/>
      <c r="Y182" s="19"/>
      <c r="Z182" s="8"/>
      <c r="AA182" s="19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</row>
    <row r="183" spans="1:78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8"/>
      <c r="X183" s="8"/>
      <c r="Y183" s="19"/>
      <c r="Z183" s="8"/>
      <c r="AA183" s="19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</row>
    <row r="184" spans="1:78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8"/>
      <c r="X184" s="8"/>
      <c r="Y184" s="19"/>
      <c r="Z184" s="8"/>
      <c r="AA184" s="19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</row>
    <row r="185" spans="1:78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8"/>
      <c r="X185" s="8"/>
      <c r="Y185" s="19"/>
      <c r="Z185" s="8"/>
      <c r="AA185" s="19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F241-6681-4829-BD74-3D000704EC63}">
  <dimension ref="A1:BZ188"/>
  <sheetViews>
    <sheetView topLeftCell="L1" zoomScale="120" zoomScaleNormal="12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4" width="23.77734375" style="8" customWidth="1"/>
    <col min="25" max="25" width="23.77734375" style="19" customWidth="1"/>
    <col min="26" max="26" width="47.33203125" style="8" customWidth="1"/>
    <col min="27" max="27" width="51.6640625" style="19" customWidth="1"/>
    <col min="28" max="16384" width="8.88671875" style="6"/>
  </cols>
  <sheetData>
    <row r="1" spans="1:27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20</v>
      </c>
      <c r="N1" s="22" t="s">
        <v>28</v>
      </c>
      <c r="O1" s="22" t="s">
        <v>17</v>
      </c>
      <c r="P1" s="22" t="s">
        <v>19</v>
      </c>
      <c r="Q1" s="18" t="s">
        <v>12</v>
      </c>
      <c r="R1" s="17" t="s">
        <v>15</v>
      </c>
      <c r="S1" s="17" t="s">
        <v>16</v>
      </c>
      <c r="T1" s="12" t="s">
        <v>13</v>
      </c>
      <c r="U1" s="17" t="s">
        <v>14</v>
      </c>
      <c r="V1" s="12" t="s">
        <v>24</v>
      </c>
      <c r="W1" s="17" t="s">
        <v>18</v>
      </c>
      <c r="X1" s="17" t="s">
        <v>21</v>
      </c>
      <c r="Y1" s="12" t="s">
        <v>23</v>
      </c>
      <c r="Z1" s="25" t="s">
        <v>25</v>
      </c>
      <c r="AA1" s="25" t="s">
        <v>22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4">
        <v>27.544554455445546</v>
      </c>
      <c r="L2" s="2">
        <f>(K2/1000000)</f>
        <v>2.7544554455445545E-5</v>
      </c>
      <c r="M2" s="3">
        <f>(3.142*3.07*3.07*25.4*25.4)/(4*1000000)</f>
        <v>4.7762865441819992E-3</v>
      </c>
      <c r="N2" s="21">
        <f>(L2*J2)/M2</f>
        <v>1.1605864322438404E-7</v>
      </c>
      <c r="O2" s="21">
        <f>(2.032/1000)</f>
        <v>2.032E-3</v>
      </c>
      <c r="P2" s="21">
        <v>1.1208581181901367E-10</v>
      </c>
      <c r="Q2" s="2">
        <v>0.33</v>
      </c>
      <c r="R2" s="2">
        <f>(1+Q2)*100000*1</f>
        <v>133000</v>
      </c>
      <c r="S2" s="2">
        <v>5.2493374855265302E-3</v>
      </c>
      <c r="T2" s="11">
        <v>0.13</v>
      </c>
      <c r="U2" s="11">
        <f>(1+T2)*100000</f>
        <v>112999.99999999999</v>
      </c>
      <c r="V2" s="11">
        <f t="shared" ref="V2:V62" si="1">(L2*U2)</f>
        <v>3.112534653465346</v>
      </c>
      <c r="W2" s="2">
        <f>(120/1000000)*100000</f>
        <v>12</v>
      </c>
      <c r="X2" s="2">
        <f>(N2+((P2/O2)*(SQRT(V2)-SQRT(W2))))</f>
        <v>2.229357079112016E-8</v>
      </c>
      <c r="Y2" s="11">
        <f>((X2*O2/P2) + SQRT(V2))^2</f>
        <v>4.7019460266208535</v>
      </c>
      <c r="Z2" s="2">
        <f>(X2*S2)/(R2-Y2)</f>
        <v>8.799294302312374E-16</v>
      </c>
      <c r="AA2" s="2">
        <f>(Z2*6.022E+23)</f>
        <v>529893502.88525116</v>
      </c>
    </row>
    <row r="3" spans="1:27" x14ac:dyDescent="0.25">
      <c r="A3" s="26">
        <v>3</v>
      </c>
      <c r="B3" s="26">
        <f t="shared" ref="B3:B62" si="2">(A3/60)</f>
        <v>0.05</v>
      </c>
      <c r="C3" s="26">
        <v>20</v>
      </c>
      <c r="D3" s="26">
        <f t="shared" si="0"/>
        <v>29.146000000000001</v>
      </c>
      <c r="E3" s="26">
        <f t="shared" ref="E3:E62" si="3">(D3/(1000000*60))</f>
        <v>4.8576666666666667E-7</v>
      </c>
      <c r="F3" s="26">
        <v>21.1</v>
      </c>
      <c r="G3" s="26">
        <f t="shared" ref="G3:G62" si="4">(273+F3)</f>
        <v>294.10000000000002</v>
      </c>
      <c r="H3" s="26">
        <v>101.3</v>
      </c>
      <c r="I3" s="26">
        <f t="shared" ref="I3:I62" si="5">(H3*1000)</f>
        <v>101300</v>
      </c>
      <c r="J3" s="26">
        <f t="shared" ref="J3:J62" si="6">((I3*E3)/(8.314*G3))</f>
        <v>2.0124824921938581E-5</v>
      </c>
      <c r="K3" s="28">
        <v>25.415841584158414</v>
      </c>
      <c r="L3" s="27">
        <f t="shared" ref="L3:L62" si="7">(K3/1000000)</f>
        <v>2.5415841584158414E-5</v>
      </c>
      <c r="M3" s="29">
        <f t="shared" ref="M3:M62" si="8">(3.142*3.07*3.07*25.4*25.4)/(4*1000000)</f>
        <v>4.7762865441819992E-3</v>
      </c>
      <c r="N3" s="33">
        <f t="shared" ref="N3:N62" si="9">(L3*J3)/M3</f>
        <v>1.0708933758339102E-7</v>
      </c>
      <c r="O3" s="21">
        <f t="shared" ref="O3:O62" si="10">(2.032/1000)</f>
        <v>2.032E-3</v>
      </c>
      <c r="P3" s="21">
        <v>1.1208581181901367E-10</v>
      </c>
      <c r="Q3" s="2">
        <v>0.33</v>
      </c>
      <c r="R3" s="27">
        <f t="shared" ref="R3:R62" si="11">(1+Q3)*100000*1</f>
        <v>133000</v>
      </c>
      <c r="S3" s="2">
        <v>5.2493374855265302E-3</v>
      </c>
      <c r="T3" s="11">
        <v>0.13</v>
      </c>
      <c r="U3" s="30">
        <f t="shared" ref="U3:U62" si="12">(1+T3)*100000</f>
        <v>112999.99999999999</v>
      </c>
      <c r="V3" s="30">
        <f t="shared" si="1"/>
        <v>2.8719900990099005</v>
      </c>
      <c r="W3" s="2">
        <f t="shared" ref="W3:W62" si="13">(120/1000000)*100000</f>
        <v>12</v>
      </c>
      <c r="X3" s="2">
        <f t="shared" ref="X3:X62" si="14">(N3+((P3/O3)*(SQRT(V3)-SQRT(W3))))</f>
        <v>9.4882492857406507E-9</v>
      </c>
      <c r="Y3" s="11">
        <f t="shared" ref="Y3:Y62" si="15">((X3*O3/P3) + SQRT(V3))^2</f>
        <v>3.4845944696228583</v>
      </c>
      <c r="Z3" s="2">
        <f t="shared" ref="Z3:Z62" si="16">(X3*S3)/(R3-Y3)</f>
        <v>3.7449870393813042E-16</v>
      </c>
      <c r="AA3" s="27">
        <f t="shared" ref="AA3:AA62" si="17">(Z3*6.022E+23)</f>
        <v>225523119.51154214</v>
      </c>
    </row>
    <row r="4" spans="1:27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21.801980198019802</v>
      </c>
      <c r="L4" s="27">
        <f t="shared" si="7"/>
        <v>2.18019801980198E-5</v>
      </c>
      <c r="M4" s="29">
        <f t="shared" si="8"/>
        <v>4.7762865441819992E-3</v>
      </c>
      <c r="N4" s="33">
        <f t="shared" si="9"/>
        <v>9.1862376844030791E-8</v>
      </c>
      <c r="O4" s="21">
        <f t="shared" si="10"/>
        <v>2.032E-3</v>
      </c>
      <c r="P4" s="21">
        <v>1.1208581181901367E-10</v>
      </c>
      <c r="Q4" s="2">
        <v>0.33</v>
      </c>
      <c r="R4" s="27">
        <f t="shared" si="11"/>
        <v>133000</v>
      </c>
      <c r="S4" s="2">
        <v>5.2493374855265302E-3</v>
      </c>
      <c r="T4" s="11">
        <v>0.13</v>
      </c>
      <c r="U4" s="30">
        <f t="shared" si="12"/>
        <v>112999.99999999999</v>
      </c>
      <c r="V4" s="30">
        <f t="shared" si="1"/>
        <v>2.4636237623762369</v>
      </c>
      <c r="W4" s="2">
        <f t="shared" si="13"/>
        <v>12</v>
      </c>
      <c r="X4" s="2">
        <f t="shared" si="14"/>
        <v>-1.2639335669848659E-8</v>
      </c>
      <c r="Y4" s="11">
        <f t="shared" si="15"/>
        <v>1.796820682516618</v>
      </c>
      <c r="Z4" s="2">
        <f t="shared" si="16"/>
        <v>-4.9886492402031875E-16</v>
      </c>
      <c r="AA4" s="27">
        <f t="shared" si="17"/>
        <v>-300416457.24503595</v>
      </c>
    </row>
    <row r="5" spans="1:27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23.732673267326732</v>
      </c>
      <c r="L5" s="27">
        <f t="shared" si="7"/>
        <v>2.3732673267326732E-5</v>
      </c>
      <c r="M5" s="29">
        <f t="shared" si="8"/>
        <v>4.7762865441819992E-3</v>
      </c>
      <c r="N5" s="33">
        <f t="shared" si="9"/>
        <v>9.9997328471908185E-8</v>
      </c>
      <c r="O5" s="21">
        <f t="shared" si="10"/>
        <v>2.032E-3</v>
      </c>
      <c r="P5" s="21">
        <v>1.1208581181901367E-10</v>
      </c>
      <c r="Q5" s="2">
        <v>0.33</v>
      </c>
      <c r="R5" s="27">
        <f t="shared" si="11"/>
        <v>133000</v>
      </c>
      <c r="S5" s="2">
        <v>5.2493374855265302E-3</v>
      </c>
      <c r="T5" s="11">
        <v>0.13</v>
      </c>
      <c r="U5" s="30">
        <f t="shared" si="12"/>
        <v>112999.99999999999</v>
      </c>
      <c r="V5" s="30">
        <f t="shared" si="1"/>
        <v>2.6817920792079204</v>
      </c>
      <c r="W5" s="2">
        <f t="shared" si="13"/>
        <v>12</v>
      </c>
      <c r="X5" s="2">
        <f t="shared" si="14"/>
        <v>-7.5214027722071228E-10</v>
      </c>
      <c r="Y5" s="11">
        <f t="shared" si="15"/>
        <v>2.6373184452102785</v>
      </c>
      <c r="Z5" s="2">
        <f t="shared" si="16"/>
        <v>-2.9686589808871278E-17</v>
      </c>
      <c r="AA5" s="27">
        <f t="shared" si="17"/>
        <v>-17877264.382902283</v>
      </c>
    </row>
    <row r="6" spans="1:27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21.504950495049506</v>
      </c>
      <c r="L6" s="27">
        <f t="shared" si="7"/>
        <v>2.1504950495049505E-5</v>
      </c>
      <c r="M6" s="29">
        <f t="shared" si="8"/>
        <v>4.7762865441819992E-3</v>
      </c>
      <c r="N6" s="33">
        <f t="shared" si="9"/>
        <v>9.0610845824357356E-8</v>
      </c>
      <c r="O6" s="21">
        <f t="shared" si="10"/>
        <v>2.032E-3</v>
      </c>
      <c r="P6" s="21">
        <v>1.1208581181901367E-10</v>
      </c>
      <c r="Q6" s="2">
        <v>0.33</v>
      </c>
      <c r="R6" s="27">
        <f t="shared" si="11"/>
        <v>133000</v>
      </c>
      <c r="S6" s="2">
        <v>5.2493374855265302E-3</v>
      </c>
      <c r="T6" s="11">
        <v>0.13</v>
      </c>
      <c r="U6" s="30">
        <f t="shared" si="12"/>
        <v>112999.99999999999</v>
      </c>
      <c r="V6" s="30">
        <f t="shared" si="1"/>
        <v>2.430059405940594</v>
      </c>
      <c r="W6" s="2">
        <f t="shared" si="13"/>
        <v>12</v>
      </c>
      <c r="X6" s="2">
        <f t="shared" si="14"/>
        <v>-1.4482666598821328E-8</v>
      </c>
      <c r="Y6" s="11">
        <f t="shared" si="15"/>
        <v>1.6804170084524097</v>
      </c>
      <c r="Z6" s="2">
        <f t="shared" si="16"/>
        <v>-5.7161928741615605E-16</v>
      </c>
      <c r="AA6" s="27">
        <f t="shared" si="17"/>
        <v>-344229134.88200921</v>
      </c>
    </row>
    <row r="7" spans="1:27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24.846534653465348</v>
      </c>
      <c r="L7" s="27">
        <f t="shared" si="7"/>
        <v>2.4846534653465349E-5</v>
      </c>
      <c r="M7" s="29">
        <f t="shared" si="8"/>
        <v>4.7762865441819992E-3</v>
      </c>
      <c r="N7" s="33">
        <f t="shared" si="9"/>
        <v>1.0469056979568361E-7</v>
      </c>
      <c r="O7" s="21">
        <f t="shared" si="10"/>
        <v>2.032E-3</v>
      </c>
      <c r="P7" s="21">
        <v>1.1208581181901367E-10</v>
      </c>
      <c r="Q7" s="2">
        <v>0.33</v>
      </c>
      <c r="R7" s="27">
        <f t="shared" si="11"/>
        <v>133000</v>
      </c>
      <c r="S7" s="2">
        <v>5.2493374855265302E-3</v>
      </c>
      <c r="T7" s="11">
        <v>0.13</v>
      </c>
      <c r="U7" s="30">
        <f t="shared" si="12"/>
        <v>112999.99999999999</v>
      </c>
      <c r="V7" s="30">
        <f t="shared" si="1"/>
        <v>2.8076584158415843</v>
      </c>
      <c r="W7" s="2">
        <f t="shared" si="13"/>
        <v>12</v>
      </c>
      <c r="X7" s="2">
        <f t="shared" si="14"/>
        <v>6.0365912831880902E-9</v>
      </c>
      <c r="Y7" s="11">
        <f t="shared" si="15"/>
        <v>3.1863822422650148</v>
      </c>
      <c r="Z7" s="2">
        <f t="shared" si="16"/>
        <v>2.3826213610437165E-16</v>
      </c>
      <c r="AA7" s="27">
        <f t="shared" si="17"/>
        <v>143481458.36205262</v>
      </c>
    </row>
    <row r="8" spans="1:27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15.564356435643566</v>
      </c>
      <c r="L8" s="27">
        <f t="shared" si="7"/>
        <v>1.5564356435643566E-5</v>
      </c>
      <c r="M8" s="29">
        <f t="shared" si="8"/>
        <v>4.7762865441819992E-3</v>
      </c>
      <c r="N8" s="33">
        <f t="shared" si="9"/>
        <v>6.5580225430888484E-8</v>
      </c>
      <c r="O8" s="21">
        <f t="shared" si="10"/>
        <v>2.032E-3</v>
      </c>
      <c r="P8" s="21">
        <v>1.1208581181901367E-10</v>
      </c>
      <c r="Q8" s="2">
        <v>0.33</v>
      </c>
      <c r="R8" s="27">
        <f t="shared" si="11"/>
        <v>133000</v>
      </c>
      <c r="S8" s="2">
        <v>5.2493374855265302E-3</v>
      </c>
      <c r="T8" s="11">
        <v>0.13</v>
      </c>
      <c r="U8" s="30">
        <f t="shared" si="12"/>
        <v>112999.99999999999</v>
      </c>
      <c r="V8" s="30">
        <f t="shared" si="1"/>
        <v>1.7587722772277228</v>
      </c>
      <c r="W8" s="2">
        <f t="shared" si="13"/>
        <v>12</v>
      </c>
      <c r="X8" s="2">
        <f t="shared" si="14"/>
        <v>-5.2347866000340828E-8</v>
      </c>
      <c r="Y8" s="11">
        <f t="shared" si="15"/>
        <v>0.14226051074573207</v>
      </c>
      <c r="Z8" s="2">
        <f t="shared" si="16"/>
        <v>-2.0661045805112909E-15</v>
      </c>
      <c r="AA8" s="27">
        <f t="shared" si="17"/>
        <v>-1244208178.3838995</v>
      </c>
    </row>
    <row r="9" spans="1:27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20.490099009900991</v>
      </c>
      <c r="L9" s="27">
        <f t="shared" si="7"/>
        <v>2.0490099009900991E-5</v>
      </c>
      <c r="M9" s="29">
        <f t="shared" si="8"/>
        <v>4.7762865441819992E-3</v>
      </c>
      <c r="N9" s="33">
        <f t="shared" si="9"/>
        <v>8.633478150713976E-8</v>
      </c>
      <c r="O9" s="21">
        <f t="shared" si="10"/>
        <v>2.032E-3</v>
      </c>
      <c r="P9" s="21">
        <v>1.1208581181901367E-10</v>
      </c>
      <c r="Q9" s="2">
        <v>0.33</v>
      </c>
      <c r="R9" s="27">
        <f t="shared" si="11"/>
        <v>133000</v>
      </c>
      <c r="S9" s="2">
        <v>5.2493374855265302E-3</v>
      </c>
      <c r="T9" s="11">
        <v>0.13</v>
      </c>
      <c r="U9" s="30">
        <f t="shared" si="12"/>
        <v>112999.99999999999</v>
      </c>
      <c r="V9" s="30">
        <f t="shared" si="1"/>
        <v>2.3153811881188116</v>
      </c>
      <c r="W9" s="2">
        <f t="shared" si="13"/>
        <v>12</v>
      </c>
      <c r="X9" s="2">
        <f t="shared" si="14"/>
        <v>-2.0812191234967859E-8</v>
      </c>
      <c r="Y9" s="11">
        <f t="shared" si="15"/>
        <v>1.3095006133668545</v>
      </c>
      <c r="Z9" s="2">
        <f t="shared" si="16"/>
        <v>-8.2143828029770951E-16</v>
      </c>
      <c r="AA9" s="27">
        <f t="shared" si="17"/>
        <v>-494670132.39528066</v>
      </c>
    </row>
    <row r="10" spans="1:27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33.60891089108911</v>
      </c>
      <c r="L10" s="27">
        <f t="shared" si="7"/>
        <v>3.3608910891089113E-5</v>
      </c>
      <c r="M10" s="29">
        <f t="shared" si="8"/>
        <v>4.7762865441819992E-3</v>
      </c>
      <c r="N10" s="33">
        <f t="shared" si="9"/>
        <v>1.416107348760502E-7</v>
      </c>
      <c r="O10" s="21">
        <f t="shared" si="10"/>
        <v>2.032E-3</v>
      </c>
      <c r="P10" s="21">
        <v>1.1208581181901367E-10</v>
      </c>
      <c r="Q10" s="2">
        <v>0.33</v>
      </c>
      <c r="R10" s="27">
        <f t="shared" si="11"/>
        <v>133000</v>
      </c>
      <c r="S10" s="2">
        <v>5.2493374855265302E-3</v>
      </c>
      <c r="T10" s="11">
        <v>0.13</v>
      </c>
      <c r="U10" s="30">
        <f t="shared" si="12"/>
        <v>112999.99999999999</v>
      </c>
      <c r="V10" s="30">
        <f t="shared" si="1"/>
        <v>3.7978069306930693</v>
      </c>
      <c r="W10" s="2">
        <f t="shared" si="13"/>
        <v>12</v>
      </c>
      <c r="X10" s="2">
        <f t="shared" si="14"/>
        <v>5.802597654075057E-8</v>
      </c>
      <c r="Y10" s="11">
        <f t="shared" si="15"/>
        <v>9.0044843566118828</v>
      </c>
      <c r="Z10" s="2">
        <f t="shared" si="16"/>
        <v>2.2903650928292811E-15</v>
      </c>
      <c r="AA10" s="27">
        <f t="shared" si="17"/>
        <v>1379257858.9017932</v>
      </c>
    </row>
    <row r="11" spans="1:27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50.366336633663373</v>
      </c>
      <c r="L11" s="27">
        <f t="shared" si="7"/>
        <v>5.0366336633663374E-5</v>
      </c>
      <c r="M11" s="29">
        <f t="shared" si="8"/>
        <v>4.7762865441819992E-3</v>
      </c>
      <c r="N11" s="33">
        <f t="shared" si="9"/>
        <v>2.1221794323596038E-7</v>
      </c>
      <c r="O11" s="21">
        <f t="shared" si="10"/>
        <v>2.032E-3</v>
      </c>
      <c r="P11" s="21">
        <v>1.1208581181901367E-10</v>
      </c>
      <c r="Q11" s="2">
        <v>0.33</v>
      </c>
      <c r="R11" s="27">
        <f t="shared" si="11"/>
        <v>133000</v>
      </c>
      <c r="S11" s="2">
        <v>5.2493374855265302E-3</v>
      </c>
      <c r="T11" s="11">
        <v>0.13</v>
      </c>
      <c r="U11" s="30">
        <f t="shared" si="12"/>
        <v>112999.99999999999</v>
      </c>
      <c r="V11" s="30">
        <f t="shared" si="1"/>
        <v>5.6913960396039602</v>
      </c>
      <c r="W11" s="2">
        <f t="shared" si="13"/>
        <v>12</v>
      </c>
      <c r="X11" s="2">
        <f t="shared" si="14"/>
        <v>1.5273099558470634E-7</v>
      </c>
      <c r="Y11" s="11">
        <f t="shared" si="15"/>
        <v>26.569075365307761</v>
      </c>
      <c r="Z11" s="2">
        <f t="shared" si="16"/>
        <v>6.0292987459952504E-15</v>
      </c>
      <c r="AA11" s="27">
        <f t="shared" si="17"/>
        <v>3630843704.8383398</v>
      </c>
    </row>
    <row r="12" spans="1:27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68.534653465346537</v>
      </c>
      <c r="L12" s="27">
        <f t="shared" si="7"/>
        <v>6.8534653465346536E-5</v>
      </c>
      <c r="M12" s="29">
        <f t="shared" si="8"/>
        <v>4.7762865441819992E-3</v>
      </c>
      <c r="N12" s="33">
        <f t="shared" si="9"/>
        <v>2.8876992393931935E-7</v>
      </c>
      <c r="O12" s="21">
        <f t="shared" si="10"/>
        <v>2.032E-3</v>
      </c>
      <c r="P12" s="21">
        <v>1.1208581181901367E-10</v>
      </c>
      <c r="Q12" s="2">
        <v>0.33</v>
      </c>
      <c r="R12" s="27">
        <f t="shared" si="11"/>
        <v>133000</v>
      </c>
      <c r="S12" s="2">
        <v>5.2493374855265302E-3</v>
      </c>
      <c r="T12" s="11">
        <v>0.13</v>
      </c>
      <c r="U12" s="30">
        <f t="shared" si="12"/>
        <v>112999.99999999999</v>
      </c>
      <c r="V12" s="30">
        <f t="shared" si="1"/>
        <v>7.744415841584158</v>
      </c>
      <c r="W12" s="2">
        <f t="shared" si="13"/>
        <v>12</v>
      </c>
      <c r="X12" s="2">
        <f t="shared" si="14"/>
        <v>2.5119345565930334E-7</v>
      </c>
      <c r="Y12" s="11">
        <f t="shared" si="15"/>
        <v>53.828002707203702</v>
      </c>
      <c r="Z12" s="2">
        <f t="shared" si="16"/>
        <v>9.9182940215697099E-15</v>
      </c>
      <c r="AA12" s="27">
        <f t="shared" si="17"/>
        <v>5972796659.7892799</v>
      </c>
    </row>
    <row r="13" spans="1:27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97.148514851485146</v>
      </c>
      <c r="L13" s="27">
        <f t="shared" si="7"/>
        <v>9.7148514851485147E-5</v>
      </c>
      <c r="M13" s="29">
        <f t="shared" si="8"/>
        <v>4.7762865441819992E-3</v>
      </c>
      <c r="N13" s="33">
        <f t="shared" si="9"/>
        <v>4.0933407883452777E-7</v>
      </c>
      <c r="O13" s="21">
        <f t="shared" si="10"/>
        <v>2.032E-3</v>
      </c>
      <c r="P13" s="21">
        <v>1.1208581181901367E-10</v>
      </c>
      <c r="Q13" s="2">
        <v>0.33</v>
      </c>
      <c r="R13" s="27">
        <f t="shared" si="11"/>
        <v>133000</v>
      </c>
      <c r="S13" s="2">
        <v>5.2493374855265302E-3</v>
      </c>
      <c r="T13" s="11">
        <v>0.13</v>
      </c>
      <c r="U13" s="30">
        <f t="shared" si="12"/>
        <v>112999.99999999999</v>
      </c>
      <c r="V13" s="30">
        <f t="shared" si="1"/>
        <v>10.97778217821782</v>
      </c>
      <c r="W13" s="2">
        <f t="shared" si="13"/>
        <v>12</v>
      </c>
      <c r="X13" s="2">
        <f t="shared" si="14"/>
        <v>4.0101435608086723E-7</v>
      </c>
      <c r="Y13" s="11">
        <f t="shared" si="15"/>
        <v>112.00517465997754</v>
      </c>
      <c r="Z13" s="2">
        <f t="shared" si="16"/>
        <v>1.5840856763444614E-14</v>
      </c>
      <c r="AA13" s="27">
        <f t="shared" si="17"/>
        <v>9539363942.9463463</v>
      </c>
    </row>
    <row r="14" spans="1:27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111.67821782178218</v>
      </c>
      <c r="L14" s="27">
        <f t="shared" si="7"/>
        <v>1.1167821782178219E-4</v>
      </c>
      <c r="M14" s="29">
        <f t="shared" si="8"/>
        <v>4.7762865441819992E-3</v>
      </c>
      <c r="N14" s="33">
        <f t="shared" si="9"/>
        <v>4.7055480454688708E-7</v>
      </c>
      <c r="O14" s="21">
        <f t="shared" si="10"/>
        <v>2.032E-3</v>
      </c>
      <c r="P14" s="21">
        <v>1.1208581181901367E-10</v>
      </c>
      <c r="Q14" s="2">
        <v>0.33</v>
      </c>
      <c r="R14" s="27">
        <f t="shared" si="11"/>
        <v>133000</v>
      </c>
      <c r="S14" s="2">
        <v>5.2493374855265302E-3</v>
      </c>
      <c r="T14" s="11">
        <v>0.13</v>
      </c>
      <c r="U14" s="30">
        <f t="shared" si="12"/>
        <v>112999.99999999999</v>
      </c>
      <c r="V14" s="30">
        <f t="shared" si="1"/>
        <v>12.619638613861385</v>
      </c>
      <c r="W14" s="2">
        <f t="shared" si="13"/>
        <v>12</v>
      </c>
      <c r="X14" s="2">
        <f t="shared" si="14"/>
        <v>4.7542609441685756E-7</v>
      </c>
      <c r="Y14" s="11">
        <f t="shared" si="15"/>
        <v>148.14290773553253</v>
      </c>
      <c r="Z14" s="2">
        <f t="shared" si="16"/>
        <v>1.8785375482456851E-14</v>
      </c>
      <c r="AA14" s="27">
        <f t="shared" si="17"/>
        <v>11312553115.535517</v>
      </c>
    </row>
    <row r="15" spans="1:27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142.0990099009901</v>
      </c>
      <c r="L15" s="27">
        <f t="shared" si="7"/>
        <v>1.420990099009901E-4</v>
      </c>
      <c r="M15" s="29">
        <f t="shared" si="8"/>
        <v>4.7762865441819992E-3</v>
      </c>
      <c r="N15" s="33">
        <f t="shared" si="9"/>
        <v>5.9873243981177565E-7</v>
      </c>
      <c r="O15" s="21">
        <f t="shared" si="10"/>
        <v>2.032E-3</v>
      </c>
      <c r="P15" s="21">
        <v>1.1208581181901367E-10</v>
      </c>
      <c r="Q15" s="2">
        <v>0.33</v>
      </c>
      <c r="R15" s="27">
        <f t="shared" si="11"/>
        <v>133000</v>
      </c>
      <c r="S15" s="2">
        <v>5.2493374855265302E-3</v>
      </c>
      <c r="T15" s="11">
        <v>0.13</v>
      </c>
      <c r="U15" s="30">
        <f t="shared" si="12"/>
        <v>112999.99999999999</v>
      </c>
      <c r="V15" s="30">
        <f t="shared" si="1"/>
        <v>16.057188118811879</v>
      </c>
      <c r="W15" s="2">
        <f t="shared" si="13"/>
        <v>12</v>
      </c>
      <c r="X15" s="2">
        <f t="shared" si="14"/>
        <v>6.2868673996976937E-7</v>
      </c>
      <c r="Y15" s="11">
        <f t="shared" si="15"/>
        <v>237.30118950028771</v>
      </c>
      <c r="Z15" s="2">
        <f t="shared" si="16"/>
        <v>2.4857801930400202E-14</v>
      </c>
      <c r="AA15" s="27">
        <f t="shared" si="17"/>
        <v>14969368322.487003</v>
      </c>
    </row>
    <row r="16" spans="1:27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158.11386138613864</v>
      </c>
      <c r="L16" s="27">
        <f t="shared" si="7"/>
        <v>1.5811386138613864E-4</v>
      </c>
      <c r="M16" s="29">
        <f t="shared" si="8"/>
        <v>4.7762865441819992E-3</v>
      </c>
      <c r="N16" s="33">
        <f t="shared" si="9"/>
        <v>6.6621082062250234E-7</v>
      </c>
      <c r="O16" s="21">
        <f t="shared" si="10"/>
        <v>2.032E-3</v>
      </c>
      <c r="P16" s="21">
        <v>1.1208581181901367E-10</v>
      </c>
      <c r="Q16" s="2">
        <v>0.33</v>
      </c>
      <c r="R16" s="27">
        <f t="shared" si="11"/>
        <v>133000</v>
      </c>
      <c r="S16" s="2">
        <v>5.2493374855265302E-3</v>
      </c>
      <c r="T16" s="11">
        <v>0.13</v>
      </c>
      <c r="U16" s="30">
        <f t="shared" si="12"/>
        <v>112999.99999999999</v>
      </c>
      <c r="V16" s="30">
        <f t="shared" si="1"/>
        <v>17.866866336633663</v>
      </c>
      <c r="W16" s="2">
        <f t="shared" si="13"/>
        <v>12</v>
      </c>
      <c r="X16" s="2">
        <f t="shared" si="14"/>
        <v>7.0828823150846164E-7</v>
      </c>
      <c r="Y16" s="11">
        <f t="shared" si="15"/>
        <v>291.29804385285655</v>
      </c>
      <c r="Z16" s="2">
        <f t="shared" si="16"/>
        <v>2.80165799937013E-14</v>
      </c>
      <c r="AA16" s="27">
        <f t="shared" si="17"/>
        <v>16871584472.206923</v>
      </c>
    </row>
    <row r="17" spans="1:78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183.50990099009903</v>
      </c>
      <c r="L17" s="27">
        <f t="shared" si="7"/>
        <v>1.8350990099009904E-4</v>
      </c>
      <c r="M17" s="29">
        <f t="shared" si="8"/>
        <v>4.7762865441819992E-3</v>
      </c>
      <c r="N17" s="33">
        <f t="shared" si="9"/>
        <v>7.7321672280458173E-7</v>
      </c>
      <c r="O17" s="21">
        <f t="shared" si="10"/>
        <v>2.032E-3</v>
      </c>
      <c r="P17" s="21">
        <v>1.1208581181901367E-10</v>
      </c>
      <c r="Q17" s="2">
        <v>0.33</v>
      </c>
      <c r="R17" s="27">
        <f t="shared" si="11"/>
        <v>133000</v>
      </c>
      <c r="S17" s="2">
        <v>5.2493374855265302E-3</v>
      </c>
      <c r="T17" s="11">
        <v>0.13</v>
      </c>
      <c r="U17" s="30">
        <f t="shared" si="12"/>
        <v>112999.99999999999</v>
      </c>
      <c r="V17" s="30">
        <f t="shared" si="1"/>
        <v>20.73661881188119</v>
      </c>
      <c r="W17" s="2">
        <f t="shared" si="13"/>
        <v>12</v>
      </c>
      <c r="X17" s="2">
        <f t="shared" si="14"/>
        <v>8.3332197604796718E-7</v>
      </c>
      <c r="Y17" s="11">
        <f t="shared" si="15"/>
        <v>386.55549125986266</v>
      </c>
      <c r="Z17" s="2">
        <f t="shared" si="16"/>
        <v>3.2986009092715585E-14</v>
      </c>
      <c r="AA17" s="27">
        <f t="shared" si="17"/>
        <v>19864174675.633327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214.40099009900993</v>
      </c>
      <c r="L18" s="27">
        <f t="shared" si="7"/>
        <v>2.1440099009900992E-4</v>
      </c>
      <c r="M18" s="29">
        <f t="shared" si="8"/>
        <v>4.7762865441819992E-3</v>
      </c>
      <c r="N18" s="33">
        <f t="shared" si="9"/>
        <v>9.0337594885061992E-7</v>
      </c>
      <c r="O18" s="21">
        <f t="shared" si="10"/>
        <v>2.032E-3</v>
      </c>
      <c r="P18" s="21">
        <v>1.1208581181901367E-10</v>
      </c>
      <c r="Q18" s="2">
        <v>0.33</v>
      </c>
      <c r="R18" s="27">
        <f t="shared" si="11"/>
        <v>133000</v>
      </c>
      <c r="S18" s="2">
        <v>5.2493374855265302E-3</v>
      </c>
      <c r="T18" s="11">
        <v>0.13</v>
      </c>
      <c r="U18" s="30">
        <f t="shared" si="12"/>
        <v>112999.99999999999</v>
      </c>
      <c r="V18" s="30">
        <f t="shared" si="1"/>
        <v>24.227311881188118</v>
      </c>
      <c r="W18" s="2">
        <f t="shared" si="13"/>
        <v>12</v>
      </c>
      <c r="X18" s="2">
        <f t="shared" si="14"/>
        <v>9.8380100039978858E-7</v>
      </c>
      <c r="Y18" s="11">
        <f t="shared" si="15"/>
        <v>517.90019904875533</v>
      </c>
      <c r="Z18" s="2">
        <f t="shared" si="16"/>
        <v>3.8981141433116309E-14</v>
      </c>
      <c r="AA18" s="27">
        <f t="shared" si="17"/>
        <v>23474443371.022644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 spans="1:78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217.14851485148517</v>
      </c>
      <c r="L19" s="27">
        <f t="shared" si="7"/>
        <v>2.1714851485148516E-4</v>
      </c>
      <c r="M19" s="29">
        <f t="shared" si="8"/>
        <v>4.7762865441819992E-3</v>
      </c>
      <c r="N19" s="33">
        <f t="shared" si="9"/>
        <v>9.1495261078259922E-7</v>
      </c>
      <c r="O19" s="21">
        <f t="shared" si="10"/>
        <v>2.032E-3</v>
      </c>
      <c r="P19" s="21">
        <v>1.1208581181901367E-10</v>
      </c>
      <c r="Q19" s="2">
        <v>0.33</v>
      </c>
      <c r="R19" s="27">
        <f t="shared" si="11"/>
        <v>133000</v>
      </c>
      <c r="S19" s="2">
        <v>5.2493374855265302E-3</v>
      </c>
      <c r="T19" s="11">
        <v>0.13</v>
      </c>
      <c r="U19" s="30">
        <f t="shared" si="12"/>
        <v>112999.99999999999</v>
      </c>
      <c r="V19" s="30">
        <f t="shared" si="1"/>
        <v>24.537782178217821</v>
      </c>
      <c r="W19" s="2">
        <f t="shared" si="13"/>
        <v>12</v>
      </c>
      <c r="X19" s="2">
        <f t="shared" si="14"/>
        <v>9.9711178439897933E-7</v>
      </c>
      <c r="Y19" s="11">
        <f t="shared" si="15"/>
        <v>530.38870050310675</v>
      </c>
      <c r="Z19" s="2">
        <f t="shared" si="16"/>
        <v>3.951227919943091E-14</v>
      </c>
      <c r="AA19" s="27">
        <f t="shared" si="17"/>
        <v>23794294533.897293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229.970297029703</v>
      </c>
      <c r="L20" s="27">
        <f t="shared" si="7"/>
        <v>2.2997029702970299E-4</v>
      </c>
      <c r="M20" s="29">
        <f t="shared" si="8"/>
        <v>4.7762865441819992E-3</v>
      </c>
      <c r="N20" s="33">
        <f t="shared" si="9"/>
        <v>9.689770331318362E-7</v>
      </c>
      <c r="O20" s="21">
        <f t="shared" si="10"/>
        <v>2.032E-3</v>
      </c>
      <c r="P20" s="21">
        <v>1.1208581181901367E-10</v>
      </c>
      <c r="Q20" s="2">
        <v>0.33</v>
      </c>
      <c r="R20" s="27">
        <f t="shared" si="11"/>
        <v>133000</v>
      </c>
      <c r="S20" s="2">
        <v>5.2493374855265302E-3</v>
      </c>
      <c r="T20" s="11">
        <v>0.13</v>
      </c>
      <c r="U20" s="30">
        <f t="shared" si="12"/>
        <v>112999.99999999999</v>
      </c>
      <c r="V20" s="30">
        <f t="shared" si="1"/>
        <v>25.986643564356434</v>
      </c>
      <c r="W20" s="2">
        <f t="shared" si="13"/>
        <v>12</v>
      </c>
      <c r="X20" s="2">
        <f t="shared" si="14"/>
        <v>1.0590874079140613E-6</v>
      </c>
      <c r="Y20" s="11">
        <f t="shared" si="15"/>
        <v>590.38650898319952</v>
      </c>
      <c r="Z20" s="2">
        <f t="shared" si="16"/>
        <v>4.1987187215749925E-14</v>
      </c>
      <c r="AA20" s="27">
        <f t="shared" si="17"/>
        <v>25284684141.324604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262.64356435643566</v>
      </c>
      <c r="L21" s="27">
        <f t="shared" si="7"/>
        <v>2.6264356435643567E-4</v>
      </c>
      <c r="M21" s="29">
        <f t="shared" si="8"/>
        <v>4.7762865441819992E-3</v>
      </c>
      <c r="N21" s="33">
        <f t="shared" si="9"/>
        <v>1.1066454452959151E-6</v>
      </c>
      <c r="O21" s="21">
        <f t="shared" si="10"/>
        <v>2.032E-3</v>
      </c>
      <c r="P21" s="21">
        <v>1.1208581181901367E-10</v>
      </c>
      <c r="Q21" s="2">
        <v>0.33</v>
      </c>
      <c r="R21" s="27">
        <f t="shared" si="11"/>
        <v>133000</v>
      </c>
      <c r="S21" s="2">
        <v>5.2493374855265302E-3</v>
      </c>
      <c r="T21" s="11">
        <v>0.13</v>
      </c>
      <c r="U21" s="30">
        <f t="shared" si="12"/>
        <v>112999.99999999999</v>
      </c>
      <c r="V21" s="30">
        <f t="shared" si="1"/>
        <v>29.678722772277226</v>
      </c>
      <c r="W21" s="2">
        <f t="shared" si="13"/>
        <v>12</v>
      </c>
      <c r="X21" s="2">
        <f t="shared" si="14"/>
        <v>1.2160679256343484E-6</v>
      </c>
      <c r="Y21" s="11">
        <f t="shared" si="15"/>
        <v>755.91308758716332</v>
      </c>
      <c r="Z21" s="2">
        <f t="shared" si="16"/>
        <v>4.8270974498896053E-14</v>
      </c>
      <c r="AA21" s="27">
        <f t="shared" si="17"/>
        <v>29068780843.235203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278.21287128712873</v>
      </c>
      <c r="L22" s="27">
        <f t="shared" si="7"/>
        <v>2.7821287128712872E-4</v>
      </c>
      <c r="M22" s="29">
        <f t="shared" si="8"/>
        <v>4.7762865441819992E-3</v>
      </c>
      <c r="N22" s="33">
        <f t="shared" si="9"/>
        <v>1.1722465295771313E-6</v>
      </c>
      <c r="O22" s="21">
        <f t="shared" si="10"/>
        <v>2.032E-3</v>
      </c>
      <c r="P22" s="21">
        <v>1.1208581181901367E-10</v>
      </c>
      <c r="Q22" s="2">
        <v>0.33</v>
      </c>
      <c r="R22" s="27">
        <f t="shared" si="11"/>
        <v>133000</v>
      </c>
      <c r="S22" s="2">
        <v>5.2493374855265302E-3</v>
      </c>
      <c r="T22" s="11">
        <v>0.13</v>
      </c>
      <c r="U22" s="30">
        <f t="shared" si="12"/>
        <v>112999.99999999999</v>
      </c>
      <c r="V22" s="30">
        <f t="shared" si="1"/>
        <v>31.438054455445542</v>
      </c>
      <c r="W22" s="2">
        <f t="shared" si="13"/>
        <v>12</v>
      </c>
      <c r="X22" s="2">
        <f t="shared" si="14"/>
        <v>1.2904475933377293E-6</v>
      </c>
      <c r="Y22" s="11">
        <f t="shared" si="15"/>
        <v>841.08391880957038</v>
      </c>
      <c r="Z22" s="2">
        <f t="shared" si="16"/>
        <v>5.1256435249920682E-14</v>
      </c>
      <c r="AA22" s="27">
        <f t="shared" si="17"/>
        <v>30866625307.502235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280.83663366336634</v>
      </c>
      <c r="L23" s="27">
        <f t="shared" si="7"/>
        <v>2.8083663366336632E-4</v>
      </c>
      <c r="M23" s="29">
        <f t="shared" si="8"/>
        <v>4.7762865441819992E-3</v>
      </c>
      <c r="N23" s="33">
        <f t="shared" si="9"/>
        <v>1.1833017202509135E-6</v>
      </c>
      <c r="O23" s="21">
        <f t="shared" si="10"/>
        <v>2.032E-3</v>
      </c>
      <c r="P23" s="21">
        <v>1.1208581181901367E-10</v>
      </c>
      <c r="Q23" s="2">
        <v>0.33</v>
      </c>
      <c r="R23" s="27">
        <f t="shared" si="11"/>
        <v>133000</v>
      </c>
      <c r="S23" s="2">
        <v>5.2493374855265302E-3</v>
      </c>
      <c r="T23" s="11">
        <v>0.13</v>
      </c>
      <c r="U23" s="30">
        <f t="shared" si="12"/>
        <v>112999.99999999999</v>
      </c>
      <c r="V23" s="30">
        <f t="shared" si="1"/>
        <v>31.734539603960389</v>
      </c>
      <c r="W23" s="2">
        <f t="shared" si="13"/>
        <v>12</v>
      </c>
      <c r="X23" s="2">
        <f t="shared" si="14"/>
        <v>1.3029577462577986E-6</v>
      </c>
      <c r="Y23" s="11">
        <f t="shared" si="15"/>
        <v>855.83278865156706</v>
      </c>
      <c r="Z23" s="2">
        <f t="shared" si="16"/>
        <v>5.1759113427602294E-14</v>
      </c>
      <c r="AA23" s="27">
        <f t="shared" si="17"/>
        <v>31169338106.102104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 spans="1:78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288.33663366336634</v>
      </c>
      <c r="L24" s="27">
        <f t="shared" si="7"/>
        <v>2.8833663366336634E-4</v>
      </c>
      <c r="M24" s="29">
        <f t="shared" si="8"/>
        <v>4.7762865441819992E-3</v>
      </c>
      <c r="N24" s="33">
        <f t="shared" si="9"/>
        <v>1.2149028784976679E-6</v>
      </c>
      <c r="O24" s="21">
        <f t="shared" si="10"/>
        <v>2.032E-3</v>
      </c>
      <c r="P24" s="21">
        <v>1.1208581181901367E-10</v>
      </c>
      <c r="Q24" s="2">
        <v>0.33</v>
      </c>
      <c r="R24" s="27">
        <f t="shared" si="11"/>
        <v>133000</v>
      </c>
      <c r="S24" s="2">
        <v>5.2493374855265302E-3</v>
      </c>
      <c r="T24" s="11">
        <v>0.13</v>
      </c>
      <c r="U24" s="30">
        <f t="shared" si="12"/>
        <v>112999.99999999999</v>
      </c>
      <c r="V24" s="30">
        <f t="shared" si="1"/>
        <v>32.582039603960389</v>
      </c>
      <c r="W24" s="2">
        <f t="shared" si="13"/>
        <v>12</v>
      </c>
      <c r="X24" s="2">
        <f t="shared" si="14"/>
        <v>1.3386808249447302E-6</v>
      </c>
      <c r="Y24" s="11">
        <f t="shared" si="15"/>
        <v>898.618648488845</v>
      </c>
      <c r="Z24" s="2">
        <f t="shared" si="16"/>
        <v>5.3195412217826624E-14</v>
      </c>
      <c r="AA24" s="27">
        <f t="shared" si="17"/>
        <v>32034277237.575195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299.32673267326737</v>
      </c>
      <c r="L25" s="27">
        <f t="shared" si="7"/>
        <v>2.9932673267326737E-4</v>
      </c>
      <c r="M25" s="29">
        <f t="shared" si="8"/>
        <v>4.7762865441819992E-3</v>
      </c>
      <c r="N25" s="33">
        <f t="shared" si="9"/>
        <v>1.2612095262255855E-6</v>
      </c>
      <c r="O25" s="21">
        <f t="shared" si="10"/>
        <v>2.032E-3</v>
      </c>
      <c r="P25" s="21">
        <v>1.1208581181901367E-10</v>
      </c>
      <c r="Q25" s="2">
        <v>0.33</v>
      </c>
      <c r="R25" s="27">
        <f t="shared" si="11"/>
        <v>133000</v>
      </c>
      <c r="S25" s="2">
        <v>5.2493374855265302E-3</v>
      </c>
      <c r="T25" s="11">
        <v>0.13</v>
      </c>
      <c r="U25" s="30">
        <f t="shared" si="12"/>
        <v>112999.99999999999</v>
      </c>
      <c r="V25" s="30">
        <f t="shared" si="1"/>
        <v>33.823920792079207</v>
      </c>
      <c r="W25" s="2">
        <f t="shared" si="13"/>
        <v>12</v>
      </c>
      <c r="X25" s="2">
        <f t="shared" si="14"/>
        <v>1.3909318647473322E-6</v>
      </c>
      <c r="Y25" s="11">
        <f t="shared" si="15"/>
        <v>962.98450928063949</v>
      </c>
      <c r="Z25" s="2">
        <f t="shared" si="16"/>
        <v>5.5298665683220448E-14</v>
      </c>
      <c r="AA25" s="27">
        <f t="shared" si="17"/>
        <v>33300856474.435356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315.06930693069307</v>
      </c>
      <c r="L26" s="27">
        <f t="shared" si="7"/>
        <v>3.1506930693069306E-4</v>
      </c>
      <c r="M26" s="29">
        <f t="shared" si="8"/>
        <v>4.7762865441819992E-3</v>
      </c>
      <c r="N26" s="33">
        <f t="shared" si="9"/>
        <v>1.3275406702682779E-6</v>
      </c>
      <c r="O26" s="21">
        <f t="shared" si="10"/>
        <v>2.032E-3</v>
      </c>
      <c r="P26" s="21">
        <v>1.1208581181901367E-10</v>
      </c>
      <c r="Q26" s="2">
        <v>0.33</v>
      </c>
      <c r="R26" s="27">
        <f t="shared" si="11"/>
        <v>133000</v>
      </c>
      <c r="S26" s="2">
        <v>5.2493374855265302E-3</v>
      </c>
      <c r="T26" s="11">
        <v>0.13</v>
      </c>
      <c r="U26" s="30">
        <f t="shared" si="12"/>
        <v>112999.99999999999</v>
      </c>
      <c r="V26" s="30">
        <f t="shared" si="1"/>
        <v>35.602831683168311</v>
      </c>
      <c r="W26" s="2">
        <f t="shared" si="13"/>
        <v>12</v>
      </c>
      <c r="X26" s="2">
        <f t="shared" si="14"/>
        <v>1.4655909635721976E-6</v>
      </c>
      <c r="Y26" s="11">
        <f t="shared" si="15"/>
        <v>1058.6213123008906</v>
      </c>
      <c r="Z26" s="2">
        <f t="shared" si="16"/>
        <v>5.83090889306111E-14</v>
      </c>
      <c r="AA26" s="27">
        <f t="shared" si="17"/>
        <v>35113733354.014008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316.03465346534659</v>
      </c>
      <c r="L27" s="27">
        <f t="shared" si="7"/>
        <v>3.1603465346534659E-4</v>
      </c>
      <c r="M27" s="29">
        <f t="shared" si="8"/>
        <v>4.7762865441819992E-3</v>
      </c>
      <c r="N27" s="33">
        <f t="shared" si="9"/>
        <v>1.3316081460822168E-6</v>
      </c>
      <c r="O27" s="21">
        <f t="shared" si="10"/>
        <v>2.032E-3</v>
      </c>
      <c r="P27" s="21">
        <v>1.1208581181901367E-10</v>
      </c>
      <c r="Q27" s="2">
        <v>0.33</v>
      </c>
      <c r="R27" s="27">
        <f t="shared" si="11"/>
        <v>133000</v>
      </c>
      <c r="S27" s="2">
        <v>5.2493374855265302E-3</v>
      </c>
      <c r="T27" s="11">
        <v>0.13</v>
      </c>
      <c r="U27" s="30">
        <f t="shared" si="12"/>
        <v>112999.99999999999</v>
      </c>
      <c r="V27" s="30">
        <f t="shared" si="1"/>
        <v>35.711915841584158</v>
      </c>
      <c r="W27" s="2">
        <f t="shared" si="13"/>
        <v>12</v>
      </c>
      <c r="X27" s="2">
        <f t="shared" si="14"/>
        <v>1.4701622694495199E-6</v>
      </c>
      <c r="Y27" s="11">
        <f t="shared" si="15"/>
        <v>1064.6169401944805</v>
      </c>
      <c r="Z27" s="2">
        <f t="shared" si="16"/>
        <v>5.8493618101899767E-14</v>
      </c>
      <c r="AA27" s="27">
        <f t="shared" si="17"/>
        <v>35224856820.964043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305.71287128712873</v>
      </c>
      <c r="L28" s="27">
        <f t="shared" si="7"/>
        <v>3.0571287128712874E-4</v>
      </c>
      <c r="M28" s="29">
        <f t="shared" si="8"/>
        <v>4.7762865441819992E-3</v>
      </c>
      <c r="N28" s="33">
        <f t="shared" si="9"/>
        <v>1.2881174431485646E-6</v>
      </c>
      <c r="O28" s="21">
        <f t="shared" si="10"/>
        <v>2.032E-3</v>
      </c>
      <c r="P28" s="21">
        <v>1.1208581181901367E-10</v>
      </c>
      <c r="Q28" s="2">
        <v>0.33</v>
      </c>
      <c r="R28" s="27">
        <f t="shared" si="11"/>
        <v>133000</v>
      </c>
      <c r="S28" s="2">
        <v>5.2493374855265302E-3</v>
      </c>
      <c r="T28" s="11">
        <v>0.13</v>
      </c>
      <c r="U28" s="30">
        <f t="shared" si="12"/>
        <v>112999.99999999999</v>
      </c>
      <c r="V28" s="30">
        <f t="shared" si="1"/>
        <v>34.54555445544554</v>
      </c>
      <c r="W28" s="2">
        <f t="shared" si="13"/>
        <v>12</v>
      </c>
      <c r="X28" s="2">
        <f t="shared" si="14"/>
        <v>1.4212438921722653E-6</v>
      </c>
      <c r="Y28" s="11">
        <f t="shared" si="15"/>
        <v>1001.2940341599259</v>
      </c>
      <c r="Z28" s="2">
        <f t="shared" si="16"/>
        <v>5.6520166502133907E-14</v>
      </c>
      <c r="AA28" s="27">
        <f t="shared" si="17"/>
        <v>34036444267.585041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20">
        <v>323.83168316831689</v>
      </c>
      <c r="L29" s="27">
        <f t="shared" si="7"/>
        <v>3.238316831683169E-4</v>
      </c>
      <c r="M29" s="29">
        <f t="shared" si="8"/>
        <v>4.7762865441819992E-3</v>
      </c>
      <c r="N29" s="33">
        <f t="shared" si="9"/>
        <v>1.3644608353486448E-6</v>
      </c>
      <c r="O29" s="21">
        <f t="shared" si="10"/>
        <v>2.032E-3</v>
      </c>
      <c r="P29" s="21">
        <v>1.1208581181901367E-10</v>
      </c>
      <c r="Q29" s="2">
        <v>0.33</v>
      </c>
      <c r="R29" s="27">
        <f t="shared" si="11"/>
        <v>133000</v>
      </c>
      <c r="S29" s="2">
        <v>5.2493374855265302E-3</v>
      </c>
      <c r="T29" s="11">
        <v>0.13</v>
      </c>
      <c r="U29" s="30">
        <f t="shared" si="12"/>
        <v>112999.99999999999</v>
      </c>
      <c r="V29" s="30">
        <f t="shared" si="1"/>
        <v>36.592980198019802</v>
      </c>
      <c r="W29" s="2">
        <f t="shared" si="13"/>
        <v>12</v>
      </c>
      <c r="X29" s="2">
        <f t="shared" si="14"/>
        <v>1.5070564698591808E-6</v>
      </c>
      <c r="Y29" s="11">
        <f t="shared" si="15"/>
        <v>1113.5963048186463</v>
      </c>
      <c r="Z29" s="9">
        <f t="shared" si="16"/>
        <v>5.9983802714958116E-14</v>
      </c>
      <c r="AA29" s="9">
        <f t="shared" si="17"/>
        <v>36122245994.947777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20">
        <v>326.95049504950498</v>
      </c>
      <c r="L30" s="27">
        <f t="shared" si="7"/>
        <v>3.2695049504950498E-4</v>
      </c>
      <c r="M30" s="29">
        <f t="shared" si="8"/>
        <v>4.7762865441819992E-3</v>
      </c>
      <c r="N30" s="33">
        <f t="shared" si="9"/>
        <v>1.3776019110552157E-6</v>
      </c>
      <c r="O30" s="21">
        <f t="shared" si="10"/>
        <v>2.032E-3</v>
      </c>
      <c r="P30" s="21">
        <v>1.1208581181901367E-10</v>
      </c>
      <c r="Q30" s="2">
        <v>0.33</v>
      </c>
      <c r="R30" s="27">
        <f t="shared" si="11"/>
        <v>133000</v>
      </c>
      <c r="S30" s="2">
        <v>5.2493374855265302E-3</v>
      </c>
      <c r="T30" s="11">
        <v>0.13</v>
      </c>
      <c r="U30" s="30">
        <f t="shared" si="12"/>
        <v>112999.99999999999</v>
      </c>
      <c r="V30" s="30">
        <f t="shared" si="1"/>
        <v>36.945405940594057</v>
      </c>
      <c r="W30" s="2">
        <f t="shared" si="13"/>
        <v>12</v>
      </c>
      <c r="X30" s="2">
        <f t="shared" si="14"/>
        <v>1.521800509544754E-6</v>
      </c>
      <c r="Y30" s="11">
        <f t="shared" si="15"/>
        <v>1133.4631661036476</v>
      </c>
      <c r="Z30" s="9">
        <f t="shared" si="16"/>
        <v>6.0579769910156754E-14</v>
      </c>
      <c r="AA30" s="9">
        <f t="shared" si="17"/>
        <v>36481137439.8964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20">
        <v>326.85148514851488</v>
      </c>
      <c r="L31" s="27">
        <f t="shared" si="7"/>
        <v>3.2685148514851486E-4</v>
      </c>
      <c r="M31" s="29">
        <f t="shared" si="8"/>
        <v>4.7762865441819992E-3</v>
      </c>
      <c r="N31" s="33">
        <f t="shared" si="9"/>
        <v>1.377184734048658E-6</v>
      </c>
      <c r="O31" s="21">
        <f t="shared" si="10"/>
        <v>2.032E-3</v>
      </c>
      <c r="P31" s="21">
        <v>1.1208581181901367E-10</v>
      </c>
      <c r="Q31" s="2">
        <v>0.33</v>
      </c>
      <c r="R31" s="27">
        <f t="shared" si="11"/>
        <v>133000</v>
      </c>
      <c r="S31" s="2">
        <v>5.2493374855265302E-3</v>
      </c>
      <c r="T31" s="11">
        <v>0.13</v>
      </c>
      <c r="U31" s="30">
        <f t="shared" si="12"/>
        <v>112999.99999999999</v>
      </c>
      <c r="V31" s="30">
        <f t="shared" si="1"/>
        <v>36.934217821782177</v>
      </c>
      <c r="W31" s="2">
        <f t="shared" si="13"/>
        <v>12</v>
      </c>
      <c r="X31" s="2">
        <f t="shared" si="14"/>
        <v>1.5213325625954507E-6</v>
      </c>
      <c r="Y31" s="11">
        <f t="shared" si="15"/>
        <v>1132.8300600052041</v>
      </c>
      <c r="Z31" s="9">
        <f t="shared" si="16"/>
        <v>6.0560851138447904E-14</v>
      </c>
      <c r="AA31" s="9">
        <f t="shared" si="17"/>
        <v>36469744555.573326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0">
        <v>324.12871287128718</v>
      </c>
      <c r="L32" s="27">
        <f t="shared" si="7"/>
        <v>3.241287128712872E-4</v>
      </c>
      <c r="M32" s="29">
        <f t="shared" si="8"/>
        <v>4.7762865441819992E-3</v>
      </c>
      <c r="N32" s="33">
        <f t="shared" si="9"/>
        <v>1.3657123663683184E-6</v>
      </c>
      <c r="O32" s="21">
        <f t="shared" si="10"/>
        <v>2.032E-3</v>
      </c>
      <c r="P32" s="21">
        <v>1.1208581181901367E-10</v>
      </c>
      <c r="Q32" s="2">
        <v>0.33</v>
      </c>
      <c r="R32" s="27">
        <f t="shared" si="11"/>
        <v>133000</v>
      </c>
      <c r="S32" s="2">
        <v>5.2493374855265302E-3</v>
      </c>
      <c r="T32" s="11">
        <v>0.13</v>
      </c>
      <c r="U32" s="30">
        <f t="shared" si="12"/>
        <v>112999.99999999999</v>
      </c>
      <c r="V32" s="30">
        <f t="shared" si="1"/>
        <v>36.62654455445545</v>
      </c>
      <c r="W32" s="2">
        <f t="shared" si="13"/>
        <v>12</v>
      </c>
      <c r="X32" s="2">
        <f t="shared" si="14"/>
        <v>1.5084609957327556E-6</v>
      </c>
      <c r="Y32" s="11">
        <f t="shared" si="15"/>
        <v>1115.4816222439583</v>
      </c>
      <c r="Z32" s="9">
        <f t="shared" si="16"/>
        <v>6.0040563879332253E-14</v>
      </c>
      <c r="AA32" s="9">
        <f t="shared" si="17"/>
        <v>36156427568.133881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0">
        <v>323.58415841584161</v>
      </c>
      <c r="L33" s="27">
        <f t="shared" si="7"/>
        <v>3.2358415841584161E-4</v>
      </c>
      <c r="M33" s="29">
        <f t="shared" si="8"/>
        <v>4.7762865441819992E-3</v>
      </c>
      <c r="N33" s="33">
        <f t="shared" si="9"/>
        <v>1.3634178928322501E-6</v>
      </c>
      <c r="O33" s="21">
        <f t="shared" si="10"/>
        <v>2.032E-3</v>
      </c>
      <c r="P33" s="21">
        <v>1.1208581181901367E-10</v>
      </c>
      <c r="Q33" s="2">
        <v>0.33</v>
      </c>
      <c r="R33" s="27">
        <f t="shared" si="11"/>
        <v>133000</v>
      </c>
      <c r="S33" s="2">
        <v>5.2493374855265302E-3</v>
      </c>
      <c r="T33" s="11">
        <v>0.13</v>
      </c>
      <c r="U33" s="30">
        <f t="shared" si="12"/>
        <v>112999.99999999999</v>
      </c>
      <c r="V33" s="30">
        <f t="shared" si="1"/>
        <v>36.565009900990098</v>
      </c>
      <c r="W33" s="2">
        <f t="shared" si="13"/>
        <v>12</v>
      </c>
      <c r="X33" s="2">
        <f t="shared" si="14"/>
        <v>1.5058859780238912E-6</v>
      </c>
      <c r="Y33" s="11">
        <f t="shared" si="15"/>
        <v>1112.026295406373</v>
      </c>
      <c r="Z33" s="9">
        <f t="shared" si="16"/>
        <v>5.9936501345264552E-14</v>
      </c>
      <c r="AA33" s="9">
        <f t="shared" si="17"/>
        <v>36093761110.118317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0">
        <v>326.72772277227722</v>
      </c>
      <c r="L34" s="27">
        <f t="shared" si="7"/>
        <v>3.2672772277227721E-4</v>
      </c>
      <c r="M34" s="29">
        <f t="shared" si="8"/>
        <v>4.7762865441819992E-3</v>
      </c>
      <c r="N34" s="33">
        <f t="shared" si="9"/>
        <v>1.3766632627904605E-6</v>
      </c>
      <c r="O34" s="21">
        <f t="shared" si="10"/>
        <v>2.032E-3</v>
      </c>
      <c r="P34" s="21">
        <v>1.1208581181901367E-10</v>
      </c>
      <c r="Q34" s="2">
        <v>0.33</v>
      </c>
      <c r="R34" s="27">
        <f t="shared" si="11"/>
        <v>133000</v>
      </c>
      <c r="S34" s="2">
        <v>5.2493374855265302E-3</v>
      </c>
      <c r="T34" s="11">
        <v>0.13</v>
      </c>
      <c r="U34" s="30">
        <f t="shared" si="12"/>
        <v>112999.99999999999</v>
      </c>
      <c r="V34" s="30">
        <f t="shared" si="1"/>
        <v>36.920232673267321</v>
      </c>
      <c r="W34" s="2">
        <f t="shared" si="13"/>
        <v>12</v>
      </c>
      <c r="X34" s="2">
        <f t="shared" si="14"/>
        <v>1.5207476180940652E-6</v>
      </c>
      <c r="Y34" s="11">
        <f t="shared" si="15"/>
        <v>1132.0388997092748</v>
      </c>
      <c r="Z34" s="9">
        <f t="shared" si="16"/>
        <v>6.0537202600827665E-14</v>
      </c>
      <c r="AA34" s="9">
        <f t="shared" si="17"/>
        <v>36455503406.218422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0">
        <v>326.45544554455449</v>
      </c>
      <c r="L35" s="27">
        <f t="shared" si="7"/>
        <v>3.264554455445545E-4</v>
      </c>
      <c r="M35" s="29">
        <f t="shared" si="8"/>
        <v>4.7762865441819992E-3</v>
      </c>
      <c r="N35" s="33">
        <f t="shared" si="9"/>
        <v>1.3755160260224268E-6</v>
      </c>
      <c r="O35" s="21">
        <f t="shared" si="10"/>
        <v>2.032E-3</v>
      </c>
      <c r="P35" s="21">
        <v>1.1208581181901367E-10</v>
      </c>
      <c r="Q35" s="2">
        <v>0.33</v>
      </c>
      <c r="R35" s="27">
        <f t="shared" si="11"/>
        <v>133000</v>
      </c>
      <c r="S35" s="2">
        <v>5.2493374855265302E-3</v>
      </c>
      <c r="T35" s="11">
        <v>0.13</v>
      </c>
      <c r="U35" s="30">
        <f t="shared" si="12"/>
        <v>112999.99999999999</v>
      </c>
      <c r="V35" s="30">
        <f t="shared" si="1"/>
        <v>36.889465346534656</v>
      </c>
      <c r="W35" s="2">
        <f t="shared" si="13"/>
        <v>12</v>
      </c>
      <c r="X35" s="2">
        <f t="shared" si="14"/>
        <v>1.5194606978612492E-6</v>
      </c>
      <c r="Y35" s="11">
        <f t="shared" si="15"/>
        <v>1130.2992166703948</v>
      </c>
      <c r="Z35" s="9">
        <f t="shared" si="16"/>
        <v>6.0485175530751405E-14</v>
      </c>
      <c r="AA35" s="9">
        <f t="shared" si="17"/>
        <v>36424172704.6185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0">
        <v>324.22772277227727</v>
      </c>
      <c r="L36" s="27">
        <f t="shared" si="7"/>
        <v>3.2422772277227726E-4</v>
      </c>
      <c r="M36" s="29">
        <f t="shared" si="8"/>
        <v>4.7762865441819992E-3</v>
      </c>
      <c r="N36" s="33">
        <f t="shared" si="9"/>
        <v>1.3661295433748759E-6</v>
      </c>
      <c r="O36" s="21">
        <f t="shared" si="10"/>
        <v>2.032E-3</v>
      </c>
      <c r="P36" s="21">
        <v>1.1208581181901367E-10</v>
      </c>
      <c r="Q36" s="2">
        <v>0.33</v>
      </c>
      <c r="R36" s="27">
        <f t="shared" si="11"/>
        <v>133000</v>
      </c>
      <c r="S36" s="2">
        <v>5.2493374855265302E-3</v>
      </c>
      <c r="T36" s="11">
        <v>0.13</v>
      </c>
      <c r="U36" s="30">
        <f t="shared" si="12"/>
        <v>112999.99999999999</v>
      </c>
      <c r="V36" s="30">
        <f t="shared" si="1"/>
        <v>36.637732673267323</v>
      </c>
      <c r="W36" s="2">
        <f t="shared" si="13"/>
        <v>12</v>
      </c>
      <c r="X36" s="2">
        <f t="shared" si="14"/>
        <v>1.5089291554445769E-6</v>
      </c>
      <c r="Y36" s="11">
        <f t="shared" si="15"/>
        <v>1116.1103779917719</v>
      </c>
      <c r="Z36" s="9">
        <f t="shared" si="16"/>
        <v>6.0059484152166715E-14</v>
      </c>
      <c r="AA36" s="9">
        <f t="shared" si="17"/>
        <v>36167821356.434799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0">
        <v>337.74257425742576</v>
      </c>
      <c r="L37" s="27">
        <f t="shared" si="7"/>
        <v>3.3774257425742577E-4</v>
      </c>
      <c r="M37" s="29">
        <f t="shared" si="8"/>
        <v>4.7762865441819992E-3</v>
      </c>
      <c r="N37" s="33">
        <f t="shared" si="9"/>
        <v>1.4230742047700175E-6</v>
      </c>
      <c r="O37" s="21">
        <f t="shared" si="10"/>
        <v>2.032E-3</v>
      </c>
      <c r="P37" s="21">
        <v>1.1208581181901367E-10</v>
      </c>
      <c r="Q37" s="2">
        <v>0.33</v>
      </c>
      <c r="R37" s="27">
        <f t="shared" si="11"/>
        <v>133000</v>
      </c>
      <c r="S37" s="2">
        <v>5.2493374855265302E-3</v>
      </c>
      <c r="T37" s="11">
        <v>0.13</v>
      </c>
      <c r="U37" s="30">
        <f t="shared" si="12"/>
        <v>112999.99999999999</v>
      </c>
      <c r="V37" s="30">
        <f t="shared" si="1"/>
        <v>38.164910891089107</v>
      </c>
      <c r="W37" s="2">
        <f t="shared" si="13"/>
        <v>12</v>
      </c>
      <c r="X37" s="2">
        <f t="shared" si="14"/>
        <v>1.5727613835671256E-6</v>
      </c>
      <c r="Y37" s="11">
        <f t="shared" si="15"/>
        <v>1203.4179556955844</v>
      </c>
      <c r="Z37" s="9">
        <f t="shared" si="16"/>
        <v>6.2641649415249487E-14</v>
      </c>
      <c r="AA37" s="9">
        <f t="shared" si="17"/>
        <v>37722801277.863243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0">
        <v>327.69306930693074</v>
      </c>
      <c r="L38" s="27">
        <f t="shared" si="7"/>
        <v>3.2769306930693074E-4</v>
      </c>
      <c r="M38" s="29">
        <f t="shared" si="8"/>
        <v>4.7762865441819992E-3</v>
      </c>
      <c r="N38" s="33">
        <f t="shared" si="9"/>
        <v>1.3807307386043996E-6</v>
      </c>
      <c r="O38" s="21">
        <f t="shared" si="10"/>
        <v>2.032E-3</v>
      </c>
      <c r="P38" s="21">
        <v>1.1208581181901367E-10</v>
      </c>
      <c r="Q38" s="2">
        <v>0.33</v>
      </c>
      <c r="R38" s="27">
        <f t="shared" si="11"/>
        <v>133000</v>
      </c>
      <c r="S38" s="2">
        <v>5.2493374855265302E-3</v>
      </c>
      <c r="T38" s="11">
        <v>0.13</v>
      </c>
      <c r="U38" s="30">
        <f t="shared" si="12"/>
        <v>112999.99999999999</v>
      </c>
      <c r="V38" s="30">
        <f t="shared" si="1"/>
        <v>37.029316831683168</v>
      </c>
      <c r="W38" s="2">
        <f t="shared" si="13"/>
        <v>12</v>
      </c>
      <c r="X38" s="2">
        <f t="shared" si="14"/>
        <v>1.5253098668914832E-6</v>
      </c>
      <c r="Y38" s="11">
        <f t="shared" si="15"/>
        <v>1138.2165005112743</v>
      </c>
      <c r="Z38" s="9">
        <f t="shared" si="16"/>
        <v>6.0721659064682596E-14</v>
      </c>
      <c r="AA38" s="9">
        <f t="shared" si="17"/>
        <v>36566583088.751862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0">
        <v>323.58415841584161</v>
      </c>
      <c r="L39" s="27">
        <f t="shared" si="7"/>
        <v>3.2358415841584161E-4</v>
      </c>
      <c r="M39" s="29">
        <f t="shared" si="8"/>
        <v>4.7762865441819992E-3</v>
      </c>
      <c r="N39" s="33">
        <f t="shared" si="9"/>
        <v>1.3634178928322501E-6</v>
      </c>
      <c r="O39" s="21">
        <f t="shared" si="10"/>
        <v>2.032E-3</v>
      </c>
      <c r="P39" s="21">
        <v>1.1208581181901367E-10</v>
      </c>
      <c r="Q39" s="2">
        <v>0.33</v>
      </c>
      <c r="R39" s="27">
        <f t="shared" si="11"/>
        <v>133000</v>
      </c>
      <c r="S39" s="2">
        <v>5.2493374855265302E-3</v>
      </c>
      <c r="T39" s="11">
        <v>0.13</v>
      </c>
      <c r="U39" s="30">
        <f t="shared" si="12"/>
        <v>112999.99999999999</v>
      </c>
      <c r="V39" s="30">
        <f t="shared" si="1"/>
        <v>36.565009900990098</v>
      </c>
      <c r="W39" s="2">
        <f t="shared" si="13"/>
        <v>12</v>
      </c>
      <c r="X39" s="2">
        <f t="shared" si="14"/>
        <v>1.5058859780238912E-6</v>
      </c>
      <c r="Y39" s="11">
        <f t="shared" si="15"/>
        <v>1112.026295406373</v>
      </c>
      <c r="Z39" s="9">
        <f t="shared" si="16"/>
        <v>5.9936501345264552E-14</v>
      </c>
      <c r="AA39" s="9">
        <f t="shared" si="17"/>
        <v>36093761110.118317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0">
        <v>325.39108910891093</v>
      </c>
      <c r="L40" s="27">
        <f t="shared" si="7"/>
        <v>3.2539108910891091E-4</v>
      </c>
      <c r="M40" s="29">
        <f t="shared" si="8"/>
        <v>4.7762865441819992E-3</v>
      </c>
      <c r="N40" s="33">
        <f t="shared" si="9"/>
        <v>1.3710313732019302E-6</v>
      </c>
      <c r="O40" s="21">
        <f t="shared" si="10"/>
        <v>2.032E-3</v>
      </c>
      <c r="P40" s="21">
        <v>1.1208581181901367E-10</v>
      </c>
      <c r="Q40" s="2">
        <v>0.33</v>
      </c>
      <c r="R40" s="27">
        <f t="shared" si="11"/>
        <v>133000</v>
      </c>
      <c r="S40" s="2">
        <v>5.2493374855265302E-3</v>
      </c>
      <c r="T40" s="11">
        <v>0.13</v>
      </c>
      <c r="U40" s="30">
        <f t="shared" si="12"/>
        <v>112999.99999999999</v>
      </c>
      <c r="V40" s="30">
        <f t="shared" si="1"/>
        <v>36.76919306930693</v>
      </c>
      <c r="W40" s="2">
        <f t="shared" si="13"/>
        <v>12</v>
      </c>
      <c r="X40" s="2">
        <f t="shared" si="14"/>
        <v>1.5144294499627119E-6</v>
      </c>
      <c r="Y40" s="11">
        <f t="shared" si="15"/>
        <v>1123.5101130463263</v>
      </c>
      <c r="Z40" s="9">
        <f t="shared" si="16"/>
        <v>6.0281793120890796E-14</v>
      </c>
      <c r="AA40" s="9">
        <f t="shared" si="17"/>
        <v>36301695817.400436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0">
        <v>321.3564356435644</v>
      </c>
      <c r="L41" s="27">
        <f t="shared" si="7"/>
        <v>3.2135643564356437E-4</v>
      </c>
      <c r="M41" s="29">
        <f t="shared" si="8"/>
        <v>4.7762865441819992E-3</v>
      </c>
      <c r="N41" s="33">
        <f t="shared" si="9"/>
        <v>1.3540314101846992E-6</v>
      </c>
      <c r="O41" s="21">
        <f t="shared" si="10"/>
        <v>2.032E-3</v>
      </c>
      <c r="P41" s="21">
        <v>1.1208581181901367E-10</v>
      </c>
      <c r="Q41" s="2">
        <v>0.33</v>
      </c>
      <c r="R41" s="27">
        <f t="shared" si="11"/>
        <v>133000</v>
      </c>
      <c r="S41" s="2">
        <v>5.2493374855265302E-3</v>
      </c>
      <c r="T41" s="11">
        <v>0.13</v>
      </c>
      <c r="U41" s="30">
        <f t="shared" si="12"/>
        <v>112999.99999999999</v>
      </c>
      <c r="V41" s="30">
        <f t="shared" si="1"/>
        <v>36.313277227722772</v>
      </c>
      <c r="W41" s="2">
        <f t="shared" si="13"/>
        <v>12</v>
      </c>
      <c r="X41" s="2">
        <f t="shared" si="14"/>
        <v>1.4953493490479479E-6</v>
      </c>
      <c r="Y41" s="11">
        <f t="shared" si="15"/>
        <v>1097.94075713134</v>
      </c>
      <c r="Z41" s="9">
        <f t="shared" si="16"/>
        <v>5.9510772136330251E-14</v>
      </c>
      <c r="AA41" s="9">
        <f t="shared" si="17"/>
        <v>35837386980.498077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0">
        <v>314.1782178217822</v>
      </c>
      <c r="L42" s="27">
        <f t="shared" si="7"/>
        <v>3.1417821782178218E-4</v>
      </c>
      <c r="M42" s="29">
        <f t="shared" si="8"/>
        <v>4.7762865441819992E-3</v>
      </c>
      <c r="N42" s="33">
        <f t="shared" si="9"/>
        <v>1.3237860772092577E-6</v>
      </c>
      <c r="O42" s="21">
        <f t="shared" si="10"/>
        <v>2.032E-3</v>
      </c>
      <c r="P42" s="21">
        <v>1.1208581181901367E-10</v>
      </c>
      <c r="Q42" s="2">
        <v>0.33</v>
      </c>
      <c r="R42" s="27">
        <f t="shared" si="11"/>
        <v>133000</v>
      </c>
      <c r="S42" s="2">
        <v>5.2493374855265302E-3</v>
      </c>
      <c r="T42" s="11">
        <v>0.13</v>
      </c>
      <c r="U42" s="30">
        <f t="shared" si="12"/>
        <v>112999.99999999999</v>
      </c>
      <c r="V42" s="30">
        <f t="shared" si="1"/>
        <v>35.502138613861383</v>
      </c>
      <c r="W42" s="2">
        <f t="shared" si="13"/>
        <v>12</v>
      </c>
      <c r="X42" s="2">
        <f t="shared" si="14"/>
        <v>1.4613706110917797E-6</v>
      </c>
      <c r="Y42" s="11">
        <f t="shared" si="15"/>
        <v>1053.1003004902668</v>
      </c>
      <c r="Z42" s="9">
        <f t="shared" si="16"/>
        <v>5.8138747833568048E-14</v>
      </c>
      <c r="AA42" s="9">
        <f t="shared" si="17"/>
        <v>35011153945.37468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0">
        <v>320.6386138613862</v>
      </c>
      <c r="L43" s="27">
        <f t="shared" si="7"/>
        <v>3.2063861386138619E-4</v>
      </c>
      <c r="M43" s="29">
        <f t="shared" si="8"/>
        <v>4.7762865441819992E-3</v>
      </c>
      <c r="N43" s="33">
        <f t="shared" si="9"/>
        <v>1.3510068768871552E-6</v>
      </c>
      <c r="O43" s="21">
        <f t="shared" si="10"/>
        <v>2.032E-3</v>
      </c>
      <c r="P43" s="21">
        <v>1.1208581181901367E-10</v>
      </c>
      <c r="Q43" s="2">
        <v>0.33</v>
      </c>
      <c r="R43" s="27">
        <f t="shared" si="11"/>
        <v>133000</v>
      </c>
      <c r="S43" s="2">
        <v>5.2493374855265302E-3</v>
      </c>
      <c r="T43" s="11">
        <v>0.13</v>
      </c>
      <c r="U43" s="30">
        <f t="shared" si="12"/>
        <v>112999.99999999999</v>
      </c>
      <c r="V43" s="30">
        <f t="shared" si="1"/>
        <v>36.232163366336636</v>
      </c>
      <c r="W43" s="2">
        <f t="shared" si="13"/>
        <v>12</v>
      </c>
      <c r="X43" s="2">
        <f t="shared" si="14"/>
        <v>1.4919533643303006E-6</v>
      </c>
      <c r="Y43" s="11">
        <f t="shared" si="15"/>
        <v>1093.4191733122836</v>
      </c>
      <c r="Z43" s="9">
        <f t="shared" si="16"/>
        <v>5.9373586010288893E-14</v>
      </c>
      <c r="AA43" s="9">
        <f t="shared" si="17"/>
        <v>35754773495.395973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0">
        <v>309.25247524752479</v>
      </c>
      <c r="L44" s="27">
        <f t="shared" si="7"/>
        <v>3.0925247524752481E-4</v>
      </c>
      <c r="M44" s="29">
        <f t="shared" si="8"/>
        <v>4.7762865441819992E-3</v>
      </c>
      <c r="N44" s="33">
        <f t="shared" si="9"/>
        <v>1.3030315211330066E-6</v>
      </c>
      <c r="O44" s="21">
        <f t="shared" si="10"/>
        <v>2.032E-3</v>
      </c>
      <c r="P44" s="21">
        <v>1.1208581181901367E-10</v>
      </c>
      <c r="Q44" s="2">
        <v>0.33</v>
      </c>
      <c r="R44" s="27">
        <f t="shared" si="11"/>
        <v>133000</v>
      </c>
      <c r="S44" s="2">
        <v>5.2493374855265302E-3</v>
      </c>
      <c r="T44" s="11">
        <v>0.13</v>
      </c>
      <c r="U44" s="30">
        <f t="shared" si="12"/>
        <v>112999.99999999999</v>
      </c>
      <c r="V44" s="30">
        <f t="shared" si="1"/>
        <v>34.945529702970298</v>
      </c>
      <c r="W44" s="2">
        <f t="shared" si="13"/>
        <v>12</v>
      </c>
      <c r="X44" s="2">
        <f t="shared" si="14"/>
        <v>1.4380294377487833E-6</v>
      </c>
      <c r="Y44" s="11">
        <f t="shared" si="15"/>
        <v>1022.8139655255642</v>
      </c>
      <c r="Z44" s="9">
        <f t="shared" si="16"/>
        <v>5.719702063425942E-14</v>
      </c>
      <c r="AA44" s="9">
        <f t="shared" si="17"/>
        <v>34444045825.951027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0">
        <v>314.69801980198025</v>
      </c>
      <c r="L45" s="27">
        <f t="shared" si="7"/>
        <v>3.1469801980198023E-4</v>
      </c>
      <c r="M45" s="29">
        <f t="shared" si="8"/>
        <v>4.7762865441819992E-3</v>
      </c>
      <c r="N45" s="33">
        <f t="shared" si="9"/>
        <v>1.3259762564936863E-6</v>
      </c>
      <c r="O45" s="21">
        <f t="shared" si="10"/>
        <v>2.032E-3</v>
      </c>
      <c r="P45" s="21">
        <v>1.1208581181901367E-10</v>
      </c>
      <c r="Q45" s="2">
        <v>0.33</v>
      </c>
      <c r="R45" s="27">
        <f t="shared" si="11"/>
        <v>133000</v>
      </c>
      <c r="S45" s="2">
        <v>5.2493374855265302E-3</v>
      </c>
      <c r="T45" s="11">
        <v>0.13</v>
      </c>
      <c r="U45" s="30">
        <f t="shared" si="12"/>
        <v>112999.99999999999</v>
      </c>
      <c r="V45" s="30">
        <f t="shared" si="1"/>
        <v>35.560876237623759</v>
      </c>
      <c r="W45" s="2">
        <f t="shared" si="13"/>
        <v>12</v>
      </c>
      <c r="X45" s="2">
        <f t="shared" si="14"/>
        <v>1.4638325635187415E-6</v>
      </c>
      <c r="Y45" s="11">
        <f t="shared" si="15"/>
        <v>1056.3193254149232</v>
      </c>
      <c r="Z45" s="9">
        <f t="shared" si="16"/>
        <v>5.8238114238793117E-14</v>
      </c>
      <c r="AA45" s="9">
        <f t="shared" si="17"/>
        <v>35070992394.601219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0">
        <v>324.72277227722776</v>
      </c>
      <c r="L46" s="27">
        <f t="shared" si="7"/>
        <v>3.2472277227722773E-4</v>
      </c>
      <c r="M46" s="29">
        <f t="shared" si="8"/>
        <v>4.7762865441819992E-3</v>
      </c>
      <c r="N46" s="33">
        <f t="shared" si="9"/>
        <v>1.3682154284076648E-6</v>
      </c>
      <c r="O46" s="21">
        <f t="shared" si="10"/>
        <v>2.032E-3</v>
      </c>
      <c r="P46" s="21">
        <v>1.1208581181901367E-10</v>
      </c>
      <c r="Q46" s="2">
        <v>0.33</v>
      </c>
      <c r="R46" s="27">
        <f t="shared" si="11"/>
        <v>133000</v>
      </c>
      <c r="S46" s="2">
        <v>5.2493374855265302E-3</v>
      </c>
      <c r="T46" s="11">
        <v>0.13</v>
      </c>
      <c r="U46" s="30">
        <f t="shared" si="12"/>
        <v>112999.99999999999</v>
      </c>
      <c r="V46" s="30">
        <f t="shared" si="1"/>
        <v>36.69367326732673</v>
      </c>
      <c r="W46" s="2">
        <f t="shared" si="13"/>
        <v>12</v>
      </c>
      <c r="X46" s="2">
        <f t="shared" si="14"/>
        <v>1.5112698373188537E-6</v>
      </c>
      <c r="Y46" s="11">
        <f t="shared" si="15"/>
        <v>1119.2565309477143</v>
      </c>
      <c r="Z46" s="9">
        <f t="shared" si="16"/>
        <v>6.0154084660927556E-14</v>
      </c>
      <c r="AA46" s="9">
        <f t="shared" si="17"/>
        <v>36224789782.810577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0">
        <v>316.18316831683171</v>
      </c>
      <c r="L47" s="27">
        <f t="shared" si="7"/>
        <v>3.1618316831683171E-4</v>
      </c>
      <c r="M47" s="29">
        <f t="shared" si="8"/>
        <v>4.7762865441819992E-3</v>
      </c>
      <c r="N47" s="33">
        <f t="shared" si="9"/>
        <v>1.3322339115920534E-6</v>
      </c>
      <c r="O47" s="21">
        <f t="shared" si="10"/>
        <v>2.032E-3</v>
      </c>
      <c r="P47" s="21">
        <v>1.1208581181901367E-10</v>
      </c>
      <c r="Q47" s="2">
        <v>0.33</v>
      </c>
      <c r="R47" s="27">
        <f t="shared" si="11"/>
        <v>133000</v>
      </c>
      <c r="S47" s="2">
        <v>5.2493374855265302E-3</v>
      </c>
      <c r="T47" s="11">
        <v>0.13</v>
      </c>
      <c r="U47" s="30">
        <f t="shared" si="12"/>
        <v>112999.99999999999</v>
      </c>
      <c r="V47" s="30">
        <f t="shared" si="1"/>
        <v>35.728698019801982</v>
      </c>
      <c r="W47" s="2">
        <f t="shared" si="13"/>
        <v>12</v>
      </c>
      <c r="X47" s="2">
        <f t="shared" si="14"/>
        <v>1.4708654789427545E-6</v>
      </c>
      <c r="Y47" s="11">
        <f t="shared" si="15"/>
        <v>1065.5406854446944</v>
      </c>
      <c r="Z47" s="9">
        <f t="shared" si="16"/>
        <v>5.8522006569737224E-14</v>
      </c>
      <c r="AA47" s="9">
        <f t="shared" si="17"/>
        <v>35241952356.295761</v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0">
        <v>313.73267326732679</v>
      </c>
      <c r="L48" s="27">
        <f t="shared" si="7"/>
        <v>3.1373267326732682E-4</v>
      </c>
      <c r="M48" s="29">
        <f t="shared" si="8"/>
        <v>4.7762865441819992E-3</v>
      </c>
      <c r="N48" s="33">
        <f t="shared" si="9"/>
        <v>1.3219087806797478E-6</v>
      </c>
      <c r="O48" s="21">
        <f t="shared" si="10"/>
        <v>2.032E-3</v>
      </c>
      <c r="P48" s="21">
        <v>1.1208581181901367E-10</v>
      </c>
      <c r="Q48" s="2">
        <v>0.33</v>
      </c>
      <c r="R48" s="27">
        <f t="shared" si="11"/>
        <v>133000</v>
      </c>
      <c r="S48" s="2">
        <v>5.2493374855265302E-3</v>
      </c>
      <c r="T48" s="11">
        <v>0.13</v>
      </c>
      <c r="U48" s="30">
        <f t="shared" si="12"/>
        <v>112999.99999999999</v>
      </c>
      <c r="V48" s="30">
        <f t="shared" si="1"/>
        <v>35.451792079207927</v>
      </c>
      <c r="W48" s="2">
        <f t="shared" si="13"/>
        <v>12</v>
      </c>
      <c r="X48" s="2">
        <f t="shared" si="14"/>
        <v>1.4592601871616321E-6</v>
      </c>
      <c r="Y48" s="11">
        <f t="shared" si="15"/>
        <v>1050.344625405407</v>
      </c>
      <c r="Z48" s="9">
        <f t="shared" si="16"/>
        <v>5.8053574902165984E-14</v>
      </c>
      <c r="AA48" s="9">
        <f t="shared" si="17"/>
        <v>34959862806.084358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0">
        <v>315.93564356435644</v>
      </c>
      <c r="L49" s="27">
        <f t="shared" si="7"/>
        <v>3.1593564356435642E-4</v>
      </c>
      <c r="M49" s="29">
        <f t="shared" si="8"/>
        <v>4.7762865441819992E-3</v>
      </c>
      <c r="N49" s="33">
        <f t="shared" si="9"/>
        <v>1.3311909690756587E-6</v>
      </c>
      <c r="O49" s="21">
        <f t="shared" si="10"/>
        <v>2.032E-3</v>
      </c>
      <c r="P49" s="21">
        <v>1.1208581181901367E-10</v>
      </c>
      <c r="Q49" s="2">
        <v>0.33</v>
      </c>
      <c r="R49" s="27">
        <f t="shared" si="11"/>
        <v>133000</v>
      </c>
      <c r="S49" s="2">
        <v>5.2493374855265302E-3</v>
      </c>
      <c r="T49" s="11">
        <v>0.13</v>
      </c>
      <c r="U49" s="30">
        <f t="shared" si="12"/>
        <v>112999.99999999999</v>
      </c>
      <c r="V49" s="30">
        <f t="shared" si="1"/>
        <v>35.700727722772271</v>
      </c>
      <c r="W49" s="2">
        <f t="shared" si="13"/>
        <v>12</v>
      </c>
      <c r="X49" s="2">
        <f t="shared" si="14"/>
        <v>1.4696934530110169E-6</v>
      </c>
      <c r="Y49" s="11">
        <f t="shared" si="15"/>
        <v>1064.001308660474</v>
      </c>
      <c r="Z49" s="9">
        <f t="shared" si="16"/>
        <v>5.8474692363321417E-14</v>
      </c>
      <c r="AA49" s="9">
        <f t="shared" si="17"/>
        <v>35213459741.192162</v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0">
        <v>318.8564356435644</v>
      </c>
      <c r="L50" s="27">
        <f t="shared" si="7"/>
        <v>3.1885643564356442E-4</v>
      </c>
      <c r="M50" s="29">
        <f t="shared" si="8"/>
        <v>4.7762865441819992E-3</v>
      </c>
      <c r="N50" s="33">
        <f t="shared" si="9"/>
        <v>1.3434976907691146E-6</v>
      </c>
      <c r="O50" s="21">
        <f t="shared" si="10"/>
        <v>2.032E-3</v>
      </c>
      <c r="P50" s="21">
        <v>1.1208581181901367E-10</v>
      </c>
      <c r="Q50" s="2">
        <v>0.33</v>
      </c>
      <c r="R50" s="27">
        <f t="shared" si="11"/>
        <v>133000</v>
      </c>
      <c r="S50" s="2">
        <v>5.2493374855265302E-3</v>
      </c>
      <c r="T50" s="11">
        <v>0.13</v>
      </c>
      <c r="U50" s="30">
        <f t="shared" si="12"/>
        <v>112999.99999999999</v>
      </c>
      <c r="V50" s="30">
        <f t="shared" si="1"/>
        <v>36.030777227722773</v>
      </c>
      <c r="W50" s="2">
        <f t="shared" si="13"/>
        <v>12</v>
      </c>
      <c r="X50" s="2">
        <f t="shared" si="14"/>
        <v>1.483520152361086E-6</v>
      </c>
      <c r="Y50" s="11">
        <f t="shared" si="15"/>
        <v>1082.2292104445103</v>
      </c>
      <c r="Z50" s="9">
        <f t="shared" si="16"/>
        <v>5.9032971067607276E-14</v>
      </c>
      <c r="AA50" s="9">
        <f t="shared" si="17"/>
        <v>35549655176.913101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0">
        <v>312.24752475247527</v>
      </c>
      <c r="L51" s="27">
        <f t="shared" si="7"/>
        <v>3.1224752475247529E-4</v>
      </c>
      <c r="M51" s="29">
        <f t="shared" si="8"/>
        <v>4.7762865441819992E-3</v>
      </c>
      <c r="N51" s="33">
        <f t="shared" si="9"/>
        <v>1.3156511255813803E-6</v>
      </c>
      <c r="O51" s="21">
        <f t="shared" si="10"/>
        <v>2.032E-3</v>
      </c>
      <c r="P51" s="21">
        <v>1.1208581181901367E-10</v>
      </c>
      <c r="Q51" s="2">
        <v>0.33</v>
      </c>
      <c r="R51" s="27">
        <f t="shared" si="11"/>
        <v>133000</v>
      </c>
      <c r="S51" s="2">
        <v>5.2493374855265302E-3</v>
      </c>
      <c r="T51" s="11">
        <v>0.13</v>
      </c>
      <c r="U51" s="30">
        <f t="shared" si="12"/>
        <v>112999.99999999999</v>
      </c>
      <c r="V51" s="30">
        <f t="shared" si="1"/>
        <v>35.283970297029704</v>
      </c>
      <c r="W51" s="2">
        <f t="shared" si="13"/>
        <v>12</v>
      </c>
      <c r="X51" s="2">
        <f t="shared" si="14"/>
        <v>1.4522242427713445E-6</v>
      </c>
      <c r="Y51" s="11">
        <f t="shared" si="15"/>
        <v>1041.1823119888411</v>
      </c>
      <c r="Z51" s="9">
        <f t="shared" si="16"/>
        <v>5.7769653354984475E-14</v>
      </c>
      <c r="AA51" s="9">
        <f t="shared" si="17"/>
        <v>34788885250.371651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 spans="1:78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0">
        <v>301.85148514851488</v>
      </c>
      <c r="L52" s="27">
        <f t="shared" si="7"/>
        <v>3.018514851485149E-4</v>
      </c>
      <c r="M52" s="29">
        <f t="shared" si="8"/>
        <v>4.7762865441819992E-3</v>
      </c>
      <c r="N52" s="33">
        <f t="shared" si="9"/>
        <v>1.27184753989281E-6</v>
      </c>
      <c r="O52" s="21">
        <f t="shared" si="10"/>
        <v>2.032E-3</v>
      </c>
      <c r="P52" s="21">
        <v>1.1208581181901367E-10</v>
      </c>
      <c r="Q52" s="2">
        <v>0.33</v>
      </c>
      <c r="R52" s="27">
        <f t="shared" si="11"/>
        <v>133000</v>
      </c>
      <c r="S52" s="2">
        <v>5.2493374855265302E-3</v>
      </c>
      <c r="T52" s="11">
        <v>0.13</v>
      </c>
      <c r="U52" s="30">
        <f t="shared" si="12"/>
        <v>112999.99999999999</v>
      </c>
      <c r="V52" s="30">
        <f t="shared" si="1"/>
        <v>34.109217821782181</v>
      </c>
      <c r="W52" s="2">
        <f t="shared" si="13"/>
        <v>12</v>
      </c>
      <c r="X52" s="2">
        <f t="shared" si="14"/>
        <v>1.4029199888926381E-6</v>
      </c>
      <c r="Y52" s="11">
        <f t="shared" si="15"/>
        <v>978.05057419012826</v>
      </c>
      <c r="Z52" s="9">
        <f t="shared" si="16"/>
        <v>5.5781637211977659E-14</v>
      </c>
      <c r="AA52" s="9">
        <f t="shared" si="17"/>
        <v>33591701929.052948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0">
        <v>308.88118811881191</v>
      </c>
      <c r="L53" s="27">
        <f t="shared" si="7"/>
        <v>3.0888118811881192E-4</v>
      </c>
      <c r="M53" s="29">
        <f t="shared" si="8"/>
        <v>4.7762865441819992E-3</v>
      </c>
      <c r="N53" s="33">
        <f t="shared" si="9"/>
        <v>1.3014671073584147E-6</v>
      </c>
      <c r="O53" s="21">
        <f t="shared" si="10"/>
        <v>2.032E-3</v>
      </c>
      <c r="P53" s="21">
        <v>1.1208581181901367E-10</v>
      </c>
      <c r="Q53" s="2">
        <v>0.33</v>
      </c>
      <c r="R53" s="27">
        <f t="shared" si="11"/>
        <v>133000</v>
      </c>
      <c r="S53" s="2">
        <v>5.2493374855265302E-3</v>
      </c>
      <c r="T53" s="11">
        <v>0.13</v>
      </c>
      <c r="U53" s="30">
        <f t="shared" si="12"/>
        <v>112999.99999999999</v>
      </c>
      <c r="V53" s="30">
        <f t="shared" si="1"/>
        <v>34.903574257425745</v>
      </c>
      <c r="W53" s="2">
        <f t="shared" si="13"/>
        <v>12</v>
      </c>
      <c r="X53" s="2">
        <f t="shared" si="14"/>
        <v>1.4362692207325082E-6</v>
      </c>
      <c r="Y53" s="11">
        <f t="shared" si="15"/>
        <v>1020.5470575325289</v>
      </c>
      <c r="Z53" s="9">
        <f t="shared" si="16"/>
        <v>5.7126027511159167E-14</v>
      </c>
      <c r="AA53" s="9">
        <f t="shared" si="17"/>
        <v>34401293767.220055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0">
        <v>305.71287128712873</v>
      </c>
      <c r="L54" s="27">
        <f t="shared" si="7"/>
        <v>3.0571287128712874E-4</v>
      </c>
      <c r="M54" s="29">
        <f t="shared" si="8"/>
        <v>4.7762865441819992E-3</v>
      </c>
      <c r="N54" s="33">
        <f t="shared" si="9"/>
        <v>1.2881174431485646E-6</v>
      </c>
      <c r="O54" s="21">
        <f t="shared" si="10"/>
        <v>2.032E-3</v>
      </c>
      <c r="P54" s="21">
        <v>1.1208581181901367E-10</v>
      </c>
      <c r="Q54" s="2">
        <v>0.33</v>
      </c>
      <c r="R54" s="27">
        <f t="shared" si="11"/>
        <v>133000</v>
      </c>
      <c r="S54" s="2">
        <v>5.2493374855265302E-3</v>
      </c>
      <c r="T54" s="11">
        <v>0.13</v>
      </c>
      <c r="U54" s="30">
        <f t="shared" si="12"/>
        <v>112999.99999999999</v>
      </c>
      <c r="V54" s="30">
        <f t="shared" si="1"/>
        <v>34.54555445544554</v>
      </c>
      <c r="W54" s="2">
        <f t="shared" si="13"/>
        <v>12</v>
      </c>
      <c r="X54" s="2">
        <f t="shared" si="14"/>
        <v>1.4212438921722653E-6</v>
      </c>
      <c r="Y54" s="11">
        <f t="shared" si="15"/>
        <v>1001.2940341599259</v>
      </c>
      <c r="Z54" s="9">
        <f t="shared" si="16"/>
        <v>5.6520166502133907E-14</v>
      </c>
      <c r="AA54" s="9">
        <f t="shared" si="17"/>
        <v>34036444267.585041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0">
        <v>299.97029702970298</v>
      </c>
      <c r="L55" s="27">
        <f t="shared" si="7"/>
        <v>2.9997029702970296E-4</v>
      </c>
      <c r="M55" s="29">
        <f t="shared" si="8"/>
        <v>4.7762865441819992E-3</v>
      </c>
      <c r="N55" s="33">
        <f t="shared" si="9"/>
        <v>1.2639211767682111E-6</v>
      </c>
      <c r="O55" s="21">
        <f t="shared" si="10"/>
        <v>2.032E-3</v>
      </c>
      <c r="P55" s="21">
        <v>1.1208581181901367E-10</v>
      </c>
      <c r="Q55" s="2">
        <v>0.33</v>
      </c>
      <c r="R55" s="27">
        <f t="shared" si="11"/>
        <v>133000</v>
      </c>
      <c r="S55" s="2">
        <v>5.2493374855265302E-3</v>
      </c>
      <c r="T55" s="11">
        <v>0.13</v>
      </c>
      <c r="U55" s="30">
        <f t="shared" si="12"/>
        <v>112999.99999999999</v>
      </c>
      <c r="V55" s="30">
        <f t="shared" si="1"/>
        <v>33.896643564356431</v>
      </c>
      <c r="W55" s="2">
        <f t="shared" si="13"/>
        <v>12</v>
      </c>
      <c r="X55" s="2">
        <f t="shared" si="14"/>
        <v>1.3939882000999944E-6</v>
      </c>
      <c r="Y55" s="11">
        <f t="shared" si="15"/>
        <v>966.81498882150993</v>
      </c>
      <c r="Z55" s="9">
        <f t="shared" si="16"/>
        <v>5.5421782883954717E-14</v>
      </c>
      <c r="AA55" s="9">
        <f t="shared" si="17"/>
        <v>33374997652.717533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0">
        <v>315.78712871287127</v>
      </c>
      <c r="L56" s="27">
        <f t="shared" si="7"/>
        <v>3.1578712871287124E-4</v>
      </c>
      <c r="M56" s="29">
        <f t="shared" si="8"/>
        <v>4.7762865441819992E-3</v>
      </c>
      <c r="N56" s="33">
        <f t="shared" si="9"/>
        <v>1.3305652035658219E-6</v>
      </c>
      <c r="O56" s="21">
        <f t="shared" si="10"/>
        <v>2.032E-3</v>
      </c>
      <c r="P56" s="21">
        <v>1.1208581181901367E-10</v>
      </c>
      <c r="Q56" s="2">
        <v>0.33</v>
      </c>
      <c r="R56" s="27">
        <f t="shared" si="11"/>
        <v>133000</v>
      </c>
      <c r="S56" s="2">
        <v>5.2493374855265302E-3</v>
      </c>
      <c r="T56" s="11">
        <v>0.13</v>
      </c>
      <c r="U56" s="30">
        <f t="shared" si="12"/>
        <v>112999.99999999999</v>
      </c>
      <c r="V56" s="30">
        <f t="shared" si="1"/>
        <v>35.683945544554447</v>
      </c>
      <c r="W56" s="2">
        <f t="shared" si="13"/>
        <v>12</v>
      </c>
      <c r="X56" s="2">
        <f t="shared" si="14"/>
        <v>1.4689902131792379E-6</v>
      </c>
      <c r="Y56" s="11">
        <f t="shared" si="15"/>
        <v>1063.0781593276981</v>
      </c>
      <c r="Z56" s="9">
        <f t="shared" si="16"/>
        <v>5.8446303614885745E-14</v>
      </c>
      <c r="AA56" s="9">
        <f t="shared" si="17"/>
        <v>35196364036.884193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294.0792079207921</v>
      </c>
      <c r="L57" s="27">
        <f t="shared" si="7"/>
        <v>2.9407920792079212E-4</v>
      </c>
      <c r="M57" s="29">
        <f t="shared" si="8"/>
        <v>4.7762865441819992E-3</v>
      </c>
      <c r="N57" s="33">
        <f t="shared" si="9"/>
        <v>1.2390991448780214E-6</v>
      </c>
      <c r="O57" s="21">
        <f t="shared" si="10"/>
        <v>2.032E-3</v>
      </c>
      <c r="P57" s="21">
        <v>1.1208581181901367E-10</v>
      </c>
      <c r="Q57" s="2">
        <v>0.33</v>
      </c>
      <c r="R57" s="27">
        <f t="shared" si="11"/>
        <v>133000</v>
      </c>
      <c r="S57" s="2">
        <v>5.2493374855265302E-3</v>
      </c>
      <c r="T57" s="11">
        <v>0.13</v>
      </c>
      <c r="U57" s="30">
        <f t="shared" si="12"/>
        <v>112999.99999999999</v>
      </c>
      <c r="V57" s="30">
        <f t="shared" si="1"/>
        <v>33.230950495049505</v>
      </c>
      <c r="W57" s="2">
        <f t="shared" si="13"/>
        <v>12</v>
      </c>
      <c r="X57" s="2">
        <f t="shared" si="14"/>
        <v>1.3659970329623319E-6</v>
      </c>
      <c r="Y57" s="11">
        <f t="shared" si="15"/>
        <v>932.00424631639783</v>
      </c>
      <c r="Z57" s="9">
        <f t="shared" si="16"/>
        <v>5.4294603240749089E-14</v>
      </c>
      <c r="AA57" s="9">
        <f t="shared" si="17"/>
        <v>32696210071.579102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303.13861386138615</v>
      </c>
      <c r="L58" s="27">
        <f t="shared" si="7"/>
        <v>3.0313861386138614E-4</v>
      </c>
      <c r="M58" s="29">
        <f t="shared" si="8"/>
        <v>4.7762865441819992E-3</v>
      </c>
      <c r="N58" s="33">
        <f t="shared" si="9"/>
        <v>1.2772708409780612E-6</v>
      </c>
      <c r="O58" s="21">
        <f t="shared" si="10"/>
        <v>2.032E-3</v>
      </c>
      <c r="P58" s="21">
        <v>1.1208581181901367E-10</v>
      </c>
      <c r="Q58" s="2">
        <v>0.33</v>
      </c>
      <c r="R58" s="27">
        <f t="shared" si="11"/>
        <v>133000</v>
      </c>
      <c r="S58" s="2">
        <v>5.2493374855265302E-3</v>
      </c>
      <c r="T58" s="11">
        <v>0.13</v>
      </c>
      <c r="U58" s="30">
        <f t="shared" si="12"/>
        <v>112999.99999999999</v>
      </c>
      <c r="V58" s="30">
        <f t="shared" si="1"/>
        <v>34.254663366336629</v>
      </c>
      <c r="W58" s="2">
        <f t="shared" si="13"/>
        <v>12</v>
      </c>
      <c r="X58" s="2">
        <f t="shared" si="14"/>
        <v>1.4090294086724048E-6</v>
      </c>
      <c r="Y58" s="11">
        <f t="shared" si="15"/>
        <v>985.77137149096143</v>
      </c>
      <c r="Z58" s="9">
        <f t="shared" si="16"/>
        <v>5.602783101484589E-14</v>
      </c>
      <c r="AA58" s="9">
        <f t="shared" si="17"/>
        <v>33739959837.140198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303.78217821782181</v>
      </c>
      <c r="L59" s="27">
        <f t="shared" si="7"/>
        <v>3.0378217821782179E-4</v>
      </c>
      <c r="M59" s="29">
        <f t="shared" si="8"/>
        <v>4.7762865441819992E-3</v>
      </c>
      <c r="N59" s="33">
        <f t="shared" si="9"/>
        <v>1.279982491520687E-6</v>
      </c>
      <c r="O59" s="21">
        <f t="shared" si="10"/>
        <v>2.032E-3</v>
      </c>
      <c r="P59" s="21">
        <v>1.1208581181901367E-10</v>
      </c>
      <c r="Q59" s="2">
        <v>0.33</v>
      </c>
      <c r="R59" s="27">
        <f t="shared" si="11"/>
        <v>133000</v>
      </c>
      <c r="S59" s="2">
        <v>5.2493374855265302E-3</v>
      </c>
      <c r="T59" s="11">
        <v>0.13</v>
      </c>
      <c r="U59" s="30">
        <f t="shared" si="12"/>
        <v>112999.99999999999</v>
      </c>
      <c r="V59" s="30">
        <f t="shared" si="1"/>
        <v>34.327386138613861</v>
      </c>
      <c r="W59" s="2">
        <f t="shared" si="13"/>
        <v>12</v>
      </c>
      <c r="X59" s="2">
        <f t="shared" si="14"/>
        <v>1.4120835723240482E-6</v>
      </c>
      <c r="Y59" s="11">
        <f t="shared" si="15"/>
        <v>989.64190699540177</v>
      </c>
      <c r="Z59" s="9">
        <f t="shared" si="16"/>
        <v>5.6150921306300424E-14</v>
      </c>
      <c r="AA59" s="9">
        <f t="shared" si="17"/>
        <v>33814084810.654118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292.32178217821786</v>
      </c>
      <c r="L60" s="27">
        <f t="shared" si="7"/>
        <v>2.9232178217821787E-4</v>
      </c>
      <c r="M60" s="29">
        <f t="shared" si="8"/>
        <v>4.7762865441819992E-3</v>
      </c>
      <c r="N60" s="33">
        <f t="shared" si="9"/>
        <v>1.2316942530116202E-6</v>
      </c>
      <c r="O60" s="21">
        <f t="shared" si="10"/>
        <v>2.032E-3</v>
      </c>
      <c r="P60" s="21">
        <v>1.1208581181901367E-10</v>
      </c>
      <c r="Q60" s="2">
        <v>0.33</v>
      </c>
      <c r="R60" s="27">
        <f t="shared" si="11"/>
        <v>133000</v>
      </c>
      <c r="S60" s="2">
        <v>5.2493374855265302E-3</v>
      </c>
      <c r="T60" s="11">
        <v>0.13</v>
      </c>
      <c r="U60" s="30">
        <f t="shared" si="12"/>
        <v>112999.99999999999</v>
      </c>
      <c r="V60" s="30">
        <f t="shared" si="1"/>
        <v>33.032361386138618</v>
      </c>
      <c r="W60" s="2">
        <f t="shared" si="13"/>
        <v>12</v>
      </c>
      <c r="X60" s="2">
        <f t="shared" si="14"/>
        <v>1.357640591814277E-6</v>
      </c>
      <c r="Y60" s="11">
        <f t="shared" si="15"/>
        <v>921.72962055565881</v>
      </c>
      <c r="Z60" s="9">
        <f t="shared" si="16"/>
        <v>5.3958259977276731E-14</v>
      </c>
      <c r="AA60" s="9">
        <f t="shared" si="17"/>
        <v>32493664158.316048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300.19306930693074</v>
      </c>
      <c r="L61" s="27">
        <f t="shared" si="7"/>
        <v>3.0019306930693072E-4</v>
      </c>
      <c r="M61" s="29">
        <f t="shared" si="8"/>
        <v>4.7762865441819992E-3</v>
      </c>
      <c r="N61" s="33">
        <f t="shared" si="9"/>
        <v>1.2648598250329665E-6</v>
      </c>
      <c r="O61" s="21">
        <f t="shared" si="10"/>
        <v>2.032E-3</v>
      </c>
      <c r="P61" s="21">
        <v>1.1208581181901367E-10</v>
      </c>
      <c r="Q61" s="2">
        <v>0.33</v>
      </c>
      <c r="R61" s="27">
        <f t="shared" si="11"/>
        <v>133000</v>
      </c>
      <c r="S61" s="2">
        <v>5.2493374855265302E-3</v>
      </c>
      <c r="T61" s="11">
        <v>0.13</v>
      </c>
      <c r="U61" s="30">
        <f t="shared" si="12"/>
        <v>112999.99999999999</v>
      </c>
      <c r="V61" s="30">
        <f t="shared" si="1"/>
        <v>33.921816831683167</v>
      </c>
      <c r="W61" s="2">
        <f t="shared" si="13"/>
        <v>12</v>
      </c>
      <c r="X61" s="2">
        <f t="shared" si="14"/>
        <v>1.3950460761762818E-6</v>
      </c>
      <c r="Y61" s="11">
        <f t="shared" si="15"/>
        <v>968.14250108705744</v>
      </c>
      <c r="Z61" s="9">
        <f t="shared" si="16"/>
        <v>5.5464399277796631E-14</v>
      </c>
      <c r="AA61" s="9">
        <f t="shared" si="17"/>
        <v>33400661245.089134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302.79207920792084</v>
      </c>
      <c r="L62" s="27">
        <f t="shared" si="7"/>
        <v>3.0279207920792085E-4</v>
      </c>
      <c r="M62" s="29">
        <f t="shared" si="8"/>
        <v>4.7762865441819992E-3</v>
      </c>
      <c r="N62" s="33">
        <f t="shared" si="9"/>
        <v>1.2758107214551091E-6</v>
      </c>
      <c r="O62" s="21">
        <f t="shared" si="10"/>
        <v>2.032E-3</v>
      </c>
      <c r="P62" s="21">
        <v>1.1208581181901367E-10</v>
      </c>
      <c r="Q62" s="2">
        <v>0.33</v>
      </c>
      <c r="R62" s="27">
        <f t="shared" si="11"/>
        <v>133000</v>
      </c>
      <c r="S62" s="2">
        <v>5.2493374855265302E-3</v>
      </c>
      <c r="T62" s="11">
        <v>0.13</v>
      </c>
      <c r="U62" s="30">
        <f t="shared" si="12"/>
        <v>112999.99999999999</v>
      </c>
      <c r="V62" s="30">
        <f t="shared" si="1"/>
        <v>34.215504950495053</v>
      </c>
      <c r="W62" s="2">
        <f t="shared" si="13"/>
        <v>12</v>
      </c>
      <c r="X62" s="2">
        <f t="shared" si="14"/>
        <v>1.40738470841305E-6</v>
      </c>
      <c r="Y62" s="11">
        <f t="shared" si="15"/>
        <v>983.69003566801814</v>
      </c>
      <c r="Z62" s="9">
        <f t="shared" si="16"/>
        <v>5.5961549814757638E-14</v>
      </c>
      <c r="AA62" s="9">
        <f t="shared" si="17"/>
        <v>33700045298.447052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4"/>
      <c r="L63" s="3"/>
      <c r="M63" s="3"/>
      <c r="N63" s="21"/>
      <c r="O63" s="21"/>
      <c r="P63" s="21"/>
      <c r="Q63" s="2"/>
      <c r="R63" s="2"/>
      <c r="S63" s="2"/>
      <c r="T63" s="11"/>
      <c r="U63" s="2"/>
      <c r="V63" s="11"/>
      <c r="W63" s="2"/>
      <c r="X63" s="2"/>
      <c r="Y63" s="5"/>
      <c r="Z63" s="2"/>
      <c r="AA63" s="5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s="4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4"/>
      <c r="L64" s="3"/>
      <c r="M64" s="3"/>
      <c r="N64" s="21"/>
      <c r="O64" s="21"/>
      <c r="P64" s="21"/>
      <c r="Q64" s="2"/>
      <c r="R64" s="2"/>
      <c r="S64" s="2"/>
      <c r="T64" s="11"/>
      <c r="U64" s="2"/>
      <c r="V64" s="11"/>
      <c r="W64" s="2"/>
      <c r="X64" s="2"/>
      <c r="Y64" s="5"/>
      <c r="Z64" s="2"/>
      <c r="AA64" s="5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4"/>
      <c r="L65" s="3"/>
      <c r="M65" s="3"/>
      <c r="N65" s="21"/>
      <c r="O65" s="21"/>
      <c r="P65" s="21"/>
      <c r="Q65" s="2"/>
      <c r="R65" s="2"/>
      <c r="S65" s="2"/>
      <c r="T65" s="11"/>
      <c r="U65" s="2"/>
      <c r="V65" s="11"/>
      <c r="W65" s="2"/>
      <c r="X65" s="2"/>
      <c r="Y65" s="5"/>
      <c r="Z65" s="31"/>
      <c r="AA65" s="31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4"/>
      <c r="L66" s="3"/>
      <c r="M66" s="3"/>
      <c r="N66" s="21"/>
      <c r="O66" s="21"/>
      <c r="P66" s="21"/>
      <c r="Q66" s="2"/>
      <c r="R66" s="2"/>
      <c r="S66" s="2"/>
      <c r="T66" s="11"/>
      <c r="U66" s="2"/>
      <c r="V66" s="11"/>
      <c r="W66" s="2"/>
      <c r="X66" s="2"/>
      <c r="Y66" s="5"/>
      <c r="Z66" s="32">
        <f>AVERAGE(Z29:Z62)</f>
        <v>5.8393637068994531E-14</v>
      </c>
      <c r="AA66" s="32">
        <f>AVERAGE(AA29:AA62)</f>
        <v>35164648242.948509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4"/>
      <c r="L67" s="3"/>
      <c r="M67" s="3"/>
      <c r="N67" s="21"/>
      <c r="O67" s="21"/>
      <c r="P67" s="21"/>
      <c r="Q67" s="2"/>
      <c r="R67" s="2"/>
      <c r="S67" s="2"/>
      <c r="T67" s="11"/>
      <c r="U67" s="2"/>
      <c r="V67" s="11"/>
      <c r="W67" s="2"/>
      <c r="X67" s="2"/>
      <c r="Y67" s="5"/>
      <c r="Z67" s="2"/>
      <c r="AA67" s="5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4"/>
      <c r="L68" s="3"/>
      <c r="M68" s="3"/>
      <c r="N68" s="21"/>
      <c r="O68" s="21"/>
      <c r="P68" s="21"/>
      <c r="Q68" s="2"/>
      <c r="R68" s="2"/>
      <c r="S68" s="2"/>
      <c r="T68" s="11"/>
      <c r="U68" s="2"/>
      <c r="V68" s="11"/>
      <c r="W68" s="2"/>
      <c r="X68" s="2"/>
      <c r="Y68" s="5"/>
      <c r="Z68" s="2"/>
      <c r="AA68" s="5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4"/>
      <c r="L69" s="3"/>
      <c r="M69" s="3"/>
      <c r="N69" s="21"/>
      <c r="O69" s="21"/>
      <c r="P69" s="21"/>
      <c r="Q69" s="2"/>
      <c r="R69" s="2"/>
      <c r="S69" s="2"/>
      <c r="T69" s="11"/>
      <c r="U69" s="2"/>
      <c r="V69" s="11"/>
      <c r="W69" s="2"/>
      <c r="X69" s="2"/>
      <c r="Y69" s="5"/>
      <c r="Z69" s="2"/>
      <c r="AA69" s="5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4"/>
      <c r="L70" s="3"/>
      <c r="M70" s="3"/>
      <c r="N70" s="21"/>
      <c r="O70" s="21"/>
      <c r="P70" s="21"/>
      <c r="Q70" s="2"/>
      <c r="R70" s="2"/>
      <c r="S70" s="2"/>
      <c r="T70" s="11"/>
      <c r="U70" s="2"/>
      <c r="V70" s="11"/>
      <c r="W70" s="2"/>
      <c r="X70" s="2"/>
      <c r="Y70" s="5"/>
      <c r="Z70" s="2"/>
      <c r="AA70" s="5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4"/>
      <c r="L71" s="3"/>
      <c r="M71" s="3"/>
      <c r="N71" s="21"/>
      <c r="O71" s="21"/>
      <c r="P71" s="21"/>
      <c r="Q71" s="2"/>
      <c r="R71" s="2"/>
      <c r="S71" s="2"/>
      <c r="T71" s="11"/>
      <c r="U71" s="2"/>
      <c r="V71" s="11"/>
      <c r="W71" s="2"/>
      <c r="X71" s="2"/>
      <c r="Y71" s="5"/>
      <c r="Z71" s="2"/>
      <c r="AA71" s="5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4"/>
      <c r="L72" s="3"/>
      <c r="M72" s="3"/>
      <c r="N72" s="21"/>
      <c r="O72" s="21"/>
      <c r="P72" s="21"/>
      <c r="Q72" s="2"/>
      <c r="R72" s="2"/>
      <c r="S72" s="2"/>
      <c r="T72" s="11"/>
      <c r="U72" s="2"/>
      <c r="V72" s="11"/>
      <c r="W72" s="2"/>
      <c r="X72" s="2"/>
      <c r="Y72" s="5"/>
      <c r="Z72" s="2"/>
      <c r="AA72" s="5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4"/>
      <c r="L73" s="3"/>
      <c r="M73" s="3"/>
      <c r="N73" s="21"/>
      <c r="O73" s="21"/>
      <c r="P73" s="21"/>
      <c r="Q73" s="2"/>
      <c r="R73" s="2"/>
      <c r="S73" s="2"/>
      <c r="T73" s="11"/>
      <c r="U73" s="2"/>
      <c r="V73" s="11"/>
      <c r="W73" s="2"/>
      <c r="X73" s="2"/>
      <c r="Y73" s="5"/>
      <c r="Z73" s="2"/>
      <c r="AA73" s="5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4"/>
      <c r="L74" s="3"/>
      <c r="M74" s="3"/>
      <c r="N74" s="21"/>
      <c r="O74" s="21"/>
      <c r="P74" s="21"/>
      <c r="Q74" s="2"/>
      <c r="R74" s="2"/>
      <c r="S74" s="2"/>
      <c r="T74" s="11"/>
      <c r="U74" s="2"/>
      <c r="V74" s="11"/>
      <c r="W74" s="2"/>
      <c r="X74" s="2"/>
      <c r="Y74" s="5"/>
      <c r="Z74" s="2"/>
      <c r="AA74" s="5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4"/>
      <c r="L75" s="3"/>
      <c r="M75" s="3"/>
      <c r="N75" s="21"/>
      <c r="O75" s="21"/>
      <c r="P75" s="21"/>
      <c r="Q75" s="2"/>
      <c r="R75" s="2"/>
      <c r="S75" s="2"/>
      <c r="T75" s="11"/>
      <c r="U75" s="2"/>
      <c r="V75" s="11"/>
      <c r="W75" s="2"/>
      <c r="X75" s="2"/>
      <c r="Y75" s="5"/>
      <c r="Z75" s="2"/>
      <c r="AA75" s="5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4"/>
      <c r="L76" s="3"/>
      <c r="M76" s="3"/>
      <c r="N76" s="21"/>
      <c r="O76" s="21"/>
      <c r="P76" s="21"/>
      <c r="Q76" s="2"/>
      <c r="R76" s="2"/>
      <c r="S76" s="2"/>
      <c r="T76" s="11"/>
      <c r="U76" s="2"/>
      <c r="V76" s="11"/>
      <c r="W76" s="2"/>
      <c r="X76" s="2"/>
      <c r="Y76" s="5"/>
      <c r="Z76" s="2"/>
      <c r="AA76" s="5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4"/>
      <c r="L77" s="3"/>
      <c r="M77" s="3"/>
      <c r="N77" s="21"/>
      <c r="O77" s="21"/>
      <c r="P77" s="21"/>
      <c r="Q77" s="2"/>
      <c r="R77" s="2"/>
      <c r="S77" s="2"/>
      <c r="T77" s="11"/>
      <c r="U77" s="2"/>
      <c r="V77" s="11"/>
      <c r="W77" s="2"/>
      <c r="X77" s="2"/>
      <c r="Y77" s="5"/>
      <c r="Z77" s="2"/>
      <c r="AA77" s="5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4"/>
      <c r="L78" s="3"/>
      <c r="M78" s="3"/>
      <c r="N78" s="21"/>
      <c r="O78" s="21"/>
      <c r="P78" s="21"/>
      <c r="Q78" s="2"/>
      <c r="R78" s="2"/>
      <c r="S78" s="2"/>
      <c r="T78" s="11"/>
      <c r="U78" s="2"/>
      <c r="V78" s="11"/>
      <c r="W78" s="2"/>
      <c r="X78" s="2"/>
      <c r="Y78" s="5"/>
      <c r="Z78" s="2"/>
      <c r="AA78" s="5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 spans="1:78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4"/>
      <c r="L79" s="3"/>
      <c r="M79" s="3"/>
      <c r="N79" s="21"/>
      <c r="O79" s="21"/>
      <c r="P79" s="21"/>
      <c r="Q79" s="2"/>
      <c r="R79" s="2"/>
      <c r="S79" s="2"/>
      <c r="T79" s="11"/>
      <c r="U79" s="2"/>
      <c r="V79" s="11"/>
      <c r="W79" s="2"/>
      <c r="X79" s="2"/>
      <c r="Y79" s="5"/>
      <c r="Z79" s="2"/>
      <c r="AA79" s="5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4"/>
      <c r="L80" s="3"/>
      <c r="M80" s="3"/>
      <c r="N80" s="21"/>
      <c r="O80" s="21"/>
      <c r="P80" s="21"/>
      <c r="Q80" s="2"/>
      <c r="R80" s="2"/>
      <c r="S80" s="2"/>
      <c r="T80" s="11"/>
      <c r="U80" s="2"/>
      <c r="V80" s="11"/>
      <c r="W80" s="2"/>
      <c r="X80" s="2"/>
      <c r="Y80" s="5"/>
      <c r="Z80" s="2"/>
      <c r="AA80" s="5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 spans="1:78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4"/>
      <c r="L81" s="3"/>
      <c r="M81" s="3"/>
      <c r="N81" s="21"/>
      <c r="O81" s="21"/>
      <c r="P81" s="21"/>
      <c r="Q81" s="2"/>
      <c r="R81" s="2"/>
      <c r="S81" s="2"/>
      <c r="T81" s="11"/>
      <c r="U81" s="2"/>
      <c r="V81" s="11"/>
      <c r="W81" s="2"/>
      <c r="X81" s="2"/>
      <c r="Y81" s="5"/>
      <c r="Z81" s="2"/>
      <c r="AA81" s="5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4"/>
      <c r="L82" s="3"/>
      <c r="M82" s="3"/>
      <c r="N82" s="21"/>
      <c r="O82" s="21"/>
      <c r="P82" s="21"/>
      <c r="Q82" s="2"/>
      <c r="R82" s="2"/>
      <c r="S82" s="2"/>
      <c r="T82" s="11"/>
      <c r="U82" s="2"/>
      <c r="V82" s="11"/>
      <c r="W82" s="2"/>
      <c r="X82" s="2"/>
      <c r="Y82" s="5"/>
      <c r="Z82" s="2"/>
      <c r="AA82" s="5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4"/>
      <c r="L83" s="3"/>
      <c r="M83" s="3"/>
      <c r="N83" s="21"/>
      <c r="O83" s="21"/>
      <c r="P83" s="21"/>
      <c r="Q83" s="2"/>
      <c r="R83" s="2"/>
      <c r="S83" s="2"/>
      <c r="T83" s="11"/>
      <c r="U83" s="2"/>
      <c r="V83" s="11"/>
      <c r="W83" s="2"/>
      <c r="X83" s="2"/>
      <c r="Y83" s="5"/>
      <c r="Z83" s="2"/>
      <c r="AA83" s="5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4"/>
      <c r="L84" s="3"/>
      <c r="M84" s="3"/>
      <c r="N84" s="21"/>
      <c r="O84" s="21"/>
      <c r="P84" s="21"/>
      <c r="Q84" s="2"/>
      <c r="R84" s="2"/>
      <c r="S84" s="2"/>
      <c r="T84" s="11"/>
      <c r="U84" s="2"/>
      <c r="V84" s="11"/>
      <c r="W84" s="2"/>
      <c r="X84" s="2"/>
      <c r="Y84" s="5"/>
      <c r="Z84" s="2"/>
      <c r="AA84" s="5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4"/>
      <c r="L85" s="3"/>
      <c r="M85" s="3"/>
      <c r="N85" s="21"/>
      <c r="O85" s="21"/>
      <c r="P85" s="21"/>
      <c r="Q85" s="2"/>
      <c r="R85" s="2"/>
      <c r="S85" s="2"/>
      <c r="T85" s="11"/>
      <c r="U85" s="2"/>
      <c r="V85" s="11"/>
      <c r="W85" s="2"/>
      <c r="X85" s="2"/>
      <c r="Y85" s="5"/>
      <c r="Z85" s="2"/>
      <c r="AA85" s="5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4"/>
      <c r="L86" s="3"/>
      <c r="M86" s="3"/>
      <c r="N86" s="21"/>
      <c r="O86" s="21"/>
      <c r="P86" s="21"/>
      <c r="Q86" s="2"/>
      <c r="R86" s="2"/>
      <c r="S86" s="2"/>
      <c r="T86" s="11"/>
      <c r="U86" s="2"/>
      <c r="V86" s="11"/>
      <c r="W86" s="2"/>
      <c r="X86" s="2"/>
      <c r="Y86" s="5"/>
      <c r="Z86" s="2"/>
      <c r="AA86" s="5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4"/>
      <c r="L87" s="3"/>
      <c r="M87" s="3"/>
      <c r="N87" s="21"/>
      <c r="O87" s="21"/>
      <c r="P87" s="21"/>
      <c r="Q87" s="2"/>
      <c r="R87" s="2"/>
      <c r="S87" s="2"/>
      <c r="T87" s="11"/>
      <c r="U87" s="2"/>
      <c r="V87" s="11"/>
      <c r="W87" s="2"/>
      <c r="X87" s="2"/>
      <c r="Y87" s="5"/>
      <c r="Z87" s="2"/>
      <c r="AA87" s="5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4"/>
      <c r="L88" s="3"/>
      <c r="M88" s="3"/>
      <c r="N88" s="21"/>
      <c r="O88" s="21"/>
      <c r="P88" s="21"/>
      <c r="Q88" s="2"/>
      <c r="R88" s="2"/>
      <c r="S88" s="2"/>
      <c r="T88" s="11"/>
      <c r="U88" s="2"/>
      <c r="V88" s="11"/>
      <c r="W88" s="2"/>
      <c r="X88" s="2"/>
      <c r="Y88" s="5"/>
      <c r="Z88" s="2"/>
      <c r="AA88" s="5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4"/>
      <c r="L89" s="3"/>
      <c r="M89" s="3"/>
      <c r="N89" s="21"/>
      <c r="O89" s="21"/>
      <c r="P89" s="21"/>
      <c r="Q89" s="2"/>
      <c r="R89" s="2"/>
      <c r="S89" s="2"/>
      <c r="T89" s="11"/>
      <c r="U89" s="2"/>
      <c r="V89" s="11"/>
      <c r="W89" s="2"/>
      <c r="X89" s="2"/>
      <c r="Y89" s="5"/>
      <c r="Z89" s="2"/>
      <c r="AA89" s="5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4"/>
      <c r="L90" s="3"/>
      <c r="M90" s="3"/>
      <c r="N90" s="21"/>
      <c r="O90" s="21"/>
      <c r="P90" s="21"/>
      <c r="Q90" s="2"/>
      <c r="R90" s="2"/>
      <c r="S90" s="2"/>
      <c r="T90" s="11"/>
      <c r="U90" s="2"/>
      <c r="V90" s="11"/>
      <c r="W90" s="2"/>
      <c r="X90" s="2"/>
      <c r="Y90" s="5"/>
      <c r="Z90" s="2"/>
      <c r="AA90" s="5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4"/>
      <c r="L91" s="3"/>
      <c r="M91" s="3"/>
      <c r="N91" s="21"/>
      <c r="O91" s="21"/>
      <c r="P91" s="21"/>
      <c r="Q91" s="2"/>
      <c r="R91" s="2"/>
      <c r="S91" s="2"/>
      <c r="T91" s="11"/>
      <c r="U91" s="2"/>
      <c r="V91" s="11"/>
      <c r="W91" s="2"/>
      <c r="X91" s="2"/>
      <c r="Y91" s="5"/>
      <c r="Z91" s="2"/>
      <c r="AA91" s="5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4"/>
      <c r="L92" s="3"/>
      <c r="M92" s="3"/>
      <c r="N92" s="21"/>
      <c r="O92" s="21"/>
      <c r="P92" s="21"/>
      <c r="Q92" s="2"/>
      <c r="R92" s="2"/>
      <c r="S92" s="2"/>
      <c r="T92" s="11"/>
      <c r="U92" s="2"/>
      <c r="V92" s="11"/>
      <c r="W92" s="2"/>
      <c r="X92" s="2"/>
      <c r="Y92" s="5"/>
      <c r="Z92" s="2"/>
      <c r="AA92" s="5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</row>
    <row r="93" spans="1:78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4"/>
      <c r="L93" s="3"/>
      <c r="M93" s="3"/>
      <c r="N93" s="21"/>
      <c r="O93" s="21"/>
      <c r="P93" s="21"/>
      <c r="Q93" s="2"/>
      <c r="R93" s="2"/>
      <c r="S93" s="2"/>
      <c r="T93" s="11"/>
      <c r="U93" s="2"/>
      <c r="V93" s="11"/>
      <c r="W93" s="2"/>
      <c r="X93" s="2"/>
      <c r="Y93" s="5"/>
      <c r="Z93" s="2"/>
      <c r="AA93" s="5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</row>
    <row r="94" spans="1:78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4"/>
      <c r="L94" s="3"/>
      <c r="M94" s="3"/>
      <c r="N94" s="21"/>
      <c r="O94" s="21"/>
      <c r="P94" s="21"/>
      <c r="Q94" s="2"/>
      <c r="R94" s="2"/>
      <c r="S94" s="2"/>
      <c r="T94" s="11"/>
      <c r="U94" s="2"/>
      <c r="V94" s="11"/>
      <c r="W94" s="2"/>
      <c r="X94" s="2"/>
      <c r="Y94" s="5"/>
      <c r="Z94" s="2"/>
      <c r="AA94" s="5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</row>
    <row r="95" spans="1:78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4"/>
      <c r="L95" s="3"/>
      <c r="M95" s="3"/>
      <c r="N95" s="21"/>
      <c r="O95" s="21"/>
      <c r="P95" s="21"/>
      <c r="Q95" s="2"/>
      <c r="R95" s="2"/>
      <c r="S95" s="2"/>
      <c r="T95" s="11"/>
      <c r="U95" s="2"/>
      <c r="V95" s="11"/>
      <c r="W95" s="2"/>
      <c r="X95" s="2"/>
      <c r="Y95" s="5"/>
      <c r="Z95" s="2"/>
      <c r="AA95" s="5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</row>
    <row r="96" spans="1:78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4"/>
      <c r="L96" s="3"/>
      <c r="M96" s="3"/>
      <c r="N96" s="21"/>
      <c r="O96" s="21"/>
      <c r="P96" s="21"/>
      <c r="Q96" s="2"/>
      <c r="R96" s="2"/>
      <c r="S96" s="2"/>
      <c r="T96" s="11"/>
      <c r="U96" s="2"/>
      <c r="V96" s="11"/>
      <c r="W96" s="2"/>
      <c r="X96" s="2"/>
      <c r="Y96" s="5"/>
      <c r="Z96" s="2"/>
      <c r="AA96" s="5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</row>
    <row r="97" spans="1:78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4"/>
      <c r="L97" s="3"/>
      <c r="M97" s="3"/>
      <c r="N97" s="21"/>
      <c r="O97" s="21"/>
      <c r="P97" s="21"/>
      <c r="Q97" s="2"/>
      <c r="R97" s="2"/>
      <c r="S97" s="2"/>
      <c r="T97" s="11"/>
      <c r="U97" s="2"/>
      <c r="V97" s="11"/>
      <c r="W97" s="2"/>
      <c r="X97" s="2"/>
      <c r="Y97" s="5"/>
      <c r="Z97" s="2"/>
      <c r="AA97" s="5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</row>
    <row r="98" spans="1:78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1"/>
      <c r="O98" s="21"/>
      <c r="P98" s="21"/>
      <c r="Q98" s="2"/>
      <c r="R98" s="2"/>
      <c r="S98" s="2"/>
      <c r="T98" s="11"/>
      <c r="U98" s="2"/>
      <c r="V98" s="11"/>
      <c r="W98" s="2"/>
      <c r="X98" s="2"/>
      <c r="Y98" s="5"/>
      <c r="Z98" s="2"/>
      <c r="AA98" s="5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</row>
    <row r="99" spans="1:78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1"/>
      <c r="O99" s="21"/>
      <c r="P99" s="21"/>
      <c r="Q99" s="2"/>
      <c r="R99" s="2"/>
      <c r="S99" s="2"/>
      <c r="T99" s="11"/>
      <c r="U99" s="2"/>
      <c r="V99" s="11"/>
      <c r="W99" s="2"/>
      <c r="X99" s="2"/>
      <c r="Y99" s="5"/>
      <c r="Z99" s="2"/>
      <c r="AA99" s="5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</row>
    <row r="100" spans="1:78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1"/>
      <c r="O100" s="21"/>
      <c r="P100" s="21"/>
      <c r="Q100" s="2"/>
      <c r="R100" s="2"/>
      <c r="S100" s="2"/>
      <c r="T100" s="11"/>
      <c r="U100" s="2"/>
      <c r="V100" s="11"/>
      <c r="W100" s="2"/>
      <c r="X100" s="2"/>
      <c r="Y100" s="5"/>
      <c r="Z100" s="2"/>
      <c r="AA100" s="5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</row>
    <row r="101" spans="1:78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1"/>
      <c r="O101" s="21"/>
      <c r="P101" s="21"/>
      <c r="Q101" s="2"/>
      <c r="R101" s="2"/>
      <c r="S101" s="2"/>
      <c r="T101" s="11"/>
      <c r="U101" s="2"/>
      <c r="V101" s="11"/>
      <c r="W101" s="2"/>
      <c r="X101" s="2"/>
      <c r="Y101" s="5"/>
      <c r="Z101" s="2"/>
      <c r="AA101" s="5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</row>
    <row r="102" spans="1:78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1"/>
      <c r="O102" s="21"/>
      <c r="P102" s="21"/>
      <c r="Q102" s="2"/>
      <c r="R102" s="2"/>
      <c r="S102" s="2"/>
      <c r="T102" s="11"/>
      <c r="U102" s="2"/>
      <c r="V102" s="11"/>
      <c r="W102" s="2"/>
      <c r="X102" s="2"/>
      <c r="Y102" s="5"/>
      <c r="Z102" s="2"/>
      <c r="AA102" s="5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</row>
    <row r="103" spans="1:78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33"/>
      <c r="O103" s="21"/>
      <c r="P103" s="21"/>
      <c r="Q103" s="2"/>
      <c r="R103" s="2"/>
      <c r="S103" s="2"/>
      <c r="T103" s="11"/>
      <c r="U103" s="2"/>
      <c r="V103" s="11"/>
      <c r="W103" s="2"/>
      <c r="X103" s="2"/>
      <c r="Y103" s="5"/>
      <c r="Z103" s="2"/>
      <c r="AA103" s="5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</row>
    <row r="104" spans="1:78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1"/>
      <c r="O104" s="21"/>
      <c r="P104" s="21"/>
      <c r="Q104" s="2"/>
      <c r="R104" s="2"/>
      <c r="S104" s="2"/>
      <c r="T104" s="11"/>
      <c r="U104" s="2"/>
      <c r="V104" s="11"/>
      <c r="W104" s="2"/>
      <c r="X104" s="2"/>
      <c r="Y104" s="5"/>
      <c r="Z104" s="2"/>
      <c r="AA104" s="5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</row>
    <row r="105" spans="1:78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1"/>
      <c r="O105" s="21"/>
      <c r="P105" s="21"/>
      <c r="Q105" s="2"/>
      <c r="R105" s="2"/>
      <c r="S105" s="2"/>
      <c r="T105" s="11"/>
      <c r="U105" s="2"/>
      <c r="V105" s="11"/>
      <c r="W105" s="2"/>
      <c r="X105" s="2"/>
      <c r="Y105" s="5"/>
      <c r="Z105" s="2"/>
      <c r="AA105" s="5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</row>
    <row r="106" spans="1:78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1"/>
      <c r="O106" s="21"/>
      <c r="P106" s="21"/>
      <c r="Q106" s="2"/>
      <c r="R106" s="2"/>
      <c r="S106" s="2"/>
      <c r="T106" s="11"/>
      <c r="U106" s="2"/>
      <c r="V106" s="11"/>
      <c r="W106" s="2"/>
      <c r="X106" s="2"/>
      <c r="Y106" s="5"/>
      <c r="Z106" s="2"/>
      <c r="AA106" s="5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</row>
    <row r="107" spans="1:78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1"/>
      <c r="O107" s="21"/>
      <c r="P107" s="21"/>
      <c r="Q107" s="2"/>
      <c r="R107" s="2"/>
      <c r="S107" s="2"/>
      <c r="T107" s="11"/>
      <c r="U107" s="2"/>
      <c r="V107" s="11"/>
      <c r="W107" s="2"/>
      <c r="X107" s="2"/>
      <c r="Y107" s="5"/>
      <c r="Z107" s="2"/>
      <c r="AA107" s="5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</row>
    <row r="108" spans="1:78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1"/>
      <c r="O108" s="21"/>
      <c r="P108" s="21"/>
      <c r="Q108" s="2"/>
      <c r="R108" s="2"/>
      <c r="S108" s="2"/>
      <c r="T108" s="11"/>
      <c r="U108" s="2"/>
      <c r="V108" s="11"/>
      <c r="W108" s="2"/>
      <c r="X108" s="2"/>
      <c r="Y108" s="5"/>
      <c r="Z108" s="2"/>
      <c r="AA108" s="5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</row>
    <row r="109" spans="1:78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1"/>
      <c r="O109" s="21"/>
      <c r="P109" s="21"/>
      <c r="Q109" s="2"/>
      <c r="R109" s="2"/>
      <c r="S109" s="2"/>
      <c r="T109" s="11"/>
      <c r="U109" s="2"/>
      <c r="V109" s="11"/>
      <c r="W109" s="2"/>
      <c r="X109" s="2"/>
      <c r="Y109" s="5"/>
      <c r="Z109" s="2"/>
      <c r="AA109" s="5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</row>
    <row r="110" spans="1:78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1"/>
      <c r="O110" s="21"/>
      <c r="P110" s="21"/>
      <c r="Q110" s="2"/>
      <c r="R110" s="2"/>
      <c r="S110" s="2"/>
      <c r="T110" s="11"/>
      <c r="U110" s="2"/>
      <c r="V110" s="11"/>
      <c r="W110" s="2"/>
      <c r="X110" s="2"/>
      <c r="Y110" s="5"/>
      <c r="Z110" s="2"/>
      <c r="AA110" s="5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</row>
    <row r="111" spans="1:78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1"/>
      <c r="O111" s="21"/>
      <c r="P111" s="21"/>
      <c r="Q111" s="2"/>
      <c r="R111" s="2"/>
      <c r="S111" s="2"/>
      <c r="T111" s="11"/>
      <c r="U111" s="2"/>
      <c r="V111" s="11"/>
      <c r="W111" s="2"/>
      <c r="X111" s="2"/>
      <c r="Y111" s="5"/>
      <c r="Z111" s="2"/>
      <c r="AA111" s="5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</row>
    <row r="112" spans="1:78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1"/>
      <c r="O112" s="21"/>
      <c r="P112" s="21"/>
      <c r="Q112" s="2"/>
      <c r="R112" s="2"/>
      <c r="S112" s="2"/>
      <c r="T112" s="11"/>
      <c r="U112" s="2"/>
      <c r="V112" s="11"/>
      <c r="W112" s="2"/>
      <c r="X112" s="2"/>
      <c r="Y112" s="5"/>
      <c r="Z112" s="2"/>
      <c r="AA112" s="5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</row>
    <row r="113" spans="1:78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1"/>
      <c r="O113" s="21"/>
      <c r="P113" s="21"/>
      <c r="Q113" s="2"/>
      <c r="R113" s="2"/>
      <c r="S113" s="2"/>
      <c r="T113" s="11"/>
      <c r="U113" s="2"/>
      <c r="V113" s="11"/>
      <c r="W113" s="2"/>
      <c r="X113" s="2"/>
      <c r="Y113" s="5"/>
      <c r="Z113" s="2"/>
      <c r="AA113" s="5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</row>
    <row r="114" spans="1:78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1"/>
      <c r="O114" s="21"/>
      <c r="P114" s="21"/>
      <c r="Q114" s="2"/>
      <c r="R114" s="2"/>
      <c r="S114" s="2"/>
      <c r="T114" s="11"/>
      <c r="U114" s="2"/>
      <c r="V114" s="11"/>
      <c r="W114" s="2"/>
      <c r="X114" s="2"/>
      <c r="Y114" s="5"/>
      <c r="Z114" s="2"/>
      <c r="AA114" s="5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</row>
    <row r="115" spans="1:78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1"/>
      <c r="O115" s="21"/>
      <c r="P115" s="21"/>
      <c r="Q115" s="2"/>
      <c r="R115" s="2"/>
      <c r="S115" s="2"/>
      <c r="T115" s="11"/>
      <c r="U115" s="2"/>
      <c r="V115" s="11"/>
      <c r="W115" s="2"/>
      <c r="X115" s="2"/>
      <c r="Y115" s="5"/>
      <c r="Z115" s="2"/>
      <c r="AA115" s="5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</row>
    <row r="116" spans="1:78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1"/>
      <c r="O116" s="21"/>
      <c r="P116" s="21"/>
      <c r="Q116" s="2"/>
      <c r="R116" s="2"/>
      <c r="S116" s="2"/>
      <c r="T116" s="11"/>
      <c r="U116" s="2"/>
      <c r="V116" s="11"/>
      <c r="W116" s="2"/>
      <c r="X116" s="2"/>
      <c r="Y116" s="5"/>
      <c r="Z116" s="2"/>
      <c r="AA116" s="5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</row>
    <row r="117" spans="1:78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1"/>
      <c r="O117" s="21"/>
      <c r="P117" s="21"/>
      <c r="Q117" s="2"/>
      <c r="R117" s="2"/>
      <c r="S117" s="2"/>
      <c r="T117" s="11"/>
      <c r="U117" s="2"/>
      <c r="V117" s="11"/>
      <c r="W117" s="2"/>
      <c r="X117" s="2"/>
      <c r="Y117" s="5"/>
      <c r="Z117" s="2"/>
      <c r="AA117" s="5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</row>
    <row r="118" spans="1:78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1"/>
      <c r="O118" s="21"/>
      <c r="P118" s="21"/>
      <c r="Q118" s="2"/>
      <c r="R118" s="2"/>
      <c r="S118" s="2"/>
      <c r="T118" s="11"/>
      <c r="U118" s="2"/>
      <c r="V118" s="11"/>
      <c r="W118" s="2"/>
      <c r="X118" s="2"/>
      <c r="Y118" s="5"/>
      <c r="Z118" s="2"/>
      <c r="AA118" s="5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</row>
    <row r="119" spans="1:78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1"/>
      <c r="O119" s="21"/>
      <c r="P119" s="21"/>
      <c r="Q119" s="2"/>
      <c r="R119" s="2"/>
      <c r="S119" s="2"/>
      <c r="T119" s="11"/>
      <c r="U119" s="2"/>
      <c r="V119" s="11"/>
      <c r="W119" s="2"/>
      <c r="X119" s="2"/>
      <c r="Y119" s="5"/>
      <c r="Z119" s="2"/>
      <c r="AA119" s="5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</row>
    <row r="120" spans="1:78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1"/>
      <c r="O120" s="21"/>
      <c r="P120" s="21"/>
      <c r="Q120" s="2"/>
      <c r="R120" s="2"/>
      <c r="S120" s="2"/>
      <c r="T120" s="11"/>
      <c r="U120" s="2"/>
      <c r="V120" s="11"/>
      <c r="W120" s="2"/>
      <c r="X120" s="2"/>
      <c r="Y120" s="5"/>
      <c r="Z120" s="2"/>
      <c r="AA120" s="5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</row>
    <row r="121" spans="1:78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1"/>
      <c r="O121" s="21"/>
      <c r="P121" s="21"/>
      <c r="Q121" s="2"/>
      <c r="R121" s="2"/>
      <c r="S121" s="2"/>
      <c r="T121" s="11"/>
      <c r="U121" s="2"/>
      <c r="V121" s="11"/>
      <c r="W121" s="2"/>
      <c r="X121" s="2"/>
      <c r="Y121" s="5"/>
      <c r="Z121" s="2"/>
      <c r="AA121" s="5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</row>
    <row r="122" spans="1:78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1"/>
      <c r="O122" s="21"/>
      <c r="P122" s="21"/>
      <c r="Q122" s="2"/>
      <c r="R122" s="2"/>
      <c r="S122" s="2"/>
      <c r="T122" s="11"/>
      <c r="U122" s="2"/>
      <c r="V122" s="11"/>
      <c r="W122" s="2"/>
      <c r="X122" s="2"/>
      <c r="Y122" s="5"/>
      <c r="Z122" s="2"/>
      <c r="AA122" s="5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</row>
    <row r="123" spans="1:78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1"/>
      <c r="O123" s="21"/>
      <c r="P123" s="21"/>
      <c r="Q123" s="2"/>
      <c r="R123" s="2"/>
      <c r="S123" s="2"/>
      <c r="T123" s="11"/>
      <c r="U123" s="2"/>
      <c r="V123" s="11"/>
      <c r="W123" s="2"/>
      <c r="X123" s="2"/>
      <c r="Y123" s="5"/>
      <c r="Z123" s="2"/>
      <c r="AA123" s="5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</row>
    <row r="124" spans="1:78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1"/>
      <c r="O124" s="21"/>
      <c r="P124" s="21"/>
      <c r="Q124" s="2"/>
      <c r="R124" s="2"/>
      <c r="S124" s="2"/>
      <c r="T124" s="11"/>
      <c r="U124" s="2"/>
      <c r="V124" s="11"/>
      <c r="W124" s="2"/>
      <c r="X124" s="2"/>
      <c r="Y124" s="5"/>
      <c r="Z124" s="2"/>
      <c r="AA124" s="5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</row>
    <row r="125" spans="1:78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1"/>
      <c r="O125" s="21"/>
      <c r="P125" s="21"/>
      <c r="Q125" s="2"/>
      <c r="R125" s="2"/>
      <c r="S125" s="2"/>
      <c r="T125" s="11"/>
      <c r="U125" s="2"/>
      <c r="V125" s="11"/>
      <c r="W125" s="2"/>
      <c r="X125" s="2"/>
      <c r="Y125" s="5"/>
      <c r="Z125" s="2"/>
      <c r="AA125" s="5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</row>
    <row r="126" spans="1:78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1"/>
      <c r="O126" s="21"/>
      <c r="P126" s="21"/>
      <c r="Q126" s="2"/>
      <c r="R126" s="2"/>
      <c r="S126" s="2"/>
      <c r="T126" s="11"/>
      <c r="U126" s="2"/>
      <c r="V126" s="11"/>
      <c r="W126" s="2"/>
      <c r="X126" s="2"/>
      <c r="Y126" s="5"/>
      <c r="Z126" s="2"/>
      <c r="AA126" s="5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</row>
    <row r="127" spans="1:78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1"/>
      <c r="O127" s="21"/>
      <c r="P127" s="21"/>
      <c r="Q127" s="2"/>
      <c r="R127" s="2"/>
      <c r="S127" s="2"/>
      <c r="T127" s="11"/>
      <c r="U127" s="2"/>
      <c r="V127" s="11"/>
      <c r="W127" s="2"/>
      <c r="X127" s="2"/>
      <c r="Y127" s="5"/>
      <c r="Z127" s="2"/>
      <c r="AA127" s="5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</row>
    <row r="128" spans="1:78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21"/>
      <c r="O128" s="21"/>
      <c r="P128" s="21"/>
      <c r="Q128" s="2"/>
      <c r="R128" s="2"/>
      <c r="S128" s="2"/>
      <c r="T128" s="11"/>
      <c r="U128" s="2"/>
      <c r="V128" s="11"/>
      <c r="W128" s="2"/>
      <c r="X128" s="2"/>
      <c r="Y128" s="5"/>
      <c r="Z128" s="2"/>
      <c r="AA128" s="5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</row>
    <row r="129" spans="1:78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1"/>
      <c r="O129" s="21"/>
      <c r="P129" s="21"/>
      <c r="Q129" s="2"/>
      <c r="R129" s="2"/>
      <c r="S129" s="2"/>
      <c r="T129" s="11"/>
      <c r="U129" s="2"/>
      <c r="V129" s="11"/>
      <c r="W129" s="2"/>
      <c r="X129" s="2"/>
      <c r="Y129" s="5"/>
      <c r="Z129" s="2"/>
      <c r="AA129" s="5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</row>
    <row r="130" spans="1:78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1"/>
      <c r="O130" s="21"/>
      <c r="P130" s="21"/>
      <c r="Q130" s="2"/>
      <c r="R130" s="2"/>
      <c r="S130" s="2"/>
      <c r="T130" s="11"/>
      <c r="U130" s="2"/>
      <c r="V130" s="11"/>
      <c r="W130" s="2"/>
      <c r="X130" s="2"/>
      <c r="Y130" s="5"/>
      <c r="Z130" s="2"/>
      <c r="AA130" s="5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</row>
    <row r="131" spans="1:78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1"/>
      <c r="O131" s="21"/>
      <c r="P131" s="21"/>
      <c r="Q131" s="2"/>
      <c r="R131" s="2"/>
      <c r="S131" s="2"/>
      <c r="T131" s="11"/>
      <c r="U131" s="2"/>
      <c r="V131" s="11"/>
      <c r="W131" s="2"/>
      <c r="X131" s="2"/>
      <c r="Y131" s="5"/>
      <c r="Z131" s="2"/>
      <c r="AA131" s="5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</row>
    <row r="132" spans="1:78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1"/>
      <c r="O132" s="21"/>
      <c r="P132" s="21"/>
      <c r="Q132" s="2"/>
      <c r="R132" s="2"/>
      <c r="S132" s="2"/>
      <c r="T132" s="11"/>
      <c r="U132" s="2"/>
      <c r="V132" s="11"/>
      <c r="W132" s="2"/>
      <c r="X132" s="2"/>
      <c r="Y132" s="5"/>
      <c r="Z132" s="2"/>
      <c r="AA132" s="5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</row>
    <row r="133" spans="1:78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1"/>
      <c r="O133" s="21"/>
      <c r="P133" s="21"/>
      <c r="Q133" s="2"/>
      <c r="R133" s="2"/>
      <c r="S133" s="2"/>
      <c r="T133" s="11"/>
      <c r="U133" s="2"/>
      <c r="V133" s="11"/>
      <c r="W133" s="2"/>
      <c r="X133" s="2"/>
      <c r="Y133" s="5"/>
      <c r="Z133" s="2"/>
      <c r="AA133" s="5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</row>
    <row r="134" spans="1:78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1"/>
      <c r="O134" s="21"/>
      <c r="P134" s="21"/>
      <c r="Q134" s="2"/>
      <c r="R134" s="2"/>
      <c r="S134" s="2"/>
      <c r="T134" s="11"/>
      <c r="U134" s="2"/>
      <c r="V134" s="11"/>
      <c r="W134" s="2"/>
      <c r="X134" s="2"/>
      <c r="Y134" s="5"/>
      <c r="Z134" s="2"/>
      <c r="AA134" s="5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</row>
    <row r="135" spans="1:78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1"/>
      <c r="O135" s="21"/>
      <c r="P135" s="21"/>
      <c r="Q135" s="2"/>
      <c r="R135" s="2"/>
      <c r="S135" s="2"/>
      <c r="T135" s="11"/>
      <c r="U135" s="2"/>
      <c r="V135" s="11"/>
      <c r="W135" s="2"/>
      <c r="X135" s="2"/>
      <c r="Y135" s="5"/>
      <c r="Z135" s="2"/>
      <c r="AA135" s="5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</row>
    <row r="136" spans="1:78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1"/>
      <c r="O136" s="21"/>
      <c r="P136" s="21"/>
      <c r="Q136" s="2"/>
      <c r="R136" s="2"/>
      <c r="S136" s="2"/>
      <c r="T136" s="11"/>
      <c r="U136" s="2"/>
      <c r="V136" s="11"/>
      <c r="W136" s="2"/>
      <c r="X136" s="2"/>
      <c r="Y136" s="5"/>
      <c r="Z136" s="2"/>
      <c r="AA136" s="5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</row>
    <row r="137" spans="1:78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1"/>
      <c r="O137" s="21"/>
      <c r="P137" s="21"/>
      <c r="Q137" s="2"/>
      <c r="R137" s="2"/>
      <c r="S137" s="2"/>
      <c r="T137" s="11"/>
      <c r="U137" s="2"/>
      <c r="V137" s="11"/>
      <c r="W137" s="2"/>
      <c r="X137" s="2"/>
      <c r="Y137" s="5"/>
      <c r="Z137" s="2"/>
      <c r="AA137" s="5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</row>
    <row r="138" spans="1:78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21"/>
      <c r="O138" s="21"/>
      <c r="P138" s="21"/>
      <c r="Q138" s="2"/>
      <c r="R138" s="2"/>
      <c r="S138" s="2"/>
      <c r="T138" s="11"/>
      <c r="U138" s="2"/>
      <c r="V138" s="11"/>
      <c r="W138" s="2"/>
      <c r="X138" s="2"/>
      <c r="Y138" s="5"/>
      <c r="Z138" s="2"/>
      <c r="AA138" s="5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</row>
    <row r="139" spans="1:78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1"/>
      <c r="O139" s="21"/>
      <c r="P139" s="21"/>
      <c r="Q139" s="2"/>
      <c r="R139" s="2"/>
      <c r="S139" s="2"/>
      <c r="T139" s="11"/>
      <c r="U139" s="2"/>
      <c r="V139" s="11"/>
      <c r="W139" s="2"/>
      <c r="X139" s="2"/>
      <c r="Y139" s="5"/>
      <c r="Z139" s="2"/>
      <c r="AA139" s="5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</row>
    <row r="140" spans="1:78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1"/>
      <c r="O140" s="21"/>
      <c r="P140" s="21"/>
      <c r="Q140" s="2"/>
      <c r="R140" s="2"/>
      <c r="S140" s="2"/>
      <c r="T140" s="11"/>
      <c r="U140" s="2"/>
      <c r="V140" s="11"/>
      <c r="W140" s="2"/>
      <c r="X140" s="2"/>
      <c r="Y140" s="5"/>
      <c r="Z140" s="2"/>
      <c r="AA140" s="5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</row>
    <row r="141" spans="1:78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1"/>
      <c r="O141" s="21"/>
      <c r="P141" s="21"/>
      <c r="Q141" s="2"/>
      <c r="R141" s="2"/>
      <c r="S141" s="2"/>
      <c r="T141" s="11"/>
      <c r="U141" s="2"/>
      <c r="V141" s="11"/>
      <c r="W141" s="2"/>
      <c r="X141" s="2"/>
      <c r="Y141" s="5"/>
      <c r="Z141" s="2"/>
      <c r="AA141" s="5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</row>
    <row r="142" spans="1:78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1"/>
      <c r="O142" s="21"/>
      <c r="P142" s="21"/>
      <c r="Q142" s="2"/>
      <c r="R142" s="2"/>
      <c r="S142" s="2"/>
      <c r="T142" s="11"/>
      <c r="U142" s="2"/>
      <c r="V142" s="11"/>
      <c r="W142" s="2"/>
      <c r="X142" s="2"/>
      <c r="Y142" s="5"/>
      <c r="Z142" s="2"/>
      <c r="AA142" s="5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</row>
    <row r="143" spans="1:78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2"/>
      <c r="X143" s="2"/>
      <c r="Y143" s="5"/>
      <c r="Z143" s="2"/>
      <c r="AA143" s="5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</row>
    <row r="144" spans="1:78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3"/>
      <c r="O144" s="23"/>
      <c r="P144" s="23"/>
      <c r="Q144" s="8"/>
      <c r="R144" s="8"/>
      <c r="S144" s="8"/>
      <c r="T144" s="13"/>
      <c r="U144" s="8"/>
      <c r="V144" s="13"/>
      <c r="W144" s="8"/>
      <c r="X144" s="8"/>
      <c r="Y144" s="19"/>
      <c r="Z144" s="8"/>
      <c r="AA144" s="19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</row>
    <row r="145" spans="1:78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3"/>
      <c r="O145" s="23"/>
      <c r="P145" s="23"/>
      <c r="Q145" s="8"/>
      <c r="R145" s="8"/>
      <c r="S145" s="8"/>
      <c r="T145" s="13"/>
      <c r="U145" s="8"/>
      <c r="V145" s="13"/>
      <c r="W145" s="8"/>
      <c r="X145" s="8"/>
      <c r="Y145" s="19"/>
      <c r="Z145" s="8"/>
      <c r="AA145" s="19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</row>
    <row r="146" spans="1:78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3"/>
      <c r="O146" s="23"/>
      <c r="P146" s="23"/>
      <c r="Q146" s="8"/>
      <c r="R146" s="8"/>
      <c r="S146" s="8"/>
      <c r="T146" s="13"/>
      <c r="U146" s="8"/>
      <c r="V146" s="13"/>
      <c r="W146" s="8"/>
      <c r="X146" s="8"/>
      <c r="Y146" s="19"/>
      <c r="Z146" s="8"/>
      <c r="AA146" s="19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</row>
    <row r="147" spans="1:78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3"/>
      <c r="O147" s="23"/>
      <c r="P147" s="23"/>
      <c r="Q147" s="8"/>
      <c r="R147" s="8"/>
      <c r="S147" s="8"/>
      <c r="T147" s="13"/>
      <c r="U147" s="8"/>
      <c r="V147" s="13"/>
      <c r="W147" s="8"/>
      <c r="X147" s="8"/>
      <c r="Y147" s="19"/>
      <c r="Z147" s="8"/>
      <c r="AA147" s="19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</row>
    <row r="148" spans="1:78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3"/>
      <c r="O148" s="23"/>
      <c r="P148" s="23"/>
      <c r="Q148" s="8"/>
      <c r="R148" s="8"/>
      <c r="S148" s="8"/>
      <c r="T148" s="13"/>
      <c r="U148" s="8"/>
      <c r="V148" s="13"/>
      <c r="W148" s="8"/>
      <c r="X148" s="8"/>
      <c r="Y148" s="19"/>
      <c r="Z148" s="8"/>
      <c r="AA148" s="19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</row>
    <row r="149" spans="1:78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3"/>
      <c r="O149" s="23"/>
      <c r="P149" s="23"/>
      <c r="Q149" s="8"/>
      <c r="R149" s="8"/>
      <c r="S149" s="8"/>
      <c r="T149" s="13"/>
      <c r="U149" s="8"/>
      <c r="V149" s="13"/>
      <c r="W149" s="8"/>
      <c r="X149" s="8"/>
      <c r="Y149" s="19"/>
      <c r="Z149" s="8"/>
      <c r="AA149" s="19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</row>
    <row r="150" spans="1:78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3"/>
      <c r="O150" s="23"/>
      <c r="P150" s="23"/>
      <c r="Q150" s="8"/>
      <c r="R150" s="8"/>
      <c r="S150" s="8"/>
      <c r="T150" s="13"/>
      <c r="U150" s="8"/>
      <c r="V150" s="13"/>
      <c r="W150" s="8"/>
      <c r="X150" s="8"/>
      <c r="Y150" s="19"/>
      <c r="Z150" s="8"/>
      <c r="AA150" s="19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</row>
    <row r="151" spans="1:78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3"/>
      <c r="O151" s="23"/>
      <c r="P151" s="23"/>
      <c r="Q151" s="8"/>
      <c r="R151" s="8"/>
      <c r="S151" s="8"/>
      <c r="T151" s="13"/>
      <c r="U151" s="8"/>
      <c r="V151" s="13"/>
      <c r="W151" s="8"/>
      <c r="X151" s="8"/>
      <c r="Y151" s="19"/>
      <c r="Z151" s="8"/>
      <c r="AA151" s="19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</row>
    <row r="152" spans="1:78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3"/>
      <c r="O152" s="23"/>
      <c r="P152" s="23"/>
      <c r="Q152" s="8"/>
      <c r="R152" s="8"/>
      <c r="S152" s="8"/>
      <c r="T152" s="13"/>
      <c r="U152" s="8"/>
      <c r="V152" s="13"/>
      <c r="W152" s="8"/>
      <c r="X152" s="8"/>
      <c r="Y152" s="19"/>
      <c r="Z152" s="8"/>
      <c r="AA152" s="19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</row>
    <row r="153" spans="1:78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3"/>
      <c r="O153" s="23"/>
      <c r="P153" s="23"/>
      <c r="Q153" s="8"/>
      <c r="R153" s="8"/>
      <c r="S153" s="8"/>
      <c r="T153" s="13"/>
      <c r="U153" s="8"/>
      <c r="V153" s="13"/>
      <c r="W153" s="8"/>
      <c r="X153" s="8"/>
      <c r="Y153" s="19"/>
      <c r="Z153" s="8"/>
      <c r="AA153" s="19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 spans="1:78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3"/>
      <c r="O154" s="23"/>
      <c r="P154" s="23"/>
      <c r="Q154" s="8"/>
      <c r="R154" s="8"/>
      <c r="S154" s="8"/>
      <c r="T154" s="13"/>
      <c r="U154" s="8"/>
      <c r="V154" s="13"/>
      <c r="W154" s="8"/>
      <c r="X154" s="8"/>
      <c r="Y154" s="19"/>
      <c r="Z154" s="8"/>
      <c r="AA154" s="19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 spans="1:78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3"/>
      <c r="O155" s="23"/>
      <c r="P155" s="23"/>
      <c r="Q155" s="8"/>
      <c r="R155" s="8"/>
      <c r="S155" s="8"/>
      <c r="T155" s="13"/>
      <c r="U155" s="8"/>
      <c r="V155" s="13"/>
      <c r="W155" s="8"/>
      <c r="X155" s="8"/>
      <c r="Y155" s="19"/>
      <c r="Z155" s="8"/>
      <c r="AA155" s="19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</row>
    <row r="156" spans="1:78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3"/>
      <c r="O156" s="23"/>
      <c r="P156" s="23"/>
      <c r="Q156" s="8"/>
      <c r="R156" s="8"/>
      <c r="S156" s="8"/>
      <c r="T156" s="13"/>
      <c r="U156" s="8"/>
      <c r="V156" s="13"/>
      <c r="W156" s="8"/>
      <c r="X156" s="8"/>
      <c r="Y156" s="19"/>
      <c r="Z156" s="8"/>
      <c r="AA156" s="19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</row>
    <row r="157" spans="1:78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3"/>
      <c r="O157" s="23"/>
      <c r="P157" s="23"/>
      <c r="Q157" s="8"/>
      <c r="R157" s="8"/>
      <c r="S157" s="8"/>
      <c r="T157" s="13"/>
      <c r="U157" s="8"/>
      <c r="V157" s="13"/>
      <c r="W157" s="8"/>
      <c r="X157" s="8"/>
      <c r="Y157" s="19"/>
      <c r="Z157" s="8"/>
      <c r="AA157" s="19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</row>
    <row r="158" spans="1:78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3"/>
      <c r="O158" s="23"/>
      <c r="P158" s="23"/>
      <c r="Q158" s="8"/>
      <c r="R158" s="8"/>
      <c r="S158" s="8"/>
      <c r="T158" s="13"/>
      <c r="U158" s="8"/>
      <c r="V158" s="13"/>
      <c r="W158" s="8"/>
      <c r="X158" s="8"/>
      <c r="Y158" s="19"/>
      <c r="Z158" s="8"/>
      <c r="AA158" s="19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</row>
    <row r="159" spans="1:78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3"/>
      <c r="O159" s="23"/>
      <c r="P159" s="23"/>
      <c r="Q159" s="8"/>
      <c r="R159" s="8"/>
      <c r="S159" s="8"/>
      <c r="T159" s="13"/>
      <c r="U159" s="8"/>
      <c r="V159" s="13"/>
      <c r="W159" s="8"/>
      <c r="X159" s="8"/>
      <c r="Y159" s="19"/>
      <c r="Z159" s="8"/>
      <c r="AA159" s="19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</row>
    <row r="160" spans="1:78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3"/>
      <c r="O160" s="23"/>
      <c r="P160" s="23"/>
      <c r="Q160" s="8"/>
      <c r="R160" s="8"/>
      <c r="S160" s="8"/>
      <c r="T160" s="13"/>
      <c r="U160" s="8"/>
      <c r="V160" s="13"/>
      <c r="W160" s="8"/>
      <c r="X160" s="8"/>
      <c r="Y160" s="19"/>
      <c r="Z160" s="8"/>
      <c r="AA160" s="19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</row>
    <row r="161" spans="1:78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3"/>
      <c r="O161" s="23"/>
      <c r="P161" s="23"/>
      <c r="Q161" s="8"/>
      <c r="R161" s="8"/>
      <c r="S161" s="8"/>
      <c r="T161" s="13"/>
      <c r="U161" s="8"/>
      <c r="V161" s="13"/>
      <c r="W161" s="8"/>
      <c r="X161" s="8"/>
      <c r="Y161" s="19"/>
      <c r="Z161" s="8"/>
      <c r="AA161" s="19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</row>
    <row r="162" spans="1:78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3"/>
      <c r="O162" s="23"/>
      <c r="P162" s="23"/>
      <c r="Q162" s="8"/>
      <c r="R162" s="8"/>
      <c r="S162" s="8"/>
      <c r="T162" s="13"/>
      <c r="U162" s="8"/>
      <c r="V162" s="13"/>
      <c r="W162" s="8"/>
      <c r="X162" s="8"/>
      <c r="Y162" s="19"/>
      <c r="Z162" s="8"/>
      <c r="AA162" s="19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</row>
    <row r="163" spans="1:78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3"/>
      <c r="O163" s="23"/>
      <c r="P163" s="23"/>
      <c r="Q163" s="8"/>
      <c r="R163" s="8"/>
      <c r="S163" s="8"/>
      <c r="T163" s="13"/>
      <c r="U163" s="8"/>
      <c r="V163" s="13"/>
      <c r="W163" s="8"/>
      <c r="X163" s="8"/>
      <c r="Y163" s="19"/>
      <c r="Z163" s="8"/>
      <c r="AA163" s="19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</row>
    <row r="164" spans="1:78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3"/>
      <c r="O164" s="23"/>
      <c r="P164" s="23"/>
      <c r="Q164" s="8"/>
      <c r="R164" s="8"/>
      <c r="S164" s="8"/>
      <c r="T164" s="13"/>
      <c r="U164" s="8"/>
      <c r="V164" s="13"/>
      <c r="W164" s="8"/>
      <c r="X164" s="8"/>
      <c r="Y164" s="19"/>
      <c r="Z164" s="8"/>
      <c r="AA164" s="19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</row>
    <row r="165" spans="1:78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3"/>
      <c r="O165" s="23"/>
      <c r="P165" s="23"/>
      <c r="Q165" s="8"/>
      <c r="R165" s="8"/>
      <c r="S165" s="8"/>
      <c r="T165" s="13"/>
      <c r="U165" s="8"/>
      <c r="V165" s="13"/>
      <c r="W165" s="8"/>
      <c r="X165" s="8"/>
      <c r="Y165" s="19"/>
      <c r="Z165" s="8"/>
      <c r="AA165" s="19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</row>
    <row r="166" spans="1:78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3"/>
      <c r="O166" s="23"/>
      <c r="P166" s="23"/>
      <c r="Q166" s="8"/>
      <c r="R166" s="8"/>
      <c r="S166" s="8"/>
      <c r="T166" s="13"/>
      <c r="U166" s="8"/>
      <c r="V166" s="13"/>
      <c r="W166" s="8"/>
      <c r="X166" s="8"/>
      <c r="Y166" s="19"/>
      <c r="Z166" s="8"/>
      <c r="AA166" s="19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</row>
    <row r="167" spans="1:78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3"/>
      <c r="O167" s="23"/>
      <c r="P167" s="23"/>
      <c r="Q167" s="8"/>
      <c r="R167" s="8"/>
      <c r="S167" s="8"/>
      <c r="T167" s="13"/>
      <c r="U167" s="8"/>
      <c r="V167" s="13"/>
      <c r="W167" s="8"/>
      <c r="X167" s="8"/>
      <c r="Y167" s="19"/>
      <c r="Z167" s="8"/>
      <c r="AA167" s="19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</row>
    <row r="168" spans="1:78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3"/>
      <c r="O168" s="23"/>
      <c r="P168" s="23"/>
      <c r="Q168" s="8"/>
      <c r="R168" s="8"/>
      <c r="S168" s="8"/>
      <c r="T168" s="13"/>
      <c r="U168" s="8"/>
      <c r="V168" s="13"/>
      <c r="W168" s="8"/>
      <c r="X168" s="8"/>
      <c r="Y168" s="19"/>
      <c r="Z168" s="8"/>
      <c r="AA168" s="19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</row>
    <row r="169" spans="1:78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3"/>
      <c r="O169" s="23"/>
      <c r="P169" s="23"/>
      <c r="Q169" s="8"/>
      <c r="R169" s="8"/>
      <c r="S169" s="8"/>
      <c r="T169" s="13"/>
      <c r="U169" s="8"/>
      <c r="V169" s="13"/>
      <c r="W169" s="8"/>
      <c r="X169" s="8"/>
      <c r="Y169" s="19"/>
      <c r="Z169" s="8"/>
      <c r="AA169" s="19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</row>
    <row r="170" spans="1:78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3"/>
      <c r="O170" s="23"/>
      <c r="P170" s="23"/>
      <c r="Q170" s="8"/>
      <c r="R170" s="8"/>
      <c r="S170" s="8"/>
      <c r="T170" s="13"/>
      <c r="U170" s="8"/>
      <c r="V170" s="13"/>
      <c r="W170" s="8"/>
      <c r="X170" s="8"/>
      <c r="Y170" s="19"/>
      <c r="Z170" s="8"/>
      <c r="AA170" s="19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</row>
    <row r="171" spans="1:78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3"/>
      <c r="O171" s="23"/>
      <c r="P171" s="23"/>
      <c r="Q171" s="8"/>
      <c r="R171" s="8"/>
      <c r="S171" s="8"/>
      <c r="T171" s="13"/>
      <c r="U171" s="8"/>
      <c r="V171" s="13"/>
      <c r="W171" s="8"/>
      <c r="X171" s="8"/>
      <c r="Y171" s="19"/>
      <c r="Z171" s="8"/>
      <c r="AA171" s="19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</row>
    <row r="172" spans="1:78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3"/>
      <c r="O172" s="23"/>
      <c r="P172" s="23"/>
      <c r="Q172" s="8"/>
      <c r="R172" s="8"/>
      <c r="S172" s="8"/>
      <c r="T172" s="13"/>
      <c r="U172" s="8"/>
      <c r="V172" s="13"/>
      <c r="W172" s="8"/>
      <c r="X172" s="8"/>
      <c r="Y172" s="19"/>
      <c r="Z172" s="8"/>
      <c r="AA172" s="19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</row>
    <row r="173" spans="1:78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3"/>
      <c r="O173" s="23"/>
      <c r="P173" s="23"/>
      <c r="Q173" s="8"/>
      <c r="R173" s="8"/>
      <c r="S173" s="8"/>
      <c r="T173" s="13"/>
      <c r="U173" s="8"/>
      <c r="V173" s="13"/>
      <c r="W173" s="8"/>
      <c r="X173" s="8"/>
      <c r="Y173" s="19"/>
      <c r="Z173" s="8"/>
      <c r="AA173" s="19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</row>
    <row r="174" spans="1:78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3"/>
      <c r="O174" s="23"/>
      <c r="P174" s="23"/>
      <c r="Q174" s="8"/>
      <c r="R174" s="8"/>
      <c r="S174" s="8"/>
      <c r="T174" s="13"/>
      <c r="U174" s="8"/>
      <c r="V174" s="13"/>
      <c r="W174" s="8"/>
      <c r="X174" s="8"/>
      <c r="Y174" s="19"/>
      <c r="Z174" s="8"/>
      <c r="AA174" s="19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</row>
    <row r="175" spans="1:78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3"/>
      <c r="O175" s="23"/>
      <c r="P175" s="23"/>
      <c r="Q175" s="8"/>
      <c r="R175" s="8"/>
      <c r="S175" s="8"/>
      <c r="T175" s="13"/>
      <c r="U175" s="8"/>
      <c r="V175" s="13"/>
      <c r="W175" s="8"/>
      <c r="X175" s="8"/>
      <c r="Y175" s="19"/>
      <c r="Z175" s="8"/>
      <c r="AA175" s="19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</row>
    <row r="176" spans="1:78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3"/>
      <c r="O176" s="23"/>
      <c r="P176" s="23"/>
      <c r="Q176" s="8"/>
      <c r="R176" s="8"/>
      <c r="S176" s="8"/>
      <c r="T176" s="13"/>
      <c r="U176" s="8"/>
      <c r="V176" s="13"/>
      <c r="W176" s="8"/>
      <c r="X176" s="8"/>
      <c r="Y176" s="19"/>
      <c r="Z176" s="8"/>
      <c r="AA176" s="19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</row>
    <row r="177" spans="1:78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3"/>
      <c r="O177" s="23"/>
      <c r="P177" s="23"/>
      <c r="Q177" s="8"/>
      <c r="R177" s="8"/>
      <c r="S177" s="8"/>
      <c r="T177" s="13"/>
      <c r="U177" s="8"/>
      <c r="V177" s="13"/>
      <c r="W177" s="8"/>
      <c r="X177" s="8"/>
      <c r="Y177" s="19"/>
      <c r="Z177" s="8"/>
      <c r="AA177" s="19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</row>
    <row r="178" spans="1:78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3"/>
      <c r="O178" s="23"/>
      <c r="P178" s="23"/>
      <c r="Q178" s="8"/>
      <c r="R178" s="8"/>
      <c r="S178" s="8"/>
      <c r="T178" s="13"/>
      <c r="U178" s="8"/>
      <c r="V178" s="13"/>
      <c r="W178" s="8"/>
      <c r="X178" s="8"/>
      <c r="Y178" s="19"/>
      <c r="Z178" s="8"/>
      <c r="AA178" s="19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</row>
    <row r="179" spans="1:78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8"/>
      <c r="X179" s="8"/>
      <c r="Y179" s="19"/>
      <c r="Z179" s="8"/>
      <c r="AA179" s="19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</row>
    <row r="180" spans="1:78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8"/>
      <c r="X180" s="8"/>
      <c r="Y180" s="19"/>
      <c r="Z180" s="8"/>
      <c r="AA180" s="19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</row>
    <row r="181" spans="1:78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8"/>
      <c r="X181" s="8"/>
      <c r="Y181" s="19"/>
      <c r="Z181" s="8"/>
      <c r="AA181" s="19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</row>
    <row r="182" spans="1:78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8"/>
      <c r="X182" s="8"/>
      <c r="Y182" s="19"/>
      <c r="Z182" s="8"/>
      <c r="AA182" s="19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</row>
    <row r="183" spans="1:78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8"/>
      <c r="X183" s="8"/>
      <c r="Y183" s="19"/>
      <c r="Z183" s="8"/>
      <c r="AA183" s="19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</row>
    <row r="184" spans="1:78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8"/>
      <c r="X184" s="8"/>
      <c r="Y184" s="19"/>
      <c r="Z184" s="8"/>
      <c r="AA184" s="19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</row>
    <row r="185" spans="1:78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8"/>
      <c r="X185" s="8"/>
      <c r="Y185" s="19"/>
      <c r="Z185" s="8"/>
      <c r="AA185" s="19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</row>
    <row r="186" spans="1:78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23"/>
      <c r="O186" s="23"/>
      <c r="P186" s="23"/>
      <c r="Q186" s="8"/>
      <c r="R186" s="8"/>
      <c r="S186" s="8"/>
      <c r="T186" s="13"/>
      <c r="U186" s="8"/>
      <c r="V186" s="13"/>
      <c r="W186" s="8"/>
      <c r="X186" s="8"/>
      <c r="Y186" s="19"/>
      <c r="Z186" s="8"/>
      <c r="AA186" s="19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</row>
    <row r="187" spans="1:78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23"/>
      <c r="O187" s="23"/>
      <c r="P187" s="23"/>
      <c r="Q187" s="8"/>
      <c r="R187" s="8"/>
      <c r="S187" s="8"/>
      <c r="T187" s="13"/>
      <c r="U187" s="8"/>
      <c r="V187" s="13"/>
      <c r="W187" s="8"/>
      <c r="X187" s="8"/>
      <c r="Y187" s="19"/>
      <c r="Z187" s="8"/>
      <c r="AA187" s="19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</row>
    <row r="188" spans="1:78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23"/>
      <c r="O188" s="23"/>
      <c r="P188" s="23"/>
      <c r="Q188" s="8"/>
      <c r="R188" s="8"/>
      <c r="S188" s="8"/>
      <c r="T188" s="13"/>
      <c r="U188" s="8"/>
      <c r="V188" s="13"/>
      <c r="W188" s="8"/>
      <c r="X188" s="8"/>
      <c r="Y188" s="19"/>
      <c r="Z188" s="8"/>
      <c r="AA188" s="19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CE3A-8A27-411B-80A3-67637FE0A148}">
  <dimension ref="A1:BZ188"/>
  <sheetViews>
    <sheetView tabSelected="1" topLeftCell="L63" zoomScale="120" zoomScaleNormal="12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4" customWidth="1"/>
    <col min="12" max="12" width="20.88671875" style="3" customWidth="1"/>
    <col min="13" max="13" width="27.33203125" style="3" customWidth="1"/>
    <col min="14" max="15" width="20.6640625" style="23" customWidth="1"/>
    <col min="16" max="16" width="32.88671875" style="23" customWidth="1"/>
    <col min="17" max="17" width="23.21875" style="8" customWidth="1"/>
    <col min="18" max="18" width="30.88671875" style="8" customWidth="1"/>
    <col min="19" max="19" width="20.6640625" style="8" customWidth="1"/>
    <col min="20" max="20" width="20.6640625" style="13" customWidth="1"/>
    <col min="21" max="21" width="20.6640625" style="8" customWidth="1"/>
    <col min="22" max="22" width="20.6640625" style="13" customWidth="1"/>
    <col min="23" max="24" width="23.77734375" style="8" customWidth="1"/>
    <col min="25" max="25" width="23.77734375" style="19" customWidth="1"/>
    <col min="26" max="26" width="47.33203125" style="8" customWidth="1"/>
    <col min="27" max="27" width="51.6640625" style="19" customWidth="1"/>
    <col min="28" max="16384" width="8.88671875" style="6"/>
  </cols>
  <sheetData>
    <row r="1" spans="1:27" s="24" customFormat="1" ht="53.4" customHeight="1" x14ac:dyDescent="0.3">
      <c r="A1" s="15" t="s">
        <v>7</v>
      </c>
      <c r="B1" s="16" t="s">
        <v>6</v>
      </c>
      <c r="C1" s="15" t="s">
        <v>2</v>
      </c>
      <c r="D1" s="15" t="s">
        <v>1</v>
      </c>
      <c r="E1" s="16" t="s">
        <v>0</v>
      </c>
      <c r="F1" s="15" t="s">
        <v>3</v>
      </c>
      <c r="G1" s="16" t="s">
        <v>10</v>
      </c>
      <c r="H1" s="15" t="s">
        <v>4</v>
      </c>
      <c r="I1" s="16" t="s">
        <v>11</v>
      </c>
      <c r="J1" s="16" t="s">
        <v>8</v>
      </c>
      <c r="K1" s="15" t="s">
        <v>5</v>
      </c>
      <c r="L1" s="16" t="s">
        <v>9</v>
      </c>
      <c r="M1" s="10" t="s">
        <v>20</v>
      </c>
      <c r="N1" s="22" t="s">
        <v>28</v>
      </c>
      <c r="O1" s="22" t="s">
        <v>17</v>
      </c>
      <c r="P1" s="22" t="s">
        <v>31</v>
      </c>
      <c r="Q1" s="18" t="s">
        <v>12</v>
      </c>
      <c r="R1" s="17" t="s">
        <v>15</v>
      </c>
      <c r="S1" s="17" t="s">
        <v>32</v>
      </c>
      <c r="T1" s="12" t="s">
        <v>13</v>
      </c>
      <c r="U1" s="17" t="s">
        <v>14</v>
      </c>
      <c r="V1" s="12" t="s">
        <v>24</v>
      </c>
      <c r="W1" s="17" t="s">
        <v>18</v>
      </c>
      <c r="X1" s="17" t="s">
        <v>21</v>
      </c>
      <c r="Y1" s="12" t="s">
        <v>23</v>
      </c>
      <c r="Z1" s="25" t="s">
        <v>25</v>
      </c>
      <c r="AA1" s="25" t="s">
        <v>22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4">
        <v>25.712871287128714</v>
      </c>
      <c r="L2" s="2">
        <f>(K2/1000000)</f>
        <v>2.5712871287128712E-5</v>
      </c>
      <c r="M2" s="3">
        <f>(3.142*3.07*3.07*25.4*25.4)/(4*1000000)</f>
        <v>4.7762865441819992E-3</v>
      </c>
      <c r="N2" s="21">
        <f>(L2*J2)/M2</f>
        <v>1.0834086860306447E-7</v>
      </c>
      <c r="O2" s="21">
        <f>(2.032/1000)</f>
        <v>2.032E-3</v>
      </c>
      <c r="P2" s="21">
        <v>2.1048357489809849E-10</v>
      </c>
      <c r="Q2" s="2">
        <v>0.32</v>
      </c>
      <c r="R2" s="2">
        <f>(1+Q2)*100000*1</f>
        <v>132000</v>
      </c>
      <c r="S2" s="2">
        <f>(5.36358238306597/1000)</f>
        <v>5.36358238306597E-3</v>
      </c>
      <c r="T2" s="11">
        <v>0.09</v>
      </c>
      <c r="U2" s="11">
        <f>(1+T2)*100000</f>
        <v>109000.00000000001</v>
      </c>
      <c r="V2" s="11">
        <f t="shared" ref="V2:V62" si="1">(L2*U2)</f>
        <v>2.8027029702970299</v>
      </c>
      <c r="W2" s="2">
        <f>(220/1000000)*100000</f>
        <v>22</v>
      </c>
      <c r="X2" s="2">
        <f>(N2+((P2/O2)*(SQRT(V2)-SQRT(W2))))</f>
        <v>-2.0409964840859337E-7</v>
      </c>
      <c r="Y2" s="11">
        <f>((X2*O2/P2) + SQRT(V2))^2</f>
        <v>8.7759502864910952E-2</v>
      </c>
      <c r="Z2" s="2">
        <f>(X2*S2)/(R2-Y2)</f>
        <v>-8.2932273212408843E-15</v>
      </c>
      <c r="AA2" s="2">
        <f>(Z2*6.022E+23)</f>
        <v>-4994181492.8512611</v>
      </c>
    </row>
    <row r="3" spans="1:27" x14ac:dyDescent="0.25">
      <c r="A3" s="26">
        <v>3</v>
      </c>
      <c r="B3" s="26">
        <f t="shared" ref="B3:B62" si="2">(A3/60)</f>
        <v>0.05</v>
      </c>
      <c r="C3" s="26">
        <v>20</v>
      </c>
      <c r="D3" s="26">
        <f t="shared" si="0"/>
        <v>29.146000000000001</v>
      </c>
      <c r="E3" s="26">
        <f t="shared" ref="E3:E62" si="3">(D3/(1000000*60))</f>
        <v>4.8576666666666667E-7</v>
      </c>
      <c r="F3" s="26">
        <v>21.1</v>
      </c>
      <c r="G3" s="26">
        <f t="shared" ref="G3:G62" si="4">(273+F3)</f>
        <v>294.10000000000002</v>
      </c>
      <c r="H3" s="26">
        <v>101.3</v>
      </c>
      <c r="I3" s="26">
        <f t="shared" ref="I3:I62" si="5">(H3*1000)</f>
        <v>101300</v>
      </c>
      <c r="J3" s="26">
        <f t="shared" ref="J3:J62" si="6">((I3*E3)/(8.314*G3))</f>
        <v>2.0124824921938581E-5</v>
      </c>
      <c r="K3" s="28">
        <v>23.361386138613863</v>
      </c>
      <c r="L3" s="27">
        <f t="shared" ref="L3:L62" si="7">(K3/1000000)</f>
        <v>2.3361386138613863E-5</v>
      </c>
      <c r="M3" s="29">
        <f t="shared" ref="M3:M66" si="8">(3.142*3.07*3.07*25.4*25.4)/(4*1000000)</f>
        <v>4.7762865441819992E-3</v>
      </c>
      <c r="N3" s="33">
        <f t="shared" ref="N3:N62" si="9">(L3*J3)/M3</f>
        <v>9.8432914697316391E-8</v>
      </c>
      <c r="O3" s="21">
        <f t="shared" ref="O3:O66" si="10">(2.032/1000)</f>
        <v>2.032E-3</v>
      </c>
      <c r="P3" s="21">
        <v>2.1048357489809849E-10</v>
      </c>
      <c r="Q3" s="2">
        <v>0.32</v>
      </c>
      <c r="R3" s="27">
        <f t="shared" ref="R3:R62" si="11">(1+Q3)*100000*1</f>
        <v>132000</v>
      </c>
      <c r="S3" s="2">
        <f t="shared" ref="S3:S66" si="12">(5.36358238306597/1000)</f>
        <v>5.36358238306597E-3</v>
      </c>
      <c r="T3" s="11">
        <v>0.09</v>
      </c>
      <c r="U3" s="30">
        <f t="shared" ref="U3:U62" si="13">(1+T3)*100000</f>
        <v>109000.00000000001</v>
      </c>
      <c r="V3" s="30">
        <f t="shared" si="1"/>
        <v>2.5463910891089117</v>
      </c>
      <c r="W3" s="2">
        <f t="shared" ref="W3:W66" si="14">(220/1000000)*100000</f>
        <v>22</v>
      </c>
      <c r="X3" s="2">
        <f t="shared" ref="X3:X62" si="15">(N3+((P3/O3)*(SQRT(V3)-SQRT(W3))))</f>
        <v>-2.2212716954348206E-7</v>
      </c>
      <c r="Y3" s="11">
        <f t="shared" ref="Y3:Y62" si="16">((X3*O3/P3) + SQRT(V3))^2</f>
        <v>0.30103355427036282</v>
      </c>
      <c r="Z3" s="2">
        <f t="shared" ref="Z3:Z62" si="17">(X3*S3)/(R3-Y3)</f>
        <v>-9.0257582607561931E-15</v>
      </c>
      <c r="AA3" s="27">
        <f t="shared" ref="AA3:AA62" si="18">(Z3*6.022E+23)</f>
        <v>-5435311624.6273794</v>
      </c>
    </row>
    <row r="4" spans="1:27" x14ac:dyDescent="0.25">
      <c r="A4" s="26">
        <v>6</v>
      </c>
      <c r="B4" s="26">
        <f t="shared" si="2"/>
        <v>0.1</v>
      </c>
      <c r="C4" s="26">
        <v>20</v>
      </c>
      <c r="D4" s="26">
        <f t="shared" si="0"/>
        <v>29.146000000000001</v>
      </c>
      <c r="E4" s="26">
        <f t="shared" si="3"/>
        <v>4.8576666666666667E-7</v>
      </c>
      <c r="F4" s="26">
        <v>21.1</v>
      </c>
      <c r="G4" s="26">
        <f t="shared" si="4"/>
        <v>294.10000000000002</v>
      </c>
      <c r="H4" s="26">
        <v>101.3</v>
      </c>
      <c r="I4" s="26">
        <f t="shared" si="5"/>
        <v>101300</v>
      </c>
      <c r="J4" s="26">
        <f t="shared" si="6"/>
        <v>2.0124824921938581E-5</v>
      </c>
      <c r="K4" s="28">
        <v>19.82178217821782</v>
      </c>
      <c r="L4" s="27">
        <f t="shared" si="7"/>
        <v>1.982178217821782E-5</v>
      </c>
      <c r="M4" s="29">
        <f t="shared" si="8"/>
        <v>4.7762865441819992E-3</v>
      </c>
      <c r="N4" s="33">
        <f t="shared" si="9"/>
        <v>8.3518836712874505E-8</v>
      </c>
      <c r="O4" s="21">
        <f t="shared" si="10"/>
        <v>2.032E-3</v>
      </c>
      <c r="P4" s="21">
        <v>2.1048357489809849E-10</v>
      </c>
      <c r="Q4" s="2">
        <v>0.32</v>
      </c>
      <c r="R4" s="27">
        <f t="shared" si="11"/>
        <v>132000</v>
      </c>
      <c r="S4" s="2">
        <f t="shared" si="12"/>
        <v>5.36358238306597E-3</v>
      </c>
      <c r="T4" s="11">
        <v>0.09</v>
      </c>
      <c r="U4" s="30">
        <f t="shared" si="13"/>
        <v>109000.00000000001</v>
      </c>
      <c r="V4" s="30">
        <f t="shared" si="1"/>
        <v>2.1605742574257429</v>
      </c>
      <c r="W4" s="2">
        <f t="shared" si="14"/>
        <v>22</v>
      </c>
      <c r="X4" s="2">
        <f t="shared" si="15"/>
        <v>-2.500775922093844E-7</v>
      </c>
      <c r="Y4" s="11">
        <f t="shared" si="16"/>
        <v>0.891796654189146</v>
      </c>
      <c r="Z4" s="2">
        <f t="shared" si="17"/>
        <v>-1.0161521439277504E-14</v>
      </c>
      <c r="AA4" s="27">
        <f t="shared" si="18"/>
        <v>-6119268210.732913</v>
      </c>
    </row>
    <row r="5" spans="1:27" x14ac:dyDescent="0.25">
      <c r="A5" s="26">
        <v>9</v>
      </c>
      <c r="B5" s="26">
        <f t="shared" si="2"/>
        <v>0.15</v>
      </c>
      <c r="C5" s="26">
        <v>20</v>
      </c>
      <c r="D5" s="26">
        <f t="shared" si="0"/>
        <v>29.146000000000001</v>
      </c>
      <c r="E5" s="26">
        <f t="shared" si="3"/>
        <v>4.8576666666666667E-7</v>
      </c>
      <c r="F5" s="26">
        <v>21.1</v>
      </c>
      <c r="G5" s="26">
        <f t="shared" si="4"/>
        <v>294.10000000000002</v>
      </c>
      <c r="H5" s="26">
        <v>101.3</v>
      </c>
      <c r="I5" s="26">
        <f t="shared" si="5"/>
        <v>101300</v>
      </c>
      <c r="J5" s="26">
        <f t="shared" si="6"/>
        <v>2.0124824921938581E-5</v>
      </c>
      <c r="K5" s="28">
        <v>25.93564356435644</v>
      </c>
      <c r="L5" s="27">
        <f t="shared" si="7"/>
        <v>2.593564356435644E-5</v>
      </c>
      <c r="M5" s="29">
        <f t="shared" si="8"/>
        <v>4.7762865441819992E-3</v>
      </c>
      <c r="N5" s="33">
        <f t="shared" si="9"/>
        <v>1.0927951686781959E-7</v>
      </c>
      <c r="O5" s="21">
        <f t="shared" si="10"/>
        <v>2.032E-3</v>
      </c>
      <c r="P5" s="21">
        <v>2.1048357489809849E-10</v>
      </c>
      <c r="Q5" s="2">
        <v>0.32</v>
      </c>
      <c r="R5" s="27">
        <f t="shared" si="11"/>
        <v>132000</v>
      </c>
      <c r="S5" s="2">
        <f t="shared" si="12"/>
        <v>5.36358238306597E-3</v>
      </c>
      <c r="T5" s="11">
        <v>0.09</v>
      </c>
      <c r="U5" s="30">
        <f t="shared" si="13"/>
        <v>109000.00000000001</v>
      </c>
      <c r="V5" s="30">
        <f t="shared" si="1"/>
        <v>2.8269851485148525</v>
      </c>
      <c r="W5" s="2">
        <f t="shared" si="14"/>
        <v>22</v>
      </c>
      <c r="X5" s="2">
        <f t="shared" si="15"/>
        <v>-2.0241140632941518E-7</v>
      </c>
      <c r="Y5" s="11">
        <f t="shared" si="16"/>
        <v>7.436939924073302E-2</v>
      </c>
      <c r="Z5" s="2">
        <f t="shared" si="17"/>
        <v>-8.2246277634900359E-15</v>
      </c>
      <c r="AA5" s="27">
        <f t="shared" si="18"/>
        <v>-4952870839.1736994</v>
      </c>
    </row>
    <row r="6" spans="1:27" x14ac:dyDescent="0.25">
      <c r="A6" s="26">
        <v>12</v>
      </c>
      <c r="B6" s="26">
        <f t="shared" si="2"/>
        <v>0.2</v>
      </c>
      <c r="C6" s="26">
        <v>20</v>
      </c>
      <c r="D6" s="26">
        <f t="shared" si="0"/>
        <v>29.146000000000001</v>
      </c>
      <c r="E6" s="26">
        <f t="shared" si="3"/>
        <v>4.8576666666666667E-7</v>
      </c>
      <c r="F6" s="26">
        <v>21.1</v>
      </c>
      <c r="G6" s="26">
        <f t="shared" si="4"/>
        <v>294.10000000000002</v>
      </c>
      <c r="H6" s="26">
        <v>101.3</v>
      </c>
      <c r="I6" s="26">
        <f t="shared" si="5"/>
        <v>101300</v>
      </c>
      <c r="J6" s="26">
        <f t="shared" si="6"/>
        <v>2.0124824921938581E-5</v>
      </c>
      <c r="K6" s="28">
        <v>24.574257425742573</v>
      </c>
      <c r="L6" s="27">
        <f t="shared" si="7"/>
        <v>2.4574257425742573E-5</v>
      </c>
      <c r="M6" s="29">
        <f t="shared" si="8"/>
        <v>4.7762865441819992E-3</v>
      </c>
      <c r="N6" s="33">
        <f t="shared" si="9"/>
        <v>1.0354333302764961E-7</v>
      </c>
      <c r="O6" s="21">
        <f t="shared" si="10"/>
        <v>2.032E-3</v>
      </c>
      <c r="P6" s="21">
        <v>2.1048357489809849E-10</v>
      </c>
      <c r="Q6" s="2">
        <v>0.32</v>
      </c>
      <c r="R6" s="27">
        <f t="shared" si="11"/>
        <v>132000</v>
      </c>
      <c r="S6" s="2">
        <f t="shared" si="12"/>
        <v>5.36358238306597E-3</v>
      </c>
      <c r="T6" s="11">
        <v>0.09</v>
      </c>
      <c r="U6" s="30">
        <f t="shared" si="13"/>
        <v>109000.00000000001</v>
      </c>
      <c r="V6" s="30">
        <f t="shared" si="1"/>
        <v>2.678594059405941</v>
      </c>
      <c r="W6" s="2">
        <f t="shared" si="14"/>
        <v>22</v>
      </c>
      <c r="X6" s="2">
        <f t="shared" si="15"/>
        <v>-2.1278019517787146E-7</v>
      </c>
      <c r="Y6" s="11">
        <f t="shared" si="16"/>
        <v>0.17433162622934484</v>
      </c>
      <c r="Z6" s="2">
        <f t="shared" si="17"/>
        <v>-8.6459516180619389E-15</v>
      </c>
      <c r="AA6" s="27">
        <f t="shared" si="18"/>
        <v>-5206592064.3969002</v>
      </c>
    </row>
    <row r="7" spans="1:27" x14ac:dyDescent="0.25">
      <c r="A7" s="26">
        <v>15</v>
      </c>
      <c r="B7" s="26">
        <f t="shared" si="2"/>
        <v>0.25</v>
      </c>
      <c r="C7" s="26">
        <v>20</v>
      </c>
      <c r="D7" s="26">
        <f t="shared" si="0"/>
        <v>29.146000000000001</v>
      </c>
      <c r="E7" s="26">
        <f t="shared" si="3"/>
        <v>4.8576666666666667E-7</v>
      </c>
      <c r="F7" s="26">
        <v>21.1</v>
      </c>
      <c r="G7" s="26">
        <f t="shared" si="4"/>
        <v>294.10000000000002</v>
      </c>
      <c r="H7" s="26">
        <v>101.3</v>
      </c>
      <c r="I7" s="26">
        <f t="shared" si="5"/>
        <v>101300</v>
      </c>
      <c r="J7" s="26">
        <f t="shared" si="6"/>
        <v>2.0124824921938581E-5</v>
      </c>
      <c r="K7" s="28">
        <v>26.702970297029704</v>
      </c>
      <c r="L7" s="27">
        <f t="shared" si="7"/>
        <v>2.6702970297029704E-5</v>
      </c>
      <c r="M7" s="29">
        <f t="shared" si="8"/>
        <v>4.7762865441819992E-3</v>
      </c>
      <c r="N7" s="33">
        <f t="shared" si="9"/>
        <v>1.1251263866864263E-7</v>
      </c>
      <c r="O7" s="21">
        <f t="shared" si="10"/>
        <v>2.032E-3</v>
      </c>
      <c r="P7" s="21">
        <v>2.1048357489809849E-10</v>
      </c>
      <c r="Q7" s="2">
        <v>0.32</v>
      </c>
      <c r="R7" s="27">
        <f t="shared" si="11"/>
        <v>132000</v>
      </c>
      <c r="S7" s="2">
        <f t="shared" si="12"/>
        <v>5.36358238306597E-3</v>
      </c>
      <c r="T7" s="11">
        <v>0.09</v>
      </c>
      <c r="U7" s="30">
        <f t="shared" si="13"/>
        <v>109000.00000000001</v>
      </c>
      <c r="V7" s="30">
        <f t="shared" si="1"/>
        <v>2.9106237623762383</v>
      </c>
      <c r="W7" s="2">
        <f t="shared" si="14"/>
        <v>22</v>
      </c>
      <c r="X7" s="2">
        <f t="shared" si="15"/>
        <v>-1.9662068583162287E-7</v>
      </c>
      <c r="Y7" s="11">
        <f t="shared" si="16"/>
        <v>3.6907479765551338E-2</v>
      </c>
      <c r="Z7" s="2">
        <f t="shared" si="17"/>
        <v>-7.9893298601429653E-15</v>
      </c>
      <c r="AA7" s="27">
        <f t="shared" si="18"/>
        <v>-4811174441.7780943</v>
      </c>
    </row>
    <row r="8" spans="1:27" x14ac:dyDescent="0.25">
      <c r="A8" s="26">
        <v>18</v>
      </c>
      <c r="B8" s="26">
        <f t="shared" si="2"/>
        <v>0.3</v>
      </c>
      <c r="C8" s="26">
        <v>20</v>
      </c>
      <c r="D8" s="26">
        <f t="shared" si="0"/>
        <v>29.146000000000001</v>
      </c>
      <c r="E8" s="26">
        <f t="shared" si="3"/>
        <v>4.8576666666666667E-7</v>
      </c>
      <c r="F8" s="26">
        <v>21.1</v>
      </c>
      <c r="G8" s="26">
        <f t="shared" si="4"/>
        <v>294.10000000000002</v>
      </c>
      <c r="H8" s="26">
        <v>101.3</v>
      </c>
      <c r="I8" s="26">
        <f t="shared" si="5"/>
        <v>101300</v>
      </c>
      <c r="J8" s="26">
        <f t="shared" si="6"/>
        <v>2.0124824921938581E-5</v>
      </c>
      <c r="K8" s="28">
        <v>27.594059405940595</v>
      </c>
      <c r="L8" s="27">
        <f t="shared" si="7"/>
        <v>2.7594059405940596E-5</v>
      </c>
      <c r="M8" s="29">
        <f t="shared" si="8"/>
        <v>4.7762865441819992E-3</v>
      </c>
      <c r="N8" s="33">
        <f t="shared" si="9"/>
        <v>1.1626723172766297E-7</v>
      </c>
      <c r="O8" s="21">
        <f t="shared" si="10"/>
        <v>2.032E-3</v>
      </c>
      <c r="P8" s="21">
        <v>2.1048357489809849E-10</v>
      </c>
      <c r="Q8" s="2">
        <v>0.32</v>
      </c>
      <c r="R8" s="27">
        <f t="shared" si="11"/>
        <v>132000</v>
      </c>
      <c r="S8" s="2">
        <f t="shared" si="12"/>
        <v>5.36358238306597E-3</v>
      </c>
      <c r="T8" s="11">
        <v>0.09</v>
      </c>
      <c r="U8" s="30">
        <f t="shared" si="13"/>
        <v>109000.00000000001</v>
      </c>
      <c r="V8" s="30">
        <f t="shared" si="1"/>
        <v>3.0077524752475253</v>
      </c>
      <c r="W8" s="2">
        <f t="shared" si="14"/>
        <v>22</v>
      </c>
      <c r="X8" s="2">
        <f t="shared" si="15"/>
        <v>-1.899416678188299E-7</v>
      </c>
      <c r="Y8" s="11">
        <f t="shared" si="16"/>
        <v>9.8807459754691098E-3</v>
      </c>
      <c r="Z8" s="2">
        <f t="shared" si="17"/>
        <v>-7.7179383301684293E-15</v>
      </c>
      <c r="AA8" s="27">
        <f t="shared" si="18"/>
        <v>-4647742462.4274282</v>
      </c>
    </row>
    <row r="9" spans="1:27" x14ac:dyDescent="0.25">
      <c r="A9" s="26">
        <v>21</v>
      </c>
      <c r="B9" s="26">
        <f t="shared" si="2"/>
        <v>0.35</v>
      </c>
      <c r="C9" s="26">
        <v>20</v>
      </c>
      <c r="D9" s="26">
        <f t="shared" si="0"/>
        <v>29.146000000000001</v>
      </c>
      <c r="E9" s="26">
        <f t="shared" si="3"/>
        <v>4.8576666666666667E-7</v>
      </c>
      <c r="F9" s="26">
        <v>21.1</v>
      </c>
      <c r="G9" s="26">
        <f t="shared" si="4"/>
        <v>294.10000000000002</v>
      </c>
      <c r="H9" s="26">
        <v>101.3</v>
      </c>
      <c r="I9" s="26">
        <f t="shared" si="5"/>
        <v>101300</v>
      </c>
      <c r="J9" s="26">
        <f t="shared" si="6"/>
        <v>2.0124824921938581E-5</v>
      </c>
      <c r="K9" s="28">
        <v>30.267326732673265</v>
      </c>
      <c r="L9" s="27">
        <f t="shared" si="7"/>
        <v>3.0267326732673266E-5</v>
      </c>
      <c r="M9" s="29">
        <f t="shared" si="8"/>
        <v>4.7762865441819992E-3</v>
      </c>
      <c r="N9" s="33">
        <f t="shared" si="9"/>
        <v>1.2753101090472395E-7</v>
      </c>
      <c r="O9" s="21">
        <f t="shared" si="10"/>
        <v>2.032E-3</v>
      </c>
      <c r="P9" s="21">
        <v>2.1048357489809849E-10</v>
      </c>
      <c r="Q9" s="2">
        <v>0.32</v>
      </c>
      <c r="R9" s="27">
        <f t="shared" si="11"/>
        <v>132000</v>
      </c>
      <c r="S9" s="2">
        <f t="shared" si="12"/>
        <v>5.36358238306597E-3</v>
      </c>
      <c r="T9" s="11">
        <v>0.09</v>
      </c>
      <c r="U9" s="30">
        <f t="shared" si="13"/>
        <v>109000.00000000001</v>
      </c>
      <c r="V9" s="30">
        <f t="shared" si="1"/>
        <v>3.2991386138613863</v>
      </c>
      <c r="W9" s="2">
        <f t="shared" si="14"/>
        <v>22</v>
      </c>
      <c r="X9" s="2">
        <f t="shared" si="15"/>
        <v>-1.7017714922499616E-7</v>
      </c>
      <c r="Y9" s="11">
        <f t="shared" si="16"/>
        <v>3.0091746188216913E-2</v>
      </c>
      <c r="Z9" s="2">
        <f t="shared" si="17"/>
        <v>-6.9148436944189356E-15</v>
      </c>
      <c r="AA9" s="27">
        <f t="shared" si="18"/>
        <v>-4164118872.7790833</v>
      </c>
    </row>
    <row r="10" spans="1:27" x14ac:dyDescent="0.25">
      <c r="A10" s="26">
        <v>24</v>
      </c>
      <c r="B10" s="26">
        <f t="shared" si="2"/>
        <v>0.4</v>
      </c>
      <c r="C10" s="26">
        <v>20</v>
      </c>
      <c r="D10" s="26">
        <f t="shared" si="0"/>
        <v>29.146000000000001</v>
      </c>
      <c r="E10" s="26">
        <f t="shared" si="3"/>
        <v>4.8576666666666667E-7</v>
      </c>
      <c r="F10" s="26">
        <v>21.1</v>
      </c>
      <c r="G10" s="26">
        <f t="shared" si="4"/>
        <v>294.10000000000002</v>
      </c>
      <c r="H10" s="26">
        <v>101.3</v>
      </c>
      <c r="I10" s="26">
        <f t="shared" si="5"/>
        <v>101300</v>
      </c>
      <c r="J10" s="26">
        <f t="shared" si="6"/>
        <v>2.0124824921938581E-5</v>
      </c>
      <c r="K10" s="28">
        <v>47.816831683168317</v>
      </c>
      <c r="L10" s="27">
        <f t="shared" si="7"/>
        <v>4.7816831683168316E-5</v>
      </c>
      <c r="M10" s="29">
        <f t="shared" si="8"/>
        <v>4.7762865441819992E-3</v>
      </c>
      <c r="N10" s="33">
        <f t="shared" si="9"/>
        <v>2.014756353170966E-7</v>
      </c>
      <c r="O10" s="21">
        <f t="shared" si="10"/>
        <v>2.032E-3</v>
      </c>
      <c r="P10" s="21">
        <v>2.1048357489809849E-10</v>
      </c>
      <c r="Q10" s="2">
        <v>0.32</v>
      </c>
      <c r="R10" s="27">
        <f t="shared" si="11"/>
        <v>132000</v>
      </c>
      <c r="S10" s="2">
        <f t="shared" si="12"/>
        <v>5.36358238306597E-3</v>
      </c>
      <c r="T10" s="11">
        <v>0.09</v>
      </c>
      <c r="U10" s="30">
        <f t="shared" si="13"/>
        <v>109000.00000000001</v>
      </c>
      <c r="V10" s="30">
        <f t="shared" si="1"/>
        <v>5.2120346534653468</v>
      </c>
      <c r="W10" s="2">
        <f t="shared" si="14"/>
        <v>22</v>
      </c>
      <c r="X10" s="2">
        <f t="shared" si="15"/>
        <v>-4.7896402413225735E-8</v>
      </c>
      <c r="Y10" s="11">
        <f t="shared" si="16"/>
        <v>3.3145776142595609</v>
      </c>
      <c r="Z10" s="2">
        <f t="shared" si="17"/>
        <v>-1.9462329631517253E-15</v>
      </c>
      <c r="AA10" s="27">
        <f t="shared" si="18"/>
        <v>-1172021490.4099691</v>
      </c>
    </row>
    <row r="11" spans="1:27" x14ac:dyDescent="0.25">
      <c r="A11" s="26">
        <v>27</v>
      </c>
      <c r="B11" s="26">
        <f t="shared" si="2"/>
        <v>0.45</v>
      </c>
      <c r="C11" s="26">
        <v>20</v>
      </c>
      <c r="D11" s="26">
        <f t="shared" si="0"/>
        <v>29.146000000000001</v>
      </c>
      <c r="E11" s="26">
        <f t="shared" si="3"/>
        <v>4.8576666666666667E-7</v>
      </c>
      <c r="F11" s="26">
        <v>21.1</v>
      </c>
      <c r="G11" s="26">
        <f t="shared" si="4"/>
        <v>294.10000000000002</v>
      </c>
      <c r="H11" s="26">
        <v>101.3</v>
      </c>
      <c r="I11" s="26">
        <f t="shared" si="5"/>
        <v>101300</v>
      </c>
      <c r="J11" s="26">
        <f t="shared" si="6"/>
        <v>2.0124824921938581E-5</v>
      </c>
      <c r="K11" s="28">
        <v>62.049504950495056</v>
      </c>
      <c r="L11" s="27">
        <f t="shared" si="7"/>
        <v>6.2049504950495061E-5</v>
      </c>
      <c r="M11" s="29">
        <f t="shared" si="8"/>
        <v>4.7762865441819992E-3</v>
      </c>
      <c r="N11" s="33">
        <f t="shared" si="9"/>
        <v>2.6144483000978248E-7</v>
      </c>
      <c r="O11" s="21">
        <f t="shared" si="10"/>
        <v>2.032E-3</v>
      </c>
      <c r="P11" s="21">
        <v>2.1048357489809849E-10</v>
      </c>
      <c r="Q11" s="2">
        <v>0.32</v>
      </c>
      <c r="R11" s="27">
        <f t="shared" si="11"/>
        <v>132000</v>
      </c>
      <c r="S11" s="2">
        <f t="shared" si="12"/>
        <v>5.36358238306597E-3</v>
      </c>
      <c r="T11" s="11">
        <v>0.09</v>
      </c>
      <c r="U11" s="30">
        <f t="shared" si="13"/>
        <v>109000.00000000001</v>
      </c>
      <c r="V11" s="30">
        <f t="shared" si="1"/>
        <v>6.763396039603963</v>
      </c>
      <c r="W11" s="2">
        <f t="shared" si="14"/>
        <v>22</v>
      </c>
      <c r="X11" s="2">
        <f t="shared" si="15"/>
        <v>4.4977932449455017E-8</v>
      </c>
      <c r="Y11" s="11">
        <f t="shared" si="16"/>
        <v>9.2104247520280857</v>
      </c>
      <c r="Z11" s="2">
        <f t="shared" si="17"/>
        <v>1.8277248502638558E-15</v>
      </c>
      <c r="AA11" s="27">
        <f t="shared" si="18"/>
        <v>1100655904.8288939</v>
      </c>
    </row>
    <row r="12" spans="1:27" x14ac:dyDescent="0.25">
      <c r="A12" s="26">
        <v>30</v>
      </c>
      <c r="B12" s="26">
        <f t="shared" si="2"/>
        <v>0.5</v>
      </c>
      <c r="C12" s="26">
        <v>20</v>
      </c>
      <c r="D12" s="26">
        <f t="shared" si="0"/>
        <v>29.146000000000001</v>
      </c>
      <c r="E12" s="26">
        <f t="shared" si="3"/>
        <v>4.8576666666666667E-7</v>
      </c>
      <c r="F12" s="26">
        <v>21.1</v>
      </c>
      <c r="G12" s="26">
        <f t="shared" si="4"/>
        <v>294.10000000000002</v>
      </c>
      <c r="H12" s="26">
        <v>101.3</v>
      </c>
      <c r="I12" s="26">
        <f t="shared" si="5"/>
        <v>101300</v>
      </c>
      <c r="J12" s="26">
        <f t="shared" si="6"/>
        <v>2.0124824921938581E-5</v>
      </c>
      <c r="K12" s="28">
        <v>82.816831683168317</v>
      </c>
      <c r="L12" s="27">
        <f t="shared" si="7"/>
        <v>8.2816831683168313E-5</v>
      </c>
      <c r="M12" s="29">
        <f t="shared" si="8"/>
        <v>4.7762865441819992E-3</v>
      </c>
      <c r="N12" s="33">
        <f t="shared" si="9"/>
        <v>3.4894770713528408E-7</v>
      </c>
      <c r="O12" s="21">
        <f t="shared" si="10"/>
        <v>2.032E-3</v>
      </c>
      <c r="P12" s="21">
        <v>2.1048357489809849E-10</v>
      </c>
      <c r="Q12" s="2">
        <v>0.32</v>
      </c>
      <c r="R12" s="27">
        <f t="shared" si="11"/>
        <v>132000</v>
      </c>
      <c r="S12" s="2">
        <f t="shared" si="12"/>
        <v>5.36358238306597E-3</v>
      </c>
      <c r="T12" s="11">
        <v>0.09</v>
      </c>
      <c r="U12" s="30">
        <f t="shared" si="13"/>
        <v>109000.00000000001</v>
      </c>
      <c r="V12" s="30">
        <f t="shared" si="1"/>
        <v>9.0270346534653481</v>
      </c>
      <c r="W12" s="2">
        <f t="shared" si="14"/>
        <v>22</v>
      </c>
      <c r="X12" s="2">
        <f t="shared" si="15"/>
        <v>1.7431332151544031E-7</v>
      </c>
      <c r="Y12" s="11">
        <f t="shared" si="16"/>
        <v>21.970933344601622</v>
      </c>
      <c r="Z12" s="2">
        <f t="shared" si="17"/>
        <v>7.084087154701615E-15</v>
      </c>
      <c r="AA12" s="27">
        <f t="shared" si="18"/>
        <v>4266037284.5613127</v>
      </c>
    </row>
    <row r="13" spans="1:27" x14ac:dyDescent="0.25">
      <c r="A13" s="26">
        <v>33</v>
      </c>
      <c r="B13" s="26">
        <f t="shared" si="2"/>
        <v>0.55000000000000004</v>
      </c>
      <c r="C13" s="26">
        <v>20</v>
      </c>
      <c r="D13" s="26">
        <f t="shared" si="0"/>
        <v>29.146000000000001</v>
      </c>
      <c r="E13" s="26">
        <f t="shared" si="3"/>
        <v>4.8576666666666667E-7</v>
      </c>
      <c r="F13" s="26">
        <v>21.1</v>
      </c>
      <c r="G13" s="26">
        <f t="shared" si="4"/>
        <v>294.10000000000002</v>
      </c>
      <c r="H13" s="26">
        <v>101.3</v>
      </c>
      <c r="I13" s="26">
        <f t="shared" si="5"/>
        <v>101300</v>
      </c>
      <c r="J13" s="26">
        <f t="shared" si="6"/>
        <v>2.0124824921938581E-5</v>
      </c>
      <c r="K13" s="28">
        <v>112.39603960396042</v>
      </c>
      <c r="L13" s="27">
        <f t="shared" si="7"/>
        <v>1.1239603960396042E-4</v>
      </c>
      <c r="M13" s="29">
        <f t="shared" si="8"/>
        <v>4.7762865441819992E-3</v>
      </c>
      <c r="N13" s="33">
        <f t="shared" si="9"/>
        <v>4.7357933784443135E-7</v>
      </c>
      <c r="O13" s="21">
        <f t="shared" si="10"/>
        <v>2.032E-3</v>
      </c>
      <c r="P13" s="21">
        <v>2.1048357489809849E-10</v>
      </c>
      <c r="Q13" s="2">
        <v>0.32</v>
      </c>
      <c r="R13" s="27">
        <f t="shared" si="11"/>
        <v>132000</v>
      </c>
      <c r="S13" s="2">
        <f t="shared" si="12"/>
        <v>5.36358238306597E-3</v>
      </c>
      <c r="T13" s="11">
        <v>0.09</v>
      </c>
      <c r="U13" s="30">
        <f t="shared" si="13"/>
        <v>109000.00000000001</v>
      </c>
      <c r="V13" s="30">
        <f t="shared" si="1"/>
        <v>12.251168316831688</v>
      </c>
      <c r="W13" s="2">
        <f t="shared" si="14"/>
        <v>22</v>
      </c>
      <c r="X13" s="2">
        <f t="shared" si="15"/>
        <v>3.5028808028267709E-7</v>
      </c>
      <c r="Y13" s="11">
        <f t="shared" si="16"/>
        <v>47.359639104139312</v>
      </c>
      <c r="Z13" s="2">
        <f t="shared" si="17"/>
        <v>1.4238434117449814E-14</v>
      </c>
      <c r="AA13" s="27">
        <f t="shared" si="18"/>
        <v>8574385025.5282784</v>
      </c>
    </row>
    <row r="14" spans="1:27" x14ac:dyDescent="0.25">
      <c r="A14" s="26">
        <v>36</v>
      </c>
      <c r="B14" s="26">
        <f t="shared" si="2"/>
        <v>0.6</v>
      </c>
      <c r="C14" s="26">
        <v>20</v>
      </c>
      <c r="D14" s="26">
        <f t="shared" si="0"/>
        <v>29.146000000000001</v>
      </c>
      <c r="E14" s="26">
        <f t="shared" si="3"/>
        <v>4.8576666666666667E-7</v>
      </c>
      <c r="F14" s="26">
        <v>21.1</v>
      </c>
      <c r="G14" s="26">
        <f t="shared" si="4"/>
        <v>294.10000000000002</v>
      </c>
      <c r="H14" s="26">
        <v>101.3</v>
      </c>
      <c r="I14" s="26">
        <f t="shared" si="5"/>
        <v>101300</v>
      </c>
      <c r="J14" s="26">
        <f t="shared" si="6"/>
        <v>2.0124824921938581E-5</v>
      </c>
      <c r="K14" s="28">
        <v>140.66336633663369</v>
      </c>
      <c r="L14" s="27">
        <f t="shared" si="7"/>
        <v>1.4066336633663368E-4</v>
      </c>
      <c r="M14" s="29">
        <f t="shared" si="8"/>
        <v>4.7762865441819992E-3</v>
      </c>
      <c r="N14" s="33">
        <f t="shared" si="9"/>
        <v>5.9268337321668732E-7</v>
      </c>
      <c r="O14" s="21">
        <f t="shared" si="10"/>
        <v>2.032E-3</v>
      </c>
      <c r="P14" s="21">
        <v>2.1048357489809849E-10</v>
      </c>
      <c r="Q14" s="2">
        <v>0.32</v>
      </c>
      <c r="R14" s="27">
        <f t="shared" si="11"/>
        <v>132000</v>
      </c>
      <c r="S14" s="2">
        <f t="shared" si="12"/>
        <v>5.36358238306597E-3</v>
      </c>
      <c r="T14" s="11">
        <v>0.09</v>
      </c>
      <c r="U14" s="30">
        <f t="shared" si="13"/>
        <v>109000.00000000001</v>
      </c>
      <c r="V14" s="30">
        <f t="shared" si="1"/>
        <v>15.332306930693074</v>
      </c>
      <c r="W14" s="2">
        <f t="shared" si="14"/>
        <v>22</v>
      </c>
      <c r="X14" s="2">
        <f t="shared" si="15"/>
        <v>5.1242959288506329E-7</v>
      </c>
      <c r="Y14" s="11">
        <f t="shared" si="16"/>
        <v>78.546099575561342</v>
      </c>
      <c r="Z14" s="2">
        <f t="shared" si="17"/>
        <v>2.0834051291115657E-14</v>
      </c>
      <c r="AA14" s="27">
        <f t="shared" si="18"/>
        <v>12546265687.50985</v>
      </c>
    </row>
    <row r="15" spans="1:27" x14ac:dyDescent="0.25">
      <c r="A15" s="26">
        <v>39</v>
      </c>
      <c r="B15" s="26">
        <f t="shared" si="2"/>
        <v>0.65</v>
      </c>
      <c r="C15" s="26">
        <v>20</v>
      </c>
      <c r="D15" s="26">
        <f t="shared" si="0"/>
        <v>29.146000000000001</v>
      </c>
      <c r="E15" s="26">
        <f t="shared" si="3"/>
        <v>4.8576666666666667E-7</v>
      </c>
      <c r="F15" s="26">
        <v>21.1</v>
      </c>
      <c r="G15" s="26">
        <f t="shared" si="4"/>
        <v>294.10000000000002</v>
      </c>
      <c r="H15" s="26">
        <v>101.3</v>
      </c>
      <c r="I15" s="26">
        <f t="shared" si="5"/>
        <v>101300</v>
      </c>
      <c r="J15" s="26">
        <f t="shared" si="6"/>
        <v>2.0124824921938581E-5</v>
      </c>
      <c r="K15" s="28">
        <v>168.36138613861388</v>
      </c>
      <c r="L15" s="27">
        <f t="shared" si="7"/>
        <v>1.6836138613861388E-4</v>
      </c>
      <c r="M15" s="29">
        <f t="shared" si="8"/>
        <v>4.7762865441819992E-3</v>
      </c>
      <c r="N15" s="33">
        <f t="shared" si="9"/>
        <v>7.0938864080123612E-7</v>
      </c>
      <c r="O15" s="21">
        <f t="shared" si="10"/>
        <v>2.032E-3</v>
      </c>
      <c r="P15" s="21">
        <v>2.1048357489809849E-10</v>
      </c>
      <c r="Q15" s="2">
        <v>0.32</v>
      </c>
      <c r="R15" s="27">
        <f t="shared" si="11"/>
        <v>132000</v>
      </c>
      <c r="S15" s="2">
        <f t="shared" si="12"/>
        <v>5.36358238306597E-3</v>
      </c>
      <c r="T15" s="11">
        <v>0.09</v>
      </c>
      <c r="U15" s="30">
        <f t="shared" si="13"/>
        <v>109000.00000000001</v>
      </c>
      <c r="V15" s="30">
        <f t="shared" si="1"/>
        <v>18.351391089108915</v>
      </c>
      <c r="W15" s="2">
        <f t="shared" si="14"/>
        <v>22</v>
      </c>
      <c r="X15" s="2">
        <f t="shared" si="15"/>
        <v>6.6727500070918373E-7</v>
      </c>
      <c r="Y15" s="11">
        <f t="shared" si="16"/>
        <v>115.04060811935115</v>
      </c>
      <c r="Z15" s="2">
        <f t="shared" si="17"/>
        <v>2.7137169052231191E-14</v>
      </c>
      <c r="AA15" s="27">
        <f t="shared" si="18"/>
        <v>16342003203.253624</v>
      </c>
    </row>
    <row r="16" spans="1:27" x14ac:dyDescent="0.25">
      <c r="A16" s="26">
        <v>42</v>
      </c>
      <c r="B16" s="26">
        <f t="shared" si="2"/>
        <v>0.7</v>
      </c>
      <c r="C16" s="26">
        <v>20</v>
      </c>
      <c r="D16" s="26">
        <f t="shared" si="0"/>
        <v>29.146000000000001</v>
      </c>
      <c r="E16" s="26">
        <f t="shared" si="3"/>
        <v>4.8576666666666667E-7</v>
      </c>
      <c r="F16" s="26">
        <v>21.1</v>
      </c>
      <c r="G16" s="26">
        <f t="shared" si="4"/>
        <v>294.10000000000002</v>
      </c>
      <c r="H16" s="26">
        <v>101.3</v>
      </c>
      <c r="I16" s="26">
        <f t="shared" si="5"/>
        <v>101300</v>
      </c>
      <c r="J16" s="26">
        <f t="shared" si="6"/>
        <v>2.0124824921938581E-5</v>
      </c>
      <c r="K16" s="28">
        <v>200.36633663366339</v>
      </c>
      <c r="L16" s="27">
        <f t="shared" si="7"/>
        <v>2.0036633663366338E-4</v>
      </c>
      <c r="M16" s="29">
        <f t="shared" si="8"/>
        <v>4.7762865441819992E-3</v>
      </c>
      <c r="N16" s="33">
        <f t="shared" si="9"/>
        <v>8.4424110817104977E-7</v>
      </c>
      <c r="O16" s="21">
        <f t="shared" si="10"/>
        <v>2.032E-3</v>
      </c>
      <c r="P16" s="21">
        <v>2.1048357489809849E-10</v>
      </c>
      <c r="Q16" s="2">
        <v>0.32</v>
      </c>
      <c r="R16" s="27">
        <f t="shared" si="11"/>
        <v>132000</v>
      </c>
      <c r="S16" s="2">
        <f t="shared" si="12"/>
        <v>5.36358238306597E-3</v>
      </c>
      <c r="T16" s="11">
        <v>0.09</v>
      </c>
      <c r="U16" s="30">
        <f t="shared" si="13"/>
        <v>109000.00000000001</v>
      </c>
      <c r="V16" s="30">
        <f t="shared" si="1"/>
        <v>21.839930693069313</v>
      </c>
      <c r="W16" s="2">
        <f t="shared" si="14"/>
        <v>22</v>
      </c>
      <c r="X16" s="2">
        <f t="shared" si="15"/>
        <v>8.4247037399831364E-7</v>
      </c>
      <c r="Y16" s="11">
        <f t="shared" si="16"/>
        <v>164.0063501429911</v>
      </c>
      <c r="Z16" s="2">
        <f t="shared" si="17"/>
        <v>3.4274852649371717E-14</v>
      </c>
      <c r="AA16" s="27">
        <f t="shared" si="18"/>
        <v>20640316265.451649</v>
      </c>
    </row>
    <row r="17" spans="1:78" s="4" customFormat="1" x14ac:dyDescent="0.25">
      <c r="A17" s="26">
        <v>45</v>
      </c>
      <c r="B17" s="26">
        <f t="shared" si="2"/>
        <v>0.75</v>
      </c>
      <c r="C17" s="26">
        <v>20</v>
      </c>
      <c r="D17" s="26">
        <f t="shared" si="0"/>
        <v>29.146000000000001</v>
      </c>
      <c r="E17" s="26">
        <f t="shared" si="3"/>
        <v>4.8576666666666667E-7</v>
      </c>
      <c r="F17" s="26">
        <v>21.1</v>
      </c>
      <c r="G17" s="26">
        <f t="shared" si="4"/>
        <v>294.10000000000002</v>
      </c>
      <c r="H17" s="26">
        <v>101.3</v>
      </c>
      <c r="I17" s="26">
        <f t="shared" si="5"/>
        <v>101300</v>
      </c>
      <c r="J17" s="26">
        <f t="shared" si="6"/>
        <v>2.0124824921938581E-5</v>
      </c>
      <c r="K17" s="28">
        <v>220.56435643564356</v>
      </c>
      <c r="L17" s="27">
        <f t="shared" si="7"/>
        <v>2.2056435643564356E-4</v>
      </c>
      <c r="M17" s="29">
        <f t="shared" si="8"/>
        <v>4.7762865441819992E-3</v>
      </c>
      <c r="N17" s="33">
        <f t="shared" si="9"/>
        <v>9.2934521750884377E-7</v>
      </c>
      <c r="O17" s="21">
        <f t="shared" si="10"/>
        <v>2.032E-3</v>
      </c>
      <c r="P17" s="21">
        <v>2.1048357489809849E-10</v>
      </c>
      <c r="Q17" s="2">
        <v>0.32</v>
      </c>
      <c r="R17" s="27">
        <f t="shared" si="11"/>
        <v>132000</v>
      </c>
      <c r="S17" s="2">
        <f t="shared" si="12"/>
        <v>5.36358238306597E-3</v>
      </c>
      <c r="T17" s="11">
        <v>0.09</v>
      </c>
      <c r="U17" s="30">
        <f t="shared" si="13"/>
        <v>109000.00000000001</v>
      </c>
      <c r="V17" s="30">
        <f t="shared" si="1"/>
        <v>24.04151485148515</v>
      </c>
      <c r="W17" s="2">
        <f t="shared" si="14"/>
        <v>22</v>
      </c>
      <c r="X17" s="2">
        <f t="shared" si="15"/>
        <v>9.5138788063675774E-7</v>
      </c>
      <c r="Y17" s="11">
        <f t="shared" si="16"/>
        <v>198.46822858801843</v>
      </c>
      <c r="Z17" s="2">
        <f t="shared" si="17"/>
        <v>3.8716145461008992E-14</v>
      </c>
      <c r="AA17" s="27">
        <f t="shared" si="18"/>
        <v>23314862796.619617</v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</row>
    <row r="18" spans="1:78" s="4" customFormat="1" x14ac:dyDescent="0.25">
      <c r="A18" s="26">
        <v>48</v>
      </c>
      <c r="B18" s="26">
        <f t="shared" si="2"/>
        <v>0.8</v>
      </c>
      <c r="C18" s="26">
        <v>20</v>
      </c>
      <c r="D18" s="26">
        <f t="shared" si="0"/>
        <v>29.146000000000001</v>
      </c>
      <c r="E18" s="26">
        <f t="shared" si="3"/>
        <v>4.8576666666666667E-7</v>
      </c>
      <c r="F18" s="26">
        <v>21.1</v>
      </c>
      <c r="G18" s="26">
        <f t="shared" si="4"/>
        <v>294.10000000000002</v>
      </c>
      <c r="H18" s="26">
        <v>101.3</v>
      </c>
      <c r="I18" s="26">
        <f t="shared" si="5"/>
        <v>101300</v>
      </c>
      <c r="J18" s="26">
        <f t="shared" si="6"/>
        <v>2.0124824921938581E-5</v>
      </c>
      <c r="K18" s="28">
        <v>258.90594059405947</v>
      </c>
      <c r="L18" s="27">
        <f t="shared" si="7"/>
        <v>2.5890594059405948E-4</v>
      </c>
      <c r="M18" s="29">
        <f t="shared" si="8"/>
        <v>4.7762865441819992E-3</v>
      </c>
      <c r="N18" s="33">
        <f t="shared" si="9"/>
        <v>1.0908970132983579E-6</v>
      </c>
      <c r="O18" s="21">
        <f t="shared" si="10"/>
        <v>2.032E-3</v>
      </c>
      <c r="P18" s="21">
        <v>2.1048357489809849E-10</v>
      </c>
      <c r="Q18" s="2">
        <v>0.32</v>
      </c>
      <c r="R18" s="27">
        <f t="shared" si="11"/>
        <v>132000</v>
      </c>
      <c r="S18" s="2">
        <f t="shared" si="12"/>
        <v>5.36358238306597E-3</v>
      </c>
      <c r="T18" s="11">
        <v>0.09</v>
      </c>
      <c r="U18" s="30">
        <f t="shared" si="13"/>
        <v>109000.00000000001</v>
      </c>
      <c r="V18" s="30">
        <f t="shared" si="1"/>
        <v>28.220747524752486</v>
      </c>
      <c r="W18" s="2">
        <f t="shared" si="14"/>
        <v>22</v>
      </c>
      <c r="X18" s="2">
        <f t="shared" si="15"/>
        <v>1.1553166500385061E-6</v>
      </c>
      <c r="Y18" s="11">
        <f t="shared" si="16"/>
        <v>271.11930972446339</v>
      </c>
      <c r="Z18" s="2">
        <f t="shared" si="17"/>
        <v>4.704083112631178E-14</v>
      </c>
      <c r="AA18" s="27">
        <f t="shared" si="18"/>
        <v>28327988504.264954</v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</row>
    <row r="19" spans="1:78" s="4" customFormat="1" x14ac:dyDescent="0.25">
      <c r="A19" s="26">
        <v>51</v>
      </c>
      <c r="B19" s="26">
        <f t="shared" si="2"/>
        <v>0.85</v>
      </c>
      <c r="C19" s="26">
        <v>20</v>
      </c>
      <c r="D19" s="26">
        <f t="shared" si="0"/>
        <v>29.146000000000001</v>
      </c>
      <c r="E19" s="26">
        <f t="shared" si="3"/>
        <v>4.8576666666666667E-7</v>
      </c>
      <c r="F19" s="26">
        <v>21.1</v>
      </c>
      <c r="G19" s="26">
        <f t="shared" si="4"/>
        <v>294.10000000000002</v>
      </c>
      <c r="H19" s="26">
        <v>101.3</v>
      </c>
      <c r="I19" s="26">
        <f t="shared" si="5"/>
        <v>101300</v>
      </c>
      <c r="J19" s="26">
        <f t="shared" si="6"/>
        <v>2.0124824921938581E-5</v>
      </c>
      <c r="K19" s="28">
        <v>281.03465346534654</v>
      </c>
      <c r="L19" s="27">
        <f t="shared" si="7"/>
        <v>2.8103465346534655E-4</v>
      </c>
      <c r="M19" s="29">
        <f t="shared" si="8"/>
        <v>4.7762865441819992E-3</v>
      </c>
      <c r="N19" s="33">
        <f t="shared" si="9"/>
        <v>1.1841360742640291E-6</v>
      </c>
      <c r="O19" s="21">
        <f t="shared" si="10"/>
        <v>2.032E-3</v>
      </c>
      <c r="P19" s="21">
        <v>2.1048357489809849E-10</v>
      </c>
      <c r="Q19" s="2">
        <v>0.32</v>
      </c>
      <c r="R19" s="27">
        <f t="shared" si="11"/>
        <v>132000</v>
      </c>
      <c r="S19" s="2">
        <f t="shared" si="12"/>
        <v>5.36358238306597E-3</v>
      </c>
      <c r="T19" s="11">
        <v>0.09</v>
      </c>
      <c r="U19" s="30">
        <f t="shared" si="13"/>
        <v>109000.00000000001</v>
      </c>
      <c r="V19" s="30">
        <f t="shared" si="1"/>
        <v>30.632777227722777</v>
      </c>
      <c r="W19" s="2">
        <f t="shared" si="14"/>
        <v>22</v>
      </c>
      <c r="X19" s="2">
        <f t="shared" si="15"/>
        <v>1.2715895943555687E-6</v>
      </c>
      <c r="Y19" s="11">
        <f t="shared" si="16"/>
        <v>317.21617371283645</v>
      </c>
      <c r="Z19" s="2">
        <f t="shared" si="17"/>
        <v>5.1793221168324319E-14</v>
      </c>
      <c r="AA19" s="27">
        <f t="shared" si="18"/>
        <v>31189877787.564907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</row>
    <row r="20" spans="1:78" s="4" customFormat="1" x14ac:dyDescent="0.25">
      <c r="A20" s="26">
        <v>54</v>
      </c>
      <c r="B20" s="26">
        <f t="shared" si="2"/>
        <v>0.9</v>
      </c>
      <c r="C20" s="26">
        <v>20</v>
      </c>
      <c r="D20" s="26">
        <f t="shared" si="0"/>
        <v>29.146000000000001</v>
      </c>
      <c r="E20" s="26">
        <f t="shared" si="3"/>
        <v>4.8576666666666667E-7</v>
      </c>
      <c r="F20" s="26">
        <v>21.1</v>
      </c>
      <c r="G20" s="26">
        <f t="shared" si="4"/>
        <v>294.10000000000002</v>
      </c>
      <c r="H20" s="26">
        <v>101.3</v>
      </c>
      <c r="I20" s="26">
        <f t="shared" si="5"/>
        <v>101300</v>
      </c>
      <c r="J20" s="26">
        <f t="shared" si="6"/>
        <v>2.0124824921938581E-5</v>
      </c>
      <c r="K20" s="28">
        <v>298.8564356435644</v>
      </c>
      <c r="L20" s="27">
        <f t="shared" si="7"/>
        <v>2.9885643564356442E-4</v>
      </c>
      <c r="M20" s="29">
        <f t="shared" si="8"/>
        <v>4.7762865441819992E-3</v>
      </c>
      <c r="N20" s="33">
        <f t="shared" si="9"/>
        <v>1.259227935444436E-6</v>
      </c>
      <c r="O20" s="21">
        <f t="shared" si="10"/>
        <v>2.032E-3</v>
      </c>
      <c r="P20" s="21">
        <v>2.1048357489809849E-10</v>
      </c>
      <c r="Q20" s="2">
        <v>0.32</v>
      </c>
      <c r="R20" s="27">
        <f t="shared" si="11"/>
        <v>132000</v>
      </c>
      <c r="S20" s="2">
        <f t="shared" si="12"/>
        <v>5.36358238306597E-3</v>
      </c>
      <c r="T20" s="11">
        <v>0.09</v>
      </c>
      <c r="U20" s="30">
        <f t="shared" si="13"/>
        <v>109000.00000000001</v>
      </c>
      <c r="V20" s="30">
        <f t="shared" si="1"/>
        <v>32.575351485148524</v>
      </c>
      <c r="W20" s="2">
        <f t="shared" si="14"/>
        <v>22</v>
      </c>
      <c r="X20" s="2">
        <f t="shared" si="15"/>
        <v>1.3645801751772021E-6</v>
      </c>
      <c r="Y20" s="11">
        <f t="shared" si="16"/>
        <v>356.49534839232598</v>
      </c>
      <c r="Z20" s="2">
        <f t="shared" si="17"/>
        <v>5.5597412171844163E-14</v>
      </c>
      <c r="AA20" s="27">
        <f t="shared" si="18"/>
        <v>33480761609.884556</v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</row>
    <row r="21" spans="1:78" s="4" customFormat="1" x14ac:dyDescent="0.25">
      <c r="A21" s="26">
        <v>57</v>
      </c>
      <c r="B21" s="26">
        <f t="shared" si="2"/>
        <v>0.95</v>
      </c>
      <c r="C21" s="26">
        <v>20</v>
      </c>
      <c r="D21" s="26">
        <f t="shared" si="0"/>
        <v>29.146000000000001</v>
      </c>
      <c r="E21" s="26">
        <f t="shared" si="3"/>
        <v>4.8576666666666667E-7</v>
      </c>
      <c r="F21" s="26">
        <v>21.1</v>
      </c>
      <c r="G21" s="26">
        <f t="shared" si="4"/>
        <v>294.10000000000002</v>
      </c>
      <c r="H21" s="26">
        <v>101.3</v>
      </c>
      <c r="I21" s="26">
        <f t="shared" si="5"/>
        <v>101300</v>
      </c>
      <c r="J21" s="26">
        <f t="shared" si="6"/>
        <v>2.0124824921938581E-5</v>
      </c>
      <c r="K21" s="28">
        <v>316.08415841584161</v>
      </c>
      <c r="L21" s="27">
        <f t="shared" si="7"/>
        <v>3.1608415841584159E-4</v>
      </c>
      <c r="M21" s="29">
        <f t="shared" si="8"/>
        <v>4.7762865441819992E-3</v>
      </c>
      <c r="N21" s="33">
        <f t="shared" si="9"/>
        <v>1.3318167345854957E-6</v>
      </c>
      <c r="O21" s="21">
        <f t="shared" si="10"/>
        <v>2.032E-3</v>
      </c>
      <c r="P21" s="21">
        <v>2.1048357489809849E-10</v>
      </c>
      <c r="Q21" s="2">
        <v>0.32</v>
      </c>
      <c r="R21" s="27">
        <f t="shared" si="11"/>
        <v>132000</v>
      </c>
      <c r="S21" s="2">
        <f t="shared" si="12"/>
        <v>5.36358238306597E-3</v>
      </c>
      <c r="T21" s="11">
        <v>0.09</v>
      </c>
      <c r="U21" s="30">
        <f t="shared" si="13"/>
        <v>109000.00000000001</v>
      </c>
      <c r="V21" s="30">
        <f t="shared" si="1"/>
        <v>34.45317326732674</v>
      </c>
      <c r="W21" s="2">
        <f t="shared" si="14"/>
        <v>22</v>
      </c>
      <c r="X21" s="2">
        <f t="shared" si="15"/>
        <v>1.4539704207492919E-6</v>
      </c>
      <c r="Y21" s="11">
        <f t="shared" si="16"/>
        <v>396.25897808132555</v>
      </c>
      <c r="Z21" s="2">
        <f t="shared" si="17"/>
        <v>5.9257359051298357E-14</v>
      </c>
      <c r="AA21" s="27">
        <f t="shared" si="18"/>
        <v>35684781620.691872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</row>
    <row r="22" spans="1:78" s="4" customFormat="1" x14ac:dyDescent="0.25">
      <c r="A22" s="26">
        <v>60</v>
      </c>
      <c r="B22" s="26">
        <f t="shared" si="2"/>
        <v>1</v>
      </c>
      <c r="C22" s="26">
        <v>20</v>
      </c>
      <c r="D22" s="26">
        <f t="shared" si="0"/>
        <v>29.146000000000001</v>
      </c>
      <c r="E22" s="26">
        <f t="shared" si="3"/>
        <v>4.8576666666666667E-7</v>
      </c>
      <c r="F22" s="26">
        <v>21.1</v>
      </c>
      <c r="G22" s="26">
        <f t="shared" si="4"/>
        <v>294.10000000000002</v>
      </c>
      <c r="H22" s="26">
        <v>101.3</v>
      </c>
      <c r="I22" s="26">
        <f t="shared" si="5"/>
        <v>101300</v>
      </c>
      <c r="J22" s="26">
        <f t="shared" si="6"/>
        <v>2.0124824921938581E-5</v>
      </c>
      <c r="K22" s="28">
        <v>337.74257425742576</v>
      </c>
      <c r="L22" s="27">
        <f t="shared" si="7"/>
        <v>3.3774257425742577E-4</v>
      </c>
      <c r="M22" s="29">
        <f t="shared" si="8"/>
        <v>4.7762865441819992E-3</v>
      </c>
      <c r="N22" s="33">
        <f t="shared" si="9"/>
        <v>1.4230742047700175E-6</v>
      </c>
      <c r="O22" s="21">
        <f t="shared" si="10"/>
        <v>2.032E-3</v>
      </c>
      <c r="P22" s="21">
        <v>2.1048357489809849E-10</v>
      </c>
      <c r="Q22" s="2">
        <v>0.32</v>
      </c>
      <c r="R22" s="27">
        <f t="shared" si="11"/>
        <v>132000</v>
      </c>
      <c r="S22" s="2">
        <f t="shared" si="12"/>
        <v>5.36358238306597E-3</v>
      </c>
      <c r="T22" s="11">
        <v>0.09</v>
      </c>
      <c r="U22" s="30">
        <f t="shared" si="13"/>
        <v>109000.00000000001</v>
      </c>
      <c r="V22" s="30">
        <f t="shared" si="1"/>
        <v>36.813940594059417</v>
      </c>
      <c r="W22" s="2">
        <f t="shared" si="14"/>
        <v>22</v>
      </c>
      <c r="X22" s="2">
        <f t="shared" si="15"/>
        <v>1.5657134444894065E-6</v>
      </c>
      <c r="Y22" s="11">
        <f t="shared" si="16"/>
        <v>448.71034374397613</v>
      </c>
      <c r="Z22" s="2">
        <f t="shared" si="17"/>
        <v>6.383694960145571E-14</v>
      </c>
      <c r="AA22" s="27">
        <f t="shared" si="18"/>
        <v>38442611049.996628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</row>
    <row r="23" spans="1:78" s="4" customFormat="1" x14ac:dyDescent="0.25">
      <c r="A23" s="26">
        <v>63</v>
      </c>
      <c r="B23" s="26">
        <f t="shared" si="2"/>
        <v>1.05</v>
      </c>
      <c r="C23" s="26">
        <v>20</v>
      </c>
      <c r="D23" s="26">
        <f t="shared" si="0"/>
        <v>29.146000000000001</v>
      </c>
      <c r="E23" s="26">
        <f t="shared" si="3"/>
        <v>4.8576666666666667E-7</v>
      </c>
      <c r="F23" s="26">
        <v>21.1</v>
      </c>
      <c r="G23" s="26">
        <f t="shared" si="4"/>
        <v>294.10000000000002</v>
      </c>
      <c r="H23" s="26">
        <v>101.3</v>
      </c>
      <c r="I23" s="26">
        <f t="shared" si="5"/>
        <v>101300</v>
      </c>
      <c r="J23" s="26">
        <f t="shared" si="6"/>
        <v>2.0124824921938581E-5</v>
      </c>
      <c r="K23" s="28">
        <v>343.36138613861391</v>
      </c>
      <c r="L23" s="27">
        <f t="shared" si="7"/>
        <v>3.433613861386139E-4</v>
      </c>
      <c r="M23" s="29">
        <f t="shared" si="8"/>
        <v>4.7762865441819992E-3</v>
      </c>
      <c r="N23" s="33">
        <f t="shared" si="9"/>
        <v>1.4467489998921737E-6</v>
      </c>
      <c r="O23" s="21">
        <f t="shared" si="10"/>
        <v>2.032E-3</v>
      </c>
      <c r="P23" s="21">
        <v>2.1048357489809849E-10</v>
      </c>
      <c r="Q23" s="2">
        <v>0.32</v>
      </c>
      <c r="R23" s="27">
        <f t="shared" si="11"/>
        <v>132000</v>
      </c>
      <c r="S23" s="2">
        <f t="shared" si="12"/>
        <v>5.36358238306597E-3</v>
      </c>
      <c r="T23" s="11">
        <v>0.09</v>
      </c>
      <c r="U23" s="30">
        <f t="shared" si="13"/>
        <v>109000.00000000001</v>
      </c>
      <c r="V23" s="30">
        <f t="shared" si="1"/>
        <v>37.426391089108918</v>
      </c>
      <c r="W23" s="2">
        <f t="shared" si="14"/>
        <v>22</v>
      </c>
      <c r="X23" s="2">
        <f t="shared" si="15"/>
        <v>1.5945946001880977E-6</v>
      </c>
      <c r="Y23" s="11">
        <f t="shared" si="16"/>
        <v>462.76027779779878</v>
      </c>
      <c r="Z23" s="2">
        <f t="shared" si="17"/>
        <v>6.5021430613595164E-14</v>
      </c>
      <c r="AA23" s="27">
        <f t="shared" si="18"/>
        <v>39155905515.507011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</row>
    <row r="24" spans="1:78" s="4" customFormat="1" x14ac:dyDescent="0.25">
      <c r="A24" s="26">
        <v>66</v>
      </c>
      <c r="B24" s="26">
        <f t="shared" si="2"/>
        <v>1.1000000000000001</v>
      </c>
      <c r="C24" s="26">
        <v>20</v>
      </c>
      <c r="D24" s="26">
        <f t="shared" si="0"/>
        <v>29.146000000000001</v>
      </c>
      <c r="E24" s="26">
        <f t="shared" si="3"/>
        <v>4.8576666666666667E-7</v>
      </c>
      <c r="F24" s="26">
        <v>21.1</v>
      </c>
      <c r="G24" s="26">
        <f t="shared" si="4"/>
        <v>294.10000000000002</v>
      </c>
      <c r="H24" s="26">
        <v>101.3</v>
      </c>
      <c r="I24" s="26">
        <f t="shared" si="5"/>
        <v>101300</v>
      </c>
      <c r="J24" s="26">
        <f t="shared" si="6"/>
        <v>2.0124824921938581E-5</v>
      </c>
      <c r="K24" s="28">
        <v>354.82178217821786</v>
      </c>
      <c r="L24" s="27">
        <f t="shared" si="7"/>
        <v>3.5482178217821788E-4</v>
      </c>
      <c r="M24" s="29">
        <f t="shared" si="8"/>
        <v>4.7762865441819992E-3</v>
      </c>
      <c r="N24" s="33">
        <f t="shared" si="9"/>
        <v>1.4950372384012406E-6</v>
      </c>
      <c r="O24" s="21">
        <f t="shared" si="10"/>
        <v>2.032E-3</v>
      </c>
      <c r="P24" s="21">
        <v>2.1048357489809849E-10</v>
      </c>
      <c r="Q24" s="2">
        <v>0.32</v>
      </c>
      <c r="R24" s="27">
        <f t="shared" si="11"/>
        <v>132000</v>
      </c>
      <c r="S24" s="2">
        <f t="shared" si="12"/>
        <v>5.36358238306597E-3</v>
      </c>
      <c r="T24" s="11">
        <v>0.09</v>
      </c>
      <c r="U24" s="30">
        <f t="shared" si="13"/>
        <v>109000.00000000001</v>
      </c>
      <c r="V24" s="30">
        <f t="shared" si="1"/>
        <v>38.675574257425751</v>
      </c>
      <c r="W24" s="2">
        <f t="shared" si="14"/>
        <v>22</v>
      </c>
      <c r="X24" s="2">
        <f t="shared" si="15"/>
        <v>1.6533715546858988E-6</v>
      </c>
      <c r="Y24" s="11">
        <f t="shared" si="16"/>
        <v>491.97687196077794</v>
      </c>
      <c r="Z24" s="2">
        <f t="shared" si="17"/>
        <v>6.7433106607812044E-14</v>
      </c>
      <c r="AA24" s="27">
        <f t="shared" si="18"/>
        <v>40608216799.224411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</row>
    <row r="25" spans="1:78" s="4" customFormat="1" x14ac:dyDescent="0.25">
      <c r="A25" s="26">
        <v>69</v>
      </c>
      <c r="B25" s="26">
        <f t="shared" si="2"/>
        <v>1.1499999999999999</v>
      </c>
      <c r="C25" s="26">
        <v>20</v>
      </c>
      <c r="D25" s="26">
        <f t="shared" si="0"/>
        <v>29.146000000000001</v>
      </c>
      <c r="E25" s="26">
        <f t="shared" si="3"/>
        <v>4.8576666666666667E-7</v>
      </c>
      <c r="F25" s="26">
        <v>21.1</v>
      </c>
      <c r="G25" s="26">
        <f t="shared" si="4"/>
        <v>294.10000000000002</v>
      </c>
      <c r="H25" s="26">
        <v>101.3</v>
      </c>
      <c r="I25" s="26">
        <f t="shared" si="5"/>
        <v>101300</v>
      </c>
      <c r="J25" s="26">
        <f t="shared" si="6"/>
        <v>2.0124824921938581E-5</v>
      </c>
      <c r="K25" s="28">
        <v>362.89108910891093</v>
      </c>
      <c r="L25" s="27">
        <f t="shared" si="7"/>
        <v>3.6289108910891096E-4</v>
      </c>
      <c r="M25" s="29">
        <f t="shared" si="8"/>
        <v>4.7762865441819992E-3</v>
      </c>
      <c r="N25" s="33">
        <f t="shared" si="9"/>
        <v>1.5290371644357028E-6</v>
      </c>
      <c r="O25" s="21">
        <f t="shared" si="10"/>
        <v>2.032E-3</v>
      </c>
      <c r="P25" s="21">
        <v>2.1048357489809849E-10</v>
      </c>
      <c r="Q25" s="2">
        <v>0.32</v>
      </c>
      <c r="R25" s="27">
        <f t="shared" si="11"/>
        <v>132000</v>
      </c>
      <c r="S25" s="2">
        <f t="shared" si="12"/>
        <v>5.36358238306597E-3</v>
      </c>
      <c r="T25" s="11">
        <v>0.09</v>
      </c>
      <c r="U25" s="30">
        <f t="shared" si="13"/>
        <v>109000.00000000001</v>
      </c>
      <c r="V25" s="30">
        <f t="shared" si="1"/>
        <v>39.555128712871301</v>
      </c>
      <c r="W25" s="2">
        <f t="shared" si="14"/>
        <v>22</v>
      </c>
      <c r="X25" s="2">
        <f t="shared" si="15"/>
        <v>1.6946553222564449E-6</v>
      </c>
      <c r="Y25" s="11">
        <f t="shared" si="16"/>
        <v>512.99629034819941</v>
      </c>
      <c r="Z25" s="2">
        <f t="shared" si="17"/>
        <v>6.9127922725312239E-14</v>
      </c>
      <c r="AA25" s="27">
        <f t="shared" si="18"/>
        <v>41628835065.183029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</row>
    <row r="26" spans="1:78" s="4" customFormat="1" x14ac:dyDescent="0.25">
      <c r="A26" s="26">
        <v>72</v>
      </c>
      <c r="B26" s="26">
        <f t="shared" si="2"/>
        <v>1.2</v>
      </c>
      <c r="C26" s="26">
        <v>20</v>
      </c>
      <c r="D26" s="26">
        <f t="shared" si="0"/>
        <v>29.146000000000001</v>
      </c>
      <c r="E26" s="26">
        <f t="shared" si="3"/>
        <v>4.8576666666666667E-7</v>
      </c>
      <c r="F26" s="26">
        <v>21.1</v>
      </c>
      <c r="G26" s="26">
        <f t="shared" si="4"/>
        <v>294.10000000000002</v>
      </c>
      <c r="H26" s="26">
        <v>101.3</v>
      </c>
      <c r="I26" s="26">
        <f t="shared" si="5"/>
        <v>101300</v>
      </c>
      <c r="J26" s="26">
        <f t="shared" si="6"/>
        <v>2.0124824921938581E-5</v>
      </c>
      <c r="K26" s="28">
        <v>384.69801980198019</v>
      </c>
      <c r="L26" s="27">
        <f t="shared" si="7"/>
        <v>3.846980198019802E-4</v>
      </c>
      <c r="M26" s="29">
        <f t="shared" si="8"/>
        <v>4.7762865441819992E-3</v>
      </c>
      <c r="N26" s="33">
        <f t="shared" si="9"/>
        <v>1.6209204001300612E-6</v>
      </c>
      <c r="O26" s="21">
        <f t="shared" si="10"/>
        <v>2.032E-3</v>
      </c>
      <c r="P26" s="21">
        <v>2.1048357489809849E-10</v>
      </c>
      <c r="Q26" s="2">
        <v>0.32</v>
      </c>
      <c r="R26" s="27">
        <f t="shared" si="11"/>
        <v>132000</v>
      </c>
      <c r="S26" s="2">
        <f t="shared" si="12"/>
        <v>5.36358238306597E-3</v>
      </c>
      <c r="T26" s="11">
        <v>0.09</v>
      </c>
      <c r="U26" s="30">
        <f t="shared" si="13"/>
        <v>109000.00000000001</v>
      </c>
      <c r="V26" s="30">
        <f t="shared" si="1"/>
        <v>41.932084158415847</v>
      </c>
      <c r="W26" s="2">
        <f t="shared" si="14"/>
        <v>22</v>
      </c>
      <c r="X26" s="2">
        <f t="shared" si="15"/>
        <v>1.8058272164889665E-6</v>
      </c>
      <c r="Y26" s="11">
        <f t="shared" si="16"/>
        <v>571.63465585925769</v>
      </c>
      <c r="Z26" s="2">
        <f t="shared" si="17"/>
        <v>7.3695682205736879E-14</v>
      </c>
      <c r="AA26" s="27">
        <f t="shared" si="18"/>
        <v>44379539824.294754</v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</row>
    <row r="27" spans="1:78" s="4" customFormat="1" x14ac:dyDescent="0.25">
      <c r="A27" s="26">
        <v>75</v>
      </c>
      <c r="B27" s="26">
        <f t="shared" si="2"/>
        <v>1.25</v>
      </c>
      <c r="C27" s="26">
        <v>20</v>
      </c>
      <c r="D27" s="26">
        <f t="shared" si="0"/>
        <v>29.146000000000001</v>
      </c>
      <c r="E27" s="26">
        <f t="shared" si="3"/>
        <v>4.8576666666666667E-7</v>
      </c>
      <c r="F27" s="26">
        <v>21.1</v>
      </c>
      <c r="G27" s="26">
        <f t="shared" si="4"/>
        <v>294.10000000000002</v>
      </c>
      <c r="H27" s="26">
        <v>101.3</v>
      </c>
      <c r="I27" s="26">
        <f t="shared" si="5"/>
        <v>101300</v>
      </c>
      <c r="J27" s="26">
        <f t="shared" si="6"/>
        <v>2.0124824921938581E-5</v>
      </c>
      <c r="K27" s="28">
        <v>376.15841584158414</v>
      </c>
      <c r="L27" s="27">
        <f t="shared" si="7"/>
        <v>3.7615841584158412E-4</v>
      </c>
      <c r="M27" s="29">
        <f t="shared" si="8"/>
        <v>4.7762865441819992E-3</v>
      </c>
      <c r="N27" s="33">
        <f t="shared" si="9"/>
        <v>1.5849388833144495E-6</v>
      </c>
      <c r="O27" s="21">
        <f t="shared" si="10"/>
        <v>2.032E-3</v>
      </c>
      <c r="P27" s="21">
        <v>2.1048357489809849E-10</v>
      </c>
      <c r="Q27" s="2">
        <v>0.32</v>
      </c>
      <c r="R27" s="27">
        <f t="shared" si="11"/>
        <v>132000</v>
      </c>
      <c r="S27" s="2">
        <f t="shared" si="12"/>
        <v>5.36358238306597E-3</v>
      </c>
      <c r="T27" s="11">
        <v>0.09</v>
      </c>
      <c r="U27" s="30">
        <f t="shared" si="13"/>
        <v>109000.00000000001</v>
      </c>
      <c r="V27" s="30">
        <f t="shared" si="1"/>
        <v>41.001267326732673</v>
      </c>
      <c r="W27" s="2">
        <f t="shared" si="14"/>
        <v>22</v>
      </c>
      <c r="X27" s="2">
        <f t="shared" si="15"/>
        <v>1.7623590765989699E-6</v>
      </c>
      <c r="Y27" s="11">
        <f t="shared" si="16"/>
        <v>548.35434923276262</v>
      </c>
      <c r="Z27" s="2">
        <f t="shared" si="17"/>
        <v>7.19090129993171E-14</v>
      </c>
      <c r="AA27" s="27">
        <f t="shared" si="18"/>
        <v>43303607628.188759</v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</row>
    <row r="28" spans="1:78" s="4" customFormat="1" x14ac:dyDescent="0.25">
      <c r="A28" s="26">
        <v>78</v>
      </c>
      <c r="B28" s="26">
        <f t="shared" si="2"/>
        <v>1.3</v>
      </c>
      <c r="C28" s="26">
        <v>20</v>
      </c>
      <c r="D28" s="26">
        <f t="shared" si="0"/>
        <v>29.146000000000001</v>
      </c>
      <c r="E28" s="26">
        <f t="shared" si="3"/>
        <v>4.8576666666666667E-7</v>
      </c>
      <c r="F28" s="26">
        <v>21.1</v>
      </c>
      <c r="G28" s="26">
        <f t="shared" si="4"/>
        <v>294.10000000000002</v>
      </c>
      <c r="H28" s="26">
        <v>101.3</v>
      </c>
      <c r="I28" s="26">
        <f t="shared" si="5"/>
        <v>101300</v>
      </c>
      <c r="J28" s="26">
        <f t="shared" si="6"/>
        <v>2.0124824921938581E-5</v>
      </c>
      <c r="K28" s="28">
        <v>373.11386138613864</v>
      </c>
      <c r="L28" s="27">
        <f t="shared" si="7"/>
        <v>3.7311386138613864E-4</v>
      </c>
      <c r="M28" s="29">
        <f t="shared" si="8"/>
        <v>4.7762865441819992E-3</v>
      </c>
      <c r="N28" s="33">
        <f t="shared" si="9"/>
        <v>1.5721106903627969E-6</v>
      </c>
      <c r="O28" s="21">
        <f t="shared" si="10"/>
        <v>2.032E-3</v>
      </c>
      <c r="P28" s="21">
        <v>2.1048357489809849E-10</v>
      </c>
      <c r="Q28" s="2">
        <v>0.32</v>
      </c>
      <c r="R28" s="27">
        <f t="shared" si="11"/>
        <v>132000</v>
      </c>
      <c r="S28" s="2">
        <f t="shared" si="12"/>
        <v>5.36358238306597E-3</v>
      </c>
      <c r="T28" s="11">
        <v>0.09</v>
      </c>
      <c r="U28" s="30">
        <f t="shared" si="13"/>
        <v>109000.00000000001</v>
      </c>
      <c r="V28" s="30">
        <f t="shared" si="1"/>
        <v>40.669410891089115</v>
      </c>
      <c r="W28" s="2">
        <f t="shared" si="14"/>
        <v>22</v>
      </c>
      <c r="X28" s="2">
        <f t="shared" si="15"/>
        <v>1.7468412225010276E-6</v>
      </c>
      <c r="Y28" s="11">
        <f t="shared" si="16"/>
        <v>540.15302882605647</v>
      </c>
      <c r="Z28" s="2">
        <f t="shared" si="17"/>
        <v>7.1271395965297349E-14</v>
      </c>
      <c r="AA28" s="27">
        <f t="shared" si="18"/>
        <v>42919634650.302063</v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</row>
    <row r="29" spans="1:78" s="4" customFormat="1" x14ac:dyDescent="0.25">
      <c r="A29" s="26">
        <v>81</v>
      </c>
      <c r="B29" s="26">
        <f t="shared" si="2"/>
        <v>1.35</v>
      </c>
      <c r="C29" s="26">
        <v>20</v>
      </c>
      <c r="D29" s="26">
        <f t="shared" si="0"/>
        <v>29.146000000000001</v>
      </c>
      <c r="E29" s="26">
        <f t="shared" si="3"/>
        <v>4.8576666666666667E-7</v>
      </c>
      <c r="F29" s="26">
        <v>21.1</v>
      </c>
      <c r="G29" s="26">
        <f t="shared" si="4"/>
        <v>294.10000000000002</v>
      </c>
      <c r="H29" s="26">
        <v>101.3</v>
      </c>
      <c r="I29" s="26">
        <f t="shared" si="5"/>
        <v>101300</v>
      </c>
      <c r="J29" s="26">
        <f t="shared" si="6"/>
        <v>2.0124824921938581E-5</v>
      </c>
      <c r="K29" s="14">
        <v>389.37623762376239</v>
      </c>
      <c r="L29" s="27">
        <f t="shared" si="7"/>
        <v>3.8937623762376239E-4</v>
      </c>
      <c r="M29" s="29">
        <f t="shared" si="8"/>
        <v>4.7762865441819992E-3</v>
      </c>
      <c r="N29" s="33">
        <f t="shared" si="9"/>
        <v>1.6406320136899179E-6</v>
      </c>
      <c r="O29" s="21">
        <f t="shared" si="10"/>
        <v>2.032E-3</v>
      </c>
      <c r="P29" s="21">
        <v>2.1048357489809849E-10</v>
      </c>
      <c r="Q29" s="2">
        <v>0.32</v>
      </c>
      <c r="R29" s="27">
        <f t="shared" si="11"/>
        <v>132000</v>
      </c>
      <c r="S29" s="2">
        <f t="shared" si="12"/>
        <v>5.36358238306597E-3</v>
      </c>
      <c r="T29" s="11">
        <v>0.09</v>
      </c>
      <c r="U29" s="30">
        <f t="shared" si="13"/>
        <v>109000.00000000001</v>
      </c>
      <c r="V29" s="30">
        <f t="shared" si="1"/>
        <v>42.442009900990108</v>
      </c>
      <c r="W29" s="2">
        <f t="shared" si="14"/>
        <v>22</v>
      </c>
      <c r="X29" s="2">
        <f t="shared" si="15"/>
        <v>1.8296049844741306E-6</v>
      </c>
      <c r="Y29" s="11">
        <f t="shared" si="16"/>
        <v>584.5605232713516</v>
      </c>
      <c r="Z29" s="2">
        <f t="shared" si="17"/>
        <v>7.4673395316178858E-14</v>
      </c>
      <c r="AA29" s="2">
        <f t="shared" si="18"/>
        <v>44968318659.402908</v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</row>
    <row r="30" spans="1:78" s="4" customFormat="1" x14ac:dyDescent="0.25">
      <c r="A30" s="26">
        <v>84</v>
      </c>
      <c r="B30" s="26">
        <f t="shared" si="2"/>
        <v>1.4</v>
      </c>
      <c r="C30" s="26">
        <v>20</v>
      </c>
      <c r="D30" s="26">
        <f t="shared" si="0"/>
        <v>29.146000000000001</v>
      </c>
      <c r="E30" s="26">
        <f t="shared" si="3"/>
        <v>4.8576666666666667E-7</v>
      </c>
      <c r="F30" s="26">
        <v>21.1</v>
      </c>
      <c r="G30" s="26">
        <f t="shared" si="4"/>
        <v>294.10000000000002</v>
      </c>
      <c r="H30" s="26">
        <v>101.3</v>
      </c>
      <c r="I30" s="26">
        <f t="shared" si="5"/>
        <v>101300</v>
      </c>
      <c r="J30" s="26">
        <f t="shared" si="6"/>
        <v>2.0124824921938581E-5</v>
      </c>
      <c r="K30" s="14">
        <v>382.71782178217825</v>
      </c>
      <c r="L30" s="27">
        <f t="shared" si="7"/>
        <v>3.8271782178217825E-4</v>
      </c>
      <c r="M30" s="29">
        <f t="shared" si="8"/>
        <v>4.7762865441819992E-3</v>
      </c>
      <c r="N30" s="33">
        <f t="shared" si="9"/>
        <v>1.6125768599989049E-6</v>
      </c>
      <c r="O30" s="21">
        <f t="shared" si="10"/>
        <v>2.032E-3</v>
      </c>
      <c r="P30" s="21">
        <v>2.1048357489809849E-10</v>
      </c>
      <c r="Q30" s="2">
        <v>0.32</v>
      </c>
      <c r="R30" s="27">
        <f t="shared" si="11"/>
        <v>132000</v>
      </c>
      <c r="S30" s="2">
        <f t="shared" si="12"/>
        <v>5.36358238306597E-3</v>
      </c>
      <c r="T30" s="11">
        <v>0.09</v>
      </c>
      <c r="U30" s="30">
        <f t="shared" si="13"/>
        <v>109000.00000000001</v>
      </c>
      <c r="V30" s="30">
        <f t="shared" si="1"/>
        <v>41.716242574257436</v>
      </c>
      <c r="W30" s="2">
        <f t="shared" si="14"/>
        <v>22</v>
      </c>
      <c r="X30" s="2">
        <f t="shared" si="15"/>
        <v>1.7957551087826403E-6</v>
      </c>
      <c r="Y30" s="11">
        <f t="shared" si="16"/>
        <v>566.20007937080015</v>
      </c>
      <c r="Z30" s="2">
        <f t="shared" si="17"/>
        <v>7.328160999365235E-14</v>
      </c>
      <c r="AA30" s="2">
        <f t="shared" si="18"/>
        <v>44130185538.177444</v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</row>
    <row r="31" spans="1:78" s="4" customFormat="1" x14ac:dyDescent="0.25">
      <c r="A31" s="26">
        <v>87</v>
      </c>
      <c r="B31" s="26">
        <f t="shared" si="2"/>
        <v>1.45</v>
      </c>
      <c r="C31" s="26">
        <v>20</v>
      </c>
      <c r="D31" s="26">
        <f t="shared" si="0"/>
        <v>29.146000000000001</v>
      </c>
      <c r="E31" s="26">
        <f t="shared" si="3"/>
        <v>4.8576666666666667E-7</v>
      </c>
      <c r="F31" s="26">
        <v>21.1</v>
      </c>
      <c r="G31" s="26">
        <f t="shared" si="4"/>
        <v>294.10000000000002</v>
      </c>
      <c r="H31" s="26">
        <v>101.3</v>
      </c>
      <c r="I31" s="26">
        <f t="shared" si="5"/>
        <v>101300</v>
      </c>
      <c r="J31" s="26">
        <f t="shared" si="6"/>
        <v>2.0124824921938581E-5</v>
      </c>
      <c r="K31" s="14">
        <v>387.94059405940595</v>
      </c>
      <c r="L31" s="27">
        <f t="shared" si="7"/>
        <v>3.8794059405940597E-4</v>
      </c>
      <c r="M31" s="29">
        <f t="shared" si="8"/>
        <v>4.7762865441819992E-3</v>
      </c>
      <c r="N31" s="33">
        <f t="shared" si="9"/>
        <v>1.6345829470948296E-6</v>
      </c>
      <c r="O31" s="21">
        <f t="shared" si="10"/>
        <v>2.032E-3</v>
      </c>
      <c r="P31" s="21">
        <v>2.1048357489809849E-10</v>
      </c>
      <c r="Q31" s="2">
        <v>0.32</v>
      </c>
      <c r="R31" s="27">
        <f t="shared" si="11"/>
        <v>132000</v>
      </c>
      <c r="S31" s="2">
        <f t="shared" si="12"/>
        <v>5.36358238306597E-3</v>
      </c>
      <c r="T31" s="11">
        <v>0.09</v>
      </c>
      <c r="U31" s="30">
        <f t="shared" si="13"/>
        <v>109000.00000000001</v>
      </c>
      <c r="V31" s="30">
        <f t="shared" si="1"/>
        <v>42.285524752475254</v>
      </c>
      <c r="W31" s="2">
        <f t="shared" si="14"/>
        <v>22</v>
      </c>
      <c r="X31" s="2">
        <f t="shared" si="15"/>
        <v>1.8223107137946765E-6</v>
      </c>
      <c r="Y31" s="11">
        <f t="shared" si="16"/>
        <v>580.58091485794989</v>
      </c>
      <c r="Z31" s="2">
        <f t="shared" si="17"/>
        <v>7.437343513631872E-14</v>
      </c>
      <c r="AA31" s="2">
        <f t="shared" si="18"/>
        <v>44787682639.091133</v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</row>
    <row r="32" spans="1:78" s="4" customFormat="1" x14ac:dyDescent="0.25">
      <c r="A32" s="26">
        <v>90</v>
      </c>
      <c r="B32" s="26">
        <f t="shared" si="2"/>
        <v>1.5</v>
      </c>
      <c r="C32" s="26">
        <v>20</v>
      </c>
      <c r="D32" s="26">
        <f t="shared" si="0"/>
        <v>29.146000000000001</v>
      </c>
      <c r="E32" s="26">
        <f t="shared" si="3"/>
        <v>4.8576666666666667E-7</v>
      </c>
      <c r="F32" s="26">
        <v>21.1</v>
      </c>
      <c r="G32" s="26">
        <f t="shared" si="4"/>
        <v>294.10000000000002</v>
      </c>
      <c r="H32" s="26">
        <v>101.3</v>
      </c>
      <c r="I32" s="26">
        <f t="shared" si="5"/>
        <v>101300</v>
      </c>
      <c r="J32" s="26">
        <f t="shared" si="6"/>
        <v>2.0124824921938581E-5</v>
      </c>
      <c r="K32" s="20">
        <v>388.93069306930693</v>
      </c>
      <c r="L32" s="27">
        <f t="shared" si="7"/>
        <v>3.8893069306930692E-4</v>
      </c>
      <c r="M32" s="29">
        <f t="shared" si="8"/>
        <v>4.7762865441819992E-3</v>
      </c>
      <c r="N32" s="33">
        <f t="shared" si="9"/>
        <v>1.6387547171604075E-6</v>
      </c>
      <c r="O32" s="21">
        <f t="shared" si="10"/>
        <v>2.032E-3</v>
      </c>
      <c r="P32" s="21">
        <v>2.1048357489809849E-10</v>
      </c>
      <c r="Q32" s="2">
        <v>0.32</v>
      </c>
      <c r="R32" s="27">
        <f t="shared" si="11"/>
        <v>132000</v>
      </c>
      <c r="S32" s="2">
        <f t="shared" si="12"/>
        <v>5.36358238306597E-3</v>
      </c>
      <c r="T32" s="11">
        <v>0.09</v>
      </c>
      <c r="U32" s="30">
        <f t="shared" si="13"/>
        <v>109000.00000000001</v>
      </c>
      <c r="V32" s="30">
        <f t="shared" si="1"/>
        <v>42.39344554455446</v>
      </c>
      <c r="W32" s="2">
        <f t="shared" si="14"/>
        <v>22</v>
      </c>
      <c r="X32" s="2">
        <f t="shared" si="15"/>
        <v>1.8273414913253313E-6</v>
      </c>
      <c r="Y32" s="11">
        <f t="shared" si="16"/>
        <v>583.32424722212454</v>
      </c>
      <c r="Z32" s="9">
        <f t="shared" si="17"/>
        <v>7.4580311627695925E-14</v>
      </c>
      <c r="AA32" s="9">
        <f t="shared" si="18"/>
        <v>44912263662.198486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</row>
    <row r="33" spans="1:78" s="4" customFormat="1" x14ac:dyDescent="0.25">
      <c r="A33" s="26">
        <v>93</v>
      </c>
      <c r="B33" s="26">
        <f t="shared" si="2"/>
        <v>1.55</v>
      </c>
      <c r="C33" s="26">
        <v>20</v>
      </c>
      <c r="D33" s="26">
        <f t="shared" si="0"/>
        <v>29.146000000000001</v>
      </c>
      <c r="E33" s="26">
        <f t="shared" si="3"/>
        <v>4.8576666666666667E-7</v>
      </c>
      <c r="F33" s="26">
        <v>21.1</v>
      </c>
      <c r="G33" s="26">
        <f t="shared" si="4"/>
        <v>294.10000000000002</v>
      </c>
      <c r="H33" s="26">
        <v>101.3</v>
      </c>
      <c r="I33" s="26">
        <f t="shared" si="5"/>
        <v>101300</v>
      </c>
      <c r="J33" s="26">
        <f t="shared" si="6"/>
        <v>2.0124824921938581E-5</v>
      </c>
      <c r="K33" s="20">
        <v>384.05445544554459</v>
      </c>
      <c r="L33" s="27">
        <f t="shared" si="7"/>
        <v>3.8405445544554461E-4</v>
      </c>
      <c r="M33" s="29">
        <f t="shared" si="8"/>
        <v>4.7762865441819992E-3</v>
      </c>
      <c r="N33" s="33">
        <f t="shared" si="9"/>
        <v>1.6182087495874357E-6</v>
      </c>
      <c r="O33" s="21">
        <f t="shared" si="10"/>
        <v>2.032E-3</v>
      </c>
      <c r="P33" s="21">
        <v>2.1048357489809849E-10</v>
      </c>
      <c r="Q33" s="2">
        <v>0.32</v>
      </c>
      <c r="R33" s="27">
        <f t="shared" si="11"/>
        <v>132000</v>
      </c>
      <c r="S33" s="2">
        <f t="shared" si="12"/>
        <v>5.36358238306597E-3</v>
      </c>
      <c r="T33" s="11">
        <v>0.09</v>
      </c>
      <c r="U33" s="30">
        <f t="shared" si="13"/>
        <v>109000.00000000001</v>
      </c>
      <c r="V33" s="30">
        <f t="shared" si="1"/>
        <v>41.861935643564365</v>
      </c>
      <c r="W33" s="2">
        <f t="shared" si="14"/>
        <v>22</v>
      </c>
      <c r="X33" s="2">
        <f t="shared" si="15"/>
        <v>1.8025542705035539E-6</v>
      </c>
      <c r="Y33" s="11">
        <f t="shared" si="16"/>
        <v>569.86602213423259</v>
      </c>
      <c r="Z33" s="9">
        <f t="shared" si="17"/>
        <v>7.3561123596065203E-14</v>
      </c>
      <c r="AA33" s="9">
        <f t="shared" si="18"/>
        <v>44298508629.550468</v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</row>
    <row r="34" spans="1:78" s="4" customFormat="1" x14ac:dyDescent="0.25">
      <c r="A34" s="26">
        <v>96</v>
      </c>
      <c r="B34" s="26">
        <f t="shared" si="2"/>
        <v>1.6</v>
      </c>
      <c r="C34" s="26">
        <v>20</v>
      </c>
      <c r="D34" s="26">
        <f t="shared" si="0"/>
        <v>29.146000000000001</v>
      </c>
      <c r="E34" s="26">
        <f t="shared" si="3"/>
        <v>4.8576666666666667E-7</v>
      </c>
      <c r="F34" s="26">
        <v>21.1</v>
      </c>
      <c r="G34" s="26">
        <f t="shared" si="4"/>
        <v>294.10000000000002</v>
      </c>
      <c r="H34" s="26">
        <v>101.3</v>
      </c>
      <c r="I34" s="26">
        <f t="shared" si="5"/>
        <v>101300</v>
      </c>
      <c r="J34" s="26">
        <f t="shared" si="6"/>
        <v>2.0124824921938581E-5</v>
      </c>
      <c r="K34" s="20">
        <v>390.91089108910893</v>
      </c>
      <c r="L34" s="27">
        <f t="shared" si="7"/>
        <v>3.9091089108910892E-4</v>
      </c>
      <c r="M34" s="29">
        <f t="shared" si="8"/>
        <v>4.7762865441819992E-3</v>
      </c>
      <c r="N34" s="33">
        <f t="shared" si="9"/>
        <v>1.647098257291564E-6</v>
      </c>
      <c r="O34" s="21">
        <f t="shared" si="10"/>
        <v>2.032E-3</v>
      </c>
      <c r="P34" s="21">
        <v>2.1048357489809849E-10</v>
      </c>
      <c r="Q34" s="2">
        <v>0.32</v>
      </c>
      <c r="R34" s="27">
        <f t="shared" si="11"/>
        <v>132000</v>
      </c>
      <c r="S34" s="2">
        <f t="shared" si="12"/>
        <v>5.36358238306597E-3</v>
      </c>
      <c r="T34" s="11">
        <v>0.09</v>
      </c>
      <c r="U34" s="30">
        <f t="shared" si="13"/>
        <v>109000.00000000001</v>
      </c>
      <c r="V34" s="30">
        <f t="shared" si="1"/>
        <v>42.609287128712879</v>
      </c>
      <c r="W34" s="2">
        <f t="shared" si="14"/>
        <v>22</v>
      </c>
      <c r="X34" s="2">
        <f t="shared" si="15"/>
        <v>1.8373997724713569E-6</v>
      </c>
      <c r="Y34" s="11">
        <f t="shared" si="16"/>
        <v>588.82724233364206</v>
      </c>
      <c r="Z34" s="9">
        <f t="shared" si="17"/>
        <v>7.4993966216634808E-14</v>
      </c>
      <c r="AA34" s="9">
        <f t="shared" si="18"/>
        <v>45161366455.657486</v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</row>
    <row r="35" spans="1:78" s="4" customFormat="1" x14ac:dyDescent="0.25">
      <c r="A35" s="26">
        <v>99</v>
      </c>
      <c r="B35" s="26">
        <f t="shared" si="2"/>
        <v>1.65</v>
      </c>
      <c r="C35" s="26">
        <v>20</v>
      </c>
      <c r="D35" s="26">
        <f t="shared" si="0"/>
        <v>29.146000000000001</v>
      </c>
      <c r="E35" s="26">
        <f t="shared" si="3"/>
        <v>4.8576666666666667E-7</v>
      </c>
      <c r="F35" s="26">
        <v>21.1</v>
      </c>
      <c r="G35" s="26">
        <f t="shared" si="4"/>
        <v>294.10000000000002</v>
      </c>
      <c r="H35" s="26">
        <v>101.3</v>
      </c>
      <c r="I35" s="26">
        <f t="shared" si="5"/>
        <v>101300</v>
      </c>
      <c r="J35" s="26">
        <f t="shared" si="6"/>
        <v>2.0124824921938581E-5</v>
      </c>
      <c r="K35" s="20">
        <v>382.54455445544556</v>
      </c>
      <c r="L35" s="27">
        <f t="shared" si="7"/>
        <v>3.8254455445544555E-4</v>
      </c>
      <c r="M35" s="29">
        <f t="shared" si="8"/>
        <v>4.7762865441819992E-3</v>
      </c>
      <c r="N35" s="33">
        <f t="shared" si="9"/>
        <v>1.6118468002374287E-6</v>
      </c>
      <c r="O35" s="21">
        <f t="shared" si="10"/>
        <v>2.032E-3</v>
      </c>
      <c r="P35" s="21">
        <v>2.1048357489809849E-10</v>
      </c>
      <c r="Q35" s="2">
        <v>0.32</v>
      </c>
      <c r="R35" s="27">
        <f t="shared" si="11"/>
        <v>132000</v>
      </c>
      <c r="S35" s="2">
        <f t="shared" si="12"/>
        <v>5.36358238306597E-3</v>
      </c>
      <c r="T35" s="11">
        <v>0.09</v>
      </c>
      <c r="U35" s="30">
        <f t="shared" si="13"/>
        <v>109000.00000000001</v>
      </c>
      <c r="V35" s="30">
        <f t="shared" si="1"/>
        <v>41.69735643564357</v>
      </c>
      <c r="W35" s="2">
        <f t="shared" si="14"/>
        <v>22</v>
      </c>
      <c r="X35" s="2">
        <f t="shared" si="15"/>
        <v>1.7948735868229694E-6</v>
      </c>
      <c r="Y35" s="11">
        <f t="shared" si="16"/>
        <v>565.72559370511533</v>
      </c>
      <c r="Z35" s="9">
        <f t="shared" si="17"/>
        <v>7.3245372210561204E-14</v>
      </c>
      <c r="AA35" s="9">
        <f t="shared" si="18"/>
        <v>44108363145.199959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</row>
    <row r="36" spans="1:78" s="4" customFormat="1" x14ac:dyDescent="0.25">
      <c r="A36" s="26">
        <v>102</v>
      </c>
      <c r="B36" s="26">
        <f t="shared" si="2"/>
        <v>1.7</v>
      </c>
      <c r="C36" s="26">
        <v>20</v>
      </c>
      <c r="D36" s="26">
        <f t="shared" si="0"/>
        <v>29.146000000000001</v>
      </c>
      <c r="E36" s="26">
        <f t="shared" si="3"/>
        <v>4.8576666666666667E-7</v>
      </c>
      <c r="F36" s="26">
        <v>21.1</v>
      </c>
      <c r="G36" s="26">
        <f t="shared" si="4"/>
        <v>294.10000000000002</v>
      </c>
      <c r="H36" s="26">
        <v>101.3</v>
      </c>
      <c r="I36" s="26">
        <f t="shared" si="5"/>
        <v>101300</v>
      </c>
      <c r="J36" s="26">
        <f t="shared" si="6"/>
        <v>2.0124824921938581E-5</v>
      </c>
      <c r="K36" s="20">
        <v>389.74752475247527</v>
      </c>
      <c r="L36" s="27">
        <f t="shared" si="7"/>
        <v>3.8974752475247527E-4</v>
      </c>
      <c r="M36" s="29">
        <f t="shared" si="8"/>
        <v>4.7762865441819992E-3</v>
      </c>
      <c r="N36" s="33">
        <f t="shared" si="9"/>
        <v>1.6421964274645097E-6</v>
      </c>
      <c r="O36" s="21">
        <f t="shared" si="10"/>
        <v>2.032E-3</v>
      </c>
      <c r="P36" s="21">
        <v>2.1048357489809849E-10</v>
      </c>
      <c r="Q36" s="2">
        <v>0.32</v>
      </c>
      <c r="R36" s="27">
        <f t="shared" si="11"/>
        <v>132000</v>
      </c>
      <c r="S36" s="2">
        <f t="shared" si="12"/>
        <v>5.36358238306597E-3</v>
      </c>
      <c r="T36" s="11">
        <v>0.09</v>
      </c>
      <c r="U36" s="30">
        <f t="shared" si="13"/>
        <v>109000.00000000001</v>
      </c>
      <c r="V36" s="30">
        <f t="shared" si="1"/>
        <v>42.482480198019807</v>
      </c>
      <c r="W36" s="2">
        <f t="shared" si="14"/>
        <v>22</v>
      </c>
      <c r="X36" s="2">
        <f t="shared" si="15"/>
        <v>1.8314910600132992E-6</v>
      </c>
      <c r="Y36" s="11">
        <f t="shared" si="16"/>
        <v>585.591595300569</v>
      </c>
      <c r="Z36" s="9">
        <f t="shared" si="17"/>
        <v>7.4750959985898033E-14</v>
      </c>
      <c r="AA36" s="9">
        <f t="shared" si="18"/>
        <v>45015028103.507797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</row>
    <row r="37" spans="1:78" s="4" customFormat="1" x14ac:dyDescent="0.25">
      <c r="A37" s="26">
        <v>105</v>
      </c>
      <c r="B37" s="26">
        <f t="shared" si="2"/>
        <v>1.75</v>
      </c>
      <c r="C37" s="26">
        <v>20</v>
      </c>
      <c r="D37" s="26">
        <f t="shared" si="0"/>
        <v>29.146000000000001</v>
      </c>
      <c r="E37" s="26">
        <f t="shared" si="3"/>
        <v>4.8576666666666667E-7</v>
      </c>
      <c r="F37" s="26">
        <v>21.1</v>
      </c>
      <c r="G37" s="26">
        <f t="shared" si="4"/>
        <v>294.10000000000002</v>
      </c>
      <c r="H37" s="26">
        <v>101.3</v>
      </c>
      <c r="I37" s="26">
        <f t="shared" si="5"/>
        <v>101300</v>
      </c>
      <c r="J37" s="26">
        <f t="shared" si="6"/>
        <v>2.0124824921938581E-5</v>
      </c>
      <c r="K37" s="20">
        <v>385.31683168316835</v>
      </c>
      <c r="L37" s="27">
        <f t="shared" si="7"/>
        <v>3.8531683168316832E-4</v>
      </c>
      <c r="M37" s="29">
        <f t="shared" si="8"/>
        <v>4.7762865441819992E-3</v>
      </c>
      <c r="N37" s="33">
        <f t="shared" si="9"/>
        <v>1.6235277564210475E-6</v>
      </c>
      <c r="O37" s="21">
        <f t="shared" si="10"/>
        <v>2.032E-3</v>
      </c>
      <c r="P37" s="21">
        <v>2.1048357489809849E-10</v>
      </c>
      <c r="Q37" s="2">
        <v>0.32</v>
      </c>
      <c r="R37" s="27">
        <f t="shared" si="11"/>
        <v>132000</v>
      </c>
      <c r="S37" s="2">
        <f t="shared" si="12"/>
        <v>5.36358238306597E-3</v>
      </c>
      <c r="T37" s="11">
        <v>0.09</v>
      </c>
      <c r="U37" s="30">
        <f t="shared" si="13"/>
        <v>109000.00000000001</v>
      </c>
      <c r="V37" s="30">
        <f t="shared" si="1"/>
        <v>41.999534653465354</v>
      </c>
      <c r="W37" s="2">
        <f t="shared" si="14"/>
        <v>22</v>
      </c>
      <c r="X37" s="2">
        <f t="shared" si="15"/>
        <v>1.8089738373484781E-6</v>
      </c>
      <c r="Y37" s="11">
        <f t="shared" si="16"/>
        <v>573.33744022073699</v>
      </c>
      <c r="Z37" s="9">
        <f t="shared" si="17"/>
        <v>7.3825052059100519E-14</v>
      </c>
      <c r="AA37" s="9">
        <f t="shared" si="18"/>
        <v>44457446349.990334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</row>
    <row r="38" spans="1:78" s="4" customFormat="1" x14ac:dyDescent="0.25">
      <c r="A38" s="26">
        <v>108</v>
      </c>
      <c r="B38" s="26">
        <f t="shared" si="2"/>
        <v>1.8</v>
      </c>
      <c r="C38" s="26">
        <v>20</v>
      </c>
      <c r="D38" s="26">
        <f t="shared" si="0"/>
        <v>29.146000000000001</v>
      </c>
      <c r="E38" s="26">
        <f t="shared" si="3"/>
        <v>4.8576666666666667E-7</v>
      </c>
      <c r="F38" s="26">
        <v>21.1</v>
      </c>
      <c r="G38" s="26">
        <f t="shared" si="4"/>
        <v>294.10000000000002</v>
      </c>
      <c r="H38" s="26">
        <v>101.3</v>
      </c>
      <c r="I38" s="26">
        <f t="shared" si="5"/>
        <v>101300</v>
      </c>
      <c r="J38" s="26">
        <f t="shared" si="6"/>
        <v>2.0124824921938581E-5</v>
      </c>
      <c r="K38" s="20">
        <v>382.81683168316835</v>
      </c>
      <c r="L38" s="27">
        <f t="shared" si="7"/>
        <v>3.8281683168316837E-4</v>
      </c>
      <c r="M38" s="29">
        <f t="shared" si="8"/>
        <v>4.7762865441819992E-3</v>
      </c>
      <c r="N38" s="33">
        <f t="shared" si="9"/>
        <v>1.6129940370054629E-6</v>
      </c>
      <c r="O38" s="21">
        <f t="shared" si="10"/>
        <v>2.032E-3</v>
      </c>
      <c r="P38" s="21">
        <v>2.1048357489809849E-10</v>
      </c>
      <c r="Q38" s="2">
        <v>0.32</v>
      </c>
      <c r="R38" s="27">
        <f t="shared" si="11"/>
        <v>132000</v>
      </c>
      <c r="S38" s="2">
        <f t="shared" si="12"/>
        <v>5.36358238306597E-3</v>
      </c>
      <c r="T38" s="11">
        <v>0.09</v>
      </c>
      <c r="U38" s="30">
        <f t="shared" si="13"/>
        <v>109000.00000000001</v>
      </c>
      <c r="V38" s="30">
        <f t="shared" si="1"/>
        <v>41.72703465346536</v>
      </c>
      <c r="W38" s="2">
        <f t="shared" si="14"/>
        <v>22</v>
      </c>
      <c r="X38" s="2">
        <f t="shared" si="15"/>
        <v>1.7962588202234341E-6</v>
      </c>
      <c r="Y38" s="11">
        <f t="shared" si="16"/>
        <v>566.47128918989961</v>
      </c>
      <c r="Z38" s="9">
        <f t="shared" si="17"/>
        <v>7.330231682948699E-14</v>
      </c>
      <c r="AA38" s="9">
        <f t="shared" si="18"/>
        <v>44142655194.717064</v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</row>
    <row r="39" spans="1:78" s="4" customFormat="1" x14ac:dyDescent="0.25">
      <c r="A39" s="26">
        <v>111</v>
      </c>
      <c r="B39" s="26">
        <f t="shared" si="2"/>
        <v>1.85</v>
      </c>
      <c r="C39" s="26">
        <v>20</v>
      </c>
      <c r="D39" s="26">
        <f t="shared" si="0"/>
        <v>29.146000000000001</v>
      </c>
      <c r="E39" s="26">
        <f t="shared" si="3"/>
        <v>4.8576666666666667E-7</v>
      </c>
      <c r="F39" s="26">
        <v>21.1</v>
      </c>
      <c r="G39" s="26">
        <f t="shared" si="4"/>
        <v>294.10000000000002</v>
      </c>
      <c r="H39" s="26">
        <v>101.3</v>
      </c>
      <c r="I39" s="26">
        <f t="shared" si="5"/>
        <v>101300</v>
      </c>
      <c r="J39" s="26">
        <f t="shared" si="6"/>
        <v>2.0124824921938581E-5</v>
      </c>
      <c r="K39" s="20">
        <v>371.90099009900996</v>
      </c>
      <c r="L39" s="27">
        <f t="shared" si="7"/>
        <v>3.7190099009900998E-4</v>
      </c>
      <c r="M39" s="29">
        <f t="shared" si="8"/>
        <v>4.7762865441819992E-3</v>
      </c>
      <c r="N39" s="33">
        <f t="shared" si="9"/>
        <v>1.5670002720324639E-6</v>
      </c>
      <c r="O39" s="21">
        <f t="shared" si="10"/>
        <v>2.032E-3</v>
      </c>
      <c r="P39" s="21">
        <v>2.1048357489809849E-10</v>
      </c>
      <c r="Q39" s="2">
        <v>0.32</v>
      </c>
      <c r="R39" s="27">
        <f t="shared" si="11"/>
        <v>132000</v>
      </c>
      <c r="S39" s="2">
        <f t="shared" si="12"/>
        <v>5.36358238306597E-3</v>
      </c>
      <c r="T39" s="11">
        <v>0.09</v>
      </c>
      <c r="U39" s="30">
        <f t="shared" si="13"/>
        <v>109000.00000000001</v>
      </c>
      <c r="V39" s="30">
        <f t="shared" si="1"/>
        <v>40.537207920792092</v>
      </c>
      <c r="W39" s="2">
        <f t="shared" si="14"/>
        <v>22</v>
      </c>
      <c r="X39" s="2">
        <f t="shared" si="15"/>
        <v>1.7406562578227258E-6</v>
      </c>
      <c r="Y39" s="11">
        <f t="shared" si="16"/>
        <v>536.90031413827694</v>
      </c>
      <c r="Z39" s="9">
        <f t="shared" si="17"/>
        <v>7.1017291253140679E-14</v>
      </c>
      <c r="AA39" s="9">
        <f t="shared" si="18"/>
        <v>42766612792.641319</v>
      </c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</row>
    <row r="40" spans="1:78" s="4" customFormat="1" x14ac:dyDescent="0.25">
      <c r="A40" s="26">
        <v>114</v>
      </c>
      <c r="B40" s="26">
        <f t="shared" si="2"/>
        <v>1.9</v>
      </c>
      <c r="C40" s="26">
        <v>20</v>
      </c>
      <c r="D40" s="26">
        <f t="shared" si="0"/>
        <v>29.146000000000001</v>
      </c>
      <c r="E40" s="26">
        <f t="shared" si="3"/>
        <v>4.8576666666666667E-7</v>
      </c>
      <c r="F40" s="26">
        <v>21.1</v>
      </c>
      <c r="G40" s="26">
        <f t="shared" si="4"/>
        <v>294.10000000000002</v>
      </c>
      <c r="H40" s="26">
        <v>101.3</v>
      </c>
      <c r="I40" s="26">
        <f t="shared" si="5"/>
        <v>101300</v>
      </c>
      <c r="J40" s="26">
        <f t="shared" si="6"/>
        <v>2.0124824921938581E-5</v>
      </c>
      <c r="K40" s="20">
        <v>388.53465346534654</v>
      </c>
      <c r="L40" s="27">
        <f t="shared" si="7"/>
        <v>3.8853465346534656E-4</v>
      </c>
      <c r="M40" s="29">
        <f t="shared" si="8"/>
        <v>4.7762865441819992E-3</v>
      </c>
      <c r="N40" s="33">
        <f t="shared" si="9"/>
        <v>1.6370860091341765E-6</v>
      </c>
      <c r="O40" s="21">
        <f t="shared" si="10"/>
        <v>2.032E-3</v>
      </c>
      <c r="P40" s="21">
        <v>2.1048357489809849E-10</v>
      </c>
      <c r="Q40" s="2">
        <v>0.32</v>
      </c>
      <c r="R40" s="27">
        <f t="shared" si="11"/>
        <v>132000</v>
      </c>
      <c r="S40" s="2">
        <f t="shared" si="12"/>
        <v>5.36358238306597E-3</v>
      </c>
      <c r="T40" s="11">
        <v>0.09</v>
      </c>
      <c r="U40" s="30">
        <f t="shared" si="13"/>
        <v>109000.00000000001</v>
      </c>
      <c r="V40" s="30">
        <f t="shared" si="1"/>
        <v>42.350277227722778</v>
      </c>
      <c r="W40" s="2">
        <f t="shared" si="14"/>
        <v>22</v>
      </c>
      <c r="X40" s="2">
        <f t="shared" si="15"/>
        <v>1.8253293116698597E-6</v>
      </c>
      <c r="Y40" s="11">
        <f t="shared" si="16"/>
        <v>582.22626074407594</v>
      </c>
      <c r="Z40" s="9">
        <f t="shared" si="17"/>
        <v>7.4497564985320713E-14</v>
      </c>
      <c r="AA40" s="9">
        <f t="shared" si="18"/>
        <v>44862433634.160133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</row>
    <row r="41" spans="1:78" s="4" customFormat="1" x14ac:dyDescent="0.25">
      <c r="A41" s="26">
        <v>117</v>
      </c>
      <c r="B41" s="26">
        <f t="shared" si="2"/>
        <v>1.95</v>
      </c>
      <c r="C41" s="26">
        <v>20</v>
      </c>
      <c r="D41" s="26">
        <f t="shared" si="0"/>
        <v>29.146000000000001</v>
      </c>
      <c r="E41" s="26">
        <f t="shared" si="3"/>
        <v>4.8576666666666667E-7</v>
      </c>
      <c r="F41" s="26">
        <v>21.1</v>
      </c>
      <c r="G41" s="26">
        <f t="shared" si="4"/>
        <v>294.10000000000002</v>
      </c>
      <c r="H41" s="26">
        <v>101.3</v>
      </c>
      <c r="I41" s="26">
        <f t="shared" si="5"/>
        <v>101300</v>
      </c>
      <c r="J41" s="26">
        <f t="shared" si="6"/>
        <v>2.0124824921938581E-5</v>
      </c>
      <c r="K41" s="20">
        <v>373.18811881188122</v>
      </c>
      <c r="L41" s="27">
        <f t="shared" si="7"/>
        <v>3.7318811881188122E-4</v>
      </c>
      <c r="M41" s="29">
        <f t="shared" si="8"/>
        <v>4.7762865441819992E-3</v>
      </c>
      <c r="N41" s="33">
        <f t="shared" si="9"/>
        <v>1.5724235731177152E-6</v>
      </c>
      <c r="O41" s="21">
        <f t="shared" si="10"/>
        <v>2.032E-3</v>
      </c>
      <c r="P41" s="21">
        <v>2.1048357489809849E-10</v>
      </c>
      <c r="Q41" s="2">
        <v>0.32</v>
      </c>
      <c r="R41" s="27">
        <f t="shared" si="11"/>
        <v>132000</v>
      </c>
      <c r="S41" s="2">
        <f t="shared" si="12"/>
        <v>5.36358238306597E-3</v>
      </c>
      <c r="T41" s="11">
        <v>0.09</v>
      </c>
      <c r="U41" s="30">
        <f t="shared" si="13"/>
        <v>109000.00000000001</v>
      </c>
      <c r="V41" s="30">
        <f t="shared" si="1"/>
        <v>40.677504950495056</v>
      </c>
      <c r="W41" s="2">
        <f t="shared" si="14"/>
        <v>22</v>
      </c>
      <c r="X41" s="2">
        <f t="shared" si="15"/>
        <v>1.7472198370297345E-6</v>
      </c>
      <c r="Y41" s="11">
        <f t="shared" si="16"/>
        <v>540.35244277977165</v>
      </c>
      <c r="Z41" s="9">
        <f t="shared" si="17"/>
        <v>7.1286951634013964E-14</v>
      </c>
      <c r="AA41" s="9">
        <f t="shared" si="18"/>
        <v>42929002274.003212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</row>
    <row r="42" spans="1:78" s="4" customFormat="1" x14ac:dyDescent="0.25">
      <c r="A42" s="26">
        <v>120</v>
      </c>
      <c r="B42" s="26">
        <f t="shared" si="2"/>
        <v>2</v>
      </c>
      <c r="C42" s="26">
        <v>20</v>
      </c>
      <c r="D42" s="26">
        <f t="shared" si="0"/>
        <v>29.146000000000001</v>
      </c>
      <c r="E42" s="26">
        <f t="shared" si="3"/>
        <v>4.8576666666666667E-7</v>
      </c>
      <c r="F42" s="26">
        <v>21.1</v>
      </c>
      <c r="G42" s="26">
        <f t="shared" si="4"/>
        <v>294.10000000000002</v>
      </c>
      <c r="H42" s="26">
        <v>101.3</v>
      </c>
      <c r="I42" s="26">
        <f t="shared" si="5"/>
        <v>101300</v>
      </c>
      <c r="J42" s="26">
        <f t="shared" si="6"/>
        <v>2.0124824921938581E-5</v>
      </c>
      <c r="K42" s="20">
        <v>373.36138613861385</v>
      </c>
      <c r="L42" s="27">
        <f t="shared" si="7"/>
        <v>3.7336138613861387E-4</v>
      </c>
      <c r="M42" s="29">
        <f t="shared" si="8"/>
        <v>4.7762865441819992E-3</v>
      </c>
      <c r="N42" s="33">
        <f t="shared" si="9"/>
        <v>1.5731536328791914E-6</v>
      </c>
      <c r="O42" s="21">
        <f t="shared" si="10"/>
        <v>2.032E-3</v>
      </c>
      <c r="P42" s="21">
        <v>2.1048357489809849E-10</v>
      </c>
      <c r="Q42" s="2">
        <v>0.32</v>
      </c>
      <c r="R42" s="27">
        <f t="shared" si="11"/>
        <v>132000</v>
      </c>
      <c r="S42" s="2">
        <f t="shared" si="12"/>
        <v>5.36358238306597E-3</v>
      </c>
      <c r="T42" s="11">
        <v>0.09</v>
      </c>
      <c r="U42" s="30">
        <f t="shared" si="13"/>
        <v>109000.00000000001</v>
      </c>
      <c r="V42" s="30">
        <f t="shared" si="1"/>
        <v>40.696391089108914</v>
      </c>
      <c r="W42" s="2">
        <f t="shared" si="14"/>
        <v>22</v>
      </c>
      <c r="X42" s="2">
        <f t="shared" si="15"/>
        <v>1.7481032455025445E-6</v>
      </c>
      <c r="Y42" s="11">
        <f t="shared" si="16"/>
        <v>540.81786229350973</v>
      </c>
      <c r="Z42" s="9">
        <f t="shared" si="17"/>
        <v>7.1323247405694485E-14</v>
      </c>
      <c r="AA42" s="9">
        <f t="shared" si="18"/>
        <v>42950859587.709221</v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</row>
    <row r="43" spans="1:78" s="4" customFormat="1" x14ac:dyDescent="0.25">
      <c r="A43" s="26">
        <v>123</v>
      </c>
      <c r="B43" s="26">
        <f t="shared" si="2"/>
        <v>2.0499999999999998</v>
      </c>
      <c r="C43" s="26">
        <v>20</v>
      </c>
      <c r="D43" s="26">
        <f t="shared" si="0"/>
        <v>29.146000000000001</v>
      </c>
      <c r="E43" s="26">
        <f t="shared" si="3"/>
        <v>4.8576666666666667E-7</v>
      </c>
      <c r="F43" s="26">
        <v>21.1</v>
      </c>
      <c r="G43" s="26">
        <f t="shared" si="4"/>
        <v>294.10000000000002</v>
      </c>
      <c r="H43" s="26">
        <v>101.3</v>
      </c>
      <c r="I43" s="26">
        <f t="shared" si="5"/>
        <v>101300</v>
      </c>
      <c r="J43" s="26">
        <f t="shared" si="6"/>
        <v>2.0124824921938581E-5</v>
      </c>
      <c r="K43" s="20">
        <v>375.56435643564362</v>
      </c>
      <c r="L43" s="27">
        <f t="shared" si="7"/>
        <v>3.7556435643564364E-4</v>
      </c>
      <c r="M43" s="29">
        <f t="shared" si="8"/>
        <v>4.7762865441819992E-3</v>
      </c>
      <c r="N43" s="33">
        <f t="shared" si="9"/>
        <v>1.5824358212751029E-6</v>
      </c>
      <c r="O43" s="21">
        <f t="shared" si="10"/>
        <v>2.032E-3</v>
      </c>
      <c r="P43" s="21">
        <v>2.1048357489809849E-10</v>
      </c>
      <c r="Q43" s="2">
        <v>0.32</v>
      </c>
      <c r="R43" s="27">
        <f t="shared" si="11"/>
        <v>132000</v>
      </c>
      <c r="S43" s="2">
        <f t="shared" si="12"/>
        <v>5.36358238306597E-3</v>
      </c>
      <c r="T43" s="11">
        <v>0.09</v>
      </c>
      <c r="U43" s="30">
        <f t="shared" si="13"/>
        <v>109000.00000000001</v>
      </c>
      <c r="V43" s="30">
        <f t="shared" si="1"/>
        <v>40.936514851485164</v>
      </c>
      <c r="W43" s="2">
        <f t="shared" si="14"/>
        <v>22</v>
      </c>
      <c r="X43" s="2">
        <f t="shared" si="15"/>
        <v>1.7593320597685098E-6</v>
      </c>
      <c r="Y43" s="11">
        <f t="shared" si="16"/>
        <v>546.75001322953392</v>
      </c>
      <c r="Z43" s="9">
        <f t="shared" si="17"/>
        <v>7.1784626418040035E-14</v>
      </c>
      <c r="AA43" s="9">
        <f t="shared" si="18"/>
        <v>43228702028.94371</v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</row>
    <row r="44" spans="1:78" s="4" customFormat="1" x14ac:dyDescent="0.25">
      <c r="A44" s="26">
        <v>126</v>
      </c>
      <c r="B44" s="26">
        <f t="shared" si="2"/>
        <v>2.1</v>
      </c>
      <c r="C44" s="26">
        <v>20</v>
      </c>
      <c r="D44" s="26">
        <f t="shared" si="0"/>
        <v>29.146000000000001</v>
      </c>
      <c r="E44" s="26">
        <f t="shared" si="3"/>
        <v>4.8576666666666667E-7</v>
      </c>
      <c r="F44" s="26">
        <v>21.1</v>
      </c>
      <c r="G44" s="26">
        <f t="shared" si="4"/>
        <v>294.10000000000002</v>
      </c>
      <c r="H44" s="26">
        <v>101.3</v>
      </c>
      <c r="I44" s="26">
        <f t="shared" si="5"/>
        <v>101300</v>
      </c>
      <c r="J44" s="26">
        <f t="shared" si="6"/>
        <v>2.0124824921938581E-5</v>
      </c>
      <c r="K44" s="20">
        <v>383.50990099009903</v>
      </c>
      <c r="L44" s="27">
        <f t="shared" si="7"/>
        <v>3.8350990099009902E-4</v>
      </c>
      <c r="M44" s="29">
        <f t="shared" si="8"/>
        <v>4.7762865441819992E-3</v>
      </c>
      <c r="N44" s="33">
        <f t="shared" si="9"/>
        <v>1.6159142760513672E-6</v>
      </c>
      <c r="O44" s="21">
        <f t="shared" si="10"/>
        <v>2.032E-3</v>
      </c>
      <c r="P44" s="21">
        <v>2.1048357489809849E-10</v>
      </c>
      <c r="Q44" s="2">
        <v>0.32</v>
      </c>
      <c r="R44" s="27">
        <f t="shared" si="11"/>
        <v>132000</v>
      </c>
      <c r="S44" s="2">
        <f t="shared" si="12"/>
        <v>5.36358238306597E-3</v>
      </c>
      <c r="T44" s="11">
        <v>0.09</v>
      </c>
      <c r="U44" s="30">
        <f t="shared" si="13"/>
        <v>109000.00000000001</v>
      </c>
      <c r="V44" s="30">
        <f t="shared" si="1"/>
        <v>41.8025792079208</v>
      </c>
      <c r="W44" s="2">
        <f t="shared" si="14"/>
        <v>22</v>
      </c>
      <c r="X44" s="2">
        <f t="shared" si="15"/>
        <v>1.7997844872401824E-6</v>
      </c>
      <c r="Y44" s="11">
        <f t="shared" si="16"/>
        <v>568.37128800285905</v>
      </c>
      <c r="Z44" s="9">
        <f t="shared" si="17"/>
        <v>7.3447255152181682E-14</v>
      </c>
      <c r="AA44" s="9">
        <f t="shared" si="18"/>
        <v>44229937052.643814</v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</row>
    <row r="45" spans="1:78" s="4" customFormat="1" x14ac:dyDescent="0.25">
      <c r="A45" s="26">
        <v>129</v>
      </c>
      <c r="B45" s="26">
        <f t="shared" si="2"/>
        <v>2.15</v>
      </c>
      <c r="C45" s="26">
        <v>20</v>
      </c>
      <c r="D45" s="26">
        <f t="shared" si="0"/>
        <v>29.146000000000001</v>
      </c>
      <c r="E45" s="26">
        <f t="shared" si="3"/>
        <v>4.8576666666666667E-7</v>
      </c>
      <c r="F45" s="26">
        <v>21.1</v>
      </c>
      <c r="G45" s="26">
        <f t="shared" si="4"/>
        <v>294.10000000000002</v>
      </c>
      <c r="H45" s="26">
        <v>101.3</v>
      </c>
      <c r="I45" s="26">
        <f t="shared" si="5"/>
        <v>101300</v>
      </c>
      <c r="J45" s="26">
        <f t="shared" si="6"/>
        <v>2.0124824921938581E-5</v>
      </c>
      <c r="K45" s="20">
        <v>376.82673267326737</v>
      </c>
      <c r="L45" s="27">
        <f t="shared" si="7"/>
        <v>3.7682673267326735E-4</v>
      </c>
      <c r="M45" s="29">
        <f t="shared" si="8"/>
        <v>4.7762865441819992E-3</v>
      </c>
      <c r="N45" s="33">
        <f t="shared" si="9"/>
        <v>1.5877548281087149E-6</v>
      </c>
      <c r="O45" s="21">
        <f t="shared" si="10"/>
        <v>2.032E-3</v>
      </c>
      <c r="P45" s="21">
        <v>2.1048357489809849E-10</v>
      </c>
      <c r="Q45" s="2">
        <v>0.32</v>
      </c>
      <c r="R45" s="27">
        <f t="shared" si="11"/>
        <v>132000</v>
      </c>
      <c r="S45" s="2">
        <f t="shared" si="12"/>
        <v>5.36358238306597E-3</v>
      </c>
      <c r="T45" s="11">
        <v>0.09</v>
      </c>
      <c r="U45" s="30">
        <f t="shared" si="13"/>
        <v>109000.00000000001</v>
      </c>
      <c r="V45" s="30">
        <f t="shared" si="1"/>
        <v>41.074113861386145</v>
      </c>
      <c r="W45" s="2">
        <f t="shared" si="14"/>
        <v>22</v>
      </c>
      <c r="X45" s="2">
        <f t="shared" si="15"/>
        <v>1.7657639762335662E-6</v>
      </c>
      <c r="Y45" s="11">
        <f t="shared" si="16"/>
        <v>550.16158894316288</v>
      </c>
      <c r="Z45" s="9">
        <f t="shared" si="17"/>
        <v>7.2048932657966966E-14</v>
      </c>
      <c r="AA45" s="9">
        <f t="shared" si="18"/>
        <v>43387867246.627708</v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</row>
    <row r="46" spans="1:78" s="4" customFormat="1" x14ac:dyDescent="0.25">
      <c r="A46" s="26">
        <v>132</v>
      </c>
      <c r="B46" s="26">
        <f t="shared" si="2"/>
        <v>2.2000000000000002</v>
      </c>
      <c r="C46" s="26">
        <v>20</v>
      </c>
      <c r="D46" s="26">
        <f t="shared" si="0"/>
        <v>29.146000000000001</v>
      </c>
      <c r="E46" s="26">
        <f t="shared" si="3"/>
        <v>4.8576666666666667E-7</v>
      </c>
      <c r="F46" s="26">
        <v>21.1</v>
      </c>
      <c r="G46" s="26">
        <f t="shared" si="4"/>
        <v>294.10000000000002</v>
      </c>
      <c r="H46" s="26">
        <v>101.3</v>
      </c>
      <c r="I46" s="26">
        <f t="shared" si="5"/>
        <v>101300</v>
      </c>
      <c r="J46" s="26">
        <f t="shared" si="6"/>
        <v>2.0124824921938581E-5</v>
      </c>
      <c r="K46" s="20">
        <v>379.12871287128718</v>
      </c>
      <c r="L46" s="27">
        <f t="shared" si="7"/>
        <v>3.7912871287128718E-4</v>
      </c>
      <c r="M46" s="29">
        <f t="shared" si="8"/>
        <v>4.7762865441819992E-3</v>
      </c>
      <c r="N46" s="33">
        <f t="shared" si="9"/>
        <v>1.5974541935111843E-6</v>
      </c>
      <c r="O46" s="21">
        <f t="shared" si="10"/>
        <v>2.032E-3</v>
      </c>
      <c r="P46" s="21">
        <v>2.1048357489809849E-10</v>
      </c>
      <c r="Q46" s="2">
        <v>0.32</v>
      </c>
      <c r="R46" s="27">
        <f t="shared" si="11"/>
        <v>132000</v>
      </c>
      <c r="S46" s="2">
        <f t="shared" si="12"/>
        <v>5.36358238306597E-3</v>
      </c>
      <c r="T46" s="11">
        <v>0.09</v>
      </c>
      <c r="U46" s="30">
        <f t="shared" si="13"/>
        <v>109000.00000000001</v>
      </c>
      <c r="V46" s="30">
        <f t="shared" si="1"/>
        <v>41.325029702970305</v>
      </c>
      <c r="W46" s="2">
        <f t="shared" si="14"/>
        <v>22</v>
      </c>
      <c r="X46" s="2">
        <f t="shared" si="15"/>
        <v>1.7774879766615864E-6</v>
      </c>
      <c r="Y46" s="11">
        <f t="shared" si="16"/>
        <v>556.40565175080826</v>
      </c>
      <c r="Z46" s="9">
        <f t="shared" si="17"/>
        <v>7.253075545450229E-14</v>
      </c>
      <c r="AA46" s="9">
        <f t="shared" si="18"/>
        <v>43678020934.701279</v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</row>
    <row r="47" spans="1:78" s="4" customFormat="1" x14ac:dyDescent="0.25">
      <c r="A47" s="26">
        <v>135</v>
      </c>
      <c r="B47" s="26">
        <f t="shared" si="2"/>
        <v>2.25</v>
      </c>
      <c r="C47" s="26">
        <v>20</v>
      </c>
      <c r="D47" s="26">
        <f t="shared" si="0"/>
        <v>29.146000000000001</v>
      </c>
      <c r="E47" s="26">
        <f t="shared" si="3"/>
        <v>4.8576666666666667E-7</v>
      </c>
      <c r="F47" s="26">
        <v>21.1</v>
      </c>
      <c r="G47" s="26">
        <f t="shared" si="4"/>
        <v>294.10000000000002</v>
      </c>
      <c r="H47" s="26">
        <v>101.3</v>
      </c>
      <c r="I47" s="26">
        <f t="shared" si="5"/>
        <v>101300</v>
      </c>
      <c r="J47" s="26">
        <f t="shared" si="6"/>
        <v>2.0124824921938581E-5</v>
      </c>
      <c r="K47" s="20">
        <v>372.32178217821786</v>
      </c>
      <c r="L47" s="27">
        <f t="shared" si="7"/>
        <v>3.7232178217821787E-4</v>
      </c>
      <c r="M47" s="29">
        <f t="shared" si="8"/>
        <v>4.7762865441819992E-3</v>
      </c>
      <c r="N47" s="33">
        <f t="shared" si="9"/>
        <v>1.5687732743103344E-6</v>
      </c>
      <c r="O47" s="21">
        <f t="shared" si="10"/>
        <v>2.032E-3</v>
      </c>
      <c r="P47" s="21">
        <v>2.1048357489809849E-10</v>
      </c>
      <c r="Q47" s="2">
        <v>0.32</v>
      </c>
      <c r="R47" s="27">
        <f t="shared" si="11"/>
        <v>132000</v>
      </c>
      <c r="S47" s="2">
        <f t="shared" si="12"/>
        <v>5.36358238306597E-3</v>
      </c>
      <c r="T47" s="11">
        <v>0.09</v>
      </c>
      <c r="U47" s="30">
        <f t="shared" si="13"/>
        <v>109000.00000000001</v>
      </c>
      <c r="V47" s="30">
        <f t="shared" si="1"/>
        <v>40.58307425742575</v>
      </c>
      <c r="W47" s="2">
        <f t="shared" si="14"/>
        <v>22</v>
      </c>
      <c r="X47" s="2">
        <f t="shared" si="15"/>
        <v>1.7428022601205694E-6</v>
      </c>
      <c r="Y47" s="11">
        <f t="shared" si="16"/>
        <v>538.02787170279964</v>
      </c>
      <c r="Z47" s="9">
        <f t="shared" si="17"/>
        <v>7.1105456187950778E-14</v>
      </c>
      <c r="AA47" s="9">
        <f t="shared" si="18"/>
        <v>42819705716.383957</v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</row>
    <row r="48" spans="1:78" s="4" customFormat="1" x14ac:dyDescent="0.25">
      <c r="A48" s="26">
        <v>138</v>
      </c>
      <c r="B48" s="26">
        <f t="shared" si="2"/>
        <v>2.2999999999999998</v>
      </c>
      <c r="C48" s="26">
        <v>20</v>
      </c>
      <c r="D48" s="26">
        <f t="shared" si="0"/>
        <v>29.146000000000001</v>
      </c>
      <c r="E48" s="26">
        <f t="shared" si="3"/>
        <v>4.8576666666666667E-7</v>
      </c>
      <c r="F48" s="26">
        <v>21.1</v>
      </c>
      <c r="G48" s="26">
        <f t="shared" si="4"/>
        <v>294.10000000000002</v>
      </c>
      <c r="H48" s="26">
        <v>101.3</v>
      </c>
      <c r="I48" s="26">
        <f t="shared" si="5"/>
        <v>101300</v>
      </c>
      <c r="J48" s="26">
        <f t="shared" si="6"/>
        <v>2.0124824921938581E-5</v>
      </c>
      <c r="K48" s="20">
        <v>370.14356435643566</v>
      </c>
      <c r="L48" s="27">
        <f t="shared" si="7"/>
        <v>3.7014356435643569E-4</v>
      </c>
      <c r="M48" s="29">
        <f t="shared" si="8"/>
        <v>4.7762865441819992E-3</v>
      </c>
      <c r="N48" s="33">
        <f t="shared" si="9"/>
        <v>1.5595953801660625E-6</v>
      </c>
      <c r="O48" s="21">
        <f t="shared" si="10"/>
        <v>2.032E-3</v>
      </c>
      <c r="P48" s="21">
        <v>2.1048357489809849E-10</v>
      </c>
      <c r="Q48" s="2">
        <v>0.32</v>
      </c>
      <c r="R48" s="27">
        <f t="shared" si="11"/>
        <v>132000</v>
      </c>
      <c r="S48" s="2">
        <f t="shared" si="12"/>
        <v>5.36358238306597E-3</v>
      </c>
      <c r="T48" s="11">
        <v>0.09</v>
      </c>
      <c r="U48" s="30">
        <f t="shared" si="13"/>
        <v>109000.00000000001</v>
      </c>
      <c r="V48" s="30">
        <f t="shared" si="1"/>
        <v>40.345648514851497</v>
      </c>
      <c r="W48" s="2">
        <f t="shared" si="14"/>
        <v>22</v>
      </c>
      <c r="X48" s="2">
        <f t="shared" si="15"/>
        <v>1.7316912565484861E-6</v>
      </c>
      <c r="Y48" s="11">
        <f t="shared" si="16"/>
        <v>532.20185214635035</v>
      </c>
      <c r="Z48" s="9">
        <f t="shared" si="17"/>
        <v>7.0649001864982339E-14</v>
      </c>
      <c r="AA48" s="9">
        <f t="shared" si="18"/>
        <v>42544828923.092369</v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</row>
    <row r="49" spans="1:78" s="4" customFormat="1" x14ac:dyDescent="0.25">
      <c r="A49" s="26">
        <v>141</v>
      </c>
      <c r="B49" s="26">
        <f t="shared" si="2"/>
        <v>2.35</v>
      </c>
      <c r="C49" s="26">
        <v>20</v>
      </c>
      <c r="D49" s="26">
        <f t="shared" si="0"/>
        <v>29.146000000000001</v>
      </c>
      <c r="E49" s="26">
        <f t="shared" si="3"/>
        <v>4.8576666666666667E-7</v>
      </c>
      <c r="F49" s="26">
        <v>21.1</v>
      </c>
      <c r="G49" s="26">
        <f t="shared" si="4"/>
        <v>294.10000000000002</v>
      </c>
      <c r="H49" s="26">
        <v>101.3</v>
      </c>
      <c r="I49" s="26">
        <f t="shared" si="5"/>
        <v>101300</v>
      </c>
      <c r="J49" s="26">
        <f t="shared" si="6"/>
        <v>2.0124824921938581E-5</v>
      </c>
      <c r="K49" s="20">
        <v>376.30693069306932</v>
      </c>
      <c r="L49" s="27">
        <f t="shared" si="7"/>
        <v>3.763069306930693E-4</v>
      </c>
      <c r="M49" s="29">
        <f t="shared" si="8"/>
        <v>4.7762865441819992E-3</v>
      </c>
      <c r="N49" s="33">
        <f t="shared" si="9"/>
        <v>1.5855646488242863E-6</v>
      </c>
      <c r="O49" s="21">
        <f t="shared" si="10"/>
        <v>2.032E-3</v>
      </c>
      <c r="P49" s="21">
        <v>2.1048357489809849E-10</v>
      </c>
      <c r="Q49" s="2">
        <v>0.32</v>
      </c>
      <c r="R49" s="27">
        <f t="shared" si="11"/>
        <v>132000</v>
      </c>
      <c r="S49" s="2">
        <f t="shared" si="12"/>
        <v>5.36358238306597E-3</v>
      </c>
      <c r="T49" s="11">
        <v>0.09</v>
      </c>
      <c r="U49" s="30">
        <f t="shared" si="13"/>
        <v>109000.00000000001</v>
      </c>
      <c r="V49" s="30">
        <f t="shared" si="1"/>
        <v>41.017455445544556</v>
      </c>
      <c r="W49" s="2">
        <f t="shared" si="14"/>
        <v>22</v>
      </c>
      <c r="X49" s="2">
        <f t="shared" si="15"/>
        <v>1.7631157661476166E-6</v>
      </c>
      <c r="Y49" s="11">
        <f t="shared" si="16"/>
        <v>548.75574198786796</v>
      </c>
      <c r="Z49" s="9">
        <f t="shared" si="17"/>
        <v>7.1940107649751842E-14</v>
      </c>
      <c r="AA49" s="9">
        <f t="shared" si="18"/>
        <v>43322332826.680565</v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</row>
    <row r="50" spans="1:78" s="4" customFormat="1" x14ac:dyDescent="0.25">
      <c r="A50" s="26">
        <v>144</v>
      </c>
      <c r="B50" s="26">
        <f t="shared" si="2"/>
        <v>2.4</v>
      </c>
      <c r="C50" s="26">
        <v>20</v>
      </c>
      <c r="D50" s="26">
        <f t="shared" si="0"/>
        <v>29.146000000000001</v>
      </c>
      <c r="E50" s="26">
        <f t="shared" si="3"/>
        <v>4.8576666666666667E-7</v>
      </c>
      <c r="F50" s="26">
        <v>21.1</v>
      </c>
      <c r="G50" s="26">
        <f t="shared" si="4"/>
        <v>294.10000000000002</v>
      </c>
      <c r="H50" s="26">
        <v>101.3</v>
      </c>
      <c r="I50" s="26">
        <f t="shared" si="5"/>
        <v>101300</v>
      </c>
      <c r="J50" s="26">
        <f t="shared" si="6"/>
        <v>2.0124824921938581E-5</v>
      </c>
      <c r="K50" s="20">
        <v>376.30693069306932</v>
      </c>
      <c r="L50" s="27">
        <f t="shared" si="7"/>
        <v>3.763069306930693E-4</v>
      </c>
      <c r="M50" s="29">
        <f t="shared" si="8"/>
        <v>4.7762865441819992E-3</v>
      </c>
      <c r="N50" s="33">
        <f t="shared" si="9"/>
        <v>1.5855646488242863E-6</v>
      </c>
      <c r="O50" s="21">
        <f t="shared" si="10"/>
        <v>2.032E-3</v>
      </c>
      <c r="P50" s="21">
        <v>2.1048357489809849E-10</v>
      </c>
      <c r="Q50" s="2">
        <v>0.32</v>
      </c>
      <c r="R50" s="27">
        <f t="shared" si="11"/>
        <v>132000</v>
      </c>
      <c r="S50" s="2">
        <f t="shared" si="12"/>
        <v>5.36358238306597E-3</v>
      </c>
      <c r="T50" s="11">
        <v>0.09</v>
      </c>
      <c r="U50" s="30">
        <f t="shared" si="13"/>
        <v>109000.00000000001</v>
      </c>
      <c r="V50" s="30">
        <f t="shared" si="1"/>
        <v>41.017455445544556</v>
      </c>
      <c r="W50" s="2">
        <f t="shared" si="14"/>
        <v>22</v>
      </c>
      <c r="X50" s="2">
        <f t="shared" si="15"/>
        <v>1.7631157661476166E-6</v>
      </c>
      <c r="Y50" s="11">
        <f t="shared" si="16"/>
        <v>548.75574198786796</v>
      </c>
      <c r="Z50" s="9">
        <f t="shared" si="17"/>
        <v>7.1940107649751842E-14</v>
      </c>
      <c r="AA50" s="9">
        <f t="shared" si="18"/>
        <v>43322332826.680565</v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</row>
    <row r="51" spans="1:78" s="4" customFormat="1" x14ac:dyDescent="0.25">
      <c r="A51" s="26">
        <v>147</v>
      </c>
      <c r="B51" s="26">
        <f t="shared" si="2"/>
        <v>2.4500000000000002</v>
      </c>
      <c r="C51" s="26">
        <v>20</v>
      </c>
      <c r="D51" s="26">
        <f t="shared" si="0"/>
        <v>29.146000000000001</v>
      </c>
      <c r="E51" s="26">
        <f t="shared" si="3"/>
        <v>4.8576666666666667E-7</v>
      </c>
      <c r="F51" s="26">
        <v>21.1</v>
      </c>
      <c r="G51" s="26">
        <f t="shared" si="4"/>
        <v>294.10000000000002</v>
      </c>
      <c r="H51" s="26">
        <v>101.3</v>
      </c>
      <c r="I51" s="26">
        <f t="shared" si="5"/>
        <v>101300</v>
      </c>
      <c r="J51" s="26">
        <f t="shared" si="6"/>
        <v>2.0124824921938581E-5</v>
      </c>
      <c r="K51" s="20">
        <v>380.98514851485152</v>
      </c>
      <c r="L51" s="27">
        <f t="shared" si="7"/>
        <v>3.8098514851485154E-4</v>
      </c>
      <c r="M51" s="29">
        <f t="shared" si="8"/>
        <v>4.7762865441819992E-3</v>
      </c>
      <c r="N51" s="33">
        <f t="shared" si="9"/>
        <v>1.6052762623841432E-6</v>
      </c>
      <c r="O51" s="21">
        <f t="shared" si="10"/>
        <v>2.032E-3</v>
      </c>
      <c r="P51" s="21">
        <v>2.1048357489809849E-10</v>
      </c>
      <c r="Q51" s="2">
        <v>0.32</v>
      </c>
      <c r="R51" s="27">
        <f t="shared" si="11"/>
        <v>132000</v>
      </c>
      <c r="S51" s="2">
        <f t="shared" si="12"/>
        <v>5.36358238306597E-3</v>
      </c>
      <c r="T51" s="11">
        <v>0.09</v>
      </c>
      <c r="U51" s="30">
        <f t="shared" si="13"/>
        <v>109000.00000000001</v>
      </c>
      <c r="V51" s="30">
        <f t="shared" si="1"/>
        <v>41.527381188118824</v>
      </c>
      <c r="W51" s="2">
        <f t="shared" si="14"/>
        <v>22</v>
      </c>
      <c r="X51" s="2">
        <f t="shared" si="15"/>
        <v>1.7869383426545343E-6</v>
      </c>
      <c r="Y51" s="11">
        <f t="shared" si="16"/>
        <v>561.46275798741419</v>
      </c>
      <c r="Z51" s="9">
        <f t="shared" si="17"/>
        <v>7.2919185007663318E-14</v>
      </c>
      <c r="AA51" s="9">
        <f t="shared" si="18"/>
        <v>43911933211.614853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</row>
    <row r="52" spans="1:78" s="4" customFormat="1" x14ac:dyDescent="0.25">
      <c r="A52" s="26">
        <v>150</v>
      </c>
      <c r="B52" s="26">
        <f t="shared" si="2"/>
        <v>2.5</v>
      </c>
      <c r="C52" s="26">
        <v>20</v>
      </c>
      <c r="D52" s="26">
        <f t="shared" si="0"/>
        <v>29.146000000000001</v>
      </c>
      <c r="E52" s="26">
        <f t="shared" si="3"/>
        <v>4.8576666666666667E-7</v>
      </c>
      <c r="F52" s="26">
        <v>21.1</v>
      </c>
      <c r="G52" s="26">
        <f t="shared" si="4"/>
        <v>294.10000000000002</v>
      </c>
      <c r="H52" s="26">
        <v>101.3</v>
      </c>
      <c r="I52" s="26">
        <f t="shared" si="5"/>
        <v>101300</v>
      </c>
      <c r="J52" s="26">
        <f t="shared" si="6"/>
        <v>2.0124824921938581E-5</v>
      </c>
      <c r="K52" s="20">
        <v>372.54455445544556</v>
      </c>
      <c r="L52" s="27">
        <f t="shared" si="7"/>
        <v>3.7254455445544558E-4</v>
      </c>
      <c r="M52" s="29">
        <f t="shared" si="8"/>
        <v>4.7762865441819992E-3</v>
      </c>
      <c r="N52" s="33">
        <f t="shared" si="9"/>
        <v>1.5697119225750894E-6</v>
      </c>
      <c r="O52" s="21">
        <f t="shared" si="10"/>
        <v>2.032E-3</v>
      </c>
      <c r="P52" s="21">
        <v>2.1048357489809849E-10</v>
      </c>
      <c r="Q52" s="2">
        <v>0.32</v>
      </c>
      <c r="R52" s="27">
        <f t="shared" si="11"/>
        <v>132000</v>
      </c>
      <c r="S52" s="2">
        <f t="shared" si="12"/>
        <v>5.36358238306597E-3</v>
      </c>
      <c r="T52" s="11">
        <v>0.09</v>
      </c>
      <c r="U52" s="30">
        <f t="shared" si="13"/>
        <v>109000.00000000001</v>
      </c>
      <c r="V52" s="30">
        <f t="shared" si="1"/>
        <v>40.607356435643574</v>
      </c>
      <c r="W52" s="2">
        <f t="shared" si="14"/>
        <v>22</v>
      </c>
      <c r="X52" s="2">
        <f t="shared" si="15"/>
        <v>1.743938293652741E-6</v>
      </c>
      <c r="Y52" s="11">
        <f t="shared" si="16"/>
        <v>538.62521630343144</v>
      </c>
      <c r="Z52" s="9">
        <f t="shared" si="17"/>
        <v>7.1152129090239774E-14</v>
      </c>
      <c r="AA52" s="9">
        <f t="shared" si="18"/>
        <v>42847812138.142395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</row>
    <row r="53" spans="1:78" s="4" customFormat="1" x14ac:dyDescent="0.25">
      <c r="A53" s="26">
        <v>153</v>
      </c>
      <c r="B53" s="26">
        <f t="shared" si="2"/>
        <v>2.5499999999999998</v>
      </c>
      <c r="C53" s="26">
        <v>20</v>
      </c>
      <c r="D53" s="26">
        <f t="shared" si="0"/>
        <v>29.146000000000001</v>
      </c>
      <c r="E53" s="26">
        <f t="shared" si="3"/>
        <v>4.8576666666666667E-7</v>
      </c>
      <c r="F53" s="26">
        <v>21.1</v>
      </c>
      <c r="G53" s="26">
        <f t="shared" si="4"/>
        <v>294.10000000000002</v>
      </c>
      <c r="H53" s="26">
        <v>101.3</v>
      </c>
      <c r="I53" s="26">
        <f t="shared" si="5"/>
        <v>101300</v>
      </c>
      <c r="J53" s="26">
        <f t="shared" si="6"/>
        <v>2.0124824921938581E-5</v>
      </c>
      <c r="K53" s="20">
        <v>364.32673267326732</v>
      </c>
      <c r="L53" s="27">
        <f t="shared" si="7"/>
        <v>3.6432673267326732E-4</v>
      </c>
      <c r="M53" s="29">
        <f t="shared" si="8"/>
        <v>4.7762865441819992E-3</v>
      </c>
      <c r="N53" s="33">
        <f t="shared" si="9"/>
        <v>1.5350862310307908E-6</v>
      </c>
      <c r="O53" s="21">
        <f t="shared" si="10"/>
        <v>2.032E-3</v>
      </c>
      <c r="P53" s="21">
        <v>2.1048357489809849E-10</v>
      </c>
      <c r="Q53" s="2">
        <v>0.32</v>
      </c>
      <c r="R53" s="27">
        <f t="shared" si="11"/>
        <v>132000</v>
      </c>
      <c r="S53" s="2">
        <f t="shared" si="12"/>
        <v>5.36358238306597E-3</v>
      </c>
      <c r="T53" s="11">
        <v>0.09</v>
      </c>
      <c r="U53" s="30">
        <f t="shared" si="13"/>
        <v>109000.00000000001</v>
      </c>
      <c r="V53" s="30">
        <f t="shared" si="1"/>
        <v>39.711613861386141</v>
      </c>
      <c r="W53" s="2">
        <f t="shared" si="14"/>
        <v>22</v>
      </c>
      <c r="X53" s="2">
        <f t="shared" si="15"/>
        <v>1.7019917705832533E-6</v>
      </c>
      <c r="Y53" s="11">
        <f t="shared" si="16"/>
        <v>516.77453643448939</v>
      </c>
      <c r="Z53" s="9">
        <f t="shared" si="17"/>
        <v>6.9429184176450056E-14</v>
      </c>
      <c r="AA53" s="9">
        <f t="shared" si="18"/>
        <v>41810254711.058228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</row>
    <row r="54" spans="1:78" s="4" customFormat="1" x14ac:dyDescent="0.25">
      <c r="A54" s="26">
        <v>156</v>
      </c>
      <c r="B54" s="26">
        <f t="shared" si="2"/>
        <v>2.6</v>
      </c>
      <c r="C54" s="26">
        <v>20</v>
      </c>
      <c r="D54" s="26">
        <f t="shared" si="0"/>
        <v>29.146000000000001</v>
      </c>
      <c r="E54" s="26">
        <f t="shared" si="3"/>
        <v>4.8576666666666667E-7</v>
      </c>
      <c r="F54" s="26">
        <v>21.1</v>
      </c>
      <c r="G54" s="26">
        <f t="shared" si="4"/>
        <v>294.10000000000002</v>
      </c>
      <c r="H54" s="26">
        <v>101.3</v>
      </c>
      <c r="I54" s="26">
        <f t="shared" si="5"/>
        <v>101300</v>
      </c>
      <c r="J54" s="26">
        <f t="shared" si="6"/>
        <v>2.0124824921938581E-5</v>
      </c>
      <c r="K54" s="20">
        <v>361.08415841584161</v>
      </c>
      <c r="L54" s="27">
        <f t="shared" si="7"/>
        <v>3.610841584158416E-4</v>
      </c>
      <c r="M54" s="29">
        <f t="shared" si="8"/>
        <v>4.7762865441819992E-3</v>
      </c>
      <c r="N54" s="33">
        <f t="shared" si="9"/>
        <v>1.5214236840660223E-6</v>
      </c>
      <c r="O54" s="21">
        <f t="shared" si="10"/>
        <v>2.032E-3</v>
      </c>
      <c r="P54" s="21">
        <v>2.1048357489809849E-10</v>
      </c>
      <c r="Q54" s="2">
        <v>0.32</v>
      </c>
      <c r="R54" s="27">
        <f t="shared" si="11"/>
        <v>132000</v>
      </c>
      <c r="S54" s="2">
        <f t="shared" si="12"/>
        <v>5.36358238306597E-3</v>
      </c>
      <c r="T54" s="11">
        <v>0.09</v>
      </c>
      <c r="U54" s="30">
        <f t="shared" si="13"/>
        <v>109000.00000000001</v>
      </c>
      <c r="V54" s="30">
        <f t="shared" si="1"/>
        <v>39.358173267326741</v>
      </c>
      <c r="W54" s="2">
        <f t="shared" si="14"/>
        <v>22</v>
      </c>
      <c r="X54" s="2">
        <f t="shared" si="15"/>
        <v>1.6854178915898761E-6</v>
      </c>
      <c r="Y54" s="11">
        <f t="shared" si="16"/>
        <v>508.25745957274705</v>
      </c>
      <c r="Z54" s="9">
        <f t="shared" si="17"/>
        <v>6.8748634224360754E-14</v>
      </c>
      <c r="AA54" s="9">
        <f t="shared" si="18"/>
        <v>41400427529.910049</v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</row>
    <row r="55" spans="1:78" s="4" customFormat="1" x14ac:dyDescent="0.25">
      <c r="A55" s="26">
        <v>159</v>
      </c>
      <c r="B55" s="26">
        <f t="shared" si="2"/>
        <v>2.65</v>
      </c>
      <c r="C55" s="26">
        <v>20</v>
      </c>
      <c r="D55" s="26">
        <f t="shared" si="0"/>
        <v>29.146000000000001</v>
      </c>
      <c r="E55" s="26">
        <f t="shared" si="3"/>
        <v>4.8576666666666667E-7</v>
      </c>
      <c r="F55" s="26">
        <v>21.1</v>
      </c>
      <c r="G55" s="26">
        <f t="shared" si="4"/>
        <v>294.10000000000002</v>
      </c>
      <c r="H55" s="26">
        <v>101.3</v>
      </c>
      <c r="I55" s="26">
        <f t="shared" si="5"/>
        <v>101300</v>
      </c>
      <c r="J55" s="26">
        <f t="shared" si="6"/>
        <v>2.0124824921938581E-5</v>
      </c>
      <c r="K55" s="20">
        <v>369.54950495049508</v>
      </c>
      <c r="L55" s="27">
        <f t="shared" si="7"/>
        <v>3.6954950495049509E-4</v>
      </c>
      <c r="M55" s="29">
        <f t="shared" si="8"/>
        <v>4.7762865441819992E-3</v>
      </c>
      <c r="N55" s="33">
        <f t="shared" si="9"/>
        <v>1.5570923181267157E-6</v>
      </c>
      <c r="O55" s="21">
        <f t="shared" si="10"/>
        <v>2.032E-3</v>
      </c>
      <c r="P55" s="21">
        <v>2.1048357489809849E-10</v>
      </c>
      <c r="Q55" s="2">
        <v>0.32</v>
      </c>
      <c r="R55" s="27">
        <f t="shared" si="11"/>
        <v>132000</v>
      </c>
      <c r="S55" s="2">
        <f t="shared" si="12"/>
        <v>5.36358238306597E-3</v>
      </c>
      <c r="T55" s="11">
        <v>0.09</v>
      </c>
      <c r="U55" s="30">
        <f t="shared" si="13"/>
        <v>109000.00000000001</v>
      </c>
      <c r="V55" s="30">
        <f t="shared" si="1"/>
        <v>40.280896039603974</v>
      </c>
      <c r="W55" s="2">
        <f t="shared" si="14"/>
        <v>22</v>
      </c>
      <c r="X55" s="2">
        <f t="shared" si="15"/>
        <v>1.7286599963349298E-6</v>
      </c>
      <c r="Y55" s="11">
        <f t="shared" si="16"/>
        <v>530.61756452236023</v>
      </c>
      <c r="Z55" s="9">
        <f t="shared" si="17"/>
        <v>7.052448357854971E-14</v>
      </c>
      <c r="AA55" s="9">
        <f t="shared" si="18"/>
        <v>42469844011.00264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</row>
    <row r="56" spans="1:78" s="4" customFormat="1" x14ac:dyDescent="0.25">
      <c r="A56" s="26">
        <v>162</v>
      </c>
      <c r="B56" s="26">
        <f t="shared" si="2"/>
        <v>2.7</v>
      </c>
      <c r="C56" s="26">
        <v>20</v>
      </c>
      <c r="D56" s="26">
        <f t="shared" si="0"/>
        <v>29.146000000000001</v>
      </c>
      <c r="E56" s="26">
        <f t="shared" si="3"/>
        <v>4.8576666666666667E-7</v>
      </c>
      <c r="F56" s="26">
        <v>21.1</v>
      </c>
      <c r="G56" s="26">
        <f t="shared" si="4"/>
        <v>294.10000000000002</v>
      </c>
      <c r="H56" s="26">
        <v>101.3</v>
      </c>
      <c r="I56" s="26">
        <f t="shared" si="5"/>
        <v>101300</v>
      </c>
      <c r="J56" s="26">
        <f t="shared" si="6"/>
        <v>2.0124824921938581E-5</v>
      </c>
      <c r="K56" s="20">
        <v>364.30198019801981</v>
      </c>
      <c r="L56" s="27">
        <f t="shared" si="7"/>
        <v>3.6430198019801979E-4</v>
      </c>
      <c r="M56" s="29">
        <f t="shared" si="8"/>
        <v>4.7762865441819992E-3</v>
      </c>
      <c r="N56" s="33">
        <f t="shared" si="9"/>
        <v>1.5349819367791511E-6</v>
      </c>
      <c r="O56" s="21">
        <f t="shared" si="10"/>
        <v>2.032E-3</v>
      </c>
      <c r="P56" s="21">
        <v>2.1048357489809849E-10</v>
      </c>
      <c r="Q56" s="2">
        <v>0.32</v>
      </c>
      <c r="R56" s="27">
        <f t="shared" si="11"/>
        <v>132000</v>
      </c>
      <c r="S56" s="2">
        <f t="shared" si="12"/>
        <v>5.36358238306597E-3</v>
      </c>
      <c r="T56" s="11">
        <v>0.09</v>
      </c>
      <c r="U56" s="30">
        <f t="shared" si="13"/>
        <v>109000.00000000001</v>
      </c>
      <c r="V56" s="30">
        <f t="shared" si="1"/>
        <v>39.708915841584165</v>
      </c>
      <c r="W56" s="2">
        <f t="shared" si="14"/>
        <v>22</v>
      </c>
      <c r="X56" s="2">
        <f t="shared" si="15"/>
        <v>1.70186530160608E-6</v>
      </c>
      <c r="Y56" s="11">
        <f t="shared" si="16"/>
        <v>516.70929569899693</v>
      </c>
      <c r="Z56" s="9">
        <f t="shared" si="17"/>
        <v>6.9423990692279134E-14</v>
      </c>
      <c r="AA56" s="9">
        <f t="shared" si="18"/>
        <v>41807127194.890495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</row>
    <row r="57" spans="1:78" s="4" customFormat="1" x14ac:dyDescent="0.25">
      <c r="A57" s="26">
        <v>165</v>
      </c>
      <c r="B57" s="26">
        <f t="shared" si="2"/>
        <v>2.75</v>
      </c>
      <c r="C57" s="26">
        <v>20</v>
      </c>
      <c r="D57" s="26">
        <f t="shared" si="0"/>
        <v>29.146000000000001</v>
      </c>
      <c r="E57" s="26">
        <f t="shared" si="3"/>
        <v>4.8576666666666667E-7</v>
      </c>
      <c r="F57" s="26">
        <v>21.1</v>
      </c>
      <c r="G57" s="26">
        <f t="shared" si="4"/>
        <v>294.10000000000002</v>
      </c>
      <c r="H57" s="26">
        <v>101.3</v>
      </c>
      <c r="I57" s="26">
        <f t="shared" si="5"/>
        <v>101300</v>
      </c>
      <c r="J57" s="26">
        <f t="shared" si="6"/>
        <v>2.0124824921938581E-5</v>
      </c>
      <c r="K57" s="20">
        <v>362.47029702970298</v>
      </c>
      <c r="L57" s="27">
        <f t="shared" si="7"/>
        <v>3.6247029702970296E-4</v>
      </c>
      <c r="M57" s="29">
        <f t="shared" si="8"/>
        <v>4.7762865441819992E-3</v>
      </c>
      <c r="N57" s="33">
        <f t="shared" si="9"/>
        <v>1.5272641621578317E-6</v>
      </c>
      <c r="O57" s="21">
        <f t="shared" si="10"/>
        <v>2.032E-3</v>
      </c>
      <c r="P57" s="21">
        <v>2.1048357489809849E-10</v>
      </c>
      <c r="Q57" s="2">
        <v>0.32</v>
      </c>
      <c r="R57" s="27">
        <f t="shared" si="11"/>
        <v>132000</v>
      </c>
      <c r="S57" s="2">
        <f t="shared" si="12"/>
        <v>5.36358238306597E-3</v>
      </c>
      <c r="T57" s="11">
        <v>0.09</v>
      </c>
      <c r="U57" s="30">
        <f t="shared" si="13"/>
        <v>109000.00000000001</v>
      </c>
      <c r="V57" s="30">
        <f t="shared" si="1"/>
        <v>39.509262376237629</v>
      </c>
      <c r="W57" s="2">
        <f t="shared" si="14"/>
        <v>22</v>
      </c>
      <c r="X57" s="2">
        <f t="shared" si="15"/>
        <v>1.6925045015676906E-6</v>
      </c>
      <c r="Y57" s="11">
        <f t="shared" si="16"/>
        <v>511.89107897211306</v>
      </c>
      <c r="Z57" s="9">
        <f t="shared" si="17"/>
        <v>6.903960671698853E-14</v>
      </c>
      <c r="AA57" s="9">
        <f t="shared" si="18"/>
        <v>41575651164.970497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</row>
    <row r="58" spans="1:78" s="4" customFormat="1" x14ac:dyDescent="0.25">
      <c r="A58" s="26">
        <v>168</v>
      </c>
      <c r="B58" s="26">
        <f t="shared" si="2"/>
        <v>2.8</v>
      </c>
      <c r="C58" s="26">
        <v>20</v>
      </c>
      <c r="D58" s="26">
        <f t="shared" si="0"/>
        <v>29.146000000000001</v>
      </c>
      <c r="E58" s="26">
        <f t="shared" si="3"/>
        <v>4.8576666666666667E-7</v>
      </c>
      <c r="F58" s="26">
        <v>21.1</v>
      </c>
      <c r="G58" s="26">
        <f t="shared" si="4"/>
        <v>294.10000000000002</v>
      </c>
      <c r="H58" s="26">
        <v>101.3</v>
      </c>
      <c r="I58" s="26">
        <f t="shared" si="5"/>
        <v>101300</v>
      </c>
      <c r="J58" s="26">
        <f t="shared" si="6"/>
        <v>2.0124824921938581E-5</v>
      </c>
      <c r="K58" s="20">
        <v>360.24257425742576</v>
      </c>
      <c r="L58" s="27">
        <f t="shared" si="7"/>
        <v>3.6024257425742578E-4</v>
      </c>
      <c r="M58" s="29">
        <f t="shared" si="8"/>
        <v>4.7762865441819992E-3</v>
      </c>
      <c r="N58" s="33">
        <f t="shared" si="9"/>
        <v>1.517877679510281E-6</v>
      </c>
      <c r="O58" s="21">
        <f t="shared" si="10"/>
        <v>2.032E-3</v>
      </c>
      <c r="P58" s="21">
        <v>2.1048357489809849E-10</v>
      </c>
      <c r="Q58" s="2">
        <v>0.32</v>
      </c>
      <c r="R58" s="27">
        <f t="shared" si="11"/>
        <v>132000</v>
      </c>
      <c r="S58" s="2">
        <f t="shared" si="12"/>
        <v>5.36358238306597E-3</v>
      </c>
      <c r="T58" s="11">
        <v>0.09</v>
      </c>
      <c r="U58" s="30">
        <f t="shared" si="13"/>
        <v>109000.00000000001</v>
      </c>
      <c r="V58" s="30">
        <f t="shared" si="1"/>
        <v>39.266440594059418</v>
      </c>
      <c r="W58" s="2">
        <f t="shared" si="14"/>
        <v>22</v>
      </c>
      <c r="X58" s="2">
        <f t="shared" si="15"/>
        <v>1.6811141397807802E-6</v>
      </c>
      <c r="Y58" s="11">
        <f t="shared" si="16"/>
        <v>506.05663399227672</v>
      </c>
      <c r="Z58" s="9">
        <f t="shared" si="17"/>
        <v>6.8571935354873625E-14</v>
      </c>
      <c r="AA58" s="9">
        <f t="shared" si="18"/>
        <v>41294019470.704903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</row>
    <row r="59" spans="1:78" s="4" customFormat="1" x14ac:dyDescent="0.25">
      <c r="A59" s="26">
        <v>171</v>
      </c>
      <c r="B59" s="26">
        <f t="shared" si="2"/>
        <v>2.85</v>
      </c>
      <c r="C59" s="26">
        <v>20</v>
      </c>
      <c r="D59" s="26">
        <f t="shared" si="0"/>
        <v>29.146000000000001</v>
      </c>
      <c r="E59" s="26">
        <f t="shared" si="3"/>
        <v>4.8576666666666667E-7</v>
      </c>
      <c r="F59" s="26">
        <v>21.1</v>
      </c>
      <c r="G59" s="26">
        <f t="shared" si="4"/>
        <v>294.10000000000002</v>
      </c>
      <c r="H59" s="26">
        <v>101.3</v>
      </c>
      <c r="I59" s="26">
        <f t="shared" si="5"/>
        <v>101300</v>
      </c>
      <c r="J59" s="26">
        <f t="shared" si="6"/>
        <v>2.0124824921938581E-5</v>
      </c>
      <c r="K59" s="20">
        <v>357.56930693069307</v>
      </c>
      <c r="L59" s="27">
        <f t="shared" si="7"/>
        <v>3.5756930693069307E-4</v>
      </c>
      <c r="M59" s="29">
        <f t="shared" si="8"/>
        <v>4.7762865441819992E-3</v>
      </c>
      <c r="N59" s="33">
        <f t="shared" si="9"/>
        <v>1.5066139003332199E-6</v>
      </c>
      <c r="O59" s="21">
        <f t="shared" si="10"/>
        <v>2.032E-3</v>
      </c>
      <c r="P59" s="21">
        <v>2.1048357489809849E-10</v>
      </c>
      <c r="Q59" s="2">
        <v>0.32</v>
      </c>
      <c r="R59" s="27">
        <f t="shared" si="11"/>
        <v>132000</v>
      </c>
      <c r="S59" s="2">
        <f t="shared" si="12"/>
        <v>5.36358238306597E-3</v>
      </c>
      <c r="T59" s="11">
        <v>0.09</v>
      </c>
      <c r="U59" s="30">
        <f t="shared" si="13"/>
        <v>109000.00000000001</v>
      </c>
      <c r="V59" s="30">
        <f t="shared" si="1"/>
        <v>38.975054455445552</v>
      </c>
      <c r="W59" s="2">
        <f t="shared" si="14"/>
        <v>22</v>
      </c>
      <c r="X59" s="2">
        <f t="shared" si="15"/>
        <v>1.6674375091759096E-6</v>
      </c>
      <c r="Y59" s="11">
        <f t="shared" si="16"/>
        <v>499.09237087790433</v>
      </c>
      <c r="Z59" s="9">
        <f t="shared" si="17"/>
        <v>6.801046935967082E-14</v>
      </c>
      <c r="AA59" s="9">
        <f t="shared" si="18"/>
        <v>40955904648.393768</v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</row>
    <row r="60" spans="1:78" s="4" customFormat="1" x14ac:dyDescent="0.25">
      <c r="A60" s="26">
        <v>174</v>
      </c>
      <c r="B60" s="26">
        <f t="shared" si="2"/>
        <v>2.9</v>
      </c>
      <c r="C60" s="26">
        <v>20</v>
      </c>
      <c r="D60" s="26">
        <f t="shared" si="0"/>
        <v>29.146000000000001</v>
      </c>
      <c r="E60" s="26">
        <f t="shared" si="3"/>
        <v>4.8576666666666667E-7</v>
      </c>
      <c r="F60" s="26">
        <v>21.1</v>
      </c>
      <c r="G60" s="26">
        <f t="shared" si="4"/>
        <v>294.10000000000002</v>
      </c>
      <c r="H60" s="26">
        <v>101.3</v>
      </c>
      <c r="I60" s="26">
        <f t="shared" si="5"/>
        <v>101300</v>
      </c>
      <c r="J60" s="26">
        <f t="shared" si="6"/>
        <v>2.0124824921938581E-5</v>
      </c>
      <c r="K60" s="20">
        <v>371.13366336633663</v>
      </c>
      <c r="L60" s="27">
        <f t="shared" si="7"/>
        <v>3.7113366336633663E-4</v>
      </c>
      <c r="M60" s="29">
        <f t="shared" si="8"/>
        <v>4.7762865441819992E-3</v>
      </c>
      <c r="N60" s="33">
        <f t="shared" si="9"/>
        <v>1.5637671502316407E-6</v>
      </c>
      <c r="O60" s="21">
        <f t="shared" si="10"/>
        <v>2.032E-3</v>
      </c>
      <c r="P60" s="21">
        <v>2.1048357489809849E-10</v>
      </c>
      <c r="Q60" s="2">
        <v>0.32</v>
      </c>
      <c r="R60" s="27">
        <f t="shared" si="11"/>
        <v>132000</v>
      </c>
      <c r="S60" s="2">
        <f t="shared" si="12"/>
        <v>5.36358238306597E-3</v>
      </c>
      <c r="T60" s="11">
        <v>0.09</v>
      </c>
      <c r="U60" s="30">
        <f t="shared" si="13"/>
        <v>109000.00000000001</v>
      </c>
      <c r="V60" s="30">
        <f t="shared" si="1"/>
        <v>40.453569306930696</v>
      </c>
      <c r="W60" s="2">
        <f t="shared" si="14"/>
        <v>22</v>
      </c>
      <c r="X60" s="2">
        <f t="shared" si="15"/>
        <v>1.7367424158645166E-6</v>
      </c>
      <c r="Y60" s="11">
        <f t="shared" si="16"/>
        <v>534.84673914514474</v>
      </c>
      <c r="Z60" s="9">
        <f t="shared" si="17"/>
        <v>7.0856502994151542E-14</v>
      </c>
      <c r="AA60" s="9">
        <f t="shared" si="18"/>
        <v>42669786103.078064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</row>
    <row r="61" spans="1:78" s="4" customFormat="1" x14ac:dyDescent="0.25">
      <c r="A61" s="26">
        <v>177</v>
      </c>
      <c r="B61" s="26">
        <f t="shared" si="2"/>
        <v>2.95</v>
      </c>
      <c r="C61" s="26">
        <v>20</v>
      </c>
      <c r="D61" s="26">
        <f t="shared" si="0"/>
        <v>29.146000000000001</v>
      </c>
      <c r="E61" s="26">
        <f t="shared" si="3"/>
        <v>4.8576666666666667E-7</v>
      </c>
      <c r="F61" s="26">
        <v>21.1</v>
      </c>
      <c r="G61" s="26">
        <f t="shared" si="4"/>
        <v>294.10000000000002</v>
      </c>
      <c r="H61" s="26">
        <v>101.3</v>
      </c>
      <c r="I61" s="26">
        <f t="shared" si="5"/>
        <v>101300</v>
      </c>
      <c r="J61" s="26">
        <f t="shared" si="6"/>
        <v>2.0124824921938581E-5</v>
      </c>
      <c r="K61" s="20">
        <v>353.38613861386142</v>
      </c>
      <c r="L61" s="27">
        <f t="shared" si="7"/>
        <v>3.533861386138614E-4</v>
      </c>
      <c r="M61" s="29">
        <f t="shared" si="8"/>
        <v>4.7762865441819992E-3</v>
      </c>
      <c r="N61" s="33">
        <f t="shared" si="9"/>
        <v>1.4889881718061522E-6</v>
      </c>
      <c r="O61" s="21">
        <f t="shared" si="10"/>
        <v>2.032E-3</v>
      </c>
      <c r="P61" s="21">
        <v>2.1048357489809849E-10</v>
      </c>
      <c r="Q61" s="2">
        <v>0.32</v>
      </c>
      <c r="R61" s="27">
        <f t="shared" si="11"/>
        <v>132000</v>
      </c>
      <c r="S61" s="2">
        <f t="shared" si="12"/>
        <v>5.36358238306597E-3</v>
      </c>
      <c r="T61" s="11">
        <v>0.09</v>
      </c>
      <c r="U61" s="30">
        <f t="shared" si="13"/>
        <v>109000.00000000001</v>
      </c>
      <c r="V61" s="30">
        <f t="shared" si="1"/>
        <v>38.519089108910897</v>
      </c>
      <c r="W61" s="2">
        <f t="shared" si="14"/>
        <v>22</v>
      </c>
      <c r="X61" s="2">
        <f t="shared" si="15"/>
        <v>1.6460179426225019E-6</v>
      </c>
      <c r="Y61" s="11">
        <f t="shared" si="16"/>
        <v>488.27591323150489</v>
      </c>
      <c r="Z61" s="9">
        <f t="shared" si="17"/>
        <v>6.7131298753529094E-14</v>
      </c>
      <c r="AA61" s="9">
        <f t="shared" si="18"/>
        <v>40426468109.375221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</row>
    <row r="62" spans="1:78" s="4" customFormat="1" x14ac:dyDescent="0.25">
      <c r="A62" s="26">
        <v>180</v>
      </c>
      <c r="B62" s="26">
        <f t="shared" si="2"/>
        <v>3</v>
      </c>
      <c r="C62" s="26">
        <v>20</v>
      </c>
      <c r="D62" s="26">
        <f t="shared" si="0"/>
        <v>29.146000000000001</v>
      </c>
      <c r="E62" s="26">
        <f t="shared" si="3"/>
        <v>4.8576666666666667E-7</v>
      </c>
      <c r="F62" s="26">
        <v>21.1</v>
      </c>
      <c r="G62" s="26">
        <f t="shared" si="4"/>
        <v>294.10000000000002</v>
      </c>
      <c r="H62" s="26">
        <v>101.3</v>
      </c>
      <c r="I62" s="26">
        <f t="shared" si="5"/>
        <v>101300</v>
      </c>
      <c r="J62" s="26">
        <f t="shared" si="6"/>
        <v>2.0124824921938581E-5</v>
      </c>
      <c r="K62" s="20">
        <v>362.49504950495049</v>
      </c>
      <c r="L62" s="27">
        <f t="shared" si="7"/>
        <v>3.6249504950495049E-4</v>
      </c>
      <c r="M62" s="29">
        <f t="shared" si="8"/>
        <v>4.7762865441819992E-3</v>
      </c>
      <c r="N62" s="33">
        <f t="shared" si="9"/>
        <v>1.5273684564094711E-6</v>
      </c>
      <c r="O62" s="21">
        <f t="shared" si="10"/>
        <v>2.032E-3</v>
      </c>
      <c r="P62" s="21">
        <v>2.1048357489809849E-10</v>
      </c>
      <c r="Q62" s="2">
        <v>0.32</v>
      </c>
      <c r="R62" s="27">
        <f t="shared" si="11"/>
        <v>132000</v>
      </c>
      <c r="S62" s="2">
        <f t="shared" si="12"/>
        <v>5.36358238306597E-3</v>
      </c>
      <c r="T62" s="11">
        <v>0.09</v>
      </c>
      <c r="U62" s="30">
        <f t="shared" si="13"/>
        <v>109000.00000000001</v>
      </c>
      <c r="V62" s="30">
        <f t="shared" si="1"/>
        <v>39.511960396039612</v>
      </c>
      <c r="W62" s="2">
        <f t="shared" si="14"/>
        <v>22</v>
      </c>
      <c r="X62" s="2">
        <f t="shared" si="15"/>
        <v>1.6926310265004897E-6</v>
      </c>
      <c r="Y62" s="11">
        <f t="shared" si="16"/>
        <v>511.95606371664786</v>
      </c>
      <c r="Z62" s="9">
        <f t="shared" si="17"/>
        <v>6.9044801968216966E-14</v>
      </c>
      <c r="AA62" s="9">
        <f t="shared" si="18"/>
        <v>41578779745.260262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</row>
    <row r="63" spans="1:78" s="4" customFormat="1" x14ac:dyDescent="0.25">
      <c r="A63" s="26">
        <v>183</v>
      </c>
      <c r="B63" s="26">
        <f t="shared" ref="B63:B66" si="19">(A63/60)</f>
        <v>3.05</v>
      </c>
      <c r="C63" s="26">
        <v>20</v>
      </c>
      <c r="D63" s="26">
        <f t="shared" ref="D63:D66" si="20">(C63*1.4573)</f>
        <v>29.146000000000001</v>
      </c>
      <c r="E63" s="26">
        <f t="shared" ref="E63:E66" si="21">(D63/(1000000*60))</f>
        <v>4.8576666666666667E-7</v>
      </c>
      <c r="F63" s="26">
        <v>21.1</v>
      </c>
      <c r="G63" s="26">
        <f t="shared" ref="G63:G66" si="22">(273+F63)</f>
        <v>294.10000000000002</v>
      </c>
      <c r="H63" s="26">
        <v>101.3</v>
      </c>
      <c r="I63" s="26">
        <f t="shared" ref="I63:I66" si="23">(H63*1000)</f>
        <v>101300</v>
      </c>
      <c r="J63" s="26">
        <f t="shared" ref="J63:J66" si="24">((I63*E63)/(8.314*G63))</f>
        <v>2.0124824921938581E-5</v>
      </c>
      <c r="K63" s="20">
        <v>368.11386138613864</v>
      </c>
      <c r="L63" s="27">
        <f t="shared" ref="L63:L66" si="25">(K63/1000000)</f>
        <v>3.6811386138613862E-4</v>
      </c>
      <c r="M63" s="29">
        <f t="shared" si="8"/>
        <v>4.7762865441819992E-3</v>
      </c>
      <c r="N63" s="33">
        <f t="shared" ref="N63:N66" si="26">(L63*J63)/M63</f>
        <v>1.5510432515316272E-6</v>
      </c>
      <c r="O63" s="21">
        <f t="shared" si="10"/>
        <v>2.032E-3</v>
      </c>
      <c r="P63" s="21">
        <v>2.1048357489809849E-10</v>
      </c>
      <c r="Q63" s="2">
        <v>0.32</v>
      </c>
      <c r="R63" s="27">
        <f t="shared" ref="R63:R66" si="27">(1+Q63)*100000*1</f>
        <v>132000</v>
      </c>
      <c r="S63" s="2">
        <f t="shared" si="12"/>
        <v>5.36358238306597E-3</v>
      </c>
      <c r="T63" s="11">
        <v>0.09</v>
      </c>
      <c r="U63" s="30">
        <f t="shared" ref="U63:U66" si="28">(1+T63)*100000</f>
        <v>109000.00000000001</v>
      </c>
      <c r="V63" s="30">
        <f t="shared" ref="V63:V66" si="29">(L63*U63)</f>
        <v>40.124410891089113</v>
      </c>
      <c r="W63" s="2">
        <f t="shared" si="14"/>
        <v>22</v>
      </c>
      <c r="X63" s="2">
        <f t="shared" ref="X63:X66" si="30">(N63+((P63/O63)*(SQRT(V63)-SQRT(W63))))</f>
        <v>1.7213326953879496E-6</v>
      </c>
      <c r="Y63" s="11">
        <f t="shared" ref="Y63:Y66" si="31">((X63*O63/P63) + SQRT(V63))^2</f>
        <v>526.79706342424095</v>
      </c>
      <c r="Z63" s="9">
        <f t="shared" ref="Z63:Z66" si="32">(X63*S63)/(R63-Y63)</f>
        <v>7.0223509537773568E-14</v>
      </c>
      <c r="AA63" s="9">
        <f t="shared" ref="AA63:AA66" si="33">(Z63*6.022E+23)</f>
        <v>42288597443.647247</v>
      </c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</row>
    <row r="64" spans="1:78" s="4" customFormat="1" x14ac:dyDescent="0.25">
      <c r="A64" s="26">
        <v>186</v>
      </c>
      <c r="B64" s="26">
        <f t="shared" si="19"/>
        <v>3.1</v>
      </c>
      <c r="C64" s="26">
        <v>20</v>
      </c>
      <c r="D64" s="26">
        <f t="shared" si="20"/>
        <v>29.146000000000001</v>
      </c>
      <c r="E64" s="26">
        <f t="shared" si="21"/>
        <v>4.8576666666666667E-7</v>
      </c>
      <c r="F64" s="26">
        <v>21.1</v>
      </c>
      <c r="G64" s="26">
        <f t="shared" si="22"/>
        <v>294.10000000000002</v>
      </c>
      <c r="H64" s="26">
        <v>101.3</v>
      </c>
      <c r="I64" s="26">
        <f t="shared" si="23"/>
        <v>101300</v>
      </c>
      <c r="J64" s="26">
        <f t="shared" si="24"/>
        <v>2.0124824921938581E-5</v>
      </c>
      <c r="K64" s="20">
        <v>358.60891089108912</v>
      </c>
      <c r="L64" s="27">
        <f t="shared" si="25"/>
        <v>3.5860891089108913E-4</v>
      </c>
      <c r="M64" s="29">
        <f t="shared" si="8"/>
        <v>4.7762865441819992E-3</v>
      </c>
      <c r="N64" s="33">
        <f t="shared" si="26"/>
        <v>1.5109942589020769E-6</v>
      </c>
      <c r="O64" s="21">
        <f t="shared" si="10"/>
        <v>2.032E-3</v>
      </c>
      <c r="P64" s="21">
        <v>2.1048357489809849E-10</v>
      </c>
      <c r="Q64" s="2">
        <v>0.32</v>
      </c>
      <c r="R64" s="27">
        <f t="shared" si="27"/>
        <v>132000</v>
      </c>
      <c r="S64" s="2">
        <f t="shared" si="12"/>
        <v>5.36358238306597E-3</v>
      </c>
      <c r="T64" s="11">
        <v>0.09</v>
      </c>
      <c r="U64" s="30">
        <f t="shared" si="28"/>
        <v>109000.00000000001</v>
      </c>
      <c r="V64" s="30">
        <f t="shared" si="29"/>
        <v>39.088371287128723</v>
      </c>
      <c r="W64" s="2">
        <f t="shared" si="14"/>
        <v>22</v>
      </c>
      <c r="X64" s="2">
        <f t="shared" si="30"/>
        <v>1.6727572670712505E-6</v>
      </c>
      <c r="Y64" s="11">
        <f t="shared" si="31"/>
        <v>501.79588567864408</v>
      </c>
      <c r="Z64" s="9">
        <f t="shared" si="32"/>
        <v>6.8228851254948865E-14</v>
      </c>
      <c r="AA64" s="9">
        <f t="shared" si="33"/>
        <v>41087414225.730209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</row>
    <row r="65" spans="1:78" s="4" customFormat="1" x14ac:dyDescent="0.25">
      <c r="A65" s="26">
        <v>189</v>
      </c>
      <c r="B65" s="26">
        <f t="shared" si="19"/>
        <v>3.15</v>
      </c>
      <c r="C65" s="26">
        <v>20</v>
      </c>
      <c r="D65" s="26">
        <f t="shared" si="20"/>
        <v>29.146000000000001</v>
      </c>
      <c r="E65" s="26">
        <f t="shared" si="21"/>
        <v>4.8576666666666667E-7</v>
      </c>
      <c r="F65" s="26">
        <v>21.1</v>
      </c>
      <c r="G65" s="26">
        <f t="shared" si="22"/>
        <v>294.10000000000002</v>
      </c>
      <c r="H65" s="26">
        <v>101.3</v>
      </c>
      <c r="I65" s="26">
        <f t="shared" si="23"/>
        <v>101300</v>
      </c>
      <c r="J65" s="26">
        <f t="shared" si="24"/>
        <v>2.0124824921938581E-5</v>
      </c>
      <c r="K65" s="20">
        <v>360.63861386138615</v>
      </c>
      <c r="L65" s="27">
        <f t="shared" si="25"/>
        <v>3.6063861386138613E-4</v>
      </c>
      <c r="M65" s="29">
        <f t="shared" si="8"/>
        <v>4.7762865441819992E-3</v>
      </c>
      <c r="N65" s="33">
        <f t="shared" si="26"/>
        <v>1.5195463875365122E-6</v>
      </c>
      <c r="O65" s="21">
        <f t="shared" si="10"/>
        <v>2.032E-3</v>
      </c>
      <c r="P65" s="21">
        <v>2.1048357489809849E-10</v>
      </c>
      <c r="Q65" s="2">
        <v>0.32</v>
      </c>
      <c r="R65" s="27">
        <f t="shared" si="27"/>
        <v>132000</v>
      </c>
      <c r="S65" s="2">
        <f t="shared" si="12"/>
        <v>5.36358238306597E-3</v>
      </c>
      <c r="T65" s="11">
        <v>0.09</v>
      </c>
      <c r="U65" s="30">
        <f t="shared" si="28"/>
        <v>109000.00000000001</v>
      </c>
      <c r="V65" s="30">
        <f t="shared" si="29"/>
        <v>39.309608910891093</v>
      </c>
      <c r="W65" s="2">
        <f t="shared" si="14"/>
        <v>22</v>
      </c>
      <c r="X65" s="2">
        <f t="shared" si="30"/>
        <v>1.6831395448807625E-6</v>
      </c>
      <c r="Y65" s="11">
        <f t="shared" si="31"/>
        <v>507.09181754072273</v>
      </c>
      <c r="Z65" s="9">
        <f t="shared" si="32"/>
        <v>6.8655091258894167E-14</v>
      </c>
      <c r="AA65" s="9">
        <f t="shared" si="33"/>
        <v>41344095956.106071</v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</row>
    <row r="66" spans="1:78" s="4" customFormat="1" x14ac:dyDescent="0.25">
      <c r="A66" s="26">
        <v>192</v>
      </c>
      <c r="B66" s="26">
        <f t="shared" si="19"/>
        <v>3.2</v>
      </c>
      <c r="C66" s="26">
        <v>20</v>
      </c>
      <c r="D66" s="26">
        <f t="shared" si="20"/>
        <v>29.146000000000001</v>
      </c>
      <c r="E66" s="26">
        <f t="shared" si="21"/>
        <v>4.8576666666666667E-7</v>
      </c>
      <c r="F66" s="26">
        <v>21.1</v>
      </c>
      <c r="G66" s="26">
        <f t="shared" si="22"/>
        <v>294.10000000000002</v>
      </c>
      <c r="H66" s="26">
        <v>101.3</v>
      </c>
      <c r="I66" s="26">
        <f t="shared" si="23"/>
        <v>101300</v>
      </c>
      <c r="J66" s="26">
        <f t="shared" si="24"/>
        <v>2.0124824921938581E-5</v>
      </c>
      <c r="K66" s="20">
        <v>364.57425742574259</v>
      </c>
      <c r="L66" s="27">
        <f t="shared" si="25"/>
        <v>3.6457425742574261E-4</v>
      </c>
      <c r="M66" s="29">
        <f t="shared" si="8"/>
        <v>4.7762865441819992E-3</v>
      </c>
      <c r="N66" s="33">
        <f t="shared" si="26"/>
        <v>1.5361291735471855E-6</v>
      </c>
      <c r="O66" s="21">
        <f t="shared" si="10"/>
        <v>2.032E-3</v>
      </c>
      <c r="P66" s="21">
        <v>2.1048357489809849E-10</v>
      </c>
      <c r="Q66" s="2">
        <v>0.32</v>
      </c>
      <c r="R66" s="27">
        <f t="shared" si="27"/>
        <v>132000</v>
      </c>
      <c r="S66" s="2">
        <f t="shared" si="12"/>
        <v>5.36358238306597E-3</v>
      </c>
      <c r="T66" s="11">
        <v>0.09</v>
      </c>
      <c r="U66" s="30">
        <f t="shared" si="28"/>
        <v>109000.00000000001</v>
      </c>
      <c r="V66" s="30">
        <f t="shared" si="29"/>
        <v>39.738594059405948</v>
      </c>
      <c r="W66" s="2">
        <f t="shared" si="14"/>
        <v>22</v>
      </c>
      <c r="X66" s="2">
        <f t="shared" si="30"/>
        <v>1.7032564189380066E-6</v>
      </c>
      <c r="Y66" s="11">
        <f t="shared" si="31"/>
        <v>517.42713392378766</v>
      </c>
      <c r="Z66" s="9">
        <f t="shared" si="32"/>
        <v>6.9481117712573946E-14</v>
      </c>
      <c r="AA66" s="9">
        <f t="shared" si="33"/>
        <v>41841529086.512032</v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</row>
    <row r="67" spans="1:78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4"/>
      <c r="L67" s="3"/>
      <c r="M67" s="3"/>
      <c r="N67" s="21"/>
      <c r="O67" s="21"/>
      <c r="P67" s="21"/>
      <c r="Q67" s="2"/>
      <c r="R67" s="2"/>
      <c r="S67" s="2"/>
      <c r="T67" s="11"/>
      <c r="U67" s="2"/>
      <c r="V67" s="11"/>
      <c r="W67" s="2"/>
      <c r="X67" s="2"/>
      <c r="Y67" s="5"/>
      <c r="Z67" s="2"/>
      <c r="AA67" s="5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</row>
    <row r="68" spans="1:78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4"/>
      <c r="L68" s="3"/>
      <c r="M68" s="3"/>
      <c r="N68" s="21"/>
      <c r="O68" s="21"/>
      <c r="P68" s="21"/>
      <c r="Q68" s="2"/>
      <c r="R68" s="2"/>
      <c r="S68" s="2"/>
      <c r="T68" s="11"/>
      <c r="U68" s="2"/>
      <c r="V68" s="11"/>
      <c r="W68" s="2"/>
      <c r="X68" s="2"/>
      <c r="Y68" s="5"/>
      <c r="Z68" s="2"/>
      <c r="AA68" s="5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</row>
    <row r="69" spans="1:78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4"/>
      <c r="L69" s="3"/>
      <c r="M69" s="3"/>
      <c r="N69" s="21"/>
      <c r="O69" s="21"/>
      <c r="P69" s="21"/>
      <c r="Q69" s="2"/>
      <c r="R69" s="2"/>
      <c r="S69" s="2"/>
      <c r="T69" s="11"/>
      <c r="U69" s="2"/>
      <c r="V69" s="11"/>
      <c r="W69" s="2"/>
      <c r="X69" s="2"/>
      <c r="Y69" s="5"/>
      <c r="Z69" s="32">
        <f>AVERAGE(Z32:Z66)</f>
        <v>7.1236319786282991E-14</v>
      </c>
      <c r="AA69" s="32">
        <f>AVERAGE(AA32:AA66)</f>
        <v>42898511775.299606</v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</row>
    <row r="70" spans="1:78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4"/>
      <c r="L70" s="3"/>
      <c r="M70" s="3"/>
      <c r="N70" s="21"/>
      <c r="O70" s="21"/>
      <c r="P70" s="21"/>
      <c r="Q70" s="2"/>
      <c r="R70" s="2"/>
      <c r="S70" s="2"/>
      <c r="T70" s="11"/>
      <c r="U70" s="2"/>
      <c r="V70" s="11"/>
      <c r="W70" s="2"/>
      <c r="X70" s="2"/>
      <c r="Y70" s="5"/>
      <c r="Z70" s="2"/>
      <c r="AA70" s="5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</row>
    <row r="71" spans="1:78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4"/>
      <c r="L71" s="3"/>
      <c r="M71" s="3"/>
      <c r="N71" s="21"/>
      <c r="O71" s="21"/>
      <c r="P71" s="21"/>
      <c r="Q71" s="2"/>
      <c r="R71" s="2"/>
      <c r="S71" s="2"/>
      <c r="T71" s="11"/>
      <c r="U71" s="2"/>
      <c r="V71" s="11"/>
      <c r="W71" s="2"/>
      <c r="X71" s="2"/>
      <c r="Y71" s="5"/>
      <c r="Z71" s="2"/>
      <c r="AA71" s="5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</row>
    <row r="72" spans="1:78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4"/>
      <c r="L72" s="3"/>
      <c r="M72" s="3"/>
      <c r="N72" s="21"/>
      <c r="O72" s="21"/>
      <c r="P72" s="21"/>
      <c r="Q72" s="2"/>
      <c r="R72" s="2"/>
      <c r="S72" s="2"/>
      <c r="T72" s="11"/>
      <c r="U72" s="2"/>
      <c r="V72" s="11"/>
      <c r="W72" s="2"/>
      <c r="X72" s="2"/>
      <c r="Y72" s="5"/>
      <c r="Z72" s="2"/>
      <c r="AA72" s="5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</row>
    <row r="73" spans="1:78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4"/>
      <c r="L73" s="3"/>
      <c r="M73" s="3"/>
      <c r="N73" s="21"/>
      <c r="O73" s="21"/>
      <c r="P73" s="21"/>
      <c r="Q73" s="2"/>
      <c r="R73" s="2"/>
      <c r="S73" s="2"/>
      <c r="T73" s="11"/>
      <c r="U73" s="2"/>
      <c r="V73" s="11"/>
      <c r="W73" s="2"/>
      <c r="X73" s="2"/>
      <c r="Y73" s="5"/>
      <c r="Z73" s="2"/>
      <c r="AA73" s="5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</row>
    <row r="74" spans="1:78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4"/>
      <c r="L74" s="3"/>
      <c r="M74" s="3"/>
      <c r="N74" s="21"/>
      <c r="O74" s="21"/>
      <c r="P74" s="21"/>
      <c r="Q74" s="2"/>
      <c r="R74" s="2"/>
      <c r="S74" s="2"/>
      <c r="T74" s="11"/>
      <c r="U74" s="2"/>
      <c r="V74" s="11"/>
      <c r="W74" s="2"/>
      <c r="X74" s="2"/>
      <c r="Y74" s="5"/>
      <c r="Z74" s="2"/>
      <c r="AA74" s="5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</row>
    <row r="75" spans="1:78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4"/>
      <c r="L75" s="3"/>
      <c r="M75" s="3"/>
      <c r="N75" s="21"/>
      <c r="O75" s="21"/>
      <c r="P75" s="21"/>
      <c r="Q75" s="2"/>
      <c r="R75" s="2"/>
      <c r="S75" s="2"/>
      <c r="T75" s="11"/>
      <c r="U75" s="2"/>
      <c r="V75" s="11"/>
      <c r="W75" s="2"/>
      <c r="X75" s="2"/>
      <c r="Y75" s="5"/>
      <c r="Z75" s="2"/>
      <c r="AA75" s="5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</row>
    <row r="76" spans="1:78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4"/>
      <c r="L76" s="3"/>
      <c r="M76" s="3"/>
      <c r="N76" s="21"/>
      <c r="O76" s="21"/>
      <c r="P76" s="21"/>
      <c r="Q76" s="2"/>
      <c r="R76" s="2"/>
      <c r="S76" s="2"/>
      <c r="T76" s="11"/>
      <c r="U76" s="2"/>
      <c r="V76" s="11"/>
      <c r="W76" s="2"/>
      <c r="X76" s="2"/>
      <c r="Y76" s="5"/>
      <c r="Z76" s="2"/>
      <c r="AA76" s="5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</row>
    <row r="77" spans="1:78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4"/>
      <c r="L77" s="3"/>
      <c r="M77" s="3"/>
      <c r="N77" s="21"/>
      <c r="O77" s="21"/>
      <c r="P77" s="21"/>
      <c r="Q77" s="2"/>
      <c r="R77" s="2"/>
      <c r="S77" s="2"/>
      <c r="T77" s="11"/>
      <c r="U77" s="2"/>
      <c r="V77" s="11"/>
      <c r="W77" s="2"/>
      <c r="X77" s="2"/>
      <c r="Y77" s="5"/>
      <c r="Z77" s="2"/>
      <c r="AA77" s="5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</row>
    <row r="78" spans="1:78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4"/>
      <c r="L78" s="3"/>
      <c r="M78" s="3"/>
      <c r="N78" s="21"/>
      <c r="O78" s="21"/>
      <c r="P78" s="21"/>
      <c r="Q78" s="2"/>
      <c r="R78" s="2"/>
      <c r="S78" s="2"/>
      <c r="T78" s="11"/>
      <c r="U78" s="2"/>
      <c r="V78" s="11"/>
      <c r="W78" s="2"/>
      <c r="X78" s="2"/>
      <c r="Y78" s="5"/>
      <c r="Z78" s="2"/>
      <c r="AA78" s="5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</row>
    <row r="79" spans="1:78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4"/>
      <c r="L79" s="3"/>
      <c r="M79" s="3"/>
      <c r="N79" s="21"/>
      <c r="O79" s="21"/>
      <c r="P79" s="21"/>
      <c r="Q79" s="2"/>
      <c r="R79" s="2"/>
      <c r="S79" s="2"/>
      <c r="T79" s="11"/>
      <c r="U79" s="2"/>
      <c r="V79" s="11"/>
      <c r="W79" s="2"/>
      <c r="X79" s="2"/>
      <c r="Y79" s="5"/>
      <c r="Z79" s="2"/>
      <c r="AA79" s="5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</row>
    <row r="80" spans="1:78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4"/>
      <c r="L80" s="3"/>
      <c r="M80" s="3"/>
      <c r="N80" s="21"/>
      <c r="O80" s="21"/>
      <c r="P80" s="21"/>
      <c r="Q80" s="2"/>
      <c r="R80" s="2"/>
      <c r="S80" s="2"/>
      <c r="T80" s="11"/>
      <c r="U80" s="2"/>
      <c r="V80" s="11"/>
      <c r="W80" s="2"/>
      <c r="X80" s="2"/>
      <c r="Y80" s="5"/>
      <c r="Z80" s="2"/>
      <c r="AA80" s="5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</row>
    <row r="81" spans="1:78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4"/>
      <c r="L81" s="3"/>
      <c r="M81" s="3"/>
      <c r="N81" s="21"/>
      <c r="O81" s="21"/>
      <c r="P81" s="21"/>
      <c r="Q81" s="2"/>
      <c r="R81" s="2"/>
      <c r="S81" s="2"/>
      <c r="T81" s="11"/>
      <c r="U81" s="2"/>
      <c r="V81" s="11"/>
      <c r="W81" s="2"/>
      <c r="X81" s="2"/>
      <c r="Y81" s="5"/>
      <c r="Z81" s="2"/>
      <c r="AA81" s="5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</row>
    <row r="82" spans="1:78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4"/>
      <c r="L82" s="3"/>
      <c r="M82" s="3"/>
      <c r="N82" s="21"/>
      <c r="O82" s="21"/>
      <c r="P82" s="21"/>
      <c r="Q82" s="2"/>
      <c r="R82" s="2"/>
      <c r="S82" s="2"/>
      <c r="T82" s="11"/>
      <c r="U82" s="2"/>
      <c r="V82" s="11"/>
      <c r="W82" s="2"/>
      <c r="X82" s="2"/>
      <c r="Y82" s="5"/>
      <c r="Z82" s="2"/>
      <c r="AA82" s="5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</row>
    <row r="83" spans="1:78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4"/>
      <c r="L83" s="3"/>
      <c r="M83" s="3"/>
      <c r="N83" s="21"/>
      <c r="O83" s="21"/>
      <c r="P83" s="21"/>
      <c r="Q83" s="2"/>
      <c r="R83" s="2"/>
      <c r="S83" s="2"/>
      <c r="T83" s="11"/>
      <c r="U83" s="2"/>
      <c r="V83" s="11"/>
      <c r="W83" s="2"/>
      <c r="X83" s="2"/>
      <c r="Y83" s="5"/>
      <c r="Z83" s="2"/>
      <c r="AA83" s="5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</row>
    <row r="84" spans="1:78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4"/>
      <c r="L84" s="3"/>
      <c r="M84" s="3"/>
      <c r="N84" s="21"/>
      <c r="O84" s="21"/>
      <c r="P84" s="21"/>
      <c r="Q84" s="2"/>
      <c r="R84" s="2"/>
      <c r="S84" s="2"/>
      <c r="T84" s="11"/>
      <c r="U84" s="2"/>
      <c r="V84" s="11"/>
      <c r="W84" s="2"/>
      <c r="X84" s="2"/>
      <c r="Y84" s="5"/>
      <c r="Z84" s="2"/>
      <c r="AA84" s="5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</row>
    <row r="85" spans="1:78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4"/>
      <c r="L85" s="3"/>
      <c r="M85" s="3"/>
      <c r="N85" s="21"/>
      <c r="O85" s="21"/>
      <c r="P85" s="21"/>
      <c r="Q85" s="2"/>
      <c r="R85" s="2"/>
      <c r="S85" s="2"/>
      <c r="T85" s="11"/>
      <c r="U85" s="2"/>
      <c r="V85" s="11"/>
      <c r="W85" s="2"/>
      <c r="X85" s="2"/>
      <c r="Y85" s="5"/>
      <c r="Z85" s="2"/>
      <c r="AA85" s="5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</row>
    <row r="86" spans="1:78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4"/>
      <c r="L86" s="3"/>
      <c r="M86" s="3"/>
      <c r="N86" s="21"/>
      <c r="O86" s="21"/>
      <c r="P86" s="21"/>
      <c r="Q86" s="2"/>
      <c r="R86" s="2"/>
      <c r="S86" s="2"/>
      <c r="T86" s="11"/>
      <c r="U86" s="2"/>
      <c r="V86" s="11"/>
      <c r="W86" s="2"/>
      <c r="X86" s="2"/>
      <c r="Y86" s="5"/>
      <c r="Z86" s="2"/>
      <c r="AA86" s="5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</row>
    <row r="87" spans="1:78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4"/>
      <c r="L87" s="3"/>
      <c r="M87" s="3"/>
      <c r="N87" s="21"/>
      <c r="O87" s="21"/>
      <c r="P87" s="21"/>
      <c r="Q87" s="2"/>
      <c r="R87" s="2"/>
      <c r="S87" s="2"/>
      <c r="T87" s="11"/>
      <c r="U87" s="2"/>
      <c r="V87" s="11"/>
      <c r="W87" s="2"/>
      <c r="X87" s="2"/>
      <c r="Y87" s="5"/>
      <c r="Z87" s="2"/>
      <c r="AA87" s="5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</row>
    <row r="88" spans="1:78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4"/>
      <c r="L88" s="3"/>
      <c r="M88" s="3"/>
      <c r="N88" s="21"/>
      <c r="O88" s="21"/>
      <c r="P88" s="21"/>
      <c r="Q88" s="2"/>
      <c r="R88" s="2"/>
      <c r="S88" s="2"/>
      <c r="T88" s="11"/>
      <c r="U88" s="2"/>
      <c r="V88" s="11"/>
      <c r="W88" s="2"/>
      <c r="X88" s="2"/>
      <c r="Y88" s="5"/>
      <c r="Z88" s="2"/>
      <c r="AA88" s="5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</row>
    <row r="89" spans="1:78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4"/>
      <c r="L89" s="3"/>
      <c r="M89" s="3"/>
      <c r="N89" s="21"/>
      <c r="O89" s="21"/>
      <c r="P89" s="21"/>
      <c r="Q89" s="2"/>
      <c r="R89" s="2"/>
      <c r="S89" s="2"/>
      <c r="T89" s="11"/>
      <c r="U89" s="2"/>
      <c r="V89" s="11"/>
      <c r="W89" s="2"/>
      <c r="X89" s="2"/>
      <c r="Y89" s="5"/>
      <c r="Z89" s="2"/>
      <c r="AA89" s="5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</row>
    <row r="90" spans="1:78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4"/>
      <c r="L90" s="3"/>
      <c r="M90" s="3"/>
      <c r="N90" s="21"/>
      <c r="O90" s="21"/>
      <c r="P90" s="21"/>
      <c r="Q90" s="2"/>
      <c r="R90" s="2"/>
      <c r="S90" s="2"/>
      <c r="T90" s="11"/>
      <c r="U90" s="2"/>
      <c r="V90" s="11"/>
      <c r="W90" s="2"/>
      <c r="X90" s="2"/>
      <c r="Y90" s="5"/>
      <c r="Z90" s="2"/>
      <c r="AA90" s="5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</row>
    <row r="91" spans="1:78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4"/>
      <c r="L91" s="3"/>
      <c r="M91" s="3"/>
      <c r="N91" s="21"/>
      <c r="O91" s="21"/>
      <c r="P91" s="21"/>
      <c r="Q91" s="2"/>
      <c r="R91" s="2"/>
      <c r="S91" s="2"/>
      <c r="T91" s="11"/>
      <c r="U91" s="2"/>
      <c r="V91" s="11"/>
      <c r="W91" s="2"/>
      <c r="X91" s="2"/>
      <c r="Y91" s="5"/>
      <c r="Z91" s="2"/>
      <c r="AA91" s="5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</row>
    <row r="92" spans="1:78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4"/>
      <c r="L92" s="3"/>
      <c r="M92" s="3"/>
      <c r="N92" s="21"/>
      <c r="O92" s="21"/>
      <c r="P92" s="21"/>
      <c r="Q92" s="2"/>
      <c r="R92" s="2"/>
      <c r="S92" s="2"/>
      <c r="T92" s="11"/>
      <c r="U92" s="2"/>
      <c r="V92" s="11"/>
      <c r="W92" s="2"/>
      <c r="X92" s="2"/>
      <c r="Y92" s="5"/>
      <c r="Z92" s="2"/>
      <c r="AA92" s="5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</row>
    <row r="93" spans="1:78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4"/>
      <c r="L93" s="3"/>
      <c r="M93" s="3"/>
      <c r="N93" s="21"/>
      <c r="O93" s="21"/>
      <c r="P93" s="21"/>
      <c r="Q93" s="2"/>
      <c r="R93" s="2"/>
      <c r="S93" s="2"/>
      <c r="T93" s="11"/>
      <c r="U93" s="2"/>
      <c r="V93" s="11"/>
      <c r="W93" s="2"/>
      <c r="X93" s="2"/>
      <c r="Y93" s="5"/>
      <c r="Z93" s="2"/>
      <c r="AA93" s="5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</row>
    <row r="94" spans="1:78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4"/>
      <c r="L94" s="3"/>
      <c r="M94" s="3"/>
      <c r="N94" s="21"/>
      <c r="O94" s="21"/>
      <c r="P94" s="21"/>
      <c r="Q94" s="2"/>
      <c r="R94" s="2"/>
      <c r="S94" s="2"/>
      <c r="T94" s="11"/>
      <c r="U94" s="2"/>
      <c r="V94" s="11"/>
      <c r="W94" s="2"/>
      <c r="X94" s="2"/>
      <c r="Y94" s="5"/>
      <c r="Z94" s="2"/>
      <c r="AA94" s="5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</row>
    <row r="95" spans="1:78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4"/>
      <c r="L95" s="3"/>
      <c r="M95" s="3"/>
      <c r="N95" s="21"/>
      <c r="O95" s="21"/>
      <c r="P95" s="21"/>
      <c r="Q95" s="2"/>
      <c r="R95" s="2"/>
      <c r="S95" s="2"/>
      <c r="T95" s="11"/>
      <c r="U95" s="2"/>
      <c r="V95" s="11"/>
      <c r="W95" s="2"/>
      <c r="X95" s="2"/>
      <c r="Y95" s="5"/>
      <c r="Z95" s="2"/>
      <c r="AA95" s="5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</row>
    <row r="96" spans="1:78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4"/>
      <c r="L96" s="3"/>
      <c r="M96" s="3"/>
      <c r="N96" s="21"/>
      <c r="O96" s="21"/>
      <c r="P96" s="21"/>
      <c r="Q96" s="2"/>
      <c r="R96" s="2"/>
      <c r="S96" s="2"/>
      <c r="T96" s="11"/>
      <c r="U96" s="2"/>
      <c r="V96" s="11"/>
      <c r="W96" s="2"/>
      <c r="X96" s="2"/>
      <c r="Y96" s="5"/>
      <c r="Z96" s="2"/>
      <c r="AA96" s="5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</row>
    <row r="97" spans="1:78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4"/>
      <c r="L97" s="3"/>
      <c r="M97" s="3"/>
      <c r="N97" s="21"/>
      <c r="O97" s="21"/>
      <c r="P97" s="21"/>
      <c r="Q97" s="2"/>
      <c r="R97" s="2"/>
      <c r="S97" s="2"/>
      <c r="T97" s="11"/>
      <c r="U97" s="2"/>
      <c r="V97" s="11"/>
      <c r="W97" s="2"/>
      <c r="X97" s="2"/>
      <c r="Y97" s="5"/>
      <c r="Z97" s="2"/>
      <c r="AA97" s="5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</row>
    <row r="98" spans="1:78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4"/>
      <c r="L98" s="3"/>
      <c r="M98" s="3"/>
      <c r="N98" s="21"/>
      <c r="O98" s="21"/>
      <c r="P98" s="21"/>
      <c r="Q98" s="2"/>
      <c r="R98" s="2"/>
      <c r="S98" s="2"/>
      <c r="T98" s="11"/>
      <c r="U98" s="2"/>
      <c r="V98" s="11"/>
      <c r="W98" s="2"/>
      <c r="X98" s="2"/>
      <c r="Y98" s="5"/>
      <c r="Z98" s="2"/>
      <c r="AA98" s="5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</row>
    <row r="99" spans="1:78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4"/>
      <c r="L99" s="3"/>
      <c r="M99" s="3"/>
      <c r="N99" s="21"/>
      <c r="O99" s="21"/>
      <c r="P99" s="21"/>
      <c r="Q99" s="2"/>
      <c r="R99" s="2"/>
      <c r="S99" s="2"/>
      <c r="T99" s="11"/>
      <c r="U99" s="2"/>
      <c r="V99" s="11"/>
      <c r="W99" s="2"/>
      <c r="X99" s="2"/>
      <c r="Y99" s="5"/>
      <c r="Z99" s="2"/>
      <c r="AA99" s="5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</row>
    <row r="100" spans="1:78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4"/>
      <c r="L100" s="3"/>
      <c r="M100" s="3"/>
      <c r="N100" s="21"/>
      <c r="O100" s="21"/>
      <c r="P100" s="21"/>
      <c r="Q100" s="2"/>
      <c r="R100" s="2"/>
      <c r="S100" s="2"/>
      <c r="T100" s="11"/>
      <c r="U100" s="2"/>
      <c r="V100" s="11"/>
      <c r="W100" s="2"/>
      <c r="X100" s="2"/>
      <c r="Y100" s="5"/>
      <c r="Z100" s="2"/>
      <c r="AA100" s="5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</row>
    <row r="101" spans="1:78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4"/>
      <c r="L101" s="3"/>
      <c r="M101" s="3"/>
      <c r="N101" s="21"/>
      <c r="O101" s="21"/>
      <c r="P101" s="21"/>
      <c r="Q101" s="2"/>
      <c r="R101" s="2"/>
      <c r="S101" s="2"/>
      <c r="T101" s="11"/>
      <c r="U101" s="2"/>
      <c r="V101" s="11"/>
      <c r="W101" s="2"/>
      <c r="X101" s="2"/>
      <c r="Y101" s="5"/>
      <c r="Z101" s="2"/>
      <c r="AA101" s="5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</row>
    <row r="102" spans="1:78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4"/>
      <c r="L102" s="3"/>
      <c r="M102" s="3"/>
      <c r="N102" s="21"/>
      <c r="O102" s="21"/>
      <c r="P102" s="21"/>
      <c r="Q102" s="2"/>
      <c r="R102" s="2"/>
      <c r="S102" s="2"/>
      <c r="T102" s="11"/>
      <c r="U102" s="2"/>
      <c r="V102" s="11"/>
      <c r="W102" s="2"/>
      <c r="X102" s="2"/>
      <c r="Y102" s="5"/>
      <c r="Z102" s="2"/>
      <c r="AA102" s="5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</row>
    <row r="103" spans="1:78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4"/>
      <c r="L103" s="3"/>
      <c r="M103" s="3"/>
      <c r="N103" s="33"/>
      <c r="O103" s="21"/>
      <c r="P103" s="21"/>
      <c r="Q103" s="2"/>
      <c r="R103" s="2"/>
      <c r="S103" s="2"/>
      <c r="T103" s="11"/>
      <c r="U103" s="2"/>
      <c r="V103" s="11"/>
      <c r="W103" s="2"/>
      <c r="X103" s="2"/>
      <c r="Y103" s="5"/>
      <c r="Z103" s="2"/>
      <c r="AA103" s="5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</row>
    <row r="104" spans="1:78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4"/>
      <c r="L104" s="3"/>
      <c r="M104" s="3"/>
      <c r="N104" s="21"/>
      <c r="O104" s="21"/>
      <c r="P104" s="21"/>
      <c r="Q104" s="2"/>
      <c r="R104" s="2"/>
      <c r="S104" s="2"/>
      <c r="T104" s="11"/>
      <c r="U104" s="2"/>
      <c r="V104" s="11"/>
      <c r="W104" s="2"/>
      <c r="X104" s="2"/>
      <c r="Y104" s="5"/>
      <c r="Z104" s="2"/>
      <c r="AA104" s="5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</row>
    <row r="105" spans="1:78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4"/>
      <c r="L105" s="3"/>
      <c r="M105" s="3"/>
      <c r="N105" s="21"/>
      <c r="O105" s="21"/>
      <c r="P105" s="21"/>
      <c r="Q105" s="2"/>
      <c r="R105" s="2"/>
      <c r="S105" s="2"/>
      <c r="T105" s="11"/>
      <c r="U105" s="2"/>
      <c r="V105" s="11"/>
      <c r="W105" s="2"/>
      <c r="X105" s="2"/>
      <c r="Y105" s="5"/>
      <c r="Z105" s="2"/>
      <c r="AA105" s="5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</row>
    <row r="106" spans="1:78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4"/>
      <c r="L106" s="3"/>
      <c r="M106" s="3"/>
      <c r="N106" s="21"/>
      <c r="O106" s="21"/>
      <c r="P106" s="21"/>
      <c r="Q106" s="2"/>
      <c r="R106" s="2"/>
      <c r="S106" s="2"/>
      <c r="T106" s="11"/>
      <c r="U106" s="2"/>
      <c r="V106" s="11"/>
      <c r="W106" s="2"/>
      <c r="X106" s="2"/>
      <c r="Y106" s="5"/>
      <c r="Z106" s="2"/>
      <c r="AA106" s="5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</row>
    <row r="107" spans="1:78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4"/>
      <c r="L107" s="3"/>
      <c r="M107" s="3"/>
      <c r="N107" s="21"/>
      <c r="O107" s="21"/>
      <c r="P107" s="21"/>
      <c r="Q107" s="2"/>
      <c r="R107" s="2"/>
      <c r="S107" s="2"/>
      <c r="T107" s="11"/>
      <c r="U107" s="2"/>
      <c r="V107" s="11"/>
      <c r="W107" s="2"/>
      <c r="X107" s="2"/>
      <c r="Y107" s="5"/>
      <c r="Z107" s="2"/>
      <c r="AA107" s="5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</row>
    <row r="108" spans="1:78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4"/>
      <c r="L108" s="3"/>
      <c r="M108" s="3"/>
      <c r="N108" s="21"/>
      <c r="O108" s="21"/>
      <c r="P108" s="21"/>
      <c r="Q108" s="2"/>
      <c r="R108" s="2"/>
      <c r="S108" s="2"/>
      <c r="T108" s="11"/>
      <c r="U108" s="2"/>
      <c r="V108" s="11"/>
      <c r="W108" s="2"/>
      <c r="X108" s="2"/>
      <c r="Y108" s="5"/>
      <c r="Z108" s="2"/>
      <c r="AA108" s="5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</row>
    <row r="109" spans="1:78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4"/>
      <c r="L109" s="3"/>
      <c r="M109" s="3"/>
      <c r="N109" s="21"/>
      <c r="O109" s="21"/>
      <c r="P109" s="21"/>
      <c r="Q109" s="2"/>
      <c r="R109" s="2"/>
      <c r="S109" s="2"/>
      <c r="T109" s="11"/>
      <c r="U109" s="2"/>
      <c r="V109" s="11"/>
      <c r="W109" s="2"/>
      <c r="X109" s="2"/>
      <c r="Y109" s="5"/>
      <c r="Z109" s="2"/>
      <c r="AA109" s="5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</row>
    <row r="110" spans="1:78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4"/>
      <c r="L110" s="3"/>
      <c r="M110" s="3"/>
      <c r="N110" s="21"/>
      <c r="O110" s="21"/>
      <c r="P110" s="21"/>
      <c r="Q110" s="2"/>
      <c r="R110" s="2"/>
      <c r="S110" s="2"/>
      <c r="T110" s="11"/>
      <c r="U110" s="2"/>
      <c r="V110" s="11"/>
      <c r="W110" s="2"/>
      <c r="X110" s="2"/>
      <c r="Y110" s="5"/>
      <c r="Z110" s="2"/>
      <c r="AA110" s="5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</row>
    <row r="111" spans="1:78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4"/>
      <c r="L111" s="3"/>
      <c r="M111" s="3"/>
      <c r="N111" s="21"/>
      <c r="O111" s="21"/>
      <c r="P111" s="21"/>
      <c r="Q111" s="2"/>
      <c r="R111" s="2"/>
      <c r="S111" s="2"/>
      <c r="T111" s="11"/>
      <c r="U111" s="2"/>
      <c r="V111" s="11"/>
      <c r="W111" s="2"/>
      <c r="X111" s="2"/>
      <c r="Y111" s="5"/>
      <c r="Z111" s="2"/>
      <c r="AA111" s="5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</row>
    <row r="112" spans="1:78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4"/>
      <c r="L112" s="3"/>
      <c r="M112" s="3"/>
      <c r="N112" s="21"/>
      <c r="O112" s="21"/>
      <c r="P112" s="21"/>
      <c r="Q112" s="2"/>
      <c r="R112" s="2"/>
      <c r="S112" s="2"/>
      <c r="T112" s="11"/>
      <c r="U112" s="2"/>
      <c r="V112" s="11"/>
      <c r="W112" s="2"/>
      <c r="X112" s="2"/>
      <c r="Y112" s="5"/>
      <c r="Z112" s="2"/>
      <c r="AA112" s="5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</row>
    <row r="113" spans="1:78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4"/>
      <c r="L113" s="3"/>
      <c r="M113" s="3"/>
      <c r="N113" s="21"/>
      <c r="O113" s="21"/>
      <c r="P113" s="21"/>
      <c r="Q113" s="2"/>
      <c r="R113" s="2"/>
      <c r="S113" s="2"/>
      <c r="T113" s="11"/>
      <c r="U113" s="2"/>
      <c r="V113" s="11"/>
      <c r="W113" s="2"/>
      <c r="X113" s="2"/>
      <c r="Y113" s="5"/>
      <c r="Z113" s="2"/>
      <c r="AA113" s="5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</row>
    <row r="114" spans="1:78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4"/>
      <c r="L114" s="3"/>
      <c r="M114" s="3"/>
      <c r="N114" s="21"/>
      <c r="O114" s="21"/>
      <c r="P114" s="21"/>
      <c r="Q114" s="2"/>
      <c r="R114" s="2"/>
      <c r="S114" s="2"/>
      <c r="T114" s="11"/>
      <c r="U114" s="2"/>
      <c r="V114" s="11"/>
      <c r="W114" s="2"/>
      <c r="X114" s="2"/>
      <c r="Y114" s="5"/>
      <c r="Z114" s="2"/>
      <c r="AA114" s="5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</row>
    <row r="115" spans="1:78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4"/>
      <c r="L115" s="3"/>
      <c r="M115" s="3"/>
      <c r="N115" s="21"/>
      <c r="O115" s="21"/>
      <c r="P115" s="21"/>
      <c r="Q115" s="2"/>
      <c r="R115" s="2"/>
      <c r="S115" s="2"/>
      <c r="T115" s="11"/>
      <c r="U115" s="2"/>
      <c r="V115" s="11"/>
      <c r="W115" s="2"/>
      <c r="X115" s="2"/>
      <c r="Y115" s="5"/>
      <c r="Z115" s="2"/>
      <c r="AA115" s="5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</row>
    <row r="116" spans="1:78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4"/>
      <c r="L116" s="3"/>
      <c r="M116" s="3"/>
      <c r="N116" s="21"/>
      <c r="O116" s="21"/>
      <c r="P116" s="21"/>
      <c r="Q116" s="2"/>
      <c r="R116" s="2"/>
      <c r="S116" s="2"/>
      <c r="T116" s="11"/>
      <c r="U116" s="2"/>
      <c r="V116" s="11"/>
      <c r="W116" s="2"/>
      <c r="X116" s="2"/>
      <c r="Y116" s="5"/>
      <c r="Z116" s="2"/>
      <c r="AA116" s="5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</row>
    <row r="117" spans="1:78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4"/>
      <c r="L117" s="3"/>
      <c r="M117" s="3"/>
      <c r="N117" s="21"/>
      <c r="O117" s="21"/>
      <c r="P117" s="21"/>
      <c r="Q117" s="2"/>
      <c r="R117" s="2"/>
      <c r="S117" s="2"/>
      <c r="T117" s="11"/>
      <c r="U117" s="2"/>
      <c r="V117" s="11"/>
      <c r="W117" s="2"/>
      <c r="X117" s="2"/>
      <c r="Y117" s="5"/>
      <c r="Z117" s="2"/>
      <c r="AA117" s="5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</row>
    <row r="118" spans="1:78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4"/>
      <c r="L118" s="3"/>
      <c r="M118" s="3"/>
      <c r="N118" s="21"/>
      <c r="O118" s="21"/>
      <c r="P118" s="21"/>
      <c r="Q118" s="2"/>
      <c r="R118" s="2"/>
      <c r="S118" s="2"/>
      <c r="T118" s="11"/>
      <c r="U118" s="2"/>
      <c r="V118" s="11"/>
      <c r="W118" s="2"/>
      <c r="X118" s="2"/>
      <c r="Y118" s="5"/>
      <c r="Z118" s="2"/>
      <c r="AA118" s="5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</row>
    <row r="119" spans="1:78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4"/>
      <c r="L119" s="3"/>
      <c r="M119" s="3"/>
      <c r="N119" s="21"/>
      <c r="O119" s="21"/>
      <c r="P119" s="21"/>
      <c r="Q119" s="2"/>
      <c r="R119" s="2"/>
      <c r="S119" s="2"/>
      <c r="T119" s="11"/>
      <c r="U119" s="2"/>
      <c r="V119" s="11"/>
      <c r="W119" s="2"/>
      <c r="X119" s="2"/>
      <c r="Y119" s="5"/>
      <c r="Z119" s="2"/>
      <c r="AA119" s="5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</row>
    <row r="120" spans="1:78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4"/>
      <c r="L120" s="3"/>
      <c r="M120" s="3"/>
      <c r="N120" s="21"/>
      <c r="O120" s="21"/>
      <c r="P120" s="21"/>
      <c r="Q120" s="2"/>
      <c r="R120" s="2"/>
      <c r="S120" s="2"/>
      <c r="T120" s="11"/>
      <c r="U120" s="2"/>
      <c r="V120" s="11"/>
      <c r="W120" s="2"/>
      <c r="X120" s="2"/>
      <c r="Y120" s="5"/>
      <c r="Z120" s="2"/>
      <c r="AA120" s="5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</row>
    <row r="121" spans="1:78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4"/>
      <c r="L121" s="3"/>
      <c r="M121" s="3"/>
      <c r="N121" s="21"/>
      <c r="O121" s="21"/>
      <c r="P121" s="21"/>
      <c r="Q121" s="2"/>
      <c r="R121" s="2"/>
      <c r="S121" s="2"/>
      <c r="T121" s="11"/>
      <c r="U121" s="2"/>
      <c r="V121" s="11"/>
      <c r="W121" s="2"/>
      <c r="X121" s="2"/>
      <c r="Y121" s="5"/>
      <c r="Z121" s="2"/>
      <c r="AA121" s="5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</row>
    <row r="122" spans="1:78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4"/>
      <c r="L122" s="3"/>
      <c r="M122" s="3"/>
      <c r="N122" s="21"/>
      <c r="O122" s="21"/>
      <c r="P122" s="21"/>
      <c r="Q122" s="2"/>
      <c r="R122" s="2"/>
      <c r="S122" s="2"/>
      <c r="T122" s="11"/>
      <c r="U122" s="2"/>
      <c r="V122" s="11"/>
      <c r="W122" s="2"/>
      <c r="X122" s="2"/>
      <c r="Y122" s="5"/>
      <c r="Z122" s="2"/>
      <c r="AA122" s="5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</row>
    <row r="123" spans="1:78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4"/>
      <c r="L123" s="3"/>
      <c r="M123" s="3"/>
      <c r="N123" s="21"/>
      <c r="O123" s="21"/>
      <c r="P123" s="21"/>
      <c r="Q123" s="2"/>
      <c r="R123" s="2"/>
      <c r="S123" s="2"/>
      <c r="T123" s="11"/>
      <c r="U123" s="2"/>
      <c r="V123" s="11"/>
      <c r="W123" s="2"/>
      <c r="X123" s="2"/>
      <c r="Y123" s="5"/>
      <c r="Z123" s="2"/>
      <c r="AA123" s="5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</row>
    <row r="124" spans="1:78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4"/>
      <c r="L124" s="3"/>
      <c r="M124" s="3"/>
      <c r="N124" s="21"/>
      <c r="O124" s="21"/>
      <c r="P124" s="21"/>
      <c r="Q124" s="2"/>
      <c r="R124" s="2"/>
      <c r="S124" s="2"/>
      <c r="T124" s="11"/>
      <c r="U124" s="2"/>
      <c r="V124" s="11"/>
      <c r="W124" s="2"/>
      <c r="X124" s="2"/>
      <c r="Y124" s="5"/>
      <c r="Z124" s="2"/>
      <c r="AA124" s="5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</row>
    <row r="125" spans="1:78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4"/>
      <c r="L125" s="3"/>
      <c r="M125" s="3"/>
      <c r="N125" s="21"/>
      <c r="O125" s="21"/>
      <c r="P125" s="21"/>
      <c r="Q125" s="2"/>
      <c r="R125" s="2"/>
      <c r="S125" s="2"/>
      <c r="T125" s="11"/>
      <c r="U125" s="2"/>
      <c r="V125" s="11"/>
      <c r="W125" s="2"/>
      <c r="X125" s="2"/>
      <c r="Y125" s="5"/>
      <c r="Z125" s="2"/>
      <c r="AA125" s="5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</row>
    <row r="126" spans="1:78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4"/>
      <c r="L126" s="3"/>
      <c r="M126" s="3"/>
      <c r="N126" s="21"/>
      <c r="O126" s="21"/>
      <c r="P126" s="21"/>
      <c r="Q126" s="2"/>
      <c r="R126" s="2"/>
      <c r="S126" s="2"/>
      <c r="T126" s="11"/>
      <c r="U126" s="2"/>
      <c r="V126" s="11"/>
      <c r="W126" s="2"/>
      <c r="X126" s="2"/>
      <c r="Y126" s="5"/>
      <c r="Z126" s="2"/>
      <c r="AA126" s="5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</row>
    <row r="127" spans="1:78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4"/>
      <c r="L127" s="3"/>
      <c r="M127" s="3"/>
      <c r="N127" s="21"/>
      <c r="O127" s="21"/>
      <c r="P127" s="21"/>
      <c r="Q127" s="2"/>
      <c r="R127" s="2"/>
      <c r="S127" s="2"/>
      <c r="T127" s="11"/>
      <c r="U127" s="2"/>
      <c r="V127" s="11"/>
      <c r="W127" s="2"/>
      <c r="X127" s="2"/>
      <c r="Y127" s="5"/>
      <c r="Z127" s="2"/>
      <c r="AA127" s="5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</row>
    <row r="128" spans="1:78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4"/>
      <c r="L128" s="3"/>
      <c r="M128" s="3"/>
      <c r="N128" s="21"/>
      <c r="O128" s="21"/>
      <c r="P128" s="21"/>
      <c r="Q128" s="2"/>
      <c r="R128" s="2"/>
      <c r="S128" s="2"/>
      <c r="T128" s="11"/>
      <c r="U128" s="2"/>
      <c r="V128" s="11"/>
      <c r="W128" s="2"/>
      <c r="X128" s="2"/>
      <c r="Y128" s="5"/>
      <c r="Z128" s="2"/>
      <c r="AA128" s="5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</row>
    <row r="129" spans="1:78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4"/>
      <c r="L129" s="3"/>
      <c r="M129" s="3"/>
      <c r="N129" s="21"/>
      <c r="O129" s="21"/>
      <c r="P129" s="21"/>
      <c r="Q129" s="2"/>
      <c r="R129" s="2"/>
      <c r="S129" s="2"/>
      <c r="T129" s="11"/>
      <c r="U129" s="2"/>
      <c r="V129" s="11"/>
      <c r="W129" s="2"/>
      <c r="X129" s="2"/>
      <c r="Y129" s="5"/>
      <c r="Z129" s="2"/>
      <c r="AA129" s="5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</row>
    <row r="130" spans="1:78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4"/>
      <c r="L130" s="3"/>
      <c r="M130" s="3"/>
      <c r="N130" s="21"/>
      <c r="O130" s="21"/>
      <c r="P130" s="21"/>
      <c r="Q130" s="2"/>
      <c r="R130" s="2"/>
      <c r="S130" s="2"/>
      <c r="T130" s="11"/>
      <c r="U130" s="2"/>
      <c r="V130" s="11"/>
      <c r="W130" s="2"/>
      <c r="X130" s="2"/>
      <c r="Y130" s="5"/>
      <c r="Z130" s="2"/>
      <c r="AA130" s="5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</row>
    <row r="131" spans="1:78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4"/>
      <c r="L131" s="3"/>
      <c r="M131" s="3"/>
      <c r="N131" s="21"/>
      <c r="O131" s="21"/>
      <c r="P131" s="21"/>
      <c r="Q131" s="2"/>
      <c r="R131" s="2"/>
      <c r="S131" s="2"/>
      <c r="T131" s="11"/>
      <c r="U131" s="2"/>
      <c r="V131" s="11"/>
      <c r="W131" s="2"/>
      <c r="X131" s="2"/>
      <c r="Y131" s="5"/>
      <c r="Z131" s="2"/>
      <c r="AA131" s="5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</row>
    <row r="132" spans="1:78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4"/>
      <c r="L132" s="3"/>
      <c r="M132" s="3"/>
      <c r="N132" s="21"/>
      <c r="O132" s="21"/>
      <c r="P132" s="21"/>
      <c r="Q132" s="2"/>
      <c r="R132" s="2"/>
      <c r="S132" s="2"/>
      <c r="T132" s="11"/>
      <c r="U132" s="2"/>
      <c r="V132" s="11"/>
      <c r="W132" s="2"/>
      <c r="X132" s="2"/>
      <c r="Y132" s="5"/>
      <c r="Z132" s="2"/>
      <c r="AA132" s="5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</row>
    <row r="133" spans="1:78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4"/>
      <c r="L133" s="3"/>
      <c r="M133" s="3"/>
      <c r="N133" s="21"/>
      <c r="O133" s="21"/>
      <c r="P133" s="21"/>
      <c r="Q133" s="2"/>
      <c r="R133" s="2"/>
      <c r="S133" s="2"/>
      <c r="T133" s="11"/>
      <c r="U133" s="2"/>
      <c r="V133" s="11"/>
      <c r="W133" s="2"/>
      <c r="X133" s="2"/>
      <c r="Y133" s="5"/>
      <c r="Z133" s="2"/>
      <c r="AA133" s="5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</row>
    <row r="134" spans="1:78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4"/>
      <c r="L134" s="3"/>
      <c r="M134" s="3"/>
      <c r="N134" s="21"/>
      <c r="O134" s="21"/>
      <c r="P134" s="21"/>
      <c r="Q134" s="2"/>
      <c r="R134" s="2"/>
      <c r="S134" s="2"/>
      <c r="T134" s="11"/>
      <c r="U134" s="2"/>
      <c r="V134" s="11"/>
      <c r="W134" s="2"/>
      <c r="X134" s="2"/>
      <c r="Y134" s="5"/>
      <c r="Z134" s="2"/>
      <c r="AA134" s="5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</row>
    <row r="135" spans="1:78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4"/>
      <c r="L135" s="3"/>
      <c r="M135" s="3"/>
      <c r="N135" s="21"/>
      <c r="O135" s="21"/>
      <c r="P135" s="21"/>
      <c r="Q135" s="2"/>
      <c r="R135" s="2"/>
      <c r="S135" s="2"/>
      <c r="T135" s="11"/>
      <c r="U135" s="2"/>
      <c r="V135" s="11"/>
      <c r="W135" s="2"/>
      <c r="X135" s="2"/>
      <c r="Y135" s="5"/>
      <c r="Z135" s="2"/>
      <c r="AA135" s="5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</row>
    <row r="136" spans="1:78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4"/>
      <c r="L136" s="3"/>
      <c r="M136" s="3"/>
      <c r="N136" s="21"/>
      <c r="O136" s="21"/>
      <c r="P136" s="21"/>
      <c r="Q136" s="2"/>
      <c r="R136" s="2"/>
      <c r="S136" s="2"/>
      <c r="T136" s="11"/>
      <c r="U136" s="2"/>
      <c r="V136" s="11"/>
      <c r="W136" s="2"/>
      <c r="X136" s="2"/>
      <c r="Y136" s="5"/>
      <c r="Z136" s="2"/>
      <c r="AA136" s="5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</row>
    <row r="137" spans="1:78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4"/>
      <c r="L137" s="3"/>
      <c r="M137" s="3"/>
      <c r="N137" s="21"/>
      <c r="O137" s="21"/>
      <c r="P137" s="21"/>
      <c r="Q137" s="2"/>
      <c r="R137" s="2"/>
      <c r="S137" s="2"/>
      <c r="T137" s="11"/>
      <c r="U137" s="2"/>
      <c r="V137" s="11"/>
      <c r="W137" s="2"/>
      <c r="X137" s="2"/>
      <c r="Y137" s="5"/>
      <c r="Z137" s="2"/>
      <c r="AA137" s="5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</row>
    <row r="138" spans="1:78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4"/>
      <c r="L138" s="3"/>
      <c r="M138" s="3"/>
      <c r="N138" s="21"/>
      <c r="O138" s="21"/>
      <c r="P138" s="21"/>
      <c r="Q138" s="2"/>
      <c r="R138" s="2"/>
      <c r="S138" s="2"/>
      <c r="T138" s="11"/>
      <c r="U138" s="2"/>
      <c r="V138" s="11"/>
      <c r="W138" s="2"/>
      <c r="X138" s="2"/>
      <c r="Y138" s="5"/>
      <c r="Z138" s="2"/>
      <c r="AA138" s="5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</row>
    <row r="139" spans="1:78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4"/>
      <c r="L139" s="3"/>
      <c r="M139" s="3"/>
      <c r="N139" s="21"/>
      <c r="O139" s="21"/>
      <c r="P139" s="21"/>
      <c r="Q139" s="2"/>
      <c r="R139" s="2"/>
      <c r="S139" s="2"/>
      <c r="T139" s="11"/>
      <c r="U139" s="2"/>
      <c r="V139" s="11"/>
      <c r="W139" s="2"/>
      <c r="X139" s="2"/>
      <c r="Y139" s="5"/>
      <c r="Z139" s="2"/>
      <c r="AA139" s="5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</row>
    <row r="140" spans="1:78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4"/>
      <c r="L140" s="3"/>
      <c r="M140" s="3"/>
      <c r="N140" s="21"/>
      <c r="O140" s="21"/>
      <c r="P140" s="21"/>
      <c r="Q140" s="2"/>
      <c r="R140" s="2"/>
      <c r="S140" s="2"/>
      <c r="T140" s="11"/>
      <c r="U140" s="2"/>
      <c r="V140" s="11"/>
      <c r="W140" s="2"/>
      <c r="X140" s="2"/>
      <c r="Y140" s="5"/>
      <c r="Z140" s="2"/>
      <c r="AA140" s="5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</row>
    <row r="141" spans="1:78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4"/>
      <c r="L141" s="3"/>
      <c r="M141" s="3"/>
      <c r="N141" s="21"/>
      <c r="O141" s="21"/>
      <c r="P141" s="21"/>
      <c r="Q141" s="2"/>
      <c r="R141" s="2"/>
      <c r="S141" s="2"/>
      <c r="T141" s="11"/>
      <c r="U141" s="2"/>
      <c r="V141" s="11"/>
      <c r="W141" s="2"/>
      <c r="X141" s="2"/>
      <c r="Y141" s="5"/>
      <c r="Z141" s="2"/>
      <c r="AA141" s="5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</row>
    <row r="142" spans="1:78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4"/>
      <c r="L142" s="3"/>
      <c r="M142" s="3"/>
      <c r="N142" s="21"/>
      <c r="O142" s="21"/>
      <c r="P142" s="21"/>
      <c r="Q142" s="2"/>
      <c r="R142" s="2"/>
      <c r="S142" s="2"/>
      <c r="T142" s="11"/>
      <c r="U142" s="2"/>
      <c r="V142" s="11"/>
      <c r="W142" s="2"/>
      <c r="X142" s="2"/>
      <c r="Y142" s="5"/>
      <c r="Z142" s="2"/>
      <c r="AA142" s="5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</row>
    <row r="143" spans="1:78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4"/>
      <c r="L143" s="3"/>
      <c r="M143" s="3"/>
      <c r="N143" s="21"/>
      <c r="O143" s="21"/>
      <c r="P143" s="21"/>
      <c r="Q143" s="2"/>
      <c r="R143" s="2"/>
      <c r="S143" s="2"/>
      <c r="T143" s="11"/>
      <c r="U143" s="2"/>
      <c r="V143" s="11"/>
      <c r="W143" s="2"/>
      <c r="X143" s="2"/>
      <c r="Y143" s="5"/>
      <c r="Z143" s="2"/>
      <c r="AA143" s="5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</row>
    <row r="144" spans="1:78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4"/>
      <c r="L144" s="3"/>
      <c r="M144" s="3"/>
      <c r="N144" s="23"/>
      <c r="O144" s="23"/>
      <c r="P144" s="23"/>
      <c r="Q144" s="8"/>
      <c r="R144" s="8"/>
      <c r="S144" s="8"/>
      <c r="T144" s="13"/>
      <c r="U144" s="8"/>
      <c r="V144" s="13"/>
      <c r="W144" s="8"/>
      <c r="X144" s="8"/>
      <c r="Y144" s="19"/>
      <c r="Z144" s="8"/>
      <c r="AA144" s="19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</row>
    <row r="145" spans="1:78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4"/>
      <c r="L145" s="3"/>
      <c r="M145" s="3"/>
      <c r="N145" s="23"/>
      <c r="O145" s="23"/>
      <c r="P145" s="23"/>
      <c r="Q145" s="8"/>
      <c r="R145" s="8"/>
      <c r="S145" s="8"/>
      <c r="T145" s="13"/>
      <c r="U145" s="8"/>
      <c r="V145" s="13"/>
      <c r="W145" s="8"/>
      <c r="X145" s="8"/>
      <c r="Y145" s="19"/>
      <c r="Z145" s="8"/>
      <c r="AA145" s="19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</row>
    <row r="146" spans="1:78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4"/>
      <c r="L146" s="3"/>
      <c r="M146" s="3"/>
      <c r="N146" s="23"/>
      <c r="O146" s="23"/>
      <c r="P146" s="23"/>
      <c r="Q146" s="8"/>
      <c r="R146" s="8"/>
      <c r="S146" s="8"/>
      <c r="T146" s="13"/>
      <c r="U146" s="8"/>
      <c r="V146" s="13"/>
      <c r="W146" s="8"/>
      <c r="X146" s="8"/>
      <c r="Y146" s="19"/>
      <c r="Z146" s="8"/>
      <c r="AA146" s="19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</row>
    <row r="147" spans="1:78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4"/>
      <c r="L147" s="3"/>
      <c r="M147" s="3"/>
      <c r="N147" s="23"/>
      <c r="O147" s="23"/>
      <c r="P147" s="23"/>
      <c r="Q147" s="8"/>
      <c r="R147" s="8"/>
      <c r="S147" s="8"/>
      <c r="T147" s="13"/>
      <c r="U147" s="8"/>
      <c r="V147" s="13"/>
      <c r="W147" s="8"/>
      <c r="X147" s="8"/>
      <c r="Y147" s="19"/>
      <c r="Z147" s="8"/>
      <c r="AA147" s="19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</row>
    <row r="148" spans="1:78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4"/>
      <c r="L148" s="3"/>
      <c r="M148" s="3"/>
      <c r="N148" s="23"/>
      <c r="O148" s="23"/>
      <c r="P148" s="23"/>
      <c r="Q148" s="8"/>
      <c r="R148" s="8"/>
      <c r="S148" s="8"/>
      <c r="T148" s="13"/>
      <c r="U148" s="8"/>
      <c r="V148" s="13"/>
      <c r="W148" s="8"/>
      <c r="X148" s="8"/>
      <c r="Y148" s="19"/>
      <c r="Z148" s="8"/>
      <c r="AA148" s="19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</row>
    <row r="149" spans="1:78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4"/>
      <c r="L149" s="3"/>
      <c r="M149" s="3"/>
      <c r="N149" s="23"/>
      <c r="O149" s="23"/>
      <c r="P149" s="23"/>
      <c r="Q149" s="8"/>
      <c r="R149" s="8"/>
      <c r="S149" s="8"/>
      <c r="T149" s="13"/>
      <c r="U149" s="8"/>
      <c r="V149" s="13"/>
      <c r="W149" s="8"/>
      <c r="X149" s="8"/>
      <c r="Y149" s="19"/>
      <c r="Z149" s="8"/>
      <c r="AA149" s="19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</row>
    <row r="150" spans="1:78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4"/>
      <c r="L150" s="3"/>
      <c r="M150" s="3"/>
      <c r="N150" s="23"/>
      <c r="O150" s="23"/>
      <c r="P150" s="23"/>
      <c r="Q150" s="8"/>
      <c r="R150" s="8"/>
      <c r="S150" s="8"/>
      <c r="T150" s="13"/>
      <c r="U150" s="8"/>
      <c r="V150" s="13"/>
      <c r="W150" s="8"/>
      <c r="X150" s="8"/>
      <c r="Y150" s="19"/>
      <c r="Z150" s="8"/>
      <c r="AA150" s="19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</row>
    <row r="151" spans="1:78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4"/>
      <c r="L151" s="3"/>
      <c r="M151" s="3"/>
      <c r="N151" s="23"/>
      <c r="O151" s="23"/>
      <c r="P151" s="23"/>
      <c r="Q151" s="8"/>
      <c r="R151" s="8"/>
      <c r="S151" s="8"/>
      <c r="T151" s="13"/>
      <c r="U151" s="8"/>
      <c r="V151" s="13"/>
      <c r="W151" s="8"/>
      <c r="X151" s="8"/>
      <c r="Y151" s="19"/>
      <c r="Z151" s="8"/>
      <c r="AA151" s="19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</row>
    <row r="152" spans="1:78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4"/>
      <c r="L152" s="3"/>
      <c r="M152" s="3"/>
      <c r="N152" s="23"/>
      <c r="O152" s="23"/>
      <c r="P152" s="23"/>
      <c r="Q152" s="8"/>
      <c r="R152" s="8"/>
      <c r="S152" s="8"/>
      <c r="T152" s="13"/>
      <c r="U152" s="8"/>
      <c r="V152" s="13"/>
      <c r="W152" s="8"/>
      <c r="X152" s="8"/>
      <c r="Y152" s="19"/>
      <c r="Z152" s="8"/>
      <c r="AA152" s="19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</row>
    <row r="153" spans="1:78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4"/>
      <c r="L153" s="3"/>
      <c r="M153" s="3"/>
      <c r="N153" s="23"/>
      <c r="O153" s="23"/>
      <c r="P153" s="23"/>
      <c r="Q153" s="8"/>
      <c r="R153" s="8"/>
      <c r="S153" s="8"/>
      <c r="T153" s="13"/>
      <c r="U153" s="8"/>
      <c r="V153" s="13"/>
      <c r="W153" s="8"/>
      <c r="X153" s="8"/>
      <c r="Y153" s="19"/>
      <c r="Z153" s="8"/>
      <c r="AA153" s="19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</row>
    <row r="154" spans="1:78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4"/>
      <c r="L154" s="3"/>
      <c r="M154" s="3"/>
      <c r="N154" s="23"/>
      <c r="O154" s="23"/>
      <c r="P154" s="23"/>
      <c r="Q154" s="8"/>
      <c r="R154" s="8"/>
      <c r="S154" s="8"/>
      <c r="T154" s="13"/>
      <c r="U154" s="8"/>
      <c r="V154" s="13"/>
      <c r="W154" s="8"/>
      <c r="X154" s="8"/>
      <c r="Y154" s="19"/>
      <c r="Z154" s="8"/>
      <c r="AA154" s="19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</row>
    <row r="155" spans="1:78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4"/>
      <c r="L155" s="3"/>
      <c r="M155" s="3"/>
      <c r="N155" s="23"/>
      <c r="O155" s="23"/>
      <c r="P155" s="23"/>
      <c r="Q155" s="8"/>
      <c r="R155" s="8"/>
      <c r="S155" s="8"/>
      <c r="T155" s="13"/>
      <c r="U155" s="8"/>
      <c r="V155" s="13"/>
      <c r="W155" s="8"/>
      <c r="X155" s="8"/>
      <c r="Y155" s="19"/>
      <c r="Z155" s="8"/>
      <c r="AA155" s="19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</row>
    <row r="156" spans="1:78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4"/>
      <c r="L156" s="3"/>
      <c r="M156" s="3"/>
      <c r="N156" s="23"/>
      <c r="O156" s="23"/>
      <c r="P156" s="23"/>
      <c r="Q156" s="8"/>
      <c r="R156" s="8"/>
      <c r="S156" s="8"/>
      <c r="T156" s="13"/>
      <c r="U156" s="8"/>
      <c r="V156" s="13"/>
      <c r="W156" s="8"/>
      <c r="X156" s="8"/>
      <c r="Y156" s="19"/>
      <c r="Z156" s="8"/>
      <c r="AA156" s="19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</row>
    <row r="157" spans="1:78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4"/>
      <c r="L157" s="3"/>
      <c r="M157" s="3"/>
      <c r="N157" s="23"/>
      <c r="O157" s="23"/>
      <c r="P157" s="23"/>
      <c r="Q157" s="8"/>
      <c r="R157" s="8"/>
      <c r="S157" s="8"/>
      <c r="T157" s="13"/>
      <c r="U157" s="8"/>
      <c r="V157" s="13"/>
      <c r="W157" s="8"/>
      <c r="X157" s="8"/>
      <c r="Y157" s="19"/>
      <c r="Z157" s="8"/>
      <c r="AA157" s="19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</row>
    <row r="158" spans="1:78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4"/>
      <c r="L158" s="3"/>
      <c r="M158" s="3"/>
      <c r="N158" s="23"/>
      <c r="O158" s="23"/>
      <c r="P158" s="23"/>
      <c r="Q158" s="8"/>
      <c r="R158" s="8"/>
      <c r="S158" s="8"/>
      <c r="T158" s="13"/>
      <c r="U158" s="8"/>
      <c r="V158" s="13"/>
      <c r="W158" s="8"/>
      <c r="X158" s="8"/>
      <c r="Y158" s="19"/>
      <c r="Z158" s="8"/>
      <c r="AA158" s="19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</row>
    <row r="159" spans="1:78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4"/>
      <c r="L159" s="3"/>
      <c r="M159" s="3"/>
      <c r="N159" s="23"/>
      <c r="O159" s="23"/>
      <c r="P159" s="23"/>
      <c r="Q159" s="8"/>
      <c r="R159" s="8"/>
      <c r="S159" s="8"/>
      <c r="T159" s="13"/>
      <c r="U159" s="8"/>
      <c r="V159" s="13"/>
      <c r="W159" s="8"/>
      <c r="X159" s="8"/>
      <c r="Y159" s="19"/>
      <c r="Z159" s="8"/>
      <c r="AA159" s="19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</row>
    <row r="160" spans="1:78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4"/>
      <c r="L160" s="3"/>
      <c r="M160" s="3"/>
      <c r="N160" s="23"/>
      <c r="O160" s="23"/>
      <c r="P160" s="23"/>
      <c r="Q160" s="8"/>
      <c r="R160" s="8"/>
      <c r="S160" s="8"/>
      <c r="T160" s="13"/>
      <c r="U160" s="8"/>
      <c r="V160" s="13"/>
      <c r="W160" s="8"/>
      <c r="X160" s="8"/>
      <c r="Y160" s="19"/>
      <c r="Z160" s="8"/>
      <c r="AA160" s="19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</row>
    <row r="161" spans="1:78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4"/>
      <c r="L161" s="3"/>
      <c r="M161" s="3"/>
      <c r="N161" s="23"/>
      <c r="O161" s="23"/>
      <c r="P161" s="23"/>
      <c r="Q161" s="8"/>
      <c r="R161" s="8"/>
      <c r="S161" s="8"/>
      <c r="T161" s="13"/>
      <c r="U161" s="8"/>
      <c r="V161" s="13"/>
      <c r="W161" s="8"/>
      <c r="X161" s="8"/>
      <c r="Y161" s="19"/>
      <c r="Z161" s="8"/>
      <c r="AA161" s="19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</row>
    <row r="162" spans="1:78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4"/>
      <c r="L162" s="3"/>
      <c r="M162" s="3"/>
      <c r="N162" s="23"/>
      <c r="O162" s="23"/>
      <c r="P162" s="23"/>
      <c r="Q162" s="8"/>
      <c r="R162" s="8"/>
      <c r="S162" s="8"/>
      <c r="T162" s="13"/>
      <c r="U162" s="8"/>
      <c r="V162" s="13"/>
      <c r="W162" s="8"/>
      <c r="X162" s="8"/>
      <c r="Y162" s="19"/>
      <c r="Z162" s="8"/>
      <c r="AA162" s="19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</row>
    <row r="163" spans="1:78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4"/>
      <c r="L163" s="3"/>
      <c r="M163" s="3"/>
      <c r="N163" s="23"/>
      <c r="O163" s="23"/>
      <c r="P163" s="23"/>
      <c r="Q163" s="8"/>
      <c r="R163" s="8"/>
      <c r="S163" s="8"/>
      <c r="T163" s="13"/>
      <c r="U163" s="8"/>
      <c r="V163" s="13"/>
      <c r="W163" s="8"/>
      <c r="X163" s="8"/>
      <c r="Y163" s="19"/>
      <c r="Z163" s="8"/>
      <c r="AA163" s="19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</row>
    <row r="164" spans="1:78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4"/>
      <c r="L164" s="3"/>
      <c r="M164" s="3"/>
      <c r="N164" s="23"/>
      <c r="O164" s="23"/>
      <c r="P164" s="23"/>
      <c r="Q164" s="8"/>
      <c r="R164" s="8"/>
      <c r="S164" s="8"/>
      <c r="T164" s="13"/>
      <c r="U164" s="8"/>
      <c r="V164" s="13"/>
      <c r="W164" s="8"/>
      <c r="X164" s="8"/>
      <c r="Y164" s="19"/>
      <c r="Z164" s="8"/>
      <c r="AA164" s="19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</row>
    <row r="165" spans="1:78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4"/>
      <c r="L165" s="3"/>
      <c r="M165" s="3"/>
      <c r="N165" s="23"/>
      <c r="O165" s="23"/>
      <c r="P165" s="23"/>
      <c r="Q165" s="8"/>
      <c r="R165" s="8"/>
      <c r="S165" s="8"/>
      <c r="T165" s="13"/>
      <c r="U165" s="8"/>
      <c r="V165" s="13"/>
      <c r="W165" s="8"/>
      <c r="X165" s="8"/>
      <c r="Y165" s="19"/>
      <c r="Z165" s="8"/>
      <c r="AA165" s="19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</row>
    <row r="166" spans="1:78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4"/>
      <c r="L166" s="3"/>
      <c r="M166" s="3"/>
      <c r="N166" s="23"/>
      <c r="O166" s="23"/>
      <c r="P166" s="23"/>
      <c r="Q166" s="8"/>
      <c r="R166" s="8"/>
      <c r="S166" s="8"/>
      <c r="T166" s="13"/>
      <c r="U166" s="8"/>
      <c r="V166" s="13"/>
      <c r="W166" s="8"/>
      <c r="X166" s="8"/>
      <c r="Y166" s="19"/>
      <c r="Z166" s="8"/>
      <c r="AA166" s="19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</row>
    <row r="167" spans="1:78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4"/>
      <c r="L167" s="3"/>
      <c r="M167" s="3"/>
      <c r="N167" s="23"/>
      <c r="O167" s="23"/>
      <c r="P167" s="23"/>
      <c r="Q167" s="8"/>
      <c r="R167" s="8"/>
      <c r="S167" s="8"/>
      <c r="T167" s="13"/>
      <c r="U167" s="8"/>
      <c r="V167" s="13"/>
      <c r="W167" s="8"/>
      <c r="X167" s="8"/>
      <c r="Y167" s="19"/>
      <c r="Z167" s="8"/>
      <c r="AA167" s="19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</row>
    <row r="168" spans="1:78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4"/>
      <c r="L168" s="3"/>
      <c r="M168" s="3"/>
      <c r="N168" s="23"/>
      <c r="O168" s="23"/>
      <c r="P168" s="23"/>
      <c r="Q168" s="8"/>
      <c r="R168" s="8"/>
      <c r="S168" s="8"/>
      <c r="T168" s="13"/>
      <c r="U168" s="8"/>
      <c r="V168" s="13"/>
      <c r="W168" s="8"/>
      <c r="X168" s="8"/>
      <c r="Y168" s="19"/>
      <c r="Z168" s="8"/>
      <c r="AA168" s="19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</row>
    <row r="169" spans="1:78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4"/>
      <c r="L169" s="3"/>
      <c r="M169" s="3"/>
      <c r="N169" s="23"/>
      <c r="O169" s="23"/>
      <c r="P169" s="23"/>
      <c r="Q169" s="8"/>
      <c r="R169" s="8"/>
      <c r="S169" s="8"/>
      <c r="T169" s="13"/>
      <c r="U169" s="8"/>
      <c r="V169" s="13"/>
      <c r="W169" s="8"/>
      <c r="X169" s="8"/>
      <c r="Y169" s="19"/>
      <c r="Z169" s="8"/>
      <c r="AA169" s="19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</row>
    <row r="170" spans="1:78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4"/>
      <c r="L170" s="3"/>
      <c r="M170" s="3"/>
      <c r="N170" s="23"/>
      <c r="O170" s="23"/>
      <c r="P170" s="23"/>
      <c r="Q170" s="8"/>
      <c r="R170" s="8"/>
      <c r="S170" s="8"/>
      <c r="T170" s="13"/>
      <c r="U170" s="8"/>
      <c r="V170" s="13"/>
      <c r="W170" s="8"/>
      <c r="X170" s="8"/>
      <c r="Y170" s="19"/>
      <c r="Z170" s="8"/>
      <c r="AA170" s="19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</row>
    <row r="171" spans="1:78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4"/>
      <c r="L171" s="3"/>
      <c r="M171" s="3"/>
      <c r="N171" s="23"/>
      <c r="O171" s="23"/>
      <c r="P171" s="23"/>
      <c r="Q171" s="8"/>
      <c r="R171" s="8"/>
      <c r="S171" s="8"/>
      <c r="T171" s="13"/>
      <c r="U171" s="8"/>
      <c r="V171" s="13"/>
      <c r="W171" s="8"/>
      <c r="X171" s="8"/>
      <c r="Y171" s="19"/>
      <c r="Z171" s="8"/>
      <c r="AA171" s="19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</row>
    <row r="172" spans="1:78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4"/>
      <c r="L172" s="3"/>
      <c r="M172" s="3"/>
      <c r="N172" s="23"/>
      <c r="O172" s="23"/>
      <c r="P172" s="23"/>
      <c r="Q172" s="8"/>
      <c r="R172" s="8"/>
      <c r="S172" s="8"/>
      <c r="T172" s="13"/>
      <c r="U172" s="8"/>
      <c r="V172" s="13"/>
      <c r="W172" s="8"/>
      <c r="X172" s="8"/>
      <c r="Y172" s="19"/>
      <c r="Z172" s="8"/>
      <c r="AA172" s="19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</row>
    <row r="173" spans="1:78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4"/>
      <c r="L173" s="3"/>
      <c r="M173" s="3"/>
      <c r="N173" s="23"/>
      <c r="O173" s="23"/>
      <c r="P173" s="23"/>
      <c r="Q173" s="8"/>
      <c r="R173" s="8"/>
      <c r="S173" s="8"/>
      <c r="T173" s="13"/>
      <c r="U173" s="8"/>
      <c r="V173" s="13"/>
      <c r="W173" s="8"/>
      <c r="X173" s="8"/>
      <c r="Y173" s="19"/>
      <c r="Z173" s="8"/>
      <c r="AA173" s="19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</row>
    <row r="174" spans="1:78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4"/>
      <c r="L174" s="3"/>
      <c r="M174" s="3"/>
      <c r="N174" s="23"/>
      <c r="O174" s="23"/>
      <c r="P174" s="23"/>
      <c r="Q174" s="8"/>
      <c r="R174" s="8"/>
      <c r="S174" s="8"/>
      <c r="T174" s="13"/>
      <c r="U174" s="8"/>
      <c r="V174" s="13"/>
      <c r="W174" s="8"/>
      <c r="X174" s="8"/>
      <c r="Y174" s="19"/>
      <c r="Z174" s="8"/>
      <c r="AA174" s="19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</row>
    <row r="175" spans="1:78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4"/>
      <c r="L175" s="3"/>
      <c r="M175" s="3"/>
      <c r="N175" s="23"/>
      <c r="O175" s="23"/>
      <c r="P175" s="23"/>
      <c r="Q175" s="8"/>
      <c r="R175" s="8"/>
      <c r="S175" s="8"/>
      <c r="T175" s="13"/>
      <c r="U175" s="8"/>
      <c r="V175" s="13"/>
      <c r="W175" s="8"/>
      <c r="X175" s="8"/>
      <c r="Y175" s="19"/>
      <c r="Z175" s="8"/>
      <c r="AA175" s="19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</row>
    <row r="176" spans="1:78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4"/>
      <c r="L176" s="3"/>
      <c r="M176" s="3"/>
      <c r="N176" s="23"/>
      <c r="O176" s="23"/>
      <c r="P176" s="23"/>
      <c r="Q176" s="8"/>
      <c r="R176" s="8"/>
      <c r="S176" s="8"/>
      <c r="T176" s="13"/>
      <c r="U176" s="8"/>
      <c r="V176" s="13"/>
      <c r="W176" s="8"/>
      <c r="X176" s="8"/>
      <c r="Y176" s="19"/>
      <c r="Z176" s="8"/>
      <c r="AA176" s="19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</row>
    <row r="177" spans="1:78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4"/>
      <c r="L177" s="3"/>
      <c r="M177" s="3"/>
      <c r="N177" s="23"/>
      <c r="O177" s="23"/>
      <c r="P177" s="23"/>
      <c r="Q177" s="8"/>
      <c r="R177" s="8"/>
      <c r="S177" s="8"/>
      <c r="T177" s="13"/>
      <c r="U177" s="8"/>
      <c r="V177" s="13"/>
      <c r="W177" s="8"/>
      <c r="X177" s="8"/>
      <c r="Y177" s="19"/>
      <c r="Z177" s="8"/>
      <c r="AA177" s="19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</row>
    <row r="178" spans="1:78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4"/>
      <c r="L178" s="3"/>
      <c r="M178" s="3"/>
      <c r="N178" s="23"/>
      <c r="O178" s="23"/>
      <c r="P178" s="23"/>
      <c r="Q178" s="8"/>
      <c r="R178" s="8"/>
      <c r="S178" s="8"/>
      <c r="T178" s="13"/>
      <c r="U178" s="8"/>
      <c r="V178" s="13"/>
      <c r="W178" s="8"/>
      <c r="X178" s="8"/>
      <c r="Y178" s="19"/>
      <c r="Z178" s="8"/>
      <c r="AA178" s="19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</row>
    <row r="179" spans="1:78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4"/>
      <c r="L179" s="3"/>
      <c r="M179" s="3"/>
      <c r="N179" s="23"/>
      <c r="O179" s="23"/>
      <c r="P179" s="23"/>
      <c r="Q179" s="8"/>
      <c r="R179" s="8"/>
      <c r="S179" s="8"/>
      <c r="T179" s="13"/>
      <c r="U179" s="8"/>
      <c r="V179" s="13"/>
      <c r="W179" s="8"/>
      <c r="X179" s="8"/>
      <c r="Y179" s="19"/>
      <c r="Z179" s="8"/>
      <c r="AA179" s="19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</row>
    <row r="180" spans="1:78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4"/>
      <c r="L180" s="3"/>
      <c r="M180" s="3"/>
      <c r="N180" s="23"/>
      <c r="O180" s="23"/>
      <c r="P180" s="23"/>
      <c r="Q180" s="8"/>
      <c r="R180" s="8"/>
      <c r="S180" s="8"/>
      <c r="T180" s="13"/>
      <c r="U180" s="8"/>
      <c r="V180" s="13"/>
      <c r="W180" s="8"/>
      <c r="X180" s="8"/>
      <c r="Y180" s="19"/>
      <c r="Z180" s="8"/>
      <c r="AA180" s="19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</row>
    <row r="181" spans="1:78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4"/>
      <c r="L181" s="3"/>
      <c r="M181" s="3"/>
      <c r="N181" s="23"/>
      <c r="O181" s="23"/>
      <c r="P181" s="23"/>
      <c r="Q181" s="8"/>
      <c r="R181" s="8"/>
      <c r="S181" s="8"/>
      <c r="T181" s="13"/>
      <c r="U181" s="8"/>
      <c r="V181" s="13"/>
      <c r="W181" s="8"/>
      <c r="X181" s="8"/>
      <c r="Y181" s="19"/>
      <c r="Z181" s="8"/>
      <c r="AA181" s="19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</row>
    <row r="182" spans="1:78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4"/>
      <c r="L182" s="3"/>
      <c r="M182" s="3"/>
      <c r="N182" s="23"/>
      <c r="O182" s="23"/>
      <c r="P182" s="23"/>
      <c r="Q182" s="8"/>
      <c r="R182" s="8"/>
      <c r="S182" s="8"/>
      <c r="T182" s="13"/>
      <c r="U182" s="8"/>
      <c r="V182" s="13"/>
      <c r="W182" s="8"/>
      <c r="X182" s="8"/>
      <c r="Y182" s="19"/>
      <c r="Z182" s="8"/>
      <c r="AA182" s="19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</row>
    <row r="183" spans="1:78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4"/>
      <c r="L183" s="3"/>
      <c r="M183" s="3"/>
      <c r="N183" s="23"/>
      <c r="O183" s="23"/>
      <c r="P183" s="23"/>
      <c r="Q183" s="8"/>
      <c r="R183" s="8"/>
      <c r="S183" s="8"/>
      <c r="T183" s="13"/>
      <c r="U183" s="8"/>
      <c r="V183" s="13"/>
      <c r="W183" s="8"/>
      <c r="X183" s="8"/>
      <c r="Y183" s="19"/>
      <c r="Z183" s="8"/>
      <c r="AA183" s="19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</row>
    <row r="184" spans="1:78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4"/>
      <c r="L184" s="3"/>
      <c r="M184" s="3"/>
      <c r="N184" s="23"/>
      <c r="O184" s="23"/>
      <c r="P184" s="23"/>
      <c r="Q184" s="8"/>
      <c r="R184" s="8"/>
      <c r="S184" s="8"/>
      <c r="T184" s="13"/>
      <c r="U184" s="8"/>
      <c r="V184" s="13"/>
      <c r="W184" s="8"/>
      <c r="X184" s="8"/>
      <c r="Y184" s="19"/>
      <c r="Z184" s="8"/>
      <c r="AA184" s="19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</row>
    <row r="185" spans="1:78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4"/>
      <c r="L185" s="3"/>
      <c r="M185" s="3"/>
      <c r="N185" s="23"/>
      <c r="O185" s="23"/>
      <c r="P185" s="23"/>
      <c r="Q185" s="8"/>
      <c r="R185" s="8"/>
      <c r="S185" s="8"/>
      <c r="T185" s="13"/>
      <c r="U185" s="8"/>
      <c r="V185" s="13"/>
      <c r="W185" s="8"/>
      <c r="X185" s="8"/>
      <c r="Y185" s="19"/>
      <c r="Z185" s="8"/>
      <c r="AA185" s="19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</row>
    <row r="186" spans="1:78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4"/>
      <c r="L186" s="3"/>
      <c r="M186" s="3"/>
      <c r="N186" s="23"/>
      <c r="O186" s="23"/>
      <c r="P186" s="23"/>
      <c r="Q186" s="8"/>
      <c r="R186" s="8"/>
      <c r="S186" s="8"/>
      <c r="T186" s="13"/>
      <c r="U186" s="8"/>
      <c r="V186" s="13"/>
      <c r="W186" s="8"/>
      <c r="X186" s="8"/>
      <c r="Y186" s="19"/>
      <c r="Z186" s="8"/>
      <c r="AA186" s="19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</row>
    <row r="187" spans="1:78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4"/>
      <c r="L187" s="3"/>
      <c r="M187" s="3"/>
      <c r="N187" s="23"/>
      <c r="O187" s="23"/>
      <c r="P187" s="23"/>
      <c r="Q187" s="8"/>
      <c r="R187" s="8"/>
      <c r="S187" s="8"/>
      <c r="T187" s="13"/>
      <c r="U187" s="8"/>
      <c r="V187" s="13"/>
      <c r="W187" s="8"/>
      <c r="X187" s="8"/>
      <c r="Y187" s="19"/>
      <c r="Z187" s="8"/>
      <c r="AA187" s="19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</row>
    <row r="188" spans="1:78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4"/>
      <c r="L188" s="3"/>
      <c r="M188" s="3"/>
      <c r="N188" s="23"/>
      <c r="O188" s="23"/>
      <c r="P188" s="23"/>
      <c r="Q188" s="8"/>
      <c r="R188" s="8"/>
      <c r="S188" s="8"/>
      <c r="T188" s="13"/>
      <c r="U188" s="8"/>
      <c r="V188" s="13"/>
      <c r="W188" s="8"/>
      <c r="X188" s="8"/>
      <c r="Y188" s="19"/>
      <c r="Z188" s="8"/>
      <c r="AA188" s="19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500C_5mm_coated+swapped+dewar_1</vt:lpstr>
      <vt:lpstr>550C_5mm_coated+swapped+dewar_1</vt:lpstr>
      <vt:lpstr>600C_5mm_coated+swapped+dewar_1</vt:lpstr>
      <vt:lpstr>600C_5mm_coated+swapped+dewar_2</vt:lpstr>
      <vt:lpstr>700C_5mm_coated+swapped+dewar_1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2026-03-24T17:21:01Z</dcterms:modified>
</cp:coreProperties>
</file>