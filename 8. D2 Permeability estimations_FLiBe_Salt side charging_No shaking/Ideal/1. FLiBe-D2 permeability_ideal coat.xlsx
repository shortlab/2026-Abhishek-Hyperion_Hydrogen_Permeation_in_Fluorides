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7. D2 Permeability estimations_FLiBe_Salt side charging_No shaking\Ideal\"/>
    </mc:Choice>
  </mc:AlternateContent>
  <xr:revisionPtr revIDLastSave="0" documentId="13_ncr:1_{72ECF779-A4F4-445F-BD22-2C754DF88B80}" xr6:coauthVersionLast="47" xr6:coauthVersionMax="47" xr10:uidLastSave="{00000000-0000-0000-0000-000000000000}"/>
  <bookViews>
    <workbookView xWindow="-108" yWindow="-108" windowWidth="23256" windowHeight="12456" tabRatio="774" activeTab="2" xr2:uid="{00000000-000D-0000-FFFF-FFFF00000000}"/>
  </bookViews>
  <sheets>
    <sheet name="500C_5mm_coated+swapped+dewar" sheetId="24" r:id="rId1"/>
    <sheet name="600C_5mm_coated+swapped+dewar" sheetId="25" r:id="rId2"/>
    <sheet name="700C_5 mm_coated+swapped+dewar" sheetId="2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26" l="1"/>
  <c r="Y4" i="26"/>
  <c r="Y5" i="26"/>
  <c r="Y6" i="26"/>
  <c r="Y7" i="26"/>
  <c r="Y8" i="26"/>
  <c r="Y9" i="26"/>
  <c r="Y10" i="26"/>
  <c r="Y11" i="26"/>
  <c r="Y12" i="26"/>
  <c r="Y13" i="26"/>
  <c r="Y14" i="26"/>
  <c r="Y15" i="26"/>
  <c r="Y16" i="26"/>
  <c r="Y17" i="26"/>
  <c r="Y18" i="26"/>
  <c r="Y19" i="26"/>
  <c r="Y20" i="26"/>
  <c r="Y21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6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X3" i="26"/>
  <c r="X4" i="26"/>
  <c r="X5" i="26"/>
  <c r="X6" i="26"/>
  <c r="X7" i="26"/>
  <c r="X8" i="26"/>
  <c r="X9" i="26"/>
  <c r="X10" i="26"/>
  <c r="X11" i="26"/>
  <c r="X12" i="26"/>
  <c r="X13" i="26"/>
  <c r="X14" i="26"/>
  <c r="X15" i="26"/>
  <c r="X16" i="26"/>
  <c r="X17" i="26"/>
  <c r="X18" i="26"/>
  <c r="X19" i="26"/>
  <c r="X20" i="26"/>
  <c r="X21" i="26"/>
  <c r="X22" i="26"/>
  <c r="X23" i="26"/>
  <c r="X24" i="26"/>
  <c r="X25" i="26"/>
  <c r="X26" i="26"/>
  <c r="X27" i="26"/>
  <c r="X28" i="26"/>
  <c r="X29" i="26"/>
  <c r="X30" i="26"/>
  <c r="X31" i="26"/>
  <c r="X32" i="26"/>
  <c r="X33" i="26"/>
  <c r="X34" i="26"/>
  <c r="X35" i="26"/>
  <c r="X36" i="26"/>
  <c r="X37" i="26"/>
  <c r="X38" i="26"/>
  <c r="X39" i="26"/>
  <c r="X40" i="26"/>
  <c r="X41" i="26"/>
  <c r="X42" i="26"/>
  <c r="X43" i="26"/>
  <c r="X44" i="26"/>
  <c r="X45" i="26"/>
  <c r="X46" i="26"/>
  <c r="X47" i="26"/>
  <c r="X48" i="26"/>
  <c r="X49" i="26"/>
  <c r="X50" i="26"/>
  <c r="X51" i="26"/>
  <c r="X52" i="26"/>
  <c r="X53" i="26"/>
  <c r="X54" i="26"/>
  <c r="X55" i="26"/>
  <c r="X56" i="26"/>
  <c r="X57" i="26"/>
  <c r="X58" i="26"/>
  <c r="X59" i="26"/>
  <c r="X60" i="26"/>
  <c r="X61" i="26"/>
  <c r="X62" i="26"/>
  <c r="X63" i="26"/>
  <c r="X64" i="26"/>
  <c r="X65" i="26"/>
  <c r="X66" i="26"/>
  <c r="W3" i="26"/>
  <c r="W4" i="26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23" i="26"/>
  <c r="W24" i="26"/>
  <c r="W25" i="26"/>
  <c r="W26" i="26"/>
  <c r="W27" i="26"/>
  <c r="W28" i="26"/>
  <c r="W29" i="26"/>
  <c r="W30" i="26"/>
  <c r="W31" i="26"/>
  <c r="W32" i="26"/>
  <c r="W33" i="26"/>
  <c r="W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58" i="26"/>
  <c r="W59" i="26"/>
  <c r="W60" i="26"/>
  <c r="W61" i="26"/>
  <c r="W62" i="26"/>
  <c r="W63" i="26"/>
  <c r="W64" i="26"/>
  <c r="W65" i="26"/>
  <c r="W66" i="26"/>
  <c r="Y3" i="25"/>
  <c r="Y4" i="25"/>
  <c r="Y5" i="25"/>
  <c r="Y6" i="25"/>
  <c r="Y7" i="25"/>
  <c r="Y8" i="25"/>
  <c r="Y9" i="25"/>
  <c r="Y10" i="25"/>
  <c r="Y11" i="25"/>
  <c r="Y12" i="25"/>
  <c r="Y13" i="25"/>
  <c r="Y14" i="25"/>
  <c r="Y15" i="25"/>
  <c r="Y16" i="25"/>
  <c r="Y17" i="25"/>
  <c r="Y18" i="25"/>
  <c r="Y19" i="25"/>
  <c r="Y20" i="25"/>
  <c r="Y21" i="25"/>
  <c r="Y22" i="25"/>
  <c r="Y23" i="25"/>
  <c r="Y24" i="25"/>
  <c r="Y25" i="25"/>
  <c r="Y26" i="25"/>
  <c r="Y27" i="25"/>
  <c r="Y28" i="25"/>
  <c r="Y29" i="25"/>
  <c r="Y30" i="25"/>
  <c r="Y31" i="25"/>
  <c r="Y32" i="25"/>
  <c r="Y33" i="25"/>
  <c r="Y34" i="25"/>
  <c r="Y35" i="25"/>
  <c r="Y36" i="25"/>
  <c r="Y37" i="25"/>
  <c r="Y38" i="25"/>
  <c r="Y39" i="25"/>
  <c r="Y40" i="25"/>
  <c r="Y41" i="25"/>
  <c r="Y42" i="25"/>
  <c r="Y43" i="25"/>
  <c r="Y44" i="25"/>
  <c r="Y45" i="25"/>
  <c r="Y46" i="25"/>
  <c r="Y47" i="25"/>
  <c r="Y48" i="25"/>
  <c r="Y49" i="25"/>
  <c r="Y50" i="25"/>
  <c r="Y51" i="25"/>
  <c r="Y52" i="25"/>
  <c r="Y53" i="25"/>
  <c r="Y54" i="25"/>
  <c r="Y55" i="25"/>
  <c r="Y56" i="25"/>
  <c r="Y57" i="25"/>
  <c r="Y58" i="25"/>
  <c r="Y59" i="25"/>
  <c r="Y60" i="25"/>
  <c r="Y61" i="25"/>
  <c r="Y62" i="25"/>
  <c r="Y63" i="25"/>
  <c r="Y64" i="25"/>
  <c r="Y65" i="25"/>
  <c r="Y66" i="25"/>
  <c r="Y67" i="25"/>
  <c r="Y68" i="25"/>
  <c r="Y69" i="25"/>
  <c r="X3" i="25"/>
  <c r="X4" i="25"/>
  <c r="X5" i="25"/>
  <c r="X6" i="25"/>
  <c r="X7" i="25"/>
  <c r="X8" i="25"/>
  <c r="X9" i="25"/>
  <c r="X10" i="25"/>
  <c r="X11" i="25"/>
  <c r="X12" i="25"/>
  <c r="X13" i="25"/>
  <c r="X14" i="25"/>
  <c r="X15" i="25"/>
  <c r="X16" i="25"/>
  <c r="X17" i="25"/>
  <c r="X18" i="25"/>
  <c r="X19" i="25"/>
  <c r="X20" i="25"/>
  <c r="X21" i="25"/>
  <c r="X22" i="25"/>
  <c r="X23" i="25"/>
  <c r="X24" i="25"/>
  <c r="X25" i="25"/>
  <c r="X26" i="25"/>
  <c r="X27" i="25"/>
  <c r="X28" i="25"/>
  <c r="X29" i="25"/>
  <c r="X30" i="25"/>
  <c r="X31" i="25"/>
  <c r="X32" i="25"/>
  <c r="X33" i="25"/>
  <c r="X34" i="25"/>
  <c r="X35" i="25"/>
  <c r="X36" i="25"/>
  <c r="X37" i="25"/>
  <c r="X38" i="25"/>
  <c r="X39" i="25"/>
  <c r="X40" i="25"/>
  <c r="X41" i="25"/>
  <c r="X42" i="25"/>
  <c r="X43" i="25"/>
  <c r="X44" i="25"/>
  <c r="X45" i="25"/>
  <c r="X46" i="25"/>
  <c r="X47" i="25"/>
  <c r="X48" i="25"/>
  <c r="X49" i="25"/>
  <c r="X50" i="25"/>
  <c r="X51" i="25"/>
  <c r="X52" i="25"/>
  <c r="X53" i="25"/>
  <c r="X54" i="25"/>
  <c r="X55" i="25"/>
  <c r="X56" i="25"/>
  <c r="X57" i="25"/>
  <c r="X58" i="25"/>
  <c r="X59" i="25"/>
  <c r="X60" i="25"/>
  <c r="X61" i="25"/>
  <c r="X62" i="25"/>
  <c r="X63" i="25"/>
  <c r="X64" i="25"/>
  <c r="X65" i="25"/>
  <c r="X66" i="25"/>
  <c r="X67" i="25"/>
  <c r="X68" i="25"/>
  <c r="X69" i="25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60" i="25"/>
  <c r="W61" i="25"/>
  <c r="W62" i="25"/>
  <c r="W63" i="25"/>
  <c r="W64" i="25"/>
  <c r="W65" i="25"/>
  <c r="W66" i="25"/>
  <c r="W67" i="25"/>
  <c r="W68" i="25"/>
  <c r="W69" i="25"/>
  <c r="V3" i="25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V33" i="25"/>
  <c r="V34" i="25"/>
  <c r="V35" i="25"/>
  <c r="V36" i="25"/>
  <c r="V37" i="25"/>
  <c r="V38" i="25"/>
  <c r="V39" i="25"/>
  <c r="V40" i="25"/>
  <c r="V41" i="25"/>
  <c r="V42" i="25"/>
  <c r="V43" i="25"/>
  <c r="V44" i="25"/>
  <c r="V45" i="25"/>
  <c r="V46" i="25"/>
  <c r="V47" i="25"/>
  <c r="V48" i="25"/>
  <c r="V49" i="25"/>
  <c r="V50" i="25"/>
  <c r="V51" i="25"/>
  <c r="V52" i="25"/>
  <c r="V53" i="25"/>
  <c r="V54" i="25"/>
  <c r="V55" i="25"/>
  <c r="V56" i="25"/>
  <c r="V57" i="25"/>
  <c r="V58" i="25"/>
  <c r="V59" i="25"/>
  <c r="V60" i="25"/>
  <c r="V61" i="25"/>
  <c r="V62" i="25"/>
  <c r="V63" i="25"/>
  <c r="V64" i="25"/>
  <c r="V65" i="25"/>
  <c r="V66" i="25"/>
  <c r="V67" i="25"/>
  <c r="V68" i="25"/>
  <c r="V69" i="25"/>
  <c r="P3" i="26"/>
  <c r="P4" i="26"/>
  <c r="P5" i="26"/>
  <c r="P6" i="26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39" i="26"/>
  <c r="P40" i="26"/>
  <c r="P41" i="26"/>
  <c r="P42" i="26"/>
  <c r="P43" i="26"/>
  <c r="P44" i="26"/>
  <c r="P45" i="26"/>
  <c r="P46" i="26"/>
  <c r="P47" i="26"/>
  <c r="P48" i="26"/>
  <c r="P49" i="26"/>
  <c r="P50" i="26"/>
  <c r="P51" i="26"/>
  <c r="P52" i="26"/>
  <c r="P53" i="26"/>
  <c r="P54" i="26"/>
  <c r="P55" i="26"/>
  <c r="P56" i="26"/>
  <c r="P57" i="26"/>
  <c r="P58" i="26"/>
  <c r="P59" i="26"/>
  <c r="P60" i="26"/>
  <c r="P61" i="26"/>
  <c r="P62" i="26"/>
  <c r="P63" i="26"/>
  <c r="P64" i="26"/>
  <c r="P65" i="26"/>
  <c r="P66" i="26"/>
  <c r="P2" i="26"/>
  <c r="P3" i="25" l="1"/>
  <c r="P4" i="25"/>
  <c r="P5" i="25"/>
  <c r="P6" i="25"/>
  <c r="P7" i="25"/>
  <c r="P8" i="25"/>
  <c r="P9" i="25"/>
  <c r="P10" i="25"/>
  <c r="P11" i="25"/>
  <c r="P12" i="25"/>
  <c r="P13" i="25"/>
  <c r="P14" i="25"/>
  <c r="P15" i="25"/>
  <c r="P16" i="25"/>
  <c r="P17" i="25"/>
  <c r="P18" i="25"/>
  <c r="P19" i="25"/>
  <c r="P20" i="25"/>
  <c r="P21" i="25"/>
  <c r="P22" i="25"/>
  <c r="P23" i="25"/>
  <c r="P24" i="25"/>
  <c r="P25" i="25"/>
  <c r="P26" i="25"/>
  <c r="P27" i="25"/>
  <c r="P28" i="25"/>
  <c r="P29" i="25"/>
  <c r="P30" i="25"/>
  <c r="P31" i="25"/>
  <c r="P32" i="25"/>
  <c r="P33" i="25"/>
  <c r="P34" i="25"/>
  <c r="P35" i="25"/>
  <c r="P36" i="25"/>
  <c r="P37" i="25"/>
  <c r="P38" i="25"/>
  <c r="P39" i="25"/>
  <c r="P40" i="25"/>
  <c r="P41" i="25"/>
  <c r="P42" i="25"/>
  <c r="P43" i="25"/>
  <c r="P44" i="25"/>
  <c r="P45" i="25"/>
  <c r="P46" i="25"/>
  <c r="P47" i="25"/>
  <c r="P48" i="25"/>
  <c r="P49" i="25"/>
  <c r="P50" i="25"/>
  <c r="P51" i="25"/>
  <c r="P52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P65" i="25"/>
  <c r="P66" i="25"/>
  <c r="P67" i="25"/>
  <c r="P68" i="25"/>
  <c r="P69" i="25"/>
  <c r="P2" i="25"/>
  <c r="N3" i="25"/>
  <c r="N4" i="25"/>
  <c r="N5" i="25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N44" i="25"/>
  <c r="N45" i="25"/>
  <c r="N46" i="25"/>
  <c r="N47" i="25"/>
  <c r="N48" i="25"/>
  <c r="N49" i="25"/>
  <c r="N50" i="25"/>
  <c r="N51" i="25"/>
  <c r="N52" i="25"/>
  <c r="N53" i="25"/>
  <c r="N54" i="25"/>
  <c r="N55" i="25"/>
  <c r="N56" i="25"/>
  <c r="N57" i="25"/>
  <c r="N58" i="25"/>
  <c r="N59" i="25"/>
  <c r="N60" i="25"/>
  <c r="N61" i="25"/>
  <c r="N62" i="25"/>
  <c r="N63" i="25"/>
  <c r="N64" i="25"/>
  <c r="N65" i="25"/>
  <c r="N66" i="25"/>
  <c r="N67" i="25"/>
  <c r="N68" i="25"/>
  <c r="N69" i="25"/>
  <c r="L3" i="25"/>
  <c r="L4" i="25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3" i="25"/>
  <c r="L54" i="25"/>
  <c r="L55" i="25"/>
  <c r="L56" i="25"/>
  <c r="L57" i="25"/>
  <c r="L58" i="25"/>
  <c r="L59" i="25"/>
  <c r="L60" i="25"/>
  <c r="L61" i="25"/>
  <c r="L62" i="25"/>
  <c r="L63" i="25"/>
  <c r="L64" i="25"/>
  <c r="L65" i="25"/>
  <c r="L66" i="25"/>
  <c r="L67" i="25"/>
  <c r="L68" i="25"/>
  <c r="L69" i="25"/>
  <c r="Y120" i="24" l="1"/>
  <c r="X120" i="24"/>
  <c r="Y88" i="24"/>
  <c r="Y89" i="24"/>
  <c r="Y90" i="24"/>
  <c r="Y91" i="24"/>
  <c r="Y92" i="24"/>
  <c r="Y93" i="24"/>
  <c r="Y94" i="24"/>
  <c r="Y95" i="24"/>
  <c r="Y96" i="24"/>
  <c r="Y97" i="24"/>
  <c r="Y98" i="24"/>
  <c r="Y99" i="24"/>
  <c r="Y100" i="24"/>
  <c r="Y101" i="24"/>
  <c r="Y102" i="24"/>
  <c r="Y103" i="24"/>
  <c r="Y104" i="24"/>
  <c r="Y105" i="24"/>
  <c r="Y106" i="24"/>
  <c r="Y107" i="24"/>
  <c r="Y108" i="24"/>
  <c r="Y109" i="24"/>
  <c r="Y110" i="24"/>
  <c r="Y111" i="24"/>
  <c r="Y112" i="24"/>
  <c r="Y113" i="24"/>
  <c r="Y114" i="24"/>
  <c r="Y115" i="24"/>
  <c r="Y116" i="24"/>
  <c r="Y3" i="24"/>
  <c r="Y4" i="24"/>
  <c r="Y5" i="24"/>
  <c r="Y6" i="24"/>
  <c r="Y7" i="24"/>
  <c r="Y8" i="24"/>
  <c r="Y9" i="24"/>
  <c r="Y10" i="24"/>
  <c r="Y1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Y38" i="24"/>
  <c r="Y39" i="24"/>
  <c r="Y40" i="24"/>
  <c r="Y41" i="24"/>
  <c r="Y42" i="24"/>
  <c r="Y43" i="24"/>
  <c r="Y44" i="24"/>
  <c r="Y45" i="24"/>
  <c r="Y46" i="24"/>
  <c r="Y47" i="24"/>
  <c r="Y48" i="24"/>
  <c r="Y49" i="24"/>
  <c r="Y50" i="24"/>
  <c r="Y51" i="24"/>
  <c r="Y52" i="24"/>
  <c r="Y53" i="24"/>
  <c r="Y54" i="24"/>
  <c r="Y55" i="24"/>
  <c r="Y56" i="24"/>
  <c r="Y57" i="24"/>
  <c r="Y58" i="24"/>
  <c r="Y59" i="24"/>
  <c r="Y60" i="24"/>
  <c r="Y61" i="24"/>
  <c r="Y62" i="24"/>
  <c r="Y63" i="24"/>
  <c r="Y64" i="24"/>
  <c r="Y65" i="24"/>
  <c r="Y66" i="24"/>
  <c r="Y67" i="24"/>
  <c r="Y68" i="24"/>
  <c r="Y69" i="24"/>
  <c r="Y70" i="24"/>
  <c r="Y71" i="24"/>
  <c r="Y72" i="24"/>
  <c r="Y73" i="24"/>
  <c r="Y74" i="24"/>
  <c r="Y75" i="24"/>
  <c r="Y76" i="24"/>
  <c r="Y77" i="24"/>
  <c r="Y78" i="24"/>
  <c r="Y79" i="24"/>
  <c r="Y80" i="24"/>
  <c r="Y81" i="24"/>
  <c r="Y82" i="24"/>
  <c r="Y83" i="24"/>
  <c r="Y84" i="24"/>
  <c r="Y85" i="24"/>
  <c r="Y86" i="24"/>
  <c r="Y87" i="24"/>
  <c r="X88" i="24"/>
  <c r="X89" i="24"/>
  <c r="X90" i="24"/>
  <c r="X91" i="24"/>
  <c r="X92" i="24"/>
  <c r="X93" i="24"/>
  <c r="X94" i="24"/>
  <c r="X95" i="24"/>
  <c r="X96" i="24"/>
  <c r="X97" i="24"/>
  <c r="X98" i="24"/>
  <c r="X99" i="24"/>
  <c r="X100" i="24"/>
  <c r="X101" i="24"/>
  <c r="X102" i="24"/>
  <c r="X103" i="24"/>
  <c r="X104" i="24"/>
  <c r="X105" i="24"/>
  <c r="X106" i="24"/>
  <c r="X107" i="24"/>
  <c r="X108" i="24"/>
  <c r="X109" i="24"/>
  <c r="X110" i="24"/>
  <c r="X111" i="24"/>
  <c r="X112" i="24"/>
  <c r="X113" i="24"/>
  <c r="X114" i="24"/>
  <c r="X115" i="24"/>
  <c r="X116" i="24"/>
  <c r="X3" i="24"/>
  <c r="X4" i="24"/>
  <c r="X5" i="24"/>
  <c r="X6" i="24"/>
  <c r="X7" i="24"/>
  <c r="X8" i="24"/>
  <c r="X9" i="24"/>
  <c r="X10" i="24"/>
  <c r="X11" i="24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X42" i="24"/>
  <c r="X43" i="24"/>
  <c r="X44" i="24"/>
  <c r="X45" i="24"/>
  <c r="X46" i="24"/>
  <c r="X47" i="24"/>
  <c r="X48" i="24"/>
  <c r="X49" i="24"/>
  <c r="X50" i="24"/>
  <c r="X51" i="24"/>
  <c r="X52" i="24"/>
  <c r="X53" i="24"/>
  <c r="X54" i="24"/>
  <c r="X55" i="24"/>
  <c r="X56" i="24"/>
  <c r="X57" i="24"/>
  <c r="X58" i="24"/>
  <c r="X59" i="24"/>
  <c r="X60" i="24"/>
  <c r="X61" i="24"/>
  <c r="X62" i="24"/>
  <c r="X63" i="24"/>
  <c r="X64" i="24"/>
  <c r="X65" i="24"/>
  <c r="X66" i="24"/>
  <c r="X67" i="24"/>
  <c r="X68" i="24"/>
  <c r="X69" i="24"/>
  <c r="X70" i="24"/>
  <c r="X71" i="24"/>
  <c r="X72" i="24"/>
  <c r="X73" i="24"/>
  <c r="X74" i="24"/>
  <c r="X75" i="24"/>
  <c r="X76" i="24"/>
  <c r="X77" i="24"/>
  <c r="X78" i="24"/>
  <c r="X79" i="24"/>
  <c r="X80" i="24"/>
  <c r="X81" i="24"/>
  <c r="X82" i="24"/>
  <c r="X83" i="24"/>
  <c r="X84" i="24"/>
  <c r="X85" i="24"/>
  <c r="X86" i="24"/>
  <c r="X87" i="24"/>
  <c r="W88" i="24"/>
  <c r="W89" i="24"/>
  <c r="W90" i="24"/>
  <c r="W91" i="24"/>
  <c r="W92" i="24"/>
  <c r="W93" i="24"/>
  <c r="W94" i="24"/>
  <c r="W95" i="24"/>
  <c r="W96" i="24"/>
  <c r="W97" i="24"/>
  <c r="W98" i="24"/>
  <c r="W99" i="24"/>
  <c r="W100" i="24"/>
  <c r="W101" i="24"/>
  <c r="W102" i="24"/>
  <c r="W103" i="24"/>
  <c r="W104" i="24"/>
  <c r="W105" i="24"/>
  <c r="W106" i="24"/>
  <c r="W107" i="24"/>
  <c r="W108" i="24"/>
  <c r="W109" i="24"/>
  <c r="W110" i="24"/>
  <c r="W111" i="24"/>
  <c r="W112" i="24"/>
  <c r="W113" i="24"/>
  <c r="W114" i="24"/>
  <c r="W115" i="24"/>
  <c r="W116" i="24"/>
  <c r="W3" i="24"/>
  <c r="W4" i="24"/>
  <c r="W5" i="24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1" i="24"/>
  <c r="W42" i="24"/>
  <c r="W43" i="24"/>
  <c r="W44" i="24"/>
  <c r="W45" i="24"/>
  <c r="W46" i="24"/>
  <c r="W47" i="24"/>
  <c r="W48" i="24"/>
  <c r="W49" i="24"/>
  <c r="W50" i="24"/>
  <c r="W51" i="24"/>
  <c r="W52" i="24"/>
  <c r="W53" i="24"/>
  <c r="W54" i="24"/>
  <c r="W55" i="24"/>
  <c r="W56" i="24"/>
  <c r="W57" i="24"/>
  <c r="W58" i="24"/>
  <c r="W59" i="24"/>
  <c r="W60" i="24"/>
  <c r="W61" i="24"/>
  <c r="W62" i="24"/>
  <c r="W63" i="24"/>
  <c r="W64" i="24"/>
  <c r="W65" i="24"/>
  <c r="W66" i="24"/>
  <c r="W67" i="24"/>
  <c r="W68" i="24"/>
  <c r="W69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5" i="24"/>
  <c r="W86" i="24"/>
  <c r="W87" i="24"/>
  <c r="V88" i="24"/>
  <c r="V89" i="24"/>
  <c r="V90" i="24"/>
  <c r="V91" i="24"/>
  <c r="V92" i="24"/>
  <c r="V93" i="24"/>
  <c r="V94" i="24"/>
  <c r="V95" i="24"/>
  <c r="V96" i="24"/>
  <c r="V97" i="24"/>
  <c r="V98" i="24"/>
  <c r="V99" i="24"/>
  <c r="V100" i="24"/>
  <c r="V101" i="24"/>
  <c r="V102" i="24"/>
  <c r="V103" i="24"/>
  <c r="V104" i="24"/>
  <c r="V105" i="24"/>
  <c r="V106" i="24"/>
  <c r="V107" i="24"/>
  <c r="V108" i="24"/>
  <c r="V109" i="24"/>
  <c r="V110" i="24"/>
  <c r="V111" i="24"/>
  <c r="V112" i="24"/>
  <c r="V113" i="24"/>
  <c r="V114" i="24"/>
  <c r="V115" i="24"/>
  <c r="V116" i="24"/>
  <c r="V3" i="24"/>
  <c r="V4" i="24"/>
  <c r="V5" i="24"/>
  <c r="V6" i="24"/>
  <c r="V7" i="24"/>
  <c r="V8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V21" i="24"/>
  <c r="V22" i="24"/>
  <c r="V23" i="24"/>
  <c r="V24" i="24"/>
  <c r="V25" i="24"/>
  <c r="V26" i="24"/>
  <c r="V27" i="24"/>
  <c r="V28" i="24"/>
  <c r="V29" i="24"/>
  <c r="V30" i="24"/>
  <c r="V31" i="24"/>
  <c r="V32" i="24"/>
  <c r="V33" i="24"/>
  <c r="V34" i="24"/>
  <c r="V35" i="24"/>
  <c r="V36" i="24"/>
  <c r="V37" i="24"/>
  <c r="V38" i="24"/>
  <c r="V39" i="24"/>
  <c r="V40" i="24"/>
  <c r="V41" i="24"/>
  <c r="V42" i="24"/>
  <c r="V43" i="24"/>
  <c r="V44" i="24"/>
  <c r="V45" i="24"/>
  <c r="V46" i="24"/>
  <c r="V47" i="24"/>
  <c r="V48" i="24"/>
  <c r="V49" i="24"/>
  <c r="V50" i="24"/>
  <c r="V51" i="24"/>
  <c r="V52" i="24"/>
  <c r="V53" i="24"/>
  <c r="V54" i="24"/>
  <c r="V55" i="24"/>
  <c r="V56" i="24"/>
  <c r="V57" i="24"/>
  <c r="V58" i="24"/>
  <c r="V59" i="24"/>
  <c r="V60" i="24"/>
  <c r="V61" i="24"/>
  <c r="V62" i="24"/>
  <c r="V63" i="24"/>
  <c r="V64" i="24"/>
  <c r="V65" i="24"/>
  <c r="V66" i="24"/>
  <c r="V67" i="24"/>
  <c r="V68" i="24"/>
  <c r="V69" i="24"/>
  <c r="V70" i="24"/>
  <c r="V71" i="24"/>
  <c r="V72" i="24"/>
  <c r="V73" i="24"/>
  <c r="V74" i="24"/>
  <c r="V75" i="24"/>
  <c r="V76" i="24"/>
  <c r="V77" i="24"/>
  <c r="V78" i="24"/>
  <c r="V79" i="24"/>
  <c r="V80" i="24"/>
  <c r="V81" i="24"/>
  <c r="V82" i="24"/>
  <c r="V83" i="24"/>
  <c r="V84" i="24"/>
  <c r="V85" i="24"/>
  <c r="V86" i="24"/>
  <c r="V87" i="24"/>
  <c r="U88" i="24"/>
  <c r="U89" i="24"/>
  <c r="U90" i="24"/>
  <c r="U91" i="24"/>
  <c r="U92" i="24"/>
  <c r="U93" i="24"/>
  <c r="U94" i="24"/>
  <c r="U95" i="24"/>
  <c r="U96" i="24"/>
  <c r="U97" i="24"/>
  <c r="U98" i="24"/>
  <c r="U99" i="24"/>
  <c r="U100" i="24"/>
  <c r="U101" i="24"/>
  <c r="U102" i="24"/>
  <c r="U103" i="24"/>
  <c r="U104" i="24"/>
  <c r="U105" i="24"/>
  <c r="U106" i="24"/>
  <c r="U107" i="24"/>
  <c r="U108" i="24"/>
  <c r="U109" i="24"/>
  <c r="U110" i="24"/>
  <c r="U111" i="24"/>
  <c r="U112" i="24"/>
  <c r="U113" i="24"/>
  <c r="U114" i="24"/>
  <c r="U115" i="24"/>
  <c r="U116" i="24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U32" i="24"/>
  <c r="U33" i="24"/>
  <c r="U34" i="24"/>
  <c r="U35" i="24"/>
  <c r="U36" i="24"/>
  <c r="U37" i="24"/>
  <c r="U38" i="24"/>
  <c r="U39" i="24"/>
  <c r="U40" i="24"/>
  <c r="U41" i="24"/>
  <c r="U42" i="24"/>
  <c r="U43" i="24"/>
  <c r="U44" i="24"/>
  <c r="U45" i="24"/>
  <c r="U46" i="24"/>
  <c r="U47" i="24"/>
  <c r="U48" i="24"/>
  <c r="U49" i="24"/>
  <c r="U50" i="24"/>
  <c r="U51" i="24"/>
  <c r="U52" i="24"/>
  <c r="U53" i="24"/>
  <c r="U54" i="24"/>
  <c r="U55" i="24"/>
  <c r="U56" i="24"/>
  <c r="U57" i="24"/>
  <c r="U58" i="24"/>
  <c r="U59" i="24"/>
  <c r="U60" i="24"/>
  <c r="U61" i="24"/>
  <c r="U62" i="24"/>
  <c r="U63" i="24"/>
  <c r="U64" i="24"/>
  <c r="U65" i="24"/>
  <c r="U66" i="24"/>
  <c r="U67" i="24"/>
  <c r="U68" i="24"/>
  <c r="U69" i="24"/>
  <c r="U70" i="24"/>
  <c r="U71" i="24"/>
  <c r="U72" i="24"/>
  <c r="U73" i="24"/>
  <c r="U74" i="24"/>
  <c r="U75" i="24"/>
  <c r="U76" i="24"/>
  <c r="U77" i="24"/>
  <c r="U78" i="24"/>
  <c r="U79" i="24"/>
  <c r="U80" i="24"/>
  <c r="U81" i="24"/>
  <c r="U82" i="24"/>
  <c r="U83" i="24"/>
  <c r="U84" i="24"/>
  <c r="U85" i="24"/>
  <c r="U86" i="24"/>
  <c r="U87" i="24"/>
  <c r="S88" i="24"/>
  <c r="S89" i="24"/>
  <c r="S90" i="24"/>
  <c r="S91" i="24"/>
  <c r="S92" i="24"/>
  <c r="S93" i="24"/>
  <c r="S94" i="24"/>
  <c r="S95" i="24"/>
  <c r="S96" i="24"/>
  <c r="S97" i="24"/>
  <c r="S98" i="24"/>
  <c r="S99" i="24"/>
  <c r="S100" i="24"/>
  <c r="S101" i="24"/>
  <c r="S102" i="24"/>
  <c r="S103" i="24"/>
  <c r="S104" i="24"/>
  <c r="S105" i="24"/>
  <c r="S106" i="24"/>
  <c r="S107" i="24"/>
  <c r="S108" i="24"/>
  <c r="S109" i="24"/>
  <c r="S110" i="24"/>
  <c r="S111" i="24"/>
  <c r="S112" i="24"/>
  <c r="S113" i="24"/>
  <c r="S114" i="24"/>
  <c r="S115" i="24"/>
  <c r="S116" i="24"/>
  <c r="R88" i="24"/>
  <c r="R89" i="24"/>
  <c r="R90" i="24"/>
  <c r="R91" i="24"/>
  <c r="R92" i="24"/>
  <c r="R93" i="24"/>
  <c r="R94" i="24"/>
  <c r="R95" i="24"/>
  <c r="R96" i="24"/>
  <c r="R97" i="24"/>
  <c r="R98" i="24"/>
  <c r="R99" i="24"/>
  <c r="R100" i="24"/>
  <c r="R101" i="24"/>
  <c r="R102" i="24"/>
  <c r="R103" i="24"/>
  <c r="R104" i="24"/>
  <c r="R105" i="24"/>
  <c r="R106" i="24"/>
  <c r="R107" i="24"/>
  <c r="R108" i="24"/>
  <c r="R109" i="24"/>
  <c r="R110" i="24"/>
  <c r="R111" i="24"/>
  <c r="R112" i="24"/>
  <c r="R113" i="24"/>
  <c r="R114" i="24"/>
  <c r="R115" i="24"/>
  <c r="R116" i="24"/>
  <c r="R3" i="24"/>
  <c r="R4" i="24"/>
  <c r="R5" i="24"/>
  <c r="R6" i="24"/>
  <c r="R7" i="24"/>
  <c r="R8" i="24"/>
  <c r="R9" i="24"/>
  <c r="R10" i="24"/>
  <c r="R11" i="24"/>
  <c r="R12" i="24"/>
  <c r="R13" i="24"/>
  <c r="R14" i="24"/>
  <c r="R15" i="24"/>
  <c r="R16" i="24"/>
  <c r="R17" i="24"/>
  <c r="R18" i="24"/>
  <c r="R19" i="24"/>
  <c r="R20" i="24"/>
  <c r="R21" i="24"/>
  <c r="R22" i="24"/>
  <c r="R23" i="24"/>
  <c r="R24" i="24"/>
  <c r="R25" i="24"/>
  <c r="R26" i="24"/>
  <c r="R27" i="24"/>
  <c r="R28" i="24"/>
  <c r="R29" i="24"/>
  <c r="R30" i="24"/>
  <c r="R31" i="24"/>
  <c r="R32" i="24"/>
  <c r="R33" i="24"/>
  <c r="R34" i="24"/>
  <c r="R35" i="24"/>
  <c r="R36" i="24"/>
  <c r="R37" i="24"/>
  <c r="R38" i="24"/>
  <c r="R39" i="24"/>
  <c r="R40" i="24"/>
  <c r="R41" i="24"/>
  <c r="R42" i="24"/>
  <c r="R43" i="24"/>
  <c r="R44" i="24"/>
  <c r="R45" i="24"/>
  <c r="R46" i="24"/>
  <c r="R47" i="24"/>
  <c r="R48" i="24"/>
  <c r="R49" i="24"/>
  <c r="R50" i="24"/>
  <c r="R51" i="24"/>
  <c r="R52" i="24"/>
  <c r="R53" i="24"/>
  <c r="R54" i="24"/>
  <c r="R55" i="24"/>
  <c r="R56" i="24"/>
  <c r="R57" i="24"/>
  <c r="R58" i="24"/>
  <c r="R59" i="24"/>
  <c r="R60" i="24"/>
  <c r="R61" i="24"/>
  <c r="R62" i="24"/>
  <c r="R63" i="24"/>
  <c r="R64" i="24"/>
  <c r="R65" i="24"/>
  <c r="R66" i="24"/>
  <c r="R67" i="24"/>
  <c r="R68" i="24"/>
  <c r="R69" i="24"/>
  <c r="R70" i="24"/>
  <c r="R71" i="24"/>
  <c r="R72" i="24"/>
  <c r="R73" i="24"/>
  <c r="R74" i="24"/>
  <c r="R75" i="24"/>
  <c r="R76" i="24"/>
  <c r="R77" i="24"/>
  <c r="R78" i="24"/>
  <c r="R79" i="24"/>
  <c r="R80" i="24"/>
  <c r="R81" i="24"/>
  <c r="R82" i="24"/>
  <c r="R83" i="24"/>
  <c r="R84" i="24"/>
  <c r="R85" i="24"/>
  <c r="R86" i="24"/>
  <c r="R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111" i="24"/>
  <c r="P112" i="24"/>
  <c r="P113" i="24"/>
  <c r="P114" i="24"/>
  <c r="P115" i="24"/>
  <c r="P116" i="24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2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M103" i="24"/>
  <c r="M104" i="24"/>
  <c r="M105" i="24"/>
  <c r="M106" i="24"/>
  <c r="M107" i="24"/>
  <c r="M108" i="24"/>
  <c r="M109" i="24"/>
  <c r="M110" i="24"/>
  <c r="M111" i="24"/>
  <c r="M112" i="24"/>
  <c r="M113" i="24"/>
  <c r="M114" i="24"/>
  <c r="M115" i="24"/>
  <c r="M116" i="24"/>
  <c r="L88" i="24"/>
  <c r="L89" i="24"/>
  <c r="L90" i="24"/>
  <c r="L91" i="24"/>
  <c r="L92" i="24"/>
  <c r="L93" i="24"/>
  <c r="L94" i="24"/>
  <c r="L95" i="24"/>
  <c r="L96" i="24"/>
  <c r="L97" i="24"/>
  <c r="L98" i="24"/>
  <c r="L99" i="24"/>
  <c r="L100" i="24"/>
  <c r="L101" i="24"/>
  <c r="L102" i="24"/>
  <c r="L103" i="24"/>
  <c r="L104" i="24"/>
  <c r="L105" i="24"/>
  <c r="L106" i="24"/>
  <c r="L107" i="24"/>
  <c r="L108" i="24"/>
  <c r="L109" i="24"/>
  <c r="L110" i="24"/>
  <c r="L111" i="24"/>
  <c r="L112" i="24"/>
  <c r="L113" i="24"/>
  <c r="L114" i="24"/>
  <c r="L115" i="24"/>
  <c r="L116" i="24"/>
  <c r="B88" i="24" l="1"/>
  <c r="D88" i="24"/>
  <c r="E88" i="24"/>
  <c r="G88" i="24"/>
  <c r="I88" i="24"/>
  <c r="J88" i="24"/>
  <c r="B89" i="24"/>
  <c r="D89" i="24"/>
  <c r="E89" i="24"/>
  <c r="G89" i="24"/>
  <c r="I89" i="24"/>
  <c r="J89" i="24"/>
  <c r="B90" i="24"/>
  <c r="D90" i="24"/>
  <c r="E90" i="24"/>
  <c r="G90" i="24"/>
  <c r="I90" i="24"/>
  <c r="J90" i="24"/>
  <c r="B91" i="24"/>
  <c r="D91" i="24"/>
  <c r="E91" i="24"/>
  <c r="G91" i="24"/>
  <c r="I91" i="24"/>
  <c r="J91" i="24"/>
  <c r="B92" i="24"/>
  <c r="D92" i="24"/>
  <c r="E92" i="24"/>
  <c r="G92" i="24"/>
  <c r="I92" i="24"/>
  <c r="J92" i="24"/>
  <c r="B93" i="24"/>
  <c r="D93" i="24"/>
  <c r="E93" i="24"/>
  <c r="G93" i="24"/>
  <c r="I93" i="24"/>
  <c r="J93" i="24"/>
  <c r="B94" i="24"/>
  <c r="D94" i="24"/>
  <c r="E94" i="24"/>
  <c r="G94" i="24"/>
  <c r="I94" i="24"/>
  <c r="J94" i="24"/>
  <c r="B95" i="24"/>
  <c r="D95" i="24"/>
  <c r="E95" i="24"/>
  <c r="G95" i="24"/>
  <c r="I95" i="24"/>
  <c r="J95" i="24"/>
  <c r="B96" i="24"/>
  <c r="D96" i="24"/>
  <c r="E96" i="24"/>
  <c r="G96" i="24"/>
  <c r="I96" i="24"/>
  <c r="J96" i="24"/>
  <c r="B97" i="24"/>
  <c r="D97" i="24"/>
  <c r="E97" i="24"/>
  <c r="G97" i="24"/>
  <c r="I97" i="24"/>
  <c r="J97" i="24"/>
  <c r="B98" i="24"/>
  <c r="D98" i="24"/>
  <c r="E98" i="24"/>
  <c r="G98" i="24"/>
  <c r="I98" i="24"/>
  <c r="J98" i="24"/>
  <c r="B99" i="24"/>
  <c r="D99" i="24"/>
  <c r="E99" i="24"/>
  <c r="G99" i="24"/>
  <c r="I99" i="24"/>
  <c r="J99" i="24"/>
  <c r="B100" i="24"/>
  <c r="D100" i="24"/>
  <c r="E100" i="24"/>
  <c r="G100" i="24"/>
  <c r="I100" i="24"/>
  <c r="J100" i="24"/>
  <c r="B101" i="24"/>
  <c r="D101" i="24"/>
  <c r="E101" i="24"/>
  <c r="G101" i="24"/>
  <c r="I101" i="24"/>
  <c r="J101" i="24"/>
  <c r="B102" i="24"/>
  <c r="D102" i="24"/>
  <c r="E102" i="24"/>
  <c r="G102" i="24"/>
  <c r="I102" i="24"/>
  <c r="J102" i="24"/>
  <c r="B103" i="24"/>
  <c r="D103" i="24"/>
  <c r="E103" i="24"/>
  <c r="G103" i="24"/>
  <c r="I103" i="24"/>
  <c r="J103" i="24"/>
  <c r="B104" i="24"/>
  <c r="D104" i="24"/>
  <c r="E104" i="24"/>
  <c r="G104" i="24"/>
  <c r="I104" i="24"/>
  <c r="J104" i="24"/>
  <c r="B105" i="24"/>
  <c r="D105" i="24"/>
  <c r="E105" i="24"/>
  <c r="G105" i="24"/>
  <c r="I105" i="24"/>
  <c r="J105" i="24"/>
  <c r="B106" i="24"/>
  <c r="D106" i="24"/>
  <c r="E106" i="24"/>
  <c r="G106" i="24"/>
  <c r="I106" i="24"/>
  <c r="J106" i="24"/>
  <c r="B107" i="24"/>
  <c r="D107" i="24"/>
  <c r="E107" i="24"/>
  <c r="G107" i="24"/>
  <c r="I107" i="24"/>
  <c r="J107" i="24"/>
  <c r="B108" i="24"/>
  <c r="D108" i="24"/>
  <c r="E108" i="24"/>
  <c r="G108" i="24"/>
  <c r="I108" i="24"/>
  <c r="J108" i="24"/>
  <c r="B109" i="24"/>
  <c r="D109" i="24"/>
  <c r="E109" i="24"/>
  <c r="G109" i="24"/>
  <c r="I109" i="24"/>
  <c r="J109" i="24"/>
  <c r="B110" i="24"/>
  <c r="D110" i="24"/>
  <c r="E110" i="24"/>
  <c r="G110" i="24"/>
  <c r="I110" i="24"/>
  <c r="J110" i="24"/>
  <c r="B111" i="24"/>
  <c r="D111" i="24"/>
  <c r="E111" i="24"/>
  <c r="G111" i="24"/>
  <c r="I111" i="24"/>
  <c r="J111" i="24"/>
  <c r="B112" i="24"/>
  <c r="D112" i="24"/>
  <c r="E112" i="24"/>
  <c r="G112" i="24"/>
  <c r="I112" i="24"/>
  <c r="J112" i="24"/>
  <c r="B113" i="24"/>
  <c r="D113" i="24"/>
  <c r="E113" i="24"/>
  <c r="G113" i="24"/>
  <c r="I113" i="24"/>
  <c r="J113" i="24"/>
  <c r="B114" i="24"/>
  <c r="D114" i="24"/>
  <c r="E114" i="24"/>
  <c r="G114" i="24"/>
  <c r="I114" i="24"/>
  <c r="J114" i="24"/>
  <c r="B115" i="24"/>
  <c r="D115" i="24"/>
  <c r="E115" i="24"/>
  <c r="G115" i="24"/>
  <c r="I115" i="24"/>
  <c r="J115" i="24"/>
  <c r="B116" i="24"/>
  <c r="D116" i="24"/>
  <c r="E116" i="24"/>
  <c r="G116" i="24"/>
  <c r="I116" i="24"/>
  <c r="J116" i="24"/>
  <c r="M63" i="25" l="1"/>
  <c r="O63" i="25"/>
  <c r="R63" i="25"/>
  <c r="S63" i="25"/>
  <c r="U63" i="25"/>
  <c r="M64" i="25"/>
  <c r="O64" i="25"/>
  <c r="R64" i="25"/>
  <c r="S64" i="25"/>
  <c r="U64" i="25"/>
  <c r="M65" i="25"/>
  <c r="O65" i="25"/>
  <c r="R65" i="25"/>
  <c r="S65" i="25"/>
  <c r="U65" i="25"/>
  <c r="M66" i="25"/>
  <c r="O66" i="25"/>
  <c r="R66" i="25"/>
  <c r="S66" i="25"/>
  <c r="U66" i="25"/>
  <c r="M67" i="25"/>
  <c r="O67" i="25"/>
  <c r="R67" i="25"/>
  <c r="S67" i="25"/>
  <c r="U67" i="25"/>
  <c r="M68" i="25"/>
  <c r="O68" i="25"/>
  <c r="R68" i="25"/>
  <c r="S68" i="25"/>
  <c r="U68" i="25"/>
  <c r="M69" i="25"/>
  <c r="O69" i="25"/>
  <c r="R69" i="25"/>
  <c r="S69" i="25"/>
  <c r="U69" i="25"/>
  <c r="B63" i="25"/>
  <c r="D63" i="25"/>
  <c r="E63" i="25"/>
  <c r="G63" i="25"/>
  <c r="I63" i="25"/>
  <c r="B64" i="25"/>
  <c r="D64" i="25"/>
  <c r="E64" i="25"/>
  <c r="G64" i="25"/>
  <c r="I64" i="25"/>
  <c r="J64" i="25"/>
  <c r="B65" i="25"/>
  <c r="D65" i="25"/>
  <c r="E65" i="25" s="1"/>
  <c r="G65" i="25"/>
  <c r="I65" i="25"/>
  <c r="J65" i="25" s="1"/>
  <c r="B66" i="25"/>
  <c r="D66" i="25"/>
  <c r="E66" i="25"/>
  <c r="G66" i="25"/>
  <c r="I66" i="25"/>
  <c r="J66" i="25"/>
  <c r="B67" i="25"/>
  <c r="D67" i="25"/>
  <c r="E67" i="25" s="1"/>
  <c r="G67" i="25"/>
  <c r="I67" i="25"/>
  <c r="J67" i="25" s="1"/>
  <c r="B68" i="25"/>
  <c r="D68" i="25"/>
  <c r="E68" i="25"/>
  <c r="G68" i="25"/>
  <c r="I68" i="25"/>
  <c r="J68" i="25"/>
  <c r="B69" i="25"/>
  <c r="D69" i="25"/>
  <c r="E69" i="25" s="1"/>
  <c r="G69" i="25"/>
  <c r="I69" i="25"/>
  <c r="J69" i="25" s="1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2" i="26"/>
  <c r="O2" i="25"/>
  <c r="O2" i="24"/>
  <c r="S3" i="26"/>
  <c r="S4" i="26"/>
  <c r="S5" i="26"/>
  <c r="S6" i="26"/>
  <c r="S7" i="26"/>
  <c r="S8" i="26"/>
  <c r="S9" i="26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54" i="26"/>
  <c r="S55" i="26"/>
  <c r="S56" i="26"/>
  <c r="S57" i="26"/>
  <c r="S58" i="26"/>
  <c r="S59" i="26"/>
  <c r="S60" i="26"/>
  <c r="S61" i="26"/>
  <c r="S62" i="26"/>
  <c r="S63" i="26"/>
  <c r="S64" i="26"/>
  <c r="S65" i="26"/>
  <c r="S66" i="26"/>
  <c r="S2" i="26"/>
  <c r="J63" i="25" l="1"/>
  <c r="L63" i="26"/>
  <c r="M63" i="26"/>
  <c r="R63" i="26"/>
  <c r="U63" i="26"/>
  <c r="L64" i="26"/>
  <c r="M64" i="26"/>
  <c r="R64" i="26"/>
  <c r="U64" i="26"/>
  <c r="L65" i="26"/>
  <c r="M65" i="26"/>
  <c r="R65" i="26"/>
  <c r="U65" i="26"/>
  <c r="L66" i="26"/>
  <c r="M66" i="26"/>
  <c r="R66" i="26"/>
  <c r="U66" i="26"/>
  <c r="B63" i="26"/>
  <c r="D63" i="26"/>
  <c r="E63" i="26"/>
  <c r="G63" i="26"/>
  <c r="I63" i="26"/>
  <c r="J63" i="26"/>
  <c r="B64" i="26"/>
  <c r="D64" i="26"/>
  <c r="E64" i="26"/>
  <c r="G64" i="26"/>
  <c r="I64" i="26"/>
  <c r="J64" i="26"/>
  <c r="B65" i="26"/>
  <c r="D65" i="26"/>
  <c r="E65" i="26"/>
  <c r="G65" i="26"/>
  <c r="I65" i="26"/>
  <c r="J65" i="26"/>
  <c r="B66" i="26"/>
  <c r="D66" i="26"/>
  <c r="E66" i="26"/>
  <c r="G66" i="26"/>
  <c r="I66" i="26"/>
  <c r="J66" i="26"/>
  <c r="U62" i="26"/>
  <c r="R62" i="26"/>
  <c r="M62" i="26"/>
  <c r="L62" i="26"/>
  <c r="I62" i="26"/>
  <c r="G62" i="26"/>
  <c r="D62" i="26"/>
  <c r="E62" i="26" s="1"/>
  <c r="J62" i="26" s="1"/>
  <c r="N62" i="26" s="1"/>
  <c r="B62" i="26"/>
  <c r="U61" i="26"/>
  <c r="R61" i="26"/>
  <c r="M61" i="26"/>
  <c r="L61" i="26"/>
  <c r="I61" i="26"/>
  <c r="G61" i="26"/>
  <c r="D61" i="26"/>
  <c r="E61" i="26" s="1"/>
  <c r="B61" i="26"/>
  <c r="U60" i="26"/>
  <c r="R60" i="26"/>
  <c r="M60" i="26"/>
  <c r="L60" i="26"/>
  <c r="I60" i="26"/>
  <c r="J60" i="26" s="1"/>
  <c r="G60" i="26"/>
  <c r="D60" i="26"/>
  <c r="E60" i="26" s="1"/>
  <c r="B60" i="26"/>
  <c r="U59" i="26"/>
  <c r="R59" i="26"/>
  <c r="M59" i="26"/>
  <c r="L59" i="26"/>
  <c r="I59" i="26"/>
  <c r="G59" i="26"/>
  <c r="D59" i="26"/>
  <c r="E59" i="26" s="1"/>
  <c r="B59" i="26"/>
  <c r="U58" i="26"/>
  <c r="R58" i="26"/>
  <c r="M58" i="26"/>
  <c r="L58" i="26"/>
  <c r="I58" i="26"/>
  <c r="G58" i="26"/>
  <c r="D58" i="26"/>
  <c r="E58" i="26" s="1"/>
  <c r="B58" i="26"/>
  <c r="U57" i="26"/>
  <c r="R57" i="26"/>
  <c r="M57" i="26"/>
  <c r="L57" i="26"/>
  <c r="N57" i="26" s="1"/>
  <c r="I57" i="26"/>
  <c r="G57" i="26"/>
  <c r="D57" i="26"/>
  <c r="E57" i="26" s="1"/>
  <c r="J57" i="26" s="1"/>
  <c r="B57" i="26"/>
  <c r="U56" i="26"/>
  <c r="R56" i="26"/>
  <c r="M56" i="26"/>
  <c r="L56" i="26"/>
  <c r="I56" i="26"/>
  <c r="G56" i="26"/>
  <c r="D56" i="26"/>
  <c r="E56" i="26" s="1"/>
  <c r="J56" i="26" s="1"/>
  <c r="B56" i="26"/>
  <c r="U55" i="26"/>
  <c r="R55" i="26"/>
  <c r="M55" i="26"/>
  <c r="L55" i="26"/>
  <c r="I55" i="26"/>
  <c r="G55" i="26"/>
  <c r="D55" i="26"/>
  <c r="E55" i="26" s="1"/>
  <c r="B55" i="26"/>
  <c r="U54" i="26"/>
  <c r="R54" i="26"/>
  <c r="M54" i="26"/>
  <c r="L54" i="26"/>
  <c r="I54" i="26"/>
  <c r="G54" i="26"/>
  <c r="D54" i="26"/>
  <c r="E54" i="26" s="1"/>
  <c r="B54" i="26"/>
  <c r="U53" i="26"/>
  <c r="R53" i="26"/>
  <c r="M53" i="26"/>
  <c r="L53" i="26"/>
  <c r="I53" i="26"/>
  <c r="G53" i="26"/>
  <c r="D53" i="26"/>
  <c r="E53" i="26" s="1"/>
  <c r="B53" i="26"/>
  <c r="U52" i="26"/>
  <c r="R52" i="26"/>
  <c r="M52" i="26"/>
  <c r="L52" i="26"/>
  <c r="I52" i="26"/>
  <c r="G52" i="26"/>
  <c r="D52" i="26"/>
  <c r="E52" i="26" s="1"/>
  <c r="B52" i="26"/>
  <c r="U51" i="26"/>
  <c r="R51" i="26"/>
  <c r="M51" i="26"/>
  <c r="L51" i="26"/>
  <c r="I51" i="26"/>
  <c r="G51" i="26"/>
  <c r="D51" i="26"/>
  <c r="E51" i="26" s="1"/>
  <c r="B51" i="26"/>
  <c r="U50" i="26"/>
  <c r="R50" i="26"/>
  <c r="M50" i="26"/>
  <c r="L50" i="26"/>
  <c r="I50" i="26"/>
  <c r="G50" i="26"/>
  <c r="D50" i="26"/>
  <c r="E50" i="26" s="1"/>
  <c r="J50" i="26" s="1"/>
  <c r="B50" i="26"/>
  <c r="U49" i="26"/>
  <c r="R49" i="26"/>
  <c r="M49" i="26"/>
  <c r="L49" i="26"/>
  <c r="I49" i="26"/>
  <c r="G49" i="26"/>
  <c r="D49" i="26"/>
  <c r="E49" i="26" s="1"/>
  <c r="B49" i="26"/>
  <c r="U48" i="26"/>
  <c r="R48" i="26"/>
  <c r="M48" i="26"/>
  <c r="L48" i="26"/>
  <c r="I48" i="26"/>
  <c r="G48" i="26"/>
  <c r="D48" i="26"/>
  <c r="E48" i="26" s="1"/>
  <c r="J48" i="26" s="1"/>
  <c r="B48" i="26"/>
  <c r="U47" i="26"/>
  <c r="R47" i="26"/>
  <c r="M47" i="26"/>
  <c r="L47" i="26"/>
  <c r="I47" i="26"/>
  <c r="G47" i="26"/>
  <c r="D47" i="26"/>
  <c r="E47" i="26" s="1"/>
  <c r="B47" i="26"/>
  <c r="U46" i="26"/>
  <c r="R46" i="26"/>
  <c r="M46" i="26"/>
  <c r="L46" i="26"/>
  <c r="I46" i="26"/>
  <c r="G46" i="26"/>
  <c r="D46" i="26"/>
  <c r="E46" i="26" s="1"/>
  <c r="B46" i="26"/>
  <c r="U45" i="26"/>
  <c r="R45" i="26"/>
  <c r="M45" i="26"/>
  <c r="L45" i="26"/>
  <c r="I45" i="26"/>
  <c r="G45" i="26"/>
  <c r="D45" i="26"/>
  <c r="E45" i="26" s="1"/>
  <c r="J45" i="26" s="1"/>
  <c r="B45" i="26"/>
  <c r="U44" i="26"/>
  <c r="R44" i="26"/>
  <c r="M44" i="26"/>
  <c r="L44" i="26"/>
  <c r="I44" i="26"/>
  <c r="G44" i="26"/>
  <c r="D44" i="26"/>
  <c r="E44" i="26" s="1"/>
  <c r="J44" i="26" s="1"/>
  <c r="B44" i="26"/>
  <c r="U43" i="26"/>
  <c r="R43" i="26"/>
  <c r="M43" i="26"/>
  <c r="L43" i="26"/>
  <c r="I43" i="26"/>
  <c r="G43" i="26"/>
  <c r="D43" i="26"/>
  <c r="E43" i="26" s="1"/>
  <c r="B43" i="26"/>
  <c r="U42" i="26"/>
  <c r="R42" i="26"/>
  <c r="M42" i="26"/>
  <c r="L42" i="26"/>
  <c r="I42" i="26"/>
  <c r="G42" i="26"/>
  <c r="D42" i="26"/>
  <c r="E42" i="26" s="1"/>
  <c r="B42" i="26"/>
  <c r="U41" i="26"/>
  <c r="R41" i="26"/>
  <c r="M41" i="26"/>
  <c r="L41" i="26"/>
  <c r="V41" i="26" s="1"/>
  <c r="I41" i="26"/>
  <c r="G41" i="26"/>
  <c r="D41" i="26"/>
  <c r="E41" i="26" s="1"/>
  <c r="B41" i="26"/>
  <c r="U40" i="26"/>
  <c r="R40" i="26"/>
  <c r="M40" i="26"/>
  <c r="L40" i="26"/>
  <c r="I40" i="26"/>
  <c r="G40" i="26"/>
  <c r="D40" i="26"/>
  <c r="E40" i="26" s="1"/>
  <c r="B40" i="26"/>
  <c r="U39" i="26"/>
  <c r="R39" i="26"/>
  <c r="M39" i="26"/>
  <c r="L39" i="26"/>
  <c r="I39" i="26"/>
  <c r="G39" i="26"/>
  <c r="D39" i="26"/>
  <c r="E39" i="26" s="1"/>
  <c r="B39" i="26"/>
  <c r="U38" i="26"/>
  <c r="R38" i="26"/>
  <c r="M38" i="26"/>
  <c r="L38" i="26"/>
  <c r="I38" i="26"/>
  <c r="G38" i="26"/>
  <c r="D38" i="26"/>
  <c r="E38" i="26" s="1"/>
  <c r="J38" i="26" s="1"/>
  <c r="B38" i="26"/>
  <c r="U37" i="26"/>
  <c r="R37" i="26"/>
  <c r="M37" i="26"/>
  <c r="L37" i="26"/>
  <c r="I37" i="26"/>
  <c r="G37" i="26"/>
  <c r="D37" i="26"/>
  <c r="E37" i="26" s="1"/>
  <c r="B37" i="26"/>
  <c r="U36" i="26"/>
  <c r="R36" i="26"/>
  <c r="M36" i="26"/>
  <c r="L36" i="26"/>
  <c r="J36" i="26"/>
  <c r="I36" i="26"/>
  <c r="G36" i="26"/>
  <c r="D36" i="26"/>
  <c r="E36" i="26" s="1"/>
  <c r="B36" i="26"/>
  <c r="U35" i="26"/>
  <c r="R35" i="26"/>
  <c r="M35" i="26"/>
  <c r="L35" i="26"/>
  <c r="I35" i="26"/>
  <c r="G35" i="26"/>
  <c r="D35" i="26"/>
  <c r="E35" i="26" s="1"/>
  <c r="B35" i="26"/>
  <c r="U34" i="26"/>
  <c r="R34" i="26"/>
  <c r="M34" i="26"/>
  <c r="L34" i="26"/>
  <c r="I34" i="26"/>
  <c r="G34" i="26"/>
  <c r="D34" i="26"/>
  <c r="E34" i="26" s="1"/>
  <c r="B34" i="26"/>
  <c r="U33" i="26"/>
  <c r="R33" i="26"/>
  <c r="M33" i="26"/>
  <c r="L33" i="26"/>
  <c r="I33" i="26"/>
  <c r="G33" i="26"/>
  <c r="D33" i="26"/>
  <c r="E33" i="26" s="1"/>
  <c r="B33" i="26"/>
  <c r="U32" i="26"/>
  <c r="R32" i="26"/>
  <c r="M32" i="26"/>
  <c r="L32" i="26"/>
  <c r="V32" i="26" s="1"/>
  <c r="I32" i="26"/>
  <c r="G32" i="26"/>
  <c r="D32" i="26"/>
  <c r="E32" i="26" s="1"/>
  <c r="J32" i="26" s="1"/>
  <c r="B32" i="26"/>
  <c r="U31" i="26"/>
  <c r="R31" i="26"/>
  <c r="M31" i="26"/>
  <c r="L31" i="26"/>
  <c r="V31" i="26" s="1"/>
  <c r="I31" i="26"/>
  <c r="G31" i="26"/>
  <c r="D31" i="26"/>
  <c r="E31" i="26" s="1"/>
  <c r="B31" i="26"/>
  <c r="U30" i="26"/>
  <c r="R30" i="26"/>
  <c r="M30" i="26"/>
  <c r="L30" i="26"/>
  <c r="I30" i="26"/>
  <c r="G30" i="26"/>
  <c r="D30" i="26"/>
  <c r="E30" i="26" s="1"/>
  <c r="B30" i="26"/>
  <c r="U29" i="26"/>
  <c r="R29" i="26"/>
  <c r="M29" i="26"/>
  <c r="L29" i="26"/>
  <c r="I29" i="26"/>
  <c r="G29" i="26"/>
  <c r="E29" i="26"/>
  <c r="D29" i="26"/>
  <c r="B29" i="26"/>
  <c r="U28" i="26"/>
  <c r="R28" i="26"/>
  <c r="M28" i="26"/>
  <c r="L28" i="26"/>
  <c r="I28" i="26"/>
  <c r="G28" i="26"/>
  <c r="D28" i="26"/>
  <c r="E28" i="26" s="1"/>
  <c r="B28" i="26"/>
  <c r="U27" i="26"/>
  <c r="R27" i="26"/>
  <c r="M27" i="26"/>
  <c r="L27" i="26"/>
  <c r="I27" i="26"/>
  <c r="G27" i="26"/>
  <c r="D27" i="26"/>
  <c r="E27" i="26" s="1"/>
  <c r="B27" i="26"/>
  <c r="U26" i="26"/>
  <c r="R26" i="26"/>
  <c r="M26" i="26"/>
  <c r="L26" i="26"/>
  <c r="I26" i="26"/>
  <c r="G26" i="26"/>
  <c r="D26" i="26"/>
  <c r="E26" i="26" s="1"/>
  <c r="B26" i="26"/>
  <c r="U25" i="26"/>
  <c r="R25" i="26"/>
  <c r="M25" i="26"/>
  <c r="L25" i="26"/>
  <c r="I25" i="26"/>
  <c r="G25" i="26"/>
  <c r="D25" i="26"/>
  <c r="E25" i="26" s="1"/>
  <c r="B25" i="26"/>
  <c r="U24" i="26"/>
  <c r="R24" i="26"/>
  <c r="M24" i="26"/>
  <c r="L24" i="26"/>
  <c r="I24" i="26"/>
  <c r="G24" i="26"/>
  <c r="D24" i="26"/>
  <c r="E24" i="26" s="1"/>
  <c r="B24" i="26"/>
  <c r="U23" i="26"/>
  <c r="R23" i="26"/>
  <c r="M23" i="26"/>
  <c r="L23" i="26"/>
  <c r="I23" i="26"/>
  <c r="G23" i="26"/>
  <c r="D23" i="26"/>
  <c r="E23" i="26" s="1"/>
  <c r="B23" i="26"/>
  <c r="U22" i="26"/>
  <c r="R22" i="26"/>
  <c r="M22" i="26"/>
  <c r="L22" i="26"/>
  <c r="I22" i="26"/>
  <c r="J22" i="26" s="1"/>
  <c r="G22" i="26"/>
  <c r="D22" i="26"/>
  <c r="E22" i="26" s="1"/>
  <c r="B22" i="26"/>
  <c r="U21" i="26"/>
  <c r="R21" i="26"/>
  <c r="M21" i="26"/>
  <c r="L21" i="26"/>
  <c r="I21" i="26"/>
  <c r="G21" i="26"/>
  <c r="D21" i="26"/>
  <c r="E21" i="26" s="1"/>
  <c r="B21" i="26"/>
  <c r="U20" i="26"/>
  <c r="R20" i="26"/>
  <c r="M20" i="26"/>
  <c r="L20" i="26"/>
  <c r="I20" i="26"/>
  <c r="G20" i="26"/>
  <c r="D20" i="26"/>
  <c r="E20" i="26" s="1"/>
  <c r="B20" i="26"/>
  <c r="U19" i="26"/>
  <c r="R19" i="26"/>
  <c r="M19" i="26"/>
  <c r="L19" i="26"/>
  <c r="I19" i="26"/>
  <c r="G19" i="26"/>
  <c r="D19" i="26"/>
  <c r="E19" i="26" s="1"/>
  <c r="B19" i="26"/>
  <c r="U18" i="26"/>
  <c r="R18" i="26"/>
  <c r="M18" i="26"/>
  <c r="L18" i="26"/>
  <c r="I18" i="26"/>
  <c r="G18" i="26"/>
  <c r="D18" i="26"/>
  <c r="E18" i="26" s="1"/>
  <c r="B18" i="26"/>
  <c r="U17" i="26"/>
  <c r="R17" i="26"/>
  <c r="M17" i="26"/>
  <c r="L17" i="26"/>
  <c r="I17" i="26"/>
  <c r="G17" i="26"/>
  <c r="D17" i="26"/>
  <c r="E17" i="26" s="1"/>
  <c r="B17" i="26"/>
  <c r="U16" i="26"/>
  <c r="R16" i="26"/>
  <c r="M16" i="26"/>
  <c r="L16" i="26"/>
  <c r="I16" i="26"/>
  <c r="G16" i="26"/>
  <c r="D16" i="26"/>
  <c r="E16" i="26" s="1"/>
  <c r="B16" i="26"/>
  <c r="U15" i="26"/>
  <c r="R15" i="26"/>
  <c r="M15" i="26"/>
  <c r="L15" i="26"/>
  <c r="I15" i="26"/>
  <c r="G15" i="26"/>
  <c r="D15" i="26"/>
  <c r="E15" i="26" s="1"/>
  <c r="B15" i="26"/>
  <c r="U14" i="26"/>
  <c r="R14" i="26"/>
  <c r="M14" i="26"/>
  <c r="L14" i="26"/>
  <c r="I14" i="26"/>
  <c r="G14" i="26"/>
  <c r="D14" i="26"/>
  <c r="E14" i="26" s="1"/>
  <c r="J14" i="26" s="1"/>
  <c r="B14" i="26"/>
  <c r="U13" i="26"/>
  <c r="R13" i="26"/>
  <c r="M13" i="26"/>
  <c r="L13" i="26"/>
  <c r="I13" i="26"/>
  <c r="G13" i="26"/>
  <c r="D13" i="26"/>
  <c r="E13" i="26" s="1"/>
  <c r="B13" i="26"/>
  <c r="U12" i="26"/>
  <c r="R12" i="26"/>
  <c r="M12" i="26"/>
  <c r="L12" i="26"/>
  <c r="I12" i="26"/>
  <c r="G12" i="26"/>
  <c r="D12" i="26"/>
  <c r="E12" i="26" s="1"/>
  <c r="B12" i="26"/>
  <c r="U11" i="26"/>
  <c r="R11" i="26"/>
  <c r="M11" i="26"/>
  <c r="L11" i="26"/>
  <c r="I11" i="26"/>
  <c r="G11" i="26"/>
  <c r="D11" i="26"/>
  <c r="E11" i="26" s="1"/>
  <c r="B11" i="26"/>
  <c r="U10" i="26"/>
  <c r="R10" i="26"/>
  <c r="M10" i="26"/>
  <c r="L10" i="26"/>
  <c r="I10" i="26"/>
  <c r="G10" i="26"/>
  <c r="D10" i="26"/>
  <c r="E10" i="26" s="1"/>
  <c r="J10" i="26" s="1"/>
  <c r="B10" i="26"/>
  <c r="U9" i="26"/>
  <c r="R9" i="26"/>
  <c r="M9" i="26"/>
  <c r="L9" i="26"/>
  <c r="I9" i="26"/>
  <c r="G9" i="26"/>
  <c r="D9" i="26"/>
  <c r="E9" i="26" s="1"/>
  <c r="B9" i="26"/>
  <c r="U8" i="26"/>
  <c r="R8" i="26"/>
  <c r="M8" i="26"/>
  <c r="L8" i="26"/>
  <c r="V8" i="26" s="1"/>
  <c r="I8" i="26"/>
  <c r="G8" i="26"/>
  <c r="D8" i="26"/>
  <c r="E8" i="26" s="1"/>
  <c r="B8" i="26"/>
  <c r="U7" i="26"/>
  <c r="R7" i="26"/>
  <c r="M7" i="26"/>
  <c r="L7" i="26"/>
  <c r="I7" i="26"/>
  <c r="G7" i="26"/>
  <c r="D7" i="26"/>
  <c r="E7" i="26" s="1"/>
  <c r="B7" i="26"/>
  <c r="U6" i="26"/>
  <c r="R6" i="26"/>
  <c r="M6" i="26"/>
  <c r="L6" i="26"/>
  <c r="I6" i="26"/>
  <c r="G6" i="26"/>
  <c r="D6" i="26"/>
  <c r="E6" i="26" s="1"/>
  <c r="B6" i="26"/>
  <c r="U5" i="26"/>
  <c r="R5" i="26"/>
  <c r="M5" i="26"/>
  <c r="L5" i="26"/>
  <c r="I5" i="26"/>
  <c r="G5" i="26"/>
  <c r="D5" i="26"/>
  <c r="E5" i="26" s="1"/>
  <c r="B5" i="26"/>
  <c r="U4" i="26"/>
  <c r="R4" i="26"/>
  <c r="M4" i="26"/>
  <c r="L4" i="26"/>
  <c r="V4" i="26" s="1"/>
  <c r="I4" i="26"/>
  <c r="G4" i="26"/>
  <c r="D4" i="26"/>
  <c r="E4" i="26" s="1"/>
  <c r="B4" i="26"/>
  <c r="U3" i="26"/>
  <c r="R3" i="26"/>
  <c r="M3" i="26"/>
  <c r="L3" i="26"/>
  <c r="I3" i="26"/>
  <c r="G3" i="26"/>
  <c r="D3" i="26"/>
  <c r="E3" i="26" s="1"/>
  <c r="B3" i="26"/>
  <c r="U2" i="26"/>
  <c r="R2" i="26"/>
  <c r="M2" i="26"/>
  <c r="L2" i="26"/>
  <c r="I2" i="26"/>
  <c r="G2" i="26"/>
  <c r="D2" i="26"/>
  <c r="E2" i="26" s="1"/>
  <c r="B2" i="26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S33" i="25"/>
  <c r="S34" i="25"/>
  <c r="S35" i="25"/>
  <c r="S36" i="25"/>
  <c r="S37" i="25"/>
  <c r="S38" i="25"/>
  <c r="S39" i="25"/>
  <c r="S40" i="25"/>
  <c r="S41" i="25"/>
  <c r="S42" i="25"/>
  <c r="S43" i="25"/>
  <c r="S44" i="25"/>
  <c r="S45" i="25"/>
  <c r="S46" i="25"/>
  <c r="S47" i="25"/>
  <c r="S48" i="25"/>
  <c r="S49" i="25"/>
  <c r="S50" i="25"/>
  <c r="S51" i="25"/>
  <c r="S52" i="25"/>
  <c r="S53" i="25"/>
  <c r="S54" i="25"/>
  <c r="S55" i="25"/>
  <c r="S56" i="25"/>
  <c r="S57" i="25"/>
  <c r="S58" i="25"/>
  <c r="S59" i="25"/>
  <c r="S60" i="25"/>
  <c r="S61" i="25"/>
  <c r="S62" i="25"/>
  <c r="S2" i="25"/>
  <c r="V63" i="26" l="1"/>
  <c r="J12" i="26"/>
  <c r="J24" i="26"/>
  <c r="J29" i="26"/>
  <c r="J5" i="26"/>
  <c r="N5" i="26" s="1"/>
  <c r="J21" i="26"/>
  <c r="J15" i="26"/>
  <c r="J17" i="26"/>
  <c r="V17" i="26"/>
  <c r="J53" i="26"/>
  <c r="N53" i="26" s="1"/>
  <c r="J3" i="26"/>
  <c r="N3" i="26" s="1"/>
  <c r="J23" i="26"/>
  <c r="N23" i="26" s="1"/>
  <c r="J26" i="26"/>
  <c r="J33" i="26"/>
  <c r="V40" i="26"/>
  <c r="J46" i="26"/>
  <c r="V56" i="26"/>
  <c r="V57" i="26"/>
  <c r="V60" i="26"/>
  <c r="N66" i="26"/>
  <c r="N63" i="26"/>
  <c r="N45" i="26"/>
  <c r="N21" i="26"/>
  <c r="J34" i="26"/>
  <c r="N34" i="26" s="1"/>
  <c r="J41" i="26"/>
  <c r="V20" i="26"/>
  <c r="J2" i="26"/>
  <c r="N2" i="26" s="1"/>
  <c r="V43" i="26"/>
  <c r="J39" i="26"/>
  <c r="N39" i="26" s="1"/>
  <c r="J58" i="26"/>
  <c r="N65" i="26"/>
  <c r="N64" i="26"/>
  <c r="V50" i="26"/>
  <c r="V33" i="26"/>
  <c r="V49" i="26"/>
  <c r="V59" i="26"/>
  <c r="N50" i="26"/>
  <c r="V42" i="26"/>
  <c r="V9" i="26"/>
  <c r="V26" i="26"/>
  <c r="V35" i="26"/>
  <c r="V18" i="26"/>
  <c r="V16" i="26"/>
  <c r="V66" i="26"/>
  <c r="V7" i="26"/>
  <c r="V44" i="26"/>
  <c r="V53" i="26"/>
  <c r="V52" i="26"/>
  <c r="V19" i="26"/>
  <c r="V29" i="26"/>
  <c r="V5" i="26"/>
  <c r="V55" i="26"/>
  <c r="V61" i="26"/>
  <c r="V64" i="26"/>
  <c r="V65" i="26"/>
  <c r="V25" i="26"/>
  <c r="N26" i="26"/>
  <c r="N33" i="26"/>
  <c r="V6" i="26"/>
  <c r="V14" i="26"/>
  <c r="V23" i="26"/>
  <c r="V13" i="26"/>
  <c r="V38" i="26"/>
  <c r="V47" i="26"/>
  <c r="V11" i="26"/>
  <c r="V21" i="26"/>
  <c r="V30" i="26"/>
  <c r="V54" i="26"/>
  <c r="N14" i="26"/>
  <c r="V37" i="26"/>
  <c r="V2" i="26"/>
  <c r="W2" i="26" s="1"/>
  <c r="X2" i="26" s="1"/>
  <c r="Y2" i="26" s="1"/>
  <c r="V45" i="26"/>
  <c r="V28" i="26"/>
  <c r="N38" i="26"/>
  <c r="V62" i="26"/>
  <c r="J13" i="26"/>
  <c r="N13" i="26" s="1"/>
  <c r="V36" i="26"/>
  <c r="N36" i="26"/>
  <c r="J49" i="26"/>
  <c r="N49" i="26" s="1"/>
  <c r="V34" i="26"/>
  <c r="V10" i="26"/>
  <c r="N10" i="26"/>
  <c r="N32" i="26"/>
  <c r="J47" i="26"/>
  <c r="N47" i="26" s="1"/>
  <c r="V48" i="26"/>
  <c r="N48" i="26"/>
  <c r="J59" i="26"/>
  <c r="N59" i="26" s="1"/>
  <c r="J8" i="26"/>
  <c r="N8" i="26" s="1"/>
  <c r="J27" i="26"/>
  <c r="N27" i="26" s="1"/>
  <c r="J11" i="26"/>
  <c r="N11" i="26" s="1"/>
  <c r="J37" i="26"/>
  <c r="N37" i="26" s="1"/>
  <c r="J51" i="26"/>
  <c r="N51" i="26" s="1"/>
  <c r="J35" i="26"/>
  <c r="N35" i="26" s="1"/>
  <c r="V12" i="26"/>
  <c r="N12" i="26"/>
  <c r="J25" i="26"/>
  <c r="N25" i="26" s="1"/>
  <c r="V46" i="26"/>
  <c r="N46" i="26"/>
  <c r="V58" i="26"/>
  <c r="N58" i="26"/>
  <c r="V3" i="26"/>
  <c r="V24" i="26"/>
  <c r="N24" i="26"/>
  <c r="N44" i="26"/>
  <c r="N56" i="26"/>
  <c r="J20" i="26"/>
  <c r="N20" i="26" s="1"/>
  <c r="V22" i="26"/>
  <c r="N22" i="26"/>
  <c r="J61" i="26"/>
  <c r="N61" i="26" s="1"/>
  <c r="V15" i="26"/>
  <c r="N15" i="26"/>
  <c r="J6" i="26"/>
  <c r="N6" i="26" s="1"/>
  <c r="V27" i="26"/>
  <c r="J28" i="26"/>
  <c r="N28" i="26" s="1"/>
  <c r="V39" i="26"/>
  <c r="J18" i="26"/>
  <c r="N18" i="26"/>
  <c r="J19" i="26"/>
  <c r="N19" i="26" s="1"/>
  <c r="J30" i="26"/>
  <c r="J42" i="26"/>
  <c r="N42" i="26" s="1"/>
  <c r="J54" i="26"/>
  <c r="N54" i="26" s="1"/>
  <c r="N17" i="26"/>
  <c r="N30" i="26"/>
  <c r="J31" i="26"/>
  <c r="N31" i="26" s="1"/>
  <c r="J43" i="26"/>
  <c r="N43" i="26" s="1"/>
  <c r="J55" i="26"/>
  <c r="N55" i="26" s="1"/>
  <c r="J4" i="26"/>
  <c r="N4" i="26" s="1"/>
  <c r="J16" i="26"/>
  <c r="N16" i="26" s="1"/>
  <c r="J40" i="26"/>
  <c r="N40" i="26" s="1"/>
  <c r="V51" i="26"/>
  <c r="J52" i="26"/>
  <c r="N52" i="26" s="1"/>
  <c r="N60" i="26"/>
  <c r="J7" i="26"/>
  <c r="N7" i="26"/>
  <c r="J9" i="26"/>
  <c r="N9" i="26" s="1"/>
  <c r="N29" i="26"/>
  <c r="N41" i="26"/>
  <c r="U62" i="25"/>
  <c r="R62" i="25"/>
  <c r="M62" i="25"/>
  <c r="I62" i="25"/>
  <c r="G62" i="25"/>
  <c r="D62" i="25"/>
  <c r="E62" i="25" s="1"/>
  <c r="B62" i="25"/>
  <c r="U61" i="25"/>
  <c r="R61" i="25"/>
  <c r="M61" i="25"/>
  <c r="I61" i="25"/>
  <c r="J61" i="25" s="1"/>
  <c r="G61" i="25"/>
  <c r="D61" i="25"/>
  <c r="E61" i="25" s="1"/>
  <c r="B61" i="25"/>
  <c r="U60" i="25"/>
  <c r="R60" i="25"/>
  <c r="M60" i="25"/>
  <c r="I60" i="25"/>
  <c r="G60" i="25"/>
  <c r="D60" i="25"/>
  <c r="E60" i="25" s="1"/>
  <c r="B60" i="25"/>
  <c r="U59" i="25"/>
  <c r="R59" i="25"/>
  <c r="M59" i="25"/>
  <c r="I59" i="25"/>
  <c r="G59" i="25"/>
  <c r="D59" i="25"/>
  <c r="E59" i="25" s="1"/>
  <c r="B59" i="25"/>
  <c r="U58" i="25"/>
  <c r="R58" i="25"/>
  <c r="M58" i="25"/>
  <c r="I58" i="25"/>
  <c r="G58" i="25"/>
  <c r="D58" i="25"/>
  <c r="E58" i="25" s="1"/>
  <c r="B58" i="25"/>
  <c r="U57" i="25"/>
  <c r="R57" i="25"/>
  <c r="M57" i="25"/>
  <c r="I57" i="25"/>
  <c r="G57" i="25"/>
  <c r="D57" i="25"/>
  <c r="E57" i="25" s="1"/>
  <c r="B57" i="25"/>
  <c r="U56" i="25"/>
  <c r="R56" i="25"/>
  <c r="M56" i="25"/>
  <c r="I56" i="25"/>
  <c r="G56" i="25"/>
  <c r="D56" i="25"/>
  <c r="E56" i="25" s="1"/>
  <c r="B56" i="25"/>
  <c r="U55" i="25"/>
  <c r="R55" i="25"/>
  <c r="M55" i="25"/>
  <c r="I55" i="25"/>
  <c r="G55" i="25"/>
  <c r="D55" i="25"/>
  <c r="E55" i="25" s="1"/>
  <c r="B55" i="25"/>
  <c r="U54" i="25"/>
  <c r="R54" i="25"/>
  <c r="M54" i="25"/>
  <c r="I54" i="25"/>
  <c r="G54" i="25"/>
  <c r="D54" i="25"/>
  <c r="E54" i="25" s="1"/>
  <c r="J54" i="25" s="1"/>
  <c r="B54" i="25"/>
  <c r="U53" i="25"/>
  <c r="R53" i="25"/>
  <c r="M53" i="25"/>
  <c r="I53" i="25"/>
  <c r="G53" i="25"/>
  <c r="D53" i="25"/>
  <c r="E53" i="25" s="1"/>
  <c r="B53" i="25"/>
  <c r="U52" i="25"/>
  <c r="R52" i="25"/>
  <c r="M52" i="25"/>
  <c r="J52" i="25"/>
  <c r="I52" i="25"/>
  <c r="G52" i="25"/>
  <c r="D52" i="25"/>
  <c r="E52" i="25" s="1"/>
  <c r="B52" i="25"/>
  <c r="U51" i="25"/>
  <c r="R51" i="25"/>
  <c r="M51" i="25"/>
  <c r="I51" i="25"/>
  <c r="G51" i="25"/>
  <c r="D51" i="25"/>
  <c r="E51" i="25" s="1"/>
  <c r="J51" i="25" s="1"/>
  <c r="B51" i="25"/>
  <c r="U50" i="25"/>
  <c r="R50" i="25"/>
  <c r="M50" i="25"/>
  <c r="I50" i="25"/>
  <c r="G50" i="25"/>
  <c r="D50" i="25"/>
  <c r="E50" i="25" s="1"/>
  <c r="B50" i="25"/>
  <c r="U49" i="25"/>
  <c r="R49" i="25"/>
  <c r="M49" i="25"/>
  <c r="I49" i="25"/>
  <c r="G49" i="25"/>
  <c r="D49" i="25"/>
  <c r="E49" i="25" s="1"/>
  <c r="B49" i="25"/>
  <c r="U48" i="25"/>
  <c r="R48" i="25"/>
  <c r="M48" i="25"/>
  <c r="I48" i="25"/>
  <c r="J48" i="25" s="1"/>
  <c r="G48" i="25"/>
  <c r="D48" i="25"/>
  <c r="E48" i="25" s="1"/>
  <c r="B48" i="25"/>
  <c r="U47" i="25"/>
  <c r="R47" i="25"/>
  <c r="M47" i="25"/>
  <c r="I47" i="25"/>
  <c r="G47" i="25"/>
  <c r="D47" i="25"/>
  <c r="E47" i="25" s="1"/>
  <c r="B47" i="25"/>
  <c r="U46" i="25"/>
  <c r="R46" i="25"/>
  <c r="M46" i="25"/>
  <c r="I46" i="25"/>
  <c r="G46" i="25"/>
  <c r="D46" i="25"/>
  <c r="E46" i="25" s="1"/>
  <c r="B46" i="25"/>
  <c r="U45" i="25"/>
  <c r="R45" i="25"/>
  <c r="M45" i="25"/>
  <c r="I45" i="25"/>
  <c r="G45" i="25"/>
  <c r="D45" i="25"/>
  <c r="E45" i="25" s="1"/>
  <c r="B45" i="25"/>
  <c r="U44" i="25"/>
  <c r="R44" i="25"/>
  <c r="M44" i="25"/>
  <c r="I44" i="25"/>
  <c r="G44" i="25"/>
  <c r="D44" i="25"/>
  <c r="E44" i="25" s="1"/>
  <c r="B44" i="25"/>
  <c r="U43" i="25"/>
  <c r="R43" i="25"/>
  <c r="M43" i="25"/>
  <c r="I43" i="25"/>
  <c r="G43" i="25"/>
  <c r="D43" i="25"/>
  <c r="E43" i="25" s="1"/>
  <c r="B43" i="25"/>
  <c r="U42" i="25"/>
  <c r="R42" i="25"/>
  <c r="M42" i="25"/>
  <c r="I42" i="25"/>
  <c r="G42" i="25"/>
  <c r="E42" i="25"/>
  <c r="D42" i="25"/>
  <c r="B42" i="25"/>
  <c r="U41" i="25"/>
  <c r="R41" i="25"/>
  <c r="M41" i="25"/>
  <c r="I41" i="25"/>
  <c r="G41" i="25"/>
  <c r="D41" i="25"/>
  <c r="E41" i="25" s="1"/>
  <c r="B41" i="25"/>
  <c r="U40" i="25"/>
  <c r="R40" i="25"/>
  <c r="M40" i="25"/>
  <c r="I40" i="25"/>
  <c r="G40" i="25"/>
  <c r="D40" i="25"/>
  <c r="E40" i="25" s="1"/>
  <c r="B40" i="25"/>
  <c r="U39" i="25"/>
  <c r="R39" i="25"/>
  <c r="M39" i="25"/>
  <c r="I39" i="25"/>
  <c r="G39" i="25"/>
  <c r="D39" i="25"/>
  <c r="E39" i="25" s="1"/>
  <c r="B39" i="25"/>
  <c r="U38" i="25"/>
  <c r="R38" i="25"/>
  <c r="M38" i="25"/>
  <c r="I38" i="25"/>
  <c r="G38" i="25"/>
  <c r="D38" i="25"/>
  <c r="E38" i="25" s="1"/>
  <c r="B38" i="25"/>
  <c r="U37" i="25"/>
  <c r="R37" i="25"/>
  <c r="M37" i="25"/>
  <c r="I37" i="25"/>
  <c r="G37" i="25"/>
  <c r="D37" i="25"/>
  <c r="E37" i="25" s="1"/>
  <c r="B37" i="25"/>
  <c r="U36" i="25"/>
  <c r="R36" i="25"/>
  <c r="M36" i="25"/>
  <c r="I36" i="25"/>
  <c r="G36" i="25"/>
  <c r="D36" i="25"/>
  <c r="E36" i="25" s="1"/>
  <c r="B36" i="25"/>
  <c r="U35" i="25"/>
  <c r="R35" i="25"/>
  <c r="M35" i="25"/>
  <c r="I35" i="25"/>
  <c r="G35" i="25"/>
  <c r="D35" i="25"/>
  <c r="E35" i="25" s="1"/>
  <c r="B35" i="25"/>
  <c r="U34" i="25"/>
  <c r="R34" i="25"/>
  <c r="M34" i="25"/>
  <c r="I34" i="25"/>
  <c r="G34" i="25"/>
  <c r="D34" i="25"/>
  <c r="E34" i="25" s="1"/>
  <c r="B34" i="25"/>
  <c r="U33" i="25"/>
  <c r="R33" i="25"/>
  <c r="M33" i="25"/>
  <c r="I33" i="25"/>
  <c r="G33" i="25"/>
  <c r="D33" i="25"/>
  <c r="E33" i="25" s="1"/>
  <c r="B33" i="25"/>
  <c r="U32" i="25"/>
  <c r="R32" i="25"/>
  <c r="M32" i="25"/>
  <c r="I32" i="25"/>
  <c r="G32" i="25"/>
  <c r="D32" i="25"/>
  <c r="E32" i="25" s="1"/>
  <c r="J32" i="25" s="1"/>
  <c r="B32" i="25"/>
  <c r="U31" i="25"/>
  <c r="R31" i="25"/>
  <c r="M31" i="25"/>
  <c r="I31" i="25"/>
  <c r="G31" i="25"/>
  <c r="D31" i="25"/>
  <c r="E31" i="25" s="1"/>
  <c r="B31" i="25"/>
  <c r="U30" i="25"/>
  <c r="R30" i="25"/>
  <c r="M30" i="25"/>
  <c r="I30" i="25"/>
  <c r="G30" i="25"/>
  <c r="D30" i="25"/>
  <c r="E30" i="25" s="1"/>
  <c r="B30" i="25"/>
  <c r="U29" i="25"/>
  <c r="R29" i="25"/>
  <c r="M29" i="25"/>
  <c r="I29" i="25"/>
  <c r="G29" i="25"/>
  <c r="D29" i="25"/>
  <c r="E29" i="25" s="1"/>
  <c r="B29" i="25"/>
  <c r="U28" i="25"/>
  <c r="R28" i="25"/>
  <c r="M28" i="25"/>
  <c r="I28" i="25"/>
  <c r="G28" i="25"/>
  <c r="D28" i="25"/>
  <c r="E28" i="25" s="1"/>
  <c r="B28" i="25"/>
  <c r="U27" i="25"/>
  <c r="R27" i="25"/>
  <c r="M27" i="25"/>
  <c r="I27" i="25"/>
  <c r="G27" i="25"/>
  <c r="D27" i="25"/>
  <c r="E27" i="25" s="1"/>
  <c r="B27" i="25"/>
  <c r="U26" i="25"/>
  <c r="R26" i="25"/>
  <c r="M26" i="25"/>
  <c r="I26" i="25"/>
  <c r="G26" i="25"/>
  <c r="D26" i="25"/>
  <c r="E26" i="25" s="1"/>
  <c r="B26" i="25"/>
  <c r="U25" i="25"/>
  <c r="R25" i="25"/>
  <c r="M25" i="25"/>
  <c r="I25" i="25"/>
  <c r="G25" i="25"/>
  <c r="D25" i="25"/>
  <c r="E25" i="25" s="1"/>
  <c r="B25" i="25"/>
  <c r="U24" i="25"/>
  <c r="R24" i="25"/>
  <c r="M24" i="25"/>
  <c r="I24" i="25"/>
  <c r="G24" i="25"/>
  <c r="D24" i="25"/>
  <c r="E24" i="25" s="1"/>
  <c r="B24" i="25"/>
  <c r="U23" i="25"/>
  <c r="R23" i="25"/>
  <c r="M23" i="25"/>
  <c r="I23" i="25"/>
  <c r="G23" i="25"/>
  <c r="D23" i="25"/>
  <c r="E23" i="25" s="1"/>
  <c r="J23" i="25" s="1"/>
  <c r="B23" i="25"/>
  <c r="U22" i="25"/>
  <c r="R22" i="25"/>
  <c r="M22" i="25"/>
  <c r="I22" i="25"/>
  <c r="G22" i="25"/>
  <c r="D22" i="25"/>
  <c r="E22" i="25" s="1"/>
  <c r="B22" i="25"/>
  <c r="U21" i="25"/>
  <c r="R21" i="25"/>
  <c r="M21" i="25"/>
  <c r="I21" i="25"/>
  <c r="G21" i="25"/>
  <c r="D21" i="25"/>
  <c r="E21" i="25" s="1"/>
  <c r="B21" i="25"/>
  <c r="U20" i="25"/>
  <c r="R20" i="25"/>
  <c r="M20" i="25"/>
  <c r="I20" i="25"/>
  <c r="G20" i="25"/>
  <c r="D20" i="25"/>
  <c r="E20" i="25" s="1"/>
  <c r="B20" i="25"/>
  <c r="U19" i="25"/>
  <c r="R19" i="25"/>
  <c r="M19" i="25"/>
  <c r="I19" i="25"/>
  <c r="G19" i="25"/>
  <c r="D19" i="25"/>
  <c r="E19" i="25" s="1"/>
  <c r="B19" i="25"/>
  <c r="U18" i="25"/>
  <c r="R18" i="25"/>
  <c r="M18" i="25"/>
  <c r="I18" i="25"/>
  <c r="G18" i="25"/>
  <c r="D18" i="25"/>
  <c r="E18" i="25" s="1"/>
  <c r="B18" i="25"/>
  <c r="U17" i="25"/>
  <c r="R17" i="25"/>
  <c r="M17" i="25"/>
  <c r="I17" i="25"/>
  <c r="G17" i="25"/>
  <c r="D17" i="25"/>
  <c r="E17" i="25" s="1"/>
  <c r="B17" i="25"/>
  <c r="U16" i="25"/>
  <c r="R16" i="25"/>
  <c r="M16" i="25"/>
  <c r="I16" i="25"/>
  <c r="G16" i="25"/>
  <c r="D16" i="25"/>
  <c r="E16" i="25" s="1"/>
  <c r="B16" i="25"/>
  <c r="U15" i="25"/>
  <c r="R15" i="25"/>
  <c r="M15" i="25"/>
  <c r="I15" i="25"/>
  <c r="G15" i="25"/>
  <c r="D15" i="25"/>
  <c r="E15" i="25" s="1"/>
  <c r="B15" i="25"/>
  <c r="U14" i="25"/>
  <c r="R14" i="25"/>
  <c r="M14" i="25"/>
  <c r="I14" i="25"/>
  <c r="G14" i="25"/>
  <c r="D14" i="25"/>
  <c r="E14" i="25" s="1"/>
  <c r="B14" i="25"/>
  <c r="U13" i="25"/>
  <c r="R13" i="25"/>
  <c r="M13" i="25"/>
  <c r="I13" i="25"/>
  <c r="G13" i="25"/>
  <c r="D13" i="25"/>
  <c r="E13" i="25" s="1"/>
  <c r="B13" i="25"/>
  <c r="U12" i="25"/>
  <c r="R12" i="25"/>
  <c r="M12" i="25"/>
  <c r="I12" i="25"/>
  <c r="G12" i="25"/>
  <c r="D12" i="25"/>
  <c r="E12" i="25" s="1"/>
  <c r="J12" i="25" s="1"/>
  <c r="B12" i="25"/>
  <c r="U11" i="25"/>
  <c r="R11" i="25"/>
  <c r="M11" i="25"/>
  <c r="I11" i="25"/>
  <c r="G11" i="25"/>
  <c r="D11" i="25"/>
  <c r="E11" i="25" s="1"/>
  <c r="B11" i="25"/>
  <c r="U10" i="25"/>
  <c r="R10" i="25"/>
  <c r="M10" i="25"/>
  <c r="I10" i="25"/>
  <c r="G10" i="25"/>
  <c r="D10" i="25"/>
  <c r="E10" i="25" s="1"/>
  <c r="B10" i="25"/>
  <c r="U9" i="25"/>
  <c r="R9" i="25"/>
  <c r="M9" i="25"/>
  <c r="I9" i="25"/>
  <c r="G9" i="25"/>
  <c r="E9" i="25"/>
  <c r="D9" i="25"/>
  <c r="B9" i="25"/>
  <c r="U8" i="25"/>
  <c r="R8" i="25"/>
  <c r="M8" i="25"/>
  <c r="I8" i="25"/>
  <c r="G8" i="25"/>
  <c r="D8" i="25"/>
  <c r="E8" i="25" s="1"/>
  <c r="B8" i="25"/>
  <c r="U7" i="25"/>
  <c r="R7" i="25"/>
  <c r="M7" i="25"/>
  <c r="I7" i="25"/>
  <c r="G7" i="25"/>
  <c r="D7" i="25"/>
  <c r="E7" i="25" s="1"/>
  <c r="J7" i="25" s="1"/>
  <c r="B7" i="25"/>
  <c r="U6" i="25"/>
  <c r="R6" i="25"/>
  <c r="M6" i="25"/>
  <c r="I6" i="25"/>
  <c r="G6" i="25"/>
  <c r="D6" i="25"/>
  <c r="E6" i="25" s="1"/>
  <c r="B6" i="25"/>
  <c r="U5" i="25"/>
  <c r="R5" i="25"/>
  <c r="M5" i="25"/>
  <c r="I5" i="25"/>
  <c r="G5" i="25"/>
  <c r="D5" i="25"/>
  <c r="E5" i="25" s="1"/>
  <c r="B5" i="25"/>
  <c r="U4" i="25"/>
  <c r="R4" i="25"/>
  <c r="M4" i="25"/>
  <c r="I4" i="25"/>
  <c r="G4" i="25"/>
  <c r="D4" i="25"/>
  <c r="E4" i="25" s="1"/>
  <c r="B4" i="25"/>
  <c r="U3" i="25"/>
  <c r="R3" i="25"/>
  <c r="M3" i="25"/>
  <c r="I3" i="25"/>
  <c r="G3" i="25"/>
  <c r="D3" i="25"/>
  <c r="E3" i="25" s="1"/>
  <c r="B3" i="25"/>
  <c r="U2" i="25"/>
  <c r="R2" i="25"/>
  <c r="M2" i="25"/>
  <c r="L2" i="25"/>
  <c r="I2" i="25"/>
  <c r="G2" i="25"/>
  <c r="D2" i="25"/>
  <c r="E2" i="25" s="1"/>
  <c r="B2" i="25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47" i="24"/>
  <c r="S48" i="24"/>
  <c r="S49" i="24"/>
  <c r="S50" i="24"/>
  <c r="S51" i="24"/>
  <c r="S52" i="24"/>
  <c r="S53" i="24"/>
  <c r="S54" i="24"/>
  <c r="S55" i="24"/>
  <c r="S56" i="24"/>
  <c r="S57" i="24"/>
  <c r="S58" i="24"/>
  <c r="S59" i="24"/>
  <c r="S60" i="24"/>
  <c r="S61" i="24"/>
  <c r="S62" i="24"/>
  <c r="S63" i="24"/>
  <c r="S64" i="24"/>
  <c r="S65" i="24"/>
  <c r="S66" i="24"/>
  <c r="S67" i="24"/>
  <c r="S68" i="24"/>
  <c r="S69" i="24"/>
  <c r="S70" i="24"/>
  <c r="S71" i="24"/>
  <c r="S72" i="24"/>
  <c r="S73" i="24"/>
  <c r="S74" i="24"/>
  <c r="S75" i="24"/>
  <c r="S76" i="24"/>
  <c r="S77" i="24"/>
  <c r="S78" i="24"/>
  <c r="S79" i="24"/>
  <c r="S80" i="24"/>
  <c r="S81" i="24"/>
  <c r="S82" i="24"/>
  <c r="S83" i="24"/>
  <c r="S84" i="24"/>
  <c r="S85" i="24"/>
  <c r="S86" i="24"/>
  <c r="S87" i="24"/>
  <c r="S2" i="24"/>
  <c r="J42" i="25" l="1"/>
  <c r="J3" i="25"/>
  <c r="J6" i="25"/>
  <c r="J15" i="25"/>
  <c r="J24" i="25"/>
  <c r="J30" i="25"/>
  <c r="J4" i="25"/>
  <c r="V2" i="25"/>
  <c r="J57" i="25"/>
  <c r="J21" i="25"/>
  <c r="J27" i="25"/>
  <c r="J28" i="25"/>
  <c r="J20" i="25"/>
  <c r="J35" i="25"/>
  <c r="J55" i="25"/>
  <c r="J2" i="25"/>
  <c r="N2" i="25" s="1"/>
  <c r="J26" i="25"/>
  <c r="J36" i="25"/>
  <c r="J11" i="25"/>
  <c r="J18" i="25"/>
  <c r="J45" i="25"/>
  <c r="J62" i="25"/>
  <c r="J17" i="25"/>
  <c r="J9" i="25"/>
  <c r="J16" i="25"/>
  <c r="J60" i="25"/>
  <c r="J5" i="25"/>
  <c r="J29" i="25"/>
  <c r="J59" i="25"/>
  <c r="J14" i="25"/>
  <c r="J39" i="25"/>
  <c r="J31" i="25"/>
  <c r="J8" i="25"/>
  <c r="J34" i="25"/>
  <c r="J46" i="25"/>
  <c r="J50" i="25"/>
  <c r="J43" i="25"/>
  <c r="J33" i="25"/>
  <c r="J44" i="25"/>
  <c r="J19" i="25"/>
  <c r="J47" i="25"/>
  <c r="J53" i="25"/>
  <c r="J38" i="25"/>
  <c r="J40" i="25"/>
  <c r="J25" i="25"/>
  <c r="J41" i="25"/>
  <c r="J13" i="25"/>
  <c r="J56" i="25"/>
  <c r="J22" i="25"/>
  <c r="J10" i="25"/>
  <c r="J49" i="25"/>
  <c r="J58" i="25"/>
  <c r="J37" i="25"/>
  <c r="M87" i="24"/>
  <c r="L87" i="24"/>
  <c r="I87" i="24"/>
  <c r="G87" i="24"/>
  <c r="D87" i="24"/>
  <c r="E87" i="24" s="1"/>
  <c r="B87" i="24"/>
  <c r="M86" i="24"/>
  <c r="L86" i="24"/>
  <c r="I86" i="24"/>
  <c r="G86" i="24"/>
  <c r="D86" i="24"/>
  <c r="E86" i="24" s="1"/>
  <c r="B86" i="24"/>
  <c r="M85" i="24"/>
  <c r="L85" i="24"/>
  <c r="I85" i="24"/>
  <c r="G85" i="24"/>
  <c r="D85" i="24"/>
  <c r="E85" i="24" s="1"/>
  <c r="B85" i="24"/>
  <c r="M84" i="24"/>
  <c r="L84" i="24"/>
  <c r="I84" i="24"/>
  <c r="G84" i="24"/>
  <c r="D84" i="24"/>
  <c r="E84" i="24" s="1"/>
  <c r="B84" i="24"/>
  <c r="M83" i="24"/>
  <c r="L83" i="24"/>
  <c r="I83" i="24"/>
  <c r="G83" i="24"/>
  <c r="D83" i="24"/>
  <c r="E83" i="24" s="1"/>
  <c r="J83" i="24" s="1"/>
  <c r="B83" i="24"/>
  <c r="M82" i="24"/>
  <c r="L82" i="24"/>
  <c r="I82" i="24"/>
  <c r="G82" i="24"/>
  <c r="D82" i="24"/>
  <c r="E82" i="24" s="1"/>
  <c r="B82" i="24"/>
  <c r="M81" i="24"/>
  <c r="L81" i="24"/>
  <c r="I81" i="24"/>
  <c r="J81" i="24" s="1"/>
  <c r="G81" i="24"/>
  <c r="E81" i="24"/>
  <c r="D81" i="24"/>
  <c r="B81" i="24"/>
  <c r="M80" i="24"/>
  <c r="L80" i="24"/>
  <c r="I80" i="24"/>
  <c r="G80" i="24"/>
  <c r="D80" i="24"/>
  <c r="E80" i="24" s="1"/>
  <c r="B80" i="24"/>
  <c r="M79" i="24"/>
  <c r="L79" i="24"/>
  <c r="I79" i="24"/>
  <c r="G79" i="24"/>
  <c r="D79" i="24"/>
  <c r="E79" i="24" s="1"/>
  <c r="B79" i="24"/>
  <c r="M78" i="24"/>
  <c r="L78" i="24"/>
  <c r="I78" i="24"/>
  <c r="G78" i="24"/>
  <c r="D78" i="24"/>
  <c r="E78" i="24" s="1"/>
  <c r="J78" i="24" s="1"/>
  <c r="B78" i="24"/>
  <c r="M77" i="24"/>
  <c r="L77" i="24"/>
  <c r="I77" i="24"/>
  <c r="G77" i="24"/>
  <c r="D77" i="24"/>
  <c r="E77" i="24" s="1"/>
  <c r="B77" i="24"/>
  <c r="M76" i="24"/>
  <c r="L76" i="24"/>
  <c r="I76" i="24"/>
  <c r="G76" i="24"/>
  <c r="D76" i="24"/>
  <c r="E76" i="24" s="1"/>
  <c r="B76" i="24"/>
  <c r="M75" i="24"/>
  <c r="L75" i="24"/>
  <c r="I75" i="24"/>
  <c r="G75" i="24"/>
  <c r="D75" i="24"/>
  <c r="E75" i="24" s="1"/>
  <c r="B75" i="24"/>
  <c r="M74" i="24"/>
  <c r="L74" i="24"/>
  <c r="I74" i="24"/>
  <c r="G74" i="24"/>
  <c r="D74" i="24"/>
  <c r="E74" i="24" s="1"/>
  <c r="B74" i="24"/>
  <c r="M73" i="24"/>
  <c r="L73" i="24"/>
  <c r="I73" i="24"/>
  <c r="G73" i="24"/>
  <c r="D73" i="24"/>
  <c r="E73" i="24" s="1"/>
  <c r="B73" i="24"/>
  <c r="M72" i="24"/>
  <c r="L72" i="24"/>
  <c r="I72" i="24"/>
  <c r="G72" i="24"/>
  <c r="D72" i="24"/>
  <c r="E72" i="24" s="1"/>
  <c r="B72" i="24"/>
  <c r="M71" i="24"/>
  <c r="L71" i="24"/>
  <c r="I71" i="24"/>
  <c r="G71" i="24"/>
  <c r="D71" i="24"/>
  <c r="E71" i="24" s="1"/>
  <c r="J71" i="24" s="1"/>
  <c r="B71" i="24"/>
  <c r="M70" i="24"/>
  <c r="L70" i="24"/>
  <c r="I70" i="24"/>
  <c r="G70" i="24"/>
  <c r="D70" i="24"/>
  <c r="E70" i="24" s="1"/>
  <c r="J70" i="24" s="1"/>
  <c r="B70" i="24"/>
  <c r="M69" i="24"/>
  <c r="L69" i="24"/>
  <c r="I69" i="24"/>
  <c r="G69" i="24"/>
  <c r="D69" i="24"/>
  <c r="E69" i="24" s="1"/>
  <c r="B69" i="24"/>
  <c r="M68" i="24"/>
  <c r="L68" i="24"/>
  <c r="I68" i="24"/>
  <c r="G68" i="24"/>
  <c r="D68" i="24"/>
  <c r="E68" i="24" s="1"/>
  <c r="B68" i="24"/>
  <c r="M67" i="24"/>
  <c r="L67" i="24"/>
  <c r="I67" i="24"/>
  <c r="G67" i="24"/>
  <c r="D67" i="24"/>
  <c r="E67" i="24" s="1"/>
  <c r="B67" i="24"/>
  <c r="M66" i="24"/>
  <c r="L66" i="24"/>
  <c r="I66" i="24"/>
  <c r="G66" i="24"/>
  <c r="D66" i="24"/>
  <c r="E66" i="24" s="1"/>
  <c r="B66" i="24"/>
  <c r="M65" i="24"/>
  <c r="L65" i="24"/>
  <c r="I65" i="24"/>
  <c r="G65" i="24"/>
  <c r="D65" i="24"/>
  <c r="E65" i="24" s="1"/>
  <c r="B65" i="24"/>
  <c r="M64" i="24"/>
  <c r="L64" i="24"/>
  <c r="I64" i="24"/>
  <c r="G64" i="24"/>
  <c r="D64" i="24"/>
  <c r="E64" i="24" s="1"/>
  <c r="J64" i="24" s="1"/>
  <c r="B64" i="24"/>
  <c r="M63" i="24"/>
  <c r="L63" i="24"/>
  <c r="I63" i="24"/>
  <c r="G63" i="24"/>
  <c r="D63" i="24"/>
  <c r="E63" i="24" s="1"/>
  <c r="B63" i="24"/>
  <c r="M62" i="24"/>
  <c r="L62" i="24"/>
  <c r="I62" i="24"/>
  <c r="G62" i="24"/>
  <c r="D62" i="24"/>
  <c r="E62" i="24" s="1"/>
  <c r="B62" i="24"/>
  <c r="M61" i="24"/>
  <c r="L61" i="24"/>
  <c r="I61" i="24"/>
  <c r="G61" i="24"/>
  <c r="D61" i="24"/>
  <c r="E61" i="24" s="1"/>
  <c r="J61" i="24" s="1"/>
  <c r="B61" i="24"/>
  <c r="M60" i="24"/>
  <c r="L60" i="24"/>
  <c r="I60" i="24"/>
  <c r="G60" i="24"/>
  <c r="D60" i="24"/>
  <c r="E60" i="24" s="1"/>
  <c r="J60" i="24" s="1"/>
  <c r="B60" i="24"/>
  <c r="M59" i="24"/>
  <c r="L59" i="24"/>
  <c r="I59" i="24"/>
  <c r="G59" i="24"/>
  <c r="D59" i="24"/>
  <c r="E59" i="24" s="1"/>
  <c r="J59" i="24" s="1"/>
  <c r="B59" i="24"/>
  <c r="M58" i="24"/>
  <c r="L58" i="24"/>
  <c r="I58" i="24"/>
  <c r="G58" i="24"/>
  <c r="D58" i="24"/>
  <c r="E58" i="24" s="1"/>
  <c r="B58" i="24"/>
  <c r="M57" i="24"/>
  <c r="L57" i="24"/>
  <c r="I57" i="24"/>
  <c r="G57" i="24"/>
  <c r="D57" i="24"/>
  <c r="E57" i="24" s="1"/>
  <c r="B57" i="24"/>
  <c r="M56" i="24"/>
  <c r="L56" i="24"/>
  <c r="I56" i="24"/>
  <c r="G56" i="24"/>
  <c r="D56" i="24"/>
  <c r="E56" i="24" s="1"/>
  <c r="B56" i="24"/>
  <c r="M55" i="24"/>
  <c r="L55" i="24"/>
  <c r="I55" i="24"/>
  <c r="G55" i="24"/>
  <c r="D55" i="24"/>
  <c r="E55" i="24" s="1"/>
  <c r="B55" i="24"/>
  <c r="M54" i="24"/>
  <c r="L54" i="24"/>
  <c r="I54" i="24"/>
  <c r="G54" i="24"/>
  <c r="D54" i="24"/>
  <c r="E54" i="24" s="1"/>
  <c r="J54" i="24" s="1"/>
  <c r="B54" i="24"/>
  <c r="M53" i="24"/>
  <c r="L53" i="24"/>
  <c r="I53" i="24"/>
  <c r="G53" i="24"/>
  <c r="D53" i="24"/>
  <c r="E53" i="24" s="1"/>
  <c r="B53" i="24"/>
  <c r="M52" i="24"/>
  <c r="L52" i="24"/>
  <c r="I52" i="24"/>
  <c r="G52" i="24"/>
  <c r="D52" i="24"/>
  <c r="E52" i="24" s="1"/>
  <c r="B52" i="24"/>
  <c r="M51" i="24"/>
  <c r="L51" i="24"/>
  <c r="I51" i="24"/>
  <c r="J51" i="24" s="1"/>
  <c r="G51" i="24"/>
  <c r="E51" i="24"/>
  <c r="D51" i="24"/>
  <c r="B51" i="24"/>
  <c r="M50" i="24"/>
  <c r="L50" i="24"/>
  <c r="I50" i="24"/>
  <c r="G50" i="24"/>
  <c r="D50" i="24"/>
  <c r="E50" i="24" s="1"/>
  <c r="B50" i="24"/>
  <c r="M49" i="24"/>
  <c r="L49" i="24"/>
  <c r="I49" i="24"/>
  <c r="G49" i="24"/>
  <c r="E49" i="24"/>
  <c r="D49" i="24"/>
  <c r="B49" i="24"/>
  <c r="M48" i="24"/>
  <c r="L48" i="24"/>
  <c r="I48" i="24"/>
  <c r="G48" i="24"/>
  <c r="D48" i="24"/>
  <c r="E48" i="24" s="1"/>
  <c r="J48" i="24" s="1"/>
  <c r="B48" i="24"/>
  <c r="M47" i="24"/>
  <c r="L47" i="24"/>
  <c r="I47" i="24"/>
  <c r="G47" i="24"/>
  <c r="D47" i="24"/>
  <c r="E47" i="24" s="1"/>
  <c r="J47" i="24" s="1"/>
  <c r="B47" i="24"/>
  <c r="M46" i="24"/>
  <c r="L46" i="24"/>
  <c r="I46" i="24"/>
  <c r="G46" i="24"/>
  <c r="D46" i="24"/>
  <c r="E46" i="24" s="1"/>
  <c r="J46" i="24" s="1"/>
  <c r="B46" i="24"/>
  <c r="M45" i="24"/>
  <c r="L45" i="24"/>
  <c r="I45" i="24"/>
  <c r="G45" i="24"/>
  <c r="D45" i="24"/>
  <c r="E45" i="24" s="1"/>
  <c r="B45" i="24"/>
  <c r="M44" i="24"/>
  <c r="L44" i="24"/>
  <c r="I44" i="24"/>
  <c r="G44" i="24"/>
  <c r="D44" i="24"/>
  <c r="E44" i="24" s="1"/>
  <c r="B44" i="24"/>
  <c r="M43" i="24"/>
  <c r="L43" i="24"/>
  <c r="I43" i="24"/>
  <c r="G43" i="24"/>
  <c r="D43" i="24"/>
  <c r="E43" i="24" s="1"/>
  <c r="B43" i="24"/>
  <c r="M42" i="24"/>
  <c r="L42" i="24"/>
  <c r="I42" i="24"/>
  <c r="G42" i="24"/>
  <c r="D42" i="24"/>
  <c r="E42" i="24" s="1"/>
  <c r="B42" i="24"/>
  <c r="M41" i="24"/>
  <c r="L41" i="24"/>
  <c r="I41" i="24"/>
  <c r="G41" i="24"/>
  <c r="D41" i="24"/>
  <c r="E41" i="24" s="1"/>
  <c r="B41" i="24"/>
  <c r="M40" i="24"/>
  <c r="L40" i="24"/>
  <c r="I40" i="24"/>
  <c r="G40" i="24"/>
  <c r="D40" i="24"/>
  <c r="E40" i="24" s="1"/>
  <c r="B40" i="24"/>
  <c r="M39" i="24"/>
  <c r="L39" i="24"/>
  <c r="I39" i="24"/>
  <c r="G39" i="24"/>
  <c r="D39" i="24"/>
  <c r="E39" i="24" s="1"/>
  <c r="B39" i="24"/>
  <c r="M38" i="24"/>
  <c r="L38" i="24"/>
  <c r="I38" i="24"/>
  <c r="J38" i="24" s="1"/>
  <c r="G38" i="24"/>
  <c r="D38" i="24"/>
  <c r="E38" i="24" s="1"/>
  <c r="B38" i="24"/>
  <c r="M37" i="24"/>
  <c r="L37" i="24"/>
  <c r="I37" i="24"/>
  <c r="G37" i="24"/>
  <c r="D37" i="24"/>
  <c r="E37" i="24" s="1"/>
  <c r="B37" i="24"/>
  <c r="M36" i="24"/>
  <c r="L36" i="24"/>
  <c r="I36" i="24"/>
  <c r="G36" i="24"/>
  <c r="D36" i="24"/>
  <c r="E36" i="24" s="1"/>
  <c r="J36" i="24" s="1"/>
  <c r="B36" i="24"/>
  <c r="M35" i="24"/>
  <c r="L35" i="24"/>
  <c r="I35" i="24"/>
  <c r="G35" i="24"/>
  <c r="D35" i="24"/>
  <c r="E35" i="24" s="1"/>
  <c r="B35" i="24"/>
  <c r="M34" i="24"/>
  <c r="L34" i="24"/>
  <c r="I34" i="24"/>
  <c r="G34" i="24"/>
  <c r="D34" i="24"/>
  <c r="E34" i="24" s="1"/>
  <c r="B34" i="24"/>
  <c r="M33" i="24"/>
  <c r="L33" i="24"/>
  <c r="I33" i="24"/>
  <c r="G33" i="24"/>
  <c r="E33" i="24"/>
  <c r="D33" i="24"/>
  <c r="B33" i="24"/>
  <c r="M32" i="24"/>
  <c r="L32" i="24"/>
  <c r="I32" i="24"/>
  <c r="G32" i="24"/>
  <c r="D32" i="24"/>
  <c r="E32" i="24" s="1"/>
  <c r="B32" i="24"/>
  <c r="M31" i="24"/>
  <c r="L31" i="24"/>
  <c r="I31" i="24"/>
  <c r="G31" i="24"/>
  <c r="D31" i="24"/>
  <c r="E31" i="24" s="1"/>
  <c r="B31" i="24"/>
  <c r="M30" i="24"/>
  <c r="L30" i="24"/>
  <c r="I30" i="24"/>
  <c r="G30" i="24"/>
  <c r="D30" i="24"/>
  <c r="E30" i="24" s="1"/>
  <c r="J30" i="24" s="1"/>
  <c r="B30" i="24"/>
  <c r="M29" i="24"/>
  <c r="L29" i="24"/>
  <c r="I29" i="24"/>
  <c r="G29" i="24"/>
  <c r="D29" i="24"/>
  <c r="E29" i="24" s="1"/>
  <c r="B29" i="24"/>
  <c r="M28" i="24"/>
  <c r="L28" i="24"/>
  <c r="I28" i="24"/>
  <c r="J28" i="24" s="1"/>
  <c r="G28" i="24"/>
  <c r="D28" i="24"/>
  <c r="E28" i="24" s="1"/>
  <c r="B28" i="24"/>
  <c r="M27" i="24"/>
  <c r="L27" i="24"/>
  <c r="I27" i="24"/>
  <c r="G27" i="24"/>
  <c r="D27" i="24"/>
  <c r="E27" i="24" s="1"/>
  <c r="B27" i="24"/>
  <c r="M26" i="24"/>
  <c r="L26" i="24"/>
  <c r="I26" i="24"/>
  <c r="G26" i="24"/>
  <c r="D26" i="24"/>
  <c r="E26" i="24" s="1"/>
  <c r="B26" i="24"/>
  <c r="M25" i="24"/>
  <c r="L25" i="24"/>
  <c r="I25" i="24"/>
  <c r="G25" i="24"/>
  <c r="E25" i="24"/>
  <c r="D25" i="24"/>
  <c r="B25" i="24"/>
  <c r="M24" i="24"/>
  <c r="L24" i="24"/>
  <c r="I24" i="24"/>
  <c r="G24" i="24"/>
  <c r="D24" i="24"/>
  <c r="E24" i="24" s="1"/>
  <c r="B24" i="24"/>
  <c r="M23" i="24"/>
  <c r="L23" i="24"/>
  <c r="I23" i="24"/>
  <c r="J23" i="24" s="1"/>
  <c r="G23" i="24"/>
  <c r="D23" i="24"/>
  <c r="E23" i="24" s="1"/>
  <c r="B23" i="24"/>
  <c r="M22" i="24"/>
  <c r="L22" i="24"/>
  <c r="I22" i="24"/>
  <c r="J22" i="24" s="1"/>
  <c r="G22" i="24"/>
  <c r="D22" i="24"/>
  <c r="E22" i="24" s="1"/>
  <c r="B22" i="24"/>
  <c r="M21" i="24"/>
  <c r="L21" i="24"/>
  <c r="I21" i="24"/>
  <c r="G21" i="24"/>
  <c r="D21" i="24"/>
  <c r="E21" i="24" s="1"/>
  <c r="B21" i="24"/>
  <c r="M20" i="24"/>
  <c r="L20" i="24"/>
  <c r="I20" i="24"/>
  <c r="G20" i="24"/>
  <c r="D20" i="24"/>
  <c r="E20" i="24" s="1"/>
  <c r="B20" i="24"/>
  <c r="M19" i="24"/>
  <c r="L19" i="24"/>
  <c r="I19" i="24"/>
  <c r="G19" i="24"/>
  <c r="D19" i="24"/>
  <c r="E19" i="24" s="1"/>
  <c r="B19" i="24"/>
  <c r="M18" i="24"/>
  <c r="L18" i="24"/>
  <c r="I18" i="24"/>
  <c r="G18" i="24"/>
  <c r="D18" i="24"/>
  <c r="E18" i="24" s="1"/>
  <c r="J18" i="24" s="1"/>
  <c r="B18" i="24"/>
  <c r="M17" i="24"/>
  <c r="L17" i="24"/>
  <c r="I17" i="24"/>
  <c r="G17" i="24"/>
  <c r="D17" i="24"/>
  <c r="E17" i="24" s="1"/>
  <c r="B17" i="24"/>
  <c r="M16" i="24"/>
  <c r="L16" i="24"/>
  <c r="I16" i="24"/>
  <c r="J16" i="24" s="1"/>
  <c r="G16" i="24"/>
  <c r="D16" i="24"/>
  <c r="E16" i="24" s="1"/>
  <c r="B16" i="24"/>
  <c r="M15" i="24"/>
  <c r="L15" i="24"/>
  <c r="I15" i="24"/>
  <c r="G15" i="24"/>
  <c r="E15" i="24"/>
  <c r="D15" i="24"/>
  <c r="B15" i="24"/>
  <c r="M14" i="24"/>
  <c r="L14" i="24"/>
  <c r="I14" i="24"/>
  <c r="G14" i="24"/>
  <c r="E14" i="24"/>
  <c r="D14" i="24"/>
  <c r="B14" i="24"/>
  <c r="M13" i="24"/>
  <c r="L13" i="24"/>
  <c r="I13" i="24"/>
  <c r="G13" i="24"/>
  <c r="D13" i="24"/>
  <c r="E13" i="24" s="1"/>
  <c r="B13" i="24"/>
  <c r="M12" i="24"/>
  <c r="L12" i="24"/>
  <c r="I12" i="24"/>
  <c r="G12" i="24"/>
  <c r="D12" i="24"/>
  <c r="E12" i="24" s="1"/>
  <c r="J12" i="24" s="1"/>
  <c r="B12" i="24"/>
  <c r="M11" i="24"/>
  <c r="L11" i="24"/>
  <c r="I11" i="24"/>
  <c r="G11" i="24"/>
  <c r="D11" i="24"/>
  <c r="E11" i="24" s="1"/>
  <c r="J11" i="24" s="1"/>
  <c r="B11" i="24"/>
  <c r="M10" i="24"/>
  <c r="L10" i="24"/>
  <c r="I10" i="24"/>
  <c r="G10" i="24"/>
  <c r="D10" i="24"/>
  <c r="E10" i="24" s="1"/>
  <c r="J10" i="24" s="1"/>
  <c r="B10" i="24"/>
  <c r="M9" i="24"/>
  <c r="L9" i="24"/>
  <c r="I9" i="24"/>
  <c r="G9" i="24"/>
  <c r="D9" i="24"/>
  <c r="E9" i="24" s="1"/>
  <c r="B9" i="24"/>
  <c r="M8" i="24"/>
  <c r="L8" i="24"/>
  <c r="I8" i="24"/>
  <c r="G8" i="24"/>
  <c r="D8" i="24"/>
  <c r="E8" i="24" s="1"/>
  <c r="B8" i="24"/>
  <c r="M7" i="24"/>
  <c r="L7" i="24"/>
  <c r="I7" i="24"/>
  <c r="G7" i="24"/>
  <c r="D7" i="24"/>
  <c r="E7" i="24" s="1"/>
  <c r="B7" i="24"/>
  <c r="M6" i="24"/>
  <c r="L6" i="24"/>
  <c r="I6" i="24"/>
  <c r="G6" i="24"/>
  <c r="D6" i="24"/>
  <c r="E6" i="24" s="1"/>
  <c r="J6" i="24" s="1"/>
  <c r="B6" i="24"/>
  <c r="M5" i="24"/>
  <c r="L5" i="24"/>
  <c r="I5" i="24"/>
  <c r="G5" i="24"/>
  <c r="D5" i="24"/>
  <c r="E5" i="24" s="1"/>
  <c r="B5" i="24"/>
  <c r="M4" i="24"/>
  <c r="L4" i="24"/>
  <c r="I4" i="24"/>
  <c r="G4" i="24"/>
  <c r="D4" i="24"/>
  <c r="E4" i="24" s="1"/>
  <c r="B4" i="24"/>
  <c r="M3" i="24"/>
  <c r="L3" i="24"/>
  <c r="I3" i="24"/>
  <c r="G3" i="24"/>
  <c r="D3" i="24"/>
  <c r="E3" i="24" s="1"/>
  <c r="B3" i="24"/>
  <c r="U2" i="24"/>
  <c r="R2" i="24"/>
  <c r="M2" i="24"/>
  <c r="L2" i="24"/>
  <c r="V2" i="24" s="1"/>
  <c r="I2" i="24"/>
  <c r="J2" i="24" s="1"/>
  <c r="G2" i="24"/>
  <c r="E2" i="24"/>
  <c r="D2" i="24"/>
  <c r="B2" i="24"/>
  <c r="Y72" i="25" l="1"/>
  <c r="X72" i="25"/>
  <c r="N18" i="24"/>
  <c r="N36" i="24"/>
  <c r="N48" i="24"/>
  <c r="N78" i="24"/>
  <c r="N51" i="24"/>
  <c r="N47" i="24"/>
  <c r="Y70" i="26"/>
  <c r="X70" i="26"/>
  <c r="W2" i="25"/>
  <c r="X2" i="25" s="1"/>
  <c r="Y2" i="25" s="1"/>
  <c r="J21" i="24"/>
  <c r="J15" i="24"/>
  <c r="J50" i="24"/>
  <c r="J14" i="24"/>
  <c r="N14" i="24" s="1"/>
  <c r="J33" i="24"/>
  <c r="J49" i="24"/>
  <c r="N49" i="24" s="1"/>
  <c r="J56" i="24"/>
  <c r="N56" i="24" s="1"/>
  <c r="J32" i="24"/>
  <c r="N32" i="24" s="1"/>
  <c r="J63" i="24"/>
  <c r="N63" i="24" s="1"/>
  <c r="N70" i="24"/>
  <c r="J85" i="24"/>
  <c r="N85" i="24" s="1"/>
  <c r="J39" i="24"/>
  <c r="N39" i="24" s="1"/>
  <c r="N30" i="24"/>
  <c r="J29" i="24"/>
  <c r="J35" i="24"/>
  <c r="N35" i="24" s="1"/>
  <c r="J45" i="24"/>
  <c r="N45" i="24" s="1"/>
  <c r="J52" i="24"/>
  <c r="J66" i="24"/>
  <c r="N66" i="24" s="1"/>
  <c r="J82" i="24"/>
  <c r="N82" i="24" s="1"/>
  <c r="J57" i="24"/>
  <c r="J13" i="24"/>
  <c r="J40" i="24"/>
  <c r="J69" i="24"/>
  <c r="J4" i="24"/>
  <c r="N4" i="24" s="1"/>
  <c r="J76" i="24"/>
  <c r="N76" i="24" s="1"/>
  <c r="J58" i="24"/>
  <c r="N58" i="24" s="1"/>
  <c r="J75" i="24"/>
  <c r="N75" i="24" s="1"/>
  <c r="J9" i="24"/>
  <c r="J27" i="24"/>
  <c r="N27" i="24" s="1"/>
  <c r="J34" i="24"/>
  <c r="N34" i="24" s="1"/>
  <c r="J72" i="24"/>
  <c r="N72" i="24" s="1"/>
  <c r="J26" i="24"/>
  <c r="N26" i="24" s="1"/>
  <c r="J42" i="24"/>
  <c r="N42" i="24" s="1"/>
  <c r="J73" i="24"/>
  <c r="N73" i="24" s="1"/>
  <c r="N61" i="24"/>
  <c r="N6" i="24"/>
  <c r="N15" i="24"/>
  <c r="N60" i="24"/>
  <c r="N12" i="24"/>
  <c r="N13" i="24"/>
  <c r="N11" i="24"/>
  <c r="N22" i="24"/>
  <c r="J25" i="24"/>
  <c r="N25" i="24" s="1"/>
  <c r="N33" i="24"/>
  <c r="J3" i="24"/>
  <c r="N3" i="24" s="1"/>
  <c r="J5" i="24"/>
  <c r="N5" i="24" s="1"/>
  <c r="N23" i="24"/>
  <c r="N57" i="24"/>
  <c r="J62" i="24"/>
  <c r="N62" i="24" s="1"/>
  <c r="J65" i="24"/>
  <c r="N65" i="24" s="1"/>
  <c r="J68" i="24"/>
  <c r="N68" i="24" s="1"/>
  <c r="J79" i="24"/>
  <c r="N79" i="24" s="1"/>
  <c r="J84" i="24"/>
  <c r="N84" i="24" s="1"/>
  <c r="N53" i="24"/>
  <c r="N21" i="24"/>
  <c r="J67" i="24"/>
  <c r="N67" i="24" s="1"/>
  <c r="J7" i="24"/>
  <c r="N7" i="24" s="1"/>
  <c r="J37" i="24"/>
  <c r="N37" i="24" s="1"/>
  <c r="J74" i="24"/>
  <c r="N74" i="24" s="1"/>
  <c r="J77" i="24"/>
  <c r="N77" i="24" s="1"/>
  <c r="J80" i="24"/>
  <c r="N80" i="24" s="1"/>
  <c r="J86" i="24"/>
  <c r="N86" i="24" s="1"/>
  <c r="J44" i="24"/>
  <c r="N44" i="24" s="1"/>
  <c r="J17" i="24"/>
  <c r="N17" i="24" s="1"/>
  <c r="N16" i="24"/>
  <c r="J19" i="24"/>
  <c r="N19" i="24" s="1"/>
  <c r="N46" i="24"/>
  <c r="N59" i="24"/>
  <c r="N64" i="24"/>
  <c r="N71" i="24"/>
  <c r="N83" i="24"/>
  <c r="J87" i="24"/>
  <c r="N87" i="24" s="1"/>
  <c r="N10" i="24"/>
  <c r="N52" i="24"/>
  <c r="N54" i="24"/>
  <c r="J8" i="24"/>
  <c r="N8" i="24" s="1"/>
  <c r="N28" i="24"/>
  <c r="N29" i="24"/>
  <c r="J31" i="24"/>
  <c r="N31" i="24" s="1"/>
  <c r="J20" i="24"/>
  <c r="N20" i="24" s="1"/>
  <c r="J41" i="24"/>
  <c r="N41" i="24" s="1"/>
  <c r="N40" i="24"/>
  <c r="J43" i="24"/>
  <c r="N43" i="24" s="1"/>
  <c r="N9" i="24"/>
  <c r="J24" i="24"/>
  <c r="N24" i="24" s="1"/>
  <c r="J53" i="24"/>
  <c r="J55" i="24"/>
  <c r="N55" i="24" s="1"/>
  <c r="N69" i="24"/>
  <c r="N81" i="24"/>
  <c r="N2" i="24"/>
  <c r="N38" i="24"/>
  <c r="N50" i="24"/>
  <c r="W2" i="24" l="1"/>
  <c r="X2" i="24" s="1"/>
  <c r="Y2" i="24" s="1"/>
</calcChain>
</file>

<file path=xl/sharedStrings.xml><?xml version="1.0" encoding="utf-8"?>
<sst xmlns="http://schemas.openxmlformats.org/spreadsheetml/2006/main" count="75" uniqueCount="29">
  <si>
    <t>Sweep gas flow rate Q (std. m3/s)</t>
  </si>
  <si>
    <t>Sweep gas flow rate Ar equivalent (std. ml/min)</t>
  </si>
  <si>
    <t>Sweep gas flow rate N2 equivalent (std. ml/min)</t>
  </si>
  <si>
    <t>Temp of sweep gas for standard condition (DegC)</t>
  </si>
  <si>
    <t>Pressure of sweep gas for standard condition (kPa-a)</t>
  </si>
  <si>
    <t>Time (h)</t>
  </si>
  <si>
    <t>Time (min)</t>
  </si>
  <si>
    <t>mol/s for sweep gas (n)</t>
  </si>
  <si>
    <t>Temp of sweep gas for standard condition, T (K)</t>
  </si>
  <si>
    <t>Pressure of sweep gas for standard condition, P (Pa)</t>
  </si>
  <si>
    <t>Upstream volume total pressure (bar-g)</t>
  </si>
  <si>
    <t>Downstream total pressure (bar-g)</t>
  </si>
  <si>
    <t>Downstream total pressure (Pa)</t>
  </si>
  <si>
    <t>Area of layer, A (m2)</t>
  </si>
  <si>
    <t>Pressure at Ni-salt interface (Pa)</t>
  </si>
  <si>
    <t>Measured permeation flux J (mol/m2-s)</t>
  </si>
  <si>
    <t xml:space="preserve">Measured D2 PPM by GC </t>
  </si>
  <si>
    <t xml:space="preserve">Mole fraction of D2 in Ar (C) </t>
  </si>
  <si>
    <r>
      <t>Thickness of Ni membrane, L</t>
    </r>
    <r>
      <rPr>
        <b/>
        <vertAlign val="subscript"/>
        <sz val="11"/>
        <color theme="1"/>
        <rFont val="Times New Roman"/>
        <family val="1"/>
      </rPr>
      <t>Ni</t>
    </r>
    <r>
      <rPr>
        <b/>
        <sz val="11"/>
        <color theme="1"/>
        <rFont val="Times New Roman"/>
        <family val="1"/>
      </rPr>
      <t xml:space="preserve"> (m)</t>
    </r>
  </si>
  <si>
    <r>
      <t>Avg. 1D Permeability of Ni membrane at 500C for D2 (estimated using H2 permeability and classical theory factor of 1.414) Ø</t>
    </r>
    <r>
      <rPr>
        <b/>
        <sz val="8"/>
        <color theme="1"/>
        <rFont val="Times New Roman"/>
        <family val="1"/>
      </rPr>
      <t xml:space="preserve">Ni </t>
    </r>
    <r>
      <rPr>
        <b/>
        <sz val="11"/>
        <color theme="1"/>
        <rFont val="Times New Roman"/>
        <family val="1"/>
      </rPr>
      <t>(mol/m.s.Pa^0.5)</t>
    </r>
  </si>
  <si>
    <r>
      <t>Upstream volume D2 pressure due to partial Ar displacement through dilution purging P</t>
    </r>
    <r>
      <rPr>
        <b/>
        <vertAlign val="subscript"/>
        <sz val="11"/>
        <color theme="1"/>
        <rFont val="Times New Roman"/>
        <family val="1"/>
      </rPr>
      <t>up</t>
    </r>
    <r>
      <rPr>
        <b/>
        <sz val="11"/>
        <color theme="1"/>
        <rFont val="Times New Roman"/>
        <family val="1"/>
      </rPr>
      <t>(Pa)</t>
    </r>
  </si>
  <si>
    <r>
      <t>Thickness of salt layer at 500C,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</si>
  <si>
    <r>
      <t>Downstream D2 pressure P</t>
    </r>
    <r>
      <rPr>
        <b/>
        <vertAlign val="subscript"/>
        <sz val="11"/>
        <color theme="1"/>
        <rFont val="Times New Roman"/>
        <family val="1"/>
      </rPr>
      <t>down, Ni</t>
    </r>
    <r>
      <rPr>
        <b/>
        <sz val="11"/>
        <color theme="1"/>
        <rFont val="Times New Roman"/>
        <family val="1"/>
      </rPr>
      <t xml:space="preserve"> (Pa)</t>
    </r>
  </si>
  <si>
    <r>
      <t>1D Permeability, Ø</t>
    </r>
    <r>
      <rPr>
        <b/>
        <vertAlign val="subscript"/>
        <sz val="11"/>
        <color theme="1"/>
        <rFont val="Times New Roman"/>
        <family val="1"/>
      </rPr>
      <t>1D</t>
    </r>
    <r>
      <rPr>
        <b/>
        <sz val="11"/>
        <color theme="1"/>
        <rFont val="Times New Roman"/>
        <family val="1"/>
      </rPr>
      <t xml:space="preserve"> = J</t>
    </r>
    <r>
      <rPr>
        <b/>
        <vertAlign val="subscript"/>
        <sz val="11"/>
        <color theme="1"/>
        <rFont val="Times New Roman"/>
        <family val="1"/>
      </rPr>
      <t>eff</t>
    </r>
    <r>
      <rPr>
        <b/>
        <sz val="11"/>
        <color theme="1"/>
        <rFont val="Times New Roman"/>
        <family val="1"/>
      </rPr>
      <t>.L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>/(P</t>
    </r>
    <r>
      <rPr>
        <b/>
        <vertAlign val="subscript"/>
        <sz val="11"/>
        <color theme="1"/>
        <rFont val="Times New Roman"/>
        <family val="1"/>
      </rPr>
      <t>up</t>
    </r>
    <r>
      <rPr>
        <b/>
        <sz val="11"/>
        <color theme="1"/>
        <rFont val="Times New Roman"/>
        <family val="1"/>
      </rPr>
      <t xml:space="preserve"> - P</t>
    </r>
    <r>
      <rPr>
        <b/>
        <vertAlign val="subscript"/>
        <sz val="11"/>
        <color theme="1"/>
        <rFont val="Times New Roman"/>
        <family val="1"/>
      </rPr>
      <t>interface</t>
    </r>
    <r>
      <rPr>
        <b/>
        <sz val="11"/>
        <color theme="1"/>
        <rFont val="Times New Roman"/>
        <family val="1"/>
      </rPr>
      <t>)</t>
    </r>
    <r>
      <rPr>
        <b/>
        <sz val="12"/>
        <color theme="1"/>
        <rFont val="Times New Roman"/>
        <family val="1"/>
      </rPr>
      <t xml:space="preserve"> (mol/m.s.Pa)</t>
    </r>
  </si>
  <si>
    <r>
      <t>1D Permeability, Ø</t>
    </r>
    <r>
      <rPr>
        <b/>
        <vertAlign val="subscript"/>
        <sz val="11"/>
        <color theme="1"/>
        <rFont val="Times New Roman"/>
        <family val="1"/>
      </rPr>
      <t>1D</t>
    </r>
    <r>
      <rPr>
        <b/>
        <sz val="11"/>
        <color theme="1"/>
        <rFont val="Times New Roman"/>
        <family val="1"/>
      </rPr>
      <t xml:space="preserve"> = J</t>
    </r>
    <r>
      <rPr>
        <b/>
        <vertAlign val="subscript"/>
        <sz val="11"/>
        <color theme="1"/>
        <rFont val="Times New Roman"/>
        <family val="1"/>
      </rPr>
      <t>eff</t>
    </r>
    <r>
      <rPr>
        <b/>
        <sz val="11"/>
        <color theme="1"/>
        <rFont val="Times New Roman"/>
        <family val="1"/>
      </rPr>
      <t>.L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>/(P</t>
    </r>
    <r>
      <rPr>
        <b/>
        <vertAlign val="subscript"/>
        <sz val="11"/>
        <color theme="1"/>
        <rFont val="Times New Roman"/>
        <family val="1"/>
      </rPr>
      <t>interface</t>
    </r>
    <r>
      <rPr>
        <b/>
        <sz val="11"/>
        <color theme="1"/>
        <rFont val="Times New Roman"/>
        <family val="1"/>
      </rPr>
      <t xml:space="preserve"> - P</t>
    </r>
    <r>
      <rPr>
        <b/>
        <vertAlign val="subscript"/>
        <sz val="11"/>
        <color theme="1"/>
        <rFont val="Times New Roman"/>
        <family val="1"/>
      </rPr>
      <t>down</t>
    </r>
    <r>
      <rPr>
        <b/>
        <sz val="11"/>
        <color theme="1"/>
        <rFont val="Times New Roman"/>
        <family val="1"/>
      </rPr>
      <t>)</t>
    </r>
    <r>
      <rPr>
        <b/>
        <sz val="12"/>
        <color theme="1"/>
        <rFont val="Times New Roman"/>
        <family val="1"/>
      </rPr>
      <t xml:space="preserve"> (D2/m.s.Pa)</t>
    </r>
  </si>
  <si>
    <r>
      <t>Avg. 1D Permeability of Ni membrane at 600C for D2 (estimated using H2 permeability and classical theory factor of 1.414) Ø</t>
    </r>
    <r>
      <rPr>
        <b/>
        <sz val="8"/>
        <color theme="1"/>
        <rFont val="Times New Roman"/>
        <family val="1"/>
      </rPr>
      <t xml:space="preserve">Ni </t>
    </r>
    <r>
      <rPr>
        <b/>
        <sz val="11"/>
        <color theme="1"/>
        <rFont val="Times New Roman"/>
        <family val="1"/>
      </rPr>
      <t>(mol/m.s.Pa^0.5)</t>
    </r>
  </si>
  <si>
    <r>
      <t>Thickness of salt layer at 600C,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</si>
  <si>
    <r>
      <t>Avg. 1D Permeability of Ni membrane at 700C for D2 (estimated using H2 permeability and classical theory factor of 1.414) Ø</t>
    </r>
    <r>
      <rPr>
        <b/>
        <sz val="8"/>
        <color theme="1"/>
        <rFont val="Times New Roman"/>
        <family val="1"/>
      </rPr>
      <t xml:space="preserve">Ni </t>
    </r>
    <r>
      <rPr>
        <b/>
        <sz val="11"/>
        <color theme="1"/>
        <rFont val="Times New Roman"/>
        <family val="1"/>
      </rPr>
      <t>(mol/m.s.Pa^0.5)</t>
    </r>
  </si>
  <si>
    <r>
      <t>Thickness of salt layer at 700C,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</si>
</sst>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rgb="FF00B05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/>
    </xf>
    <xf numFmtId="11" fontId="4" fillId="2" borderId="1" xfId="0" applyNumberFormat="1" applyFont="1" applyFill="1" applyBorder="1" applyAlignment="1">
      <alignment horizontal="center" vertical="center" wrapText="1"/>
    </xf>
    <xf numFmtId="11" fontId="1" fillId="0" borderId="2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1" fontId="3" fillId="0" borderId="2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1" fontId="1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1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1" fontId="1" fillId="2" borderId="1" xfId="0" applyNumberFormat="1" applyFont="1" applyFill="1" applyBorder="1" applyAlignment="1">
      <alignment horizontal="center"/>
    </xf>
    <xf numFmtId="11" fontId="1" fillId="4" borderId="1" xfId="0" applyNumberFormat="1" applyFont="1" applyFill="1" applyBorder="1" applyAlignment="1">
      <alignment horizontal="center"/>
    </xf>
    <xf numFmtId="11" fontId="9" fillId="2" borderId="1" xfId="0" applyNumberFormat="1" applyFont="1" applyFill="1" applyBorder="1" applyAlignment="1">
      <alignment horizontal="center" vertical="center" wrapText="1"/>
    </xf>
    <xf numFmtId="11" fontId="6" fillId="0" borderId="1" xfId="0" applyNumberFormat="1" applyFont="1" applyBorder="1" applyAlignment="1">
      <alignment horizontal="center"/>
    </xf>
    <xf numFmtId="11" fontId="6" fillId="3" borderId="1" xfId="0" applyNumberFormat="1" applyFont="1" applyFill="1" applyBorder="1" applyAlignment="1">
      <alignment horizontal="center"/>
    </xf>
    <xf numFmtId="11" fontId="6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C5E8-9320-4854-A020-6D087BE04E73}">
  <dimension ref="A1:BX213"/>
  <sheetViews>
    <sheetView topLeftCell="V111" zoomScale="130" zoomScaleNormal="130" workbookViewId="0">
      <selection activeCell="N1" sqref="N1:N1048576"/>
    </sheetView>
  </sheetViews>
  <sheetFormatPr defaultRowHeight="13.8" x14ac:dyDescent="0.25"/>
  <cols>
    <col min="1" max="4" width="22.109375" style="3" customWidth="1"/>
    <col min="5" max="5" width="18.77734375" style="3" customWidth="1"/>
    <col min="6" max="6" width="17.33203125" style="3" customWidth="1"/>
    <col min="7" max="7" width="16.6640625" style="3" customWidth="1"/>
    <col min="8" max="8" width="20.88671875" style="3" customWidth="1"/>
    <col min="9" max="9" width="19.21875" style="3" customWidth="1"/>
    <col min="10" max="10" width="23.109375" style="3" customWidth="1"/>
    <col min="11" max="11" width="13.6640625" style="1" customWidth="1"/>
    <col min="12" max="12" width="20.88671875" style="1" customWidth="1"/>
    <col min="13" max="13" width="27.33203125" style="1" customWidth="1"/>
    <col min="14" max="14" width="20.6640625" style="27" customWidth="1"/>
    <col min="15" max="15" width="20.6640625" style="10" customWidth="1"/>
    <col min="16" max="16" width="38.109375" style="10" customWidth="1"/>
    <col min="17" max="17" width="23.21875" style="10" customWidth="1"/>
    <col min="18" max="18" width="30.88671875" style="12" customWidth="1"/>
    <col min="19" max="19" width="20.6640625" style="10" customWidth="1"/>
    <col min="20" max="22" width="20.6640625" style="12" customWidth="1"/>
    <col min="23" max="23" width="23.77734375" style="12" customWidth="1"/>
    <col min="24" max="24" width="47.33203125" style="12" customWidth="1"/>
    <col min="25" max="25" width="51.6640625" style="12" customWidth="1"/>
    <col min="26" max="16384" width="8.88671875" style="5"/>
  </cols>
  <sheetData>
    <row r="1" spans="1:25" s="18" customFormat="1" ht="53.4" customHeight="1" x14ac:dyDescent="0.3">
      <c r="A1" s="19" t="s">
        <v>6</v>
      </c>
      <c r="B1" s="7" t="s">
        <v>5</v>
      </c>
      <c r="C1" s="19" t="s">
        <v>2</v>
      </c>
      <c r="D1" s="19" t="s">
        <v>1</v>
      </c>
      <c r="E1" s="7" t="s">
        <v>0</v>
      </c>
      <c r="F1" s="19" t="s">
        <v>3</v>
      </c>
      <c r="G1" s="7" t="s">
        <v>8</v>
      </c>
      <c r="H1" s="19" t="s">
        <v>4</v>
      </c>
      <c r="I1" s="7" t="s">
        <v>9</v>
      </c>
      <c r="J1" s="7" t="s">
        <v>7</v>
      </c>
      <c r="K1" s="19" t="s">
        <v>16</v>
      </c>
      <c r="L1" s="7" t="s">
        <v>17</v>
      </c>
      <c r="M1" s="7" t="s">
        <v>13</v>
      </c>
      <c r="N1" s="24" t="s">
        <v>15</v>
      </c>
      <c r="O1" s="9" t="s">
        <v>18</v>
      </c>
      <c r="P1" s="9" t="s">
        <v>19</v>
      </c>
      <c r="Q1" s="20" t="s">
        <v>10</v>
      </c>
      <c r="R1" s="9" t="s">
        <v>20</v>
      </c>
      <c r="S1" s="9" t="s">
        <v>21</v>
      </c>
      <c r="T1" s="9" t="s">
        <v>11</v>
      </c>
      <c r="U1" s="9" t="s">
        <v>12</v>
      </c>
      <c r="V1" s="9" t="s">
        <v>22</v>
      </c>
      <c r="W1" s="9" t="s">
        <v>14</v>
      </c>
      <c r="X1" s="21" t="s">
        <v>23</v>
      </c>
      <c r="Y1" s="21" t="s">
        <v>24</v>
      </c>
    </row>
    <row r="2" spans="1:25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1">
        <v>16.166197183098593</v>
      </c>
      <c r="L2" s="8">
        <f>(K2/1000000)</f>
        <v>1.6166197183098592E-5</v>
      </c>
      <c r="M2" s="1">
        <f>(3.142*3.07*3.07*25.4*25.4)/(4*1000000)</f>
        <v>4.7762865441819992E-3</v>
      </c>
      <c r="N2" s="25">
        <f>(L2*J2)/M2</f>
        <v>6.8116074057511317E-8</v>
      </c>
      <c r="O2" s="8">
        <f>(2.032/1000)</f>
        <v>2.032E-3</v>
      </c>
      <c r="P2" s="8">
        <f>(4.57243434801539E-11/1.414)</f>
        <v>3.2336876577195123E-11</v>
      </c>
      <c r="Q2" s="8">
        <v>0.31</v>
      </c>
      <c r="R2" s="8">
        <f>(1+Q2)*100000*1</f>
        <v>131000</v>
      </c>
      <c r="S2" s="8">
        <f>(5.13985794328043/1000)</f>
        <v>5.1398579432804297E-3</v>
      </c>
      <c r="T2" s="8">
        <v>0.1</v>
      </c>
      <c r="U2" s="8">
        <f>(1+T2)*100000</f>
        <v>110000.00000000001</v>
      </c>
      <c r="V2" s="8">
        <f t="shared" ref="V2:V65" si="1">(L2*U2)</f>
        <v>1.7782816901408454</v>
      </c>
      <c r="W2" s="8">
        <f>((N2*O2/P2) + SQRT(V2))^2</f>
        <v>31.515115135835526</v>
      </c>
      <c r="X2" s="8">
        <f>(N2*S2)/(R2-W2)</f>
        <v>2.673215198430068E-15</v>
      </c>
      <c r="Y2" s="8">
        <f>(X2*6.022E+23)</f>
        <v>1609810192.4945869</v>
      </c>
    </row>
    <row r="3" spans="1:25" x14ac:dyDescent="0.25">
      <c r="A3" s="14">
        <v>3</v>
      </c>
      <c r="B3" s="14">
        <f t="shared" ref="B3:B66" si="2">(A3/60)</f>
        <v>0.05</v>
      </c>
      <c r="C3" s="14">
        <v>20</v>
      </c>
      <c r="D3" s="14">
        <f t="shared" si="0"/>
        <v>29.146000000000001</v>
      </c>
      <c r="E3" s="14">
        <f t="shared" ref="E3:E66" si="3">(D3/(1000000*60))</f>
        <v>4.8576666666666667E-7</v>
      </c>
      <c r="F3" s="14">
        <v>21.1</v>
      </c>
      <c r="G3" s="14">
        <f t="shared" ref="G3:G66" si="4">(273+F3)</f>
        <v>294.10000000000002</v>
      </c>
      <c r="H3" s="14">
        <v>101.3</v>
      </c>
      <c r="I3" s="14">
        <f t="shared" ref="I3:I66" si="5">(H3*1000)</f>
        <v>101300</v>
      </c>
      <c r="J3" s="14">
        <f t="shared" ref="J3:J66" si="6">((I3*E3)/(8.314*G3))</f>
        <v>2.0124824921938581E-5</v>
      </c>
      <c r="K3" s="11">
        <v>9.2647887323943685</v>
      </c>
      <c r="L3" s="17">
        <f t="shared" ref="L3:L66" si="7">(K3/1000000)</f>
        <v>9.2647887323943684E-6</v>
      </c>
      <c r="M3" s="14">
        <f t="shared" ref="M3:M66" si="8">(3.142*3.07*3.07*25.4*25.4)/(4*1000000)</f>
        <v>4.7762865441819992E-3</v>
      </c>
      <c r="N3" s="26">
        <f t="shared" ref="N3:N66" si="9">(L3*J3)/M3</f>
        <v>3.9037073980685615E-8</v>
      </c>
      <c r="O3" s="8">
        <f t="shared" ref="O3:O66" si="10">(2.032/1000)</f>
        <v>2.032E-3</v>
      </c>
      <c r="P3" s="8">
        <f t="shared" ref="P3:P66" si="11">(4.57243434801539E-11/1.414)</f>
        <v>3.2336876577195123E-11</v>
      </c>
      <c r="Q3" s="8">
        <v>0.31</v>
      </c>
      <c r="R3" s="8">
        <f t="shared" ref="R3:R66" si="12">(1+Q3)*100000*1</f>
        <v>131000</v>
      </c>
      <c r="S3" s="8">
        <f t="shared" ref="S3:S66" si="13">(5.13985794328043/1000)</f>
        <v>5.1398579432804297E-3</v>
      </c>
      <c r="T3" s="8">
        <v>0.1</v>
      </c>
      <c r="U3" s="8">
        <f t="shared" ref="U3:U66" si="14">(1+T3)*100000</f>
        <v>110000.00000000001</v>
      </c>
      <c r="V3" s="8">
        <f t="shared" si="1"/>
        <v>1.0191267605633807</v>
      </c>
      <c r="W3" s="8">
        <f t="shared" ref="W3:W66" si="15">((N3*O3/P3) + SQRT(V3))^2</f>
        <v>11.989240509693499</v>
      </c>
      <c r="X3" s="8">
        <f t="shared" ref="X3:X66" si="16">(N3*S3)/(R3-W3)</f>
        <v>1.5317815242683626E-15</v>
      </c>
      <c r="Y3" s="8">
        <f t="shared" ref="Y3:Y66" si="17">(X3*6.022E+23)</f>
        <v>922438833.91440797</v>
      </c>
    </row>
    <row r="4" spans="1:25" x14ac:dyDescent="0.25">
      <c r="A4" s="14">
        <v>6</v>
      </c>
      <c r="B4" s="14">
        <f t="shared" si="2"/>
        <v>0.1</v>
      </c>
      <c r="C4" s="14">
        <v>20</v>
      </c>
      <c r="D4" s="14">
        <f t="shared" si="0"/>
        <v>29.146000000000001</v>
      </c>
      <c r="E4" s="14">
        <f t="shared" si="3"/>
        <v>4.8576666666666667E-7</v>
      </c>
      <c r="F4" s="14">
        <v>21.1</v>
      </c>
      <c r="G4" s="14">
        <f t="shared" si="4"/>
        <v>294.10000000000002</v>
      </c>
      <c r="H4" s="14">
        <v>101.3</v>
      </c>
      <c r="I4" s="14">
        <f t="shared" si="5"/>
        <v>101300</v>
      </c>
      <c r="J4" s="14">
        <f t="shared" si="6"/>
        <v>2.0124824921938581E-5</v>
      </c>
      <c r="K4" s="11">
        <v>10.109859154929579</v>
      </c>
      <c r="L4" s="17">
        <f t="shared" si="7"/>
        <v>1.0109859154929579E-5</v>
      </c>
      <c r="M4" s="14">
        <f t="shared" si="8"/>
        <v>4.7762865441819992E-3</v>
      </c>
      <c r="N4" s="26">
        <f t="shared" si="9"/>
        <v>4.2597767867643863E-8</v>
      </c>
      <c r="O4" s="8">
        <f t="shared" si="10"/>
        <v>2.032E-3</v>
      </c>
      <c r="P4" s="8">
        <f t="shared" si="11"/>
        <v>3.2336876577195123E-11</v>
      </c>
      <c r="Q4" s="8">
        <v>0.31</v>
      </c>
      <c r="R4" s="8">
        <f t="shared" si="12"/>
        <v>131000</v>
      </c>
      <c r="S4" s="8">
        <f t="shared" si="13"/>
        <v>5.1398579432804297E-3</v>
      </c>
      <c r="T4" s="8">
        <v>0.1</v>
      </c>
      <c r="U4" s="8">
        <f t="shared" si="14"/>
        <v>110000.00000000001</v>
      </c>
      <c r="V4" s="8">
        <f t="shared" si="1"/>
        <v>1.1120845070422538</v>
      </c>
      <c r="W4" s="8">
        <f t="shared" si="15"/>
        <v>13.922845450039079</v>
      </c>
      <c r="X4" s="8">
        <f t="shared" si="16"/>
        <v>1.6715247932968561E-15</v>
      </c>
      <c r="Y4" s="8">
        <f t="shared" si="17"/>
        <v>1006592230.5233668</v>
      </c>
    </row>
    <row r="5" spans="1:25" x14ac:dyDescent="0.25">
      <c r="A5" s="14">
        <v>9</v>
      </c>
      <c r="B5" s="14">
        <f t="shared" si="2"/>
        <v>0.15</v>
      </c>
      <c r="C5" s="14">
        <v>20</v>
      </c>
      <c r="D5" s="14">
        <f t="shared" si="0"/>
        <v>29.146000000000001</v>
      </c>
      <c r="E5" s="14">
        <f t="shared" si="3"/>
        <v>4.8576666666666667E-7</v>
      </c>
      <c r="F5" s="14">
        <v>21.1</v>
      </c>
      <c r="G5" s="14">
        <f t="shared" si="4"/>
        <v>294.10000000000002</v>
      </c>
      <c r="H5" s="14">
        <v>101.3</v>
      </c>
      <c r="I5" s="14">
        <f t="shared" si="5"/>
        <v>101300</v>
      </c>
      <c r="J5" s="14">
        <f t="shared" si="6"/>
        <v>2.0124824921938581E-5</v>
      </c>
      <c r="K5" s="11">
        <v>5.4056338028169026</v>
      </c>
      <c r="L5" s="17">
        <f t="shared" si="7"/>
        <v>5.4056338028169023E-6</v>
      </c>
      <c r="M5" s="14">
        <f t="shared" si="8"/>
        <v>4.7762865441819992E-3</v>
      </c>
      <c r="N5" s="26">
        <f t="shared" si="9"/>
        <v>2.2776571896909604E-8</v>
      </c>
      <c r="O5" s="8">
        <f t="shared" si="10"/>
        <v>2.032E-3</v>
      </c>
      <c r="P5" s="8">
        <f t="shared" si="11"/>
        <v>3.2336876577195123E-11</v>
      </c>
      <c r="Q5" s="8">
        <v>0.31</v>
      </c>
      <c r="R5" s="8">
        <f t="shared" si="12"/>
        <v>131000</v>
      </c>
      <c r="S5" s="8">
        <f t="shared" si="13"/>
        <v>5.1398579432804297E-3</v>
      </c>
      <c r="T5" s="8">
        <v>0.1</v>
      </c>
      <c r="U5" s="8">
        <f t="shared" si="14"/>
        <v>110000.00000000001</v>
      </c>
      <c r="V5" s="8">
        <f t="shared" si="1"/>
        <v>0.59461971830985938</v>
      </c>
      <c r="W5" s="8">
        <f t="shared" si="15"/>
        <v>4.8503936573713213</v>
      </c>
      <c r="X5" s="8">
        <f t="shared" si="16"/>
        <v>8.936845702824429E-16</v>
      </c>
      <c r="Y5" s="8">
        <f t="shared" si="17"/>
        <v>538176848.22408712</v>
      </c>
    </row>
    <row r="6" spans="1:25" x14ac:dyDescent="0.25">
      <c r="A6" s="14">
        <v>12</v>
      </c>
      <c r="B6" s="14">
        <f t="shared" si="2"/>
        <v>0.2</v>
      </c>
      <c r="C6" s="14">
        <v>20</v>
      </c>
      <c r="D6" s="14">
        <f t="shared" si="0"/>
        <v>29.146000000000001</v>
      </c>
      <c r="E6" s="14">
        <f t="shared" si="3"/>
        <v>4.8576666666666667E-7</v>
      </c>
      <c r="F6" s="14">
        <v>21.1</v>
      </c>
      <c r="G6" s="14">
        <f t="shared" si="4"/>
        <v>294.10000000000002</v>
      </c>
      <c r="H6" s="14">
        <v>101.3</v>
      </c>
      <c r="I6" s="14">
        <f t="shared" si="5"/>
        <v>101300</v>
      </c>
      <c r="J6" s="14">
        <f t="shared" si="6"/>
        <v>2.0124824921938581E-5</v>
      </c>
      <c r="K6" s="11">
        <v>24.757746478873241</v>
      </c>
      <c r="L6" s="17">
        <f t="shared" si="7"/>
        <v>2.4757746478873242E-5</v>
      </c>
      <c r="M6" s="14">
        <f t="shared" si="8"/>
        <v>4.7762865441819992E-3</v>
      </c>
      <c r="N6" s="26">
        <f t="shared" si="9"/>
        <v>1.0431646190825352E-7</v>
      </c>
      <c r="O6" s="8">
        <f t="shared" si="10"/>
        <v>2.032E-3</v>
      </c>
      <c r="P6" s="8">
        <f t="shared" si="11"/>
        <v>3.2336876577195123E-11</v>
      </c>
      <c r="Q6" s="8">
        <v>0.31</v>
      </c>
      <c r="R6" s="8">
        <f t="shared" si="12"/>
        <v>131000</v>
      </c>
      <c r="S6" s="8">
        <f t="shared" si="13"/>
        <v>5.1398579432804297E-3</v>
      </c>
      <c r="T6" s="8">
        <v>0.1</v>
      </c>
      <c r="U6" s="8">
        <f t="shared" si="14"/>
        <v>110000.00000000001</v>
      </c>
      <c r="V6" s="8">
        <f t="shared" si="1"/>
        <v>2.7233521126760571</v>
      </c>
      <c r="W6" s="8">
        <f t="shared" si="15"/>
        <v>67.327695529341568</v>
      </c>
      <c r="X6" s="8">
        <f t="shared" si="16"/>
        <v>4.0950191110988251E-15</v>
      </c>
      <c r="Y6" s="8">
        <f t="shared" si="17"/>
        <v>2466020508.7037125</v>
      </c>
    </row>
    <row r="7" spans="1:25" x14ac:dyDescent="0.25">
      <c r="A7" s="14">
        <v>15</v>
      </c>
      <c r="B7" s="14">
        <f t="shared" si="2"/>
        <v>0.25</v>
      </c>
      <c r="C7" s="14">
        <v>20</v>
      </c>
      <c r="D7" s="14">
        <f t="shared" si="0"/>
        <v>29.146000000000001</v>
      </c>
      <c r="E7" s="14">
        <f t="shared" si="3"/>
        <v>4.8576666666666667E-7</v>
      </c>
      <c r="F7" s="14">
        <v>21.1</v>
      </c>
      <c r="G7" s="14">
        <f t="shared" si="4"/>
        <v>294.10000000000002</v>
      </c>
      <c r="H7" s="14">
        <v>101.3</v>
      </c>
      <c r="I7" s="14">
        <f t="shared" si="5"/>
        <v>101300</v>
      </c>
      <c r="J7" s="14">
        <f t="shared" si="6"/>
        <v>2.0124824921938581E-5</v>
      </c>
      <c r="K7" s="11">
        <v>10.194366197183099</v>
      </c>
      <c r="L7" s="17">
        <f t="shared" si="7"/>
        <v>1.0194366197183099E-5</v>
      </c>
      <c r="M7" s="14">
        <f t="shared" si="8"/>
        <v>4.7762865441819992E-3</v>
      </c>
      <c r="N7" s="26">
        <f t="shared" si="9"/>
        <v>4.2953837256339678E-8</v>
      </c>
      <c r="O7" s="8">
        <f t="shared" si="10"/>
        <v>2.032E-3</v>
      </c>
      <c r="P7" s="8">
        <f t="shared" si="11"/>
        <v>3.2336876577195123E-11</v>
      </c>
      <c r="Q7" s="8">
        <v>0.31</v>
      </c>
      <c r="R7" s="8">
        <f t="shared" si="12"/>
        <v>131000</v>
      </c>
      <c r="S7" s="8">
        <f t="shared" si="13"/>
        <v>5.1398579432804297E-3</v>
      </c>
      <c r="T7" s="8">
        <v>0.1</v>
      </c>
      <c r="U7" s="8">
        <f t="shared" si="14"/>
        <v>110000.00000000001</v>
      </c>
      <c r="V7" s="8">
        <f t="shared" si="1"/>
        <v>1.121380281690141</v>
      </c>
      <c r="W7" s="8">
        <f t="shared" si="15"/>
        <v>14.12336116001326</v>
      </c>
      <c r="X7" s="8">
        <f t="shared" si="16"/>
        <v>1.6854994391884506E-15</v>
      </c>
      <c r="Y7" s="8">
        <f t="shared" si="17"/>
        <v>1015007762.2792851</v>
      </c>
    </row>
    <row r="8" spans="1:25" x14ac:dyDescent="0.25">
      <c r="A8" s="14">
        <v>18</v>
      </c>
      <c r="B8" s="14">
        <f t="shared" si="2"/>
        <v>0.3</v>
      </c>
      <c r="C8" s="14">
        <v>20</v>
      </c>
      <c r="D8" s="14">
        <f t="shared" si="0"/>
        <v>29.146000000000001</v>
      </c>
      <c r="E8" s="14">
        <f t="shared" si="3"/>
        <v>4.8576666666666667E-7</v>
      </c>
      <c r="F8" s="14">
        <v>21.1</v>
      </c>
      <c r="G8" s="14">
        <f t="shared" si="4"/>
        <v>294.10000000000002</v>
      </c>
      <c r="H8" s="14">
        <v>101.3</v>
      </c>
      <c r="I8" s="14">
        <f t="shared" si="5"/>
        <v>101300</v>
      </c>
      <c r="J8" s="14">
        <f t="shared" si="6"/>
        <v>2.0124824921938581E-5</v>
      </c>
      <c r="K8" s="11">
        <v>5.3492957746478877</v>
      </c>
      <c r="L8" s="17">
        <f t="shared" si="7"/>
        <v>5.3492957746478878E-6</v>
      </c>
      <c r="M8" s="14">
        <f t="shared" si="8"/>
        <v>4.7762865441819992E-3</v>
      </c>
      <c r="N8" s="26">
        <f t="shared" si="9"/>
        <v>2.253919230444572E-8</v>
      </c>
      <c r="O8" s="8">
        <f t="shared" si="10"/>
        <v>2.032E-3</v>
      </c>
      <c r="P8" s="8">
        <f t="shared" si="11"/>
        <v>3.2336876577195123E-11</v>
      </c>
      <c r="Q8" s="8">
        <v>0.31</v>
      </c>
      <c r="R8" s="8">
        <f t="shared" si="12"/>
        <v>131000</v>
      </c>
      <c r="S8" s="8">
        <f t="shared" si="13"/>
        <v>5.1398579432804297E-3</v>
      </c>
      <c r="T8" s="8">
        <v>0.1</v>
      </c>
      <c r="U8" s="8">
        <f t="shared" si="14"/>
        <v>110000.00000000001</v>
      </c>
      <c r="V8" s="8">
        <f t="shared" si="1"/>
        <v>0.58842253521126775</v>
      </c>
      <c r="W8" s="8">
        <f t="shared" si="15"/>
        <v>4.7673032906455557</v>
      </c>
      <c r="X8" s="8">
        <f t="shared" si="16"/>
        <v>8.843699439761415E-16</v>
      </c>
      <c r="Y8" s="8">
        <f t="shared" si="17"/>
        <v>532567580.26243246</v>
      </c>
    </row>
    <row r="9" spans="1:25" x14ac:dyDescent="0.25">
      <c r="A9" s="14">
        <v>21</v>
      </c>
      <c r="B9" s="14">
        <f t="shared" si="2"/>
        <v>0.35</v>
      </c>
      <c r="C9" s="14">
        <v>20</v>
      </c>
      <c r="D9" s="14">
        <f t="shared" si="0"/>
        <v>29.146000000000001</v>
      </c>
      <c r="E9" s="14">
        <f t="shared" si="3"/>
        <v>4.8576666666666667E-7</v>
      </c>
      <c r="F9" s="14">
        <v>21.1</v>
      </c>
      <c r="G9" s="14">
        <f t="shared" si="4"/>
        <v>294.10000000000002</v>
      </c>
      <c r="H9" s="14">
        <v>101.3</v>
      </c>
      <c r="I9" s="14">
        <f t="shared" si="5"/>
        <v>101300</v>
      </c>
      <c r="J9" s="14">
        <f t="shared" si="6"/>
        <v>2.0124824921938581E-5</v>
      </c>
      <c r="K9" s="11">
        <v>5.7154929577464797</v>
      </c>
      <c r="L9" s="17">
        <f t="shared" si="7"/>
        <v>5.7154929577464795E-6</v>
      </c>
      <c r="M9" s="14">
        <f t="shared" si="8"/>
        <v>4.7762865441819992E-3</v>
      </c>
      <c r="N9" s="26">
        <f t="shared" si="9"/>
        <v>2.4082159655460963E-8</v>
      </c>
      <c r="O9" s="8">
        <f t="shared" si="10"/>
        <v>2.032E-3</v>
      </c>
      <c r="P9" s="8">
        <f t="shared" si="11"/>
        <v>3.2336876577195123E-11</v>
      </c>
      <c r="Q9" s="8">
        <v>0.31</v>
      </c>
      <c r="R9" s="8">
        <f t="shared" si="12"/>
        <v>131000</v>
      </c>
      <c r="S9" s="8">
        <f t="shared" si="13"/>
        <v>5.1398579432804297E-3</v>
      </c>
      <c r="T9" s="8">
        <v>0.1</v>
      </c>
      <c r="U9" s="8">
        <f t="shared" si="14"/>
        <v>110000.00000000001</v>
      </c>
      <c r="V9" s="8">
        <f t="shared" si="1"/>
        <v>0.62870422535211279</v>
      </c>
      <c r="W9" s="8">
        <f t="shared" si="15"/>
        <v>5.3185348780198431</v>
      </c>
      <c r="X9" s="8">
        <f t="shared" si="16"/>
        <v>9.4491530657620861E-16</v>
      </c>
      <c r="Y9" s="8">
        <f t="shared" si="17"/>
        <v>569027997.62019289</v>
      </c>
    </row>
    <row r="10" spans="1:25" x14ac:dyDescent="0.25">
      <c r="A10" s="14">
        <v>24</v>
      </c>
      <c r="B10" s="14">
        <f t="shared" si="2"/>
        <v>0.4</v>
      </c>
      <c r="C10" s="14">
        <v>20</v>
      </c>
      <c r="D10" s="14">
        <f t="shared" si="0"/>
        <v>29.146000000000001</v>
      </c>
      <c r="E10" s="14">
        <f t="shared" si="3"/>
        <v>4.8576666666666667E-7</v>
      </c>
      <c r="F10" s="14">
        <v>21.1</v>
      </c>
      <c r="G10" s="14">
        <f t="shared" si="4"/>
        <v>294.10000000000002</v>
      </c>
      <c r="H10" s="14">
        <v>101.3</v>
      </c>
      <c r="I10" s="14">
        <f t="shared" si="5"/>
        <v>101300</v>
      </c>
      <c r="J10" s="14">
        <f t="shared" si="6"/>
        <v>2.0124824921938581E-5</v>
      </c>
      <c r="K10" s="11">
        <v>13.321126760563381</v>
      </c>
      <c r="L10" s="17">
        <f t="shared" si="7"/>
        <v>1.332112676056338E-5</v>
      </c>
      <c r="M10" s="14">
        <f t="shared" si="8"/>
        <v>4.7762865441819992E-3</v>
      </c>
      <c r="N10" s="26">
        <f t="shared" si="9"/>
        <v>5.61284046380852E-8</v>
      </c>
      <c r="O10" s="8">
        <f t="shared" si="10"/>
        <v>2.032E-3</v>
      </c>
      <c r="P10" s="8">
        <f t="shared" si="11"/>
        <v>3.2336876577195123E-11</v>
      </c>
      <c r="Q10" s="8">
        <v>0.31</v>
      </c>
      <c r="R10" s="8">
        <f t="shared" si="12"/>
        <v>131000</v>
      </c>
      <c r="S10" s="8">
        <f t="shared" si="13"/>
        <v>5.1398579432804297E-3</v>
      </c>
      <c r="T10" s="8">
        <v>0.1</v>
      </c>
      <c r="U10" s="8">
        <f t="shared" si="14"/>
        <v>110000.00000000001</v>
      </c>
      <c r="V10" s="8">
        <f t="shared" si="1"/>
        <v>1.4653239436619721</v>
      </c>
      <c r="W10" s="8">
        <f t="shared" si="15"/>
        <v>22.444180929393184</v>
      </c>
      <c r="X10" s="8">
        <f t="shared" si="16"/>
        <v>2.202606581094219E-15</v>
      </c>
      <c r="Y10" s="8">
        <f t="shared" si="17"/>
        <v>1326409683.1349387</v>
      </c>
    </row>
    <row r="11" spans="1:25" x14ac:dyDescent="0.25">
      <c r="A11" s="14">
        <v>27</v>
      </c>
      <c r="B11" s="14">
        <f t="shared" si="2"/>
        <v>0.45</v>
      </c>
      <c r="C11" s="14">
        <v>20</v>
      </c>
      <c r="D11" s="14">
        <f t="shared" si="0"/>
        <v>29.146000000000001</v>
      </c>
      <c r="E11" s="14">
        <f t="shared" si="3"/>
        <v>4.8576666666666667E-7</v>
      </c>
      <c r="F11" s="14">
        <v>21.1</v>
      </c>
      <c r="G11" s="14">
        <f t="shared" si="4"/>
        <v>294.10000000000002</v>
      </c>
      <c r="H11" s="14">
        <v>101.3</v>
      </c>
      <c r="I11" s="14">
        <f t="shared" si="5"/>
        <v>101300</v>
      </c>
      <c r="J11" s="14">
        <f t="shared" si="6"/>
        <v>2.0124824921938581E-5</v>
      </c>
      <c r="K11" s="11">
        <v>10.785915492957749</v>
      </c>
      <c r="L11" s="17">
        <f t="shared" si="7"/>
        <v>1.0785915492957748E-5</v>
      </c>
      <c r="M11" s="14">
        <f t="shared" si="8"/>
        <v>4.7762865441819992E-3</v>
      </c>
      <c r="N11" s="26">
        <f t="shared" si="9"/>
        <v>4.5446322977210462E-8</v>
      </c>
      <c r="O11" s="8">
        <f t="shared" si="10"/>
        <v>2.032E-3</v>
      </c>
      <c r="P11" s="8">
        <f t="shared" si="11"/>
        <v>3.2336876577195123E-11</v>
      </c>
      <c r="Q11" s="8">
        <v>0.31</v>
      </c>
      <c r="R11" s="8">
        <f t="shared" si="12"/>
        <v>131000</v>
      </c>
      <c r="S11" s="8">
        <f t="shared" si="13"/>
        <v>5.1398579432804297E-3</v>
      </c>
      <c r="T11" s="8">
        <v>0.1</v>
      </c>
      <c r="U11" s="8">
        <f t="shared" si="14"/>
        <v>110000.00000000001</v>
      </c>
      <c r="V11" s="8">
        <f t="shared" si="1"/>
        <v>1.1864507042253525</v>
      </c>
      <c r="W11" s="8">
        <f t="shared" si="15"/>
        <v>15.563189074788301</v>
      </c>
      <c r="X11" s="8">
        <f t="shared" si="16"/>
        <v>1.7833236515303315E-15</v>
      </c>
      <c r="Y11" s="8">
        <f t="shared" si="17"/>
        <v>1073917502.9515657</v>
      </c>
    </row>
    <row r="12" spans="1:25" x14ac:dyDescent="0.25">
      <c r="A12" s="14">
        <v>30</v>
      </c>
      <c r="B12" s="14">
        <f t="shared" si="2"/>
        <v>0.5</v>
      </c>
      <c r="C12" s="14">
        <v>20</v>
      </c>
      <c r="D12" s="14">
        <f t="shared" si="0"/>
        <v>29.146000000000001</v>
      </c>
      <c r="E12" s="14">
        <f t="shared" si="3"/>
        <v>4.8576666666666667E-7</v>
      </c>
      <c r="F12" s="14">
        <v>21.1</v>
      </c>
      <c r="G12" s="14">
        <f t="shared" si="4"/>
        <v>294.10000000000002</v>
      </c>
      <c r="H12" s="14">
        <v>101.3</v>
      </c>
      <c r="I12" s="14">
        <f t="shared" si="5"/>
        <v>101300</v>
      </c>
      <c r="J12" s="14">
        <f t="shared" si="6"/>
        <v>2.0124824921938581E-5</v>
      </c>
      <c r="K12" s="11">
        <v>13.771830985915495</v>
      </c>
      <c r="L12" s="17">
        <f t="shared" si="7"/>
        <v>1.3771830985915494E-5</v>
      </c>
      <c r="M12" s="14">
        <f t="shared" si="8"/>
        <v>4.7762865441819992E-3</v>
      </c>
      <c r="N12" s="26">
        <f t="shared" si="9"/>
        <v>5.8027441377796281E-8</v>
      </c>
      <c r="O12" s="8">
        <f t="shared" si="10"/>
        <v>2.032E-3</v>
      </c>
      <c r="P12" s="8">
        <f t="shared" si="11"/>
        <v>3.2336876577195123E-11</v>
      </c>
      <c r="Q12" s="8">
        <v>0.31</v>
      </c>
      <c r="R12" s="8">
        <f t="shared" si="12"/>
        <v>131000</v>
      </c>
      <c r="S12" s="8">
        <f t="shared" si="13"/>
        <v>5.1398579432804297E-3</v>
      </c>
      <c r="T12" s="8">
        <v>0.1</v>
      </c>
      <c r="U12" s="8">
        <f t="shared" si="14"/>
        <v>110000.00000000001</v>
      </c>
      <c r="V12" s="8">
        <f t="shared" si="1"/>
        <v>1.5149014084507046</v>
      </c>
      <c r="W12" s="8">
        <f t="shared" si="15"/>
        <v>23.786779576079301</v>
      </c>
      <c r="X12" s="8">
        <f t="shared" si="16"/>
        <v>2.2771524550947799E-15</v>
      </c>
      <c r="Y12" s="8">
        <f t="shared" si="17"/>
        <v>1371301208.4580765</v>
      </c>
    </row>
    <row r="13" spans="1:25" x14ac:dyDescent="0.25">
      <c r="A13" s="14">
        <v>33</v>
      </c>
      <c r="B13" s="14">
        <f t="shared" si="2"/>
        <v>0.55000000000000004</v>
      </c>
      <c r="C13" s="14">
        <v>20</v>
      </c>
      <c r="D13" s="14">
        <f t="shared" si="0"/>
        <v>29.146000000000001</v>
      </c>
      <c r="E13" s="14">
        <f t="shared" si="3"/>
        <v>4.8576666666666667E-7</v>
      </c>
      <c r="F13" s="14">
        <v>21.1</v>
      </c>
      <c r="G13" s="14">
        <f t="shared" si="4"/>
        <v>294.10000000000002</v>
      </c>
      <c r="H13" s="14">
        <v>101.3</v>
      </c>
      <c r="I13" s="14">
        <f t="shared" si="5"/>
        <v>101300</v>
      </c>
      <c r="J13" s="14">
        <f t="shared" si="6"/>
        <v>2.0124824921938581E-5</v>
      </c>
      <c r="K13" s="11">
        <v>5.7436619718309867</v>
      </c>
      <c r="L13" s="17">
        <f t="shared" si="7"/>
        <v>5.7436619718309867E-6</v>
      </c>
      <c r="M13" s="14">
        <f t="shared" si="8"/>
        <v>4.7762865441819992E-3</v>
      </c>
      <c r="N13" s="26">
        <f t="shared" si="9"/>
        <v>2.4200849451692903E-8</v>
      </c>
      <c r="O13" s="8">
        <f t="shared" si="10"/>
        <v>2.032E-3</v>
      </c>
      <c r="P13" s="8">
        <f t="shared" si="11"/>
        <v>3.2336876577195123E-11</v>
      </c>
      <c r="Q13" s="8">
        <v>0.31</v>
      </c>
      <c r="R13" s="8">
        <f t="shared" si="12"/>
        <v>131000</v>
      </c>
      <c r="S13" s="8">
        <f t="shared" si="13"/>
        <v>5.1398579432804297E-3</v>
      </c>
      <c r="T13" s="8">
        <v>0.1</v>
      </c>
      <c r="U13" s="8">
        <f t="shared" si="14"/>
        <v>110000.00000000001</v>
      </c>
      <c r="V13" s="8">
        <f t="shared" si="1"/>
        <v>0.6318028169014086</v>
      </c>
      <c r="W13" s="8">
        <f t="shared" si="15"/>
        <v>5.3620251980014233</v>
      </c>
      <c r="X13" s="8">
        <f t="shared" si="16"/>
        <v>9.4957267115273037E-16</v>
      </c>
      <c r="Y13" s="8">
        <f t="shared" si="17"/>
        <v>571832662.56817424</v>
      </c>
    </row>
    <row r="14" spans="1:25" x14ac:dyDescent="0.25">
      <c r="A14" s="14">
        <v>36</v>
      </c>
      <c r="B14" s="14">
        <f t="shared" si="2"/>
        <v>0.6</v>
      </c>
      <c r="C14" s="14">
        <v>20</v>
      </c>
      <c r="D14" s="14">
        <f t="shared" si="0"/>
        <v>29.146000000000001</v>
      </c>
      <c r="E14" s="14">
        <f t="shared" si="3"/>
        <v>4.8576666666666667E-7</v>
      </c>
      <c r="F14" s="14">
        <v>21.1</v>
      </c>
      <c r="G14" s="14">
        <f t="shared" si="4"/>
        <v>294.10000000000002</v>
      </c>
      <c r="H14" s="14">
        <v>101.3</v>
      </c>
      <c r="I14" s="14">
        <f t="shared" si="5"/>
        <v>101300</v>
      </c>
      <c r="J14" s="14">
        <f t="shared" si="6"/>
        <v>2.0124824921938581E-5</v>
      </c>
      <c r="K14" s="11">
        <v>4.9267605633802818</v>
      </c>
      <c r="L14" s="17">
        <f t="shared" si="7"/>
        <v>4.9267605633802816E-6</v>
      </c>
      <c r="M14" s="14">
        <f t="shared" si="8"/>
        <v>4.7762865441819992E-3</v>
      </c>
      <c r="N14" s="26">
        <f t="shared" si="9"/>
        <v>2.0758845360966595E-8</v>
      </c>
      <c r="O14" s="8">
        <f t="shared" si="10"/>
        <v>2.032E-3</v>
      </c>
      <c r="P14" s="8">
        <f t="shared" si="11"/>
        <v>3.2336876577195123E-11</v>
      </c>
      <c r="Q14" s="8">
        <v>0.31</v>
      </c>
      <c r="R14" s="8">
        <f t="shared" si="12"/>
        <v>131000</v>
      </c>
      <c r="S14" s="8">
        <f t="shared" si="13"/>
        <v>5.1398579432804297E-3</v>
      </c>
      <c r="T14" s="8">
        <v>0.1</v>
      </c>
      <c r="U14" s="8">
        <f t="shared" si="14"/>
        <v>110000.00000000001</v>
      </c>
      <c r="V14" s="8">
        <f t="shared" si="1"/>
        <v>0.54194366197183108</v>
      </c>
      <c r="W14" s="8">
        <f t="shared" si="15"/>
        <v>4.1641398119503759</v>
      </c>
      <c r="X14" s="8">
        <f t="shared" si="16"/>
        <v>8.1451074777501018E-16</v>
      </c>
      <c r="Y14" s="8">
        <f t="shared" si="17"/>
        <v>490498372.31011117</v>
      </c>
    </row>
    <row r="15" spans="1:25" x14ac:dyDescent="0.25">
      <c r="A15" s="14">
        <v>39</v>
      </c>
      <c r="B15" s="14">
        <f t="shared" si="2"/>
        <v>0.65</v>
      </c>
      <c r="C15" s="14">
        <v>20</v>
      </c>
      <c r="D15" s="14">
        <f t="shared" si="0"/>
        <v>29.146000000000001</v>
      </c>
      <c r="E15" s="14">
        <f t="shared" si="3"/>
        <v>4.8576666666666667E-7</v>
      </c>
      <c r="F15" s="14">
        <v>21.1</v>
      </c>
      <c r="G15" s="14">
        <f t="shared" si="4"/>
        <v>294.10000000000002</v>
      </c>
      <c r="H15" s="14">
        <v>101.3</v>
      </c>
      <c r="I15" s="14">
        <f t="shared" si="5"/>
        <v>101300</v>
      </c>
      <c r="J15" s="14">
        <f t="shared" si="6"/>
        <v>2.0124824921938581E-5</v>
      </c>
      <c r="K15" s="11">
        <v>13.067605633802817</v>
      </c>
      <c r="L15" s="17">
        <f t="shared" si="7"/>
        <v>1.3067605633802817E-5</v>
      </c>
      <c r="M15" s="14">
        <f t="shared" si="8"/>
        <v>4.7762865441819992E-3</v>
      </c>
      <c r="N15" s="26">
        <f t="shared" si="9"/>
        <v>5.5060196471997729E-8</v>
      </c>
      <c r="O15" s="8">
        <f t="shared" si="10"/>
        <v>2.032E-3</v>
      </c>
      <c r="P15" s="8">
        <f t="shared" si="11"/>
        <v>3.2336876577195123E-11</v>
      </c>
      <c r="Q15" s="8">
        <v>0.31</v>
      </c>
      <c r="R15" s="8">
        <f t="shared" si="12"/>
        <v>131000</v>
      </c>
      <c r="S15" s="8">
        <f t="shared" si="13"/>
        <v>5.1398579432804297E-3</v>
      </c>
      <c r="T15" s="8">
        <v>0.1</v>
      </c>
      <c r="U15" s="8">
        <f t="shared" si="14"/>
        <v>110000.00000000001</v>
      </c>
      <c r="V15" s="8">
        <f t="shared" si="1"/>
        <v>1.4374366197183099</v>
      </c>
      <c r="W15" s="8">
        <f t="shared" si="15"/>
        <v>21.704698934635591</v>
      </c>
      <c r="X15" s="8">
        <f t="shared" si="16"/>
        <v>2.1606754580571849E-15</v>
      </c>
      <c r="Y15" s="8">
        <f t="shared" si="17"/>
        <v>1301158760.8420367</v>
      </c>
    </row>
    <row r="16" spans="1:25" x14ac:dyDescent="0.25">
      <c r="A16" s="14">
        <v>42</v>
      </c>
      <c r="B16" s="14">
        <f t="shared" si="2"/>
        <v>0.7</v>
      </c>
      <c r="C16" s="14">
        <v>20</v>
      </c>
      <c r="D16" s="14">
        <f t="shared" si="0"/>
        <v>29.146000000000001</v>
      </c>
      <c r="E16" s="14">
        <f t="shared" si="3"/>
        <v>4.8576666666666667E-7</v>
      </c>
      <c r="F16" s="14">
        <v>21.1</v>
      </c>
      <c r="G16" s="14">
        <f t="shared" si="4"/>
        <v>294.10000000000002</v>
      </c>
      <c r="H16" s="14">
        <v>101.3</v>
      </c>
      <c r="I16" s="14">
        <f t="shared" si="5"/>
        <v>101300</v>
      </c>
      <c r="J16" s="14">
        <f t="shared" si="6"/>
        <v>2.0124824921938581E-5</v>
      </c>
      <c r="K16" s="11">
        <v>15.461971830985918</v>
      </c>
      <c r="L16" s="17">
        <f t="shared" si="7"/>
        <v>1.5461971830985918E-5</v>
      </c>
      <c r="M16" s="14">
        <f t="shared" si="8"/>
        <v>4.7762865441819992E-3</v>
      </c>
      <c r="N16" s="26">
        <f t="shared" si="9"/>
        <v>6.5148829151712771E-8</v>
      </c>
      <c r="O16" s="8">
        <f t="shared" si="10"/>
        <v>2.032E-3</v>
      </c>
      <c r="P16" s="8">
        <f t="shared" si="11"/>
        <v>3.2336876577195123E-11</v>
      </c>
      <c r="Q16" s="8">
        <v>0.31</v>
      </c>
      <c r="R16" s="8">
        <f t="shared" si="12"/>
        <v>131000</v>
      </c>
      <c r="S16" s="8">
        <f t="shared" si="13"/>
        <v>5.1398579432804297E-3</v>
      </c>
      <c r="T16" s="8">
        <v>0.1</v>
      </c>
      <c r="U16" s="8">
        <f t="shared" si="14"/>
        <v>110000.00000000001</v>
      </c>
      <c r="V16" s="8">
        <f t="shared" si="1"/>
        <v>1.7008169014084511</v>
      </c>
      <c r="W16" s="8">
        <f t="shared" si="15"/>
        <v>29.138477000807811</v>
      </c>
      <c r="X16" s="8">
        <f t="shared" si="16"/>
        <v>2.5567192818079465E-15</v>
      </c>
      <c r="Y16" s="8">
        <f t="shared" si="17"/>
        <v>1539656351.5047455</v>
      </c>
    </row>
    <row r="17" spans="1:76" s="3" customFormat="1" x14ac:dyDescent="0.25">
      <c r="A17" s="14">
        <v>45</v>
      </c>
      <c r="B17" s="14">
        <f t="shared" si="2"/>
        <v>0.75</v>
      </c>
      <c r="C17" s="14">
        <v>20</v>
      </c>
      <c r="D17" s="14">
        <f t="shared" si="0"/>
        <v>29.146000000000001</v>
      </c>
      <c r="E17" s="14">
        <f t="shared" si="3"/>
        <v>4.8576666666666667E-7</v>
      </c>
      <c r="F17" s="14">
        <v>21.1</v>
      </c>
      <c r="G17" s="14">
        <f t="shared" si="4"/>
        <v>294.10000000000002</v>
      </c>
      <c r="H17" s="14">
        <v>101.3</v>
      </c>
      <c r="I17" s="14">
        <f t="shared" si="5"/>
        <v>101300</v>
      </c>
      <c r="J17" s="14">
        <f t="shared" si="6"/>
        <v>2.0124824921938581E-5</v>
      </c>
      <c r="K17" s="11">
        <v>20.645070422535213</v>
      </c>
      <c r="L17" s="17">
        <f t="shared" si="7"/>
        <v>2.0645070422535214E-5</v>
      </c>
      <c r="M17" s="14">
        <f t="shared" si="8"/>
        <v>4.7762865441819992E-3</v>
      </c>
      <c r="N17" s="26">
        <f t="shared" si="9"/>
        <v>8.6987751658390049E-8</v>
      </c>
      <c r="O17" s="8">
        <f t="shared" si="10"/>
        <v>2.032E-3</v>
      </c>
      <c r="P17" s="8">
        <f t="shared" si="11"/>
        <v>3.2336876577195123E-11</v>
      </c>
      <c r="Q17" s="8">
        <v>0.31</v>
      </c>
      <c r="R17" s="8">
        <f t="shared" si="12"/>
        <v>131000</v>
      </c>
      <c r="S17" s="8">
        <f t="shared" si="13"/>
        <v>5.1398579432804297E-3</v>
      </c>
      <c r="T17" s="8">
        <v>0.1</v>
      </c>
      <c r="U17" s="8">
        <f t="shared" si="14"/>
        <v>110000.00000000001</v>
      </c>
      <c r="V17" s="8">
        <f t="shared" si="1"/>
        <v>2.2709577464788739</v>
      </c>
      <c r="W17" s="8">
        <f t="shared" si="15"/>
        <v>48.62478400847796</v>
      </c>
      <c r="X17" s="8">
        <f t="shared" si="16"/>
        <v>3.4142801905823891E-15</v>
      </c>
      <c r="Y17" s="8">
        <f t="shared" si="17"/>
        <v>2056079530.7687149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</row>
    <row r="18" spans="1:76" s="3" customFormat="1" x14ac:dyDescent="0.25">
      <c r="A18" s="14">
        <v>48</v>
      </c>
      <c r="B18" s="14">
        <f t="shared" si="2"/>
        <v>0.8</v>
      </c>
      <c r="C18" s="14">
        <v>20</v>
      </c>
      <c r="D18" s="14">
        <f t="shared" si="0"/>
        <v>29.146000000000001</v>
      </c>
      <c r="E18" s="14">
        <f t="shared" si="3"/>
        <v>4.8576666666666667E-7</v>
      </c>
      <c r="F18" s="14">
        <v>21.1</v>
      </c>
      <c r="G18" s="14">
        <f t="shared" si="4"/>
        <v>294.10000000000002</v>
      </c>
      <c r="H18" s="14">
        <v>101.3</v>
      </c>
      <c r="I18" s="14">
        <f t="shared" si="5"/>
        <v>101300</v>
      </c>
      <c r="J18" s="14">
        <f t="shared" si="6"/>
        <v>2.0124824921938581E-5</v>
      </c>
      <c r="K18" s="11">
        <v>28.926760563380281</v>
      </c>
      <c r="L18" s="17">
        <f t="shared" si="7"/>
        <v>2.8926760563380281E-5</v>
      </c>
      <c r="M18" s="14">
        <f t="shared" si="8"/>
        <v>4.7762865441819992E-3</v>
      </c>
      <c r="N18" s="26">
        <f t="shared" si="9"/>
        <v>1.2188255175058087E-7</v>
      </c>
      <c r="O18" s="8">
        <f t="shared" si="10"/>
        <v>2.032E-3</v>
      </c>
      <c r="P18" s="8">
        <f t="shared" si="11"/>
        <v>3.2336876577195123E-11</v>
      </c>
      <c r="Q18" s="8">
        <v>0.31</v>
      </c>
      <c r="R18" s="8">
        <f t="shared" si="12"/>
        <v>131000</v>
      </c>
      <c r="S18" s="8">
        <f t="shared" si="13"/>
        <v>5.1398579432804297E-3</v>
      </c>
      <c r="T18" s="8">
        <v>0.1</v>
      </c>
      <c r="U18" s="8">
        <f t="shared" si="14"/>
        <v>110000.00000000001</v>
      </c>
      <c r="V18" s="8">
        <f t="shared" si="1"/>
        <v>3.1819436619718315</v>
      </c>
      <c r="W18" s="8">
        <f t="shared" si="15"/>
        <v>89.164847393686941</v>
      </c>
      <c r="X18" s="8">
        <f t="shared" si="16"/>
        <v>4.7853869470180285E-15</v>
      </c>
      <c r="Y18" s="8">
        <f t="shared" si="17"/>
        <v>2881760019.494257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</row>
    <row r="19" spans="1:76" s="3" customFormat="1" x14ac:dyDescent="0.25">
      <c r="A19" s="14">
        <v>51</v>
      </c>
      <c r="B19" s="14">
        <f t="shared" si="2"/>
        <v>0.85</v>
      </c>
      <c r="C19" s="14">
        <v>20</v>
      </c>
      <c r="D19" s="14">
        <f t="shared" si="0"/>
        <v>29.146000000000001</v>
      </c>
      <c r="E19" s="14">
        <f t="shared" si="3"/>
        <v>4.8576666666666667E-7</v>
      </c>
      <c r="F19" s="14">
        <v>21.1</v>
      </c>
      <c r="G19" s="14">
        <f t="shared" si="4"/>
        <v>294.10000000000002</v>
      </c>
      <c r="H19" s="14">
        <v>101.3</v>
      </c>
      <c r="I19" s="14">
        <f t="shared" si="5"/>
        <v>101300</v>
      </c>
      <c r="J19" s="14">
        <f t="shared" si="6"/>
        <v>2.0124824921938581E-5</v>
      </c>
      <c r="K19" s="11">
        <v>29.659154929577465</v>
      </c>
      <c r="L19" s="17">
        <f t="shared" si="7"/>
        <v>2.9659154929577466E-5</v>
      </c>
      <c r="M19" s="14">
        <f t="shared" si="8"/>
        <v>4.7762865441819992E-3</v>
      </c>
      <c r="N19" s="26">
        <f t="shared" si="9"/>
        <v>1.2496848645261137E-7</v>
      </c>
      <c r="O19" s="8">
        <f t="shared" si="10"/>
        <v>2.032E-3</v>
      </c>
      <c r="P19" s="8">
        <f t="shared" si="11"/>
        <v>3.2336876577195123E-11</v>
      </c>
      <c r="Q19" s="8">
        <v>0.31</v>
      </c>
      <c r="R19" s="8">
        <f t="shared" si="12"/>
        <v>131000</v>
      </c>
      <c r="S19" s="8">
        <f t="shared" si="13"/>
        <v>5.1398579432804297E-3</v>
      </c>
      <c r="T19" s="8">
        <v>0.1</v>
      </c>
      <c r="U19" s="8">
        <f t="shared" si="14"/>
        <v>110000.00000000001</v>
      </c>
      <c r="V19" s="8">
        <f t="shared" si="1"/>
        <v>3.2625070422535218</v>
      </c>
      <c r="W19" s="8">
        <f t="shared" si="15"/>
        <v>93.297637280961112</v>
      </c>
      <c r="X19" s="8">
        <f t="shared" si="16"/>
        <v>4.9067026833617183E-15</v>
      </c>
      <c r="Y19" s="8">
        <f t="shared" si="17"/>
        <v>2954816355.9204268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</row>
    <row r="20" spans="1:76" s="3" customFormat="1" x14ac:dyDescent="0.25">
      <c r="A20" s="14">
        <v>54</v>
      </c>
      <c r="B20" s="14">
        <f t="shared" si="2"/>
        <v>0.9</v>
      </c>
      <c r="C20" s="14">
        <v>20</v>
      </c>
      <c r="D20" s="14">
        <f t="shared" si="0"/>
        <v>29.146000000000001</v>
      </c>
      <c r="E20" s="14">
        <f t="shared" si="3"/>
        <v>4.8576666666666667E-7</v>
      </c>
      <c r="F20" s="14">
        <v>21.1</v>
      </c>
      <c r="G20" s="14">
        <f t="shared" si="4"/>
        <v>294.10000000000002</v>
      </c>
      <c r="H20" s="14">
        <v>101.3</v>
      </c>
      <c r="I20" s="14">
        <f t="shared" si="5"/>
        <v>101300</v>
      </c>
      <c r="J20" s="14">
        <f t="shared" si="6"/>
        <v>2.0124824921938581E-5</v>
      </c>
      <c r="K20" s="11">
        <v>31.3774647887324</v>
      </c>
      <c r="L20" s="17">
        <f t="shared" si="7"/>
        <v>3.1377464788732398E-5</v>
      </c>
      <c r="M20" s="14">
        <f t="shared" si="8"/>
        <v>4.7762865441819992E-3</v>
      </c>
      <c r="N20" s="26">
        <f t="shared" si="9"/>
        <v>1.3220856402275982E-7</v>
      </c>
      <c r="O20" s="8">
        <f t="shared" si="10"/>
        <v>2.032E-3</v>
      </c>
      <c r="P20" s="8">
        <f t="shared" si="11"/>
        <v>3.2336876577195123E-11</v>
      </c>
      <c r="Q20" s="8">
        <v>0.31</v>
      </c>
      <c r="R20" s="8">
        <f t="shared" si="12"/>
        <v>131000</v>
      </c>
      <c r="S20" s="8">
        <f t="shared" si="13"/>
        <v>5.1398579432804297E-3</v>
      </c>
      <c r="T20" s="8">
        <v>0.1</v>
      </c>
      <c r="U20" s="8">
        <f t="shared" si="14"/>
        <v>110000.00000000001</v>
      </c>
      <c r="V20" s="8">
        <f t="shared" si="1"/>
        <v>3.4515211267605643</v>
      </c>
      <c r="W20" s="8">
        <f t="shared" si="15"/>
        <v>103.33965703170945</v>
      </c>
      <c r="X20" s="8">
        <f t="shared" si="16"/>
        <v>5.1913718515171083E-15</v>
      </c>
      <c r="Y20" s="8">
        <f t="shared" si="17"/>
        <v>3126244128.983603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</row>
    <row r="21" spans="1:76" s="3" customFormat="1" x14ac:dyDescent="0.25">
      <c r="A21" s="14">
        <v>57</v>
      </c>
      <c r="B21" s="14">
        <f t="shared" si="2"/>
        <v>0.95</v>
      </c>
      <c r="C21" s="14">
        <v>20</v>
      </c>
      <c r="D21" s="14">
        <f t="shared" si="0"/>
        <v>29.146000000000001</v>
      </c>
      <c r="E21" s="14">
        <f t="shared" si="3"/>
        <v>4.8576666666666667E-7</v>
      </c>
      <c r="F21" s="14">
        <v>21.1</v>
      </c>
      <c r="G21" s="14">
        <f t="shared" si="4"/>
        <v>294.10000000000002</v>
      </c>
      <c r="H21" s="14">
        <v>101.3</v>
      </c>
      <c r="I21" s="14">
        <f t="shared" si="5"/>
        <v>101300</v>
      </c>
      <c r="J21" s="14">
        <f t="shared" si="6"/>
        <v>2.0124824921938581E-5</v>
      </c>
      <c r="K21" s="11">
        <v>34.532394366197188</v>
      </c>
      <c r="L21" s="17">
        <f t="shared" si="7"/>
        <v>3.453239436619719E-5</v>
      </c>
      <c r="M21" s="14">
        <f t="shared" si="8"/>
        <v>4.7762865441819992E-3</v>
      </c>
      <c r="N21" s="26">
        <f t="shared" si="9"/>
        <v>1.4550182120073729E-7</v>
      </c>
      <c r="O21" s="8">
        <f t="shared" si="10"/>
        <v>2.032E-3</v>
      </c>
      <c r="P21" s="8">
        <f t="shared" si="11"/>
        <v>3.2336876577195123E-11</v>
      </c>
      <c r="Q21" s="8">
        <v>0.31</v>
      </c>
      <c r="R21" s="8">
        <f t="shared" si="12"/>
        <v>131000</v>
      </c>
      <c r="S21" s="8">
        <f t="shared" si="13"/>
        <v>5.1398579432804297E-3</v>
      </c>
      <c r="T21" s="8">
        <v>0.1</v>
      </c>
      <c r="U21" s="8">
        <f t="shared" si="14"/>
        <v>110000.00000000001</v>
      </c>
      <c r="V21" s="8">
        <f t="shared" si="1"/>
        <v>3.7985633802816916</v>
      </c>
      <c r="W21" s="8">
        <f t="shared" si="15"/>
        <v>123.03474577347512</v>
      </c>
      <c r="X21" s="8">
        <f t="shared" si="16"/>
        <v>5.714211740833646E-15</v>
      </c>
      <c r="Y21" s="8">
        <f t="shared" si="17"/>
        <v>3441098310.3300219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</row>
    <row r="22" spans="1:76" s="3" customFormat="1" x14ac:dyDescent="0.25">
      <c r="A22" s="14">
        <v>60</v>
      </c>
      <c r="B22" s="14">
        <f t="shared" si="2"/>
        <v>1</v>
      </c>
      <c r="C22" s="14">
        <v>20</v>
      </c>
      <c r="D22" s="14">
        <f t="shared" si="0"/>
        <v>29.146000000000001</v>
      </c>
      <c r="E22" s="14">
        <f t="shared" si="3"/>
        <v>4.8576666666666667E-7</v>
      </c>
      <c r="F22" s="14">
        <v>21.1</v>
      </c>
      <c r="G22" s="14">
        <f t="shared" si="4"/>
        <v>294.10000000000002</v>
      </c>
      <c r="H22" s="14">
        <v>101.3</v>
      </c>
      <c r="I22" s="14">
        <f t="shared" si="5"/>
        <v>101300</v>
      </c>
      <c r="J22" s="14">
        <f t="shared" si="6"/>
        <v>2.0124824921938581E-5</v>
      </c>
      <c r="K22" s="11">
        <v>42.222535211267605</v>
      </c>
      <c r="L22" s="17">
        <f t="shared" si="7"/>
        <v>4.2222535211267602E-5</v>
      </c>
      <c r="M22" s="14">
        <f t="shared" si="8"/>
        <v>4.7762865441819992E-3</v>
      </c>
      <c r="N22" s="26">
        <f t="shared" si="9"/>
        <v>1.7790413557205732E-7</v>
      </c>
      <c r="O22" s="8">
        <f t="shared" si="10"/>
        <v>2.032E-3</v>
      </c>
      <c r="P22" s="8">
        <f t="shared" si="11"/>
        <v>3.2336876577195123E-11</v>
      </c>
      <c r="Q22" s="8">
        <v>0.31</v>
      </c>
      <c r="R22" s="8">
        <f t="shared" si="12"/>
        <v>131000</v>
      </c>
      <c r="S22" s="8">
        <f t="shared" si="13"/>
        <v>5.1398579432804297E-3</v>
      </c>
      <c r="T22" s="8">
        <v>0.1</v>
      </c>
      <c r="U22" s="8">
        <f t="shared" si="14"/>
        <v>110000.00000000001</v>
      </c>
      <c r="V22" s="8">
        <f t="shared" si="1"/>
        <v>4.6444788732394366</v>
      </c>
      <c r="W22" s="8">
        <f t="shared" si="15"/>
        <v>177.80435182615329</v>
      </c>
      <c r="X22" s="8">
        <f t="shared" si="16"/>
        <v>6.9896547740386549E-15</v>
      </c>
      <c r="Y22" s="8">
        <f t="shared" si="17"/>
        <v>4209170104.9260783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</row>
    <row r="23" spans="1:76" s="3" customFormat="1" x14ac:dyDescent="0.25">
      <c r="A23" s="14">
        <v>63</v>
      </c>
      <c r="B23" s="14">
        <f t="shared" si="2"/>
        <v>1.05</v>
      </c>
      <c r="C23" s="14">
        <v>20</v>
      </c>
      <c r="D23" s="14">
        <f t="shared" si="0"/>
        <v>29.146000000000001</v>
      </c>
      <c r="E23" s="14">
        <f t="shared" si="3"/>
        <v>4.8576666666666667E-7</v>
      </c>
      <c r="F23" s="14">
        <v>21.1</v>
      </c>
      <c r="G23" s="14">
        <f t="shared" si="4"/>
        <v>294.10000000000002</v>
      </c>
      <c r="H23" s="14">
        <v>101.3</v>
      </c>
      <c r="I23" s="14">
        <f t="shared" si="5"/>
        <v>101300</v>
      </c>
      <c r="J23" s="14">
        <f t="shared" si="6"/>
        <v>2.0124824921938581E-5</v>
      </c>
      <c r="K23" s="11">
        <v>40.081690140845076</v>
      </c>
      <c r="L23" s="17">
        <f t="shared" si="7"/>
        <v>4.0081690140845078E-5</v>
      </c>
      <c r="M23" s="14">
        <f t="shared" si="8"/>
        <v>4.7762865441819992E-3</v>
      </c>
      <c r="N23" s="26">
        <f t="shared" si="9"/>
        <v>1.6888371105842979E-7</v>
      </c>
      <c r="O23" s="8">
        <f t="shared" si="10"/>
        <v>2.032E-3</v>
      </c>
      <c r="P23" s="8">
        <f t="shared" si="11"/>
        <v>3.2336876577195123E-11</v>
      </c>
      <c r="Q23" s="8">
        <v>0.31</v>
      </c>
      <c r="R23" s="8">
        <f t="shared" si="12"/>
        <v>131000</v>
      </c>
      <c r="S23" s="8">
        <f t="shared" si="13"/>
        <v>5.1398579432804297E-3</v>
      </c>
      <c r="T23" s="8">
        <v>0.1</v>
      </c>
      <c r="U23" s="8">
        <f t="shared" si="14"/>
        <v>110000.00000000001</v>
      </c>
      <c r="V23" s="8">
        <f t="shared" si="1"/>
        <v>4.4089859154929592</v>
      </c>
      <c r="W23" s="8">
        <f t="shared" si="15"/>
        <v>161.59884250148087</v>
      </c>
      <c r="X23" s="8">
        <f t="shared" si="16"/>
        <v>6.6344305348812259E-15</v>
      </c>
      <c r="Y23" s="8">
        <f t="shared" si="17"/>
        <v>3995254068.1054745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</row>
    <row r="24" spans="1:76" s="3" customFormat="1" x14ac:dyDescent="0.25">
      <c r="A24" s="14">
        <v>66</v>
      </c>
      <c r="B24" s="14">
        <f t="shared" si="2"/>
        <v>1.1000000000000001</v>
      </c>
      <c r="C24" s="14">
        <v>20</v>
      </c>
      <c r="D24" s="14">
        <f t="shared" si="0"/>
        <v>29.146000000000001</v>
      </c>
      <c r="E24" s="14">
        <f t="shared" si="3"/>
        <v>4.8576666666666667E-7</v>
      </c>
      <c r="F24" s="14">
        <v>21.1</v>
      </c>
      <c r="G24" s="14">
        <f t="shared" si="4"/>
        <v>294.10000000000002</v>
      </c>
      <c r="H24" s="14">
        <v>101.3</v>
      </c>
      <c r="I24" s="14">
        <f t="shared" si="5"/>
        <v>101300</v>
      </c>
      <c r="J24" s="14">
        <f t="shared" si="6"/>
        <v>2.0124824921938581E-5</v>
      </c>
      <c r="K24" s="11">
        <v>39.546478873239437</v>
      </c>
      <c r="L24" s="17">
        <f t="shared" si="7"/>
        <v>3.954647887323944E-5</v>
      </c>
      <c r="M24" s="14">
        <f t="shared" si="8"/>
        <v>4.7762865441819992E-3</v>
      </c>
      <c r="N24" s="26">
        <f t="shared" si="9"/>
        <v>1.6662860493002288E-7</v>
      </c>
      <c r="O24" s="8">
        <f t="shared" si="10"/>
        <v>2.032E-3</v>
      </c>
      <c r="P24" s="8">
        <f t="shared" si="11"/>
        <v>3.2336876577195123E-11</v>
      </c>
      <c r="Q24" s="8">
        <v>0.31</v>
      </c>
      <c r="R24" s="8">
        <f t="shared" si="12"/>
        <v>131000</v>
      </c>
      <c r="S24" s="8">
        <f t="shared" si="13"/>
        <v>5.1398579432804297E-3</v>
      </c>
      <c r="T24" s="8">
        <v>0.1</v>
      </c>
      <c r="U24" s="8">
        <f t="shared" si="14"/>
        <v>110000.00000000001</v>
      </c>
      <c r="V24" s="8">
        <f t="shared" si="1"/>
        <v>4.3501126760563391</v>
      </c>
      <c r="W24" s="8">
        <f t="shared" si="15"/>
        <v>157.66267230131473</v>
      </c>
      <c r="X24" s="8">
        <f t="shared" si="16"/>
        <v>6.5456439874068877E-15</v>
      </c>
      <c r="Y24" s="8">
        <f t="shared" si="17"/>
        <v>3941786809.2164278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</row>
    <row r="25" spans="1:76" s="3" customFormat="1" x14ac:dyDescent="0.25">
      <c r="A25" s="14">
        <v>69</v>
      </c>
      <c r="B25" s="14">
        <f t="shared" si="2"/>
        <v>1.1499999999999999</v>
      </c>
      <c r="C25" s="14">
        <v>20</v>
      </c>
      <c r="D25" s="14">
        <f t="shared" si="0"/>
        <v>29.146000000000001</v>
      </c>
      <c r="E25" s="14">
        <f t="shared" si="3"/>
        <v>4.8576666666666667E-7</v>
      </c>
      <c r="F25" s="14">
        <v>21.1</v>
      </c>
      <c r="G25" s="14">
        <f t="shared" si="4"/>
        <v>294.10000000000002</v>
      </c>
      <c r="H25" s="14">
        <v>101.3</v>
      </c>
      <c r="I25" s="14">
        <f t="shared" si="5"/>
        <v>101300</v>
      </c>
      <c r="J25" s="14">
        <f t="shared" si="6"/>
        <v>2.0124824921938581E-5</v>
      </c>
      <c r="K25" s="11">
        <v>43.997183098591556</v>
      </c>
      <c r="L25" s="17">
        <f t="shared" si="7"/>
        <v>4.3997183098591558E-5</v>
      </c>
      <c r="M25" s="14">
        <f t="shared" si="8"/>
        <v>4.7762865441819992E-3</v>
      </c>
      <c r="N25" s="26">
        <f t="shared" si="9"/>
        <v>1.853815927346697E-7</v>
      </c>
      <c r="O25" s="8">
        <f t="shared" si="10"/>
        <v>2.032E-3</v>
      </c>
      <c r="P25" s="8">
        <f t="shared" si="11"/>
        <v>3.2336876577195123E-11</v>
      </c>
      <c r="Q25" s="8">
        <v>0.31</v>
      </c>
      <c r="R25" s="8">
        <f t="shared" si="12"/>
        <v>131000</v>
      </c>
      <c r="S25" s="8">
        <f t="shared" si="13"/>
        <v>5.1398579432804297E-3</v>
      </c>
      <c r="T25" s="8">
        <v>0.1</v>
      </c>
      <c r="U25" s="8">
        <f t="shared" si="14"/>
        <v>110000.00000000001</v>
      </c>
      <c r="V25" s="8">
        <f t="shared" si="1"/>
        <v>4.8396901408450717</v>
      </c>
      <c r="W25" s="8">
        <f t="shared" si="15"/>
        <v>191.7955238459711</v>
      </c>
      <c r="X25" s="8">
        <f t="shared" si="16"/>
        <v>7.284214746093919E-15</v>
      </c>
      <c r="Y25" s="8">
        <f t="shared" si="17"/>
        <v>4386554120.0977583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</row>
    <row r="26" spans="1:76" s="3" customFormat="1" x14ac:dyDescent="0.25">
      <c r="A26" s="14">
        <v>72</v>
      </c>
      <c r="B26" s="14">
        <f t="shared" si="2"/>
        <v>1.2</v>
      </c>
      <c r="C26" s="14">
        <v>20</v>
      </c>
      <c r="D26" s="14">
        <f t="shared" si="0"/>
        <v>29.146000000000001</v>
      </c>
      <c r="E26" s="14">
        <f t="shared" si="3"/>
        <v>4.8576666666666667E-7</v>
      </c>
      <c r="F26" s="14">
        <v>21.1</v>
      </c>
      <c r="G26" s="14">
        <f t="shared" si="4"/>
        <v>294.10000000000002</v>
      </c>
      <c r="H26" s="14">
        <v>101.3</v>
      </c>
      <c r="I26" s="14">
        <f t="shared" si="5"/>
        <v>101300</v>
      </c>
      <c r="J26" s="14">
        <f t="shared" si="6"/>
        <v>2.0124824921938581E-5</v>
      </c>
      <c r="K26" s="11">
        <v>41.828169014084516</v>
      </c>
      <c r="L26" s="17">
        <f t="shared" si="7"/>
        <v>4.1828169014084514E-5</v>
      </c>
      <c r="M26" s="14">
        <f t="shared" si="8"/>
        <v>4.7762865441819992E-3</v>
      </c>
      <c r="N26" s="26">
        <f t="shared" si="9"/>
        <v>1.762424784248102E-7</v>
      </c>
      <c r="O26" s="8">
        <f t="shared" si="10"/>
        <v>2.032E-3</v>
      </c>
      <c r="P26" s="8">
        <f t="shared" si="11"/>
        <v>3.2336876577195123E-11</v>
      </c>
      <c r="Q26" s="8">
        <v>0.31</v>
      </c>
      <c r="R26" s="8">
        <f t="shared" si="12"/>
        <v>131000</v>
      </c>
      <c r="S26" s="8">
        <f t="shared" si="13"/>
        <v>5.1398579432804297E-3</v>
      </c>
      <c r="T26" s="8">
        <v>0.1</v>
      </c>
      <c r="U26" s="8">
        <f t="shared" si="14"/>
        <v>110000.00000000001</v>
      </c>
      <c r="V26" s="8">
        <f t="shared" si="1"/>
        <v>4.601098591549297</v>
      </c>
      <c r="W26" s="8">
        <f t="shared" si="15"/>
        <v>174.76379079894042</v>
      </c>
      <c r="X26" s="8">
        <f t="shared" si="16"/>
        <v>6.9242091887121726E-15</v>
      </c>
      <c r="Y26" s="8">
        <f t="shared" si="17"/>
        <v>4169758773.4424706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</row>
    <row r="27" spans="1:76" s="3" customFormat="1" x14ac:dyDescent="0.25">
      <c r="A27" s="14">
        <v>75</v>
      </c>
      <c r="B27" s="14">
        <f t="shared" si="2"/>
        <v>1.25</v>
      </c>
      <c r="C27" s="14">
        <v>20</v>
      </c>
      <c r="D27" s="14">
        <f t="shared" si="0"/>
        <v>29.146000000000001</v>
      </c>
      <c r="E27" s="14">
        <f t="shared" si="3"/>
        <v>4.8576666666666667E-7</v>
      </c>
      <c r="F27" s="14">
        <v>21.1</v>
      </c>
      <c r="G27" s="14">
        <f t="shared" si="4"/>
        <v>294.10000000000002</v>
      </c>
      <c r="H27" s="14">
        <v>101.3</v>
      </c>
      <c r="I27" s="14">
        <f t="shared" si="5"/>
        <v>101300</v>
      </c>
      <c r="J27" s="14">
        <f t="shared" si="6"/>
        <v>2.0124824921938581E-5</v>
      </c>
      <c r="K27" s="11">
        <v>41.06760563380282</v>
      </c>
      <c r="L27" s="17">
        <f t="shared" si="7"/>
        <v>4.1067605633802818E-5</v>
      </c>
      <c r="M27" s="14">
        <f t="shared" si="8"/>
        <v>4.7762865441819992E-3</v>
      </c>
      <c r="N27" s="26">
        <f t="shared" si="9"/>
        <v>1.7303785392654773E-7</v>
      </c>
      <c r="O27" s="8">
        <f t="shared" si="10"/>
        <v>2.032E-3</v>
      </c>
      <c r="P27" s="8">
        <f t="shared" si="11"/>
        <v>3.2336876577195123E-11</v>
      </c>
      <c r="Q27" s="8">
        <v>0.31</v>
      </c>
      <c r="R27" s="8">
        <f t="shared" si="12"/>
        <v>131000</v>
      </c>
      <c r="S27" s="8">
        <f t="shared" si="13"/>
        <v>5.1398579432804297E-3</v>
      </c>
      <c r="T27" s="8">
        <v>0.1</v>
      </c>
      <c r="U27" s="8">
        <f t="shared" si="14"/>
        <v>110000.00000000001</v>
      </c>
      <c r="V27" s="8">
        <f t="shared" si="1"/>
        <v>4.5174366197183105</v>
      </c>
      <c r="W27" s="8">
        <f t="shared" si="15"/>
        <v>168.9703879010527</v>
      </c>
      <c r="X27" s="8">
        <f t="shared" si="16"/>
        <v>6.7980049582237356E-15</v>
      </c>
      <c r="Y27" s="8">
        <f t="shared" si="17"/>
        <v>4093758585.8423338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</row>
    <row r="28" spans="1:76" s="3" customFormat="1" x14ac:dyDescent="0.25">
      <c r="A28" s="14">
        <v>78</v>
      </c>
      <c r="B28" s="14">
        <f t="shared" si="2"/>
        <v>1.3</v>
      </c>
      <c r="C28" s="14">
        <v>20</v>
      </c>
      <c r="D28" s="14">
        <f t="shared" si="0"/>
        <v>29.146000000000001</v>
      </c>
      <c r="E28" s="14">
        <f t="shared" si="3"/>
        <v>4.8576666666666667E-7</v>
      </c>
      <c r="F28" s="14">
        <v>21.1</v>
      </c>
      <c r="G28" s="14">
        <f t="shared" si="4"/>
        <v>294.10000000000002</v>
      </c>
      <c r="H28" s="14">
        <v>101.3</v>
      </c>
      <c r="I28" s="14">
        <f t="shared" si="5"/>
        <v>101300</v>
      </c>
      <c r="J28" s="14">
        <f t="shared" si="6"/>
        <v>2.0124824921938581E-5</v>
      </c>
      <c r="K28" s="11">
        <v>49.011267605633805</v>
      </c>
      <c r="L28" s="17">
        <f t="shared" si="7"/>
        <v>4.9011267605633801E-5</v>
      </c>
      <c r="M28" s="14">
        <f t="shared" si="8"/>
        <v>4.7762865441819992E-3</v>
      </c>
      <c r="N28" s="26">
        <f t="shared" si="9"/>
        <v>2.0650837646395526E-7</v>
      </c>
      <c r="O28" s="8">
        <f t="shared" si="10"/>
        <v>2.032E-3</v>
      </c>
      <c r="P28" s="8">
        <f t="shared" si="11"/>
        <v>3.2336876577195123E-11</v>
      </c>
      <c r="Q28" s="8">
        <v>0.31</v>
      </c>
      <c r="R28" s="8">
        <f t="shared" si="12"/>
        <v>131000</v>
      </c>
      <c r="S28" s="8">
        <f t="shared" si="13"/>
        <v>5.1398579432804297E-3</v>
      </c>
      <c r="T28" s="8">
        <v>0.1</v>
      </c>
      <c r="U28" s="8">
        <f t="shared" si="14"/>
        <v>110000.00000000001</v>
      </c>
      <c r="V28" s="8">
        <f t="shared" si="1"/>
        <v>5.3912394366197187</v>
      </c>
      <c r="W28" s="8">
        <f t="shared" si="15"/>
        <v>234.04641707015901</v>
      </c>
      <c r="X28" s="8">
        <f t="shared" si="16"/>
        <v>8.1169730349503121E-15</v>
      </c>
      <c r="Y28" s="8">
        <f t="shared" si="17"/>
        <v>4888041161.6470785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</row>
    <row r="29" spans="1:76" s="3" customFormat="1" x14ac:dyDescent="0.25">
      <c r="A29" s="14">
        <v>81</v>
      </c>
      <c r="B29" s="14">
        <f t="shared" si="2"/>
        <v>1.35</v>
      </c>
      <c r="C29" s="14">
        <v>20</v>
      </c>
      <c r="D29" s="14">
        <f t="shared" si="0"/>
        <v>29.146000000000001</v>
      </c>
      <c r="E29" s="14">
        <f t="shared" si="3"/>
        <v>4.8576666666666667E-7</v>
      </c>
      <c r="F29" s="14">
        <v>21.1</v>
      </c>
      <c r="G29" s="14">
        <f t="shared" si="4"/>
        <v>294.10000000000002</v>
      </c>
      <c r="H29" s="14">
        <v>101.3</v>
      </c>
      <c r="I29" s="14">
        <f t="shared" si="5"/>
        <v>101300</v>
      </c>
      <c r="J29" s="14">
        <f t="shared" si="6"/>
        <v>2.0124824921938581E-5</v>
      </c>
      <c r="K29" s="11">
        <v>42.476056338028172</v>
      </c>
      <c r="L29" s="17">
        <f t="shared" si="7"/>
        <v>4.2476056338028174E-5</v>
      </c>
      <c r="M29" s="14">
        <f t="shared" si="8"/>
        <v>4.7762865441819992E-3</v>
      </c>
      <c r="N29" s="26">
        <f t="shared" si="9"/>
        <v>1.7897234373814482E-7</v>
      </c>
      <c r="O29" s="8">
        <f t="shared" si="10"/>
        <v>2.032E-3</v>
      </c>
      <c r="P29" s="8">
        <f t="shared" si="11"/>
        <v>3.2336876577195123E-11</v>
      </c>
      <c r="Q29" s="8">
        <v>0.31</v>
      </c>
      <c r="R29" s="8">
        <f t="shared" si="12"/>
        <v>131000</v>
      </c>
      <c r="S29" s="8">
        <f t="shared" si="13"/>
        <v>5.1398579432804297E-3</v>
      </c>
      <c r="T29" s="8">
        <v>0.1</v>
      </c>
      <c r="U29" s="8">
        <f t="shared" si="14"/>
        <v>110000.00000000001</v>
      </c>
      <c r="V29" s="8">
        <f t="shared" si="1"/>
        <v>4.6723661971830994</v>
      </c>
      <c r="W29" s="8">
        <f t="shared" si="15"/>
        <v>179.77217853770236</v>
      </c>
      <c r="X29" s="8">
        <f t="shared" si="16"/>
        <v>7.0317292509645218E-15</v>
      </c>
      <c r="Y29" s="8">
        <f t="shared" si="17"/>
        <v>4234507354.9308352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</row>
    <row r="30" spans="1:76" s="3" customFormat="1" x14ac:dyDescent="0.25">
      <c r="A30" s="14">
        <v>84</v>
      </c>
      <c r="B30" s="14">
        <f t="shared" si="2"/>
        <v>1.4</v>
      </c>
      <c r="C30" s="14">
        <v>20</v>
      </c>
      <c r="D30" s="14">
        <f t="shared" si="0"/>
        <v>29.146000000000001</v>
      </c>
      <c r="E30" s="14">
        <f t="shared" si="3"/>
        <v>4.8576666666666667E-7</v>
      </c>
      <c r="F30" s="14">
        <v>21.1</v>
      </c>
      <c r="G30" s="14">
        <f t="shared" si="4"/>
        <v>294.10000000000002</v>
      </c>
      <c r="H30" s="14">
        <v>101.3</v>
      </c>
      <c r="I30" s="14">
        <f t="shared" si="5"/>
        <v>101300</v>
      </c>
      <c r="J30" s="14">
        <f t="shared" si="6"/>
        <v>2.0124824921938581E-5</v>
      </c>
      <c r="K30" s="11">
        <v>49.771830985915493</v>
      </c>
      <c r="L30" s="17">
        <f t="shared" si="7"/>
        <v>4.977183098591549E-5</v>
      </c>
      <c r="M30" s="14">
        <f t="shared" si="8"/>
        <v>4.7762865441819992E-3</v>
      </c>
      <c r="N30" s="26">
        <f t="shared" si="9"/>
        <v>2.097130009622177E-7</v>
      </c>
      <c r="O30" s="8">
        <f t="shared" si="10"/>
        <v>2.032E-3</v>
      </c>
      <c r="P30" s="8">
        <f t="shared" si="11"/>
        <v>3.2336876577195123E-11</v>
      </c>
      <c r="Q30" s="8">
        <v>0.31</v>
      </c>
      <c r="R30" s="8">
        <f t="shared" si="12"/>
        <v>131000</v>
      </c>
      <c r="S30" s="8">
        <f t="shared" si="13"/>
        <v>5.1398579432804297E-3</v>
      </c>
      <c r="T30" s="8">
        <v>0.1</v>
      </c>
      <c r="U30" s="8">
        <f t="shared" si="14"/>
        <v>110000.00000000001</v>
      </c>
      <c r="V30" s="8">
        <f t="shared" si="1"/>
        <v>5.4749014084507044</v>
      </c>
      <c r="W30" s="8">
        <f t="shared" si="15"/>
        <v>240.80509081693668</v>
      </c>
      <c r="X30" s="8">
        <f t="shared" si="16"/>
        <v>8.2433593641614851E-15</v>
      </c>
      <c r="Y30" s="8">
        <f t="shared" si="17"/>
        <v>4964151009.0980463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</row>
    <row r="31" spans="1:76" s="3" customFormat="1" x14ac:dyDescent="0.25">
      <c r="A31" s="14">
        <v>87</v>
      </c>
      <c r="B31" s="14">
        <f t="shared" si="2"/>
        <v>1.45</v>
      </c>
      <c r="C31" s="14">
        <v>20</v>
      </c>
      <c r="D31" s="14">
        <f t="shared" si="0"/>
        <v>29.146000000000001</v>
      </c>
      <c r="E31" s="14">
        <f t="shared" si="3"/>
        <v>4.8576666666666667E-7</v>
      </c>
      <c r="F31" s="14">
        <v>21.1</v>
      </c>
      <c r="G31" s="14">
        <f t="shared" si="4"/>
        <v>294.10000000000002</v>
      </c>
      <c r="H31" s="14">
        <v>101.3</v>
      </c>
      <c r="I31" s="14">
        <f t="shared" si="5"/>
        <v>101300</v>
      </c>
      <c r="J31" s="14">
        <f t="shared" si="6"/>
        <v>2.0124824921938581E-5</v>
      </c>
      <c r="K31" s="11">
        <v>46.954929577464796</v>
      </c>
      <c r="L31" s="17">
        <f t="shared" si="7"/>
        <v>4.6954929577464799E-5</v>
      </c>
      <c r="M31" s="14">
        <f t="shared" si="8"/>
        <v>4.7762865441819992E-3</v>
      </c>
      <c r="N31" s="26">
        <f t="shared" si="9"/>
        <v>1.9784402133902359E-7</v>
      </c>
      <c r="O31" s="8">
        <f t="shared" si="10"/>
        <v>2.032E-3</v>
      </c>
      <c r="P31" s="8">
        <f t="shared" si="11"/>
        <v>3.2336876577195123E-11</v>
      </c>
      <c r="Q31" s="8">
        <v>0.31</v>
      </c>
      <c r="R31" s="8">
        <f t="shared" si="12"/>
        <v>131000</v>
      </c>
      <c r="S31" s="8">
        <f t="shared" si="13"/>
        <v>5.1398579432804297E-3</v>
      </c>
      <c r="T31" s="8">
        <v>0.1</v>
      </c>
      <c r="U31" s="8">
        <f t="shared" si="14"/>
        <v>110000.00000000001</v>
      </c>
      <c r="V31" s="8">
        <f t="shared" si="1"/>
        <v>5.1650422535211282</v>
      </c>
      <c r="W31" s="8">
        <f t="shared" si="15"/>
        <v>216.23377393755956</v>
      </c>
      <c r="X31" s="8">
        <f t="shared" si="16"/>
        <v>7.7753546480088957E-15</v>
      </c>
      <c r="Y31" s="8">
        <f t="shared" si="17"/>
        <v>4682318569.0309572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</row>
    <row r="32" spans="1:76" s="3" customFormat="1" x14ac:dyDescent="0.25">
      <c r="A32" s="14">
        <v>90</v>
      </c>
      <c r="B32" s="14">
        <f t="shared" si="2"/>
        <v>1.5</v>
      </c>
      <c r="C32" s="14">
        <v>20</v>
      </c>
      <c r="D32" s="14">
        <f t="shared" si="0"/>
        <v>29.146000000000001</v>
      </c>
      <c r="E32" s="14">
        <f t="shared" si="3"/>
        <v>4.8576666666666667E-7</v>
      </c>
      <c r="F32" s="14">
        <v>21.1</v>
      </c>
      <c r="G32" s="14">
        <f t="shared" si="4"/>
        <v>294.10000000000002</v>
      </c>
      <c r="H32" s="14">
        <v>101.3</v>
      </c>
      <c r="I32" s="14">
        <f t="shared" si="5"/>
        <v>101300</v>
      </c>
      <c r="J32" s="14">
        <f t="shared" si="6"/>
        <v>2.0124824921938581E-5</v>
      </c>
      <c r="K32" s="11">
        <v>50.391549295774652</v>
      </c>
      <c r="L32" s="17">
        <f t="shared" si="7"/>
        <v>5.039154929577465E-5</v>
      </c>
      <c r="M32" s="14">
        <f t="shared" si="8"/>
        <v>4.7762865441819992E-3</v>
      </c>
      <c r="N32" s="26">
        <f t="shared" si="9"/>
        <v>2.1232417647932043E-7</v>
      </c>
      <c r="O32" s="8">
        <f t="shared" si="10"/>
        <v>2.032E-3</v>
      </c>
      <c r="P32" s="8">
        <f t="shared" si="11"/>
        <v>3.2336876577195123E-11</v>
      </c>
      <c r="Q32" s="8">
        <v>0.31</v>
      </c>
      <c r="R32" s="8">
        <f t="shared" si="12"/>
        <v>131000</v>
      </c>
      <c r="S32" s="8">
        <f t="shared" si="13"/>
        <v>5.1398579432804297E-3</v>
      </c>
      <c r="T32" s="8">
        <v>0.1</v>
      </c>
      <c r="U32" s="8">
        <f t="shared" si="14"/>
        <v>110000.00000000001</v>
      </c>
      <c r="V32" s="8">
        <f t="shared" si="1"/>
        <v>5.5430704225352123</v>
      </c>
      <c r="W32" s="8">
        <f t="shared" si="15"/>
        <v>246.38011240950863</v>
      </c>
      <c r="X32" s="8">
        <f t="shared" si="16"/>
        <v>8.3463548157666335E-15</v>
      </c>
      <c r="Y32" s="8">
        <f t="shared" si="17"/>
        <v>5026174870.0546665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</row>
    <row r="33" spans="1:76" s="3" customFormat="1" x14ac:dyDescent="0.25">
      <c r="A33" s="14">
        <v>93</v>
      </c>
      <c r="B33" s="14">
        <f t="shared" si="2"/>
        <v>1.55</v>
      </c>
      <c r="C33" s="14">
        <v>20</v>
      </c>
      <c r="D33" s="14">
        <f t="shared" si="0"/>
        <v>29.146000000000001</v>
      </c>
      <c r="E33" s="14">
        <f t="shared" si="3"/>
        <v>4.8576666666666667E-7</v>
      </c>
      <c r="F33" s="14">
        <v>21.1</v>
      </c>
      <c r="G33" s="14">
        <f t="shared" si="4"/>
        <v>294.10000000000002</v>
      </c>
      <c r="H33" s="14">
        <v>101.3</v>
      </c>
      <c r="I33" s="14">
        <f t="shared" si="5"/>
        <v>101300</v>
      </c>
      <c r="J33" s="14">
        <f t="shared" si="6"/>
        <v>2.0124824921938581E-5</v>
      </c>
      <c r="K33" s="11">
        <v>55.51830985915494</v>
      </c>
      <c r="L33" s="17">
        <f t="shared" si="7"/>
        <v>5.5518309859154942E-5</v>
      </c>
      <c r="M33" s="14">
        <f t="shared" si="8"/>
        <v>4.7762865441819992E-3</v>
      </c>
      <c r="N33" s="26">
        <f t="shared" si="9"/>
        <v>2.3392571939353385E-7</v>
      </c>
      <c r="O33" s="8">
        <f t="shared" si="10"/>
        <v>2.032E-3</v>
      </c>
      <c r="P33" s="8">
        <f t="shared" si="11"/>
        <v>3.2336876577195123E-11</v>
      </c>
      <c r="Q33" s="8">
        <v>0.31</v>
      </c>
      <c r="R33" s="8">
        <f t="shared" si="12"/>
        <v>131000</v>
      </c>
      <c r="S33" s="8">
        <f t="shared" si="13"/>
        <v>5.1398579432804297E-3</v>
      </c>
      <c r="T33" s="8">
        <v>0.1</v>
      </c>
      <c r="U33" s="8">
        <f t="shared" si="14"/>
        <v>110000.00000000001</v>
      </c>
      <c r="V33" s="8">
        <f t="shared" si="1"/>
        <v>6.1070140845070444</v>
      </c>
      <c r="W33" s="8">
        <f t="shared" si="15"/>
        <v>294.83543696671313</v>
      </c>
      <c r="X33" s="8">
        <f t="shared" si="16"/>
        <v>9.1989094002678549E-15</v>
      </c>
      <c r="Y33" s="8">
        <f t="shared" si="17"/>
        <v>5539583240.8413029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</row>
    <row r="34" spans="1:76" s="3" customFormat="1" x14ac:dyDescent="0.25">
      <c r="A34" s="14">
        <v>96</v>
      </c>
      <c r="B34" s="14">
        <f t="shared" si="2"/>
        <v>1.6</v>
      </c>
      <c r="C34" s="14">
        <v>20</v>
      </c>
      <c r="D34" s="14">
        <f t="shared" si="0"/>
        <v>29.146000000000001</v>
      </c>
      <c r="E34" s="14">
        <f t="shared" si="3"/>
        <v>4.8576666666666667E-7</v>
      </c>
      <c r="F34" s="14">
        <v>21.1</v>
      </c>
      <c r="G34" s="14">
        <f t="shared" si="4"/>
        <v>294.10000000000002</v>
      </c>
      <c r="H34" s="14">
        <v>101.3</v>
      </c>
      <c r="I34" s="14">
        <f t="shared" si="5"/>
        <v>101300</v>
      </c>
      <c r="J34" s="14">
        <f t="shared" si="6"/>
        <v>2.0124824921938581E-5</v>
      </c>
      <c r="K34" s="11">
        <v>54.645070422535213</v>
      </c>
      <c r="L34" s="17">
        <f t="shared" si="7"/>
        <v>5.4645070422535211E-5</v>
      </c>
      <c r="M34" s="14">
        <f t="shared" si="8"/>
        <v>4.7762865441819992E-3</v>
      </c>
      <c r="N34" s="26">
        <f t="shared" si="9"/>
        <v>2.3024633571034357E-7</v>
      </c>
      <c r="O34" s="8">
        <f t="shared" si="10"/>
        <v>2.032E-3</v>
      </c>
      <c r="P34" s="8">
        <f t="shared" si="11"/>
        <v>3.2336876577195123E-11</v>
      </c>
      <c r="Q34" s="8">
        <v>0.31</v>
      </c>
      <c r="R34" s="8">
        <f t="shared" si="12"/>
        <v>131000</v>
      </c>
      <c r="S34" s="8">
        <f t="shared" si="13"/>
        <v>5.1398579432804297E-3</v>
      </c>
      <c r="T34" s="8">
        <v>0.1</v>
      </c>
      <c r="U34" s="8">
        <f t="shared" si="14"/>
        <v>110000.00000000001</v>
      </c>
      <c r="V34" s="8">
        <f t="shared" si="1"/>
        <v>6.0109577464788737</v>
      </c>
      <c r="W34" s="8">
        <f t="shared" si="15"/>
        <v>286.288227350157</v>
      </c>
      <c r="X34" s="8">
        <f t="shared" si="16"/>
        <v>9.0536290452096245E-15</v>
      </c>
      <c r="Y34" s="8">
        <f t="shared" si="17"/>
        <v>5452095411.0252361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</row>
    <row r="35" spans="1:76" s="3" customFormat="1" x14ac:dyDescent="0.25">
      <c r="A35" s="14">
        <v>99</v>
      </c>
      <c r="B35" s="14">
        <f t="shared" si="2"/>
        <v>1.65</v>
      </c>
      <c r="C35" s="14">
        <v>20</v>
      </c>
      <c r="D35" s="14">
        <f t="shared" si="0"/>
        <v>29.146000000000001</v>
      </c>
      <c r="E35" s="14">
        <f t="shared" si="3"/>
        <v>4.8576666666666667E-7</v>
      </c>
      <c r="F35" s="14">
        <v>21.1</v>
      </c>
      <c r="G35" s="14">
        <f t="shared" si="4"/>
        <v>294.10000000000002</v>
      </c>
      <c r="H35" s="14">
        <v>101.3</v>
      </c>
      <c r="I35" s="14">
        <f t="shared" si="5"/>
        <v>101300</v>
      </c>
      <c r="J35" s="14">
        <f t="shared" si="6"/>
        <v>2.0124824921938581E-5</v>
      </c>
      <c r="K35" s="11">
        <v>56.532394366197188</v>
      </c>
      <c r="L35" s="17">
        <f t="shared" si="7"/>
        <v>5.653239436619719E-5</v>
      </c>
      <c r="M35" s="14">
        <f t="shared" si="8"/>
        <v>4.7762865441819992E-3</v>
      </c>
      <c r="N35" s="26">
        <f t="shared" si="9"/>
        <v>2.3819855205788373E-7</v>
      </c>
      <c r="O35" s="8">
        <f t="shared" si="10"/>
        <v>2.032E-3</v>
      </c>
      <c r="P35" s="8">
        <f t="shared" si="11"/>
        <v>3.2336876577195123E-11</v>
      </c>
      <c r="Q35" s="8">
        <v>0.31</v>
      </c>
      <c r="R35" s="8">
        <f t="shared" si="12"/>
        <v>131000</v>
      </c>
      <c r="S35" s="8">
        <f t="shared" si="13"/>
        <v>5.1398579432804297E-3</v>
      </c>
      <c r="T35" s="8">
        <v>0.1</v>
      </c>
      <c r="U35" s="8">
        <f t="shared" si="14"/>
        <v>110000.00000000001</v>
      </c>
      <c r="V35" s="8">
        <f t="shared" si="1"/>
        <v>6.218563380281692</v>
      </c>
      <c r="W35" s="8">
        <f t="shared" si="15"/>
        <v>304.91230907211514</v>
      </c>
      <c r="X35" s="8">
        <f t="shared" si="16"/>
        <v>9.3676567459665521E-15</v>
      </c>
      <c r="Y35" s="8">
        <f t="shared" si="17"/>
        <v>5641202892.4210577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</row>
    <row r="36" spans="1:76" s="3" customFormat="1" x14ac:dyDescent="0.25">
      <c r="A36" s="14">
        <v>102</v>
      </c>
      <c r="B36" s="14">
        <f t="shared" si="2"/>
        <v>1.7</v>
      </c>
      <c r="C36" s="14">
        <v>20</v>
      </c>
      <c r="D36" s="14">
        <f t="shared" si="0"/>
        <v>29.146000000000001</v>
      </c>
      <c r="E36" s="14">
        <f t="shared" si="3"/>
        <v>4.8576666666666667E-7</v>
      </c>
      <c r="F36" s="14">
        <v>21.1</v>
      </c>
      <c r="G36" s="14">
        <f t="shared" si="4"/>
        <v>294.10000000000002</v>
      </c>
      <c r="H36" s="14">
        <v>101.3</v>
      </c>
      <c r="I36" s="14">
        <f t="shared" si="5"/>
        <v>101300</v>
      </c>
      <c r="J36" s="14">
        <f t="shared" si="6"/>
        <v>2.0124824921938581E-5</v>
      </c>
      <c r="K36" s="11">
        <v>57.292957746478876</v>
      </c>
      <c r="L36" s="17">
        <f t="shared" si="7"/>
        <v>5.7292957746478879E-5</v>
      </c>
      <c r="M36" s="14">
        <f t="shared" si="8"/>
        <v>4.7762865441819992E-3</v>
      </c>
      <c r="N36" s="26">
        <f t="shared" si="9"/>
        <v>2.4140317655614612E-7</v>
      </c>
      <c r="O36" s="8">
        <f t="shared" si="10"/>
        <v>2.032E-3</v>
      </c>
      <c r="P36" s="8">
        <f t="shared" si="11"/>
        <v>3.2336876577195123E-11</v>
      </c>
      <c r="Q36" s="8">
        <v>0.31</v>
      </c>
      <c r="R36" s="8">
        <f t="shared" si="12"/>
        <v>131000</v>
      </c>
      <c r="S36" s="8">
        <f t="shared" si="13"/>
        <v>5.1398579432804297E-3</v>
      </c>
      <c r="T36" s="8">
        <v>0.1</v>
      </c>
      <c r="U36" s="8">
        <f t="shared" si="14"/>
        <v>110000.00000000001</v>
      </c>
      <c r="V36" s="8">
        <f t="shared" si="1"/>
        <v>6.3022253521126776</v>
      </c>
      <c r="W36" s="8">
        <f t="shared" si="15"/>
        <v>312.57641494951582</v>
      </c>
      <c r="X36" s="8">
        <f t="shared" si="16"/>
        <v>9.4942420664353055E-15</v>
      </c>
      <c r="Y36" s="8">
        <f t="shared" si="17"/>
        <v>5717432572.407341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</row>
    <row r="37" spans="1:76" s="3" customFormat="1" x14ac:dyDescent="0.25">
      <c r="A37" s="14">
        <v>105</v>
      </c>
      <c r="B37" s="14">
        <f t="shared" si="2"/>
        <v>1.75</v>
      </c>
      <c r="C37" s="14">
        <v>20</v>
      </c>
      <c r="D37" s="14">
        <f t="shared" si="0"/>
        <v>29.146000000000001</v>
      </c>
      <c r="E37" s="14">
        <f t="shared" si="3"/>
        <v>4.8576666666666667E-7</v>
      </c>
      <c r="F37" s="14">
        <v>21.1</v>
      </c>
      <c r="G37" s="14">
        <f t="shared" si="4"/>
        <v>294.10000000000002</v>
      </c>
      <c r="H37" s="14">
        <v>101.3</v>
      </c>
      <c r="I37" s="14">
        <f t="shared" si="5"/>
        <v>101300</v>
      </c>
      <c r="J37" s="14">
        <f t="shared" si="6"/>
        <v>2.0124824921938581E-5</v>
      </c>
      <c r="K37" s="11">
        <v>61.518309859154932</v>
      </c>
      <c r="L37" s="17">
        <f t="shared" si="7"/>
        <v>6.1518309859154939E-5</v>
      </c>
      <c r="M37" s="14">
        <f t="shared" si="8"/>
        <v>4.7762865441819992E-3</v>
      </c>
      <c r="N37" s="26">
        <f t="shared" si="9"/>
        <v>2.592066459909374E-7</v>
      </c>
      <c r="O37" s="8">
        <f t="shared" si="10"/>
        <v>2.032E-3</v>
      </c>
      <c r="P37" s="8">
        <f t="shared" si="11"/>
        <v>3.2336876577195123E-11</v>
      </c>
      <c r="Q37" s="8">
        <v>0.31</v>
      </c>
      <c r="R37" s="8">
        <f t="shared" si="12"/>
        <v>131000</v>
      </c>
      <c r="S37" s="8">
        <f t="shared" si="13"/>
        <v>5.1398579432804297E-3</v>
      </c>
      <c r="T37" s="8">
        <v>0.1</v>
      </c>
      <c r="U37" s="8">
        <f t="shared" si="14"/>
        <v>110000.00000000001</v>
      </c>
      <c r="V37" s="8">
        <f t="shared" si="1"/>
        <v>6.7670140845070446</v>
      </c>
      <c r="W37" s="8">
        <f t="shared" si="15"/>
        <v>356.81316391308309</v>
      </c>
      <c r="X37" s="8">
        <f t="shared" si="16"/>
        <v>1.0197893748712408E-14</v>
      </c>
      <c r="Y37" s="8">
        <f t="shared" si="17"/>
        <v>6141171615.4746122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</row>
    <row r="38" spans="1:76" s="3" customFormat="1" x14ac:dyDescent="0.25">
      <c r="A38" s="14">
        <v>108</v>
      </c>
      <c r="B38" s="14">
        <f t="shared" si="2"/>
        <v>1.8</v>
      </c>
      <c r="C38" s="14">
        <v>20</v>
      </c>
      <c r="D38" s="14">
        <f t="shared" si="0"/>
        <v>29.146000000000001</v>
      </c>
      <c r="E38" s="14">
        <f t="shared" si="3"/>
        <v>4.8576666666666667E-7</v>
      </c>
      <c r="F38" s="14">
        <v>21.1</v>
      </c>
      <c r="G38" s="14">
        <f t="shared" si="4"/>
        <v>294.10000000000002</v>
      </c>
      <c r="H38" s="14">
        <v>101.3</v>
      </c>
      <c r="I38" s="14">
        <f t="shared" si="5"/>
        <v>101300</v>
      </c>
      <c r="J38" s="14">
        <f t="shared" si="6"/>
        <v>2.0124824921938581E-5</v>
      </c>
      <c r="K38" s="11">
        <v>60.222535211267612</v>
      </c>
      <c r="L38" s="17">
        <f t="shared" si="7"/>
        <v>6.0222535211267612E-5</v>
      </c>
      <c r="M38" s="14">
        <f t="shared" si="8"/>
        <v>4.7762865441819992E-3</v>
      </c>
      <c r="N38" s="26">
        <f t="shared" si="9"/>
        <v>2.5374691536426809E-7</v>
      </c>
      <c r="O38" s="8">
        <f t="shared" si="10"/>
        <v>2.032E-3</v>
      </c>
      <c r="P38" s="8">
        <f t="shared" si="11"/>
        <v>3.2336876577195123E-11</v>
      </c>
      <c r="Q38" s="8">
        <v>0.31</v>
      </c>
      <c r="R38" s="8">
        <f t="shared" si="12"/>
        <v>131000</v>
      </c>
      <c r="S38" s="8">
        <f t="shared" si="13"/>
        <v>5.1398579432804297E-3</v>
      </c>
      <c r="T38" s="8">
        <v>0.1</v>
      </c>
      <c r="U38" s="8">
        <f t="shared" si="14"/>
        <v>110000.00000000001</v>
      </c>
      <c r="V38" s="8">
        <f t="shared" si="1"/>
        <v>6.624478873239438</v>
      </c>
      <c r="W38" s="8">
        <f t="shared" si="15"/>
        <v>342.9487466986526</v>
      </c>
      <c r="X38" s="8">
        <f t="shared" si="16"/>
        <v>9.9820337747365626E-15</v>
      </c>
      <c r="Y38" s="8">
        <f t="shared" si="17"/>
        <v>6011180739.1463585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</row>
    <row r="39" spans="1:76" s="3" customFormat="1" x14ac:dyDescent="0.25">
      <c r="A39" s="14">
        <v>111</v>
      </c>
      <c r="B39" s="14">
        <f t="shared" si="2"/>
        <v>1.85</v>
      </c>
      <c r="C39" s="14">
        <v>20</v>
      </c>
      <c r="D39" s="14">
        <f t="shared" si="0"/>
        <v>29.146000000000001</v>
      </c>
      <c r="E39" s="14">
        <f t="shared" si="3"/>
        <v>4.8576666666666667E-7</v>
      </c>
      <c r="F39" s="14">
        <v>21.1</v>
      </c>
      <c r="G39" s="14">
        <f t="shared" si="4"/>
        <v>294.10000000000002</v>
      </c>
      <c r="H39" s="14">
        <v>101.3</v>
      </c>
      <c r="I39" s="14">
        <f t="shared" si="5"/>
        <v>101300</v>
      </c>
      <c r="J39" s="14">
        <f t="shared" si="6"/>
        <v>2.0124824921938581E-5</v>
      </c>
      <c r="K39" s="11">
        <v>67.208450704225356</v>
      </c>
      <c r="L39" s="17">
        <f t="shared" si="7"/>
        <v>6.7208450704225363E-5</v>
      </c>
      <c r="M39" s="14">
        <f t="shared" si="8"/>
        <v>4.7762865441819992E-3</v>
      </c>
      <c r="N39" s="26">
        <f t="shared" si="9"/>
        <v>2.8318198482978966E-7</v>
      </c>
      <c r="O39" s="8">
        <f t="shared" si="10"/>
        <v>2.032E-3</v>
      </c>
      <c r="P39" s="8">
        <f t="shared" si="11"/>
        <v>3.2336876577195123E-11</v>
      </c>
      <c r="Q39" s="8">
        <v>0.31</v>
      </c>
      <c r="R39" s="8">
        <f t="shared" si="12"/>
        <v>131000</v>
      </c>
      <c r="S39" s="8">
        <f t="shared" si="13"/>
        <v>5.1398579432804297E-3</v>
      </c>
      <c r="T39" s="8">
        <v>0.1</v>
      </c>
      <c r="U39" s="8">
        <f t="shared" si="14"/>
        <v>110000.00000000001</v>
      </c>
      <c r="V39" s="8">
        <f t="shared" si="1"/>
        <v>7.3929295774647912</v>
      </c>
      <c r="W39" s="8">
        <f t="shared" si="15"/>
        <v>420.81263459399173</v>
      </c>
      <c r="X39" s="8">
        <f t="shared" si="16"/>
        <v>1.1146609222251281E-14</v>
      </c>
      <c r="Y39" s="8">
        <f t="shared" si="17"/>
        <v>6712488073.6397219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</row>
    <row r="40" spans="1:76" s="3" customFormat="1" x14ac:dyDescent="0.25">
      <c r="A40" s="14">
        <v>114</v>
      </c>
      <c r="B40" s="14">
        <f t="shared" si="2"/>
        <v>1.9</v>
      </c>
      <c r="C40" s="14">
        <v>20</v>
      </c>
      <c r="D40" s="14">
        <f t="shared" si="0"/>
        <v>29.146000000000001</v>
      </c>
      <c r="E40" s="14">
        <f t="shared" si="3"/>
        <v>4.8576666666666667E-7</v>
      </c>
      <c r="F40" s="14">
        <v>21.1</v>
      </c>
      <c r="G40" s="14">
        <f t="shared" si="4"/>
        <v>294.10000000000002</v>
      </c>
      <c r="H40" s="14">
        <v>101.3</v>
      </c>
      <c r="I40" s="14">
        <f t="shared" si="5"/>
        <v>101300</v>
      </c>
      <c r="J40" s="14">
        <f t="shared" si="6"/>
        <v>2.0124824921938581E-5</v>
      </c>
      <c r="K40" s="11">
        <v>63.292957746478884</v>
      </c>
      <c r="L40" s="17">
        <f t="shared" si="7"/>
        <v>6.3292957746478889E-5</v>
      </c>
      <c r="M40" s="14">
        <f t="shared" si="8"/>
        <v>4.7762865441819992E-3</v>
      </c>
      <c r="N40" s="26">
        <f t="shared" si="9"/>
        <v>2.6668410315354977E-7</v>
      </c>
      <c r="O40" s="8">
        <f t="shared" si="10"/>
        <v>2.032E-3</v>
      </c>
      <c r="P40" s="8">
        <f t="shared" si="11"/>
        <v>3.2336876577195123E-11</v>
      </c>
      <c r="Q40" s="8">
        <v>0.31</v>
      </c>
      <c r="R40" s="8">
        <f t="shared" si="12"/>
        <v>131000</v>
      </c>
      <c r="S40" s="8">
        <f t="shared" si="13"/>
        <v>5.1398579432804297E-3</v>
      </c>
      <c r="T40" s="8">
        <v>0.1</v>
      </c>
      <c r="U40" s="8">
        <f t="shared" si="14"/>
        <v>110000.00000000001</v>
      </c>
      <c r="V40" s="8">
        <f t="shared" si="1"/>
        <v>6.9622253521126787</v>
      </c>
      <c r="W40" s="8">
        <f t="shared" si="15"/>
        <v>376.22906837625885</v>
      </c>
      <c r="X40" s="8">
        <f t="shared" si="16"/>
        <v>1.0493636771961712E-14</v>
      </c>
      <c r="Y40" s="8">
        <f t="shared" si="17"/>
        <v>6319268064.0753431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</row>
    <row r="41" spans="1:76" s="3" customFormat="1" x14ac:dyDescent="0.25">
      <c r="A41" s="14">
        <v>117</v>
      </c>
      <c r="B41" s="14">
        <f t="shared" si="2"/>
        <v>1.95</v>
      </c>
      <c r="C41" s="14">
        <v>20</v>
      </c>
      <c r="D41" s="14">
        <f t="shared" si="0"/>
        <v>29.146000000000001</v>
      </c>
      <c r="E41" s="14">
        <f t="shared" si="3"/>
        <v>4.8576666666666667E-7</v>
      </c>
      <c r="F41" s="14">
        <v>21.1</v>
      </c>
      <c r="G41" s="14">
        <f t="shared" si="4"/>
        <v>294.10000000000002</v>
      </c>
      <c r="H41" s="14">
        <v>101.3</v>
      </c>
      <c r="I41" s="14">
        <f t="shared" si="5"/>
        <v>101300</v>
      </c>
      <c r="J41" s="14">
        <f t="shared" si="6"/>
        <v>2.0124824921938581E-5</v>
      </c>
      <c r="K41" s="11">
        <v>58.616901408450715</v>
      </c>
      <c r="L41" s="17">
        <f t="shared" si="7"/>
        <v>5.8616901408450712E-5</v>
      </c>
      <c r="M41" s="14">
        <f t="shared" si="8"/>
        <v>4.7762865441819992E-3</v>
      </c>
      <c r="N41" s="26">
        <f t="shared" si="9"/>
        <v>2.469815969790474E-7</v>
      </c>
      <c r="O41" s="8">
        <f t="shared" si="10"/>
        <v>2.032E-3</v>
      </c>
      <c r="P41" s="8">
        <f t="shared" si="11"/>
        <v>3.2336876577195123E-11</v>
      </c>
      <c r="Q41" s="8">
        <v>0.31</v>
      </c>
      <c r="R41" s="8">
        <f t="shared" si="12"/>
        <v>131000</v>
      </c>
      <c r="S41" s="8">
        <f t="shared" si="13"/>
        <v>5.1398579432804297E-3</v>
      </c>
      <c r="T41" s="8">
        <v>0.1</v>
      </c>
      <c r="U41" s="8">
        <f t="shared" si="14"/>
        <v>110000.00000000001</v>
      </c>
      <c r="V41" s="8">
        <f t="shared" si="1"/>
        <v>6.4478591549295796</v>
      </c>
      <c r="W41" s="8">
        <f t="shared" si="15"/>
        <v>326.13507790179142</v>
      </c>
      <c r="X41" s="8">
        <f t="shared" si="16"/>
        <v>9.7146458768448531E-15</v>
      </c>
      <c r="Y41" s="8">
        <f t="shared" si="17"/>
        <v>5850159747.0359707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 spans="1:76" s="3" customFormat="1" x14ac:dyDescent="0.25">
      <c r="A42" s="14">
        <v>120</v>
      </c>
      <c r="B42" s="14">
        <f t="shared" si="2"/>
        <v>2</v>
      </c>
      <c r="C42" s="14">
        <v>20</v>
      </c>
      <c r="D42" s="14">
        <f t="shared" si="0"/>
        <v>29.146000000000001</v>
      </c>
      <c r="E42" s="14">
        <f t="shared" si="3"/>
        <v>4.8576666666666667E-7</v>
      </c>
      <c r="F42" s="14">
        <v>21.1</v>
      </c>
      <c r="G42" s="14">
        <f t="shared" si="4"/>
        <v>294.10000000000002</v>
      </c>
      <c r="H42" s="14">
        <v>101.3</v>
      </c>
      <c r="I42" s="14">
        <f t="shared" si="5"/>
        <v>101300</v>
      </c>
      <c r="J42" s="14">
        <f t="shared" si="6"/>
        <v>2.0124824921938581E-5</v>
      </c>
      <c r="K42" s="11">
        <v>64.363380281690141</v>
      </c>
      <c r="L42" s="17">
        <f t="shared" si="7"/>
        <v>6.4363380281690137E-5</v>
      </c>
      <c r="M42" s="14">
        <f t="shared" si="8"/>
        <v>4.7762865441819992E-3</v>
      </c>
      <c r="N42" s="26">
        <f t="shared" si="9"/>
        <v>2.7119431541036345E-7</v>
      </c>
      <c r="O42" s="8">
        <f t="shared" si="10"/>
        <v>2.032E-3</v>
      </c>
      <c r="P42" s="8">
        <f t="shared" si="11"/>
        <v>3.2336876577195123E-11</v>
      </c>
      <c r="Q42" s="8">
        <v>0.31</v>
      </c>
      <c r="R42" s="8">
        <f t="shared" si="12"/>
        <v>131000</v>
      </c>
      <c r="S42" s="8">
        <f t="shared" si="13"/>
        <v>5.1398579432804297E-3</v>
      </c>
      <c r="T42" s="8">
        <v>0.1</v>
      </c>
      <c r="U42" s="8">
        <f t="shared" si="14"/>
        <v>110000.00000000001</v>
      </c>
      <c r="V42" s="8">
        <f t="shared" si="1"/>
        <v>7.0799718309859161</v>
      </c>
      <c r="W42" s="8">
        <f t="shared" si="15"/>
        <v>388.17900055712857</v>
      </c>
      <c r="X42" s="8">
        <f t="shared" si="16"/>
        <v>1.0672083472753976E-14</v>
      </c>
      <c r="Y42" s="8">
        <f t="shared" si="17"/>
        <v>6426728667.2924442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</row>
    <row r="43" spans="1:76" s="3" customFormat="1" x14ac:dyDescent="0.25">
      <c r="A43" s="14">
        <v>123</v>
      </c>
      <c r="B43" s="14">
        <f t="shared" si="2"/>
        <v>2.0499999999999998</v>
      </c>
      <c r="C43" s="14">
        <v>20</v>
      </c>
      <c r="D43" s="14">
        <f t="shared" si="0"/>
        <v>29.146000000000001</v>
      </c>
      <c r="E43" s="14">
        <f t="shared" si="3"/>
        <v>4.8576666666666667E-7</v>
      </c>
      <c r="F43" s="14">
        <v>21.1</v>
      </c>
      <c r="G43" s="14">
        <f t="shared" si="4"/>
        <v>294.10000000000002</v>
      </c>
      <c r="H43" s="14">
        <v>101.3</v>
      </c>
      <c r="I43" s="14">
        <f t="shared" si="5"/>
        <v>101300</v>
      </c>
      <c r="J43" s="14">
        <f t="shared" si="6"/>
        <v>2.0124824921938581E-5</v>
      </c>
      <c r="K43" s="11">
        <v>66.391549295774652</v>
      </c>
      <c r="L43" s="17">
        <f t="shared" si="7"/>
        <v>6.6391549295774646E-5</v>
      </c>
      <c r="M43" s="14">
        <f t="shared" si="8"/>
        <v>4.7762865441819992E-3</v>
      </c>
      <c r="N43" s="26">
        <f t="shared" si="9"/>
        <v>2.7973998073906322E-7</v>
      </c>
      <c r="O43" s="8">
        <f t="shared" si="10"/>
        <v>2.032E-3</v>
      </c>
      <c r="P43" s="8">
        <f t="shared" si="11"/>
        <v>3.2336876577195123E-11</v>
      </c>
      <c r="Q43" s="8">
        <v>0.31</v>
      </c>
      <c r="R43" s="8">
        <f t="shared" si="12"/>
        <v>131000</v>
      </c>
      <c r="S43" s="8">
        <f t="shared" si="13"/>
        <v>5.1398579432804297E-3</v>
      </c>
      <c r="T43" s="8">
        <v>0.1</v>
      </c>
      <c r="U43" s="8">
        <f t="shared" si="14"/>
        <v>110000.00000000001</v>
      </c>
      <c r="V43" s="8">
        <f t="shared" si="1"/>
        <v>7.3030704225352121</v>
      </c>
      <c r="W43" s="8">
        <f t="shared" si="15"/>
        <v>411.31300088575688</v>
      </c>
      <c r="X43" s="8">
        <f t="shared" si="16"/>
        <v>1.1010324057125568E-14</v>
      </c>
      <c r="Y43" s="8">
        <f t="shared" si="17"/>
        <v>6630417147.2010174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 spans="1:76" s="3" customFormat="1" x14ac:dyDescent="0.25">
      <c r="A44" s="14">
        <v>126</v>
      </c>
      <c r="B44" s="14">
        <f t="shared" si="2"/>
        <v>2.1</v>
      </c>
      <c r="C44" s="14">
        <v>20</v>
      </c>
      <c r="D44" s="14">
        <f t="shared" si="0"/>
        <v>29.146000000000001</v>
      </c>
      <c r="E44" s="14">
        <f t="shared" si="3"/>
        <v>4.8576666666666667E-7</v>
      </c>
      <c r="F44" s="14">
        <v>21.1</v>
      </c>
      <c r="G44" s="14">
        <f t="shared" si="4"/>
        <v>294.10000000000002</v>
      </c>
      <c r="H44" s="14">
        <v>101.3</v>
      </c>
      <c r="I44" s="14">
        <f t="shared" si="5"/>
        <v>101300</v>
      </c>
      <c r="J44" s="14">
        <f t="shared" si="6"/>
        <v>2.0124824921938581E-5</v>
      </c>
      <c r="K44" s="11">
        <v>56.194366197183101</v>
      </c>
      <c r="L44" s="17">
        <f t="shared" si="7"/>
        <v>5.6194366197183103E-5</v>
      </c>
      <c r="M44" s="14">
        <f t="shared" si="8"/>
        <v>4.7762865441819992E-3</v>
      </c>
      <c r="N44" s="26">
        <f t="shared" si="9"/>
        <v>2.367742745031004E-7</v>
      </c>
      <c r="O44" s="8">
        <f t="shared" si="10"/>
        <v>2.032E-3</v>
      </c>
      <c r="P44" s="8">
        <f t="shared" si="11"/>
        <v>3.2336876577195123E-11</v>
      </c>
      <c r="Q44" s="8">
        <v>0.31</v>
      </c>
      <c r="R44" s="8">
        <f t="shared" si="12"/>
        <v>131000</v>
      </c>
      <c r="S44" s="8">
        <f t="shared" si="13"/>
        <v>5.1398579432804297E-3</v>
      </c>
      <c r="T44" s="8">
        <v>0.1</v>
      </c>
      <c r="U44" s="8">
        <f t="shared" si="14"/>
        <v>110000.00000000001</v>
      </c>
      <c r="V44" s="8">
        <f t="shared" si="1"/>
        <v>6.1813802816901422</v>
      </c>
      <c r="W44" s="8">
        <f t="shared" si="15"/>
        <v>301.53532160955132</v>
      </c>
      <c r="X44" s="8">
        <f t="shared" si="16"/>
        <v>9.311403454997407E-15</v>
      </c>
      <c r="Y44" s="8">
        <f t="shared" si="17"/>
        <v>5607327160.5994387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</row>
    <row r="45" spans="1:76" s="3" customFormat="1" x14ac:dyDescent="0.25">
      <c r="A45" s="14">
        <v>129</v>
      </c>
      <c r="B45" s="14">
        <f t="shared" si="2"/>
        <v>2.15</v>
      </c>
      <c r="C45" s="14">
        <v>20</v>
      </c>
      <c r="D45" s="14">
        <f t="shared" si="0"/>
        <v>29.146000000000001</v>
      </c>
      <c r="E45" s="14">
        <f t="shared" si="3"/>
        <v>4.8576666666666667E-7</v>
      </c>
      <c r="F45" s="14">
        <v>21.1</v>
      </c>
      <c r="G45" s="14">
        <f t="shared" si="4"/>
        <v>294.10000000000002</v>
      </c>
      <c r="H45" s="14">
        <v>101.3</v>
      </c>
      <c r="I45" s="14">
        <f t="shared" si="5"/>
        <v>101300</v>
      </c>
      <c r="J45" s="14">
        <f t="shared" si="6"/>
        <v>2.0124824921938581E-5</v>
      </c>
      <c r="K45" s="11">
        <v>61.94084507042254</v>
      </c>
      <c r="L45" s="17">
        <f t="shared" si="7"/>
        <v>6.1940845070422541E-5</v>
      </c>
      <c r="M45" s="14">
        <f t="shared" si="8"/>
        <v>4.7762865441819992E-3</v>
      </c>
      <c r="N45" s="26">
        <f t="shared" si="9"/>
        <v>2.6098699293441652E-7</v>
      </c>
      <c r="O45" s="8">
        <f t="shared" si="10"/>
        <v>2.032E-3</v>
      </c>
      <c r="P45" s="8">
        <f t="shared" si="11"/>
        <v>3.2336876577195123E-11</v>
      </c>
      <c r="Q45" s="8">
        <v>0.31</v>
      </c>
      <c r="R45" s="8">
        <f t="shared" si="12"/>
        <v>131000</v>
      </c>
      <c r="S45" s="8">
        <f t="shared" si="13"/>
        <v>5.1398579432804297E-3</v>
      </c>
      <c r="T45" s="8">
        <v>0.1</v>
      </c>
      <c r="U45" s="8">
        <f t="shared" si="14"/>
        <v>110000.00000000001</v>
      </c>
      <c r="V45" s="8">
        <f t="shared" si="1"/>
        <v>6.8134929577464804</v>
      </c>
      <c r="W45" s="8">
        <f t="shared" si="15"/>
        <v>361.39117848970892</v>
      </c>
      <c r="X45" s="8">
        <f t="shared" si="16"/>
        <v>1.0268297257816175E-14</v>
      </c>
      <c r="Y45" s="8">
        <f t="shared" si="17"/>
        <v>6183568608.6569004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</row>
    <row r="46" spans="1:76" s="3" customFormat="1" x14ac:dyDescent="0.25">
      <c r="A46" s="14">
        <v>132</v>
      </c>
      <c r="B46" s="14">
        <f t="shared" si="2"/>
        <v>2.2000000000000002</v>
      </c>
      <c r="C46" s="14">
        <v>20</v>
      </c>
      <c r="D46" s="14">
        <f t="shared" si="0"/>
        <v>29.146000000000001</v>
      </c>
      <c r="E46" s="14">
        <f t="shared" si="3"/>
        <v>4.8576666666666667E-7</v>
      </c>
      <c r="F46" s="14">
        <v>21.1</v>
      </c>
      <c r="G46" s="14">
        <f t="shared" si="4"/>
        <v>294.10000000000002</v>
      </c>
      <c r="H46" s="14">
        <v>101.3</v>
      </c>
      <c r="I46" s="14">
        <f t="shared" si="5"/>
        <v>101300</v>
      </c>
      <c r="J46" s="14">
        <f t="shared" si="6"/>
        <v>2.0124824921938581E-5</v>
      </c>
      <c r="K46" s="11">
        <v>64.447887323943675</v>
      </c>
      <c r="L46" s="17">
        <f t="shared" si="7"/>
        <v>6.4447887323943679E-5</v>
      </c>
      <c r="M46" s="14">
        <f t="shared" si="8"/>
        <v>4.7762865441819992E-3</v>
      </c>
      <c r="N46" s="26">
        <f t="shared" si="9"/>
        <v>2.7155038479905937E-7</v>
      </c>
      <c r="O46" s="8">
        <f t="shared" si="10"/>
        <v>2.032E-3</v>
      </c>
      <c r="P46" s="8">
        <f t="shared" si="11"/>
        <v>3.2336876577195123E-11</v>
      </c>
      <c r="Q46" s="8">
        <v>0.31</v>
      </c>
      <c r="R46" s="8">
        <f t="shared" si="12"/>
        <v>131000</v>
      </c>
      <c r="S46" s="8">
        <f t="shared" si="13"/>
        <v>5.1398579432804297E-3</v>
      </c>
      <c r="T46" s="8">
        <v>0.1</v>
      </c>
      <c r="U46" s="8">
        <f t="shared" si="14"/>
        <v>110000.00000000001</v>
      </c>
      <c r="V46" s="8">
        <f t="shared" si="1"/>
        <v>7.0892676056338058</v>
      </c>
      <c r="W46" s="8">
        <f t="shared" si="15"/>
        <v>389.13006153935754</v>
      </c>
      <c r="X46" s="8">
        <f t="shared" si="16"/>
        <v>1.0686173386395197E-14</v>
      </c>
      <c r="Y46" s="8">
        <f t="shared" si="17"/>
        <v>6435213613.2871876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</row>
    <row r="47" spans="1:76" s="3" customFormat="1" x14ac:dyDescent="0.25">
      <c r="A47" s="14">
        <v>135</v>
      </c>
      <c r="B47" s="14">
        <f t="shared" si="2"/>
        <v>2.25</v>
      </c>
      <c r="C47" s="14">
        <v>20</v>
      </c>
      <c r="D47" s="14">
        <f t="shared" si="0"/>
        <v>29.146000000000001</v>
      </c>
      <c r="E47" s="14">
        <f t="shared" si="3"/>
        <v>4.8576666666666667E-7</v>
      </c>
      <c r="F47" s="14">
        <v>21.1</v>
      </c>
      <c r="G47" s="14">
        <f t="shared" si="4"/>
        <v>294.10000000000002</v>
      </c>
      <c r="H47" s="14">
        <v>101.3</v>
      </c>
      <c r="I47" s="14">
        <f t="shared" si="5"/>
        <v>101300</v>
      </c>
      <c r="J47" s="14">
        <f t="shared" si="6"/>
        <v>2.0124824921938581E-5</v>
      </c>
      <c r="K47" s="11">
        <v>60.194366197183101</v>
      </c>
      <c r="L47" s="17">
        <f t="shared" si="7"/>
        <v>6.0194366197183098E-5</v>
      </c>
      <c r="M47" s="14">
        <f t="shared" si="8"/>
        <v>4.7762865441819992E-3</v>
      </c>
      <c r="N47" s="26">
        <f t="shared" si="9"/>
        <v>2.5362822556803612E-7</v>
      </c>
      <c r="O47" s="8">
        <f t="shared" si="10"/>
        <v>2.032E-3</v>
      </c>
      <c r="P47" s="8">
        <f t="shared" si="11"/>
        <v>3.2336876577195123E-11</v>
      </c>
      <c r="Q47" s="8">
        <v>0.31</v>
      </c>
      <c r="R47" s="8">
        <f t="shared" si="12"/>
        <v>131000</v>
      </c>
      <c r="S47" s="8">
        <f t="shared" si="13"/>
        <v>5.1398579432804297E-3</v>
      </c>
      <c r="T47" s="8">
        <v>0.1</v>
      </c>
      <c r="U47" s="8">
        <f t="shared" si="14"/>
        <v>110000.00000000001</v>
      </c>
      <c r="V47" s="8">
        <f t="shared" si="1"/>
        <v>6.6213802816901417</v>
      </c>
      <c r="W47" s="8">
        <f t="shared" si="15"/>
        <v>342.65027615558347</v>
      </c>
      <c r="X47" s="8">
        <f t="shared" si="16"/>
        <v>9.9773418991070152E-15</v>
      </c>
      <c r="Y47" s="8">
        <f t="shared" si="17"/>
        <v>6008355291.6422443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</row>
    <row r="48" spans="1:76" s="3" customFormat="1" x14ac:dyDescent="0.25">
      <c r="A48" s="14">
        <v>138</v>
      </c>
      <c r="B48" s="14">
        <f t="shared" si="2"/>
        <v>2.2999999999999998</v>
      </c>
      <c r="C48" s="14">
        <v>20</v>
      </c>
      <c r="D48" s="14">
        <f t="shared" si="0"/>
        <v>29.146000000000001</v>
      </c>
      <c r="E48" s="14">
        <f t="shared" si="3"/>
        <v>4.8576666666666667E-7</v>
      </c>
      <c r="F48" s="14">
        <v>21.1</v>
      </c>
      <c r="G48" s="14">
        <f t="shared" si="4"/>
        <v>294.10000000000002</v>
      </c>
      <c r="H48" s="14">
        <v>101.3</v>
      </c>
      <c r="I48" s="14">
        <f t="shared" si="5"/>
        <v>101300</v>
      </c>
      <c r="J48" s="14">
        <f t="shared" si="6"/>
        <v>2.0124824921938581E-5</v>
      </c>
      <c r="K48" s="11">
        <v>67.969014084507052</v>
      </c>
      <c r="L48" s="17">
        <f t="shared" si="7"/>
        <v>6.7969014084507052E-5</v>
      </c>
      <c r="M48" s="14">
        <f t="shared" si="8"/>
        <v>4.7762865441819992E-3</v>
      </c>
      <c r="N48" s="26">
        <f t="shared" si="9"/>
        <v>2.8638660932805204E-7</v>
      </c>
      <c r="O48" s="8">
        <f t="shared" si="10"/>
        <v>2.032E-3</v>
      </c>
      <c r="P48" s="8">
        <f t="shared" si="11"/>
        <v>3.2336876577195123E-11</v>
      </c>
      <c r="Q48" s="8">
        <v>0.31</v>
      </c>
      <c r="R48" s="8">
        <f t="shared" si="12"/>
        <v>131000</v>
      </c>
      <c r="S48" s="8">
        <f t="shared" si="13"/>
        <v>5.1398579432804297E-3</v>
      </c>
      <c r="T48" s="8">
        <v>0.1</v>
      </c>
      <c r="U48" s="8">
        <f t="shared" si="14"/>
        <v>110000.00000000001</v>
      </c>
      <c r="V48" s="8">
        <f t="shared" si="1"/>
        <v>7.4765915492957769</v>
      </c>
      <c r="W48" s="8">
        <f t="shared" si="15"/>
        <v>429.75086760226776</v>
      </c>
      <c r="X48" s="8">
        <f t="shared" si="16"/>
        <v>1.1273521331121524E-14</v>
      </c>
      <c r="Y48" s="8">
        <f t="shared" si="17"/>
        <v>6788914545.6013823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</row>
    <row r="49" spans="1:76" s="3" customFormat="1" x14ac:dyDescent="0.25">
      <c r="A49" s="14">
        <v>141</v>
      </c>
      <c r="B49" s="14">
        <f t="shared" si="2"/>
        <v>2.35</v>
      </c>
      <c r="C49" s="14">
        <v>20</v>
      </c>
      <c r="D49" s="14">
        <f t="shared" si="0"/>
        <v>29.146000000000001</v>
      </c>
      <c r="E49" s="14">
        <f t="shared" si="3"/>
        <v>4.8576666666666667E-7</v>
      </c>
      <c r="F49" s="14">
        <v>21.1</v>
      </c>
      <c r="G49" s="14">
        <f t="shared" si="4"/>
        <v>294.10000000000002</v>
      </c>
      <c r="H49" s="14">
        <v>101.3</v>
      </c>
      <c r="I49" s="14">
        <f t="shared" si="5"/>
        <v>101300</v>
      </c>
      <c r="J49" s="14">
        <f t="shared" si="6"/>
        <v>2.0124824921938581E-5</v>
      </c>
      <c r="K49" s="11">
        <v>73.715492957746491</v>
      </c>
      <c r="L49" s="17">
        <f t="shared" si="7"/>
        <v>7.371549295774649E-5</v>
      </c>
      <c r="M49" s="14">
        <f t="shared" si="8"/>
        <v>4.7762865441819992E-3</v>
      </c>
      <c r="N49" s="26">
        <f t="shared" si="9"/>
        <v>3.1059932775936814E-7</v>
      </c>
      <c r="O49" s="8">
        <f t="shared" si="10"/>
        <v>2.032E-3</v>
      </c>
      <c r="P49" s="8">
        <f t="shared" si="11"/>
        <v>3.2336876577195123E-11</v>
      </c>
      <c r="Q49" s="8">
        <v>0.31</v>
      </c>
      <c r="R49" s="8">
        <f t="shared" si="12"/>
        <v>131000</v>
      </c>
      <c r="S49" s="8">
        <f t="shared" si="13"/>
        <v>5.1398579432804297E-3</v>
      </c>
      <c r="T49" s="8">
        <v>0.1</v>
      </c>
      <c r="U49" s="8">
        <f t="shared" si="14"/>
        <v>110000.00000000001</v>
      </c>
      <c r="V49" s="8">
        <f t="shared" si="1"/>
        <v>8.1087042253521151</v>
      </c>
      <c r="W49" s="8">
        <f t="shared" si="15"/>
        <v>500.20067941022234</v>
      </c>
      <c r="X49" s="8">
        <f t="shared" si="16"/>
        <v>1.2233248099023475E-14</v>
      </c>
      <c r="Y49" s="8">
        <f t="shared" si="17"/>
        <v>7366862005.2319365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</row>
    <row r="50" spans="1:76" s="3" customFormat="1" x14ac:dyDescent="0.25">
      <c r="A50" s="14">
        <v>144</v>
      </c>
      <c r="B50" s="14">
        <f t="shared" si="2"/>
        <v>2.4</v>
      </c>
      <c r="C50" s="14">
        <v>20</v>
      </c>
      <c r="D50" s="14">
        <f t="shared" si="0"/>
        <v>29.146000000000001</v>
      </c>
      <c r="E50" s="14">
        <f t="shared" si="3"/>
        <v>4.8576666666666667E-7</v>
      </c>
      <c r="F50" s="14">
        <v>21.1</v>
      </c>
      <c r="G50" s="14">
        <f t="shared" si="4"/>
        <v>294.10000000000002</v>
      </c>
      <c r="H50" s="14">
        <v>101.3</v>
      </c>
      <c r="I50" s="14">
        <f t="shared" si="5"/>
        <v>101300</v>
      </c>
      <c r="J50" s="14">
        <f t="shared" si="6"/>
        <v>2.0124824921938581E-5</v>
      </c>
      <c r="K50" s="11">
        <v>73.743661971831003</v>
      </c>
      <c r="L50" s="17">
        <f t="shared" si="7"/>
        <v>7.3743661971831004E-5</v>
      </c>
      <c r="M50" s="14">
        <f t="shared" si="8"/>
        <v>4.7762865441819992E-3</v>
      </c>
      <c r="N50" s="26">
        <f t="shared" si="9"/>
        <v>3.1071801755560012E-7</v>
      </c>
      <c r="O50" s="8">
        <f t="shared" si="10"/>
        <v>2.032E-3</v>
      </c>
      <c r="P50" s="8">
        <f t="shared" si="11"/>
        <v>3.2336876577195123E-11</v>
      </c>
      <c r="Q50" s="8">
        <v>0.31</v>
      </c>
      <c r="R50" s="8">
        <f t="shared" si="12"/>
        <v>131000</v>
      </c>
      <c r="S50" s="8">
        <f t="shared" si="13"/>
        <v>5.1398579432804297E-3</v>
      </c>
      <c r="T50" s="8">
        <v>0.1</v>
      </c>
      <c r="U50" s="8">
        <f t="shared" si="14"/>
        <v>110000.00000000001</v>
      </c>
      <c r="V50" s="8">
        <f t="shared" si="1"/>
        <v>8.1118028169014114</v>
      </c>
      <c r="W50" s="8">
        <f t="shared" si="15"/>
        <v>500.55868937728502</v>
      </c>
      <c r="X50" s="8">
        <f t="shared" si="16"/>
        <v>1.2237956382143523E-14</v>
      </c>
      <c r="Y50" s="8">
        <f t="shared" si="17"/>
        <v>7369697333.3268299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</row>
    <row r="51" spans="1:76" s="3" customFormat="1" x14ac:dyDescent="0.25">
      <c r="A51" s="14">
        <v>147</v>
      </c>
      <c r="B51" s="14">
        <f t="shared" si="2"/>
        <v>2.4500000000000002</v>
      </c>
      <c r="C51" s="14">
        <v>20</v>
      </c>
      <c r="D51" s="14">
        <f t="shared" si="0"/>
        <v>29.146000000000001</v>
      </c>
      <c r="E51" s="14">
        <f t="shared" si="3"/>
        <v>4.8576666666666667E-7</v>
      </c>
      <c r="F51" s="14">
        <v>21.1</v>
      </c>
      <c r="G51" s="14">
        <f t="shared" si="4"/>
        <v>294.10000000000002</v>
      </c>
      <c r="H51" s="14">
        <v>101.3</v>
      </c>
      <c r="I51" s="14">
        <f t="shared" si="5"/>
        <v>101300</v>
      </c>
      <c r="J51" s="14">
        <f t="shared" si="6"/>
        <v>2.0124824921938581E-5</v>
      </c>
      <c r="K51" s="11">
        <v>69.490140845070428</v>
      </c>
      <c r="L51" s="17">
        <f t="shared" si="7"/>
        <v>6.949014084507043E-5</v>
      </c>
      <c r="M51" s="14">
        <f t="shared" si="8"/>
        <v>4.7762865441819992E-3</v>
      </c>
      <c r="N51" s="26">
        <f t="shared" si="9"/>
        <v>2.9279585832457687E-7</v>
      </c>
      <c r="O51" s="8">
        <f t="shared" si="10"/>
        <v>2.032E-3</v>
      </c>
      <c r="P51" s="8">
        <f t="shared" si="11"/>
        <v>3.2336876577195123E-11</v>
      </c>
      <c r="Q51" s="8">
        <v>0.31</v>
      </c>
      <c r="R51" s="8">
        <f t="shared" si="12"/>
        <v>131000</v>
      </c>
      <c r="S51" s="8">
        <f t="shared" si="13"/>
        <v>5.1398579432804297E-3</v>
      </c>
      <c r="T51" s="8">
        <v>0.1</v>
      </c>
      <c r="U51" s="8">
        <f t="shared" si="14"/>
        <v>110000.00000000001</v>
      </c>
      <c r="V51" s="8">
        <f t="shared" si="1"/>
        <v>7.6439154929577482</v>
      </c>
      <c r="W51" s="8">
        <f t="shared" si="15"/>
        <v>447.8983170719211</v>
      </c>
      <c r="X51" s="8">
        <f t="shared" si="16"/>
        <v>1.1527421609988397E-14</v>
      </c>
      <c r="Y51" s="8">
        <f t="shared" si="17"/>
        <v>6941813293.5350132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</row>
    <row r="52" spans="1:76" s="3" customFormat="1" x14ac:dyDescent="0.25">
      <c r="A52" s="14">
        <v>150</v>
      </c>
      <c r="B52" s="14">
        <f t="shared" si="2"/>
        <v>2.5</v>
      </c>
      <c r="C52" s="14">
        <v>20</v>
      </c>
      <c r="D52" s="14">
        <f t="shared" si="0"/>
        <v>29.146000000000001</v>
      </c>
      <c r="E52" s="14">
        <f t="shared" si="3"/>
        <v>4.8576666666666667E-7</v>
      </c>
      <c r="F52" s="14">
        <v>21.1</v>
      </c>
      <c r="G52" s="14">
        <f t="shared" si="4"/>
        <v>294.10000000000002</v>
      </c>
      <c r="H52" s="14">
        <v>101.3</v>
      </c>
      <c r="I52" s="14">
        <f t="shared" si="5"/>
        <v>101300</v>
      </c>
      <c r="J52" s="14">
        <f t="shared" si="6"/>
        <v>2.0124824921938581E-5</v>
      </c>
      <c r="K52" s="11">
        <v>72.645070422535213</v>
      </c>
      <c r="L52" s="17">
        <f t="shared" si="7"/>
        <v>7.2645070422535214E-5</v>
      </c>
      <c r="M52" s="14">
        <f t="shared" si="8"/>
        <v>4.7762865441819992E-3</v>
      </c>
      <c r="N52" s="26">
        <f t="shared" si="9"/>
        <v>3.0608911550255431E-7</v>
      </c>
      <c r="O52" s="8">
        <f t="shared" si="10"/>
        <v>2.032E-3</v>
      </c>
      <c r="P52" s="8">
        <f t="shared" si="11"/>
        <v>3.2336876577195123E-11</v>
      </c>
      <c r="Q52" s="8">
        <v>0.31</v>
      </c>
      <c r="R52" s="8">
        <f t="shared" si="12"/>
        <v>131000</v>
      </c>
      <c r="S52" s="8">
        <f t="shared" si="13"/>
        <v>5.1398579432804297E-3</v>
      </c>
      <c r="T52" s="8">
        <v>0.1</v>
      </c>
      <c r="U52" s="8">
        <f t="shared" si="14"/>
        <v>110000.00000000001</v>
      </c>
      <c r="V52" s="8">
        <f t="shared" si="1"/>
        <v>7.990957746478875</v>
      </c>
      <c r="W52" s="8">
        <f t="shared" si="15"/>
        <v>486.68778044112281</v>
      </c>
      <c r="X52" s="8">
        <f t="shared" si="16"/>
        <v>1.2054360930024078E-14</v>
      </c>
      <c r="Y52" s="8">
        <f t="shared" si="17"/>
        <v>7259136152.0605001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</row>
    <row r="53" spans="1:76" s="3" customFormat="1" x14ac:dyDescent="0.25">
      <c r="A53" s="14">
        <v>153</v>
      </c>
      <c r="B53" s="14">
        <f t="shared" si="2"/>
        <v>2.5499999999999998</v>
      </c>
      <c r="C53" s="14">
        <v>20</v>
      </c>
      <c r="D53" s="14">
        <f t="shared" si="0"/>
        <v>29.146000000000001</v>
      </c>
      <c r="E53" s="14">
        <f t="shared" si="3"/>
        <v>4.8576666666666667E-7</v>
      </c>
      <c r="F53" s="14">
        <v>21.1</v>
      </c>
      <c r="G53" s="14">
        <f t="shared" si="4"/>
        <v>294.10000000000002</v>
      </c>
      <c r="H53" s="14">
        <v>101.3</v>
      </c>
      <c r="I53" s="14">
        <f t="shared" si="5"/>
        <v>101300</v>
      </c>
      <c r="J53" s="14">
        <f t="shared" si="6"/>
        <v>2.0124824921938581E-5</v>
      </c>
      <c r="K53" s="11">
        <v>70.757746478873244</v>
      </c>
      <c r="L53" s="17">
        <f t="shared" si="7"/>
        <v>7.0757746478873249E-5</v>
      </c>
      <c r="M53" s="14">
        <f t="shared" si="8"/>
        <v>4.7762865441819992E-3</v>
      </c>
      <c r="N53" s="26">
        <f t="shared" si="9"/>
        <v>2.9813689915501425E-7</v>
      </c>
      <c r="O53" s="8">
        <f t="shared" si="10"/>
        <v>2.032E-3</v>
      </c>
      <c r="P53" s="8">
        <f t="shared" si="11"/>
        <v>3.2336876577195123E-11</v>
      </c>
      <c r="Q53" s="8">
        <v>0.31</v>
      </c>
      <c r="R53" s="8">
        <f t="shared" si="12"/>
        <v>131000</v>
      </c>
      <c r="S53" s="8">
        <f t="shared" si="13"/>
        <v>5.1398579432804297E-3</v>
      </c>
      <c r="T53" s="8">
        <v>0.1</v>
      </c>
      <c r="U53" s="8">
        <f t="shared" si="14"/>
        <v>110000.00000000001</v>
      </c>
      <c r="V53" s="8">
        <f t="shared" si="1"/>
        <v>7.7833521126760585</v>
      </c>
      <c r="W53" s="8">
        <f t="shared" si="15"/>
        <v>463.29695221829689</v>
      </c>
      <c r="X53" s="8">
        <f t="shared" si="16"/>
        <v>1.1739083901529081E-14</v>
      </c>
      <c r="Y53" s="8">
        <f t="shared" si="17"/>
        <v>7069276325.5008125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</row>
    <row r="54" spans="1:76" s="3" customFormat="1" x14ac:dyDescent="0.25">
      <c r="A54" s="14">
        <v>156</v>
      </c>
      <c r="B54" s="14">
        <f t="shared" si="2"/>
        <v>2.6</v>
      </c>
      <c r="C54" s="14">
        <v>20</v>
      </c>
      <c r="D54" s="14">
        <f t="shared" si="0"/>
        <v>29.146000000000001</v>
      </c>
      <c r="E54" s="14">
        <f t="shared" si="3"/>
        <v>4.8576666666666667E-7</v>
      </c>
      <c r="F54" s="14">
        <v>21.1</v>
      </c>
      <c r="G54" s="14">
        <f t="shared" si="4"/>
        <v>294.10000000000002</v>
      </c>
      <c r="H54" s="14">
        <v>101.3</v>
      </c>
      <c r="I54" s="14">
        <f t="shared" si="5"/>
        <v>101300</v>
      </c>
      <c r="J54" s="14">
        <f t="shared" si="6"/>
        <v>2.0124824921938581E-5</v>
      </c>
      <c r="K54" s="11">
        <v>74.166197183098589</v>
      </c>
      <c r="L54" s="17">
        <f t="shared" si="7"/>
        <v>7.4166197183098592E-5</v>
      </c>
      <c r="M54" s="14">
        <f t="shared" si="8"/>
        <v>4.7762865441819992E-3</v>
      </c>
      <c r="N54" s="26">
        <f t="shared" si="9"/>
        <v>3.1249836449907914E-7</v>
      </c>
      <c r="O54" s="8">
        <f t="shared" si="10"/>
        <v>2.032E-3</v>
      </c>
      <c r="P54" s="8">
        <f t="shared" si="11"/>
        <v>3.2336876577195123E-11</v>
      </c>
      <c r="Q54" s="8">
        <v>0.31</v>
      </c>
      <c r="R54" s="8">
        <f t="shared" si="12"/>
        <v>131000</v>
      </c>
      <c r="S54" s="8">
        <f t="shared" si="13"/>
        <v>5.1398579432804297E-3</v>
      </c>
      <c r="T54" s="8">
        <v>0.1</v>
      </c>
      <c r="U54" s="8">
        <f t="shared" si="14"/>
        <v>110000.00000000001</v>
      </c>
      <c r="V54" s="8">
        <f t="shared" si="1"/>
        <v>8.1582816901408464</v>
      </c>
      <c r="W54" s="8">
        <f t="shared" si="15"/>
        <v>505.94364838304443</v>
      </c>
      <c r="X54" s="8">
        <f t="shared" si="16"/>
        <v>1.2308585125937291E-14</v>
      </c>
      <c r="Y54" s="8">
        <f t="shared" si="17"/>
        <v>7412229962.8394375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</row>
    <row r="55" spans="1:76" s="3" customFormat="1" x14ac:dyDescent="0.25">
      <c r="A55" s="14">
        <v>159</v>
      </c>
      <c r="B55" s="14">
        <f t="shared" si="2"/>
        <v>2.65</v>
      </c>
      <c r="C55" s="14">
        <v>20</v>
      </c>
      <c r="D55" s="14">
        <f t="shared" si="0"/>
        <v>29.146000000000001</v>
      </c>
      <c r="E55" s="14">
        <f t="shared" si="3"/>
        <v>4.8576666666666667E-7</v>
      </c>
      <c r="F55" s="14">
        <v>21.1</v>
      </c>
      <c r="G55" s="14">
        <f t="shared" si="4"/>
        <v>294.10000000000002</v>
      </c>
      <c r="H55" s="14">
        <v>101.3</v>
      </c>
      <c r="I55" s="14">
        <f t="shared" si="5"/>
        <v>101300</v>
      </c>
      <c r="J55" s="14">
        <f t="shared" si="6"/>
        <v>2.0124824921938581E-5</v>
      </c>
      <c r="K55" s="11">
        <v>68.166197183098603</v>
      </c>
      <c r="L55" s="17">
        <f t="shared" si="7"/>
        <v>6.8166197183098609E-5</v>
      </c>
      <c r="M55" s="14">
        <f t="shared" si="8"/>
        <v>4.7762865441819992E-3</v>
      </c>
      <c r="N55" s="26">
        <f t="shared" si="9"/>
        <v>2.8721743790167565E-7</v>
      </c>
      <c r="O55" s="8">
        <f t="shared" si="10"/>
        <v>2.032E-3</v>
      </c>
      <c r="P55" s="8">
        <f t="shared" si="11"/>
        <v>3.2336876577195123E-11</v>
      </c>
      <c r="Q55" s="8">
        <v>0.31</v>
      </c>
      <c r="R55" s="8">
        <f t="shared" si="12"/>
        <v>131000</v>
      </c>
      <c r="S55" s="8">
        <f t="shared" si="13"/>
        <v>5.1398579432804297E-3</v>
      </c>
      <c r="T55" s="8">
        <v>0.1</v>
      </c>
      <c r="U55" s="8">
        <f t="shared" si="14"/>
        <v>110000.00000000001</v>
      </c>
      <c r="V55" s="8">
        <f t="shared" si="1"/>
        <v>7.498281690140848</v>
      </c>
      <c r="W55" s="8">
        <f t="shared" si="15"/>
        <v>432.08293701343763</v>
      </c>
      <c r="X55" s="8">
        <f t="shared" si="16"/>
        <v>1.1306428584101774E-14</v>
      </c>
      <c r="Y55" s="8">
        <f t="shared" si="17"/>
        <v>6808731293.3460884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</row>
    <row r="56" spans="1:76" s="3" customFormat="1" x14ac:dyDescent="0.25">
      <c r="A56" s="14">
        <v>162</v>
      </c>
      <c r="B56" s="14">
        <f t="shared" si="2"/>
        <v>2.7</v>
      </c>
      <c r="C56" s="14">
        <v>20</v>
      </c>
      <c r="D56" s="14">
        <f t="shared" si="0"/>
        <v>29.146000000000001</v>
      </c>
      <c r="E56" s="14">
        <f t="shared" si="3"/>
        <v>4.8576666666666667E-7</v>
      </c>
      <c r="F56" s="14">
        <v>21.1</v>
      </c>
      <c r="G56" s="14">
        <f t="shared" si="4"/>
        <v>294.10000000000002</v>
      </c>
      <c r="H56" s="14">
        <v>101.3</v>
      </c>
      <c r="I56" s="14">
        <f t="shared" si="5"/>
        <v>101300</v>
      </c>
      <c r="J56" s="14">
        <f t="shared" si="6"/>
        <v>2.0124824921938581E-5</v>
      </c>
      <c r="K56" s="11">
        <v>78.983098591549307</v>
      </c>
      <c r="L56" s="17">
        <f t="shared" si="7"/>
        <v>7.8983098591549312E-5</v>
      </c>
      <c r="M56" s="14">
        <f t="shared" si="8"/>
        <v>4.7762865441819992E-3</v>
      </c>
      <c r="N56" s="26">
        <f t="shared" si="9"/>
        <v>3.3279431965474128E-7</v>
      </c>
      <c r="O56" s="8">
        <f t="shared" si="10"/>
        <v>2.032E-3</v>
      </c>
      <c r="P56" s="8">
        <f t="shared" si="11"/>
        <v>3.2336876577195123E-11</v>
      </c>
      <c r="Q56" s="8">
        <v>0.31</v>
      </c>
      <c r="R56" s="8">
        <f t="shared" si="12"/>
        <v>131000</v>
      </c>
      <c r="S56" s="8">
        <f t="shared" si="13"/>
        <v>5.1398579432804297E-3</v>
      </c>
      <c r="T56" s="8">
        <v>0.1</v>
      </c>
      <c r="U56" s="8">
        <f t="shared" si="14"/>
        <v>110000.00000000001</v>
      </c>
      <c r="V56" s="8">
        <f t="shared" si="1"/>
        <v>8.6881408450704249</v>
      </c>
      <c r="W56" s="8">
        <f t="shared" si="15"/>
        <v>569.29256939464335</v>
      </c>
      <c r="X56" s="8">
        <f t="shared" si="16"/>
        <v>1.3114362108831579E-14</v>
      </c>
      <c r="Y56" s="8">
        <f t="shared" si="17"/>
        <v>7897468861.9383774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</row>
    <row r="57" spans="1:76" s="3" customFormat="1" x14ac:dyDescent="0.25">
      <c r="A57" s="14">
        <v>165</v>
      </c>
      <c r="B57" s="14">
        <f t="shared" si="2"/>
        <v>2.75</v>
      </c>
      <c r="C57" s="14">
        <v>20</v>
      </c>
      <c r="D57" s="14">
        <f t="shared" si="0"/>
        <v>29.146000000000001</v>
      </c>
      <c r="E57" s="14">
        <f t="shared" si="3"/>
        <v>4.8576666666666667E-7</v>
      </c>
      <c r="F57" s="14">
        <v>21.1</v>
      </c>
      <c r="G57" s="14">
        <f t="shared" si="4"/>
        <v>294.10000000000002</v>
      </c>
      <c r="H57" s="14">
        <v>101.3</v>
      </c>
      <c r="I57" s="14">
        <f t="shared" si="5"/>
        <v>101300</v>
      </c>
      <c r="J57" s="14">
        <f t="shared" si="6"/>
        <v>2.0124824921938581E-5</v>
      </c>
      <c r="K57" s="11">
        <v>69.51830985915494</v>
      </c>
      <c r="L57" s="17">
        <f t="shared" si="7"/>
        <v>6.9518309859154944E-5</v>
      </c>
      <c r="M57" s="14">
        <f t="shared" si="8"/>
        <v>4.7762865441819992E-3</v>
      </c>
      <c r="N57" s="26">
        <f t="shared" si="9"/>
        <v>2.9291454812080884E-7</v>
      </c>
      <c r="O57" s="8">
        <f t="shared" si="10"/>
        <v>2.032E-3</v>
      </c>
      <c r="P57" s="8">
        <f t="shared" si="11"/>
        <v>3.2336876577195123E-11</v>
      </c>
      <c r="Q57" s="8">
        <v>0.31</v>
      </c>
      <c r="R57" s="8">
        <f t="shared" si="12"/>
        <v>131000</v>
      </c>
      <c r="S57" s="8">
        <f t="shared" si="13"/>
        <v>5.1398579432804297E-3</v>
      </c>
      <c r="T57" s="8">
        <v>0.1</v>
      </c>
      <c r="U57" s="8">
        <f t="shared" si="14"/>
        <v>110000.00000000001</v>
      </c>
      <c r="V57" s="8">
        <f t="shared" si="1"/>
        <v>7.6470140845070445</v>
      </c>
      <c r="W57" s="8">
        <f t="shared" si="15"/>
        <v>448.23778642901158</v>
      </c>
      <c r="X57" s="8">
        <f t="shared" si="16"/>
        <v>1.1532124433511742E-14</v>
      </c>
      <c r="Y57" s="8">
        <f t="shared" si="17"/>
        <v>6944645333.8607712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</row>
    <row r="58" spans="1:76" s="3" customFormat="1" x14ac:dyDescent="0.25">
      <c r="A58" s="14">
        <v>168</v>
      </c>
      <c r="B58" s="14">
        <f t="shared" si="2"/>
        <v>2.8</v>
      </c>
      <c r="C58" s="14">
        <v>20</v>
      </c>
      <c r="D58" s="14">
        <f t="shared" si="0"/>
        <v>29.146000000000001</v>
      </c>
      <c r="E58" s="14">
        <f t="shared" si="3"/>
        <v>4.8576666666666667E-7</v>
      </c>
      <c r="F58" s="14">
        <v>21.1</v>
      </c>
      <c r="G58" s="14">
        <f t="shared" si="4"/>
        <v>294.10000000000002</v>
      </c>
      <c r="H58" s="14">
        <v>101.3</v>
      </c>
      <c r="I58" s="14">
        <f t="shared" si="5"/>
        <v>101300</v>
      </c>
      <c r="J58" s="14">
        <f t="shared" si="6"/>
        <v>2.0124824921938581E-5</v>
      </c>
      <c r="K58" s="11">
        <v>74.701408450704236</v>
      </c>
      <c r="L58" s="17">
        <f t="shared" si="7"/>
        <v>7.4701408450704237E-5</v>
      </c>
      <c r="M58" s="14">
        <f t="shared" si="8"/>
        <v>4.7762865441819992E-3</v>
      </c>
      <c r="N58" s="26">
        <f t="shared" si="9"/>
        <v>3.1475347062748611E-7</v>
      </c>
      <c r="O58" s="8">
        <f t="shared" si="10"/>
        <v>2.032E-3</v>
      </c>
      <c r="P58" s="8">
        <f t="shared" si="11"/>
        <v>3.2336876577195123E-11</v>
      </c>
      <c r="Q58" s="8">
        <v>0.31</v>
      </c>
      <c r="R58" s="8">
        <f t="shared" si="12"/>
        <v>131000</v>
      </c>
      <c r="S58" s="8">
        <f t="shared" si="13"/>
        <v>5.1398579432804297E-3</v>
      </c>
      <c r="T58" s="8">
        <v>0.1</v>
      </c>
      <c r="U58" s="8">
        <f t="shared" si="14"/>
        <v>110000.00000000001</v>
      </c>
      <c r="V58" s="8">
        <f t="shared" si="1"/>
        <v>8.2171549295774664</v>
      </c>
      <c r="W58" s="8">
        <f t="shared" si="15"/>
        <v>512.80444999385327</v>
      </c>
      <c r="X58" s="8">
        <f t="shared" si="16"/>
        <v>1.2398060356502863E-14</v>
      </c>
      <c r="Y58" s="8">
        <f t="shared" si="17"/>
        <v>7466111946.6860247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</row>
    <row r="59" spans="1:76" s="3" customFormat="1" x14ac:dyDescent="0.25">
      <c r="A59" s="14">
        <v>171</v>
      </c>
      <c r="B59" s="14">
        <f t="shared" si="2"/>
        <v>2.85</v>
      </c>
      <c r="C59" s="14">
        <v>20</v>
      </c>
      <c r="D59" s="14">
        <f t="shared" si="0"/>
        <v>29.146000000000001</v>
      </c>
      <c r="E59" s="14">
        <f t="shared" si="3"/>
        <v>4.8576666666666667E-7</v>
      </c>
      <c r="F59" s="14">
        <v>21.1</v>
      </c>
      <c r="G59" s="14">
        <f t="shared" si="4"/>
        <v>294.10000000000002</v>
      </c>
      <c r="H59" s="14">
        <v>101.3</v>
      </c>
      <c r="I59" s="14">
        <f t="shared" si="5"/>
        <v>101300</v>
      </c>
      <c r="J59" s="14">
        <f t="shared" si="6"/>
        <v>2.0124824921938581E-5</v>
      </c>
      <c r="K59" s="11">
        <v>77.60281690140846</v>
      </c>
      <c r="L59" s="17">
        <f t="shared" si="7"/>
        <v>7.7602816901408463E-5</v>
      </c>
      <c r="M59" s="14">
        <f t="shared" si="8"/>
        <v>4.7762865441819992E-3</v>
      </c>
      <c r="N59" s="26">
        <f t="shared" si="9"/>
        <v>3.269785196393761E-7</v>
      </c>
      <c r="O59" s="8">
        <f t="shared" si="10"/>
        <v>2.032E-3</v>
      </c>
      <c r="P59" s="8">
        <f t="shared" si="11"/>
        <v>3.2336876577195123E-11</v>
      </c>
      <c r="Q59" s="8">
        <v>0.31</v>
      </c>
      <c r="R59" s="8">
        <f t="shared" si="12"/>
        <v>131000</v>
      </c>
      <c r="S59" s="8">
        <f t="shared" si="13"/>
        <v>5.1398579432804297E-3</v>
      </c>
      <c r="T59" s="8">
        <v>0.1</v>
      </c>
      <c r="U59" s="8">
        <f t="shared" si="14"/>
        <v>110000.00000000001</v>
      </c>
      <c r="V59" s="8">
        <f t="shared" si="1"/>
        <v>8.5363098591549313</v>
      </c>
      <c r="W59" s="8">
        <f t="shared" si="15"/>
        <v>550.77179840972883</v>
      </c>
      <c r="X59" s="8">
        <f t="shared" si="16"/>
        <v>1.2883350592564374E-14</v>
      </c>
      <c r="Y59" s="8">
        <f t="shared" si="17"/>
        <v>7758353726.8422661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</row>
    <row r="60" spans="1:76" s="3" customFormat="1" x14ac:dyDescent="0.25">
      <c r="A60" s="14">
        <v>174</v>
      </c>
      <c r="B60" s="14">
        <f t="shared" si="2"/>
        <v>2.9</v>
      </c>
      <c r="C60" s="14">
        <v>20</v>
      </c>
      <c r="D60" s="14">
        <f t="shared" si="0"/>
        <v>29.146000000000001</v>
      </c>
      <c r="E60" s="14">
        <f t="shared" si="3"/>
        <v>4.8576666666666667E-7</v>
      </c>
      <c r="F60" s="14">
        <v>21.1</v>
      </c>
      <c r="G60" s="14">
        <f t="shared" si="4"/>
        <v>294.10000000000002</v>
      </c>
      <c r="H60" s="14">
        <v>101.3</v>
      </c>
      <c r="I60" s="14">
        <f t="shared" si="5"/>
        <v>101300</v>
      </c>
      <c r="J60" s="14">
        <f t="shared" si="6"/>
        <v>2.0124824921938581E-5</v>
      </c>
      <c r="K60" s="11">
        <v>68.757746478873244</v>
      </c>
      <c r="L60" s="17">
        <f t="shared" si="7"/>
        <v>6.8757746478873241E-5</v>
      </c>
      <c r="M60" s="14">
        <f t="shared" si="8"/>
        <v>4.7762865441819992E-3</v>
      </c>
      <c r="N60" s="26">
        <f t="shared" si="9"/>
        <v>2.8970992362254635E-7</v>
      </c>
      <c r="O60" s="8">
        <f t="shared" si="10"/>
        <v>2.032E-3</v>
      </c>
      <c r="P60" s="8">
        <f t="shared" si="11"/>
        <v>3.2336876577195123E-11</v>
      </c>
      <c r="Q60" s="8">
        <v>0.31</v>
      </c>
      <c r="R60" s="8">
        <f t="shared" si="12"/>
        <v>131000</v>
      </c>
      <c r="S60" s="8">
        <f t="shared" si="13"/>
        <v>5.1398579432804297E-3</v>
      </c>
      <c r="T60" s="8">
        <v>0.1</v>
      </c>
      <c r="U60" s="8">
        <f t="shared" si="14"/>
        <v>110000.00000000001</v>
      </c>
      <c r="V60" s="8">
        <f t="shared" si="1"/>
        <v>7.5633521126760579</v>
      </c>
      <c r="W60" s="8">
        <f t="shared" si="15"/>
        <v>439.11557164415689</v>
      </c>
      <c r="X60" s="8">
        <f t="shared" si="16"/>
        <v>1.1405160578516336E-14</v>
      </c>
      <c r="Y60" s="8">
        <f t="shared" si="17"/>
        <v>6868187700.3825378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</row>
    <row r="61" spans="1:76" s="3" customFormat="1" x14ac:dyDescent="0.25">
      <c r="A61" s="14">
        <v>177</v>
      </c>
      <c r="B61" s="14">
        <f t="shared" si="2"/>
        <v>2.95</v>
      </c>
      <c r="C61" s="14">
        <v>20</v>
      </c>
      <c r="D61" s="14">
        <f t="shared" si="0"/>
        <v>29.146000000000001</v>
      </c>
      <c r="E61" s="14">
        <f t="shared" si="3"/>
        <v>4.8576666666666667E-7</v>
      </c>
      <c r="F61" s="14">
        <v>21.1</v>
      </c>
      <c r="G61" s="14">
        <f t="shared" si="4"/>
        <v>294.10000000000002</v>
      </c>
      <c r="H61" s="14">
        <v>101.3</v>
      </c>
      <c r="I61" s="14">
        <f t="shared" si="5"/>
        <v>101300</v>
      </c>
      <c r="J61" s="14">
        <f t="shared" si="6"/>
        <v>2.0124824921938581E-5</v>
      </c>
      <c r="K61" s="11">
        <v>79.292957746478891</v>
      </c>
      <c r="L61" s="17">
        <f t="shared" si="7"/>
        <v>7.9292957746478885E-5</v>
      </c>
      <c r="M61" s="14">
        <f t="shared" si="8"/>
        <v>4.7762865441819992E-3</v>
      </c>
      <c r="N61" s="26">
        <f t="shared" si="9"/>
        <v>3.3409990741329256E-7</v>
      </c>
      <c r="O61" s="8">
        <f t="shared" si="10"/>
        <v>2.032E-3</v>
      </c>
      <c r="P61" s="8">
        <f t="shared" si="11"/>
        <v>3.2336876577195123E-11</v>
      </c>
      <c r="Q61" s="8">
        <v>0.31</v>
      </c>
      <c r="R61" s="8">
        <f t="shared" si="12"/>
        <v>131000</v>
      </c>
      <c r="S61" s="8">
        <f t="shared" si="13"/>
        <v>5.1398579432804297E-3</v>
      </c>
      <c r="T61" s="8">
        <v>0.1</v>
      </c>
      <c r="U61" s="8">
        <f t="shared" si="14"/>
        <v>110000.00000000001</v>
      </c>
      <c r="V61" s="8">
        <f t="shared" si="1"/>
        <v>8.7222253521126785</v>
      </c>
      <c r="W61" s="8">
        <f t="shared" si="15"/>
        <v>573.49089651194458</v>
      </c>
      <c r="X61" s="8">
        <f t="shared" si="16"/>
        <v>1.3166234953087027E-14</v>
      </c>
      <c r="Y61" s="8">
        <f t="shared" si="17"/>
        <v>7928706688.7490082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</row>
    <row r="62" spans="1:76" s="3" customFormat="1" x14ac:dyDescent="0.25">
      <c r="A62" s="14">
        <v>180</v>
      </c>
      <c r="B62" s="14">
        <f t="shared" si="2"/>
        <v>3</v>
      </c>
      <c r="C62" s="14">
        <v>20</v>
      </c>
      <c r="D62" s="14">
        <f t="shared" si="0"/>
        <v>29.146000000000001</v>
      </c>
      <c r="E62" s="14">
        <f t="shared" si="3"/>
        <v>4.8576666666666667E-7</v>
      </c>
      <c r="F62" s="14">
        <v>21.1</v>
      </c>
      <c r="G62" s="14">
        <f t="shared" si="4"/>
        <v>294.10000000000002</v>
      </c>
      <c r="H62" s="14">
        <v>101.3</v>
      </c>
      <c r="I62" s="14">
        <f t="shared" si="5"/>
        <v>101300</v>
      </c>
      <c r="J62" s="14">
        <f t="shared" si="6"/>
        <v>2.0124824921938581E-5</v>
      </c>
      <c r="K62" s="11">
        <v>77.997183098591549</v>
      </c>
      <c r="L62" s="17">
        <f t="shared" si="7"/>
        <v>7.7997183098591551E-5</v>
      </c>
      <c r="M62" s="14">
        <f t="shared" si="8"/>
        <v>4.7762865441819992E-3</v>
      </c>
      <c r="N62" s="26">
        <f t="shared" si="9"/>
        <v>3.2864017678662326E-7</v>
      </c>
      <c r="O62" s="8">
        <f t="shared" si="10"/>
        <v>2.032E-3</v>
      </c>
      <c r="P62" s="8">
        <f t="shared" si="11"/>
        <v>3.2336876577195123E-11</v>
      </c>
      <c r="Q62" s="8">
        <v>0.31</v>
      </c>
      <c r="R62" s="8">
        <f t="shared" si="12"/>
        <v>131000</v>
      </c>
      <c r="S62" s="8">
        <f t="shared" si="13"/>
        <v>5.1398579432804297E-3</v>
      </c>
      <c r="T62" s="8">
        <v>0.1</v>
      </c>
      <c r="U62" s="8">
        <f t="shared" si="14"/>
        <v>110000.00000000001</v>
      </c>
      <c r="V62" s="8">
        <f t="shared" si="1"/>
        <v>8.5796901408450719</v>
      </c>
      <c r="W62" s="8">
        <f t="shared" si="15"/>
        <v>556.03329464096055</v>
      </c>
      <c r="X62" s="8">
        <f t="shared" si="16"/>
        <v>1.2949344195835576E-14</v>
      </c>
      <c r="Y62" s="8">
        <f t="shared" si="17"/>
        <v>7798095074.7321844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</row>
    <row r="63" spans="1:76" s="3" customFormat="1" x14ac:dyDescent="0.25">
      <c r="A63" s="14">
        <v>183</v>
      </c>
      <c r="B63" s="14">
        <f t="shared" si="2"/>
        <v>3.05</v>
      </c>
      <c r="C63" s="14">
        <v>20</v>
      </c>
      <c r="D63" s="14">
        <f t="shared" si="0"/>
        <v>29.146000000000001</v>
      </c>
      <c r="E63" s="14">
        <f t="shared" si="3"/>
        <v>4.8576666666666667E-7</v>
      </c>
      <c r="F63" s="14">
        <v>21.1</v>
      </c>
      <c r="G63" s="14">
        <f t="shared" si="4"/>
        <v>294.10000000000002</v>
      </c>
      <c r="H63" s="14">
        <v>101.3</v>
      </c>
      <c r="I63" s="14">
        <f t="shared" si="5"/>
        <v>101300</v>
      </c>
      <c r="J63" s="14">
        <f t="shared" si="6"/>
        <v>2.0124824921938581E-5</v>
      </c>
      <c r="K63" s="13">
        <v>81.490140845070428</v>
      </c>
      <c r="L63" s="17">
        <f t="shared" si="7"/>
        <v>8.1490140845070423E-5</v>
      </c>
      <c r="M63" s="14">
        <f t="shared" si="8"/>
        <v>4.7762865441819992E-3</v>
      </c>
      <c r="N63" s="26">
        <f t="shared" si="9"/>
        <v>3.4335771151938401E-7</v>
      </c>
      <c r="O63" s="8">
        <f t="shared" si="10"/>
        <v>2.032E-3</v>
      </c>
      <c r="P63" s="8">
        <f t="shared" si="11"/>
        <v>3.2336876577195123E-11</v>
      </c>
      <c r="Q63" s="8">
        <v>0.31</v>
      </c>
      <c r="R63" s="8">
        <f t="shared" si="12"/>
        <v>131000</v>
      </c>
      <c r="S63" s="8">
        <f t="shared" si="13"/>
        <v>5.1398579432804297E-3</v>
      </c>
      <c r="T63" s="8">
        <v>0.1</v>
      </c>
      <c r="U63" s="8">
        <f t="shared" si="14"/>
        <v>110000.00000000001</v>
      </c>
      <c r="V63" s="8">
        <f t="shared" si="1"/>
        <v>8.9639154929577476</v>
      </c>
      <c r="W63" s="8">
        <f t="shared" si="15"/>
        <v>603.68758974917409</v>
      </c>
      <c r="X63" s="22">
        <f t="shared" si="16"/>
        <v>1.3534200686497017E-14</v>
      </c>
      <c r="Y63" s="22">
        <f t="shared" si="17"/>
        <v>8150295653.4085035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</row>
    <row r="64" spans="1:76" s="3" customFormat="1" x14ac:dyDescent="0.25">
      <c r="A64" s="14">
        <v>186</v>
      </c>
      <c r="B64" s="14">
        <f t="shared" si="2"/>
        <v>3.1</v>
      </c>
      <c r="C64" s="14">
        <v>20</v>
      </c>
      <c r="D64" s="14">
        <f t="shared" si="0"/>
        <v>29.146000000000001</v>
      </c>
      <c r="E64" s="14">
        <f t="shared" si="3"/>
        <v>4.8576666666666667E-7</v>
      </c>
      <c r="F64" s="14">
        <v>21.1</v>
      </c>
      <c r="G64" s="14">
        <f t="shared" si="4"/>
        <v>294.10000000000002</v>
      </c>
      <c r="H64" s="14">
        <v>101.3</v>
      </c>
      <c r="I64" s="14">
        <f t="shared" si="5"/>
        <v>101300</v>
      </c>
      <c r="J64" s="14">
        <f t="shared" si="6"/>
        <v>2.0124824921938581E-5</v>
      </c>
      <c r="K64" s="13">
        <v>74.645070422535227</v>
      </c>
      <c r="L64" s="17">
        <f t="shared" si="7"/>
        <v>7.4645070422535222E-5</v>
      </c>
      <c r="M64" s="14">
        <f t="shared" si="8"/>
        <v>4.7762865441819992E-3</v>
      </c>
      <c r="N64" s="26">
        <f t="shared" si="9"/>
        <v>3.1451609103502221E-7</v>
      </c>
      <c r="O64" s="8">
        <f t="shared" si="10"/>
        <v>2.032E-3</v>
      </c>
      <c r="P64" s="8">
        <f t="shared" si="11"/>
        <v>3.2336876577195123E-11</v>
      </c>
      <c r="Q64" s="8">
        <v>0.31</v>
      </c>
      <c r="R64" s="8">
        <f t="shared" si="12"/>
        <v>131000</v>
      </c>
      <c r="S64" s="8">
        <f t="shared" si="13"/>
        <v>5.1398579432804297E-3</v>
      </c>
      <c r="T64" s="8">
        <v>0.1</v>
      </c>
      <c r="U64" s="8">
        <f t="shared" si="14"/>
        <v>110000.00000000001</v>
      </c>
      <c r="V64" s="8">
        <f t="shared" si="1"/>
        <v>8.2109577464788757</v>
      </c>
      <c r="W64" s="8">
        <f t="shared" si="15"/>
        <v>512.08016321273158</v>
      </c>
      <c r="X64" s="22">
        <f t="shared" si="16"/>
        <v>1.2388641268999104E-14</v>
      </c>
      <c r="Y64" s="22">
        <f t="shared" si="17"/>
        <v>7460439772.1912613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</row>
    <row r="65" spans="1:76" s="3" customFormat="1" x14ac:dyDescent="0.25">
      <c r="A65" s="14">
        <v>189</v>
      </c>
      <c r="B65" s="14">
        <f t="shared" si="2"/>
        <v>3.15</v>
      </c>
      <c r="C65" s="14">
        <v>20</v>
      </c>
      <c r="D65" s="14">
        <f t="shared" si="0"/>
        <v>29.146000000000001</v>
      </c>
      <c r="E65" s="14">
        <f t="shared" si="3"/>
        <v>4.8576666666666667E-7</v>
      </c>
      <c r="F65" s="14">
        <v>21.1</v>
      </c>
      <c r="G65" s="14">
        <f t="shared" si="4"/>
        <v>294.10000000000002</v>
      </c>
      <c r="H65" s="14">
        <v>101.3</v>
      </c>
      <c r="I65" s="14">
        <f t="shared" si="5"/>
        <v>101300</v>
      </c>
      <c r="J65" s="14">
        <f t="shared" si="6"/>
        <v>2.0124824921938581E-5</v>
      </c>
      <c r="K65" s="13">
        <v>68.616901408450715</v>
      </c>
      <c r="L65" s="17">
        <f t="shared" si="7"/>
        <v>6.8616901408450712E-5</v>
      </c>
      <c r="M65" s="14">
        <f t="shared" si="8"/>
        <v>4.7762865441819992E-3</v>
      </c>
      <c r="N65" s="26">
        <f t="shared" si="9"/>
        <v>2.8911647464138669E-7</v>
      </c>
      <c r="O65" s="8">
        <f t="shared" si="10"/>
        <v>2.032E-3</v>
      </c>
      <c r="P65" s="8">
        <f t="shared" si="11"/>
        <v>3.2336876577195123E-11</v>
      </c>
      <c r="Q65" s="8">
        <v>0.31</v>
      </c>
      <c r="R65" s="8">
        <f t="shared" si="12"/>
        <v>131000</v>
      </c>
      <c r="S65" s="8">
        <f t="shared" si="13"/>
        <v>5.1398579432804297E-3</v>
      </c>
      <c r="T65" s="8">
        <v>0.1</v>
      </c>
      <c r="U65" s="8">
        <f t="shared" si="14"/>
        <v>110000.00000000001</v>
      </c>
      <c r="V65" s="8">
        <f t="shared" si="1"/>
        <v>7.5478591549295793</v>
      </c>
      <c r="W65" s="8">
        <f t="shared" si="15"/>
        <v>437.4361796533463</v>
      </c>
      <c r="X65" s="22">
        <f t="shared" si="16"/>
        <v>1.1381651564100091E-14</v>
      </c>
      <c r="Y65" s="22">
        <f t="shared" si="17"/>
        <v>6854030571.9010754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</row>
    <row r="66" spans="1:76" s="3" customFormat="1" x14ac:dyDescent="0.25">
      <c r="A66" s="14">
        <v>192</v>
      </c>
      <c r="B66" s="14">
        <f t="shared" si="2"/>
        <v>3.2</v>
      </c>
      <c r="C66" s="14">
        <v>20</v>
      </c>
      <c r="D66" s="14">
        <f t="shared" ref="D66:D87" si="18">(C66*1.4573)</f>
        <v>29.146000000000001</v>
      </c>
      <c r="E66" s="14">
        <f t="shared" si="3"/>
        <v>4.8576666666666667E-7</v>
      </c>
      <c r="F66" s="14">
        <v>21.1</v>
      </c>
      <c r="G66" s="14">
        <f t="shared" si="4"/>
        <v>294.10000000000002</v>
      </c>
      <c r="H66" s="14">
        <v>101.3</v>
      </c>
      <c r="I66" s="14">
        <f t="shared" si="5"/>
        <v>101300</v>
      </c>
      <c r="J66" s="14">
        <f t="shared" si="6"/>
        <v>2.0124824921938581E-5</v>
      </c>
      <c r="K66" s="13">
        <v>70.504225352112684</v>
      </c>
      <c r="L66" s="17">
        <f t="shared" si="7"/>
        <v>7.0504225352112691E-5</v>
      </c>
      <c r="M66" s="14">
        <f t="shared" si="8"/>
        <v>4.7762865441819992E-3</v>
      </c>
      <c r="N66" s="26">
        <f t="shared" si="9"/>
        <v>2.9706869098892681E-7</v>
      </c>
      <c r="O66" s="8">
        <f t="shared" si="10"/>
        <v>2.032E-3</v>
      </c>
      <c r="P66" s="8">
        <f t="shared" si="11"/>
        <v>3.2336876577195123E-11</v>
      </c>
      <c r="Q66" s="8">
        <v>0.31</v>
      </c>
      <c r="R66" s="8">
        <f t="shared" si="12"/>
        <v>131000</v>
      </c>
      <c r="S66" s="8">
        <f t="shared" si="13"/>
        <v>5.1398579432804297E-3</v>
      </c>
      <c r="T66" s="8">
        <v>0.1</v>
      </c>
      <c r="U66" s="8">
        <f t="shared" si="14"/>
        <v>110000.00000000001</v>
      </c>
      <c r="V66" s="8">
        <f t="shared" ref="V66:V116" si="19">(L66*U66)</f>
        <v>7.7554647887323966</v>
      </c>
      <c r="W66" s="8">
        <f t="shared" si="15"/>
        <v>460.19718217482892</v>
      </c>
      <c r="X66" s="22">
        <f t="shared" si="16"/>
        <v>1.1696745652436809E-14</v>
      </c>
      <c r="Y66" s="22">
        <f t="shared" si="17"/>
        <v>7043780231.8974466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</row>
    <row r="67" spans="1:76" s="3" customFormat="1" x14ac:dyDescent="0.25">
      <c r="A67" s="14">
        <v>195</v>
      </c>
      <c r="B67" s="14">
        <f t="shared" ref="B67:B87" si="20">(A67/60)</f>
        <v>3.25</v>
      </c>
      <c r="C67" s="14">
        <v>20</v>
      </c>
      <c r="D67" s="14">
        <f t="shared" si="18"/>
        <v>29.146000000000001</v>
      </c>
      <c r="E67" s="14">
        <f t="shared" ref="E67:E87" si="21">(D67/(1000000*60))</f>
        <v>4.8576666666666667E-7</v>
      </c>
      <c r="F67" s="14">
        <v>21.1</v>
      </c>
      <c r="G67" s="14">
        <f t="shared" ref="G67:G87" si="22">(273+F67)</f>
        <v>294.10000000000002</v>
      </c>
      <c r="H67" s="14">
        <v>101.3</v>
      </c>
      <c r="I67" s="14">
        <f t="shared" ref="I67:I87" si="23">(H67*1000)</f>
        <v>101300</v>
      </c>
      <c r="J67" s="14">
        <f t="shared" ref="J67:J87" si="24">((I67*E67)/(8.314*G67))</f>
        <v>2.0124824921938581E-5</v>
      </c>
      <c r="K67" s="13">
        <v>71.828169014084509</v>
      </c>
      <c r="L67" s="17">
        <f t="shared" ref="L67:L116" si="25">(K67/1000000)</f>
        <v>7.1828169014084511E-5</v>
      </c>
      <c r="M67" s="14">
        <f t="shared" ref="M67:M116" si="26">(3.142*3.07*3.07*25.4*25.4)/(4*1000000)</f>
        <v>4.7762865441819992E-3</v>
      </c>
      <c r="N67" s="26">
        <f t="shared" ref="N67:N116" si="27">(L67*J67)/M67</f>
        <v>3.0264711141182803E-7</v>
      </c>
      <c r="O67" s="8">
        <f t="shared" ref="O67:O116" si="28">(2.032/1000)</f>
        <v>2.032E-3</v>
      </c>
      <c r="P67" s="8">
        <f t="shared" ref="P67:P116" si="29">(4.57243434801539E-11/1.414)</f>
        <v>3.2336876577195123E-11</v>
      </c>
      <c r="Q67" s="8">
        <v>0.31</v>
      </c>
      <c r="R67" s="8">
        <f t="shared" ref="R67:R116" si="30">(1+Q67)*100000*1</f>
        <v>131000</v>
      </c>
      <c r="S67" s="8">
        <f t="shared" ref="S67:S116" si="31">(5.13985794328043/1000)</f>
        <v>5.1398579432804297E-3</v>
      </c>
      <c r="T67" s="8">
        <v>0.1</v>
      </c>
      <c r="U67" s="8">
        <f t="shared" ref="U67:U116" si="32">(1+T67)*100000</f>
        <v>110000.00000000001</v>
      </c>
      <c r="V67" s="8">
        <f t="shared" si="19"/>
        <v>7.9010985915492968</v>
      </c>
      <c r="W67" s="8">
        <f t="shared" ref="W67:W116" si="33">((N67*O67/P67) + SQRT(V67))^2</f>
        <v>476.49529294638018</v>
      </c>
      <c r="X67" s="22">
        <f t="shared" ref="X67:X116" si="34">(N67*S67)/(R67-W67)</f>
        <v>1.1917877650406803E-14</v>
      </c>
      <c r="Y67" s="22">
        <f t="shared" ref="Y67:Y116" si="35">(X67*6.022E+23)</f>
        <v>7176945921.0749769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</row>
    <row r="68" spans="1:76" s="3" customFormat="1" x14ac:dyDescent="0.25">
      <c r="A68" s="14">
        <v>198</v>
      </c>
      <c r="B68" s="14">
        <f t="shared" si="20"/>
        <v>3.3</v>
      </c>
      <c r="C68" s="14">
        <v>20</v>
      </c>
      <c r="D68" s="14">
        <f t="shared" si="18"/>
        <v>29.146000000000001</v>
      </c>
      <c r="E68" s="14">
        <f t="shared" si="21"/>
        <v>4.8576666666666667E-7</v>
      </c>
      <c r="F68" s="14">
        <v>21.1</v>
      </c>
      <c r="G68" s="14">
        <f t="shared" si="22"/>
        <v>294.10000000000002</v>
      </c>
      <c r="H68" s="14">
        <v>101.3</v>
      </c>
      <c r="I68" s="14">
        <f t="shared" si="23"/>
        <v>101300</v>
      </c>
      <c r="J68" s="14">
        <f t="shared" si="24"/>
        <v>2.0124824921938581E-5</v>
      </c>
      <c r="K68" s="13">
        <v>75.067605633802813</v>
      </c>
      <c r="L68" s="17">
        <f t="shared" si="25"/>
        <v>7.5067605633802811E-5</v>
      </c>
      <c r="M68" s="14">
        <f t="shared" si="26"/>
        <v>4.7762865441819992E-3</v>
      </c>
      <c r="N68" s="26">
        <f t="shared" si="27"/>
        <v>3.1629643797850123E-7</v>
      </c>
      <c r="O68" s="8">
        <f t="shared" si="28"/>
        <v>2.032E-3</v>
      </c>
      <c r="P68" s="8">
        <f t="shared" si="29"/>
        <v>3.2336876577195123E-11</v>
      </c>
      <c r="Q68" s="8">
        <v>0.31</v>
      </c>
      <c r="R68" s="8">
        <f t="shared" si="30"/>
        <v>131000</v>
      </c>
      <c r="S68" s="8">
        <f t="shared" si="31"/>
        <v>5.1398579432804297E-3</v>
      </c>
      <c r="T68" s="8">
        <v>0.1</v>
      </c>
      <c r="U68" s="8">
        <f t="shared" si="32"/>
        <v>110000.00000000001</v>
      </c>
      <c r="V68" s="8">
        <f t="shared" si="19"/>
        <v>8.2574366197183107</v>
      </c>
      <c r="W68" s="8">
        <f t="shared" si="33"/>
        <v>517.52433939971706</v>
      </c>
      <c r="X68" s="22">
        <f t="shared" si="34"/>
        <v>1.2459288122366595E-14</v>
      </c>
      <c r="Y68" s="22">
        <f t="shared" si="35"/>
        <v>7502983307.2891645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</row>
    <row r="69" spans="1:76" s="3" customFormat="1" x14ac:dyDescent="0.25">
      <c r="A69" s="14">
        <v>201</v>
      </c>
      <c r="B69" s="14">
        <f t="shared" si="20"/>
        <v>3.35</v>
      </c>
      <c r="C69" s="14">
        <v>20</v>
      </c>
      <c r="D69" s="14">
        <f t="shared" si="18"/>
        <v>29.146000000000001</v>
      </c>
      <c r="E69" s="14">
        <f t="shared" si="21"/>
        <v>4.8576666666666667E-7</v>
      </c>
      <c r="F69" s="14">
        <v>21.1</v>
      </c>
      <c r="G69" s="14">
        <f t="shared" si="22"/>
        <v>294.10000000000002</v>
      </c>
      <c r="H69" s="14">
        <v>101.3</v>
      </c>
      <c r="I69" s="14">
        <f t="shared" si="23"/>
        <v>101300</v>
      </c>
      <c r="J69" s="14">
        <f t="shared" si="24"/>
        <v>2.0124824921938581E-5</v>
      </c>
      <c r="K69" s="13">
        <v>79.490140845070428</v>
      </c>
      <c r="L69" s="17">
        <f t="shared" si="25"/>
        <v>7.9490140845070429E-5</v>
      </c>
      <c r="M69" s="14">
        <f t="shared" si="26"/>
        <v>4.7762865441819992E-3</v>
      </c>
      <c r="N69" s="26">
        <f t="shared" si="27"/>
        <v>3.3493073598691617E-7</v>
      </c>
      <c r="O69" s="8">
        <f t="shared" si="28"/>
        <v>2.032E-3</v>
      </c>
      <c r="P69" s="8">
        <f t="shared" si="29"/>
        <v>3.2336876577195123E-11</v>
      </c>
      <c r="Q69" s="8">
        <v>0.31</v>
      </c>
      <c r="R69" s="8">
        <f t="shared" si="30"/>
        <v>131000</v>
      </c>
      <c r="S69" s="8">
        <f t="shared" si="31"/>
        <v>5.1398579432804297E-3</v>
      </c>
      <c r="T69" s="8">
        <v>0.1</v>
      </c>
      <c r="U69" s="8">
        <f t="shared" si="32"/>
        <v>110000.00000000001</v>
      </c>
      <c r="V69" s="8">
        <f t="shared" si="19"/>
        <v>8.7439154929577487</v>
      </c>
      <c r="W69" s="8">
        <f t="shared" si="33"/>
        <v>576.17030774957254</v>
      </c>
      <c r="X69" s="22">
        <f t="shared" si="34"/>
        <v>1.3199247467837546E-14</v>
      </c>
      <c r="Y69" s="22">
        <f t="shared" si="35"/>
        <v>7948586825.1317701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</row>
    <row r="70" spans="1:76" s="3" customFormat="1" x14ac:dyDescent="0.25">
      <c r="A70" s="14">
        <v>204</v>
      </c>
      <c r="B70" s="14">
        <f t="shared" si="20"/>
        <v>3.4</v>
      </c>
      <c r="C70" s="14">
        <v>20</v>
      </c>
      <c r="D70" s="14">
        <f t="shared" si="18"/>
        <v>29.146000000000001</v>
      </c>
      <c r="E70" s="14">
        <f t="shared" si="21"/>
        <v>4.8576666666666667E-7</v>
      </c>
      <c r="F70" s="14">
        <v>21.1</v>
      </c>
      <c r="G70" s="14">
        <f t="shared" si="22"/>
        <v>294.10000000000002</v>
      </c>
      <c r="H70" s="14">
        <v>101.3</v>
      </c>
      <c r="I70" s="14">
        <f t="shared" si="23"/>
        <v>101300</v>
      </c>
      <c r="J70" s="14">
        <f t="shared" si="24"/>
        <v>2.0124824921938581E-5</v>
      </c>
      <c r="K70" s="13">
        <v>71.912676056338043</v>
      </c>
      <c r="L70" s="17">
        <f t="shared" si="25"/>
        <v>7.191267605633804E-5</v>
      </c>
      <c r="M70" s="14">
        <f t="shared" si="26"/>
        <v>4.7762865441819992E-3</v>
      </c>
      <c r="N70" s="26">
        <f t="shared" si="27"/>
        <v>3.0300318080052385E-7</v>
      </c>
      <c r="O70" s="8">
        <f t="shared" si="28"/>
        <v>2.032E-3</v>
      </c>
      <c r="P70" s="8">
        <f t="shared" si="29"/>
        <v>3.2336876577195123E-11</v>
      </c>
      <c r="Q70" s="8">
        <v>0.31</v>
      </c>
      <c r="R70" s="8">
        <f t="shared" si="30"/>
        <v>131000</v>
      </c>
      <c r="S70" s="8">
        <f t="shared" si="31"/>
        <v>5.1398579432804297E-3</v>
      </c>
      <c r="T70" s="8">
        <v>0.1</v>
      </c>
      <c r="U70" s="8">
        <f t="shared" si="32"/>
        <v>110000.00000000001</v>
      </c>
      <c r="V70" s="8">
        <f t="shared" si="19"/>
        <v>7.9103943661971856</v>
      </c>
      <c r="W70" s="8">
        <f t="shared" si="33"/>
        <v>477.5448694088559</v>
      </c>
      <c r="X70" s="22">
        <f t="shared" si="34"/>
        <v>1.1931995181354779E-14</v>
      </c>
      <c r="Y70" s="22">
        <f t="shared" si="35"/>
        <v>7185447498.2118483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</row>
    <row r="71" spans="1:76" s="3" customFormat="1" x14ac:dyDescent="0.25">
      <c r="A71" s="14">
        <v>207</v>
      </c>
      <c r="B71" s="14">
        <f t="shared" si="20"/>
        <v>3.45</v>
      </c>
      <c r="C71" s="14">
        <v>20</v>
      </c>
      <c r="D71" s="14">
        <f t="shared" si="18"/>
        <v>29.146000000000001</v>
      </c>
      <c r="E71" s="14">
        <f t="shared" si="21"/>
        <v>4.8576666666666667E-7</v>
      </c>
      <c r="F71" s="14">
        <v>21.1</v>
      </c>
      <c r="G71" s="14">
        <f t="shared" si="22"/>
        <v>294.10000000000002</v>
      </c>
      <c r="H71" s="14">
        <v>101.3</v>
      </c>
      <c r="I71" s="14">
        <f t="shared" si="23"/>
        <v>101300</v>
      </c>
      <c r="J71" s="14">
        <f t="shared" si="24"/>
        <v>2.0124824921938581E-5</v>
      </c>
      <c r="K71" s="13">
        <v>81.574647887323948</v>
      </c>
      <c r="L71" s="17">
        <f t="shared" si="25"/>
        <v>8.1574647887323952E-5</v>
      </c>
      <c r="M71" s="14">
        <f t="shared" si="26"/>
        <v>4.7762865441819992E-3</v>
      </c>
      <c r="N71" s="26">
        <f t="shared" si="27"/>
        <v>3.4371378090807983E-7</v>
      </c>
      <c r="O71" s="8">
        <f t="shared" si="28"/>
        <v>2.032E-3</v>
      </c>
      <c r="P71" s="8">
        <f t="shared" si="29"/>
        <v>3.2336876577195123E-11</v>
      </c>
      <c r="Q71" s="8">
        <v>0.31</v>
      </c>
      <c r="R71" s="8">
        <f t="shared" si="30"/>
        <v>131000</v>
      </c>
      <c r="S71" s="8">
        <f t="shared" si="31"/>
        <v>5.1398579432804297E-3</v>
      </c>
      <c r="T71" s="8">
        <v>0.1</v>
      </c>
      <c r="U71" s="8">
        <f t="shared" si="32"/>
        <v>110000.00000000001</v>
      </c>
      <c r="V71" s="8">
        <f t="shared" si="19"/>
        <v>8.9732112676056364</v>
      </c>
      <c r="W71" s="8">
        <f t="shared" si="33"/>
        <v>604.86393105935247</v>
      </c>
      <c r="X71" s="22">
        <f t="shared" si="34"/>
        <v>1.3548358169443612E-14</v>
      </c>
      <c r="Y71" s="22">
        <f t="shared" si="35"/>
        <v>8158821289.6389437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</row>
    <row r="72" spans="1:76" s="3" customFormat="1" x14ac:dyDescent="0.25">
      <c r="A72" s="14">
        <v>210</v>
      </c>
      <c r="B72" s="14">
        <f t="shared" si="20"/>
        <v>3.5</v>
      </c>
      <c r="C72" s="14">
        <v>20</v>
      </c>
      <c r="D72" s="14">
        <f t="shared" si="18"/>
        <v>29.146000000000001</v>
      </c>
      <c r="E72" s="14">
        <f t="shared" si="21"/>
        <v>4.8576666666666667E-7</v>
      </c>
      <c r="F72" s="14">
        <v>21.1</v>
      </c>
      <c r="G72" s="14">
        <f t="shared" si="22"/>
        <v>294.10000000000002</v>
      </c>
      <c r="H72" s="14">
        <v>101.3</v>
      </c>
      <c r="I72" s="14">
        <f t="shared" si="23"/>
        <v>101300</v>
      </c>
      <c r="J72" s="14">
        <f t="shared" si="24"/>
        <v>2.0124824921938581E-5</v>
      </c>
      <c r="K72" s="13">
        <v>77.039436619718316</v>
      </c>
      <c r="L72" s="17">
        <f t="shared" si="25"/>
        <v>7.7039436619718318E-5</v>
      </c>
      <c r="M72" s="14">
        <f t="shared" si="26"/>
        <v>4.7762865441819992E-3</v>
      </c>
      <c r="N72" s="26">
        <f t="shared" si="27"/>
        <v>3.2460472371473722E-7</v>
      </c>
      <c r="O72" s="8">
        <f t="shared" si="28"/>
        <v>2.032E-3</v>
      </c>
      <c r="P72" s="8">
        <f t="shared" si="29"/>
        <v>3.2336876577195123E-11</v>
      </c>
      <c r="Q72" s="8">
        <v>0.31</v>
      </c>
      <c r="R72" s="8">
        <f t="shared" si="30"/>
        <v>131000</v>
      </c>
      <c r="S72" s="8">
        <f t="shared" si="31"/>
        <v>5.1398579432804297E-3</v>
      </c>
      <c r="T72" s="8">
        <v>0.1</v>
      </c>
      <c r="U72" s="8">
        <f t="shared" si="32"/>
        <v>110000.00000000001</v>
      </c>
      <c r="V72" s="8">
        <f t="shared" si="19"/>
        <v>8.4743380281690168</v>
      </c>
      <c r="W72" s="8">
        <f t="shared" si="33"/>
        <v>543.29723641870237</v>
      </c>
      <c r="X72" s="22">
        <f t="shared" si="34"/>
        <v>1.2789087354408464E-14</v>
      </c>
      <c r="Y72" s="22">
        <f t="shared" si="35"/>
        <v>7701588404.8247776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</row>
    <row r="73" spans="1:76" s="3" customFormat="1" x14ac:dyDescent="0.25">
      <c r="A73" s="14">
        <v>213</v>
      </c>
      <c r="B73" s="14">
        <f t="shared" si="20"/>
        <v>3.55</v>
      </c>
      <c r="C73" s="14">
        <v>20</v>
      </c>
      <c r="D73" s="14">
        <f t="shared" si="18"/>
        <v>29.146000000000001</v>
      </c>
      <c r="E73" s="14">
        <f t="shared" si="21"/>
        <v>4.8576666666666667E-7</v>
      </c>
      <c r="F73" s="14">
        <v>21.1</v>
      </c>
      <c r="G73" s="14">
        <f t="shared" si="22"/>
        <v>294.10000000000002</v>
      </c>
      <c r="H73" s="14">
        <v>101.3</v>
      </c>
      <c r="I73" s="14">
        <f t="shared" si="23"/>
        <v>101300</v>
      </c>
      <c r="J73" s="14">
        <f t="shared" si="24"/>
        <v>2.0124824921938581E-5</v>
      </c>
      <c r="K73" s="13">
        <v>75.011267605633805</v>
      </c>
      <c r="L73" s="17">
        <f t="shared" si="25"/>
        <v>7.501126760563381E-5</v>
      </c>
      <c r="M73" s="14">
        <f t="shared" si="26"/>
        <v>4.7762865441819992E-3</v>
      </c>
      <c r="N73" s="26">
        <f t="shared" si="27"/>
        <v>3.1605905838603745E-7</v>
      </c>
      <c r="O73" s="8">
        <f t="shared" si="28"/>
        <v>2.032E-3</v>
      </c>
      <c r="P73" s="8">
        <f t="shared" si="29"/>
        <v>3.2336876577195123E-11</v>
      </c>
      <c r="Q73" s="8">
        <v>0.31</v>
      </c>
      <c r="R73" s="8">
        <f t="shared" si="30"/>
        <v>131000</v>
      </c>
      <c r="S73" s="8">
        <f t="shared" si="31"/>
        <v>5.1398579432804297E-3</v>
      </c>
      <c r="T73" s="8">
        <v>0.1</v>
      </c>
      <c r="U73" s="8">
        <f t="shared" si="32"/>
        <v>110000.00000000001</v>
      </c>
      <c r="V73" s="8">
        <f t="shared" si="19"/>
        <v>8.2512394366197199</v>
      </c>
      <c r="W73" s="8">
        <f t="shared" si="33"/>
        <v>516.79684597265566</v>
      </c>
      <c r="X73" s="22">
        <f t="shared" si="34"/>
        <v>1.2449868048330999E-14</v>
      </c>
      <c r="Y73" s="22">
        <f t="shared" si="35"/>
        <v>7497310538.7049284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</row>
    <row r="74" spans="1:76" s="3" customFormat="1" x14ac:dyDescent="0.25">
      <c r="A74" s="14">
        <v>216</v>
      </c>
      <c r="B74" s="14">
        <f t="shared" si="20"/>
        <v>3.6</v>
      </c>
      <c r="C74" s="14">
        <v>20</v>
      </c>
      <c r="D74" s="14">
        <f t="shared" si="18"/>
        <v>29.146000000000001</v>
      </c>
      <c r="E74" s="14">
        <f t="shared" si="21"/>
        <v>4.8576666666666667E-7</v>
      </c>
      <c r="F74" s="14">
        <v>21.1</v>
      </c>
      <c r="G74" s="14">
        <f t="shared" si="22"/>
        <v>294.10000000000002</v>
      </c>
      <c r="H74" s="14">
        <v>101.3</v>
      </c>
      <c r="I74" s="14">
        <f t="shared" si="23"/>
        <v>101300</v>
      </c>
      <c r="J74" s="14">
        <f t="shared" si="24"/>
        <v>2.0124824921938581E-5</v>
      </c>
      <c r="K74" s="13">
        <v>80.532394366197195</v>
      </c>
      <c r="L74" s="17">
        <f t="shared" si="25"/>
        <v>8.053239436619719E-5</v>
      </c>
      <c r="M74" s="14">
        <f t="shared" si="26"/>
        <v>4.7762865441819992E-3</v>
      </c>
      <c r="N74" s="26">
        <f t="shared" si="27"/>
        <v>3.3932225844749797E-7</v>
      </c>
      <c r="O74" s="8">
        <f t="shared" si="28"/>
        <v>2.032E-3</v>
      </c>
      <c r="P74" s="8">
        <f t="shared" si="29"/>
        <v>3.2336876577195123E-11</v>
      </c>
      <c r="Q74" s="8">
        <v>0.31</v>
      </c>
      <c r="R74" s="8">
        <f t="shared" si="30"/>
        <v>131000</v>
      </c>
      <c r="S74" s="8">
        <f t="shared" si="31"/>
        <v>5.1398579432804297E-3</v>
      </c>
      <c r="T74" s="8">
        <v>0.1</v>
      </c>
      <c r="U74" s="8">
        <f t="shared" si="32"/>
        <v>110000.00000000001</v>
      </c>
      <c r="V74" s="8">
        <f t="shared" si="19"/>
        <v>8.8585633802816925</v>
      </c>
      <c r="W74" s="8">
        <f t="shared" si="33"/>
        <v>590.43299493979703</v>
      </c>
      <c r="X74" s="22">
        <f t="shared" si="34"/>
        <v>1.337377498803867E-14</v>
      </c>
      <c r="Y74" s="22">
        <f t="shared" si="35"/>
        <v>8053687297.7968874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</row>
    <row r="75" spans="1:76" s="3" customFormat="1" x14ac:dyDescent="0.25">
      <c r="A75" s="14">
        <v>219</v>
      </c>
      <c r="B75" s="14">
        <f t="shared" si="20"/>
        <v>3.65</v>
      </c>
      <c r="C75" s="14">
        <v>20</v>
      </c>
      <c r="D75" s="14">
        <f t="shared" si="18"/>
        <v>29.146000000000001</v>
      </c>
      <c r="E75" s="14">
        <f t="shared" si="21"/>
        <v>4.8576666666666667E-7</v>
      </c>
      <c r="F75" s="14">
        <v>21.1</v>
      </c>
      <c r="G75" s="14">
        <f t="shared" si="22"/>
        <v>294.10000000000002</v>
      </c>
      <c r="H75" s="14">
        <v>101.3</v>
      </c>
      <c r="I75" s="14">
        <f t="shared" si="23"/>
        <v>101300</v>
      </c>
      <c r="J75" s="14">
        <f t="shared" si="24"/>
        <v>2.0124824921938581E-5</v>
      </c>
      <c r="K75" s="13">
        <v>73.715492957746491</v>
      </c>
      <c r="L75" s="17">
        <f t="shared" si="25"/>
        <v>7.371549295774649E-5</v>
      </c>
      <c r="M75" s="14">
        <f t="shared" si="26"/>
        <v>4.7762865441819992E-3</v>
      </c>
      <c r="N75" s="26">
        <f t="shared" si="27"/>
        <v>3.1059932775936814E-7</v>
      </c>
      <c r="O75" s="8">
        <f t="shared" si="28"/>
        <v>2.032E-3</v>
      </c>
      <c r="P75" s="8">
        <f t="shared" si="29"/>
        <v>3.2336876577195123E-11</v>
      </c>
      <c r="Q75" s="8">
        <v>0.31</v>
      </c>
      <c r="R75" s="8">
        <f t="shared" si="30"/>
        <v>131000</v>
      </c>
      <c r="S75" s="8">
        <f t="shared" si="31"/>
        <v>5.1398579432804297E-3</v>
      </c>
      <c r="T75" s="8">
        <v>0.1</v>
      </c>
      <c r="U75" s="8">
        <f t="shared" si="32"/>
        <v>110000.00000000001</v>
      </c>
      <c r="V75" s="8">
        <f t="shared" si="19"/>
        <v>8.1087042253521151</v>
      </c>
      <c r="W75" s="8">
        <f t="shared" si="33"/>
        <v>500.20067941022234</v>
      </c>
      <c r="X75" s="22">
        <f t="shared" si="34"/>
        <v>1.2233248099023475E-14</v>
      </c>
      <c r="Y75" s="22">
        <f t="shared" si="35"/>
        <v>7366862005.2319365</v>
      </c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</row>
    <row r="76" spans="1:76" s="3" customFormat="1" x14ac:dyDescent="0.25">
      <c r="A76" s="14">
        <v>222</v>
      </c>
      <c r="B76" s="14">
        <f t="shared" si="20"/>
        <v>3.7</v>
      </c>
      <c r="C76" s="14">
        <v>20</v>
      </c>
      <c r="D76" s="14">
        <f t="shared" si="18"/>
        <v>29.146000000000001</v>
      </c>
      <c r="E76" s="14">
        <f t="shared" si="21"/>
        <v>4.8576666666666667E-7</v>
      </c>
      <c r="F76" s="14">
        <v>21.1</v>
      </c>
      <c r="G76" s="14">
        <f t="shared" si="22"/>
        <v>294.10000000000002</v>
      </c>
      <c r="H76" s="14">
        <v>101.3</v>
      </c>
      <c r="I76" s="14">
        <f t="shared" si="23"/>
        <v>101300</v>
      </c>
      <c r="J76" s="14">
        <f t="shared" si="24"/>
        <v>2.0124824921938581E-5</v>
      </c>
      <c r="K76" s="13">
        <v>72.138028169014092</v>
      </c>
      <c r="L76" s="17">
        <f t="shared" si="25"/>
        <v>7.2138028169014098E-5</v>
      </c>
      <c r="M76" s="14">
        <f t="shared" si="26"/>
        <v>4.7762865441819992E-3</v>
      </c>
      <c r="N76" s="26">
        <f t="shared" si="27"/>
        <v>3.0395269917037942E-7</v>
      </c>
      <c r="O76" s="8">
        <f t="shared" si="28"/>
        <v>2.032E-3</v>
      </c>
      <c r="P76" s="8">
        <f t="shared" si="29"/>
        <v>3.2336876577195123E-11</v>
      </c>
      <c r="Q76" s="8">
        <v>0.31</v>
      </c>
      <c r="R76" s="8">
        <f t="shared" si="30"/>
        <v>131000</v>
      </c>
      <c r="S76" s="8">
        <f t="shared" si="31"/>
        <v>5.1398579432804297E-3</v>
      </c>
      <c r="T76" s="8">
        <v>0.1</v>
      </c>
      <c r="U76" s="8">
        <f t="shared" si="32"/>
        <v>110000.00000000001</v>
      </c>
      <c r="V76" s="8">
        <f t="shared" si="19"/>
        <v>7.9351830985915521</v>
      </c>
      <c r="W76" s="8">
        <f t="shared" si="33"/>
        <v>480.34917719976818</v>
      </c>
      <c r="X76" s="22">
        <f t="shared" si="34"/>
        <v>1.1969643539220157E-14</v>
      </c>
      <c r="Y76" s="22">
        <f t="shared" si="35"/>
        <v>7208119339.3183784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</row>
    <row r="77" spans="1:76" s="3" customFormat="1" x14ac:dyDescent="0.25">
      <c r="A77" s="14">
        <v>225</v>
      </c>
      <c r="B77" s="14">
        <f t="shared" si="20"/>
        <v>3.75</v>
      </c>
      <c r="C77" s="14">
        <v>20</v>
      </c>
      <c r="D77" s="14">
        <f t="shared" si="18"/>
        <v>29.146000000000001</v>
      </c>
      <c r="E77" s="14">
        <f t="shared" si="21"/>
        <v>4.8576666666666667E-7</v>
      </c>
      <c r="F77" s="14">
        <v>21.1</v>
      </c>
      <c r="G77" s="14">
        <f t="shared" si="22"/>
        <v>294.10000000000002</v>
      </c>
      <c r="H77" s="14">
        <v>101.3</v>
      </c>
      <c r="I77" s="14">
        <f t="shared" si="23"/>
        <v>101300</v>
      </c>
      <c r="J77" s="14">
        <f t="shared" si="24"/>
        <v>2.0124824921938581E-5</v>
      </c>
      <c r="K77" s="13">
        <v>74.814084507042253</v>
      </c>
      <c r="L77" s="17">
        <f t="shared" si="25"/>
        <v>7.4814084507042252E-5</v>
      </c>
      <c r="M77" s="14">
        <f t="shared" si="26"/>
        <v>4.7762865441819992E-3</v>
      </c>
      <c r="N77" s="26">
        <f t="shared" si="27"/>
        <v>3.1522822981241379E-7</v>
      </c>
      <c r="O77" s="8">
        <f t="shared" si="28"/>
        <v>2.032E-3</v>
      </c>
      <c r="P77" s="8">
        <f t="shared" si="29"/>
        <v>3.2336876577195123E-11</v>
      </c>
      <c r="Q77" s="8">
        <v>0.31</v>
      </c>
      <c r="R77" s="8">
        <f t="shared" si="30"/>
        <v>131000</v>
      </c>
      <c r="S77" s="8">
        <f t="shared" si="31"/>
        <v>5.1398579432804297E-3</v>
      </c>
      <c r="T77" s="8">
        <v>0.1</v>
      </c>
      <c r="U77" s="8">
        <f t="shared" si="32"/>
        <v>110000.00000000001</v>
      </c>
      <c r="V77" s="8">
        <f t="shared" si="19"/>
        <v>8.2295492957746497</v>
      </c>
      <c r="W77" s="8">
        <f t="shared" si="33"/>
        <v>514.25450367844473</v>
      </c>
      <c r="X77" s="22">
        <f t="shared" si="34"/>
        <v>1.2416898986052378E-14</v>
      </c>
      <c r="Y77" s="22">
        <f t="shared" si="35"/>
        <v>7477456569.4007425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</row>
    <row r="78" spans="1:76" s="3" customFormat="1" x14ac:dyDescent="0.25">
      <c r="A78" s="14">
        <v>228</v>
      </c>
      <c r="B78" s="14">
        <f t="shared" si="20"/>
        <v>3.8</v>
      </c>
      <c r="C78" s="14">
        <v>20</v>
      </c>
      <c r="D78" s="14">
        <f t="shared" si="18"/>
        <v>29.146000000000001</v>
      </c>
      <c r="E78" s="14">
        <f t="shared" si="21"/>
        <v>4.8576666666666667E-7</v>
      </c>
      <c r="F78" s="14">
        <v>21.1</v>
      </c>
      <c r="G78" s="14">
        <f t="shared" si="22"/>
        <v>294.10000000000002</v>
      </c>
      <c r="H78" s="14">
        <v>101.3</v>
      </c>
      <c r="I78" s="14">
        <f t="shared" si="23"/>
        <v>101300</v>
      </c>
      <c r="J78" s="14">
        <f t="shared" si="24"/>
        <v>2.0124824921938581E-5</v>
      </c>
      <c r="K78" s="13">
        <v>79.546478873239451</v>
      </c>
      <c r="L78" s="17">
        <f t="shared" si="25"/>
        <v>7.9546478873239457E-5</v>
      </c>
      <c r="M78" s="14">
        <f t="shared" si="26"/>
        <v>4.7762865441819992E-3</v>
      </c>
      <c r="N78" s="26">
        <f t="shared" si="27"/>
        <v>3.3516811557938011E-7</v>
      </c>
      <c r="O78" s="8">
        <f t="shared" si="28"/>
        <v>2.032E-3</v>
      </c>
      <c r="P78" s="8">
        <f t="shared" si="29"/>
        <v>3.2336876577195123E-11</v>
      </c>
      <c r="Q78" s="8">
        <v>0.31</v>
      </c>
      <c r="R78" s="8">
        <f t="shared" si="30"/>
        <v>131000</v>
      </c>
      <c r="S78" s="8">
        <f t="shared" si="31"/>
        <v>5.1398579432804297E-3</v>
      </c>
      <c r="T78" s="8">
        <v>0.1</v>
      </c>
      <c r="U78" s="8">
        <f t="shared" si="32"/>
        <v>110000.00000000001</v>
      </c>
      <c r="V78" s="8">
        <f t="shared" si="19"/>
        <v>8.7501126760563412</v>
      </c>
      <c r="W78" s="8">
        <f t="shared" si="33"/>
        <v>576.93696062482843</v>
      </c>
      <c r="X78" s="22">
        <f t="shared" si="34"/>
        <v>1.3208679976139771E-14</v>
      </c>
      <c r="Y78" s="22">
        <f t="shared" si="35"/>
        <v>7954267081.6313705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</row>
    <row r="79" spans="1:76" s="3" customFormat="1" x14ac:dyDescent="0.25">
      <c r="A79" s="14">
        <v>231</v>
      </c>
      <c r="B79" s="14">
        <f t="shared" si="20"/>
        <v>3.85</v>
      </c>
      <c r="C79" s="14">
        <v>20</v>
      </c>
      <c r="D79" s="14">
        <f t="shared" si="18"/>
        <v>29.146000000000001</v>
      </c>
      <c r="E79" s="14">
        <f t="shared" si="21"/>
        <v>4.8576666666666667E-7</v>
      </c>
      <c r="F79" s="14">
        <v>21.1</v>
      </c>
      <c r="G79" s="14">
        <f t="shared" si="22"/>
        <v>294.10000000000002</v>
      </c>
      <c r="H79" s="14">
        <v>101.3</v>
      </c>
      <c r="I79" s="14">
        <f t="shared" si="23"/>
        <v>101300</v>
      </c>
      <c r="J79" s="14">
        <f t="shared" si="24"/>
        <v>2.0124824921938581E-5</v>
      </c>
      <c r="K79" s="13">
        <v>75.574647887323948</v>
      </c>
      <c r="L79" s="17">
        <f t="shared" si="25"/>
        <v>7.5574647887323955E-5</v>
      </c>
      <c r="M79" s="14">
        <f t="shared" si="26"/>
        <v>4.7762865441819992E-3</v>
      </c>
      <c r="N79" s="26">
        <f t="shared" si="27"/>
        <v>3.1843285431067628E-7</v>
      </c>
      <c r="O79" s="8">
        <f t="shared" si="28"/>
        <v>2.032E-3</v>
      </c>
      <c r="P79" s="8">
        <f t="shared" si="29"/>
        <v>3.2336876577195123E-11</v>
      </c>
      <c r="Q79" s="8">
        <v>0.31</v>
      </c>
      <c r="R79" s="8">
        <f t="shared" si="30"/>
        <v>131000</v>
      </c>
      <c r="S79" s="8">
        <f t="shared" si="31"/>
        <v>5.1398579432804297E-3</v>
      </c>
      <c r="T79" s="8">
        <v>0.1</v>
      </c>
      <c r="U79" s="8">
        <f t="shared" si="32"/>
        <v>110000.00000000001</v>
      </c>
      <c r="V79" s="8">
        <f t="shared" si="19"/>
        <v>8.3132112676056362</v>
      </c>
      <c r="W79" s="8">
        <f t="shared" si="33"/>
        <v>524.09397486876435</v>
      </c>
      <c r="X79" s="22">
        <f t="shared" si="34"/>
        <v>1.2544075649606459E-14</v>
      </c>
      <c r="Y79" s="22">
        <f t="shared" si="35"/>
        <v>7554042356.1930094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</row>
    <row r="80" spans="1:76" s="3" customFormat="1" x14ac:dyDescent="0.25">
      <c r="A80" s="14">
        <v>234</v>
      </c>
      <c r="B80" s="14">
        <f t="shared" si="20"/>
        <v>3.9</v>
      </c>
      <c r="C80" s="14">
        <v>20</v>
      </c>
      <c r="D80" s="14">
        <f t="shared" si="18"/>
        <v>29.146000000000001</v>
      </c>
      <c r="E80" s="14">
        <f t="shared" si="21"/>
        <v>4.8576666666666667E-7</v>
      </c>
      <c r="F80" s="14">
        <v>21.1</v>
      </c>
      <c r="G80" s="14">
        <f t="shared" si="22"/>
        <v>294.10000000000002</v>
      </c>
      <c r="H80" s="14">
        <v>101.3</v>
      </c>
      <c r="I80" s="14">
        <f t="shared" si="23"/>
        <v>101300</v>
      </c>
      <c r="J80" s="14">
        <f t="shared" si="24"/>
        <v>2.0124824921938581E-5</v>
      </c>
      <c r="K80" s="13">
        <v>72.898591549295773</v>
      </c>
      <c r="L80" s="17">
        <f t="shared" si="25"/>
        <v>7.2898591549295773E-5</v>
      </c>
      <c r="M80" s="14">
        <f t="shared" si="26"/>
        <v>4.7762865441819992E-3</v>
      </c>
      <c r="N80" s="26">
        <f t="shared" si="27"/>
        <v>3.0715732366864176E-7</v>
      </c>
      <c r="O80" s="8">
        <f t="shared" si="28"/>
        <v>2.032E-3</v>
      </c>
      <c r="P80" s="8">
        <f t="shared" si="29"/>
        <v>3.2336876577195123E-11</v>
      </c>
      <c r="Q80" s="8">
        <v>0.31</v>
      </c>
      <c r="R80" s="8">
        <f t="shared" si="30"/>
        <v>131000</v>
      </c>
      <c r="S80" s="8">
        <f t="shared" si="31"/>
        <v>5.1398579432804297E-3</v>
      </c>
      <c r="T80" s="8">
        <v>0.1</v>
      </c>
      <c r="U80" s="8">
        <f t="shared" si="32"/>
        <v>110000.00000000001</v>
      </c>
      <c r="V80" s="8">
        <f t="shared" si="19"/>
        <v>8.018845070422536</v>
      </c>
      <c r="W80" s="8">
        <f t="shared" si="33"/>
        <v>489.8720900054804</v>
      </c>
      <c r="X80" s="22">
        <f t="shared" si="34"/>
        <v>1.2096724102391484E-14</v>
      </c>
      <c r="Y80" s="22">
        <f t="shared" si="35"/>
        <v>7284647254.4601517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</row>
    <row r="81" spans="1:76" s="3" customFormat="1" x14ac:dyDescent="0.25">
      <c r="A81" s="14">
        <v>237</v>
      </c>
      <c r="B81" s="14">
        <f t="shared" si="20"/>
        <v>3.95</v>
      </c>
      <c r="C81" s="14">
        <v>20</v>
      </c>
      <c r="D81" s="14">
        <f t="shared" si="18"/>
        <v>29.146000000000001</v>
      </c>
      <c r="E81" s="14">
        <f t="shared" si="21"/>
        <v>4.8576666666666667E-7</v>
      </c>
      <c r="F81" s="14">
        <v>21.1</v>
      </c>
      <c r="G81" s="14">
        <f t="shared" si="22"/>
        <v>294.10000000000002</v>
      </c>
      <c r="H81" s="14">
        <v>101.3</v>
      </c>
      <c r="I81" s="14">
        <f t="shared" si="23"/>
        <v>101300</v>
      </c>
      <c r="J81" s="14">
        <f t="shared" si="24"/>
        <v>2.0124824921938581E-5</v>
      </c>
      <c r="K81" s="13">
        <v>76.645070422535213</v>
      </c>
      <c r="L81" s="17">
        <f t="shared" si="25"/>
        <v>7.6645070422535217E-5</v>
      </c>
      <c r="M81" s="14">
        <f t="shared" si="26"/>
        <v>4.7762865441819992E-3</v>
      </c>
      <c r="N81" s="26">
        <f t="shared" si="27"/>
        <v>3.2294306656749001E-7</v>
      </c>
      <c r="O81" s="8">
        <f t="shared" si="28"/>
        <v>2.032E-3</v>
      </c>
      <c r="P81" s="8">
        <f t="shared" si="29"/>
        <v>3.2336876577195123E-11</v>
      </c>
      <c r="Q81" s="8">
        <v>0.31</v>
      </c>
      <c r="R81" s="8">
        <f t="shared" si="30"/>
        <v>131000</v>
      </c>
      <c r="S81" s="8">
        <f t="shared" si="31"/>
        <v>5.1398579432804297E-3</v>
      </c>
      <c r="T81" s="8">
        <v>0.1</v>
      </c>
      <c r="U81" s="8">
        <f t="shared" si="32"/>
        <v>110000.00000000001</v>
      </c>
      <c r="V81" s="8">
        <f t="shared" si="19"/>
        <v>8.4309577464788745</v>
      </c>
      <c r="W81" s="8">
        <f t="shared" si="33"/>
        <v>538.09435410761569</v>
      </c>
      <c r="X81" s="22">
        <f t="shared" si="34"/>
        <v>1.272311237296813E-14</v>
      </c>
      <c r="Y81" s="22">
        <f t="shared" si="35"/>
        <v>7661858271.0014086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</row>
    <row r="82" spans="1:76" s="3" customFormat="1" x14ac:dyDescent="0.25">
      <c r="A82" s="14">
        <v>240</v>
      </c>
      <c r="B82" s="14">
        <f t="shared" si="20"/>
        <v>4</v>
      </c>
      <c r="C82" s="14">
        <v>20</v>
      </c>
      <c r="D82" s="14">
        <f t="shared" si="18"/>
        <v>29.146000000000001</v>
      </c>
      <c r="E82" s="14">
        <f t="shared" si="21"/>
        <v>4.8576666666666667E-7</v>
      </c>
      <c r="F82" s="14">
        <v>21.1</v>
      </c>
      <c r="G82" s="14">
        <f t="shared" si="22"/>
        <v>294.10000000000002</v>
      </c>
      <c r="H82" s="14">
        <v>101.3</v>
      </c>
      <c r="I82" s="14">
        <f t="shared" si="23"/>
        <v>101300</v>
      </c>
      <c r="J82" s="14">
        <f t="shared" si="24"/>
        <v>2.0124824921938581E-5</v>
      </c>
      <c r="K82" s="13">
        <v>71.884507042253517</v>
      </c>
      <c r="L82" s="17">
        <f t="shared" si="25"/>
        <v>7.1884507042253512E-5</v>
      </c>
      <c r="M82" s="14">
        <f t="shared" si="26"/>
        <v>4.7762865441819992E-3</v>
      </c>
      <c r="N82" s="26">
        <f t="shared" si="27"/>
        <v>3.0288449100429187E-7</v>
      </c>
      <c r="O82" s="8">
        <f t="shared" si="28"/>
        <v>2.032E-3</v>
      </c>
      <c r="P82" s="8">
        <f t="shared" si="29"/>
        <v>3.2336876577195123E-11</v>
      </c>
      <c r="Q82" s="8">
        <v>0.31</v>
      </c>
      <c r="R82" s="8">
        <f t="shared" si="30"/>
        <v>131000</v>
      </c>
      <c r="S82" s="8">
        <f t="shared" si="31"/>
        <v>5.1398579432804297E-3</v>
      </c>
      <c r="T82" s="8">
        <v>0.1</v>
      </c>
      <c r="U82" s="8">
        <f t="shared" si="32"/>
        <v>110000.00000000001</v>
      </c>
      <c r="V82" s="8">
        <f t="shared" si="19"/>
        <v>7.9072957746478876</v>
      </c>
      <c r="W82" s="8">
        <f t="shared" si="33"/>
        <v>477.1948870075131</v>
      </c>
      <c r="X82" s="22">
        <f t="shared" si="34"/>
        <v>1.1927289301185071E-14</v>
      </c>
      <c r="Y82" s="22">
        <f t="shared" si="35"/>
        <v>7182613617.1736498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</row>
    <row r="83" spans="1:76" s="3" customFormat="1" x14ac:dyDescent="0.25">
      <c r="A83" s="14">
        <v>243</v>
      </c>
      <c r="B83" s="14">
        <f t="shared" si="20"/>
        <v>4.05</v>
      </c>
      <c r="C83" s="14">
        <v>20</v>
      </c>
      <c r="D83" s="14">
        <f t="shared" si="18"/>
        <v>29.146000000000001</v>
      </c>
      <c r="E83" s="14">
        <f t="shared" si="21"/>
        <v>4.8576666666666667E-7</v>
      </c>
      <c r="F83" s="14">
        <v>21.1</v>
      </c>
      <c r="G83" s="14">
        <f t="shared" si="22"/>
        <v>294.10000000000002</v>
      </c>
      <c r="H83" s="14">
        <v>101.3</v>
      </c>
      <c r="I83" s="14">
        <f t="shared" si="23"/>
        <v>101300</v>
      </c>
      <c r="J83" s="14">
        <f t="shared" si="24"/>
        <v>2.0124824921938581E-5</v>
      </c>
      <c r="K83" s="13">
        <v>79.236619718309868</v>
      </c>
      <c r="L83" s="17">
        <f t="shared" si="25"/>
        <v>7.923661971830987E-5</v>
      </c>
      <c r="M83" s="14">
        <f t="shared" si="26"/>
        <v>4.7762865441819992E-3</v>
      </c>
      <c r="N83" s="26">
        <f t="shared" si="27"/>
        <v>3.3386252782082872E-7</v>
      </c>
      <c r="O83" s="8">
        <f t="shared" si="28"/>
        <v>2.032E-3</v>
      </c>
      <c r="P83" s="8">
        <f t="shared" si="29"/>
        <v>3.2336876577195123E-11</v>
      </c>
      <c r="Q83" s="8">
        <v>0.31</v>
      </c>
      <c r="R83" s="8">
        <f t="shared" si="30"/>
        <v>131000</v>
      </c>
      <c r="S83" s="8">
        <f t="shared" si="31"/>
        <v>5.1398579432804297E-3</v>
      </c>
      <c r="T83" s="8">
        <v>0.1</v>
      </c>
      <c r="U83" s="8">
        <f t="shared" si="32"/>
        <v>110000.00000000001</v>
      </c>
      <c r="V83" s="8">
        <f t="shared" si="19"/>
        <v>8.7160281690140877</v>
      </c>
      <c r="W83" s="8">
        <f t="shared" si="33"/>
        <v>572.72645732008721</v>
      </c>
      <c r="X83" s="22">
        <f t="shared" si="34"/>
        <v>1.3156803166801143E-14</v>
      </c>
      <c r="Y83" s="22">
        <f t="shared" si="35"/>
        <v>7923026867.0476484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</row>
    <row r="84" spans="1:76" s="3" customFormat="1" x14ac:dyDescent="0.25">
      <c r="A84" s="14">
        <v>246</v>
      </c>
      <c r="B84" s="14">
        <f t="shared" si="20"/>
        <v>4.0999999999999996</v>
      </c>
      <c r="C84" s="14">
        <v>20</v>
      </c>
      <c r="D84" s="14">
        <f t="shared" si="18"/>
        <v>29.146000000000001</v>
      </c>
      <c r="E84" s="14">
        <f t="shared" si="21"/>
        <v>4.8576666666666667E-7</v>
      </c>
      <c r="F84" s="14">
        <v>21.1</v>
      </c>
      <c r="G84" s="14">
        <f t="shared" si="22"/>
        <v>294.10000000000002</v>
      </c>
      <c r="H84" s="14">
        <v>101.3</v>
      </c>
      <c r="I84" s="14">
        <f t="shared" si="23"/>
        <v>101300</v>
      </c>
      <c r="J84" s="14">
        <f t="shared" si="24"/>
        <v>2.0124824921938581E-5</v>
      </c>
      <c r="K84" s="13">
        <v>79.123943661971836</v>
      </c>
      <c r="L84" s="17">
        <f t="shared" si="25"/>
        <v>7.9123943661971841E-5</v>
      </c>
      <c r="M84" s="14">
        <f t="shared" si="26"/>
        <v>4.7762865441819992E-3</v>
      </c>
      <c r="N84" s="26">
        <f t="shared" si="27"/>
        <v>3.3338776863590093E-7</v>
      </c>
      <c r="O84" s="8">
        <f t="shared" si="28"/>
        <v>2.032E-3</v>
      </c>
      <c r="P84" s="8">
        <f t="shared" si="29"/>
        <v>3.2336876577195123E-11</v>
      </c>
      <c r="Q84" s="8">
        <v>0.31</v>
      </c>
      <c r="R84" s="8">
        <f t="shared" si="30"/>
        <v>131000</v>
      </c>
      <c r="S84" s="8">
        <f t="shared" si="31"/>
        <v>5.1398579432804297E-3</v>
      </c>
      <c r="T84" s="8">
        <v>0.1</v>
      </c>
      <c r="U84" s="8">
        <f t="shared" si="32"/>
        <v>110000.00000000001</v>
      </c>
      <c r="V84" s="8">
        <f t="shared" si="19"/>
        <v>8.7036338028169045</v>
      </c>
      <c r="W84" s="8">
        <f t="shared" si="33"/>
        <v>571.19905487951701</v>
      </c>
      <c r="X84" s="22">
        <f t="shared" si="34"/>
        <v>1.313794007457584E-14</v>
      </c>
      <c r="Y84" s="22">
        <f t="shared" si="35"/>
        <v>7911667512.9095707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</row>
    <row r="85" spans="1:76" s="3" customFormat="1" x14ac:dyDescent="0.25">
      <c r="A85" s="14">
        <v>249</v>
      </c>
      <c r="B85" s="14">
        <f t="shared" si="20"/>
        <v>4.1500000000000004</v>
      </c>
      <c r="C85" s="14">
        <v>20</v>
      </c>
      <c r="D85" s="14">
        <f t="shared" si="18"/>
        <v>29.146000000000001</v>
      </c>
      <c r="E85" s="14">
        <f t="shared" si="21"/>
        <v>4.8576666666666667E-7</v>
      </c>
      <c r="F85" s="14">
        <v>21.1</v>
      </c>
      <c r="G85" s="14">
        <f t="shared" si="22"/>
        <v>294.10000000000002</v>
      </c>
      <c r="H85" s="14">
        <v>101.3</v>
      </c>
      <c r="I85" s="14">
        <f t="shared" si="23"/>
        <v>101300</v>
      </c>
      <c r="J85" s="14">
        <f t="shared" si="24"/>
        <v>2.0124824921938581E-5</v>
      </c>
      <c r="K85" s="13">
        <v>74.673239436619724</v>
      </c>
      <c r="L85" s="17">
        <f t="shared" si="25"/>
        <v>7.4673239436619723E-5</v>
      </c>
      <c r="M85" s="14">
        <f t="shared" si="26"/>
        <v>4.7762865441819992E-3</v>
      </c>
      <c r="N85" s="26">
        <f t="shared" si="27"/>
        <v>3.1463478083125413E-7</v>
      </c>
      <c r="O85" s="8">
        <f t="shared" si="28"/>
        <v>2.032E-3</v>
      </c>
      <c r="P85" s="8">
        <f t="shared" si="29"/>
        <v>3.2336876577195123E-11</v>
      </c>
      <c r="Q85" s="8">
        <v>0.31</v>
      </c>
      <c r="R85" s="8">
        <f t="shared" si="30"/>
        <v>131000</v>
      </c>
      <c r="S85" s="8">
        <f t="shared" si="31"/>
        <v>5.1398579432804297E-3</v>
      </c>
      <c r="T85" s="8">
        <v>0.1</v>
      </c>
      <c r="U85" s="8">
        <f t="shared" si="32"/>
        <v>110000.00000000001</v>
      </c>
      <c r="V85" s="8">
        <f t="shared" si="19"/>
        <v>8.2140563380281701</v>
      </c>
      <c r="W85" s="8">
        <f t="shared" si="33"/>
        <v>512.44224492962803</v>
      </c>
      <c r="X85" s="22">
        <f t="shared" si="34"/>
        <v>1.2393350793822944E-14</v>
      </c>
      <c r="Y85" s="22">
        <f t="shared" si="35"/>
        <v>7463275848.0401773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</row>
    <row r="86" spans="1:76" s="3" customFormat="1" x14ac:dyDescent="0.25">
      <c r="A86" s="14">
        <v>252</v>
      </c>
      <c r="B86" s="14">
        <f t="shared" si="20"/>
        <v>4.2</v>
      </c>
      <c r="C86" s="14">
        <v>20</v>
      </c>
      <c r="D86" s="14">
        <f t="shared" si="18"/>
        <v>29.146000000000001</v>
      </c>
      <c r="E86" s="14">
        <f t="shared" si="21"/>
        <v>4.8576666666666667E-7</v>
      </c>
      <c r="F86" s="14">
        <v>21.1</v>
      </c>
      <c r="G86" s="14">
        <f t="shared" si="22"/>
        <v>294.10000000000002</v>
      </c>
      <c r="H86" s="14">
        <v>101.3</v>
      </c>
      <c r="I86" s="14">
        <f t="shared" si="23"/>
        <v>101300</v>
      </c>
      <c r="J86" s="14">
        <f t="shared" si="24"/>
        <v>2.0124824921938581E-5</v>
      </c>
      <c r="K86" s="13">
        <v>80.870422535211276</v>
      </c>
      <c r="L86" s="17">
        <f t="shared" si="25"/>
        <v>8.0870422535211277E-5</v>
      </c>
      <c r="M86" s="14">
        <f t="shared" si="26"/>
        <v>4.7762865441819992E-3</v>
      </c>
      <c r="N86" s="26">
        <f t="shared" si="27"/>
        <v>3.4074653600228134E-7</v>
      </c>
      <c r="O86" s="8">
        <f t="shared" si="28"/>
        <v>2.032E-3</v>
      </c>
      <c r="P86" s="8">
        <f t="shared" si="29"/>
        <v>3.2336876577195123E-11</v>
      </c>
      <c r="Q86" s="8">
        <v>0.31</v>
      </c>
      <c r="R86" s="8">
        <f t="shared" si="30"/>
        <v>131000</v>
      </c>
      <c r="S86" s="8">
        <f t="shared" si="31"/>
        <v>5.1398579432804297E-3</v>
      </c>
      <c r="T86" s="8">
        <v>0.1</v>
      </c>
      <c r="U86" s="8">
        <f t="shared" si="32"/>
        <v>110000.00000000001</v>
      </c>
      <c r="V86" s="8">
        <f t="shared" si="19"/>
        <v>8.8957464788732423</v>
      </c>
      <c r="W86" s="8">
        <f t="shared" si="33"/>
        <v>595.09486865729559</v>
      </c>
      <c r="X86" s="22">
        <f t="shared" si="34"/>
        <v>1.3430390428585741E-14</v>
      </c>
      <c r="Y86" s="22">
        <f t="shared" si="35"/>
        <v>8087781116.0943336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</row>
    <row r="87" spans="1:76" s="3" customFormat="1" x14ac:dyDescent="0.25">
      <c r="A87" s="14">
        <v>255</v>
      </c>
      <c r="B87" s="14">
        <f t="shared" si="20"/>
        <v>4.25</v>
      </c>
      <c r="C87" s="14">
        <v>20</v>
      </c>
      <c r="D87" s="14">
        <f t="shared" si="18"/>
        <v>29.146000000000001</v>
      </c>
      <c r="E87" s="14">
        <f t="shared" si="21"/>
        <v>4.8576666666666667E-7</v>
      </c>
      <c r="F87" s="14">
        <v>21.1</v>
      </c>
      <c r="G87" s="14">
        <f t="shared" si="22"/>
        <v>294.10000000000002</v>
      </c>
      <c r="H87" s="14">
        <v>101.3</v>
      </c>
      <c r="I87" s="14">
        <f t="shared" si="23"/>
        <v>101300</v>
      </c>
      <c r="J87" s="14">
        <f t="shared" si="24"/>
        <v>2.0124824921938581E-5</v>
      </c>
      <c r="K87" s="13">
        <v>80.757746478873258</v>
      </c>
      <c r="L87" s="17">
        <f t="shared" si="25"/>
        <v>8.0757746478873262E-5</v>
      </c>
      <c r="M87" s="14">
        <f t="shared" si="26"/>
        <v>4.7762865441819992E-3</v>
      </c>
      <c r="N87" s="26">
        <f t="shared" si="27"/>
        <v>3.402717768173536E-7</v>
      </c>
      <c r="O87" s="8">
        <f t="shared" si="28"/>
        <v>2.032E-3</v>
      </c>
      <c r="P87" s="8">
        <f t="shared" si="29"/>
        <v>3.2336876577195123E-11</v>
      </c>
      <c r="Q87" s="8">
        <v>0.31</v>
      </c>
      <c r="R87" s="8">
        <f t="shared" si="30"/>
        <v>131000</v>
      </c>
      <c r="S87" s="8">
        <f t="shared" si="31"/>
        <v>5.1398579432804297E-3</v>
      </c>
      <c r="T87" s="8">
        <v>0.1</v>
      </c>
      <c r="U87" s="8">
        <f t="shared" si="32"/>
        <v>110000.00000000001</v>
      </c>
      <c r="V87" s="8">
        <f t="shared" si="19"/>
        <v>8.8833521126760608</v>
      </c>
      <c r="W87" s="8">
        <f t="shared" si="33"/>
        <v>593.53894458394007</v>
      </c>
      <c r="X87" s="22">
        <f t="shared" si="34"/>
        <v>1.3411517963098524E-14</v>
      </c>
      <c r="Y87" s="22">
        <f t="shared" si="35"/>
        <v>8076416117.3779316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</row>
    <row r="88" spans="1:76" s="3" customFormat="1" x14ac:dyDescent="0.25">
      <c r="A88" s="14">
        <v>258</v>
      </c>
      <c r="B88" s="14">
        <f t="shared" ref="B88:B116" si="36">(A88/60)</f>
        <v>4.3</v>
      </c>
      <c r="C88" s="14">
        <v>20</v>
      </c>
      <c r="D88" s="14">
        <f t="shared" ref="D88:D116" si="37">(C88*1.4573)</f>
        <v>29.146000000000001</v>
      </c>
      <c r="E88" s="14">
        <f t="shared" ref="E88:E116" si="38">(D88/(1000000*60))</f>
        <v>4.8576666666666667E-7</v>
      </c>
      <c r="F88" s="14">
        <v>21.1</v>
      </c>
      <c r="G88" s="14">
        <f t="shared" ref="G88:G116" si="39">(273+F88)</f>
        <v>294.10000000000002</v>
      </c>
      <c r="H88" s="14">
        <v>101.3</v>
      </c>
      <c r="I88" s="14">
        <f t="shared" ref="I88:I116" si="40">(H88*1000)</f>
        <v>101300</v>
      </c>
      <c r="J88" s="14">
        <f t="shared" ref="J88:J116" si="41">((I88*E88)/(8.314*G88))</f>
        <v>2.0124824921938581E-5</v>
      </c>
      <c r="K88" s="13">
        <v>77.292957746478876</v>
      </c>
      <c r="L88" s="17">
        <f t="shared" si="25"/>
        <v>7.7292957746478877E-5</v>
      </c>
      <c r="M88" s="14">
        <f t="shared" si="26"/>
        <v>4.7762865441819992E-3</v>
      </c>
      <c r="N88" s="26">
        <f t="shared" si="27"/>
        <v>3.2567293188082466E-7</v>
      </c>
      <c r="O88" s="8">
        <f t="shared" si="28"/>
        <v>2.032E-3</v>
      </c>
      <c r="P88" s="8">
        <f t="shared" si="29"/>
        <v>3.2336876577195123E-11</v>
      </c>
      <c r="Q88" s="8">
        <v>0.31</v>
      </c>
      <c r="R88" s="8">
        <f t="shared" si="30"/>
        <v>131000</v>
      </c>
      <c r="S88" s="8">
        <f t="shared" si="31"/>
        <v>5.1398579432804297E-3</v>
      </c>
      <c r="T88" s="8">
        <v>0.1</v>
      </c>
      <c r="U88" s="8">
        <f t="shared" si="32"/>
        <v>110000.00000000001</v>
      </c>
      <c r="V88" s="8">
        <f t="shared" si="19"/>
        <v>8.5022253521126778</v>
      </c>
      <c r="W88" s="8">
        <f t="shared" si="33"/>
        <v>546.65469392660384</v>
      </c>
      <c r="X88" s="22">
        <f t="shared" si="34"/>
        <v>1.2831503875287375E-14</v>
      </c>
      <c r="Y88" s="22">
        <f t="shared" si="35"/>
        <v>7727131633.6980572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</row>
    <row r="89" spans="1:76" s="3" customFormat="1" x14ac:dyDescent="0.25">
      <c r="A89" s="14">
        <v>261</v>
      </c>
      <c r="B89" s="14">
        <f t="shared" si="36"/>
        <v>4.3499999999999996</v>
      </c>
      <c r="C89" s="14">
        <v>20</v>
      </c>
      <c r="D89" s="14">
        <f t="shared" si="37"/>
        <v>29.146000000000001</v>
      </c>
      <c r="E89" s="14">
        <f t="shared" si="38"/>
        <v>4.8576666666666667E-7</v>
      </c>
      <c r="F89" s="14">
        <v>21.1</v>
      </c>
      <c r="G89" s="14">
        <f t="shared" si="39"/>
        <v>294.10000000000002</v>
      </c>
      <c r="H89" s="14">
        <v>101.3</v>
      </c>
      <c r="I89" s="14">
        <f t="shared" si="40"/>
        <v>101300</v>
      </c>
      <c r="J89" s="14">
        <f t="shared" si="41"/>
        <v>2.0124824921938581E-5</v>
      </c>
      <c r="K89" s="13">
        <v>85.800000000000011</v>
      </c>
      <c r="L89" s="17">
        <f t="shared" si="25"/>
        <v>8.5800000000000012E-5</v>
      </c>
      <c r="M89" s="14">
        <f t="shared" si="26"/>
        <v>4.7762865441819992E-3</v>
      </c>
      <c r="N89" s="26">
        <f t="shared" si="27"/>
        <v>3.615172503428711E-7</v>
      </c>
      <c r="O89" s="8">
        <f t="shared" si="28"/>
        <v>2.032E-3</v>
      </c>
      <c r="P89" s="8">
        <f t="shared" si="29"/>
        <v>3.2336876577195123E-11</v>
      </c>
      <c r="Q89" s="8">
        <v>0.31</v>
      </c>
      <c r="R89" s="8">
        <f t="shared" si="30"/>
        <v>131000</v>
      </c>
      <c r="S89" s="8">
        <f t="shared" si="31"/>
        <v>5.1398579432804297E-3</v>
      </c>
      <c r="T89" s="8">
        <v>0.1</v>
      </c>
      <c r="U89" s="8">
        <f t="shared" si="32"/>
        <v>110000.00000000001</v>
      </c>
      <c r="V89" s="8">
        <f t="shared" si="19"/>
        <v>9.4380000000000024</v>
      </c>
      <c r="W89" s="8">
        <f t="shared" si="33"/>
        <v>665.08930414289944</v>
      </c>
      <c r="X89" s="22">
        <f t="shared" si="34"/>
        <v>1.4256712195428465E-14</v>
      </c>
      <c r="Y89" s="22">
        <f t="shared" si="35"/>
        <v>8585392084.0870218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</row>
    <row r="90" spans="1:76" s="3" customFormat="1" x14ac:dyDescent="0.25">
      <c r="A90" s="14">
        <v>264</v>
      </c>
      <c r="B90" s="14">
        <f t="shared" si="36"/>
        <v>4.4000000000000004</v>
      </c>
      <c r="C90" s="14">
        <v>20</v>
      </c>
      <c r="D90" s="14">
        <f t="shared" si="37"/>
        <v>29.146000000000001</v>
      </c>
      <c r="E90" s="14">
        <f t="shared" si="38"/>
        <v>4.8576666666666667E-7</v>
      </c>
      <c r="F90" s="14">
        <v>21.1</v>
      </c>
      <c r="G90" s="14">
        <f t="shared" si="39"/>
        <v>294.10000000000002</v>
      </c>
      <c r="H90" s="14">
        <v>101.3</v>
      </c>
      <c r="I90" s="14">
        <f t="shared" si="40"/>
        <v>101300</v>
      </c>
      <c r="J90" s="14">
        <f t="shared" si="41"/>
        <v>2.0124824921938581E-5</v>
      </c>
      <c r="K90" s="13">
        <v>86.278873239436621</v>
      </c>
      <c r="L90" s="17">
        <f t="shared" si="25"/>
        <v>8.6278873239436615E-5</v>
      </c>
      <c r="M90" s="14">
        <f t="shared" si="26"/>
        <v>4.7762865441819992E-3</v>
      </c>
      <c r="N90" s="26">
        <f t="shared" si="27"/>
        <v>3.6353497687881407E-7</v>
      </c>
      <c r="O90" s="8">
        <f t="shared" si="28"/>
        <v>2.032E-3</v>
      </c>
      <c r="P90" s="8">
        <f t="shared" si="29"/>
        <v>3.2336876577195123E-11</v>
      </c>
      <c r="Q90" s="8">
        <v>0.31</v>
      </c>
      <c r="R90" s="8">
        <f t="shared" si="30"/>
        <v>131000</v>
      </c>
      <c r="S90" s="8">
        <f t="shared" si="31"/>
        <v>5.1398579432804297E-3</v>
      </c>
      <c r="T90" s="8">
        <v>0.1</v>
      </c>
      <c r="U90" s="8">
        <f t="shared" si="32"/>
        <v>110000.00000000001</v>
      </c>
      <c r="V90" s="8">
        <f t="shared" si="19"/>
        <v>9.4906760563380281</v>
      </c>
      <c r="W90" s="8">
        <f t="shared" si="33"/>
        <v>672.08890484679807</v>
      </c>
      <c r="X90" s="22">
        <f t="shared" si="34"/>
        <v>1.4337052768432875E-14</v>
      </c>
      <c r="Y90" s="22">
        <f t="shared" si="35"/>
        <v>8633773177.1502781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</row>
    <row r="91" spans="1:76" s="3" customFormat="1" x14ac:dyDescent="0.25">
      <c r="A91" s="14">
        <v>267</v>
      </c>
      <c r="B91" s="14">
        <f t="shared" si="36"/>
        <v>4.45</v>
      </c>
      <c r="C91" s="14">
        <v>20</v>
      </c>
      <c r="D91" s="14">
        <f t="shared" si="37"/>
        <v>29.146000000000001</v>
      </c>
      <c r="E91" s="14">
        <f t="shared" si="38"/>
        <v>4.8576666666666667E-7</v>
      </c>
      <c r="F91" s="14">
        <v>21.1</v>
      </c>
      <c r="G91" s="14">
        <f t="shared" si="39"/>
        <v>294.10000000000002</v>
      </c>
      <c r="H91" s="14">
        <v>101.3</v>
      </c>
      <c r="I91" s="14">
        <f t="shared" si="40"/>
        <v>101300</v>
      </c>
      <c r="J91" s="14">
        <f t="shared" si="41"/>
        <v>2.0124824921938581E-5</v>
      </c>
      <c r="K91" s="13">
        <v>85.405633802816908</v>
      </c>
      <c r="L91" s="17">
        <f t="shared" si="25"/>
        <v>8.5405633802816911E-5</v>
      </c>
      <c r="M91" s="14">
        <f t="shared" si="26"/>
        <v>4.7762865441819992E-3</v>
      </c>
      <c r="N91" s="26">
        <f t="shared" si="27"/>
        <v>3.598555931956239E-7</v>
      </c>
      <c r="O91" s="8">
        <f t="shared" si="28"/>
        <v>2.032E-3</v>
      </c>
      <c r="P91" s="8">
        <f t="shared" si="29"/>
        <v>3.2336876577195123E-11</v>
      </c>
      <c r="Q91" s="8">
        <v>0.31</v>
      </c>
      <c r="R91" s="8">
        <f t="shared" si="30"/>
        <v>131000</v>
      </c>
      <c r="S91" s="8">
        <f t="shared" si="31"/>
        <v>5.1398579432804297E-3</v>
      </c>
      <c r="T91" s="8">
        <v>0.1</v>
      </c>
      <c r="U91" s="8">
        <f t="shared" si="32"/>
        <v>110000.00000000001</v>
      </c>
      <c r="V91" s="8">
        <f t="shared" si="19"/>
        <v>9.3946197183098619</v>
      </c>
      <c r="W91" s="8">
        <f t="shared" si="33"/>
        <v>659.35151697054914</v>
      </c>
      <c r="X91" s="22">
        <f t="shared" si="34"/>
        <v>1.4190558744697668E-14</v>
      </c>
      <c r="Y91" s="22">
        <f t="shared" si="35"/>
        <v>8545554476.0569363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</row>
    <row r="92" spans="1:76" s="3" customFormat="1" x14ac:dyDescent="0.25">
      <c r="A92" s="14">
        <v>270</v>
      </c>
      <c r="B92" s="14">
        <f t="shared" si="36"/>
        <v>4.5</v>
      </c>
      <c r="C92" s="14">
        <v>20</v>
      </c>
      <c r="D92" s="14">
        <f t="shared" si="37"/>
        <v>29.146000000000001</v>
      </c>
      <c r="E92" s="14">
        <f t="shared" si="38"/>
        <v>4.8576666666666667E-7</v>
      </c>
      <c r="F92" s="14">
        <v>21.1</v>
      </c>
      <c r="G92" s="14">
        <f t="shared" si="39"/>
        <v>294.10000000000002</v>
      </c>
      <c r="H92" s="14">
        <v>101.3</v>
      </c>
      <c r="I92" s="14">
        <f t="shared" si="40"/>
        <v>101300</v>
      </c>
      <c r="J92" s="14">
        <f t="shared" si="41"/>
        <v>2.0124824921938581E-5</v>
      </c>
      <c r="K92" s="13">
        <v>75.969014084507052</v>
      </c>
      <c r="L92" s="17">
        <f t="shared" si="25"/>
        <v>7.5969014084507056E-5</v>
      </c>
      <c r="M92" s="14">
        <f t="shared" si="26"/>
        <v>4.7762865441819992E-3</v>
      </c>
      <c r="N92" s="26">
        <f t="shared" si="27"/>
        <v>3.2009451145792349E-7</v>
      </c>
      <c r="O92" s="8">
        <f t="shared" si="28"/>
        <v>2.032E-3</v>
      </c>
      <c r="P92" s="8">
        <f t="shared" si="29"/>
        <v>3.2336876577195123E-11</v>
      </c>
      <c r="Q92" s="8">
        <v>0.31</v>
      </c>
      <c r="R92" s="8">
        <f t="shared" si="30"/>
        <v>131000</v>
      </c>
      <c r="S92" s="8">
        <f t="shared" si="31"/>
        <v>5.1398579432804297E-3</v>
      </c>
      <c r="T92" s="8">
        <v>0.1</v>
      </c>
      <c r="U92" s="8">
        <f t="shared" si="32"/>
        <v>110000.00000000001</v>
      </c>
      <c r="V92" s="8">
        <f t="shared" si="19"/>
        <v>8.3565915492957767</v>
      </c>
      <c r="W92" s="8">
        <f t="shared" si="33"/>
        <v>529.23130561559799</v>
      </c>
      <c r="X92" s="22">
        <f t="shared" si="34"/>
        <v>1.261003007632536E-14</v>
      </c>
      <c r="Y92" s="22">
        <f t="shared" si="35"/>
        <v>7593760111.9631319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</row>
    <row r="93" spans="1:76" s="3" customFormat="1" x14ac:dyDescent="0.25">
      <c r="A93" s="14">
        <v>273</v>
      </c>
      <c r="B93" s="14">
        <f t="shared" si="36"/>
        <v>4.55</v>
      </c>
      <c r="C93" s="14">
        <v>20</v>
      </c>
      <c r="D93" s="14">
        <f t="shared" si="37"/>
        <v>29.146000000000001</v>
      </c>
      <c r="E93" s="14">
        <f t="shared" si="38"/>
        <v>4.8576666666666667E-7</v>
      </c>
      <c r="F93" s="14">
        <v>21.1</v>
      </c>
      <c r="G93" s="14">
        <f t="shared" si="39"/>
        <v>294.10000000000002</v>
      </c>
      <c r="H93" s="14">
        <v>101.3</v>
      </c>
      <c r="I93" s="14">
        <f t="shared" si="40"/>
        <v>101300</v>
      </c>
      <c r="J93" s="14">
        <f t="shared" si="41"/>
        <v>2.0124824921938581E-5</v>
      </c>
      <c r="K93" s="13">
        <v>77.180281690140859</v>
      </c>
      <c r="L93" s="17">
        <f t="shared" si="25"/>
        <v>7.7180281690140861E-5</v>
      </c>
      <c r="M93" s="14">
        <f t="shared" si="26"/>
        <v>4.7762865441819992E-3</v>
      </c>
      <c r="N93" s="26">
        <f t="shared" si="27"/>
        <v>3.2519817269589698E-7</v>
      </c>
      <c r="O93" s="8">
        <f t="shared" si="28"/>
        <v>2.032E-3</v>
      </c>
      <c r="P93" s="8">
        <f t="shared" si="29"/>
        <v>3.2336876577195123E-11</v>
      </c>
      <c r="Q93" s="8">
        <v>0.31</v>
      </c>
      <c r="R93" s="8">
        <f t="shared" si="30"/>
        <v>131000</v>
      </c>
      <c r="S93" s="8">
        <f t="shared" si="31"/>
        <v>5.1398579432804297E-3</v>
      </c>
      <c r="T93" s="8">
        <v>0.1</v>
      </c>
      <c r="U93" s="8">
        <f t="shared" si="32"/>
        <v>110000.00000000001</v>
      </c>
      <c r="V93" s="8">
        <f t="shared" si="19"/>
        <v>8.4898309859154963</v>
      </c>
      <c r="W93" s="8">
        <f t="shared" si="33"/>
        <v>545.16125908988408</v>
      </c>
      <c r="X93" s="22">
        <f t="shared" si="34"/>
        <v>1.2812651697733615E-14</v>
      </c>
      <c r="Y93" s="22">
        <f t="shared" si="35"/>
        <v>7715778852.3751831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</row>
    <row r="94" spans="1:76" s="3" customFormat="1" x14ac:dyDescent="0.25">
      <c r="A94" s="14">
        <v>276</v>
      </c>
      <c r="B94" s="14">
        <f t="shared" si="36"/>
        <v>4.5999999999999996</v>
      </c>
      <c r="C94" s="14">
        <v>20</v>
      </c>
      <c r="D94" s="14">
        <f t="shared" si="37"/>
        <v>29.146000000000001</v>
      </c>
      <c r="E94" s="14">
        <f t="shared" si="38"/>
        <v>4.8576666666666667E-7</v>
      </c>
      <c r="F94" s="14">
        <v>21.1</v>
      </c>
      <c r="G94" s="14">
        <f t="shared" si="39"/>
        <v>294.10000000000002</v>
      </c>
      <c r="H94" s="14">
        <v>101.3</v>
      </c>
      <c r="I94" s="14">
        <f t="shared" si="40"/>
        <v>101300</v>
      </c>
      <c r="J94" s="14">
        <f t="shared" si="41"/>
        <v>2.0124824921938581E-5</v>
      </c>
      <c r="K94" s="13">
        <v>79.659154929577468</v>
      </c>
      <c r="L94" s="17">
        <f t="shared" si="25"/>
        <v>7.9659154929577472E-5</v>
      </c>
      <c r="M94" s="14">
        <f t="shared" si="26"/>
        <v>4.7762865441819992E-3</v>
      </c>
      <c r="N94" s="26">
        <f t="shared" si="27"/>
        <v>3.3564287476430779E-7</v>
      </c>
      <c r="O94" s="8">
        <f t="shared" si="28"/>
        <v>2.032E-3</v>
      </c>
      <c r="P94" s="8">
        <f t="shared" si="29"/>
        <v>3.2336876577195123E-11</v>
      </c>
      <c r="Q94" s="8">
        <v>0.31</v>
      </c>
      <c r="R94" s="8">
        <f t="shared" si="30"/>
        <v>131000</v>
      </c>
      <c r="S94" s="8">
        <f t="shared" si="31"/>
        <v>5.1398579432804297E-3</v>
      </c>
      <c r="T94" s="8">
        <v>0.1</v>
      </c>
      <c r="U94" s="8">
        <f t="shared" si="32"/>
        <v>110000.00000000001</v>
      </c>
      <c r="V94" s="8">
        <f t="shared" si="19"/>
        <v>8.7625070422535227</v>
      </c>
      <c r="W94" s="8">
        <f t="shared" si="33"/>
        <v>578.47174201049086</v>
      </c>
      <c r="X94" s="22">
        <f t="shared" si="34"/>
        <v>1.3227545475086275E-14</v>
      </c>
      <c r="Y94" s="22">
        <f t="shared" si="35"/>
        <v>7965627885.0969553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</row>
    <row r="95" spans="1:76" s="3" customFormat="1" x14ac:dyDescent="0.25">
      <c r="A95" s="14">
        <v>279</v>
      </c>
      <c r="B95" s="14">
        <f t="shared" si="36"/>
        <v>4.6500000000000004</v>
      </c>
      <c r="C95" s="14">
        <v>20</v>
      </c>
      <c r="D95" s="14">
        <f t="shared" si="37"/>
        <v>29.146000000000001</v>
      </c>
      <c r="E95" s="14">
        <f t="shared" si="38"/>
        <v>4.8576666666666667E-7</v>
      </c>
      <c r="F95" s="14">
        <v>21.1</v>
      </c>
      <c r="G95" s="14">
        <f t="shared" si="39"/>
        <v>294.10000000000002</v>
      </c>
      <c r="H95" s="14">
        <v>101.3</v>
      </c>
      <c r="I95" s="14">
        <f t="shared" si="40"/>
        <v>101300</v>
      </c>
      <c r="J95" s="14">
        <f t="shared" si="41"/>
        <v>2.0124824921938581E-5</v>
      </c>
      <c r="K95" s="13">
        <v>84.532394366197195</v>
      </c>
      <c r="L95" s="17">
        <f t="shared" si="25"/>
        <v>8.4532394366197193E-5</v>
      </c>
      <c r="M95" s="14">
        <f t="shared" si="26"/>
        <v>4.7762865441819992E-3</v>
      </c>
      <c r="N95" s="26">
        <f t="shared" si="27"/>
        <v>3.5617620951243372E-7</v>
      </c>
      <c r="O95" s="8">
        <f t="shared" si="28"/>
        <v>2.032E-3</v>
      </c>
      <c r="P95" s="8">
        <f t="shared" si="29"/>
        <v>3.2336876577195123E-11</v>
      </c>
      <c r="Q95" s="8">
        <v>0.31</v>
      </c>
      <c r="R95" s="8">
        <f t="shared" si="30"/>
        <v>131000</v>
      </c>
      <c r="S95" s="8">
        <f t="shared" si="31"/>
        <v>5.1398579432804297E-3</v>
      </c>
      <c r="T95" s="8">
        <v>0.1</v>
      </c>
      <c r="U95" s="8">
        <f t="shared" si="32"/>
        <v>110000.00000000001</v>
      </c>
      <c r="V95" s="8">
        <f t="shared" si="19"/>
        <v>9.298563380281692</v>
      </c>
      <c r="W95" s="8">
        <f t="shared" si="33"/>
        <v>646.73191110793164</v>
      </c>
      <c r="X95" s="22">
        <f t="shared" si="34"/>
        <v>1.4044106039762558E-14</v>
      </c>
      <c r="Y95" s="22">
        <f t="shared" si="35"/>
        <v>8457360657.1450129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</row>
    <row r="96" spans="1:76" s="3" customFormat="1" x14ac:dyDescent="0.25">
      <c r="A96" s="14">
        <v>282</v>
      </c>
      <c r="B96" s="14">
        <f t="shared" si="36"/>
        <v>4.7</v>
      </c>
      <c r="C96" s="14">
        <v>20</v>
      </c>
      <c r="D96" s="14">
        <f t="shared" si="37"/>
        <v>29.146000000000001</v>
      </c>
      <c r="E96" s="14">
        <f t="shared" si="38"/>
        <v>4.8576666666666667E-7</v>
      </c>
      <c r="F96" s="14">
        <v>21.1</v>
      </c>
      <c r="G96" s="14">
        <f t="shared" si="39"/>
        <v>294.10000000000002</v>
      </c>
      <c r="H96" s="14">
        <v>101.3</v>
      </c>
      <c r="I96" s="14">
        <f t="shared" si="40"/>
        <v>101300</v>
      </c>
      <c r="J96" s="14">
        <f t="shared" si="41"/>
        <v>2.0124824921938581E-5</v>
      </c>
      <c r="K96" s="13">
        <v>84.335211267605644</v>
      </c>
      <c r="L96" s="17">
        <f t="shared" si="25"/>
        <v>8.4335211267605649E-5</v>
      </c>
      <c r="M96" s="14">
        <f t="shared" si="26"/>
        <v>4.7762865441819992E-3</v>
      </c>
      <c r="N96" s="26">
        <f t="shared" si="27"/>
        <v>3.5534538093881017E-7</v>
      </c>
      <c r="O96" s="8">
        <f t="shared" si="28"/>
        <v>2.032E-3</v>
      </c>
      <c r="P96" s="8">
        <f t="shared" si="29"/>
        <v>3.2336876577195123E-11</v>
      </c>
      <c r="Q96" s="8">
        <v>0.31</v>
      </c>
      <c r="R96" s="8">
        <f t="shared" si="30"/>
        <v>131000</v>
      </c>
      <c r="S96" s="8">
        <f t="shared" si="31"/>
        <v>5.1398579432804297E-3</v>
      </c>
      <c r="T96" s="8">
        <v>0.1</v>
      </c>
      <c r="U96" s="8">
        <f t="shared" si="32"/>
        <v>110000.00000000001</v>
      </c>
      <c r="V96" s="8">
        <f t="shared" si="19"/>
        <v>9.2768732394366218</v>
      </c>
      <c r="W96" s="8">
        <f t="shared" si="33"/>
        <v>643.89862915642232</v>
      </c>
      <c r="X96" s="22">
        <f t="shared" si="34"/>
        <v>1.4011041751167817E-14</v>
      </c>
      <c r="Y96" s="22">
        <f t="shared" si="35"/>
        <v>8437449342.5532598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</row>
    <row r="97" spans="1:76" s="3" customFormat="1" x14ac:dyDescent="0.25">
      <c r="A97" s="14">
        <v>285</v>
      </c>
      <c r="B97" s="14">
        <f t="shared" si="36"/>
        <v>4.75</v>
      </c>
      <c r="C97" s="14">
        <v>20</v>
      </c>
      <c r="D97" s="14">
        <f t="shared" si="37"/>
        <v>29.146000000000001</v>
      </c>
      <c r="E97" s="14">
        <f t="shared" si="38"/>
        <v>4.8576666666666667E-7</v>
      </c>
      <c r="F97" s="14">
        <v>21.1</v>
      </c>
      <c r="G97" s="14">
        <f t="shared" si="39"/>
        <v>294.10000000000002</v>
      </c>
      <c r="H97" s="14">
        <v>101.3</v>
      </c>
      <c r="I97" s="14">
        <f t="shared" si="40"/>
        <v>101300</v>
      </c>
      <c r="J97" s="14">
        <f t="shared" si="41"/>
        <v>2.0124824921938581E-5</v>
      </c>
      <c r="K97" s="13">
        <v>78.391549295774652</v>
      </c>
      <c r="L97" s="17">
        <f t="shared" si="25"/>
        <v>7.8391549295774653E-5</v>
      </c>
      <c r="M97" s="14">
        <f t="shared" si="26"/>
        <v>4.7762865441819992E-3</v>
      </c>
      <c r="N97" s="26">
        <f t="shared" si="27"/>
        <v>3.3030183393387041E-7</v>
      </c>
      <c r="O97" s="8">
        <f t="shared" si="28"/>
        <v>2.032E-3</v>
      </c>
      <c r="P97" s="8">
        <f t="shared" si="29"/>
        <v>3.2336876577195123E-11</v>
      </c>
      <c r="Q97" s="8">
        <v>0.31</v>
      </c>
      <c r="R97" s="8">
        <f t="shared" si="30"/>
        <v>131000</v>
      </c>
      <c r="S97" s="8">
        <f t="shared" si="31"/>
        <v>5.1398579432804297E-3</v>
      </c>
      <c r="T97" s="8">
        <v>0.1</v>
      </c>
      <c r="U97" s="8">
        <f t="shared" si="32"/>
        <v>110000.00000000001</v>
      </c>
      <c r="V97" s="8">
        <f t="shared" si="19"/>
        <v>8.6230704225352124</v>
      </c>
      <c r="W97" s="8">
        <f t="shared" si="33"/>
        <v>561.31891588775466</v>
      </c>
      <c r="X97" s="22">
        <f t="shared" si="34"/>
        <v>1.3015345530290567E-14</v>
      </c>
      <c r="Y97" s="22">
        <f t="shared" si="35"/>
        <v>7837841078.3409796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</row>
    <row r="98" spans="1:76" s="3" customFormat="1" x14ac:dyDescent="0.25">
      <c r="A98" s="14">
        <v>288</v>
      </c>
      <c r="B98" s="14">
        <f t="shared" si="36"/>
        <v>4.8</v>
      </c>
      <c r="C98" s="14">
        <v>20</v>
      </c>
      <c r="D98" s="14">
        <f t="shared" si="37"/>
        <v>29.146000000000001</v>
      </c>
      <c r="E98" s="14">
        <f t="shared" si="38"/>
        <v>4.8576666666666667E-7</v>
      </c>
      <c r="F98" s="14">
        <v>21.1</v>
      </c>
      <c r="G98" s="14">
        <f t="shared" si="39"/>
        <v>294.10000000000002</v>
      </c>
      <c r="H98" s="14">
        <v>101.3</v>
      </c>
      <c r="I98" s="14">
        <f t="shared" si="40"/>
        <v>101300</v>
      </c>
      <c r="J98" s="14">
        <f t="shared" si="41"/>
        <v>2.0124824921938581E-5</v>
      </c>
      <c r="K98" s="13">
        <v>83.377464788732411</v>
      </c>
      <c r="L98" s="17">
        <f t="shared" si="25"/>
        <v>8.3377464788732416E-5</v>
      </c>
      <c r="M98" s="14">
        <f t="shared" si="26"/>
        <v>4.7762865441819992E-3</v>
      </c>
      <c r="N98" s="26">
        <f t="shared" si="27"/>
        <v>3.5130992786692413E-7</v>
      </c>
      <c r="O98" s="8">
        <f t="shared" si="28"/>
        <v>2.032E-3</v>
      </c>
      <c r="P98" s="8">
        <f t="shared" si="29"/>
        <v>3.2336876577195123E-11</v>
      </c>
      <c r="Q98" s="8">
        <v>0.31</v>
      </c>
      <c r="R98" s="8">
        <f t="shared" si="30"/>
        <v>131000</v>
      </c>
      <c r="S98" s="8">
        <f t="shared" si="31"/>
        <v>5.1398579432804297E-3</v>
      </c>
      <c r="T98" s="8">
        <v>0.1</v>
      </c>
      <c r="U98" s="8">
        <f t="shared" si="32"/>
        <v>110000.00000000001</v>
      </c>
      <c r="V98" s="8">
        <f t="shared" si="19"/>
        <v>9.1715211267605667</v>
      </c>
      <c r="W98" s="8">
        <f t="shared" si="33"/>
        <v>630.22246142273696</v>
      </c>
      <c r="X98" s="22">
        <f t="shared" si="34"/>
        <v>1.3850473302877052E-14</v>
      </c>
      <c r="Y98" s="22">
        <f t="shared" si="35"/>
        <v>8340755022.9925613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</row>
    <row r="99" spans="1:76" s="3" customFormat="1" x14ac:dyDescent="0.25">
      <c r="A99" s="14">
        <v>291</v>
      </c>
      <c r="B99" s="14">
        <f t="shared" si="36"/>
        <v>4.8499999999999996</v>
      </c>
      <c r="C99" s="14">
        <v>20</v>
      </c>
      <c r="D99" s="14">
        <f t="shared" si="37"/>
        <v>29.146000000000001</v>
      </c>
      <c r="E99" s="14">
        <f t="shared" si="38"/>
        <v>4.8576666666666667E-7</v>
      </c>
      <c r="F99" s="14">
        <v>21.1</v>
      </c>
      <c r="G99" s="14">
        <f t="shared" si="39"/>
        <v>294.10000000000002</v>
      </c>
      <c r="H99" s="14">
        <v>101.3</v>
      </c>
      <c r="I99" s="14">
        <f t="shared" si="40"/>
        <v>101300</v>
      </c>
      <c r="J99" s="14">
        <f t="shared" si="41"/>
        <v>2.0124824921938581E-5</v>
      </c>
      <c r="K99" s="13">
        <v>78.983098591549307</v>
      </c>
      <c r="L99" s="17">
        <f t="shared" si="25"/>
        <v>7.8983098591549312E-5</v>
      </c>
      <c r="M99" s="14">
        <f t="shared" si="26"/>
        <v>4.7762865441819992E-3</v>
      </c>
      <c r="N99" s="26">
        <f t="shared" si="27"/>
        <v>3.3279431965474128E-7</v>
      </c>
      <c r="O99" s="8">
        <f t="shared" si="28"/>
        <v>2.032E-3</v>
      </c>
      <c r="P99" s="8">
        <f t="shared" si="29"/>
        <v>3.2336876577195123E-11</v>
      </c>
      <c r="Q99" s="8">
        <v>0.31</v>
      </c>
      <c r="R99" s="8">
        <f t="shared" si="30"/>
        <v>131000</v>
      </c>
      <c r="S99" s="8">
        <f t="shared" si="31"/>
        <v>5.1398579432804297E-3</v>
      </c>
      <c r="T99" s="8">
        <v>0.1</v>
      </c>
      <c r="U99" s="8">
        <f t="shared" si="32"/>
        <v>110000.00000000001</v>
      </c>
      <c r="V99" s="8">
        <f t="shared" si="19"/>
        <v>8.6881408450704249</v>
      </c>
      <c r="W99" s="8">
        <f t="shared" si="33"/>
        <v>569.29256939464335</v>
      </c>
      <c r="X99" s="22">
        <f t="shared" si="34"/>
        <v>1.3114362108831579E-14</v>
      </c>
      <c r="Y99" s="22">
        <f t="shared" si="35"/>
        <v>7897468861.9383774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</row>
    <row r="100" spans="1:76" s="3" customFormat="1" x14ac:dyDescent="0.25">
      <c r="A100" s="14">
        <v>294</v>
      </c>
      <c r="B100" s="14">
        <f t="shared" si="36"/>
        <v>4.9000000000000004</v>
      </c>
      <c r="C100" s="14">
        <v>20</v>
      </c>
      <c r="D100" s="14">
        <f t="shared" si="37"/>
        <v>29.146000000000001</v>
      </c>
      <c r="E100" s="14">
        <f t="shared" si="38"/>
        <v>4.8576666666666667E-7</v>
      </c>
      <c r="F100" s="14">
        <v>21.1</v>
      </c>
      <c r="G100" s="14">
        <f t="shared" si="39"/>
        <v>294.10000000000002</v>
      </c>
      <c r="H100" s="14">
        <v>101.3</v>
      </c>
      <c r="I100" s="14">
        <f t="shared" si="40"/>
        <v>101300</v>
      </c>
      <c r="J100" s="14">
        <f t="shared" si="41"/>
        <v>2.0124824921938581E-5</v>
      </c>
      <c r="K100" s="13">
        <v>83.51830985915494</v>
      </c>
      <c r="L100" s="17">
        <f t="shared" si="25"/>
        <v>8.3518309859154945E-5</v>
      </c>
      <c r="M100" s="14">
        <f t="shared" si="26"/>
        <v>4.7762865441819992E-3</v>
      </c>
      <c r="N100" s="26">
        <f t="shared" si="27"/>
        <v>3.5190337684808384E-7</v>
      </c>
      <c r="O100" s="8">
        <f t="shared" si="28"/>
        <v>2.032E-3</v>
      </c>
      <c r="P100" s="8">
        <f t="shared" si="29"/>
        <v>3.2336876577195123E-11</v>
      </c>
      <c r="Q100" s="8">
        <v>0.31</v>
      </c>
      <c r="R100" s="8">
        <f t="shared" si="30"/>
        <v>131000</v>
      </c>
      <c r="S100" s="8">
        <f t="shared" si="31"/>
        <v>5.1398579432804297E-3</v>
      </c>
      <c r="T100" s="8">
        <v>0.1</v>
      </c>
      <c r="U100" s="8">
        <f t="shared" si="32"/>
        <v>110000.00000000001</v>
      </c>
      <c r="V100" s="8">
        <f t="shared" si="19"/>
        <v>9.1870140845070445</v>
      </c>
      <c r="W100" s="8">
        <f t="shared" si="33"/>
        <v>632.22476872711536</v>
      </c>
      <c r="X100" s="22">
        <f t="shared" si="34"/>
        <v>1.3874083250643274E-14</v>
      </c>
      <c r="Y100" s="22">
        <f t="shared" si="35"/>
        <v>8354972933.5373802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</row>
    <row r="101" spans="1:76" s="3" customFormat="1" x14ac:dyDescent="0.25">
      <c r="A101" s="14">
        <v>297</v>
      </c>
      <c r="B101" s="14">
        <f t="shared" si="36"/>
        <v>4.95</v>
      </c>
      <c r="C101" s="14">
        <v>20</v>
      </c>
      <c r="D101" s="14">
        <f t="shared" si="37"/>
        <v>29.146000000000001</v>
      </c>
      <c r="E101" s="14">
        <f t="shared" si="38"/>
        <v>4.8576666666666667E-7</v>
      </c>
      <c r="F101" s="14">
        <v>21.1</v>
      </c>
      <c r="G101" s="14">
        <f t="shared" si="39"/>
        <v>294.10000000000002</v>
      </c>
      <c r="H101" s="14">
        <v>101.3</v>
      </c>
      <c r="I101" s="14">
        <f t="shared" si="40"/>
        <v>101300</v>
      </c>
      <c r="J101" s="14">
        <f t="shared" si="41"/>
        <v>2.0124824921938581E-5</v>
      </c>
      <c r="K101" s="13">
        <v>74.194366197183115</v>
      </c>
      <c r="L101" s="17">
        <f t="shared" si="25"/>
        <v>7.419436619718312E-5</v>
      </c>
      <c r="M101" s="14">
        <f t="shared" si="26"/>
        <v>4.7762865441819992E-3</v>
      </c>
      <c r="N101" s="26">
        <f t="shared" si="27"/>
        <v>3.1261705429531122E-7</v>
      </c>
      <c r="O101" s="8">
        <f t="shared" si="28"/>
        <v>2.032E-3</v>
      </c>
      <c r="P101" s="8">
        <f t="shared" si="29"/>
        <v>3.2336876577195123E-11</v>
      </c>
      <c r="Q101" s="8">
        <v>0.31</v>
      </c>
      <c r="R101" s="8">
        <f t="shared" si="30"/>
        <v>131000</v>
      </c>
      <c r="S101" s="8">
        <f t="shared" si="31"/>
        <v>5.1398579432804297E-3</v>
      </c>
      <c r="T101" s="8">
        <v>0.1</v>
      </c>
      <c r="U101" s="8">
        <f t="shared" si="32"/>
        <v>110000.00000000001</v>
      </c>
      <c r="V101" s="8">
        <f t="shared" si="19"/>
        <v>8.1613802816901444</v>
      </c>
      <c r="W101" s="8">
        <f t="shared" si="33"/>
        <v>506.30363284515147</v>
      </c>
      <c r="X101" s="22">
        <f t="shared" si="34"/>
        <v>1.2313294009266159E-14</v>
      </c>
      <c r="Y101" s="22">
        <f t="shared" si="35"/>
        <v>7415065652.3800812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</row>
    <row r="102" spans="1:76" s="3" customFormat="1" x14ac:dyDescent="0.25">
      <c r="A102" s="14">
        <v>300</v>
      </c>
      <c r="B102" s="14">
        <f t="shared" si="36"/>
        <v>5</v>
      </c>
      <c r="C102" s="14">
        <v>20</v>
      </c>
      <c r="D102" s="14">
        <f t="shared" si="37"/>
        <v>29.146000000000001</v>
      </c>
      <c r="E102" s="14">
        <f t="shared" si="38"/>
        <v>4.8576666666666667E-7</v>
      </c>
      <c r="F102" s="14">
        <v>21.1</v>
      </c>
      <c r="G102" s="14">
        <f t="shared" si="39"/>
        <v>294.10000000000002</v>
      </c>
      <c r="H102" s="14">
        <v>101.3</v>
      </c>
      <c r="I102" s="14">
        <f t="shared" si="40"/>
        <v>101300</v>
      </c>
      <c r="J102" s="14">
        <f t="shared" si="41"/>
        <v>2.0124824921938581E-5</v>
      </c>
      <c r="K102" s="13">
        <v>75.546478873239451</v>
      </c>
      <c r="L102" s="17">
        <f t="shared" si="25"/>
        <v>7.5546478873239454E-5</v>
      </c>
      <c r="M102" s="14">
        <f t="shared" si="26"/>
        <v>4.7762865441819992E-3</v>
      </c>
      <c r="N102" s="26">
        <f t="shared" si="27"/>
        <v>3.1831416451444436E-7</v>
      </c>
      <c r="O102" s="8">
        <f t="shared" si="28"/>
        <v>2.032E-3</v>
      </c>
      <c r="P102" s="8">
        <f t="shared" si="29"/>
        <v>3.2336876577195123E-11</v>
      </c>
      <c r="Q102" s="8">
        <v>0.31</v>
      </c>
      <c r="R102" s="8">
        <f t="shared" si="30"/>
        <v>131000</v>
      </c>
      <c r="S102" s="8">
        <f t="shared" si="31"/>
        <v>5.1398579432804297E-3</v>
      </c>
      <c r="T102" s="8">
        <v>0.1</v>
      </c>
      <c r="U102" s="8">
        <f t="shared" si="32"/>
        <v>110000.00000000001</v>
      </c>
      <c r="V102" s="8">
        <f t="shared" si="19"/>
        <v>8.3101126760563417</v>
      </c>
      <c r="W102" s="8">
        <f t="shared" si="33"/>
        <v>523.72794716223018</v>
      </c>
      <c r="X102" s="22">
        <f t="shared" si="34"/>
        <v>1.2539364906714136E-14</v>
      </c>
      <c r="Y102" s="22">
        <f t="shared" si="35"/>
        <v>7551205546.8232527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</row>
    <row r="103" spans="1:76" s="3" customFormat="1" x14ac:dyDescent="0.25">
      <c r="A103" s="14">
        <v>303</v>
      </c>
      <c r="B103" s="14">
        <f t="shared" si="36"/>
        <v>5.05</v>
      </c>
      <c r="C103" s="14">
        <v>20</v>
      </c>
      <c r="D103" s="14">
        <f t="shared" si="37"/>
        <v>29.146000000000001</v>
      </c>
      <c r="E103" s="14">
        <f t="shared" si="38"/>
        <v>4.8576666666666667E-7</v>
      </c>
      <c r="F103" s="14">
        <v>21.1</v>
      </c>
      <c r="G103" s="14">
        <f t="shared" si="39"/>
        <v>294.10000000000002</v>
      </c>
      <c r="H103" s="14">
        <v>101.3</v>
      </c>
      <c r="I103" s="14">
        <f t="shared" si="40"/>
        <v>101300</v>
      </c>
      <c r="J103" s="14">
        <f t="shared" si="41"/>
        <v>2.0124824921938581E-5</v>
      </c>
      <c r="K103" s="13">
        <v>82.645070422535213</v>
      </c>
      <c r="L103" s="17">
        <f t="shared" si="25"/>
        <v>8.2645070422535214E-5</v>
      </c>
      <c r="M103" s="14">
        <f t="shared" si="26"/>
        <v>4.7762865441819992E-3</v>
      </c>
      <c r="N103" s="26">
        <f t="shared" si="27"/>
        <v>3.4822399316489361E-7</v>
      </c>
      <c r="O103" s="8">
        <f t="shared" si="28"/>
        <v>2.032E-3</v>
      </c>
      <c r="P103" s="8">
        <f t="shared" si="29"/>
        <v>3.2336876577195123E-11</v>
      </c>
      <c r="Q103" s="8">
        <v>0.31</v>
      </c>
      <c r="R103" s="8">
        <f t="shared" si="30"/>
        <v>131000</v>
      </c>
      <c r="S103" s="8">
        <f t="shared" si="31"/>
        <v>5.1398579432804297E-3</v>
      </c>
      <c r="T103" s="8">
        <v>0.1</v>
      </c>
      <c r="U103" s="8">
        <f t="shared" si="32"/>
        <v>110000.00000000001</v>
      </c>
      <c r="V103" s="8">
        <f t="shared" si="19"/>
        <v>9.0909577464788747</v>
      </c>
      <c r="W103" s="8">
        <f t="shared" si="33"/>
        <v>619.85991644318642</v>
      </c>
      <c r="X103" s="22">
        <f t="shared" si="34"/>
        <v>1.3727718471251557E-14</v>
      </c>
      <c r="Y103" s="22">
        <f t="shared" si="35"/>
        <v>8266832063.3876877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</row>
    <row r="104" spans="1:76" s="3" customFormat="1" x14ac:dyDescent="0.25">
      <c r="A104" s="14">
        <v>306</v>
      </c>
      <c r="B104" s="14">
        <f t="shared" si="36"/>
        <v>5.0999999999999996</v>
      </c>
      <c r="C104" s="14">
        <v>20</v>
      </c>
      <c r="D104" s="14">
        <f t="shared" si="37"/>
        <v>29.146000000000001</v>
      </c>
      <c r="E104" s="14">
        <f t="shared" si="38"/>
        <v>4.8576666666666667E-7</v>
      </c>
      <c r="F104" s="14">
        <v>21.1</v>
      </c>
      <c r="G104" s="14">
        <f t="shared" si="39"/>
        <v>294.10000000000002</v>
      </c>
      <c r="H104" s="14">
        <v>101.3</v>
      </c>
      <c r="I104" s="14">
        <f t="shared" si="40"/>
        <v>101300</v>
      </c>
      <c r="J104" s="14">
        <f t="shared" si="41"/>
        <v>2.0124824921938581E-5</v>
      </c>
      <c r="K104" s="13">
        <v>80.194366197183115</v>
      </c>
      <c r="L104" s="17">
        <f t="shared" si="25"/>
        <v>8.0194366197183117E-5</v>
      </c>
      <c r="M104" s="14">
        <f t="shared" si="26"/>
        <v>4.7762865441819992E-3</v>
      </c>
      <c r="N104" s="26">
        <f t="shared" si="27"/>
        <v>3.3789798089271476E-7</v>
      </c>
      <c r="O104" s="8">
        <f t="shared" si="28"/>
        <v>2.032E-3</v>
      </c>
      <c r="P104" s="8">
        <f t="shared" si="29"/>
        <v>3.2336876577195123E-11</v>
      </c>
      <c r="Q104" s="8">
        <v>0.31</v>
      </c>
      <c r="R104" s="8">
        <f t="shared" si="30"/>
        <v>131000</v>
      </c>
      <c r="S104" s="8">
        <f t="shared" si="31"/>
        <v>5.1398579432804297E-3</v>
      </c>
      <c r="T104" s="8">
        <v>0.1</v>
      </c>
      <c r="U104" s="8">
        <f t="shared" si="32"/>
        <v>110000.00000000001</v>
      </c>
      <c r="V104" s="8">
        <f t="shared" si="19"/>
        <v>8.8213802816901445</v>
      </c>
      <c r="W104" s="8">
        <f t="shared" si="33"/>
        <v>585.78881868344934</v>
      </c>
      <c r="X104" s="22">
        <f t="shared" si="34"/>
        <v>1.3317165402282857E-14</v>
      </c>
      <c r="Y104" s="22">
        <f t="shared" si="35"/>
        <v>8019597005.2547369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</row>
    <row r="105" spans="1:76" s="3" customFormat="1" x14ac:dyDescent="0.25">
      <c r="A105" s="14">
        <v>309</v>
      </c>
      <c r="B105" s="14">
        <f t="shared" si="36"/>
        <v>5.15</v>
      </c>
      <c r="C105" s="14">
        <v>20</v>
      </c>
      <c r="D105" s="14">
        <f t="shared" si="37"/>
        <v>29.146000000000001</v>
      </c>
      <c r="E105" s="14">
        <f t="shared" si="38"/>
        <v>4.8576666666666667E-7</v>
      </c>
      <c r="F105" s="14">
        <v>21.1</v>
      </c>
      <c r="G105" s="14">
        <f t="shared" si="39"/>
        <v>294.10000000000002</v>
      </c>
      <c r="H105" s="14">
        <v>101.3</v>
      </c>
      <c r="I105" s="14">
        <f t="shared" si="40"/>
        <v>101300</v>
      </c>
      <c r="J105" s="14">
        <f t="shared" si="41"/>
        <v>2.0124824921938581E-5</v>
      </c>
      <c r="K105" s="13">
        <v>72.363380281690155</v>
      </c>
      <c r="L105" s="17">
        <f t="shared" si="25"/>
        <v>7.2363380281690156E-5</v>
      </c>
      <c r="M105" s="14">
        <f t="shared" si="26"/>
        <v>4.7762865441819992E-3</v>
      </c>
      <c r="N105" s="26">
        <f t="shared" si="27"/>
        <v>3.0490221754023495E-7</v>
      </c>
      <c r="O105" s="8">
        <f t="shared" si="28"/>
        <v>2.032E-3</v>
      </c>
      <c r="P105" s="8">
        <f t="shared" si="29"/>
        <v>3.2336876577195123E-11</v>
      </c>
      <c r="Q105" s="8">
        <v>0.31</v>
      </c>
      <c r="R105" s="8">
        <f t="shared" si="30"/>
        <v>131000</v>
      </c>
      <c r="S105" s="8">
        <f t="shared" si="31"/>
        <v>5.1398579432804297E-3</v>
      </c>
      <c r="T105" s="8">
        <v>0.1</v>
      </c>
      <c r="U105" s="8">
        <f t="shared" si="32"/>
        <v>110000.00000000001</v>
      </c>
      <c r="V105" s="8">
        <f t="shared" si="19"/>
        <v>7.9599718309859178</v>
      </c>
      <c r="W105" s="8">
        <f t="shared" si="33"/>
        <v>483.1613927051319</v>
      </c>
      <c r="X105" s="22">
        <f t="shared" si="34"/>
        <v>1.2007294242418178E-14</v>
      </c>
      <c r="Y105" s="22">
        <f t="shared" si="35"/>
        <v>7230792592.7842274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</row>
    <row r="106" spans="1:76" s="3" customFormat="1" x14ac:dyDescent="0.25">
      <c r="A106" s="14">
        <v>312</v>
      </c>
      <c r="B106" s="14">
        <f t="shared" si="36"/>
        <v>5.2</v>
      </c>
      <c r="C106" s="14">
        <v>20</v>
      </c>
      <c r="D106" s="14">
        <f t="shared" si="37"/>
        <v>29.146000000000001</v>
      </c>
      <c r="E106" s="14">
        <f t="shared" si="38"/>
        <v>4.8576666666666667E-7</v>
      </c>
      <c r="F106" s="14">
        <v>21.1</v>
      </c>
      <c r="G106" s="14">
        <f t="shared" si="39"/>
        <v>294.10000000000002</v>
      </c>
      <c r="H106" s="14">
        <v>101.3</v>
      </c>
      <c r="I106" s="14">
        <f t="shared" si="40"/>
        <v>101300</v>
      </c>
      <c r="J106" s="14">
        <f t="shared" si="41"/>
        <v>2.0124824921938581E-5</v>
      </c>
      <c r="K106" s="13">
        <v>80.588732394366204</v>
      </c>
      <c r="L106" s="17">
        <f t="shared" si="25"/>
        <v>8.0588732394366205E-5</v>
      </c>
      <c r="M106" s="14">
        <f t="shared" si="26"/>
        <v>4.7762865441819992E-3</v>
      </c>
      <c r="N106" s="26">
        <f t="shared" si="27"/>
        <v>3.3955963803996186E-7</v>
      </c>
      <c r="O106" s="8">
        <f t="shared" si="28"/>
        <v>2.032E-3</v>
      </c>
      <c r="P106" s="8">
        <f t="shared" si="29"/>
        <v>3.2336876577195123E-11</v>
      </c>
      <c r="Q106" s="8">
        <v>0.31</v>
      </c>
      <c r="R106" s="8">
        <f t="shared" si="30"/>
        <v>131000</v>
      </c>
      <c r="S106" s="8">
        <f t="shared" si="31"/>
        <v>5.1398579432804297E-3</v>
      </c>
      <c r="T106" s="8">
        <v>0.1</v>
      </c>
      <c r="U106" s="8">
        <f t="shared" si="32"/>
        <v>110000.00000000001</v>
      </c>
      <c r="V106" s="8">
        <f t="shared" si="19"/>
        <v>8.8647605633802833</v>
      </c>
      <c r="W106" s="8">
        <f t="shared" si="33"/>
        <v>591.20874499738954</v>
      </c>
      <c r="X106" s="22">
        <f t="shared" si="34"/>
        <v>1.3383210487584169E-14</v>
      </c>
      <c r="Y106" s="22">
        <f t="shared" si="35"/>
        <v>8059369355.6231871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</row>
    <row r="107" spans="1:76" s="3" customFormat="1" x14ac:dyDescent="0.25">
      <c r="A107" s="14">
        <v>315</v>
      </c>
      <c r="B107" s="14">
        <f t="shared" si="36"/>
        <v>5.25</v>
      </c>
      <c r="C107" s="14">
        <v>20</v>
      </c>
      <c r="D107" s="14">
        <f t="shared" si="37"/>
        <v>29.146000000000001</v>
      </c>
      <c r="E107" s="14">
        <f t="shared" si="38"/>
        <v>4.8576666666666667E-7</v>
      </c>
      <c r="F107" s="14">
        <v>21.1</v>
      </c>
      <c r="G107" s="14">
        <f t="shared" si="39"/>
        <v>294.10000000000002</v>
      </c>
      <c r="H107" s="14">
        <v>101.3</v>
      </c>
      <c r="I107" s="14">
        <f t="shared" si="40"/>
        <v>101300</v>
      </c>
      <c r="J107" s="14">
        <f t="shared" si="41"/>
        <v>2.0124824921938581E-5</v>
      </c>
      <c r="K107" s="13">
        <v>78.081690140845083</v>
      </c>
      <c r="L107" s="17">
        <f t="shared" si="25"/>
        <v>7.808169014084508E-5</v>
      </c>
      <c r="M107" s="14">
        <f t="shared" si="26"/>
        <v>4.7762865441819992E-3</v>
      </c>
      <c r="N107" s="26">
        <f t="shared" si="27"/>
        <v>3.2899624617531907E-7</v>
      </c>
      <c r="O107" s="8">
        <f t="shared" si="28"/>
        <v>2.032E-3</v>
      </c>
      <c r="P107" s="8">
        <f t="shared" si="29"/>
        <v>3.2336876577195123E-11</v>
      </c>
      <c r="Q107" s="8">
        <v>0.31</v>
      </c>
      <c r="R107" s="8">
        <f t="shared" si="30"/>
        <v>131000</v>
      </c>
      <c r="S107" s="8">
        <f t="shared" si="31"/>
        <v>5.1398579432804297E-3</v>
      </c>
      <c r="T107" s="8">
        <v>0.1</v>
      </c>
      <c r="U107" s="8">
        <f t="shared" si="32"/>
        <v>110000.00000000001</v>
      </c>
      <c r="V107" s="8">
        <f t="shared" si="19"/>
        <v>8.5889859154929606</v>
      </c>
      <c r="W107" s="8">
        <f t="shared" si="33"/>
        <v>557.16389703257823</v>
      </c>
      <c r="X107" s="22">
        <f t="shared" si="34"/>
        <v>1.2963486686833767E-14</v>
      </c>
      <c r="Y107" s="22">
        <f t="shared" si="35"/>
        <v>7806611682.8112946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</row>
    <row r="108" spans="1:76" s="3" customFormat="1" x14ac:dyDescent="0.25">
      <c r="A108" s="14">
        <v>318</v>
      </c>
      <c r="B108" s="14">
        <f t="shared" si="36"/>
        <v>5.3</v>
      </c>
      <c r="C108" s="14">
        <v>20</v>
      </c>
      <c r="D108" s="14">
        <f t="shared" si="37"/>
        <v>29.146000000000001</v>
      </c>
      <c r="E108" s="14">
        <f t="shared" si="38"/>
        <v>4.8576666666666667E-7</v>
      </c>
      <c r="F108" s="14">
        <v>21.1</v>
      </c>
      <c r="G108" s="14">
        <f t="shared" si="39"/>
        <v>294.10000000000002</v>
      </c>
      <c r="H108" s="14">
        <v>101.3</v>
      </c>
      <c r="I108" s="14">
        <f t="shared" si="40"/>
        <v>101300</v>
      </c>
      <c r="J108" s="14">
        <f t="shared" si="41"/>
        <v>2.0124824921938581E-5</v>
      </c>
      <c r="K108" s="13">
        <v>82.447887323943661</v>
      </c>
      <c r="L108" s="17">
        <f t="shared" si="25"/>
        <v>8.2447887323943656E-5</v>
      </c>
      <c r="M108" s="14">
        <f t="shared" si="26"/>
        <v>4.7762865441819992E-3</v>
      </c>
      <c r="N108" s="26">
        <f t="shared" si="27"/>
        <v>3.4739316459126995E-7</v>
      </c>
      <c r="O108" s="8">
        <f t="shared" si="28"/>
        <v>2.032E-3</v>
      </c>
      <c r="P108" s="8">
        <f t="shared" si="29"/>
        <v>3.2336876577195123E-11</v>
      </c>
      <c r="Q108" s="8">
        <v>0.31</v>
      </c>
      <c r="R108" s="8">
        <f t="shared" si="30"/>
        <v>131000</v>
      </c>
      <c r="S108" s="8">
        <f t="shared" si="31"/>
        <v>5.1398579432804297E-3</v>
      </c>
      <c r="T108" s="8">
        <v>0.1</v>
      </c>
      <c r="U108" s="8">
        <f t="shared" si="32"/>
        <v>110000.00000000001</v>
      </c>
      <c r="V108" s="8">
        <f t="shared" si="19"/>
        <v>9.0692676056338026</v>
      </c>
      <c r="W108" s="8">
        <f t="shared" si="33"/>
        <v>617.08417659077395</v>
      </c>
      <c r="X108" s="22">
        <f t="shared" si="34"/>
        <v>1.3694673916359698E-14</v>
      </c>
      <c r="Y108" s="22">
        <f t="shared" si="35"/>
        <v>8246932632.4318104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</row>
    <row r="109" spans="1:76" s="3" customFormat="1" x14ac:dyDescent="0.25">
      <c r="A109" s="14">
        <v>321</v>
      </c>
      <c r="B109" s="14">
        <f t="shared" si="36"/>
        <v>5.35</v>
      </c>
      <c r="C109" s="14">
        <v>20</v>
      </c>
      <c r="D109" s="14">
        <f t="shared" si="37"/>
        <v>29.146000000000001</v>
      </c>
      <c r="E109" s="14">
        <f t="shared" si="38"/>
        <v>4.8576666666666667E-7</v>
      </c>
      <c r="F109" s="14">
        <v>21.1</v>
      </c>
      <c r="G109" s="14">
        <f t="shared" si="39"/>
        <v>294.10000000000002</v>
      </c>
      <c r="H109" s="14">
        <v>101.3</v>
      </c>
      <c r="I109" s="14">
        <f t="shared" si="40"/>
        <v>101300</v>
      </c>
      <c r="J109" s="14">
        <f t="shared" si="41"/>
        <v>2.0124824921938581E-5</v>
      </c>
      <c r="K109" s="13">
        <v>79.60281690140846</v>
      </c>
      <c r="L109" s="17">
        <f t="shared" si="25"/>
        <v>7.9602816901408458E-5</v>
      </c>
      <c r="M109" s="14">
        <f t="shared" si="26"/>
        <v>4.7762865441819992E-3</v>
      </c>
      <c r="N109" s="26">
        <f t="shared" si="27"/>
        <v>3.3540549517184395E-7</v>
      </c>
      <c r="O109" s="8">
        <f t="shared" si="28"/>
        <v>2.032E-3</v>
      </c>
      <c r="P109" s="8">
        <f t="shared" si="29"/>
        <v>3.2336876577195123E-11</v>
      </c>
      <c r="Q109" s="8">
        <v>0.31</v>
      </c>
      <c r="R109" s="8">
        <f t="shared" si="30"/>
        <v>131000</v>
      </c>
      <c r="S109" s="8">
        <f t="shared" si="31"/>
        <v>5.1398579432804297E-3</v>
      </c>
      <c r="T109" s="8">
        <v>0.1</v>
      </c>
      <c r="U109" s="8">
        <f t="shared" si="32"/>
        <v>110000.00000000001</v>
      </c>
      <c r="V109" s="8">
        <f t="shared" si="19"/>
        <v>8.756309859154932</v>
      </c>
      <c r="W109" s="8">
        <f t="shared" si="33"/>
        <v>577.70410538399801</v>
      </c>
      <c r="X109" s="22">
        <f t="shared" si="34"/>
        <v>1.3218112645186721E-14</v>
      </c>
      <c r="Y109" s="22">
        <f t="shared" si="35"/>
        <v>7959947434.9314442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</row>
    <row r="110" spans="1:76" s="3" customFormat="1" x14ac:dyDescent="0.25">
      <c r="A110" s="14">
        <v>324</v>
      </c>
      <c r="B110" s="14">
        <f t="shared" si="36"/>
        <v>5.4</v>
      </c>
      <c r="C110" s="14">
        <v>20</v>
      </c>
      <c r="D110" s="14">
        <f t="shared" si="37"/>
        <v>29.146000000000001</v>
      </c>
      <c r="E110" s="14">
        <f t="shared" si="38"/>
        <v>4.8576666666666667E-7</v>
      </c>
      <c r="F110" s="14">
        <v>21.1</v>
      </c>
      <c r="G110" s="14">
        <f t="shared" si="39"/>
        <v>294.10000000000002</v>
      </c>
      <c r="H110" s="14">
        <v>101.3</v>
      </c>
      <c r="I110" s="14">
        <f t="shared" si="40"/>
        <v>101300</v>
      </c>
      <c r="J110" s="14">
        <f t="shared" si="41"/>
        <v>2.0124824921938581E-5</v>
      </c>
      <c r="K110" s="13">
        <v>80.616901408450701</v>
      </c>
      <c r="L110" s="17">
        <f t="shared" si="25"/>
        <v>8.0616901408450705E-5</v>
      </c>
      <c r="M110" s="14">
        <f t="shared" si="26"/>
        <v>4.7762865441819992E-3</v>
      </c>
      <c r="N110" s="26">
        <f t="shared" si="27"/>
        <v>3.3967832783619379E-7</v>
      </c>
      <c r="O110" s="8">
        <f t="shared" si="28"/>
        <v>2.032E-3</v>
      </c>
      <c r="P110" s="8">
        <f t="shared" si="29"/>
        <v>3.2336876577195123E-11</v>
      </c>
      <c r="Q110" s="8">
        <v>0.31</v>
      </c>
      <c r="R110" s="8">
        <f t="shared" si="30"/>
        <v>131000</v>
      </c>
      <c r="S110" s="8">
        <f t="shared" si="31"/>
        <v>5.1398579432804297E-3</v>
      </c>
      <c r="T110" s="8">
        <v>0.1</v>
      </c>
      <c r="U110" s="8">
        <f t="shared" si="32"/>
        <v>110000.00000000001</v>
      </c>
      <c r="V110" s="8">
        <f t="shared" si="19"/>
        <v>8.8678591549295795</v>
      </c>
      <c r="W110" s="8">
        <f t="shared" si="33"/>
        <v>591.59680436963038</v>
      </c>
      <c r="X110" s="22">
        <f t="shared" si="34"/>
        <v>1.3387928298378051E-14</v>
      </c>
      <c r="Y110" s="22">
        <f t="shared" si="35"/>
        <v>8062210421.2832623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</row>
    <row r="111" spans="1:76" s="3" customFormat="1" x14ac:dyDescent="0.25">
      <c r="A111" s="14">
        <v>327</v>
      </c>
      <c r="B111" s="14">
        <f t="shared" si="36"/>
        <v>5.45</v>
      </c>
      <c r="C111" s="14">
        <v>20</v>
      </c>
      <c r="D111" s="14">
        <f t="shared" si="37"/>
        <v>29.146000000000001</v>
      </c>
      <c r="E111" s="14">
        <f t="shared" si="38"/>
        <v>4.8576666666666667E-7</v>
      </c>
      <c r="F111" s="14">
        <v>21.1</v>
      </c>
      <c r="G111" s="14">
        <f t="shared" si="39"/>
        <v>294.10000000000002</v>
      </c>
      <c r="H111" s="14">
        <v>101.3</v>
      </c>
      <c r="I111" s="14">
        <f t="shared" si="40"/>
        <v>101300</v>
      </c>
      <c r="J111" s="14">
        <f t="shared" si="41"/>
        <v>2.0124824921938581E-5</v>
      </c>
      <c r="K111" s="13">
        <v>79.997183098591563</v>
      </c>
      <c r="L111" s="17">
        <f t="shared" si="25"/>
        <v>7.9997183098591559E-5</v>
      </c>
      <c r="M111" s="14">
        <f t="shared" si="26"/>
        <v>4.7762865441819992E-3</v>
      </c>
      <c r="N111" s="26">
        <f t="shared" si="27"/>
        <v>3.3706715231909116E-7</v>
      </c>
      <c r="O111" s="8">
        <f t="shared" si="28"/>
        <v>2.032E-3</v>
      </c>
      <c r="P111" s="8">
        <f t="shared" si="29"/>
        <v>3.2336876577195123E-11</v>
      </c>
      <c r="Q111" s="8">
        <v>0.31</v>
      </c>
      <c r="R111" s="8">
        <f t="shared" si="30"/>
        <v>131000</v>
      </c>
      <c r="S111" s="8">
        <f t="shared" si="31"/>
        <v>5.1398579432804297E-3</v>
      </c>
      <c r="T111" s="8">
        <v>0.1</v>
      </c>
      <c r="U111" s="8">
        <f t="shared" si="32"/>
        <v>110000.00000000001</v>
      </c>
      <c r="V111" s="8">
        <f t="shared" si="19"/>
        <v>8.7996901408450725</v>
      </c>
      <c r="W111" s="8">
        <f t="shared" si="33"/>
        <v>583.08789005636527</v>
      </c>
      <c r="X111" s="22">
        <f t="shared" si="34"/>
        <v>1.3284145838429974E-14</v>
      </c>
      <c r="Y111" s="22">
        <f t="shared" si="35"/>
        <v>7999712623.9025307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</row>
    <row r="112" spans="1:76" s="3" customFormat="1" x14ac:dyDescent="0.25">
      <c r="A112" s="14">
        <v>330</v>
      </c>
      <c r="B112" s="14">
        <f t="shared" si="36"/>
        <v>5.5</v>
      </c>
      <c r="C112" s="14">
        <v>20</v>
      </c>
      <c r="D112" s="14">
        <f t="shared" si="37"/>
        <v>29.146000000000001</v>
      </c>
      <c r="E112" s="14">
        <f t="shared" si="38"/>
        <v>4.8576666666666667E-7</v>
      </c>
      <c r="F112" s="14">
        <v>21.1</v>
      </c>
      <c r="G112" s="14">
        <f t="shared" si="39"/>
        <v>294.10000000000002</v>
      </c>
      <c r="H112" s="14">
        <v>101.3</v>
      </c>
      <c r="I112" s="14">
        <f t="shared" si="40"/>
        <v>101300</v>
      </c>
      <c r="J112" s="14">
        <f t="shared" si="41"/>
        <v>2.0124824921938581E-5</v>
      </c>
      <c r="K112" s="13">
        <v>89.461971830985917</v>
      </c>
      <c r="L112" s="17">
        <f t="shared" si="25"/>
        <v>8.9461971830985914E-5</v>
      </c>
      <c r="M112" s="14">
        <f t="shared" si="26"/>
        <v>4.7762865441819992E-3</v>
      </c>
      <c r="N112" s="26">
        <f t="shared" si="27"/>
        <v>3.7694692385302343E-7</v>
      </c>
      <c r="O112" s="8">
        <f t="shared" si="28"/>
        <v>2.032E-3</v>
      </c>
      <c r="P112" s="8">
        <f t="shared" si="29"/>
        <v>3.2336876577195123E-11</v>
      </c>
      <c r="Q112" s="8">
        <v>0.31</v>
      </c>
      <c r="R112" s="8">
        <f t="shared" si="30"/>
        <v>131000</v>
      </c>
      <c r="S112" s="8">
        <f t="shared" si="31"/>
        <v>5.1398579432804297E-3</v>
      </c>
      <c r="T112" s="8">
        <v>0.1</v>
      </c>
      <c r="U112" s="8">
        <f t="shared" si="32"/>
        <v>110000.00000000001</v>
      </c>
      <c r="V112" s="8">
        <f t="shared" si="19"/>
        <v>9.8408169014084521</v>
      </c>
      <c r="W112" s="8">
        <f t="shared" si="33"/>
        <v>719.51503211811837</v>
      </c>
      <c r="X112" s="22">
        <f t="shared" si="34"/>
        <v>1.4871403351305665E-14</v>
      </c>
      <c r="Y112" s="22">
        <f t="shared" si="35"/>
        <v>8955559098.156271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</row>
    <row r="113" spans="1:76" s="3" customFormat="1" x14ac:dyDescent="0.25">
      <c r="A113" s="14">
        <v>333</v>
      </c>
      <c r="B113" s="14">
        <f t="shared" si="36"/>
        <v>5.55</v>
      </c>
      <c r="C113" s="14">
        <v>20</v>
      </c>
      <c r="D113" s="14">
        <f t="shared" si="37"/>
        <v>29.146000000000001</v>
      </c>
      <c r="E113" s="14">
        <f t="shared" si="38"/>
        <v>4.8576666666666667E-7</v>
      </c>
      <c r="F113" s="14">
        <v>21.1</v>
      </c>
      <c r="G113" s="14">
        <f t="shared" si="39"/>
        <v>294.10000000000002</v>
      </c>
      <c r="H113" s="14">
        <v>101.3</v>
      </c>
      <c r="I113" s="14">
        <f t="shared" si="40"/>
        <v>101300</v>
      </c>
      <c r="J113" s="14">
        <f t="shared" si="41"/>
        <v>2.0124824921938581E-5</v>
      </c>
      <c r="K113" s="13">
        <v>86.616901408450715</v>
      </c>
      <c r="L113" s="17">
        <f t="shared" si="25"/>
        <v>8.6616901408450715E-5</v>
      </c>
      <c r="M113" s="14">
        <f t="shared" si="26"/>
        <v>4.7762865441819992E-3</v>
      </c>
      <c r="N113" s="26">
        <f t="shared" si="27"/>
        <v>3.6495925443359744E-7</v>
      </c>
      <c r="O113" s="8">
        <f t="shared" si="28"/>
        <v>2.032E-3</v>
      </c>
      <c r="P113" s="8">
        <f t="shared" si="29"/>
        <v>3.2336876577195123E-11</v>
      </c>
      <c r="Q113" s="8">
        <v>0.31</v>
      </c>
      <c r="R113" s="8">
        <f t="shared" si="30"/>
        <v>131000</v>
      </c>
      <c r="S113" s="8">
        <f t="shared" si="31"/>
        <v>5.1398579432804297E-3</v>
      </c>
      <c r="T113" s="8">
        <v>0.1</v>
      </c>
      <c r="U113" s="8">
        <f t="shared" si="32"/>
        <v>110000.00000000001</v>
      </c>
      <c r="V113" s="8">
        <f t="shared" si="19"/>
        <v>9.5278591549295797</v>
      </c>
      <c r="W113" s="8">
        <f t="shared" si="33"/>
        <v>677.05111577572973</v>
      </c>
      <c r="X113" s="22">
        <f t="shared" si="34"/>
        <v>1.4393771311457039E-14</v>
      </c>
      <c r="Y113" s="22">
        <f t="shared" si="35"/>
        <v>8667929083.7594299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</row>
    <row r="114" spans="1:76" s="3" customFormat="1" x14ac:dyDescent="0.25">
      <c r="A114" s="14">
        <v>336</v>
      </c>
      <c r="B114" s="14">
        <f t="shared" si="36"/>
        <v>5.6</v>
      </c>
      <c r="C114" s="14">
        <v>20</v>
      </c>
      <c r="D114" s="14">
        <f t="shared" si="37"/>
        <v>29.146000000000001</v>
      </c>
      <c r="E114" s="14">
        <f t="shared" si="38"/>
        <v>4.8576666666666667E-7</v>
      </c>
      <c r="F114" s="14">
        <v>21.1</v>
      </c>
      <c r="G114" s="14">
        <f t="shared" si="39"/>
        <v>294.10000000000002</v>
      </c>
      <c r="H114" s="14">
        <v>101.3</v>
      </c>
      <c r="I114" s="14">
        <f t="shared" si="40"/>
        <v>101300</v>
      </c>
      <c r="J114" s="14">
        <f t="shared" si="41"/>
        <v>2.0124824921938581E-5</v>
      </c>
      <c r="K114" s="13">
        <v>84.081690140845083</v>
      </c>
      <c r="L114" s="17">
        <f t="shared" si="25"/>
        <v>8.4081690140845077E-5</v>
      </c>
      <c r="M114" s="14">
        <f t="shared" si="26"/>
        <v>4.7762865441819992E-3</v>
      </c>
      <c r="N114" s="26">
        <f t="shared" si="27"/>
        <v>3.5427717277272262E-7</v>
      </c>
      <c r="O114" s="8">
        <f t="shared" si="28"/>
        <v>2.032E-3</v>
      </c>
      <c r="P114" s="8">
        <f t="shared" si="29"/>
        <v>3.2336876577195123E-11</v>
      </c>
      <c r="Q114" s="8">
        <v>0.31</v>
      </c>
      <c r="R114" s="8">
        <f t="shared" si="30"/>
        <v>131000</v>
      </c>
      <c r="S114" s="8">
        <f t="shared" si="31"/>
        <v>5.1398579432804297E-3</v>
      </c>
      <c r="T114" s="8">
        <v>0.1</v>
      </c>
      <c r="U114" s="8">
        <f t="shared" si="32"/>
        <v>110000.00000000001</v>
      </c>
      <c r="V114" s="8">
        <f t="shared" si="19"/>
        <v>9.248985915492959</v>
      </c>
      <c r="W114" s="8">
        <f t="shared" si="33"/>
        <v>640.26466777256985</v>
      </c>
      <c r="X114" s="22">
        <f t="shared" si="34"/>
        <v>1.3968533581002458E-14</v>
      </c>
      <c r="Y114" s="22">
        <f t="shared" si="35"/>
        <v>8411850922.4796801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</row>
    <row r="115" spans="1:76" s="3" customFormat="1" x14ac:dyDescent="0.25">
      <c r="A115" s="14">
        <v>339</v>
      </c>
      <c r="B115" s="14">
        <f t="shared" si="36"/>
        <v>5.65</v>
      </c>
      <c r="C115" s="14">
        <v>20</v>
      </c>
      <c r="D115" s="14">
        <f t="shared" si="37"/>
        <v>29.146000000000001</v>
      </c>
      <c r="E115" s="14">
        <f t="shared" si="38"/>
        <v>4.8576666666666667E-7</v>
      </c>
      <c r="F115" s="14">
        <v>21.1</v>
      </c>
      <c r="G115" s="14">
        <f t="shared" si="39"/>
        <v>294.10000000000002</v>
      </c>
      <c r="H115" s="14">
        <v>101.3</v>
      </c>
      <c r="I115" s="14">
        <f t="shared" si="40"/>
        <v>101300</v>
      </c>
      <c r="J115" s="14">
        <f t="shared" si="41"/>
        <v>2.0124824921938581E-5</v>
      </c>
      <c r="K115" s="13">
        <v>80.954929577464796</v>
      </c>
      <c r="L115" s="17">
        <f t="shared" si="25"/>
        <v>8.0954929577464792E-5</v>
      </c>
      <c r="M115" s="14">
        <f t="shared" si="26"/>
        <v>4.7762865441819992E-3</v>
      </c>
      <c r="N115" s="26">
        <f t="shared" si="27"/>
        <v>3.411026053909771E-7</v>
      </c>
      <c r="O115" s="8">
        <f t="shared" si="28"/>
        <v>2.032E-3</v>
      </c>
      <c r="P115" s="8">
        <f t="shared" si="29"/>
        <v>3.2336876577195123E-11</v>
      </c>
      <c r="Q115" s="8">
        <v>0.31</v>
      </c>
      <c r="R115" s="8">
        <f t="shared" si="30"/>
        <v>131000</v>
      </c>
      <c r="S115" s="8">
        <f t="shared" si="31"/>
        <v>5.1398579432804297E-3</v>
      </c>
      <c r="T115" s="8">
        <v>0.1</v>
      </c>
      <c r="U115" s="8">
        <f t="shared" si="32"/>
        <v>110000.00000000001</v>
      </c>
      <c r="V115" s="8">
        <f t="shared" si="19"/>
        <v>8.9050422535211275</v>
      </c>
      <c r="W115" s="8">
        <f t="shared" si="33"/>
        <v>596.26310190329662</v>
      </c>
      <c r="X115" s="22">
        <f t="shared" si="34"/>
        <v>1.3444545206265884E-14</v>
      </c>
      <c r="Y115" s="22">
        <f t="shared" si="35"/>
        <v>8096305123.213316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</row>
    <row r="116" spans="1:76" s="3" customFormat="1" x14ac:dyDescent="0.25">
      <c r="A116" s="14">
        <v>342</v>
      </c>
      <c r="B116" s="14">
        <f t="shared" si="36"/>
        <v>5.7</v>
      </c>
      <c r="C116" s="14">
        <v>20</v>
      </c>
      <c r="D116" s="14">
        <f t="shared" si="37"/>
        <v>29.146000000000001</v>
      </c>
      <c r="E116" s="14">
        <f t="shared" si="38"/>
        <v>4.8576666666666667E-7</v>
      </c>
      <c r="F116" s="14">
        <v>21.1</v>
      </c>
      <c r="G116" s="14">
        <f t="shared" si="39"/>
        <v>294.10000000000002</v>
      </c>
      <c r="H116" s="14">
        <v>101.3</v>
      </c>
      <c r="I116" s="14">
        <f t="shared" si="40"/>
        <v>101300</v>
      </c>
      <c r="J116" s="14">
        <f t="shared" si="41"/>
        <v>2.0124824921938581E-5</v>
      </c>
      <c r="K116" s="13">
        <v>82.983098591549307</v>
      </c>
      <c r="L116" s="17">
        <f t="shared" si="25"/>
        <v>8.2983098591549301E-5</v>
      </c>
      <c r="M116" s="14">
        <f t="shared" si="26"/>
        <v>4.7762865441819992E-3</v>
      </c>
      <c r="N116" s="26">
        <f t="shared" si="27"/>
        <v>3.4964827071967692E-7</v>
      </c>
      <c r="O116" s="8">
        <f t="shared" si="28"/>
        <v>2.032E-3</v>
      </c>
      <c r="P116" s="8">
        <f t="shared" si="29"/>
        <v>3.2336876577195123E-11</v>
      </c>
      <c r="Q116" s="8">
        <v>0.31</v>
      </c>
      <c r="R116" s="8">
        <f t="shared" si="30"/>
        <v>131000</v>
      </c>
      <c r="S116" s="8">
        <f t="shared" si="31"/>
        <v>5.1398579432804297E-3</v>
      </c>
      <c r="T116" s="8">
        <v>0.1</v>
      </c>
      <c r="U116" s="8">
        <f t="shared" si="32"/>
        <v>110000.00000000001</v>
      </c>
      <c r="V116" s="8">
        <f t="shared" si="19"/>
        <v>9.1281408450704244</v>
      </c>
      <c r="W116" s="8">
        <f t="shared" si="33"/>
        <v>624.63232065539978</v>
      </c>
      <c r="X116" s="22">
        <f t="shared" si="34"/>
        <v>1.3784371032669533E-14</v>
      </c>
      <c r="Y116" s="22">
        <f t="shared" si="35"/>
        <v>8300948235.8735933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</row>
    <row r="117" spans="1:76" s="3" customFormat="1" x14ac:dyDescent="0.25">
      <c r="K117" s="1"/>
      <c r="L117" s="1"/>
      <c r="M117" s="1"/>
      <c r="N117" s="25"/>
      <c r="O117" s="8"/>
      <c r="P117" s="8"/>
      <c r="Q117" s="8"/>
      <c r="R117" s="4"/>
      <c r="S117" s="8"/>
      <c r="T117" s="4"/>
      <c r="U117" s="4"/>
      <c r="V117" s="4"/>
      <c r="W117" s="4"/>
      <c r="X117" s="4"/>
      <c r="Y117" s="4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</row>
    <row r="118" spans="1:76" s="3" customFormat="1" x14ac:dyDescent="0.25">
      <c r="K118" s="1"/>
      <c r="L118" s="1"/>
      <c r="M118" s="1"/>
      <c r="N118" s="25"/>
      <c r="O118" s="8"/>
      <c r="P118" s="8"/>
      <c r="Q118" s="8"/>
      <c r="R118" s="4"/>
      <c r="S118" s="8"/>
      <c r="T118" s="4"/>
      <c r="U118" s="4"/>
      <c r="V118" s="4"/>
      <c r="W118" s="4"/>
      <c r="X118" s="4"/>
      <c r="Y118" s="4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</row>
    <row r="119" spans="1:76" s="3" customFormat="1" x14ac:dyDescent="0.25">
      <c r="K119" s="1"/>
      <c r="L119" s="1"/>
      <c r="M119" s="1"/>
      <c r="N119" s="25"/>
      <c r="O119" s="8"/>
      <c r="P119" s="8"/>
      <c r="Q119" s="8"/>
      <c r="R119" s="4"/>
      <c r="S119" s="8"/>
      <c r="T119" s="4"/>
      <c r="U119" s="4"/>
      <c r="V119" s="4"/>
      <c r="W119" s="4"/>
      <c r="X119" s="4"/>
      <c r="Y119" s="4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</row>
    <row r="120" spans="1:76" s="3" customFormat="1" x14ac:dyDescent="0.25">
      <c r="K120" s="1"/>
      <c r="L120" s="1"/>
      <c r="M120" s="1"/>
      <c r="N120" s="25"/>
      <c r="O120" s="8"/>
      <c r="P120" s="8"/>
      <c r="Q120" s="8"/>
      <c r="R120" s="4"/>
      <c r="S120" s="8"/>
      <c r="T120" s="4"/>
      <c r="U120" s="4"/>
      <c r="V120" s="4"/>
      <c r="W120" s="4"/>
      <c r="X120" s="23">
        <f>AVERAGE(X63:X116)</f>
        <v>1.3070275866882626E-14</v>
      </c>
      <c r="Y120" s="23">
        <f>AVERAGE(Y63:Y116)</f>
        <v>7870920127.0367174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</row>
    <row r="121" spans="1:76" s="3" customFormat="1" x14ac:dyDescent="0.25">
      <c r="K121" s="1"/>
      <c r="L121" s="1"/>
      <c r="M121" s="1"/>
      <c r="N121" s="25"/>
      <c r="O121" s="8"/>
      <c r="P121" s="8"/>
      <c r="Q121" s="8"/>
      <c r="R121" s="4"/>
      <c r="S121" s="8"/>
      <c r="T121" s="4"/>
      <c r="U121" s="4"/>
      <c r="V121" s="4"/>
      <c r="W121" s="4"/>
      <c r="X121" s="4"/>
      <c r="Y121" s="4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</row>
    <row r="122" spans="1:76" s="3" customFormat="1" x14ac:dyDescent="0.25">
      <c r="K122" s="1"/>
      <c r="L122" s="1"/>
      <c r="M122" s="1"/>
      <c r="N122" s="25"/>
      <c r="O122" s="8"/>
      <c r="P122" s="8"/>
      <c r="Q122" s="8"/>
      <c r="R122" s="4"/>
      <c r="S122" s="8"/>
      <c r="T122" s="4"/>
      <c r="U122" s="4"/>
      <c r="V122" s="4"/>
      <c r="W122" s="4"/>
      <c r="X122" s="4"/>
      <c r="Y122" s="4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</row>
    <row r="123" spans="1:76" s="3" customFormat="1" x14ac:dyDescent="0.25">
      <c r="K123" s="1"/>
      <c r="L123" s="1"/>
      <c r="M123" s="1"/>
      <c r="N123" s="25"/>
      <c r="O123" s="8"/>
      <c r="P123" s="8"/>
      <c r="Q123" s="8"/>
      <c r="R123" s="4"/>
      <c r="S123" s="8"/>
      <c r="T123" s="4"/>
      <c r="U123" s="4"/>
      <c r="V123" s="4"/>
      <c r="W123" s="4"/>
      <c r="X123" s="4"/>
      <c r="Y123" s="4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</row>
    <row r="124" spans="1:76" s="3" customFormat="1" x14ac:dyDescent="0.25">
      <c r="K124" s="1"/>
      <c r="L124" s="1"/>
      <c r="M124" s="1"/>
      <c r="N124" s="25"/>
      <c r="O124" s="8"/>
      <c r="P124" s="8"/>
      <c r="Q124" s="8"/>
      <c r="R124" s="4"/>
      <c r="S124" s="8"/>
      <c r="T124" s="4"/>
      <c r="U124" s="4"/>
      <c r="V124" s="4"/>
      <c r="W124" s="4"/>
      <c r="X124" s="4"/>
      <c r="Y124" s="4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</row>
    <row r="125" spans="1:76" s="3" customFormat="1" x14ac:dyDescent="0.25">
      <c r="K125" s="1"/>
      <c r="L125" s="1"/>
      <c r="M125" s="1"/>
      <c r="N125" s="25"/>
      <c r="O125" s="8"/>
      <c r="P125" s="8"/>
      <c r="Q125" s="8"/>
      <c r="R125" s="4"/>
      <c r="S125" s="8"/>
      <c r="T125" s="4"/>
      <c r="U125" s="4"/>
      <c r="V125" s="4"/>
      <c r="W125" s="4"/>
      <c r="X125" s="4"/>
      <c r="Y125" s="4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</row>
    <row r="126" spans="1:76" s="3" customFormat="1" x14ac:dyDescent="0.25">
      <c r="K126" s="1"/>
      <c r="L126" s="1"/>
      <c r="M126" s="1"/>
      <c r="N126" s="25"/>
      <c r="O126" s="8"/>
      <c r="P126" s="8"/>
      <c r="Q126" s="8"/>
      <c r="R126" s="4"/>
      <c r="S126" s="8"/>
      <c r="T126" s="4"/>
      <c r="U126" s="4"/>
      <c r="V126" s="4"/>
      <c r="W126" s="4"/>
      <c r="X126" s="4"/>
      <c r="Y126" s="4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</row>
    <row r="127" spans="1:76" s="3" customFormat="1" x14ac:dyDescent="0.25">
      <c r="K127" s="1"/>
      <c r="L127" s="1"/>
      <c r="M127" s="1"/>
      <c r="N127" s="25"/>
      <c r="O127" s="8"/>
      <c r="P127" s="8"/>
      <c r="Q127" s="8"/>
      <c r="R127" s="4"/>
      <c r="S127" s="8"/>
      <c r="T127" s="4"/>
      <c r="U127" s="4"/>
      <c r="V127" s="4"/>
      <c r="W127" s="4"/>
      <c r="X127" s="4"/>
      <c r="Y127" s="4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</row>
    <row r="128" spans="1:76" s="3" customFormat="1" x14ac:dyDescent="0.25">
      <c r="K128" s="1"/>
      <c r="L128" s="1"/>
      <c r="M128" s="1"/>
      <c r="N128" s="26"/>
      <c r="O128" s="8"/>
      <c r="P128" s="8"/>
      <c r="Q128" s="8"/>
      <c r="R128" s="4"/>
      <c r="S128" s="8"/>
      <c r="T128" s="4"/>
      <c r="U128" s="4"/>
      <c r="V128" s="4"/>
      <c r="W128" s="4"/>
      <c r="X128" s="4"/>
      <c r="Y128" s="4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</row>
    <row r="129" spans="11:76" s="3" customFormat="1" x14ac:dyDescent="0.25">
      <c r="K129" s="1"/>
      <c r="L129" s="1"/>
      <c r="M129" s="1"/>
      <c r="N129" s="25"/>
      <c r="O129" s="8"/>
      <c r="P129" s="8"/>
      <c r="Q129" s="8"/>
      <c r="R129" s="4"/>
      <c r="S129" s="8"/>
      <c r="T129" s="4"/>
      <c r="U129" s="4"/>
      <c r="V129" s="4"/>
      <c r="W129" s="4"/>
      <c r="X129" s="4"/>
      <c r="Y129" s="4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</row>
    <row r="130" spans="11:76" s="3" customFormat="1" x14ac:dyDescent="0.25">
      <c r="K130" s="1"/>
      <c r="L130" s="1"/>
      <c r="M130" s="1"/>
      <c r="N130" s="25"/>
      <c r="O130" s="8"/>
      <c r="P130" s="8"/>
      <c r="Q130" s="8"/>
      <c r="R130" s="4"/>
      <c r="S130" s="8"/>
      <c r="T130" s="4"/>
      <c r="U130" s="4"/>
      <c r="V130" s="4"/>
      <c r="W130" s="4"/>
      <c r="X130" s="4"/>
      <c r="Y130" s="4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</row>
    <row r="131" spans="11:76" s="3" customFormat="1" x14ac:dyDescent="0.25">
      <c r="K131" s="1"/>
      <c r="L131" s="1"/>
      <c r="M131" s="1"/>
      <c r="N131" s="25"/>
      <c r="O131" s="8"/>
      <c r="P131" s="8"/>
      <c r="Q131" s="8"/>
      <c r="R131" s="4"/>
      <c r="S131" s="8"/>
      <c r="T131" s="4"/>
      <c r="U131" s="4"/>
      <c r="V131" s="4"/>
      <c r="W131" s="4"/>
      <c r="X131" s="4"/>
      <c r="Y131" s="4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</row>
    <row r="132" spans="11:76" s="3" customFormat="1" x14ac:dyDescent="0.25">
      <c r="K132" s="1"/>
      <c r="L132" s="1"/>
      <c r="M132" s="1"/>
      <c r="N132" s="25"/>
      <c r="O132" s="8"/>
      <c r="P132" s="8"/>
      <c r="Q132" s="8"/>
      <c r="R132" s="4"/>
      <c r="S132" s="8"/>
      <c r="T132" s="4"/>
      <c r="U132" s="4"/>
      <c r="V132" s="4"/>
      <c r="W132" s="4"/>
      <c r="X132" s="4"/>
      <c r="Y132" s="4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</row>
    <row r="133" spans="11:76" s="3" customFormat="1" x14ac:dyDescent="0.25">
      <c r="K133" s="1"/>
      <c r="L133" s="1"/>
      <c r="M133" s="1"/>
      <c r="N133" s="25"/>
      <c r="O133" s="8"/>
      <c r="P133" s="8"/>
      <c r="Q133" s="8"/>
      <c r="R133" s="4"/>
      <c r="S133" s="8"/>
      <c r="T133" s="4"/>
      <c r="U133" s="4"/>
      <c r="V133" s="4"/>
      <c r="W133" s="4"/>
      <c r="X133" s="4"/>
      <c r="Y133" s="4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</row>
    <row r="134" spans="11:76" s="3" customFormat="1" x14ac:dyDescent="0.25">
      <c r="K134" s="1"/>
      <c r="L134" s="1"/>
      <c r="M134" s="1"/>
      <c r="N134" s="25"/>
      <c r="O134" s="8"/>
      <c r="P134" s="8"/>
      <c r="Q134" s="8"/>
      <c r="R134" s="4"/>
      <c r="S134" s="8"/>
      <c r="T134" s="4"/>
      <c r="U134" s="4"/>
      <c r="V134" s="4"/>
      <c r="W134" s="4"/>
      <c r="X134" s="4"/>
      <c r="Y134" s="4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</row>
    <row r="135" spans="11:76" s="3" customFormat="1" x14ac:dyDescent="0.25">
      <c r="K135" s="1"/>
      <c r="L135" s="1"/>
      <c r="M135" s="1"/>
      <c r="N135" s="25"/>
      <c r="O135" s="8"/>
      <c r="P135" s="8"/>
      <c r="Q135" s="8"/>
      <c r="R135" s="4"/>
      <c r="S135" s="8"/>
      <c r="T135" s="4"/>
      <c r="U135" s="4"/>
      <c r="V135" s="4"/>
      <c r="W135" s="4"/>
      <c r="X135" s="4"/>
      <c r="Y135" s="4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</row>
    <row r="136" spans="11:76" s="3" customFormat="1" x14ac:dyDescent="0.25">
      <c r="K136" s="1"/>
      <c r="L136" s="1"/>
      <c r="M136" s="1"/>
      <c r="N136" s="25"/>
      <c r="O136" s="8"/>
      <c r="P136" s="8"/>
      <c r="Q136" s="8"/>
      <c r="R136" s="4"/>
      <c r="S136" s="8"/>
      <c r="T136" s="4"/>
      <c r="U136" s="4"/>
      <c r="V136" s="4"/>
      <c r="W136" s="4"/>
      <c r="X136" s="4"/>
      <c r="Y136" s="4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</row>
    <row r="137" spans="11:76" s="3" customFormat="1" x14ac:dyDescent="0.25">
      <c r="K137" s="1"/>
      <c r="L137" s="1"/>
      <c r="M137" s="1"/>
      <c r="N137" s="25"/>
      <c r="O137" s="8"/>
      <c r="P137" s="8"/>
      <c r="Q137" s="8"/>
      <c r="R137" s="4"/>
      <c r="S137" s="8"/>
      <c r="T137" s="4"/>
      <c r="U137" s="4"/>
      <c r="V137" s="4"/>
      <c r="W137" s="4"/>
      <c r="X137" s="4"/>
      <c r="Y137" s="4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</row>
    <row r="138" spans="11:76" s="3" customFormat="1" x14ac:dyDescent="0.25">
      <c r="K138" s="1"/>
      <c r="L138" s="1"/>
      <c r="M138" s="1"/>
      <c r="N138" s="25"/>
      <c r="O138" s="8"/>
      <c r="P138" s="8"/>
      <c r="Q138" s="8"/>
      <c r="R138" s="4"/>
      <c r="S138" s="8"/>
      <c r="T138" s="4"/>
      <c r="U138" s="4"/>
      <c r="V138" s="4"/>
      <c r="W138" s="4"/>
      <c r="X138" s="4"/>
      <c r="Y138" s="4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</row>
    <row r="139" spans="11:76" s="3" customFormat="1" x14ac:dyDescent="0.25">
      <c r="K139" s="1"/>
      <c r="L139" s="1"/>
      <c r="M139" s="1"/>
      <c r="N139" s="25"/>
      <c r="O139" s="8"/>
      <c r="P139" s="8"/>
      <c r="Q139" s="8"/>
      <c r="R139" s="4"/>
      <c r="S139" s="8"/>
      <c r="T139" s="4"/>
      <c r="U139" s="4"/>
      <c r="V139" s="4"/>
      <c r="W139" s="4"/>
      <c r="X139" s="4"/>
      <c r="Y139" s="4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</row>
    <row r="140" spans="11:76" s="3" customFormat="1" x14ac:dyDescent="0.25">
      <c r="K140" s="1"/>
      <c r="L140" s="1"/>
      <c r="M140" s="1"/>
      <c r="N140" s="25"/>
      <c r="O140" s="8"/>
      <c r="P140" s="8"/>
      <c r="Q140" s="8"/>
      <c r="R140" s="4"/>
      <c r="S140" s="8"/>
      <c r="T140" s="4"/>
      <c r="U140" s="4"/>
      <c r="V140" s="4"/>
      <c r="W140" s="4"/>
      <c r="X140" s="4"/>
      <c r="Y140" s="4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</row>
    <row r="141" spans="11:76" s="3" customFormat="1" x14ac:dyDescent="0.25">
      <c r="K141" s="1"/>
      <c r="L141" s="1"/>
      <c r="M141" s="1"/>
      <c r="N141" s="25"/>
      <c r="O141" s="8"/>
      <c r="P141" s="8"/>
      <c r="Q141" s="8"/>
      <c r="R141" s="4"/>
      <c r="S141" s="8"/>
      <c r="T141" s="4"/>
      <c r="U141" s="4"/>
      <c r="V141" s="4"/>
      <c r="W141" s="4"/>
      <c r="X141" s="4"/>
      <c r="Y141" s="4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</row>
    <row r="142" spans="11:76" s="3" customFormat="1" x14ac:dyDescent="0.25">
      <c r="K142" s="1"/>
      <c r="L142" s="1"/>
      <c r="M142" s="1"/>
      <c r="N142" s="25"/>
      <c r="O142" s="8"/>
      <c r="P142" s="8"/>
      <c r="Q142" s="8"/>
      <c r="R142" s="4"/>
      <c r="S142" s="8"/>
      <c r="T142" s="4"/>
      <c r="U142" s="4"/>
      <c r="V142" s="4"/>
      <c r="W142" s="4"/>
      <c r="X142" s="4"/>
      <c r="Y142" s="4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</row>
    <row r="143" spans="11:76" s="3" customFormat="1" x14ac:dyDescent="0.25">
      <c r="K143" s="1"/>
      <c r="L143" s="1"/>
      <c r="M143" s="1"/>
      <c r="N143" s="25"/>
      <c r="O143" s="8"/>
      <c r="P143" s="8"/>
      <c r="Q143" s="8"/>
      <c r="R143" s="4"/>
      <c r="S143" s="8"/>
      <c r="T143" s="4"/>
      <c r="U143" s="4"/>
      <c r="V143" s="4"/>
      <c r="W143" s="4"/>
      <c r="X143" s="4"/>
      <c r="Y143" s="4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</row>
    <row r="144" spans="11:76" s="3" customFormat="1" x14ac:dyDescent="0.25">
      <c r="K144" s="1"/>
      <c r="L144" s="1"/>
      <c r="M144" s="1"/>
      <c r="N144" s="25"/>
      <c r="O144" s="8"/>
      <c r="P144" s="8"/>
      <c r="Q144" s="8"/>
      <c r="R144" s="4"/>
      <c r="S144" s="8"/>
      <c r="T144" s="4"/>
      <c r="U144" s="4"/>
      <c r="V144" s="4"/>
      <c r="W144" s="4"/>
      <c r="X144" s="4"/>
      <c r="Y144" s="4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</row>
    <row r="145" spans="11:76" s="3" customFormat="1" x14ac:dyDescent="0.25">
      <c r="K145" s="1"/>
      <c r="L145" s="1"/>
      <c r="M145" s="1"/>
      <c r="N145" s="25"/>
      <c r="O145" s="8"/>
      <c r="P145" s="8"/>
      <c r="Q145" s="8"/>
      <c r="R145" s="4"/>
      <c r="S145" s="8"/>
      <c r="T145" s="4"/>
      <c r="U145" s="4"/>
      <c r="V145" s="4"/>
      <c r="W145" s="4"/>
      <c r="X145" s="4"/>
      <c r="Y145" s="4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</row>
    <row r="146" spans="11:76" s="3" customFormat="1" x14ac:dyDescent="0.25">
      <c r="K146" s="1"/>
      <c r="L146" s="1"/>
      <c r="M146" s="1"/>
      <c r="N146" s="25"/>
      <c r="O146" s="8"/>
      <c r="P146" s="8"/>
      <c r="Q146" s="8"/>
      <c r="R146" s="4"/>
      <c r="S146" s="8"/>
      <c r="T146" s="4"/>
      <c r="U146" s="4"/>
      <c r="V146" s="4"/>
      <c r="W146" s="4"/>
      <c r="X146" s="4"/>
      <c r="Y146" s="4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</row>
    <row r="147" spans="11:76" s="3" customFormat="1" x14ac:dyDescent="0.25">
      <c r="K147" s="1"/>
      <c r="L147" s="1"/>
      <c r="M147" s="1"/>
      <c r="N147" s="25"/>
      <c r="O147" s="8"/>
      <c r="P147" s="8"/>
      <c r="Q147" s="8"/>
      <c r="R147" s="4"/>
      <c r="S147" s="8"/>
      <c r="T147" s="4"/>
      <c r="U147" s="4"/>
      <c r="V147" s="4"/>
      <c r="W147" s="4"/>
      <c r="X147" s="4"/>
      <c r="Y147" s="4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</row>
    <row r="148" spans="11:76" s="3" customFormat="1" x14ac:dyDescent="0.25">
      <c r="K148" s="1"/>
      <c r="L148" s="1"/>
      <c r="M148" s="1"/>
      <c r="N148" s="25"/>
      <c r="O148" s="8"/>
      <c r="P148" s="8"/>
      <c r="Q148" s="8"/>
      <c r="R148" s="4"/>
      <c r="S148" s="8"/>
      <c r="T148" s="4"/>
      <c r="U148" s="4"/>
      <c r="V148" s="4"/>
      <c r="W148" s="4"/>
      <c r="X148" s="4"/>
      <c r="Y148" s="4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</row>
    <row r="149" spans="11:76" s="3" customFormat="1" x14ac:dyDescent="0.25">
      <c r="K149" s="1"/>
      <c r="L149" s="1"/>
      <c r="M149" s="1"/>
      <c r="N149" s="25"/>
      <c r="O149" s="8"/>
      <c r="P149" s="8"/>
      <c r="Q149" s="8"/>
      <c r="R149" s="4"/>
      <c r="S149" s="8"/>
      <c r="T149" s="4"/>
      <c r="U149" s="4"/>
      <c r="V149" s="4"/>
      <c r="W149" s="4"/>
      <c r="X149" s="4"/>
      <c r="Y149" s="4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</row>
    <row r="150" spans="11:76" s="3" customFormat="1" x14ac:dyDescent="0.25">
      <c r="K150" s="1"/>
      <c r="L150" s="1"/>
      <c r="M150" s="1"/>
      <c r="N150" s="25"/>
      <c r="O150" s="8"/>
      <c r="P150" s="8"/>
      <c r="Q150" s="8"/>
      <c r="R150" s="4"/>
      <c r="S150" s="8"/>
      <c r="T150" s="4"/>
      <c r="U150" s="4"/>
      <c r="V150" s="4"/>
      <c r="W150" s="4"/>
      <c r="X150" s="4"/>
      <c r="Y150" s="4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</row>
    <row r="151" spans="11:76" s="3" customFormat="1" x14ac:dyDescent="0.25">
      <c r="K151" s="1"/>
      <c r="L151" s="1"/>
      <c r="M151" s="1"/>
      <c r="N151" s="25"/>
      <c r="O151" s="8"/>
      <c r="P151" s="8"/>
      <c r="Q151" s="8"/>
      <c r="R151" s="4"/>
      <c r="S151" s="8"/>
      <c r="T151" s="4"/>
      <c r="U151" s="4"/>
      <c r="V151" s="4"/>
      <c r="W151" s="4"/>
      <c r="X151" s="4"/>
      <c r="Y151" s="4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</row>
    <row r="152" spans="11:76" s="3" customFormat="1" x14ac:dyDescent="0.25">
      <c r="K152" s="1"/>
      <c r="L152" s="1"/>
      <c r="M152" s="1"/>
      <c r="N152" s="25"/>
      <c r="O152" s="8"/>
      <c r="P152" s="8"/>
      <c r="Q152" s="8"/>
      <c r="R152" s="4"/>
      <c r="S152" s="8"/>
      <c r="T152" s="4"/>
      <c r="U152" s="4"/>
      <c r="V152" s="4"/>
      <c r="W152" s="4"/>
      <c r="X152" s="4"/>
      <c r="Y152" s="4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</row>
    <row r="153" spans="11:76" s="3" customFormat="1" x14ac:dyDescent="0.25">
      <c r="K153" s="1"/>
      <c r="L153" s="1"/>
      <c r="M153" s="1"/>
      <c r="N153" s="25"/>
      <c r="O153" s="8"/>
      <c r="P153" s="8"/>
      <c r="Q153" s="8"/>
      <c r="R153" s="4"/>
      <c r="S153" s="8"/>
      <c r="T153" s="4"/>
      <c r="U153" s="4"/>
      <c r="V153" s="4"/>
      <c r="W153" s="4"/>
      <c r="X153" s="4"/>
      <c r="Y153" s="4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</row>
    <row r="154" spans="11:76" s="3" customFormat="1" x14ac:dyDescent="0.25">
      <c r="K154" s="1"/>
      <c r="L154" s="1"/>
      <c r="M154" s="1"/>
      <c r="N154" s="25"/>
      <c r="O154" s="8"/>
      <c r="P154" s="8"/>
      <c r="Q154" s="8"/>
      <c r="R154" s="4"/>
      <c r="S154" s="8"/>
      <c r="T154" s="4"/>
      <c r="U154" s="4"/>
      <c r="V154" s="4"/>
      <c r="W154" s="4"/>
      <c r="X154" s="4"/>
      <c r="Y154" s="4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</row>
    <row r="155" spans="11:76" s="3" customFormat="1" x14ac:dyDescent="0.25">
      <c r="K155" s="1"/>
      <c r="L155" s="1"/>
      <c r="M155" s="1"/>
      <c r="N155" s="25"/>
      <c r="O155" s="8"/>
      <c r="P155" s="8"/>
      <c r="Q155" s="8"/>
      <c r="R155" s="4"/>
      <c r="S155" s="8"/>
      <c r="T155" s="4"/>
      <c r="U155" s="4"/>
      <c r="V155" s="4"/>
      <c r="W155" s="4"/>
      <c r="X155" s="4"/>
      <c r="Y155" s="4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</row>
    <row r="156" spans="11:76" s="3" customFormat="1" x14ac:dyDescent="0.25">
      <c r="K156" s="1"/>
      <c r="L156" s="1"/>
      <c r="M156" s="1"/>
      <c r="N156" s="25"/>
      <c r="O156" s="8"/>
      <c r="P156" s="8"/>
      <c r="Q156" s="8"/>
      <c r="R156" s="4"/>
      <c r="S156" s="8"/>
      <c r="T156" s="4"/>
      <c r="U156" s="4"/>
      <c r="V156" s="4"/>
      <c r="W156" s="4"/>
      <c r="X156" s="4"/>
      <c r="Y156" s="4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</row>
    <row r="157" spans="11:76" s="3" customFormat="1" x14ac:dyDescent="0.25">
      <c r="K157" s="1"/>
      <c r="L157" s="1"/>
      <c r="M157" s="1"/>
      <c r="N157" s="25"/>
      <c r="O157" s="8"/>
      <c r="P157" s="8"/>
      <c r="Q157" s="8"/>
      <c r="R157" s="4"/>
      <c r="S157" s="8"/>
      <c r="T157" s="4"/>
      <c r="U157" s="4"/>
      <c r="V157" s="4"/>
      <c r="W157" s="4"/>
      <c r="X157" s="4"/>
      <c r="Y157" s="4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</row>
    <row r="158" spans="11:76" s="3" customFormat="1" x14ac:dyDescent="0.25">
      <c r="K158" s="1"/>
      <c r="L158" s="1"/>
      <c r="M158" s="1"/>
      <c r="N158" s="25"/>
      <c r="O158" s="8"/>
      <c r="P158" s="8"/>
      <c r="Q158" s="8"/>
      <c r="R158" s="4"/>
      <c r="S158" s="8"/>
      <c r="T158" s="4"/>
      <c r="U158" s="4"/>
      <c r="V158" s="4"/>
      <c r="W158" s="4"/>
      <c r="X158" s="4"/>
      <c r="Y158" s="4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</row>
    <row r="159" spans="11:76" s="3" customFormat="1" x14ac:dyDescent="0.25">
      <c r="K159" s="1"/>
      <c r="L159" s="1"/>
      <c r="M159" s="1"/>
      <c r="N159" s="25"/>
      <c r="O159" s="8"/>
      <c r="P159" s="8"/>
      <c r="Q159" s="8"/>
      <c r="R159" s="4"/>
      <c r="S159" s="8"/>
      <c r="T159" s="4"/>
      <c r="U159" s="4"/>
      <c r="V159" s="4"/>
      <c r="W159" s="4"/>
      <c r="X159" s="4"/>
      <c r="Y159" s="4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</row>
    <row r="160" spans="11:76" s="3" customFormat="1" x14ac:dyDescent="0.25">
      <c r="K160" s="1"/>
      <c r="L160" s="1"/>
      <c r="M160" s="1"/>
      <c r="N160" s="25"/>
      <c r="O160" s="8"/>
      <c r="P160" s="8"/>
      <c r="Q160" s="8"/>
      <c r="R160" s="4"/>
      <c r="S160" s="8"/>
      <c r="T160" s="4"/>
      <c r="U160" s="4"/>
      <c r="V160" s="4"/>
      <c r="W160" s="4"/>
      <c r="X160" s="4"/>
      <c r="Y160" s="4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</row>
    <row r="161" spans="11:76" s="3" customFormat="1" x14ac:dyDescent="0.25">
      <c r="K161" s="1"/>
      <c r="L161" s="1"/>
      <c r="M161" s="1"/>
      <c r="N161" s="25"/>
      <c r="O161" s="8"/>
      <c r="P161" s="8"/>
      <c r="Q161" s="8"/>
      <c r="R161" s="4"/>
      <c r="S161" s="8"/>
      <c r="T161" s="4"/>
      <c r="U161" s="4"/>
      <c r="V161" s="4"/>
      <c r="W161" s="4"/>
      <c r="X161" s="4"/>
      <c r="Y161" s="4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</row>
    <row r="162" spans="11:76" s="3" customFormat="1" x14ac:dyDescent="0.25">
      <c r="K162" s="1"/>
      <c r="L162" s="1"/>
      <c r="M162" s="1"/>
      <c r="N162" s="25"/>
      <c r="O162" s="8"/>
      <c r="P162" s="8"/>
      <c r="Q162" s="8"/>
      <c r="R162" s="4"/>
      <c r="S162" s="8"/>
      <c r="T162" s="4"/>
      <c r="U162" s="4"/>
      <c r="V162" s="4"/>
      <c r="W162" s="4"/>
      <c r="X162" s="4"/>
      <c r="Y162" s="4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</row>
    <row r="163" spans="11:76" s="3" customFormat="1" x14ac:dyDescent="0.25">
      <c r="K163" s="1"/>
      <c r="L163" s="1"/>
      <c r="M163" s="1"/>
      <c r="N163" s="25"/>
      <c r="O163" s="8"/>
      <c r="P163" s="8"/>
      <c r="Q163" s="8"/>
      <c r="R163" s="4"/>
      <c r="S163" s="8"/>
      <c r="T163" s="4"/>
      <c r="U163" s="4"/>
      <c r="V163" s="4"/>
      <c r="W163" s="4"/>
      <c r="X163" s="4"/>
      <c r="Y163" s="4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</row>
    <row r="164" spans="11:76" s="3" customFormat="1" x14ac:dyDescent="0.25">
      <c r="K164" s="1"/>
      <c r="L164" s="1"/>
      <c r="M164" s="1"/>
      <c r="N164" s="25"/>
      <c r="O164" s="8"/>
      <c r="P164" s="8"/>
      <c r="Q164" s="8"/>
      <c r="R164" s="4"/>
      <c r="S164" s="8"/>
      <c r="T164" s="4"/>
      <c r="U164" s="4"/>
      <c r="V164" s="4"/>
      <c r="W164" s="4"/>
      <c r="X164" s="4"/>
      <c r="Y164" s="4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</row>
    <row r="165" spans="11:76" s="3" customFormat="1" x14ac:dyDescent="0.25">
      <c r="K165" s="1"/>
      <c r="L165" s="1"/>
      <c r="M165" s="1"/>
      <c r="N165" s="25"/>
      <c r="O165" s="8"/>
      <c r="P165" s="8"/>
      <c r="Q165" s="8"/>
      <c r="R165" s="4"/>
      <c r="S165" s="8"/>
      <c r="T165" s="4"/>
      <c r="U165" s="4"/>
      <c r="V165" s="4"/>
      <c r="W165" s="4"/>
      <c r="X165" s="4"/>
      <c r="Y165" s="4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</row>
    <row r="166" spans="11:76" s="3" customFormat="1" x14ac:dyDescent="0.25">
      <c r="K166" s="1"/>
      <c r="L166" s="1"/>
      <c r="M166" s="1"/>
      <c r="N166" s="25"/>
      <c r="O166" s="8"/>
      <c r="P166" s="8"/>
      <c r="Q166" s="8"/>
      <c r="R166" s="4"/>
      <c r="S166" s="8"/>
      <c r="T166" s="4"/>
      <c r="U166" s="4"/>
      <c r="V166" s="4"/>
      <c r="W166" s="4"/>
      <c r="X166" s="4"/>
      <c r="Y166" s="4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</row>
    <row r="167" spans="11:76" s="3" customFormat="1" x14ac:dyDescent="0.25">
      <c r="K167" s="1"/>
      <c r="L167" s="1"/>
      <c r="M167" s="1"/>
      <c r="N167" s="25"/>
      <c r="O167" s="8"/>
      <c r="P167" s="8"/>
      <c r="Q167" s="8"/>
      <c r="R167" s="4"/>
      <c r="S167" s="8"/>
      <c r="T167" s="4"/>
      <c r="U167" s="4"/>
      <c r="V167" s="4"/>
      <c r="W167" s="4"/>
      <c r="X167" s="4"/>
      <c r="Y167" s="4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</row>
    <row r="168" spans="11:76" s="3" customFormat="1" x14ac:dyDescent="0.25">
      <c r="K168" s="1"/>
      <c r="L168" s="1"/>
      <c r="M168" s="1"/>
      <c r="N168" s="25"/>
      <c r="O168" s="8"/>
      <c r="P168" s="8"/>
      <c r="Q168" s="8"/>
      <c r="R168" s="4"/>
      <c r="S168" s="8"/>
      <c r="T168" s="4"/>
      <c r="U168" s="4"/>
      <c r="V168" s="4"/>
      <c r="W168" s="4"/>
      <c r="X168" s="4"/>
      <c r="Y168" s="4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</row>
    <row r="169" spans="11:76" s="3" customFormat="1" x14ac:dyDescent="0.25">
      <c r="K169" s="1"/>
      <c r="L169" s="1"/>
      <c r="M169" s="1"/>
      <c r="N169" s="27"/>
      <c r="O169" s="10"/>
      <c r="P169" s="10"/>
      <c r="Q169" s="10"/>
      <c r="R169" s="12"/>
      <c r="S169" s="10"/>
      <c r="T169" s="12"/>
      <c r="U169" s="12"/>
      <c r="V169" s="12"/>
      <c r="W169" s="12"/>
      <c r="X169" s="12"/>
      <c r="Y169" s="12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</row>
    <row r="170" spans="11:76" s="3" customFormat="1" x14ac:dyDescent="0.25">
      <c r="K170" s="1"/>
      <c r="L170" s="1"/>
      <c r="M170" s="1"/>
      <c r="N170" s="27"/>
      <c r="O170" s="10"/>
      <c r="P170" s="10"/>
      <c r="Q170" s="10"/>
      <c r="R170" s="12"/>
      <c r="S170" s="10"/>
      <c r="T170" s="12"/>
      <c r="U170" s="12"/>
      <c r="V170" s="12"/>
      <c r="W170" s="12"/>
      <c r="X170" s="12"/>
      <c r="Y170" s="12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</row>
    <row r="171" spans="11:76" s="3" customFormat="1" x14ac:dyDescent="0.25">
      <c r="K171" s="1"/>
      <c r="L171" s="1"/>
      <c r="M171" s="1"/>
      <c r="N171" s="27"/>
      <c r="O171" s="10"/>
      <c r="P171" s="10"/>
      <c r="Q171" s="10"/>
      <c r="R171" s="12"/>
      <c r="S171" s="10"/>
      <c r="T171" s="12"/>
      <c r="U171" s="12"/>
      <c r="V171" s="12"/>
      <c r="W171" s="12"/>
      <c r="X171" s="12"/>
      <c r="Y171" s="12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</row>
    <row r="172" spans="11:76" s="3" customFormat="1" x14ac:dyDescent="0.25">
      <c r="K172" s="1"/>
      <c r="L172" s="1"/>
      <c r="M172" s="1"/>
      <c r="N172" s="27"/>
      <c r="O172" s="10"/>
      <c r="P172" s="10"/>
      <c r="Q172" s="10"/>
      <c r="R172" s="12"/>
      <c r="S172" s="10"/>
      <c r="T172" s="12"/>
      <c r="U172" s="12"/>
      <c r="V172" s="12"/>
      <c r="W172" s="12"/>
      <c r="X172" s="12"/>
      <c r="Y172" s="12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</row>
    <row r="173" spans="11:76" s="3" customFormat="1" x14ac:dyDescent="0.25">
      <c r="K173" s="1"/>
      <c r="L173" s="1"/>
      <c r="M173" s="1"/>
      <c r="N173" s="27"/>
      <c r="O173" s="10"/>
      <c r="P173" s="10"/>
      <c r="Q173" s="10"/>
      <c r="R173" s="12"/>
      <c r="S173" s="10"/>
      <c r="T173" s="12"/>
      <c r="U173" s="12"/>
      <c r="V173" s="12"/>
      <c r="W173" s="12"/>
      <c r="X173" s="12"/>
      <c r="Y173" s="12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</row>
    <row r="174" spans="11:76" s="3" customFormat="1" x14ac:dyDescent="0.25">
      <c r="K174" s="1"/>
      <c r="L174" s="1"/>
      <c r="M174" s="1"/>
      <c r="N174" s="27"/>
      <c r="O174" s="10"/>
      <c r="P174" s="10"/>
      <c r="Q174" s="10"/>
      <c r="R174" s="12"/>
      <c r="S174" s="10"/>
      <c r="T174" s="12"/>
      <c r="U174" s="12"/>
      <c r="V174" s="12"/>
      <c r="W174" s="12"/>
      <c r="X174" s="12"/>
      <c r="Y174" s="12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</row>
    <row r="175" spans="11:76" s="3" customFormat="1" x14ac:dyDescent="0.25">
      <c r="K175" s="1"/>
      <c r="L175" s="1"/>
      <c r="M175" s="1"/>
      <c r="N175" s="27"/>
      <c r="O175" s="10"/>
      <c r="P175" s="10"/>
      <c r="Q175" s="10"/>
      <c r="R175" s="12"/>
      <c r="S175" s="10"/>
      <c r="T175" s="12"/>
      <c r="U175" s="12"/>
      <c r="V175" s="12"/>
      <c r="W175" s="12"/>
      <c r="X175" s="12"/>
      <c r="Y175" s="12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</row>
    <row r="176" spans="11:76" s="3" customFormat="1" x14ac:dyDescent="0.25">
      <c r="K176" s="1"/>
      <c r="L176" s="1"/>
      <c r="M176" s="1"/>
      <c r="N176" s="27"/>
      <c r="O176" s="10"/>
      <c r="P176" s="10"/>
      <c r="Q176" s="10"/>
      <c r="R176" s="12"/>
      <c r="S176" s="10"/>
      <c r="T176" s="12"/>
      <c r="U176" s="12"/>
      <c r="V176" s="12"/>
      <c r="W176" s="12"/>
      <c r="X176" s="12"/>
      <c r="Y176" s="12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</row>
    <row r="177" spans="11:76" s="3" customFormat="1" x14ac:dyDescent="0.25">
      <c r="K177" s="1"/>
      <c r="L177" s="1"/>
      <c r="M177" s="1"/>
      <c r="N177" s="27"/>
      <c r="O177" s="10"/>
      <c r="P177" s="10"/>
      <c r="Q177" s="10"/>
      <c r="R177" s="12"/>
      <c r="S177" s="10"/>
      <c r="T177" s="12"/>
      <c r="U177" s="12"/>
      <c r="V177" s="12"/>
      <c r="W177" s="12"/>
      <c r="X177" s="12"/>
      <c r="Y177" s="12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</row>
    <row r="178" spans="11:76" s="3" customFormat="1" x14ac:dyDescent="0.25">
      <c r="K178" s="1"/>
      <c r="L178" s="1"/>
      <c r="M178" s="1"/>
      <c r="N178" s="27"/>
      <c r="O178" s="10"/>
      <c r="P178" s="10"/>
      <c r="Q178" s="10"/>
      <c r="R178" s="12"/>
      <c r="S178" s="10"/>
      <c r="T178" s="12"/>
      <c r="U178" s="12"/>
      <c r="V178" s="12"/>
      <c r="W178" s="12"/>
      <c r="X178" s="12"/>
      <c r="Y178" s="12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</row>
    <row r="179" spans="11:76" s="3" customFormat="1" x14ac:dyDescent="0.25">
      <c r="K179" s="1"/>
      <c r="L179" s="1"/>
      <c r="M179" s="1"/>
      <c r="N179" s="27"/>
      <c r="O179" s="10"/>
      <c r="P179" s="10"/>
      <c r="Q179" s="10"/>
      <c r="R179" s="12"/>
      <c r="S179" s="10"/>
      <c r="T179" s="12"/>
      <c r="U179" s="12"/>
      <c r="V179" s="12"/>
      <c r="W179" s="12"/>
      <c r="X179" s="12"/>
      <c r="Y179" s="12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</row>
    <row r="180" spans="11:76" s="3" customFormat="1" x14ac:dyDescent="0.25">
      <c r="K180" s="1"/>
      <c r="L180" s="1"/>
      <c r="M180" s="1"/>
      <c r="N180" s="27"/>
      <c r="O180" s="10"/>
      <c r="P180" s="10"/>
      <c r="Q180" s="10"/>
      <c r="R180" s="12"/>
      <c r="S180" s="10"/>
      <c r="T180" s="12"/>
      <c r="U180" s="12"/>
      <c r="V180" s="12"/>
      <c r="W180" s="12"/>
      <c r="X180" s="12"/>
      <c r="Y180" s="12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</row>
    <row r="181" spans="11:76" s="3" customFormat="1" x14ac:dyDescent="0.25">
      <c r="K181" s="1"/>
      <c r="L181" s="1"/>
      <c r="M181" s="1"/>
      <c r="N181" s="27"/>
      <c r="O181" s="10"/>
      <c r="P181" s="10"/>
      <c r="Q181" s="10"/>
      <c r="R181" s="12"/>
      <c r="S181" s="10"/>
      <c r="T181" s="12"/>
      <c r="U181" s="12"/>
      <c r="V181" s="12"/>
      <c r="W181" s="12"/>
      <c r="X181" s="12"/>
      <c r="Y181" s="12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</row>
    <row r="182" spans="11:76" s="3" customFormat="1" x14ac:dyDescent="0.25">
      <c r="K182" s="1"/>
      <c r="L182" s="1"/>
      <c r="M182" s="1"/>
      <c r="N182" s="27"/>
      <c r="O182" s="10"/>
      <c r="P182" s="10"/>
      <c r="Q182" s="10"/>
      <c r="R182" s="12"/>
      <c r="S182" s="10"/>
      <c r="T182" s="12"/>
      <c r="U182" s="12"/>
      <c r="V182" s="12"/>
      <c r="W182" s="12"/>
      <c r="X182" s="12"/>
      <c r="Y182" s="12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</row>
    <row r="183" spans="11:76" s="3" customFormat="1" x14ac:dyDescent="0.25">
      <c r="K183" s="1"/>
      <c r="L183" s="1"/>
      <c r="M183" s="1"/>
      <c r="N183" s="27"/>
      <c r="O183" s="10"/>
      <c r="P183" s="10"/>
      <c r="Q183" s="10"/>
      <c r="R183" s="12"/>
      <c r="S183" s="10"/>
      <c r="T183" s="12"/>
      <c r="U183" s="12"/>
      <c r="V183" s="12"/>
      <c r="W183" s="12"/>
      <c r="X183" s="12"/>
      <c r="Y183" s="12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</row>
    <row r="184" spans="11:76" s="3" customFormat="1" x14ac:dyDescent="0.25">
      <c r="K184" s="1"/>
      <c r="L184" s="1"/>
      <c r="M184" s="1"/>
      <c r="N184" s="27"/>
      <c r="O184" s="10"/>
      <c r="P184" s="10"/>
      <c r="Q184" s="10"/>
      <c r="R184" s="12"/>
      <c r="S184" s="10"/>
      <c r="T184" s="12"/>
      <c r="U184" s="12"/>
      <c r="V184" s="12"/>
      <c r="W184" s="12"/>
      <c r="X184" s="12"/>
      <c r="Y184" s="12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</row>
    <row r="185" spans="11:76" s="3" customFormat="1" x14ac:dyDescent="0.25">
      <c r="K185" s="1"/>
      <c r="L185" s="1"/>
      <c r="M185" s="1"/>
      <c r="N185" s="27"/>
      <c r="O185" s="10"/>
      <c r="P185" s="10"/>
      <c r="Q185" s="10"/>
      <c r="R185" s="12"/>
      <c r="S185" s="10"/>
      <c r="T185" s="12"/>
      <c r="U185" s="12"/>
      <c r="V185" s="12"/>
      <c r="W185" s="12"/>
      <c r="X185" s="12"/>
      <c r="Y185" s="12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</row>
    <row r="186" spans="11:76" s="3" customFormat="1" x14ac:dyDescent="0.25">
      <c r="K186" s="1"/>
      <c r="L186" s="1"/>
      <c r="M186" s="1"/>
      <c r="N186" s="27"/>
      <c r="O186" s="10"/>
      <c r="P186" s="10"/>
      <c r="Q186" s="10"/>
      <c r="R186" s="12"/>
      <c r="S186" s="10"/>
      <c r="T186" s="12"/>
      <c r="U186" s="12"/>
      <c r="V186" s="12"/>
      <c r="W186" s="12"/>
      <c r="X186" s="12"/>
      <c r="Y186" s="12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</row>
    <row r="187" spans="11:76" s="3" customFormat="1" x14ac:dyDescent="0.25">
      <c r="K187" s="1"/>
      <c r="L187" s="1"/>
      <c r="M187" s="1"/>
      <c r="N187" s="27"/>
      <c r="O187" s="10"/>
      <c r="P187" s="10"/>
      <c r="Q187" s="10"/>
      <c r="R187" s="12"/>
      <c r="S187" s="10"/>
      <c r="T187" s="12"/>
      <c r="U187" s="12"/>
      <c r="V187" s="12"/>
      <c r="W187" s="12"/>
      <c r="X187" s="12"/>
      <c r="Y187" s="12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</row>
    <row r="188" spans="11:76" s="3" customFormat="1" x14ac:dyDescent="0.25">
      <c r="K188" s="1"/>
      <c r="L188" s="1"/>
      <c r="M188" s="1"/>
      <c r="N188" s="27"/>
      <c r="O188" s="10"/>
      <c r="P188" s="10"/>
      <c r="Q188" s="10"/>
      <c r="R188" s="12"/>
      <c r="S188" s="10"/>
      <c r="T188" s="12"/>
      <c r="U188" s="12"/>
      <c r="V188" s="12"/>
      <c r="W188" s="12"/>
      <c r="X188" s="12"/>
      <c r="Y188" s="12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</row>
    <row r="189" spans="11:76" s="3" customFormat="1" x14ac:dyDescent="0.25">
      <c r="K189" s="1"/>
      <c r="L189" s="1"/>
      <c r="M189" s="1"/>
      <c r="N189" s="27"/>
      <c r="O189" s="10"/>
      <c r="P189" s="10"/>
      <c r="Q189" s="10"/>
      <c r="R189" s="12"/>
      <c r="S189" s="10"/>
      <c r="T189" s="12"/>
      <c r="U189" s="12"/>
      <c r="V189" s="12"/>
      <c r="W189" s="12"/>
      <c r="X189" s="12"/>
      <c r="Y189" s="12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</row>
    <row r="190" spans="11:76" s="3" customFormat="1" x14ac:dyDescent="0.25">
      <c r="K190" s="1"/>
      <c r="L190" s="1"/>
      <c r="M190" s="1"/>
      <c r="N190" s="27"/>
      <c r="O190" s="10"/>
      <c r="P190" s="10"/>
      <c r="Q190" s="10"/>
      <c r="R190" s="12"/>
      <c r="S190" s="10"/>
      <c r="T190" s="12"/>
      <c r="U190" s="12"/>
      <c r="V190" s="12"/>
      <c r="W190" s="12"/>
      <c r="X190" s="12"/>
      <c r="Y190" s="12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</row>
    <row r="191" spans="11:76" s="3" customFormat="1" x14ac:dyDescent="0.25">
      <c r="K191" s="1"/>
      <c r="L191" s="1"/>
      <c r="M191" s="1"/>
      <c r="N191" s="27"/>
      <c r="O191" s="10"/>
      <c r="P191" s="10"/>
      <c r="Q191" s="10"/>
      <c r="R191" s="12"/>
      <c r="S191" s="10"/>
      <c r="T191" s="12"/>
      <c r="U191" s="12"/>
      <c r="V191" s="12"/>
      <c r="W191" s="12"/>
      <c r="X191" s="12"/>
      <c r="Y191" s="12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</row>
    <row r="192" spans="11:76" s="3" customFormat="1" x14ac:dyDescent="0.25">
      <c r="K192" s="1"/>
      <c r="L192" s="1"/>
      <c r="M192" s="1"/>
      <c r="N192" s="27"/>
      <c r="O192" s="10"/>
      <c r="P192" s="10"/>
      <c r="Q192" s="10"/>
      <c r="R192" s="12"/>
      <c r="S192" s="10"/>
      <c r="T192" s="12"/>
      <c r="U192" s="12"/>
      <c r="V192" s="12"/>
      <c r="W192" s="12"/>
      <c r="X192" s="12"/>
      <c r="Y192" s="12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</row>
    <row r="193" spans="11:76" s="3" customFormat="1" x14ac:dyDescent="0.25">
      <c r="K193" s="1"/>
      <c r="L193" s="1"/>
      <c r="M193" s="1"/>
      <c r="N193" s="27"/>
      <c r="O193" s="10"/>
      <c r="P193" s="10"/>
      <c r="Q193" s="10"/>
      <c r="R193" s="12"/>
      <c r="S193" s="10"/>
      <c r="T193" s="12"/>
      <c r="U193" s="12"/>
      <c r="V193" s="12"/>
      <c r="W193" s="12"/>
      <c r="X193" s="12"/>
      <c r="Y193" s="12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</row>
    <row r="194" spans="11:76" s="3" customFormat="1" x14ac:dyDescent="0.25">
      <c r="K194" s="1"/>
      <c r="L194" s="1"/>
      <c r="M194" s="1"/>
      <c r="N194" s="27"/>
      <c r="O194" s="10"/>
      <c r="P194" s="10"/>
      <c r="Q194" s="10"/>
      <c r="R194" s="12"/>
      <c r="S194" s="10"/>
      <c r="T194" s="12"/>
      <c r="U194" s="12"/>
      <c r="V194" s="12"/>
      <c r="W194" s="12"/>
      <c r="X194" s="12"/>
      <c r="Y194" s="12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</row>
    <row r="195" spans="11:76" s="3" customFormat="1" x14ac:dyDescent="0.25">
      <c r="K195" s="1"/>
      <c r="L195" s="1"/>
      <c r="M195" s="1"/>
      <c r="N195" s="27"/>
      <c r="O195" s="10"/>
      <c r="P195" s="10"/>
      <c r="Q195" s="10"/>
      <c r="R195" s="12"/>
      <c r="S195" s="10"/>
      <c r="T195" s="12"/>
      <c r="U195" s="12"/>
      <c r="V195" s="12"/>
      <c r="W195" s="12"/>
      <c r="X195" s="12"/>
      <c r="Y195" s="12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</row>
    <row r="196" spans="11:76" s="3" customFormat="1" x14ac:dyDescent="0.25">
      <c r="K196" s="1"/>
      <c r="L196" s="1"/>
      <c r="M196" s="1"/>
      <c r="N196" s="27"/>
      <c r="O196" s="10"/>
      <c r="P196" s="10"/>
      <c r="Q196" s="10"/>
      <c r="R196" s="12"/>
      <c r="S196" s="10"/>
      <c r="T196" s="12"/>
      <c r="U196" s="12"/>
      <c r="V196" s="12"/>
      <c r="W196" s="12"/>
      <c r="X196" s="12"/>
      <c r="Y196" s="12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</row>
    <row r="197" spans="11:76" s="3" customFormat="1" x14ac:dyDescent="0.25">
      <c r="K197" s="1"/>
      <c r="L197" s="1"/>
      <c r="M197" s="1"/>
      <c r="N197" s="27"/>
      <c r="O197" s="10"/>
      <c r="P197" s="10"/>
      <c r="Q197" s="10"/>
      <c r="R197" s="12"/>
      <c r="S197" s="10"/>
      <c r="T197" s="12"/>
      <c r="U197" s="12"/>
      <c r="V197" s="12"/>
      <c r="W197" s="12"/>
      <c r="X197" s="12"/>
      <c r="Y197" s="12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</row>
    <row r="198" spans="11:76" s="3" customFormat="1" x14ac:dyDescent="0.25">
      <c r="K198" s="1"/>
      <c r="L198" s="1"/>
      <c r="M198" s="1"/>
      <c r="N198" s="27"/>
      <c r="O198" s="10"/>
      <c r="P198" s="10"/>
      <c r="Q198" s="10"/>
      <c r="R198" s="12"/>
      <c r="S198" s="10"/>
      <c r="T198" s="12"/>
      <c r="U198" s="12"/>
      <c r="V198" s="12"/>
      <c r="W198" s="12"/>
      <c r="X198" s="12"/>
      <c r="Y198" s="12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</row>
    <row r="199" spans="11:76" s="3" customFormat="1" x14ac:dyDescent="0.25">
      <c r="K199" s="1"/>
      <c r="L199" s="1"/>
      <c r="M199" s="1"/>
      <c r="N199" s="27"/>
      <c r="O199" s="10"/>
      <c r="P199" s="10"/>
      <c r="Q199" s="10"/>
      <c r="R199" s="12"/>
      <c r="S199" s="10"/>
      <c r="T199" s="12"/>
      <c r="U199" s="12"/>
      <c r="V199" s="12"/>
      <c r="W199" s="12"/>
      <c r="X199" s="12"/>
      <c r="Y199" s="12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</row>
    <row r="200" spans="11:76" s="3" customFormat="1" x14ac:dyDescent="0.25">
      <c r="K200" s="1"/>
      <c r="L200" s="1"/>
      <c r="M200" s="1"/>
      <c r="N200" s="27"/>
      <c r="O200" s="10"/>
      <c r="P200" s="10"/>
      <c r="Q200" s="10"/>
      <c r="R200" s="12"/>
      <c r="S200" s="10"/>
      <c r="T200" s="12"/>
      <c r="U200" s="12"/>
      <c r="V200" s="12"/>
      <c r="W200" s="12"/>
      <c r="X200" s="12"/>
      <c r="Y200" s="12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</row>
    <row r="201" spans="11:76" s="3" customFormat="1" x14ac:dyDescent="0.25">
      <c r="K201" s="1"/>
      <c r="L201" s="1"/>
      <c r="M201" s="1"/>
      <c r="N201" s="27"/>
      <c r="O201" s="10"/>
      <c r="P201" s="10"/>
      <c r="Q201" s="10"/>
      <c r="R201" s="12"/>
      <c r="S201" s="10"/>
      <c r="T201" s="12"/>
      <c r="U201" s="12"/>
      <c r="V201" s="12"/>
      <c r="W201" s="12"/>
      <c r="X201" s="12"/>
      <c r="Y201" s="12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</row>
    <row r="202" spans="11:76" s="3" customFormat="1" x14ac:dyDescent="0.25">
      <c r="K202" s="1"/>
      <c r="L202" s="1"/>
      <c r="M202" s="1"/>
      <c r="N202" s="27"/>
      <c r="O202" s="10"/>
      <c r="P202" s="10"/>
      <c r="Q202" s="10"/>
      <c r="R202" s="12"/>
      <c r="S202" s="10"/>
      <c r="T202" s="12"/>
      <c r="U202" s="12"/>
      <c r="V202" s="12"/>
      <c r="W202" s="12"/>
      <c r="X202" s="12"/>
      <c r="Y202" s="12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</row>
    <row r="203" spans="11:76" s="3" customFormat="1" x14ac:dyDescent="0.25">
      <c r="K203" s="1"/>
      <c r="L203" s="1"/>
      <c r="M203" s="1"/>
      <c r="N203" s="27"/>
      <c r="O203" s="10"/>
      <c r="P203" s="10"/>
      <c r="Q203" s="10"/>
      <c r="R203" s="12"/>
      <c r="S203" s="10"/>
      <c r="T203" s="12"/>
      <c r="U203" s="12"/>
      <c r="V203" s="12"/>
      <c r="W203" s="12"/>
      <c r="X203" s="12"/>
      <c r="Y203" s="12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</row>
    <row r="204" spans="11:76" s="3" customFormat="1" x14ac:dyDescent="0.25">
      <c r="K204" s="1"/>
      <c r="L204" s="1"/>
      <c r="M204" s="1"/>
      <c r="N204" s="27"/>
      <c r="O204" s="10"/>
      <c r="P204" s="10"/>
      <c r="Q204" s="10"/>
      <c r="R204" s="12"/>
      <c r="S204" s="10"/>
      <c r="T204" s="12"/>
      <c r="U204" s="12"/>
      <c r="V204" s="12"/>
      <c r="W204" s="12"/>
      <c r="X204" s="12"/>
      <c r="Y204" s="12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</row>
    <row r="205" spans="11:76" s="3" customFormat="1" x14ac:dyDescent="0.25">
      <c r="K205" s="1"/>
      <c r="L205" s="1"/>
      <c r="M205" s="1"/>
      <c r="N205" s="27"/>
      <c r="O205" s="10"/>
      <c r="P205" s="10"/>
      <c r="Q205" s="10"/>
      <c r="R205" s="12"/>
      <c r="S205" s="10"/>
      <c r="T205" s="12"/>
      <c r="U205" s="12"/>
      <c r="V205" s="12"/>
      <c r="W205" s="12"/>
      <c r="X205" s="12"/>
      <c r="Y205" s="12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</row>
    <row r="206" spans="11:76" s="3" customFormat="1" x14ac:dyDescent="0.25">
      <c r="K206" s="1"/>
      <c r="L206" s="1"/>
      <c r="M206" s="1"/>
      <c r="N206" s="27"/>
      <c r="O206" s="10"/>
      <c r="P206" s="10"/>
      <c r="Q206" s="10"/>
      <c r="R206" s="12"/>
      <c r="S206" s="10"/>
      <c r="T206" s="12"/>
      <c r="U206" s="12"/>
      <c r="V206" s="12"/>
      <c r="W206" s="12"/>
      <c r="X206" s="12"/>
      <c r="Y206" s="12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</row>
    <row r="207" spans="11:76" s="3" customFormat="1" x14ac:dyDescent="0.25">
      <c r="K207" s="1"/>
      <c r="L207" s="1"/>
      <c r="M207" s="1"/>
      <c r="N207" s="27"/>
      <c r="O207" s="10"/>
      <c r="P207" s="10"/>
      <c r="Q207" s="10"/>
      <c r="R207" s="12"/>
      <c r="S207" s="10"/>
      <c r="T207" s="12"/>
      <c r="U207" s="12"/>
      <c r="V207" s="12"/>
      <c r="W207" s="12"/>
      <c r="X207" s="12"/>
      <c r="Y207" s="12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</row>
    <row r="208" spans="11:76" s="3" customFormat="1" x14ac:dyDescent="0.25">
      <c r="K208" s="1"/>
      <c r="L208" s="1"/>
      <c r="M208" s="1"/>
      <c r="N208" s="27"/>
      <c r="O208" s="10"/>
      <c r="P208" s="10"/>
      <c r="Q208" s="10"/>
      <c r="R208" s="12"/>
      <c r="S208" s="10"/>
      <c r="T208" s="12"/>
      <c r="U208" s="12"/>
      <c r="V208" s="12"/>
      <c r="W208" s="12"/>
      <c r="X208" s="12"/>
      <c r="Y208" s="12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</row>
    <row r="209" spans="11:76" s="3" customFormat="1" x14ac:dyDescent="0.25">
      <c r="K209" s="1"/>
      <c r="L209" s="1"/>
      <c r="M209" s="1"/>
      <c r="N209" s="27"/>
      <c r="O209" s="10"/>
      <c r="P209" s="10"/>
      <c r="Q209" s="10"/>
      <c r="R209" s="12"/>
      <c r="S209" s="10"/>
      <c r="T209" s="12"/>
      <c r="U209" s="12"/>
      <c r="V209" s="12"/>
      <c r="W209" s="12"/>
      <c r="X209" s="12"/>
      <c r="Y209" s="12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</row>
    <row r="210" spans="11:76" s="3" customFormat="1" x14ac:dyDescent="0.25">
      <c r="K210" s="1"/>
      <c r="L210" s="1"/>
      <c r="M210" s="1"/>
      <c r="N210" s="27"/>
      <c r="O210" s="10"/>
      <c r="P210" s="10"/>
      <c r="Q210" s="10"/>
      <c r="R210" s="12"/>
      <c r="S210" s="10"/>
      <c r="T210" s="12"/>
      <c r="U210" s="12"/>
      <c r="V210" s="12"/>
      <c r="W210" s="12"/>
      <c r="X210" s="12"/>
      <c r="Y210" s="12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</row>
    <row r="211" spans="11:76" s="3" customFormat="1" x14ac:dyDescent="0.25">
      <c r="K211" s="1"/>
      <c r="L211" s="1"/>
      <c r="M211" s="1"/>
      <c r="N211" s="27"/>
      <c r="O211" s="10"/>
      <c r="P211" s="10"/>
      <c r="Q211" s="10"/>
      <c r="R211" s="12"/>
      <c r="S211" s="10"/>
      <c r="T211" s="12"/>
      <c r="U211" s="12"/>
      <c r="V211" s="12"/>
      <c r="W211" s="12"/>
      <c r="X211" s="12"/>
      <c r="Y211" s="12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</row>
    <row r="212" spans="11:76" s="3" customFormat="1" x14ac:dyDescent="0.25">
      <c r="K212" s="1"/>
      <c r="L212" s="1"/>
      <c r="M212" s="1"/>
      <c r="N212" s="27"/>
      <c r="O212" s="10"/>
      <c r="P212" s="10"/>
      <c r="Q212" s="10"/>
      <c r="R212" s="12"/>
      <c r="S212" s="10"/>
      <c r="T212" s="12"/>
      <c r="U212" s="12"/>
      <c r="V212" s="12"/>
      <c r="W212" s="12"/>
      <c r="X212" s="12"/>
      <c r="Y212" s="12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</row>
    <row r="213" spans="11:76" s="3" customFormat="1" x14ac:dyDescent="0.25">
      <c r="K213" s="1"/>
      <c r="L213" s="1"/>
      <c r="M213" s="1"/>
      <c r="N213" s="27"/>
      <c r="O213" s="10"/>
      <c r="P213" s="10"/>
      <c r="Q213" s="10"/>
      <c r="R213" s="12"/>
      <c r="S213" s="10"/>
      <c r="T213" s="12"/>
      <c r="U213" s="12"/>
      <c r="V213" s="12"/>
      <c r="W213" s="12"/>
      <c r="X213" s="12"/>
      <c r="Y213" s="12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DE3D-E004-4BBD-9848-6C27AFE063B0}">
  <dimension ref="A1:BX115"/>
  <sheetViews>
    <sheetView topLeftCell="U63" zoomScale="120" zoomScaleNormal="120" workbookViewId="0">
      <selection activeCell="N1" sqref="N1:N1048576"/>
    </sheetView>
  </sheetViews>
  <sheetFormatPr defaultRowHeight="13.8" x14ac:dyDescent="0.25"/>
  <cols>
    <col min="1" max="4" width="22.109375" style="3" customWidth="1"/>
    <col min="5" max="5" width="18.77734375" style="3" customWidth="1"/>
    <col min="6" max="6" width="17.33203125" style="3" customWidth="1"/>
    <col min="7" max="7" width="16.6640625" style="3" customWidth="1"/>
    <col min="8" max="8" width="20.88671875" style="3" customWidth="1"/>
    <col min="9" max="9" width="19.21875" style="3" customWidth="1"/>
    <col min="10" max="10" width="23.109375" style="3" customWidth="1"/>
    <col min="11" max="11" width="13.6640625" style="3" customWidth="1"/>
    <col min="12" max="12" width="20.88671875" style="1" customWidth="1"/>
    <col min="13" max="13" width="27.33203125" style="1" customWidth="1"/>
    <col min="14" max="14" width="20.6640625" style="27" customWidth="1"/>
    <col min="15" max="15" width="20.6640625" style="10" customWidth="1"/>
    <col min="16" max="16" width="36" style="10" customWidth="1"/>
    <col min="17" max="17" width="23.21875" style="10" customWidth="1"/>
    <col min="18" max="18" width="30.88671875" style="10" customWidth="1"/>
    <col min="19" max="19" width="20.6640625" style="10" customWidth="1"/>
    <col min="20" max="20" width="20.6640625" style="12" customWidth="1"/>
    <col min="21" max="22" width="20.6640625" style="10" customWidth="1"/>
    <col min="23" max="23" width="23.77734375" style="10" customWidth="1"/>
    <col min="24" max="24" width="47.33203125" style="10" customWidth="1"/>
    <col min="25" max="25" width="51.6640625" style="12" customWidth="1"/>
    <col min="26" max="16384" width="8.88671875" style="5"/>
  </cols>
  <sheetData>
    <row r="1" spans="1:25" s="18" customFormat="1" ht="61.8" customHeight="1" x14ac:dyDescent="0.3">
      <c r="A1" s="19" t="s">
        <v>6</v>
      </c>
      <c r="B1" s="7" t="s">
        <v>5</v>
      </c>
      <c r="C1" s="19" t="s">
        <v>2</v>
      </c>
      <c r="D1" s="19" t="s">
        <v>1</v>
      </c>
      <c r="E1" s="7" t="s">
        <v>0</v>
      </c>
      <c r="F1" s="19" t="s">
        <v>3</v>
      </c>
      <c r="G1" s="7" t="s">
        <v>8</v>
      </c>
      <c r="H1" s="19" t="s">
        <v>4</v>
      </c>
      <c r="I1" s="7" t="s">
        <v>9</v>
      </c>
      <c r="J1" s="7" t="s">
        <v>7</v>
      </c>
      <c r="K1" s="19" t="s">
        <v>16</v>
      </c>
      <c r="L1" s="7" t="s">
        <v>17</v>
      </c>
      <c r="M1" s="7" t="s">
        <v>13</v>
      </c>
      <c r="N1" s="24" t="s">
        <v>15</v>
      </c>
      <c r="O1" s="9" t="s">
        <v>18</v>
      </c>
      <c r="P1" s="9" t="s">
        <v>25</v>
      </c>
      <c r="Q1" s="20" t="s">
        <v>10</v>
      </c>
      <c r="R1" s="9" t="s">
        <v>20</v>
      </c>
      <c r="S1" s="9" t="s">
        <v>26</v>
      </c>
      <c r="T1" s="9" t="s">
        <v>11</v>
      </c>
      <c r="U1" s="9" t="s">
        <v>12</v>
      </c>
      <c r="V1" s="9" t="s">
        <v>22</v>
      </c>
      <c r="W1" s="9" t="s">
        <v>14</v>
      </c>
      <c r="X1" s="21" t="s">
        <v>23</v>
      </c>
      <c r="Y1" s="21" t="s">
        <v>24</v>
      </c>
    </row>
    <row r="2" spans="1:25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5">
        <v>16.983098591549297</v>
      </c>
      <c r="L2" s="8">
        <f>(K2/1000000)</f>
        <v>1.6983098591549296E-5</v>
      </c>
      <c r="M2" s="1">
        <f>(3.142*3.07*3.07*25.4*25.4)/(4*1000000)</f>
        <v>4.7762865441819992E-3</v>
      </c>
      <c r="N2" s="25">
        <f>(L2*J2)/M2</f>
        <v>7.1558078148237611E-8</v>
      </c>
      <c r="O2" s="8">
        <f>(2.032/1000)</f>
        <v>2.032E-3</v>
      </c>
      <c r="P2" s="8">
        <f>(1.05712695226653E-10/1.414)</f>
        <v>7.4761453484195898E-11</v>
      </c>
      <c r="Q2" s="8">
        <v>0.33</v>
      </c>
      <c r="R2" s="8">
        <f>(1+Q2)*100000*1</f>
        <v>133000</v>
      </c>
      <c r="S2" s="8">
        <f>(5.24933748552653/1000)</f>
        <v>5.2493374855265302E-3</v>
      </c>
      <c r="T2" s="8">
        <v>0.13</v>
      </c>
      <c r="U2" s="8">
        <f>(1+T2)*100000</f>
        <v>112999.99999999999</v>
      </c>
      <c r="V2" s="8">
        <f t="shared" ref="V2:V65" si="1">(L2*U2)</f>
        <v>1.9190901408450702</v>
      </c>
      <c r="W2" s="8">
        <f>((N2*O2/P2) + SQRT(V2))^2</f>
        <v>11.090533405444416</v>
      </c>
      <c r="X2" s="17">
        <f>(N2*S2)/(R2-W2)</f>
        <v>2.824540057681544E-15</v>
      </c>
      <c r="Y2" s="17">
        <f>(X2*6.022E+23)</f>
        <v>1700938022.735826</v>
      </c>
    </row>
    <row r="3" spans="1:25" x14ac:dyDescent="0.25">
      <c r="A3" s="14">
        <v>3</v>
      </c>
      <c r="B3" s="14">
        <f t="shared" ref="B3:B62" si="2">(A3/60)</f>
        <v>0.05</v>
      </c>
      <c r="C3" s="14">
        <v>20</v>
      </c>
      <c r="D3" s="14">
        <f t="shared" si="0"/>
        <v>29.146000000000001</v>
      </c>
      <c r="E3" s="14">
        <f t="shared" ref="E3:E62" si="3">(D3/(1000000*60))</f>
        <v>4.8576666666666667E-7</v>
      </c>
      <c r="F3" s="14">
        <v>21.1</v>
      </c>
      <c r="G3" s="14">
        <f t="shared" ref="G3:G62" si="4">(273+F3)</f>
        <v>294.10000000000002</v>
      </c>
      <c r="H3" s="14">
        <v>101.3</v>
      </c>
      <c r="I3" s="14">
        <f t="shared" ref="I3:I62" si="5">(H3*1000)</f>
        <v>101300</v>
      </c>
      <c r="J3" s="14">
        <f t="shared" ref="J3:J62" si="6">((I3*E3)/(8.314*G3))</f>
        <v>2.0124824921938581E-5</v>
      </c>
      <c r="K3" s="15">
        <v>10.391549295774649</v>
      </c>
      <c r="L3" s="8">
        <f t="shared" ref="L3:L66" si="7">(K3/1000000)</f>
        <v>1.0391549295774648E-5</v>
      </c>
      <c r="M3" s="14">
        <f t="shared" ref="M3:M66" si="8">(3.142*3.07*3.07*25.4*25.4)/(4*1000000)</f>
        <v>4.7762865441819992E-3</v>
      </c>
      <c r="N3" s="25">
        <f t="shared" ref="N3:N66" si="9">(L3*J3)/M3</f>
        <v>4.3784665829963275E-8</v>
      </c>
      <c r="O3" s="8">
        <f t="shared" ref="O3:O66" si="10">(2.032/1000)</f>
        <v>2.032E-3</v>
      </c>
      <c r="P3" s="8">
        <f t="shared" ref="P3:P66" si="11">(1.05712695226653E-10/1.414)</f>
        <v>7.4761453484195898E-11</v>
      </c>
      <c r="Q3" s="8">
        <v>0.33</v>
      </c>
      <c r="R3" s="17">
        <f t="shared" ref="R3:R62" si="12">(1+Q3)*100000*1</f>
        <v>133000</v>
      </c>
      <c r="S3" s="8">
        <f t="shared" ref="S3:S66" si="13">(5.24933748552653/1000)</f>
        <v>5.2493374855265302E-3</v>
      </c>
      <c r="T3" s="8">
        <v>0.13</v>
      </c>
      <c r="U3" s="17">
        <f t="shared" ref="U3:U62" si="14">(1+T3)*100000</f>
        <v>112999.99999999999</v>
      </c>
      <c r="V3" s="8">
        <f t="shared" si="1"/>
        <v>1.1742450704225351</v>
      </c>
      <c r="W3" s="8">
        <f t="shared" ref="W3:W66" si="15">((N3*O3/P3) + SQRT(V3))^2</f>
        <v>5.1696369224891843</v>
      </c>
      <c r="X3" s="17">
        <f t="shared" ref="X3:X66" si="16">(N3*S3)/(R3-W3)</f>
        <v>1.7281911410015822E-15</v>
      </c>
      <c r="Y3" s="17">
        <f t="shared" ref="Y3:Y66" si="17">(X3*6.022E+23)</f>
        <v>1040716705.1111528</v>
      </c>
    </row>
    <row r="4" spans="1:25" x14ac:dyDescent="0.25">
      <c r="A4" s="14">
        <v>6</v>
      </c>
      <c r="B4" s="14">
        <f t="shared" si="2"/>
        <v>0.1</v>
      </c>
      <c r="C4" s="14">
        <v>20</v>
      </c>
      <c r="D4" s="14">
        <f t="shared" si="0"/>
        <v>29.146000000000001</v>
      </c>
      <c r="E4" s="14">
        <f t="shared" si="3"/>
        <v>4.8576666666666667E-7</v>
      </c>
      <c r="F4" s="14">
        <v>21.1</v>
      </c>
      <c r="G4" s="14">
        <f t="shared" si="4"/>
        <v>294.10000000000002</v>
      </c>
      <c r="H4" s="14">
        <v>101.3</v>
      </c>
      <c r="I4" s="14">
        <f t="shared" si="5"/>
        <v>101300</v>
      </c>
      <c r="J4" s="14">
        <f t="shared" si="6"/>
        <v>2.0124824921938581E-5</v>
      </c>
      <c r="K4" s="15">
        <v>13.687323943661973</v>
      </c>
      <c r="L4" s="8">
        <f t="shared" si="7"/>
        <v>1.3687323943661973E-5</v>
      </c>
      <c r="M4" s="14">
        <f t="shared" si="8"/>
        <v>4.7762865441819992E-3</v>
      </c>
      <c r="N4" s="25">
        <f t="shared" si="9"/>
        <v>5.7671371989100446E-8</v>
      </c>
      <c r="O4" s="8">
        <f t="shared" si="10"/>
        <v>2.032E-3</v>
      </c>
      <c r="P4" s="8">
        <f t="shared" si="11"/>
        <v>7.4761453484195898E-11</v>
      </c>
      <c r="Q4" s="8">
        <v>0.33</v>
      </c>
      <c r="R4" s="17">
        <f t="shared" si="12"/>
        <v>133000</v>
      </c>
      <c r="S4" s="8">
        <f t="shared" si="13"/>
        <v>5.2493374855265302E-3</v>
      </c>
      <c r="T4" s="8">
        <v>0.13</v>
      </c>
      <c r="U4" s="17">
        <f t="shared" si="14"/>
        <v>112999.99999999999</v>
      </c>
      <c r="V4" s="8">
        <f t="shared" si="1"/>
        <v>1.5466676056338027</v>
      </c>
      <c r="W4" s="8">
        <f t="shared" si="15"/>
        <v>7.9025431280077241</v>
      </c>
      <c r="X4" s="17">
        <f t="shared" si="16"/>
        <v>2.2763495020619863E-15</v>
      </c>
      <c r="Y4" s="17">
        <f t="shared" si="17"/>
        <v>1370817670.1417282</v>
      </c>
    </row>
    <row r="5" spans="1:25" x14ac:dyDescent="0.25">
      <c r="A5" s="14">
        <v>9</v>
      </c>
      <c r="B5" s="14">
        <f t="shared" si="2"/>
        <v>0.15</v>
      </c>
      <c r="C5" s="14">
        <v>20</v>
      </c>
      <c r="D5" s="14">
        <f t="shared" si="0"/>
        <v>29.146000000000001</v>
      </c>
      <c r="E5" s="14">
        <f t="shared" si="3"/>
        <v>4.8576666666666667E-7</v>
      </c>
      <c r="F5" s="14">
        <v>21.1</v>
      </c>
      <c r="G5" s="14">
        <f t="shared" si="4"/>
        <v>294.10000000000002</v>
      </c>
      <c r="H5" s="14">
        <v>101.3</v>
      </c>
      <c r="I5" s="14">
        <f t="shared" si="5"/>
        <v>101300</v>
      </c>
      <c r="J5" s="14">
        <f t="shared" si="6"/>
        <v>2.0124824921938581E-5</v>
      </c>
      <c r="K5" s="15">
        <v>14.109859154929579</v>
      </c>
      <c r="L5" s="8">
        <f t="shared" si="7"/>
        <v>1.4109859154929578E-5</v>
      </c>
      <c r="M5" s="14">
        <f t="shared" si="8"/>
        <v>4.7762865441819992E-3</v>
      </c>
      <c r="N5" s="25">
        <f t="shared" si="9"/>
        <v>5.9451718932579567E-8</v>
      </c>
      <c r="O5" s="8">
        <f t="shared" si="10"/>
        <v>2.032E-3</v>
      </c>
      <c r="P5" s="8">
        <f t="shared" si="11"/>
        <v>7.4761453484195898E-11</v>
      </c>
      <c r="Q5" s="8">
        <v>0.33</v>
      </c>
      <c r="R5" s="17">
        <f t="shared" si="12"/>
        <v>133000</v>
      </c>
      <c r="S5" s="8">
        <f t="shared" si="13"/>
        <v>5.2493374855265302E-3</v>
      </c>
      <c r="T5" s="8">
        <v>0.13</v>
      </c>
      <c r="U5" s="17">
        <f t="shared" si="14"/>
        <v>112999.99999999999</v>
      </c>
      <c r="V5" s="8">
        <f t="shared" si="1"/>
        <v>1.594414084507042</v>
      </c>
      <c r="W5" s="8">
        <f t="shared" si="15"/>
        <v>8.2862565565378308</v>
      </c>
      <c r="X5" s="17">
        <f t="shared" si="16"/>
        <v>2.3466284326091183E-15</v>
      </c>
      <c r="Y5" s="17">
        <f t="shared" si="17"/>
        <v>1413139642.1172111</v>
      </c>
    </row>
    <row r="6" spans="1:25" x14ac:dyDescent="0.25">
      <c r="A6" s="14">
        <v>12</v>
      </c>
      <c r="B6" s="14">
        <f t="shared" si="2"/>
        <v>0.2</v>
      </c>
      <c r="C6" s="14">
        <v>20</v>
      </c>
      <c r="D6" s="14">
        <f t="shared" si="0"/>
        <v>29.146000000000001</v>
      </c>
      <c r="E6" s="14">
        <f t="shared" si="3"/>
        <v>4.8576666666666667E-7</v>
      </c>
      <c r="F6" s="14">
        <v>21.1</v>
      </c>
      <c r="G6" s="14">
        <f t="shared" si="4"/>
        <v>294.10000000000002</v>
      </c>
      <c r="H6" s="14">
        <v>101.3</v>
      </c>
      <c r="I6" s="14">
        <f t="shared" si="5"/>
        <v>101300</v>
      </c>
      <c r="J6" s="14">
        <f t="shared" si="6"/>
        <v>2.0124824921938581E-5</v>
      </c>
      <c r="K6" s="15">
        <v>11.208450704225354</v>
      </c>
      <c r="L6" s="8">
        <f t="shared" si="7"/>
        <v>1.1208450704225355E-5</v>
      </c>
      <c r="M6" s="14">
        <f t="shared" si="8"/>
        <v>4.7762865441819992E-3</v>
      </c>
      <c r="N6" s="25">
        <f t="shared" si="9"/>
        <v>4.7226669920689589E-8</v>
      </c>
      <c r="O6" s="8">
        <f t="shared" si="10"/>
        <v>2.032E-3</v>
      </c>
      <c r="P6" s="8">
        <f t="shared" si="11"/>
        <v>7.4761453484195898E-11</v>
      </c>
      <c r="Q6" s="8">
        <v>0.33</v>
      </c>
      <c r="R6" s="17">
        <f t="shared" si="12"/>
        <v>133000</v>
      </c>
      <c r="S6" s="8">
        <f t="shared" si="13"/>
        <v>5.2493374855265302E-3</v>
      </c>
      <c r="T6" s="8">
        <v>0.13</v>
      </c>
      <c r="U6" s="17">
        <f t="shared" si="14"/>
        <v>112999.99999999999</v>
      </c>
      <c r="V6" s="8">
        <f t="shared" si="1"/>
        <v>1.266554929577465</v>
      </c>
      <c r="W6" s="8">
        <f t="shared" si="15"/>
        <v>5.8033957378977767</v>
      </c>
      <c r="X6" s="17">
        <f t="shared" si="16"/>
        <v>1.8640567412797868E-15</v>
      </c>
      <c r="Y6" s="17">
        <f t="shared" si="17"/>
        <v>1122534969.5986876</v>
      </c>
    </row>
    <row r="7" spans="1:25" x14ac:dyDescent="0.25">
      <c r="A7" s="14">
        <v>15</v>
      </c>
      <c r="B7" s="14">
        <f t="shared" si="2"/>
        <v>0.25</v>
      </c>
      <c r="C7" s="14">
        <v>20</v>
      </c>
      <c r="D7" s="14">
        <f t="shared" si="0"/>
        <v>29.146000000000001</v>
      </c>
      <c r="E7" s="14">
        <f t="shared" si="3"/>
        <v>4.8576666666666667E-7</v>
      </c>
      <c r="F7" s="14">
        <v>21.1</v>
      </c>
      <c r="G7" s="14">
        <f t="shared" si="4"/>
        <v>294.10000000000002</v>
      </c>
      <c r="H7" s="14">
        <v>101.3</v>
      </c>
      <c r="I7" s="14">
        <f t="shared" si="5"/>
        <v>101300</v>
      </c>
      <c r="J7" s="14">
        <f t="shared" si="6"/>
        <v>2.0124824921938581E-5</v>
      </c>
      <c r="K7" s="15">
        <v>15.743661971830987</v>
      </c>
      <c r="L7" s="8">
        <f t="shared" si="7"/>
        <v>1.5743661971830987E-5</v>
      </c>
      <c r="M7" s="14">
        <f t="shared" si="8"/>
        <v>4.7762865441819992E-3</v>
      </c>
      <c r="N7" s="25">
        <f t="shared" si="9"/>
        <v>6.6335727114032189E-8</v>
      </c>
      <c r="O7" s="8">
        <f t="shared" si="10"/>
        <v>2.032E-3</v>
      </c>
      <c r="P7" s="8">
        <f t="shared" si="11"/>
        <v>7.4761453484195898E-11</v>
      </c>
      <c r="Q7" s="8">
        <v>0.33</v>
      </c>
      <c r="R7" s="17">
        <f t="shared" si="12"/>
        <v>133000</v>
      </c>
      <c r="S7" s="8">
        <f t="shared" si="13"/>
        <v>5.2493374855265302E-3</v>
      </c>
      <c r="T7" s="8">
        <v>0.13</v>
      </c>
      <c r="U7" s="17">
        <f t="shared" si="14"/>
        <v>112999.99999999999</v>
      </c>
      <c r="V7" s="8">
        <f t="shared" si="1"/>
        <v>1.7790338028169013</v>
      </c>
      <c r="W7" s="8">
        <f t="shared" si="15"/>
        <v>9.8394819591812439</v>
      </c>
      <c r="X7" s="17">
        <f t="shared" si="16"/>
        <v>2.6183788154922192E-15</v>
      </c>
      <c r="Y7" s="17">
        <f t="shared" si="17"/>
        <v>1576787722.6894145</v>
      </c>
    </row>
    <row r="8" spans="1:25" x14ac:dyDescent="0.25">
      <c r="A8" s="14">
        <v>18</v>
      </c>
      <c r="B8" s="14">
        <f t="shared" si="2"/>
        <v>0.3</v>
      </c>
      <c r="C8" s="14">
        <v>20</v>
      </c>
      <c r="D8" s="14">
        <f t="shared" si="0"/>
        <v>29.146000000000001</v>
      </c>
      <c r="E8" s="14">
        <f t="shared" si="3"/>
        <v>4.8576666666666667E-7</v>
      </c>
      <c r="F8" s="14">
        <v>21.1</v>
      </c>
      <c r="G8" s="14">
        <f t="shared" si="4"/>
        <v>294.10000000000002</v>
      </c>
      <c r="H8" s="14">
        <v>101.3</v>
      </c>
      <c r="I8" s="14">
        <f t="shared" si="5"/>
        <v>101300</v>
      </c>
      <c r="J8" s="14">
        <f t="shared" si="6"/>
        <v>2.0124824921938581E-5</v>
      </c>
      <c r="K8" s="15">
        <v>14.025352112676059</v>
      </c>
      <c r="L8" s="8">
        <f t="shared" si="7"/>
        <v>1.4025352112676058E-5</v>
      </c>
      <c r="M8" s="14">
        <f t="shared" si="8"/>
        <v>4.7762865441819992E-3</v>
      </c>
      <c r="N8" s="25">
        <f t="shared" si="9"/>
        <v>5.9095649543883752E-8</v>
      </c>
      <c r="O8" s="8">
        <f t="shared" si="10"/>
        <v>2.032E-3</v>
      </c>
      <c r="P8" s="8">
        <f t="shared" si="11"/>
        <v>7.4761453484195898E-11</v>
      </c>
      <c r="Q8" s="8">
        <v>0.33</v>
      </c>
      <c r="R8" s="17">
        <f t="shared" si="12"/>
        <v>133000</v>
      </c>
      <c r="S8" s="8">
        <f t="shared" si="13"/>
        <v>5.2493374855265302E-3</v>
      </c>
      <c r="T8" s="8">
        <v>0.13</v>
      </c>
      <c r="U8" s="17">
        <f t="shared" si="14"/>
        <v>112999.99999999999</v>
      </c>
      <c r="V8" s="8">
        <f t="shared" si="1"/>
        <v>1.5848647887323943</v>
      </c>
      <c r="W8" s="8">
        <f t="shared" si="15"/>
        <v>8.2089183243765191</v>
      </c>
      <c r="X8" s="17">
        <f t="shared" si="16"/>
        <v>2.3325726036108008E-15</v>
      </c>
      <c r="Y8" s="17">
        <f t="shared" si="17"/>
        <v>1404675221.8944244</v>
      </c>
    </row>
    <row r="9" spans="1:25" x14ac:dyDescent="0.25">
      <c r="A9" s="14">
        <v>21</v>
      </c>
      <c r="B9" s="14">
        <f t="shared" si="2"/>
        <v>0.35</v>
      </c>
      <c r="C9" s="14">
        <v>20</v>
      </c>
      <c r="D9" s="14">
        <f t="shared" si="0"/>
        <v>29.146000000000001</v>
      </c>
      <c r="E9" s="14">
        <f t="shared" si="3"/>
        <v>4.8576666666666667E-7</v>
      </c>
      <c r="F9" s="14">
        <v>21.1</v>
      </c>
      <c r="G9" s="14">
        <f t="shared" si="4"/>
        <v>294.10000000000002</v>
      </c>
      <c r="H9" s="14">
        <v>101.3</v>
      </c>
      <c r="I9" s="14">
        <f t="shared" si="5"/>
        <v>101300</v>
      </c>
      <c r="J9" s="14">
        <f t="shared" si="6"/>
        <v>2.0124824921938581E-5</v>
      </c>
      <c r="K9" s="15">
        <v>19.997183098591549</v>
      </c>
      <c r="L9" s="8">
        <f t="shared" si="7"/>
        <v>1.9997183098591548E-5</v>
      </c>
      <c r="M9" s="14">
        <f t="shared" si="8"/>
        <v>4.7762865441819992E-3</v>
      </c>
      <c r="N9" s="25">
        <f t="shared" si="9"/>
        <v>8.4257886345055371E-8</v>
      </c>
      <c r="O9" s="8">
        <f t="shared" si="10"/>
        <v>2.032E-3</v>
      </c>
      <c r="P9" s="8">
        <f t="shared" si="11"/>
        <v>7.4761453484195898E-11</v>
      </c>
      <c r="Q9" s="8">
        <v>0.33</v>
      </c>
      <c r="R9" s="17">
        <f t="shared" si="12"/>
        <v>133000</v>
      </c>
      <c r="S9" s="8">
        <f t="shared" si="13"/>
        <v>5.2493374855265302E-3</v>
      </c>
      <c r="T9" s="8">
        <v>0.13</v>
      </c>
      <c r="U9" s="17">
        <f t="shared" si="14"/>
        <v>112999.99999999999</v>
      </c>
      <c r="V9" s="8">
        <f t="shared" si="1"/>
        <v>2.2596816901408445</v>
      </c>
      <c r="W9" s="8">
        <f t="shared" si="15"/>
        <v>14.389388448038341</v>
      </c>
      <c r="X9" s="17">
        <f t="shared" si="16"/>
        <v>3.3259093161159824E-15</v>
      </c>
      <c r="Y9" s="17">
        <f t="shared" si="17"/>
        <v>2002862590.1650448</v>
      </c>
    </row>
    <row r="10" spans="1:25" x14ac:dyDescent="0.25">
      <c r="A10" s="14">
        <v>24</v>
      </c>
      <c r="B10" s="14">
        <f t="shared" si="2"/>
        <v>0.4</v>
      </c>
      <c r="C10" s="14">
        <v>20</v>
      </c>
      <c r="D10" s="14">
        <f t="shared" si="0"/>
        <v>29.146000000000001</v>
      </c>
      <c r="E10" s="14">
        <f t="shared" si="3"/>
        <v>4.8576666666666667E-7</v>
      </c>
      <c r="F10" s="14">
        <v>21.1</v>
      </c>
      <c r="G10" s="14">
        <f t="shared" si="4"/>
        <v>294.10000000000002</v>
      </c>
      <c r="H10" s="14">
        <v>101.3</v>
      </c>
      <c r="I10" s="14">
        <f t="shared" si="5"/>
        <v>101300</v>
      </c>
      <c r="J10" s="14">
        <f t="shared" si="6"/>
        <v>2.0124824921938581E-5</v>
      </c>
      <c r="K10" s="15">
        <v>21.912676056338032</v>
      </c>
      <c r="L10" s="8">
        <f t="shared" si="7"/>
        <v>2.1912676056338034E-5</v>
      </c>
      <c r="M10" s="14">
        <f t="shared" si="8"/>
        <v>4.7762865441819992E-3</v>
      </c>
      <c r="N10" s="25">
        <f t="shared" si="9"/>
        <v>9.2328792488827431E-8</v>
      </c>
      <c r="O10" s="8">
        <f t="shared" si="10"/>
        <v>2.032E-3</v>
      </c>
      <c r="P10" s="8">
        <f t="shared" si="11"/>
        <v>7.4761453484195898E-11</v>
      </c>
      <c r="Q10" s="8">
        <v>0.33</v>
      </c>
      <c r="R10" s="17">
        <f t="shared" si="12"/>
        <v>133000</v>
      </c>
      <c r="S10" s="8">
        <f t="shared" si="13"/>
        <v>5.2493374855265302E-3</v>
      </c>
      <c r="T10" s="8">
        <v>0.13</v>
      </c>
      <c r="U10" s="17">
        <f t="shared" si="14"/>
        <v>112999.99999999999</v>
      </c>
      <c r="V10" s="8">
        <f t="shared" si="1"/>
        <v>2.4761323943661977</v>
      </c>
      <c r="W10" s="8">
        <f t="shared" si="15"/>
        <v>16.671293809931786</v>
      </c>
      <c r="X10" s="17">
        <f t="shared" si="16"/>
        <v>3.6445545176253524E-15</v>
      </c>
      <c r="Y10" s="17">
        <f t="shared" si="17"/>
        <v>2194750730.5139871</v>
      </c>
    </row>
    <row r="11" spans="1:25" x14ac:dyDescent="0.25">
      <c r="A11" s="14">
        <v>27</v>
      </c>
      <c r="B11" s="14">
        <f t="shared" si="2"/>
        <v>0.45</v>
      </c>
      <c r="C11" s="14">
        <v>20</v>
      </c>
      <c r="D11" s="14">
        <f t="shared" si="0"/>
        <v>29.146000000000001</v>
      </c>
      <c r="E11" s="14">
        <f t="shared" si="3"/>
        <v>4.8576666666666667E-7</v>
      </c>
      <c r="F11" s="14">
        <v>21.1</v>
      </c>
      <c r="G11" s="14">
        <f t="shared" si="4"/>
        <v>294.10000000000002</v>
      </c>
      <c r="H11" s="14">
        <v>101.3</v>
      </c>
      <c r="I11" s="14">
        <f t="shared" si="5"/>
        <v>101300</v>
      </c>
      <c r="J11" s="14">
        <f t="shared" si="6"/>
        <v>2.0124824921938581E-5</v>
      </c>
      <c r="K11" s="15">
        <v>26.898591549295777</v>
      </c>
      <c r="L11" s="8">
        <f t="shared" si="7"/>
        <v>2.6898591549295776E-5</v>
      </c>
      <c r="M11" s="14">
        <f t="shared" si="8"/>
        <v>4.7762865441819992E-3</v>
      </c>
      <c r="N11" s="25">
        <f t="shared" si="9"/>
        <v>1.1333688642188108E-7</v>
      </c>
      <c r="O11" s="8">
        <f t="shared" si="10"/>
        <v>2.032E-3</v>
      </c>
      <c r="P11" s="8">
        <f t="shared" si="11"/>
        <v>7.4761453484195898E-11</v>
      </c>
      <c r="Q11" s="8">
        <v>0.33</v>
      </c>
      <c r="R11" s="17">
        <f t="shared" si="12"/>
        <v>133000</v>
      </c>
      <c r="S11" s="8">
        <f t="shared" si="13"/>
        <v>5.2493374855265302E-3</v>
      </c>
      <c r="T11" s="8">
        <v>0.13</v>
      </c>
      <c r="U11" s="17">
        <f t="shared" si="14"/>
        <v>112999.99999999999</v>
      </c>
      <c r="V11" s="8">
        <f t="shared" si="1"/>
        <v>3.0395408450704222</v>
      </c>
      <c r="W11" s="8">
        <f t="shared" si="15"/>
        <v>23.270008842088753</v>
      </c>
      <c r="X11" s="17">
        <f t="shared" si="16"/>
        <v>4.474042687219057E-15</v>
      </c>
      <c r="Y11" s="17">
        <f t="shared" si="17"/>
        <v>2694268506.2433162</v>
      </c>
    </row>
    <row r="12" spans="1:25" x14ac:dyDescent="0.25">
      <c r="A12" s="14">
        <v>30</v>
      </c>
      <c r="B12" s="14">
        <f t="shared" si="2"/>
        <v>0.5</v>
      </c>
      <c r="C12" s="14">
        <v>20</v>
      </c>
      <c r="D12" s="14">
        <f t="shared" si="0"/>
        <v>29.146000000000001</v>
      </c>
      <c r="E12" s="14">
        <f t="shared" si="3"/>
        <v>4.8576666666666667E-7</v>
      </c>
      <c r="F12" s="14">
        <v>21.1</v>
      </c>
      <c r="G12" s="14">
        <f t="shared" si="4"/>
        <v>294.10000000000002</v>
      </c>
      <c r="H12" s="14">
        <v>101.3</v>
      </c>
      <c r="I12" s="14">
        <f t="shared" si="5"/>
        <v>101300</v>
      </c>
      <c r="J12" s="14">
        <f t="shared" si="6"/>
        <v>2.0124824921938581E-5</v>
      </c>
      <c r="K12" s="15">
        <v>40.053521126760565</v>
      </c>
      <c r="L12" s="8">
        <f t="shared" si="7"/>
        <v>4.0053521126760564E-5</v>
      </c>
      <c r="M12" s="14">
        <f t="shared" si="8"/>
        <v>4.7762865441819992E-3</v>
      </c>
      <c r="N12" s="25">
        <f t="shared" si="9"/>
        <v>1.6876502126219782E-7</v>
      </c>
      <c r="O12" s="8">
        <f t="shared" si="10"/>
        <v>2.032E-3</v>
      </c>
      <c r="P12" s="8">
        <f t="shared" si="11"/>
        <v>7.4761453484195898E-11</v>
      </c>
      <c r="Q12" s="8">
        <v>0.33</v>
      </c>
      <c r="R12" s="17">
        <f t="shared" si="12"/>
        <v>133000</v>
      </c>
      <c r="S12" s="8">
        <f t="shared" si="13"/>
        <v>5.2493374855265302E-3</v>
      </c>
      <c r="T12" s="8">
        <v>0.13</v>
      </c>
      <c r="U12" s="17">
        <f t="shared" si="14"/>
        <v>112999.99999999999</v>
      </c>
      <c r="V12" s="8">
        <f t="shared" si="1"/>
        <v>4.5260478873239434</v>
      </c>
      <c r="W12" s="8">
        <f t="shared" si="15"/>
        <v>45.083805233974267</v>
      </c>
      <c r="X12" s="17">
        <f t="shared" si="16"/>
        <v>6.663195146989321E-15</v>
      </c>
      <c r="Y12" s="17">
        <f t="shared" si="17"/>
        <v>4012576117.5169692</v>
      </c>
    </row>
    <row r="13" spans="1:25" x14ac:dyDescent="0.25">
      <c r="A13" s="14">
        <v>33</v>
      </c>
      <c r="B13" s="14">
        <f t="shared" si="2"/>
        <v>0.55000000000000004</v>
      </c>
      <c r="C13" s="14">
        <v>20</v>
      </c>
      <c r="D13" s="14">
        <f t="shared" si="0"/>
        <v>29.146000000000001</v>
      </c>
      <c r="E13" s="14">
        <f t="shared" si="3"/>
        <v>4.8576666666666667E-7</v>
      </c>
      <c r="F13" s="14">
        <v>21.1</v>
      </c>
      <c r="G13" s="14">
        <f t="shared" si="4"/>
        <v>294.10000000000002</v>
      </c>
      <c r="H13" s="14">
        <v>101.3</v>
      </c>
      <c r="I13" s="14">
        <f t="shared" si="5"/>
        <v>101300</v>
      </c>
      <c r="J13" s="14">
        <f t="shared" si="6"/>
        <v>2.0124824921938581E-5</v>
      </c>
      <c r="K13" s="15">
        <v>51.743661971830988</v>
      </c>
      <c r="L13" s="8">
        <f t="shared" si="7"/>
        <v>5.1743661971830991E-5</v>
      </c>
      <c r="M13" s="14">
        <f t="shared" si="8"/>
        <v>4.7762865441819992E-3</v>
      </c>
      <c r="N13" s="25">
        <f t="shared" si="9"/>
        <v>2.1802128669845362E-7</v>
      </c>
      <c r="O13" s="8">
        <f t="shared" si="10"/>
        <v>2.032E-3</v>
      </c>
      <c r="P13" s="8">
        <f t="shared" si="11"/>
        <v>7.4761453484195898E-11</v>
      </c>
      <c r="Q13" s="8">
        <v>0.33</v>
      </c>
      <c r="R13" s="17">
        <f t="shared" si="12"/>
        <v>133000</v>
      </c>
      <c r="S13" s="8">
        <f t="shared" si="13"/>
        <v>5.2493374855265302E-3</v>
      </c>
      <c r="T13" s="8">
        <v>0.13</v>
      </c>
      <c r="U13" s="17">
        <f t="shared" si="14"/>
        <v>112999.99999999999</v>
      </c>
      <c r="V13" s="8">
        <f t="shared" si="1"/>
        <v>5.8470338028169015</v>
      </c>
      <c r="W13" s="8">
        <f t="shared" si="15"/>
        <v>69.619583880613163</v>
      </c>
      <c r="X13" s="17">
        <f t="shared" si="16"/>
        <v>8.6095240931856913E-15</v>
      </c>
      <c r="Y13" s="17">
        <f t="shared" si="17"/>
        <v>5184655408.9164238</v>
      </c>
    </row>
    <row r="14" spans="1:25" x14ac:dyDescent="0.25">
      <c r="A14" s="14">
        <v>36</v>
      </c>
      <c r="B14" s="14">
        <f t="shared" si="2"/>
        <v>0.6</v>
      </c>
      <c r="C14" s="14">
        <v>20</v>
      </c>
      <c r="D14" s="14">
        <f t="shared" si="0"/>
        <v>29.146000000000001</v>
      </c>
      <c r="E14" s="14">
        <f t="shared" si="3"/>
        <v>4.8576666666666667E-7</v>
      </c>
      <c r="F14" s="14">
        <v>21.1</v>
      </c>
      <c r="G14" s="14">
        <f t="shared" si="4"/>
        <v>294.10000000000002</v>
      </c>
      <c r="H14" s="14">
        <v>101.3</v>
      </c>
      <c r="I14" s="14">
        <f t="shared" si="5"/>
        <v>101300</v>
      </c>
      <c r="J14" s="14">
        <f t="shared" si="6"/>
        <v>2.0124824921938581E-5</v>
      </c>
      <c r="K14" s="15">
        <v>59.997183098591556</v>
      </c>
      <c r="L14" s="8">
        <f t="shared" si="7"/>
        <v>5.9997183098591554E-5</v>
      </c>
      <c r="M14" s="14">
        <f t="shared" si="8"/>
        <v>4.7762865441819992E-3</v>
      </c>
      <c r="N14" s="25">
        <f t="shared" si="9"/>
        <v>2.5279739699441252E-7</v>
      </c>
      <c r="O14" s="8">
        <f t="shared" si="10"/>
        <v>2.032E-3</v>
      </c>
      <c r="P14" s="8">
        <f t="shared" si="11"/>
        <v>7.4761453484195898E-11</v>
      </c>
      <c r="Q14" s="8">
        <v>0.33</v>
      </c>
      <c r="R14" s="17">
        <f t="shared" si="12"/>
        <v>133000</v>
      </c>
      <c r="S14" s="8">
        <f t="shared" si="13"/>
        <v>5.2493374855265302E-3</v>
      </c>
      <c r="T14" s="8">
        <v>0.13</v>
      </c>
      <c r="U14" s="17">
        <f t="shared" si="14"/>
        <v>112999.99999999999</v>
      </c>
      <c r="V14" s="8">
        <f t="shared" si="1"/>
        <v>6.779681690140845</v>
      </c>
      <c r="W14" s="8">
        <f t="shared" si="15"/>
        <v>89.77108281607876</v>
      </c>
      <c r="X14" s="17">
        <f t="shared" si="16"/>
        <v>9.9843244804970136E-15</v>
      </c>
      <c r="Y14" s="17">
        <f t="shared" si="17"/>
        <v>6012560202.155302</v>
      </c>
    </row>
    <row r="15" spans="1:25" x14ac:dyDescent="0.25">
      <c r="A15" s="14">
        <v>39</v>
      </c>
      <c r="B15" s="14">
        <f t="shared" si="2"/>
        <v>0.65</v>
      </c>
      <c r="C15" s="14">
        <v>20</v>
      </c>
      <c r="D15" s="14">
        <f t="shared" si="0"/>
        <v>29.146000000000001</v>
      </c>
      <c r="E15" s="14">
        <f t="shared" si="3"/>
        <v>4.8576666666666667E-7</v>
      </c>
      <c r="F15" s="14">
        <v>21.1</v>
      </c>
      <c r="G15" s="14">
        <f t="shared" si="4"/>
        <v>294.10000000000002</v>
      </c>
      <c r="H15" s="14">
        <v>101.3</v>
      </c>
      <c r="I15" s="14">
        <f t="shared" si="5"/>
        <v>101300</v>
      </c>
      <c r="J15" s="14">
        <f t="shared" si="6"/>
        <v>2.0124824921938581E-5</v>
      </c>
      <c r="K15" s="15">
        <v>74.419718309859164</v>
      </c>
      <c r="L15" s="8">
        <f t="shared" si="7"/>
        <v>7.4419718309859164E-5</v>
      </c>
      <c r="M15" s="14">
        <f t="shared" si="8"/>
        <v>4.7762865441819992E-3</v>
      </c>
      <c r="N15" s="25">
        <f t="shared" si="9"/>
        <v>3.1356657266516669E-7</v>
      </c>
      <c r="O15" s="8">
        <f t="shared" si="10"/>
        <v>2.032E-3</v>
      </c>
      <c r="P15" s="8">
        <f t="shared" si="11"/>
        <v>7.4761453484195898E-11</v>
      </c>
      <c r="Q15" s="8">
        <v>0.33</v>
      </c>
      <c r="R15" s="17">
        <f t="shared" si="12"/>
        <v>133000</v>
      </c>
      <c r="S15" s="8">
        <f t="shared" si="13"/>
        <v>5.2493374855265302E-3</v>
      </c>
      <c r="T15" s="8">
        <v>0.13</v>
      </c>
      <c r="U15" s="17">
        <f t="shared" si="14"/>
        <v>112999.99999999999</v>
      </c>
      <c r="V15" s="8">
        <f t="shared" si="1"/>
        <v>8.4094281690140846</v>
      </c>
      <c r="W15" s="8">
        <f t="shared" si="15"/>
        <v>130.47516164942448</v>
      </c>
      <c r="X15" s="17">
        <f t="shared" si="16"/>
        <v>1.2388218939609265E-14</v>
      </c>
      <c r="Y15" s="17">
        <f t="shared" si="17"/>
        <v>7460185445.4326992</v>
      </c>
    </row>
    <row r="16" spans="1:25" x14ac:dyDescent="0.25">
      <c r="A16" s="14">
        <v>42</v>
      </c>
      <c r="B16" s="14">
        <f t="shared" si="2"/>
        <v>0.7</v>
      </c>
      <c r="C16" s="14">
        <v>20</v>
      </c>
      <c r="D16" s="14">
        <f t="shared" si="0"/>
        <v>29.146000000000001</v>
      </c>
      <c r="E16" s="14">
        <f t="shared" si="3"/>
        <v>4.8576666666666667E-7</v>
      </c>
      <c r="F16" s="14">
        <v>21.1</v>
      </c>
      <c r="G16" s="14">
        <f t="shared" si="4"/>
        <v>294.10000000000002</v>
      </c>
      <c r="H16" s="14">
        <v>101.3</v>
      </c>
      <c r="I16" s="14">
        <f t="shared" si="5"/>
        <v>101300</v>
      </c>
      <c r="J16" s="14">
        <f t="shared" si="6"/>
        <v>2.0124824921938581E-5</v>
      </c>
      <c r="K16" s="15">
        <v>87.208450704225356</v>
      </c>
      <c r="L16" s="8">
        <f t="shared" si="7"/>
        <v>8.7208450704225361E-5</v>
      </c>
      <c r="M16" s="14">
        <f t="shared" si="8"/>
        <v>4.7762865441819992E-3</v>
      </c>
      <c r="N16" s="25">
        <f t="shared" si="9"/>
        <v>3.6745174015446819E-7</v>
      </c>
      <c r="O16" s="8">
        <f t="shared" si="10"/>
        <v>2.032E-3</v>
      </c>
      <c r="P16" s="8">
        <f t="shared" si="11"/>
        <v>7.4761453484195898E-11</v>
      </c>
      <c r="Q16" s="8">
        <v>0.33</v>
      </c>
      <c r="R16" s="17">
        <f t="shared" si="12"/>
        <v>133000</v>
      </c>
      <c r="S16" s="8">
        <f t="shared" si="13"/>
        <v>5.2493374855265302E-3</v>
      </c>
      <c r="T16" s="8">
        <v>0.13</v>
      </c>
      <c r="U16" s="17">
        <f t="shared" si="14"/>
        <v>112999.99999999999</v>
      </c>
      <c r="V16" s="8">
        <f t="shared" si="1"/>
        <v>9.8545549295774642</v>
      </c>
      <c r="W16" s="8">
        <f t="shared" si="15"/>
        <v>172.30381291500527</v>
      </c>
      <c r="X16" s="17">
        <f t="shared" si="16"/>
        <v>1.4521656620453765E-14</v>
      </c>
      <c r="Y16" s="17">
        <f t="shared" si="17"/>
        <v>8744941616.8372574</v>
      </c>
    </row>
    <row r="17" spans="1:76" s="3" customFormat="1" x14ac:dyDescent="0.25">
      <c r="A17" s="14">
        <v>45</v>
      </c>
      <c r="B17" s="14">
        <f t="shared" si="2"/>
        <v>0.75</v>
      </c>
      <c r="C17" s="14">
        <v>20</v>
      </c>
      <c r="D17" s="14">
        <f t="shared" si="0"/>
        <v>29.146000000000001</v>
      </c>
      <c r="E17" s="14">
        <f t="shared" si="3"/>
        <v>4.8576666666666667E-7</v>
      </c>
      <c r="F17" s="14">
        <v>21.1</v>
      </c>
      <c r="G17" s="14">
        <f t="shared" si="4"/>
        <v>294.10000000000002</v>
      </c>
      <c r="H17" s="14">
        <v>101.3</v>
      </c>
      <c r="I17" s="14">
        <f t="shared" si="5"/>
        <v>101300</v>
      </c>
      <c r="J17" s="14">
        <f t="shared" si="6"/>
        <v>2.0124824921938581E-5</v>
      </c>
      <c r="K17" s="15">
        <v>91.292957746478876</v>
      </c>
      <c r="L17" s="8">
        <f t="shared" si="7"/>
        <v>9.1292957746478878E-5</v>
      </c>
      <c r="M17" s="14">
        <f t="shared" si="8"/>
        <v>4.7762865441819992E-3</v>
      </c>
      <c r="N17" s="25">
        <f t="shared" si="9"/>
        <v>3.8466176060809971E-7</v>
      </c>
      <c r="O17" s="8">
        <f t="shared" si="10"/>
        <v>2.032E-3</v>
      </c>
      <c r="P17" s="8">
        <f t="shared" si="11"/>
        <v>7.4761453484195898E-11</v>
      </c>
      <c r="Q17" s="8">
        <v>0.33</v>
      </c>
      <c r="R17" s="17">
        <f t="shared" si="12"/>
        <v>133000</v>
      </c>
      <c r="S17" s="8">
        <f t="shared" si="13"/>
        <v>5.2493374855265302E-3</v>
      </c>
      <c r="T17" s="8">
        <v>0.13</v>
      </c>
      <c r="U17" s="17">
        <f t="shared" si="14"/>
        <v>112999.99999999999</v>
      </c>
      <c r="V17" s="8">
        <f t="shared" si="1"/>
        <v>10.316104225352111</v>
      </c>
      <c r="W17" s="8">
        <f t="shared" si="15"/>
        <v>186.78393776503705</v>
      </c>
      <c r="X17" s="17">
        <f t="shared" si="16"/>
        <v>1.5203452330094499E-14</v>
      </c>
      <c r="Y17" s="17">
        <f t="shared" si="17"/>
        <v>9155518993.1829071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</row>
    <row r="18" spans="1:76" s="3" customFormat="1" x14ac:dyDescent="0.25">
      <c r="A18" s="14">
        <v>48</v>
      </c>
      <c r="B18" s="14">
        <f t="shared" si="2"/>
        <v>0.8</v>
      </c>
      <c r="C18" s="14">
        <v>20</v>
      </c>
      <c r="D18" s="14">
        <f t="shared" si="0"/>
        <v>29.146000000000001</v>
      </c>
      <c r="E18" s="14">
        <f t="shared" si="3"/>
        <v>4.8576666666666667E-7</v>
      </c>
      <c r="F18" s="14">
        <v>21.1</v>
      </c>
      <c r="G18" s="14">
        <f t="shared" si="4"/>
        <v>294.10000000000002</v>
      </c>
      <c r="H18" s="14">
        <v>101.3</v>
      </c>
      <c r="I18" s="14">
        <f t="shared" si="5"/>
        <v>101300</v>
      </c>
      <c r="J18" s="14">
        <f t="shared" si="6"/>
        <v>2.0124824921938581E-5</v>
      </c>
      <c r="K18" s="15">
        <v>113.29295774647888</v>
      </c>
      <c r="L18" s="8">
        <f t="shared" si="7"/>
        <v>1.1329295774647887E-4</v>
      </c>
      <c r="M18" s="14">
        <f t="shared" si="8"/>
        <v>4.7762865441819992E-3</v>
      </c>
      <c r="N18" s="25">
        <f t="shared" si="9"/>
        <v>4.7735849146524604E-7</v>
      </c>
      <c r="O18" s="8">
        <f t="shared" si="10"/>
        <v>2.032E-3</v>
      </c>
      <c r="P18" s="8">
        <f t="shared" si="11"/>
        <v>7.4761453484195898E-11</v>
      </c>
      <c r="Q18" s="8">
        <v>0.33</v>
      </c>
      <c r="R18" s="17">
        <f t="shared" si="12"/>
        <v>133000</v>
      </c>
      <c r="S18" s="8">
        <f t="shared" si="13"/>
        <v>5.2493374855265302E-3</v>
      </c>
      <c r="T18" s="8">
        <v>0.13</v>
      </c>
      <c r="U18" s="17">
        <f t="shared" si="14"/>
        <v>112999.99999999999</v>
      </c>
      <c r="V18" s="8">
        <f t="shared" si="1"/>
        <v>12.80210422535211</v>
      </c>
      <c r="W18" s="8">
        <f t="shared" si="15"/>
        <v>273.98533937778262</v>
      </c>
      <c r="X18" s="17">
        <f t="shared" si="16"/>
        <v>1.8879613237014863E-14</v>
      </c>
      <c r="Y18" s="17">
        <f t="shared" si="17"/>
        <v>11369303091.330351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</row>
    <row r="19" spans="1:76" s="3" customFormat="1" x14ac:dyDescent="0.25">
      <c r="A19" s="14">
        <v>51</v>
      </c>
      <c r="B19" s="14">
        <f t="shared" si="2"/>
        <v>0.85</v>
      </c>
      <c r="C19" s="14">
        <v>20</v>
      </c>
      <c r="D19" s="14">
        <f t="shared" si="0"/>
        <v>29.146000000000001</v>
      </c>
      <c r="E19" s="14">
        <f t="shared" si="3"/>
        <v>4.8576666666666667E-7</v>
      </c>
      <c r="F19" s="14">
        <v>21.1</v>
      </c>
      <c r="G19" s="14">
        <f t="shared" si="4"/>
        <v>294.10000000000002</v>
      </c>
      <c r="H19" s="14">
        <v>101.3</v>
      </c>
      <c r="I19" s="14">
        <f t="shared" si="5"/>
        <v>101300</v>
      </c>
      <c r="J19" s="14">
        <f t="shared" si="6"/>
        <v>2.0124824921938581E-5</v>
      </c>
      <c r="K19" s="15">
        <v>118.36338028169016</v>
      </c>
      <c r="L19" s="8">
        <f t="shared" si="7"/>
        <v>1.1836338028169015E-4</v>
      </c>
      <c r="M19" s="14">
        <f t="shared" si="8"/>
        <v>4.7762865441819992E-3</v>
      </c>
      <c r="N19" s="25">
        <f t="shared" si="9"/>
        <v>4.9872265478699568E-7</v>
      </c>
      <c r="O19" s="8">
        <f t="shared" si="10"/>
        <v>2.032E-3</v>
      </c>
      <c r="P19" s="8">
        <f t="shared" si="11"/>
        <v>7.4761453484195898E-11</v>
      </c>
      <c r="Q19" s="8">
        <v>0.33</v>
      </c>
      <c r="R19" s="17">
        <f t="shared" si="12"/>
        <v>133000</v>
      </c>
      <c r="S19" s="8">
        <f t="shared" si="13"/>
        <v>5.2493374855265302E-3</v>
      </c>
      <c r="T19" s="8">
        <v>0.13</v>
      </c>
      <c r="U19" s="17">
        <f t="shared" si="14"/>
        <v>112999.99999999999</v>
      </c>
      <c r="V19" s="8">
        <f t="shared" si="1"/>
        <v>13.375061971830984</v>
      </c>
      <c r="W19" s="8">
        <f t="shared" si="15"/>
        <v>296.26554904515586</v>
      </c>
      <c r="X19" s="17">
        <f t="shared" si="16"/>
        <v>1.9727881340236439E-14</v>
      </c>
      <c r="Y19" s="17">
        <f t="shared" si="17"/>
        <v>11880130143.090384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</row>
    <row r="20" spans="1:76" s="3" customFormat="1" x14ac:dyDescent="0.25">
      <c r="A20" s="14">
        <v>54</v>
      </c>
      <c r="B20" s="14">
        <f t="shared" si="2"/>
        <v>0.9</v>
      </c>
      <c r="C20" s="14">
        <v>20</v>
      </c>
      <c r="D20" s="14">
        <f t="shared" si="0"/>
        <v>29.146000000000001</v>
      </c>
      <c r="E20" s="14">
        <f t="shared" si="3"/>
        <v>4.8576666666666667E-7</v>
      </c>
      <c r="F20" s="14">
        <v>21.1</v>
      </c>
      <c r="G20" s="14">
        <f t="shared" si="4"/>
        <v>294.10000000000002</v>
      </c>
      <c r="H20" s="14">
        <v>101.3</v>
      </c>
      <c r="I20" s="14">
        <f t="shared" si="5"/>
        <v>101300</v>
      </c>
      <c r="J20" s="14">
        <f t="shared" si="6"/>
        <v>2.0124824921938581E-5</v>
      </c>
      <c r="K20" s="15">
        <v>130.5323943661972</v>
      </c>
      <c r="L20" s="8">
        <f t="shared" si="7"/>
        <v>1.3053239436619719E-4</v>
      </c>
      <c r="M20" s="14">
        <f t="shared" si="8"/>
        <v>4.7762865441819992E-3</v>
      </c>
      <c r="N20" s="25">
        <f t="shared" si="9"/>
        <v>5.499966467591944E-7</v>
      </c>
      <c r="O20" s="8">
        <f t="shared" si="10"/>
        <v>2.032E-3</v>
      </c>
      <c r="P20" s="8">
        <f t="shared" si="11"/>
        <v>7.4761453484195898E-11</v>
      </c>
      <c r="Q20" s="8">
        <v>0.33</v>
      </c>
      <c r="R20" s="17">
        <f t="shared" si="12"/>
        <v>133000</v>
      </c>
      <c r="S20" s="8">
        <f t="shared" si="13"/>
        <v>5.2493374855265302E-3</v>
      </c>
      <c r="T20" s="8">
        <v>0.13</v>
      </c>
      <c r="U20" s="17">
        <f t="shared" si="14"/>
        <v>112999.99999999999</v>
      </c>
      <c r="V20" s="8">
        <f t="shared" si="1"/>
        <v>14.75016056338028</v>
      </c>
      <c r="W20" s="8">
        <f t="shared" si="15"/>
        <v>353.04090151134534</v>
      </c>
      <c r="X20" s="17">
        <f t="shared" si="16"/>
        <v>2.1765429334895531E-14</v>
      </c>
      <c r="Y20" s="17">
        <f t="shared" si="17"/>
        <v>13107141545.474089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</row>
    <row r="21" spans="1:76" s="3" customFormat="1" x14ac:dyDescent="0.25">
      <c r="A21" s="14">
        <v>57</v>
      </c>
      <c r="B21" s="14">
        <f t="shared" si="2"/>
        <v>0.95</v>
      </c>
      <c r="C21" s="14">
        <v>20</v>
      </c>
      <c r="D21" s="14">
        <f t="shared" si="0"/>
        <v>29.146000000000001</v>
      </c>
      <c r="E21" s="14">
        <f t="shared" si="3"/>
        <v>4.8576666666666667E-7</v>
      </c>
      <c r="F21" s="14">
        <v>21.1</v>
      </c>
      <c r="G21" s="14">
        <f t="shared" si="4"/>
        <v>294.10000000000002</v>
      </c>
      <c r="H21" s="14">
        <v>101.3</v>
      </c>
      <c r="I21" s="14">
        <f t="shared" si="5"/>
        <v>101300</v>
      </c>
      <c r="J21" s="14">
        <f t="shared" si="6"/>
        <v>2.0124824921938581E-5</v>
      </c>
      <c r="K21" s="15">
        <v>137.7718309859155</v>
      </c>
      <c r="L21" s="8">
        <f t="shared" si="7"/>
        <v>1.3777183098591549E-4</v>
      </c>
      <c r="M21" s="14">
        <f t="shared" si="8"/>
        <v>4.7762865441819992E-3</v>
      </c>
      <c r="N21" s="25">
        <f t="shared" si="9"/>
        <v>5.8049992439080335E-7</v>
      </c>
      <c r="O21" s="8">
        <f t="shared" si="10"/>
        <v>2.032E-3</v>
      </c>
      <c r="P21" s="8">
        <f t="shared" si="11"/>
        <v>7.4761453484195898E-11</v>
      </c>
      <c r="Q21" s="8">
        <v>0.33</v>
      </c>
      <c r="R21" s="17">
        <f t="shared" si="12"/>
        <v>133000</v>
      </c>
      <c r="S21" s="8">
        <f t="shared" si="13"/>
        <v>5.2493374855265302E-3</v>
      </c>
      <c r="T21" s="8">
        <v>0.13</v>
      </c>
      <c r="U21" s="17">
        <f t="shared" si="14"/>
        <v>112999.99999999999</v>
      </c>
      <c r="V21" s="8">
        <f t="shared" si="1"/>
        <v>15.568216901408448</v>
      </c>
      <c r="W21" s="8">
        <f t="shared" si="15"/>
        <v>389.01721424559361</v>
      </c>
      <c r="X21" s="17">
        <f t="shared" si="16"/>
        <v>2.2978790666026999E-14</v>
      </c>
      <c r="Y21" s="17">
        <f t="shared" si="17"/>
        <v>13837827739.081459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</row>
    <row r="22" spans="1:76" s="3" customFormat="1" x14ac:dyDescent="0.25">
      <c r="A22" s="14">
        <v>60</v>
      </c>
      <c r="B22" s="14">
        <f t="shared" si="2"/>
        <v>1</v>
      </c>
      <c r="C22" s="14">
        <v>20</v>
      </c>
      <c r="D22" s="14">
        <f t="shared" si="0"/>
        <v>29.146000000000001</v>
      </c>
      <c r="E22" s="14">
        <f t="shared" si="3"/>
        <v>4.8576666666666667E-7</v>
      </c>
      <c r="F22" s="14">
        <v>21.1</v>
      </c>
      <c r="G22" s="14">
        <f t="shared" si="4"/>
        <v>294.10000000000002</v>
      </c>
      <c r="H22" s="14">
        <v>101.3</v>
      </c>
      <c r="I22" s="14">
        <f t="shared" si="5"/>
        <v>101300</v>
      </c>
      <c r="J22" s="14">
        <f t="shared" si="6"/>
        <v>2.0124824921938581E-5</v>
      </c>
      <c r="K22" s="15">
        <v>143.91267605633806</v>
      </c>
      <c r="L22" s="8">
        <f t="shared" si="7"/>
        <v>1.4391267605633805E-4</v>
      </c>
      <c r="M22" s="14">
        <f t="shared" si="8"/>
        <v>4.7762865441819992E-3</v>
      </c>
      <c r="N22" s="25">
        <f t="shared" si="9"/>
        <v>6.0637429996936682E-7</v>
      </c>
      <c r="O22" s="8">
        <f t="shared" si="10"/>
        <v>2.032E-3</v>
      </c>
      <c r="P22" s="8">
        <f t="shared" si="11"/>
        <v>7.4761453484195898E-11</v>
      </c>
      <c r="Q22" s="8">
        <v>0.33</v>
      </c>
      <c r="R22" s="17">
        <f t="shared" si="12"/>
        <v>133000</v>
      </c>
      <c r="S22" s="8">
        <f t="shared" si="13"/>
        <v>5.2493374855265302E-3</v>
      </c>
      <c r="T22" s="8">
        <v>0.13</v>
      </c>
      <c r="U22" s="17">
        <f t="shared" si="14"/>
        <v>112999.99999999999</v>
      </c>
      <c r="V22" s="8">
        <f t="shared" si="1"/>
        <v>16.262132394366198</v>
      </c>
      <c r="W22" s="8">
        <f t="shared" si="15"/>
        <v>420.81412995427519</v>
      </c>
      <c r="X22" s="17">
        <f t="shared" si="16"/>
        <v>2.4008771227552627E-14</v>
      </c>
      <c r="Y22" s="17">
        <f t="shared" si="17"/>
        <v>14458082033.232193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</row>
    <row r="23" spans="1:76" s="3" customFormat="1" x14ac:dyDescent="0.25">
      <c r="A23" s="14">
        <v>63</v>
      </c>
      <c r="B23" s="14">
        <f t="shared" si="2"/>
        <v>1.05</v>
      </c>
      <c r="C23" s="14">
        <v>20</v>
      </c>
      <c r="D23" s="14">
        <f t="shared" si="0"/>
        <v>29.146000000000001</v>
      </c>
      <c r="E23" s="14">
        <f t="shared" si="3"/>
        <v>4.8576666666666667E-7</v>
      </c>
      <c r="F23" s="14">
        <v>21.1</v>
      </c>
      <c r="G23" s="14">
        <f t="shared" si="4"/>
        <v>294.10000000000002</v>
      </c>
      <c r="H23" s="14">
        <v>101.3</v>
      </c>
      <c r="I23" s="14">
        <f t="shared" si="5"/>
        <v>101300</v>
      </c>
      <c r="J23" s="14">
        <f t="shared" si="6"/>
        <v>2.0124824921938581E-5</v>
      </c>
      <c r="K23" s="15">
        <v>155.37746478873242</v>
      </c>
      <c r="L23" s="8">
        <f t="shared" si="7"/>
        <v>1.5537746478873243E-4</v>
      </c>
      <c r="M23" s="14">
        <f t="shared" si="8"/>
        <v>4.7762865441819992E-3</v>
      </c>
      <c r="N23" s="25">
        <f t="shared" si="9"/>
        <v>6.5468104703576715E-7</v>
      </c>
      <c r="O23" s="8">
        <f t="shared" si="10"/>
        <v>2.032E-3</v>
      </c>
      <c r="P23" s="8">
        <f t="shared" si="11"/>
        <v>7.4761453484195898E-11</v>
      </c>
      <c r="Q23" s="8">
        <v>0.33</v>
      </c>
      <c r="R23" s="17">
        <f t="shared" si="12"/>
        <v>133000</v>
      </c>
      <c r="S23" s="8">
        <f t="shared" si="13"/>
        <v>5.2493374855265302E-3</v>
      </c>
      <c r="T23" s="8">
        <v>0.13</v>
      </c>
      <c r="U23" s="17">
        <f t="shared" si="14"/>
        <v>112999.99999999999</v>
      </c>
      <c r="V23" s="8">
        <f t="shared" si="1"/>
        <v>17.557653521126763</v>
      </c>
      <c r="W23" s="8">
        <f t="shared" si="15"/>
        <v>483.30827915892758</v>
      </c>
      <c r="X23" s="17">
        <f t="shared" si="16"/>
        <v>2.5933651954639951E-14</v>
      </c>
      <c r="Y23" s="17">
        <f t="shared" si="17"/>
        <v>15617245207.084179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</row>
    <row r="24" spans="1:76" s="3" customFormat="1" x14ac:dyDescent="0.25">
      <c r="A24" s="14">
        <v>66</v>
      </c>
      <c r="B24" s="14">
        <f t="shared" si="2"/>
        <v>1.1000000000000001</v>
      </c>
      <c r="C24" s="14">
        <v>20</v>
      </c>
      <c r="D24" s="14">
        <f t="shared" si="0"/>
        <v>29.146000000000001</v>
      </c>
      <c r="E24" s="14">
        <f t="shared" si="3"/>
        <v>4.8576666666666667E-7</v>
      </c>
      <c r="F24" s="14">
        <v>21.1</v>
      </c>
      <c r="G24" s="14">
        <f t="shared" si="4"/>
        <v>294.10000000000002</v>
      </c>
      <c r="H24" s="14">
        <v>101.3</v>
      </c>
      <c r="I24" s="14">
        <f t="shared" si="5"/>
        <v>101300</v>
      </c>
      <c r="J24" s="14">
        <f t="shared" si="6"/>
        <v>2.0124824921938581E-5</v>
      </c>
      <c r="K24" s="15">
        <v>154.95492957746478</v>
      </c>
      <c r="L24" s="8">
        <f t="shared" si="7"/>
        <v>1.5495492957746479E-4</v>
      </c>
      <c r="M24" s="14">
        <f t="shared" si="8"/>
        <v>4.7762865441819992E-3</v>
      </c>
      <c r="N24" s="25">
        <f t="shared" si="9"/>
        <v>6.5290070009228776E-7</v>
      </c>
      <c r="O24" s="8">
        <f t="shared" si="10"/>
        <v>2.032E-3</v>
      </c>
      <c r="P24" s="8">
        <f t="shared" si="11"/>
        <v>7.4761453484195898E-11</v>
      </c>
      <c r="Q24" s="8">
        <v>0.33</v>
      </c>
      <c r="R24" s="17">
        <f t="shared" si="12"/>
        <v>133000</v>
      </c>
      <c r="S24" s="8">
        <f t="shared" si="13"/>
        <v>5.2493374855265302E-3</v>
      </c>
      <c r="T24" s="8">
        <v>0.13</v>
      </c>
      <c r="U24" s="17">
        <f t="shared" si="14"/>
        <v>112999.99999999999</v>
      </c>
      <c r="V24" s="8">
        <f t="shared" si="1"/>
        <v>17.50990704225352</v>
      </c>
      <c r="W24" s="8">
        <f t="shared" si="15"/>
        <v>480.93291378361221</v>
      </c>
      <c r="X24" s="17">
        <f t="shared" si="16"/>
        <v>2.5862664103205432E-14</v>
      </c>
      <c r="Y24" s="17">
        <f t="shared" si="17"/>
        <v>15574496322.950312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</row>
    <row r="25" spans="1:76" s="3" customFormat="1" x14ac:dyDescent="0.25">
      <c r="A25" s="14">
        <v>69</v>
      </c>
      <c r="B25" s="14">
        <f t="shared" si="2"/>
        <v>1.1499999999999999</v>
      </c>
      <c r="C25" s="14">
        <v>20</v>
      </c>
      <c r="D25" s="14">
        <f t="shared" si="0"/>
        <v>29.146000000000001</v>
      </c>
      <c r="E25" s="14">
        <f t="shared" si="3"/>
        <v>4.8576666666666667E-7</v>
      </c>
      <c r="F25" s="14">
        <v>21.1</v>
      </c>
      <c r="G25" s="14">
        <f t="shared" si="4"/>
        <v>294.10000000000002</v>
      </c>
      <c r="H25" s="14">
        <v>101.3</v>
      </c>
      <c r="I25" s="14">
        <f t="shared" si="5"/>
        <v>101300</v>
      </c>
      <c r="J25" s="14">
        <f t="shared" si="6"/>
        <v>2.0124824921938581E-5</v>
      </c>
      <c r="K25" s="15">
        <v>159.65915492957748</v>
      </c>
      <c r="L25" s="8">
        <f t="shared" si="7"/>
        <v>1.5965915492957748E-4</v>
      </c>
      <c r="M25" s="14">
        <f t="shared" si="8"/>
        <v>4.7762865441819992E-3</v>
      </c>
      <c r="N25" s="25">
        <f t="shared" si="9"/>
        <v>6.7272189606302216E-7</v>
      </c>
      <c r="O25" s="8">
        <f t="shared" si="10"/>
        <v>2.032E-3</v>
      </c>
      <c r="P25" s="8">
        <f t="shared" si="11"/>
        <v>7.4761453484195898E-11</v>
      </c>
      <c r="Q25" s="8">
        <v>0.33</v>
      </c>
      <c r="R25" s="17">
        <f t="shared" si="12"/>
        <v>133000</v>
      </c>
      <c r="S25" s="8">
        <f t="shared" si="13"/>
        <v>5.2493374855265302E-3</v>
      </c>
      <c r="T25" s="8">
        <v>0.13</v>
      </c>
      <c r="U25" s="17">
        <f t="shared" si="14"/>
        <v>112999.99999999999</v>
      </c>
      <c r="V25" s="8">
        <f t="shared" si="1"/>
        <v>18.041484507042252</v>
      </c>
      <c r="W25" s="8">
        <f t="shared" si="15"/>
        <v>507.68927920413665</v>
      </c>
      <c r="X25" s="17">
        <f t="shared" si="16"/>
        <v>2.6653201586768224E-14</v>
      </c>
      <c r="Y25" s="17">
        <f t="shared" si="17"/>
        <v>16050557995.551825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</row>
    <row r="26" spans="1:76" s="3" customFormat="1" x14ac:dyDescent="0.25">
      <c r="A26" s="14">
        <v>72</v>
      </c>
      <c r="B26" s="14">
        <f t="shared" si="2"/>
        <v>1.2</v>
      </c>
      <c r="C26" s="14">
        <v>20</v>
      </c>
      <c r="D26" s="14">
        <f t="shared" si="0"/>
        <v>29.146000000000001</v>
      </c>
      <c r="E26" s="14">
        <f t="shared" si="3"/>
        <v>4.8576666666666667E-7</v>
      </c>
      <c r="F26" s="14">
        <v>21.1</v>
      </c>
      <c r="G26" s="14">
        <f t="shared" si="4"/>
        <v>294.10000000000002</v>
      </c>
      <c r="H26" s="14">
        <v>101.3</v>
      </c>
      <c r="I26" s="14">
        <f t="shared" si="5"/>
        <v>101300</v>
      </c>
      <c r="J26" s="14">
        <f t="shared" si="6"/>
        <v>2.0124824921938581E-5</v>
      </c>
      <c r="K26" s="15">
        <v>165.65915492957745</v>
      </c>
      <c r="L26" s="8">
        <f t="shared" si="7"/>
        <v>1.6565915492957746E-4</v>
      </c>
      <c r="M26" s="14">
        <f t="shared" si="8"/>
        <v>4.7762865441819992E-3</v>
      </c>
      <c r="N26" s="25">
        <f t="shared" si="9"/>
        <v>6.9800282266042566E-7</v>
      </c>
      <c r="O26" s="8">
        <f t="shared" si="10"/>
        <v>2.032E-3</v>
      </c>
      <c r="P26" s="8">
        <f t="shared" si="11"/>
        <v>7.4761453484195898E-11</v>
      </c>
      <c r="Q26" s="8">
        <v>0.33</v>
      </c>
      <c r="R26" s="17">
        <f t="shared" si="12"/>
        <v>133000</v>
      </c>
      <c r="S26" s="8">
        <f t="shared" si="13"/>
        <v>5.2493374855265302E-3</v>
      </c>
      <c r="T26" s="8">
        <v>0.13</v>
      </c>
      <c r="U26" s="17">
        <f t="shared" si="14"/>
        <v>112999.99999999999</v>
      </c>
      <c r="V26" s="8">
        <f t="shared" si="1"/>
        <v>18.71948450704225</v>
      </c>
      <c r="W26" s="8">
        <f t="shared" si="15"/>
        <v>542.80455955177035</v>
      </c>
      <c r="X26" s="17">
        <f t="shared" si="16"/>
        <v>2.7662161876604356E-14</v>
      </c>
      <c r="Y26" s="17">
        <f t="shared" si="17"/>
        <v>16658153882.091145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</row>
    <row r="27" spans="1:76" s="3" customFormat="1" x14ac:dyDescent="0.25">
      <c r="A27" s="14">
        <v>75</v>
      </c>
      <c r="B27" s="14">
        <f t="shared" si="2"/>
        <v>1.25</v>
      </c>
      <c r="C27" s="14">
        <v>20</v>
      </c>
      <c r="D27" s="14">
        <f t="shared" si="0"/>
        <v>29.146000000000001</v>
      </c>
      <c r="E27" s="14">
        <f t="shared" si="3"/>
        <v>4.8576666666666667E-7</v>
      </c>
      <c r="F27" s="14">
        <v>21.1</v>
      </c>
      <c r="G27" s="14">
        <f t="shared" si="4"/>
        <v>294.10000000000002</v>
      </c>
      <c r="H27" s="14">
        <v>101.3</v>
      </c>
      <c r="I27" s="14">
        <f t="shared" si="5"/>
        <v>101300</v>
      </c>
      <c r="J27" s="14">
        <f t="shared" si="6"/>
        <v>2.0124824921938581E-5</v>
      </c>
      <c r="K27" s="15">
        <v>160.25070422535214</v>
      </c>
      <c r="L27" s="8">
        <f t="shared" si="7"/>
        <v>1.6025070422535212E-4</v>
      </c>
      <c r="M27" s="14">
        <f t="shared" si="8"/>
        <v>4.7762865441819992E-3</v>
      </c>
      <c r="N27" s="25">
        <f t="shared" si="9"/>
        <v>6.7521438178389287E-7</v>
      </c>
      <c r="O27" s="8">
        <f t="shared" si="10"/>
        <v>2.032E-3</v>
      </c>
      <c r="P27" s="8">
        <f t="shared" si="11"/>
        <v>7.4761453484195898E-11</v>
      </c>
      <c r="Q27" s="8">
        <v>0.33</v>
      </c>
      <c r="R27" s="17">
        <f t="shared" si="12"/>
        <v>133000</v>
      </c>
      <c r="S27" s="8">
        <f t="shared" si="13"/>
        <v>5.2493374855265302E-3</v>
      </c>
      <c r="T27" s="8">
        <v>0.13</v>
      </c>
      <c r="U27" s="17">
        <f t="shared" si="14"/>
        <v>112999.99999999999</v>
      </c>
      <c r="V27" s="8">
        <f t="shared" si="1"/>
        <v>18.108329577464787</v>
      </c>
      <c r="W27" s="8">
        <f t="shared" si="15"/>
        <v>511.10212770204697</v>
      </c>
      <c r="X27" s="17">
        <f t="shared" si="16"/>
        <v>2.6752642840165958E-14</v>
      </c>
      <c r="Y27" s="17">
        <f t="shared" si="17"/>
        <v>16110441518.34794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</row>
    <row r="28" spans="1:76" s="3" customFormat="1" x14ac:dyDescent="0.25">
      <c r="A28" s="14">
        <v>78</v>
      </c>
      <c r="B28" s="14">
        <f t="shared" si="2"/>
        <v>1.3</v>
      </c>
      <c r="C28" s="14">
        <v>20</v>
      </c>
      <c r="D28" s="14">
        <f t="shared" si="0"/>
        <v>29.146000000000001</v>
      </c>
      <c r="E28" s="14">
        <f t="shared" si="3"/>
        <v>4.8576666666666667E-7</v>
      </c>
      <c r="F28" s="14">
        <v>21.1</v>
      </c>
      <c r="G28" s="14">
        <f t="shared" si="4"/>
        <v>294.10000000000002</v>
      </c>
      <c r="H28" s="14">
        <v>101.3</v>
      </c>
      <c r="I28" s="14">
        <f t="shared" si="5"/>
        <v>101300</v>
      </c>
      <c r="J28" s="14">
        <f t="shared" si="6"/>
        <v>2.0124824921938581E-5</v>
      </c>
      <c r="K28" s="15">
        <v>167.26478873239438</v>
      </c>
      <c r="L28" s="8">
        <f t="shared" si="7"/>
        <v>1.6726478873239437E-4</v>
      </c>
      <c r="M28" s="14">
        <f t="shared" si="8"/>
        <v>4.7762865441819992E-3</v>
      </c>
      <c r="N28" s="25">
        <f t="shared" si="9"/>
        <v>7.0476814104564635E-7</v>
      </c>
      <c r="O28" s="8">
        <f t="shared" si="10"/>
        <v>2.032E-3</v>
      </c>
      <c r="P28" s="8">
        <f t="shared" si="11"/>
        <v>7.4761453484195898E-11</v>
      </c>
      <c r="Q28" s="8">
        <v>0.33</v>
      </c>
      <c r="R28" s="17">
        <f t="shared" si="12"/>
        <v>133000</v>
      </c>
      <c r="S28" s="8">
        <f t="shared" si="13"/>
        <v>5.2493374855265302E-3</v>
      </c>
      <c r="T28" s="8">
        <v>0.13</v>
      </c>
      <c r="U28" s="17">
        <f t="shared" si="14"/>
        <v>112999.99999999999</v>
      </c>
      <c r="V28" s="8">
        <f t="shared" si="1"/>
        <v>18.900921126760561</v>
      </c>
      <c r="W28" s="8">
        <f t="shared" si="15"/>
        <v>552.38928499769452</v>
      </c>
      <c r="X28" s="17">
        <f t="shared" si="16"/>
        <v>2.7932295655800086E-14</v>
      </c>
      <c r="Y28" s="17">
        <f t="shared" si="17"/>
        <v>16820828443.922813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</row>
    <row r="29" spans="1:76" s="3" customFormat="1" x14ac:dyDescent="0.25">
      <c r="A29" s="14">
        <v>81</v>
      </c>
      <c r="B29" s="14">
        <f t="shared" si="2"/>
        <v>1.35</v>
      </c>
      <c r="C29" s="14">
        <v>20</v>
      </c>
      <c r="D29" s="14">
        <f t="shared" si="0"/>
        <v>29.146000000000001</v>
      </c>
      <c r="E29" s="14">
        <f t="shared" si="3"/>
        <v>4.8576666666666667E-7</v>
      </c>
      <c r="F29" s="14">
        <v>21.1</v>
      </c>
      <c r="G29" s="14">
        <f t="shared" si="4"/>
        <v>294.10000000000002</v>
      </c>
      <c r="H29" s="14">
        <v>101.3</v>
      </c>
      <c r="I29" s="14">
        <f t="shared" si="5"/>
        <v>101300</v>
      </c>
      <c r="J29" s="14">
        <f t="shared" si="6"/>
        <v>2.0124824921938581E-5</v>
      </c>
      <c r="K29" s="15">
        <v>174.8704225352113</v>
      </c>
      <c r="L29" s="8">
        <f t="shared" si="7"/>
        <v>1.7487042253521131E-4</v>
      </c>
      <c r="M29" s="14">
        <f t="shared" si="8"/>
        <v>4.7762865441819992E-3</v>
      </c>
      <c r="N29" s="25">
        <f t="shared" si="9"/>
        <v>7.3681438602827075E-7</v>
      </c>
      <c r="O29" s="8">
        <f t="shared" si="10"/>
        <v>2.032E-3</v>
      </c>
      <c r="P29" s="8">
        <f t="shared" si="11"/>
        <v>7.4761453484195898E-11</v>
      </c>
      <c r="Q29" s="8">
        <v>0.33</v>
      </c>
      <c r="R29" s="17">
        <f t="shared" si="12"/>
        <v>133000</v>
      </c>
      <c r="S29" s="8">
        <f t="shared" si="13"/>
        <v>5.2493374855265302E-3</v>
      </c>
      <c r="T29" s="8">
        <v>0.13</v>
      </c>
      <c r="U29" s="17">
        <f t="shared" si="14"/>
        <v>112999.99999999999</v>
      </c>
      <c r="V29" s="8">
        <f t="shared" si="1"/>
        <v>19.760357746478874</v>
      </c>
      <c r="W29" s="8">
        <f t="shared" si="15"/>
        <v>598.86491845176158</v>
      </c>
      <c r="X29" s="17">
        <f t="shared" si="16"/>
        <v>2.9212645148934534E-14</v>
      </c>
      <c r="Y29" s="17">
        <f t="shared" si="17"/>
        <v>17591854908.688377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</row>
    <row r="30" spans="1:76" s="3" customFormat="1" x14ac:dyDescent="0.25">
      <c r="A30" s="14">
        <v>84</v>
      </c>
      <c r="B30" s="14">
        <f t="shared" si="2"/>
        <v>1.4</v>
      </c>
      <c r="C30" s="14">
        <v>20</v>
      </c>
      <c r="D30" s="14">
        <f t="shared" si="0"/>
        <v>29.146000000000001</v>
      </c>
      <c r="E30" s="14">
        <f t="shared" si="3"/>
        <v>4.8576666666666667E-7</v>
      </c>
      <c r="F30" s="14">
        <v>21.1</v>
      </c>
      <c r="G30" s="14">
        <f t="shared" si="4"/>
        <v>294.10000000000002</v>
      </c>
      <c r="H30" s="14">
        <v>101.3</v>
      </c>
      <c r="I30" s="14">
        <f t="shared" si="5"/>
        <v>101300</v>
      </c>
      <c r="J30" s="14">
        <f t="shared" si="6"/>
        <v>2.0124824921938581E-5</v>
      </c>
      <c r="K30" s="15">
        <v>174.30704225352113</v>
      </c>
      <c r="L30" s="8">
        <f t="shared" si="7"/>
        <v>1.7430704225352114E-4</v>
      </c>
      <c r="M30" s="14">
        <f t="shared" si="8"/>
        <v>4.7762865441819992E-3</v>
      </c>
      <c r="N30" s="25">
        <f t="shared" si="9"/>
        <v>7.344405901036317E-7</v>
      </c>
      <c r="O30" s="8">
        <f t="shared" si="10"/>
        <v>2.032E-3</v>
      </c>
      <c r="P30" s="8">
        <f t="shared" si="11"/>
        <v>7.4761453484195898E-11</v>
      </c>
      <c r="Q30" s="8">
        <v>0.33</v>
      </c>
      <c r="R30" s="17">
        <f t="shared" si="12"/>
        <v>133000</v>
      </c>
      <c r="S30" s="8">
        <f t="shared" si="13"/>
        <v>5.2493374855265302E-3</v>
      </c>
      <c r="T30" s="8">
        <v>0.13</v>
      </c>
      <c r="U30" s="17">
        <f t="shared" si="14"/>
        <v>112999.99999999999</v>
      </c>
      <c r="V30" s="8">
        <f t="shared" si="1"/>
        <v>19.696695774647885</v>
      </c>
      <c r="W30" s="8">
        <f t="shared" si="15"/>
        <v>595.36151368168396</v>
      </c>
      <c r="X30" s="17">
        <f t="shared" si="16"/>
        <v>2.9117760258237473E-14</v>
      </c>
      <c r="Y30" s="17">
        <f t="shared" si="17"/>
        <v>17534715227.510605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</row>
    <row r="31" spans="1:76" s="3" customFormat="1" x14ac:dyDescent="0.25">
      <c r="A31" s="14">
        <v>87</v>
      </c>
      <c r="B31" s="14">
        <f t="shared" si="2"/>
        <v>1.45</v>
      </c>
      <c r="C31" s="14">
        <v>20</v>
      </c>
      <c r="D31" s="14">
        <f t="shared" si="0"/>
        <v>29.146000000000001</v>
      </c>
      <c r="E31" s="14">
        <f t="shared" si="3"/>
        <v>4.8576666666666667E-7</v>
      </c>
      <c r="F31" s="14">
        <v>21.1</v>
      </c>
      <c r="G31" s="14">
        <f t="shared" si="4"/>
        <v>294.10000000000002</v>
      </c>
      <c r="H31" s="14">
        <v>101.3</v>
      </c>
      <c r="I31" s="14">
        <f t="shared" si="5"/>
        <v>101300</v>
      </c>
      <c r="J31" s="14">
        <f t="shared" si="6"/>
        <v>2.0124824921938581E-5</v>
      </c>
      <c r="K31" s="15">
        <v>173.94084507042254</v>
      </c>
      <c r="L31" s="8">
        <f t="shared" si="7"/>
        <v>1.7394084507042255E-4</v>
      </c>
      <c r="M31" s="14">
        <f t="shared" si="8"/>
        <v>4.7762865441819992E-3</v>
      </c>
      <c r="N31" s="25">
        <f t="shared" si="9"/>
        <v>7.3289762275261647E-7</v>
      </c>
      <c r="O31" s="8">
        <f t="shared" si="10"/>
        <v>2.032E-3</v>
      </c>
      <c r="P31" s="8">
        <f t="shared" si="11"/>
        <v>7.4761453484195898E-11</v>
      </c>
      <c r="Q31" s="8">
        <v>0.33</v>
      </c>
      <c r="R31" s="17">
        <f t="shared" si="12"/>
        <v>133000</v>
      </c>
      <c r="S31" s="8">
        <f t="shared" si="13"/>
        <v>5.2493374855265302E-3</v>
      </c>
      <c r="T31" s="8">
        <v>0.13</v>
      </c>
      <c r="U31" s="17">
        <f t="shared" si="14"/>
        <v>112999.99999999999</v>
      </c>
      <c r="V31" s="8">
        <f t="shared" si="1"/>
        <v>19.655315492957747</v>
      </c>
      <c r="W31" s="8">
        <f t="shared" si="15"/>
        <v>593.08950941647822</v>
      </c>
      <c r="X31" s="17">
        <f t="shared" si="16"/>
        <v>2.90560889149528E-14</v>
      </c>
      <c r="Y31" s="17">
        <f t="shared" si="17"/>
        <v>17497576744.584576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</row>
    <row r="32" spans="1:76" s="3" customFormat="1" x14ac:dyDescent="0.25">
      <c r="A32" s="14">
        <v>90</v>
      </c>
      <c r="B32" s="14">
        <f t="shared" si="2"/>
        <v>1.5</v>
      </c>
      <c r="C32" s="14">
        <v>20</v>
      </c>
      <c r="D32" s="14">
        <f t="shared" si="0"/>
        <v>29.146000000000001</v>
      </c>
      <c r="E32" s="14">
        <f t="shared" si="3"/>
        <v>4.8576666666666667E-7</v>
      </c>
      <c r="F32" s="14">
        <v>21.1</v>
      </c>
      <c r="G32" s="14">
        <f t="shared" si="4"/>
        <v>294.10000000000002</v>
      </c>
      <c r="H32" s="14">
        <v>101.3</v>
      </c>
      <c r="I32" s="14">
        <f t="shared" si="5"/>
        <v>101300</v>
      </c>
      <c r="J32" s="14">
        <f t="shared" si="6"/>
        <v>2.0124824921938581E-5</v>
      </c>
      <c r="K32" s="15">
        <v>185.68732394366199</v>
      </c>
      <c r="L32" s="8">
        <f t="shared" si="7"/>
        <v>1.8568732394366199E-4</v>
      </c>
      <c r="M32" s="14">
        <f t="shared" si="8"/>
        <v>4.7762865441819992E-3</v>
      </c>
      <c r="N32" s="25">
        <f t="shared" si="9"/>
        <v>7.8239126778133612E-7</v>
      </c>
      <c r="O32" s="8">
        <f t="shared" si="10"/>
        <v>2.032E-3</v>
      </c>
      <c r="P32" s="8">
        <f t="shared" si="11"/>
        <v>7.4761453484195898E-11</v>
      </c>
      <c r="Q32" s="8">
        <v>0.33</v>
      </c>
      <c r="R32" s="17">
        <f t="shared" si="12"/>
        <v>133000</v>
      </c>
      <c r="S32" s="8">
        <f t="shared" si="13"/>
        <v>5.2493374855265302E-3</v>
      </c>
      <c r="T32" s="8">
        <v>0.13</v>
      </c>
      <c r="U32" s="17">
        <f t="shared" si="14"/>
        <v>112999.99999999999</v>
      </c>
      <c r="V32" s="8">
        <f t="shared" si="1"/>
        <v>20.9826676056338</v>
      </c>
      <c r="W32" s="8">
        <f t="shared" si="15"/>
        <v>668.01097077071688</v>
      </c>
      <c r="X32" s="17">
        <f t="shared" si="16"/>
        <v>3.1035850367261075E-14</v>
      </c>
      <c r="Y32" s="17">
        <f t="shared" si="17"/>
        <v>18689789091.164619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</row>
    <row r="33" spans="1:76" s="3" customFormat="1" x14ac:dyDescent="0.25">
      <c r="A33" s="14">
        <v>93</v>
      </c>
      <c r="B33" s="14">
        <f t="shared" si="2"/>
        <v>1.55</v>
      </c>
      <c r="C33" s="14">
        <v>20</v>
      </c>
      <c r="D33" s="14">
        <f t="shared" si="0"/>
        <v>29.146000000000001</v>
      </c>
      <c r="E33" s="14">
        <f t="shared" si="3"/>
        <v>4.8576666666666667E-7</v>
      </c>
      <c r="F33" s="14">
        <v>21.1</v>
      </c>
      <c r="G33" s="14">
        <f t="shared" si="4"/>
        <v>294.10000000000002</v>
      </c>
      <c r="H33" s="14">
        <v>101.3</v>
      </c>
      <c r="I33" s="14">
        <f t="shared" si="5"/>
        <v>101300</v>
      </c>
      <c r="J33" s="14">
        <f t="shared" si="6"/>
        <v>2.0124824921938581E-5</v>
      </c>
      <c r="K33" s="15">
        <v>180.0816901408451</v>
      </c>
      <c r="L33" s="8">
        <f t="shared" si="7"/>
        <v>1.8008169014084509E-4</v>
      </c>
      <c r="M33" s="14">
        <f t="shared" si="8"/>
        <v>4.7762865441819992E-3</v>
      </c>
      <c r="N33" s="25">
        <f t="shared" si="9"/>
        <v>7.5877199833117983E-7</v>
      </c>
      <c r="O33" s="8">
        <f t="shared" si="10"/>
        <v>2.032E-3</v>
      </c>
      <c r="P33" s="8">
        <f t="shared" si="11"/>
        <v>7.4761453484195898E-11</v>
      </c>
      <c r="Q33" s="8">
        <v>0.33</v>
      </c>
      <c r="R33" s="17">
        <f t="shared" si="12"/>
        <v>133000</v>
      </c>
      <c r="S33" s="8">
        <f t="shared" si="13"/>
        <v>5.2493374855265302E-3</v>
      </c>
      <c r="T33" s="8">
        <v>0.13</v>
      </c>
      <c r="U33" s="17">
        <f t="shared" si="14"/>
        <v>112999.99999999999</v>
      </c>
      <c r="V33" s="8">
        <f t="shared" si="1"/>
        <v>20.349230985915494</v>
      </c>
      <c r="W33" s="8">
        <f t="shared" si="15"/>
        <v>631.73150907957358</v>
      </c>
      <c r="X33" s="17">
        <f t="shared" si="16"/>
        <v>3.0090673083639728E-14</v>
      </c>
      <c r="Y33" s="17">
        <f t="shared" si="17"/>
        <v>18120603330.967846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</row>
    <row r="34" spans="1:76" s="3" customFormat="1" x14ac:dyDescent="0.25">
      <c r="A34" s="14">
        <v>96</v>
      </c>
      <c r="B34" s="14">
        <f t="shared" si="2"/>
        <v>1.6</v>
      </c>
      <c r="C34" s="14">
        <v>20</v>
      </c>
      <c r="D34" s="14">
        <f t="shared" si="0"/>
        <v>29.146000000000001</v>
      </c>
      <c r="E34" s="14">
        <f t="shared" si="3"/>
        <v>4.8576666666666667E-7</v>
      </c>
      <c r="F34" s="14">
        <v>21.1</v>
      </c>
      <c r="G34" s="14">
        <f t="shared" si="4"/>
        <v>294.10000000000002</v>
      </c>
      <c r="H34" s="14">
        <v>101.3</v>
      </c>
      <c r="I34" s="14">
        <f t="shared" si="5"/>
        <v>101300</v>
      </c>
      <c r="J34" s="14">
        <f t="shared" si="6"/>
        <v>2.0124824921938581E-5</v>
      </c>
      <c r="K34" s="15">
        <v>173.54647887323944</v>
      </c>
      <c r="L34" s="8">
        <f t="shared" si="7"/>
        <v>1.7354647887323944E-4</v>
      </c>
      <c r="M34" s="14">
        <f t="shared" si="8"/>
        <v>4.7762865441819992E-3</v>
      </c>
      <c r="N34" s="25">
        <f t="shared" si="9"/>
        <v>7.3123596560536926E-7</v>
      </c>
      <c r="O34" s="8">
        <f t="shared" si="10"/>
        <v>2.032E-3</v>
      </c>
      <c r="P34" s="8">
        <f t="shared" si="11"/>
        <v>7.4761453484195898E-11</v>
      </c>
      <c r="Q34" s="8">
        <v>0.33</v>
      </c>
      <c r="R34" s="17">
        <f t="shared" si="12"/>
        <v>133000</v>
      </c>
      <c r="S34" s="8">
        <f t="shared" si="13"/>
        <v>5.2493374855265302E-3</v>
      </c>
      <c r="T34" s="8">
        <v>0.13</v>
      </c>
      <c r="U34" s="17">
        <f t="shared" si="14"/>
        <v>112999.99999999999</v>
      </c>
      <c r="V34" s="8">
        <f t="shared" si="1"/>
        <v>19.610752112676053</v>
      </c>
      <c r="W34" s="8">
        <f t="shared" si="15"/>
        <v>590.64732602695642</v>
      </c>
      <c r="X34" s="17">
        <f t="shared" si="16"/>
        <v>2.8989676994108338E-14</v>
      </c>
      <c r="Y34" s="17">
        <f t="shared" si="17"/>
        <v>17457583485.852043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</row>
    <row r="35" spans="1:76" s="3" customFormat="1" x14ac:dyDescent="0.25">
      <c r="A35" s="14">
        <v>99</v>
      </c>
      <c r="B35" s="14">
        <f t="shared" si="2"/>
        <v>1.65</v>
      </c>
      <c r="C35" s="14">
        <v>20</v>
      </c>
      <c r="D35" s="14">
        <f t="shared" si="0"/>
        <v>29.146000000000001</v>
      </c>
      <c r="E35" s="14">
        <f t="shared" si="3"/>
        <v>4.8576666666666667E-7</v>
      </c>
      <c r="F35" s="14">
        <v>21.1</v>
      </c>
      <c r="G35" s="14">
        <f t="shared" si="4"/>
        <v>294.10000000000002</v>
      </c>
      <c r="H35" s="14">
        <v>101.3</v>
      </c>
      <c r="I35" s="14">
        <f t="shared" si="5"/>
        <v>101300</v>
      </c>
      <c r="J35" s="14">
        <f t="shared" si="6"/>
        <v>2.0124824921938581E-5</v>
      </c>
      <c r="K35" s="15">
        <v>176.56056338028171</v>
      </c>
      <c r="L35" s="8">
        <f t="shared" si="7"/>
        <v>1.7656056338028172E-4</v>
      </c>
      <c r="M35" s="14">
        <f t="shared" si="8"/>
        <v>4.7762865441819992E-3</v>
      </c>
      <c r="N35" s="25">
        <f t="shared" si="9"/>
        <v>7.4393577380218715E-7</v>
      </c>
      <c r="O35" s="8">
        <f t="shared" si="10"/>
        <v>2.032E-3</v>
      </c>
      <c r="P35" s="8">
        <f t="shared" si="11"/>
        <v>7.4761453484195898E-11</v>
      </c>
      <c r="Q35" s="8">
        <v>0.33</v>
      </c>
      <c r="R35" s="17">
        <f t="shared" si="12"/>
        <v>133000</v>
      </c>
      <c r="S35" s="8">
        <f t="shared" si="13"/>
        <v>5.2493374855265302E-3</v>
      </c>
      <c r="T35" s="8">
        <v>0.13</v>
      </c>
      <c r="U35" s="17">
        <f t="shared" si="14"/>
        <v>112999.99999999999</v>
      </c>
      <c r="V35" s="8">
        <f t="shared" si="1"/>
        <v>19.951343661971833</v>
      </c>
      <c r="W35" s="8">
        <f t="shared" si="15"/>
        <v>609.43339268215209</v>
      </c>
      <c r="X35" s="17">
        <f t="shared" si="16"/>
        <v>2.9497342932499759E-14</v>
      </c>
      <c r="Y35" s="17">
        <f t="shared" si="17"/>
        <v>17763299913.951355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</row>
    <row r="36" spans="1:76" s="3" customFormat="1" x14ac:dyDescent="0.25">
      <c r="A36" s="14">
        <v>102</v>
      </c>
      <c r="B36" s="14">
        <f t="shared" si="2"/>
        <v>1.7</v>
      </c>
      <c r="C36" s="14">
        <v>20</v>
      </c>
      <c r="D36" s="14">
        <f t="shared" si="0"/>
        <v>29.146000000000001</v>
      </c>
      <c r="E36" s="14">
        <f t="shared" si="3"/>
        <v>4.8576666666666667E-7</v>
      </c>
      <c r="F36" s="14">
        <v>21.1</v>
      </c>
      <c r="G36" s="14">
        <f t="shared" si="4"/>
        <v>294.10000000000002</v>
      </c>
      <c r="H36" s="14">
        <v>101.3</v>
      </c>
      <c r="I36" s="14">
        <f t="shared" si="5"/>
        <v>101300</v>
      </c>
      <c r="J36" s="14">
        <f t="shared" si="6"/>
        <v>2.0124824921938581E-5</v>
      </c>
      <c r="K36" s="15">
        <v>174.9267605633803</v>
      </c>
      <c r="L36" s="8">
        <f t="shared" si="7"/>
        <v>1.7492676056338029E-4</v>
      </c>
      <c r="M36" s="14">
        <f t="shared" si="8"/>
        <v>4.7762865441819992E-3</v>
      </c>
      <c r="N36" s="25">
        <f t="shared" si="9"/>
        <v>7.3705176562073449E-7</v>
      </c>
      <c r="O36" s="8">
        <f t="shared" si="10"/>
        <v>2.032E-3</v>
      </c>
      <c r="P36" s="8">
        <f t="shared" si="11"/>
        <v>7.4761453484195898E-11</v>
      </c>
      <c r="Q36" s="8">
        <v>0.33</v>
      </c>
      <c r="R36" s="17">
        <f t="shared" si="12"/>
        <v>133000</v>
      </c>
      <c r="S36" s="8">
        <f t="shared" si="13"/>
        <v>5.2493374855265302E-3</v>
      </c>
      <c r="T36" s="8">
        <v>0.13</v>
      </c>
      <c r="U36" s="17">
        <f t="shared" si="14"/>
        <v>112999.99999999999</v>
      </c>
      <c r="V36" s="8">
        <f t="shared" si="1"/>
        <v>19.766723943661969</v>
      </c>
      <c r="W36" s="8">
        <f t="shared" si="15"/>
        <v>599.21579309643994</v>
      </c>
      <c r="X36" s="17">
        <f t="shared" si="16"/>
        <v>2.9222134032078481E-14</v>
      </c>
      <c r="Y36" s="17">
        <f t="shared" si="17"/>
        <v>17597569114.117661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</row>
    <row r="37" spans="1:76" s="3" customFormat="1" x14ac:dyDescent="0.25">
      <c r="A37" s="14">
        <v>105</v>
      </c>
      <c r="B37" s="14">
        <f t="shared" si="2"/>
        <v>1.75</v>
      </c>
      <c r="C37" s="14">
        <v>20</v>
      </c>
      <c r="D37" s="14">
        <f t="shared" si="0"/>
        <v>29.146000000000001</v>
      </c>
      <c r="E37" s="14">
        <f t="shared" si="3"/>
        <v>4.8576666666666667E-7</v>
      </c>
      <c r="F37" s="14">
        <v>21.1</v>
      </c>
      <c r="G37" s="14">
        <f t="shared" si="4"/>
        <v>294.10000000000002</v>
      </c>
      <c r="H37" s="14">
        <v>101.3</v>
      </c>
      <c r="I37" s="14">
        <f t="shared" si="5"/>
        <v>101300</v>
      </c>
      <c r="J37" s="14">
        <f t="shared" si="6"/>
        <v>2.0124824921938581E-5</v>
      </c>
      <c r="K37" s="15">
        <v>178.10985915492958</v>
      </c>
      <c r="L37" s="8">
        <f t="shared" si="7"/>
        <v>1.7810985915492957E-4</v>
      </c>
      <c r="M37" s="14">
        <f t="shared" si="8"/>
        <v>4.7762865441819992E-3</v>
      </c>
      <c r="N37" s="25">
        <f t="shared" si="9"/>
        <v>7.504637125949438E-7</v>
      </c>
      <c r="O37" s="8">
        <f t="shared" si="10"/>
        <v>2.032E-3</v>
      </c>
      <c r="P37" s="8">
        <f t="shared" si="11"/>
        <v>7.4761453484195898E-11</v>
      </c>
      <c r="Q37" s="8">
        <v>0.33</v>
      </c>
      <c r="R37" s="17">
        <f t="shared" si="12"/>
        <v>133000</v>
      </c>
      <c r="S37" s="8">
        <f t="shared" si="13"/>
        <v>5.2493374855265302E-3</v>
      </c>
      <c r="T37" s="8">
        <v>0.13</v>
      </c>
      <c r="U37" s="17">
        <f t="shared" si="14"/>
        <v>112999.99999999999</v>
      </c>
      <c r="V37" s="8">
        <f t="shared" si="1"/>
        <v>20.12641408450704</v>
      </c>
      <c r="W37" s="8">
        <f t="shared" si="15"/>
        <v>619.19789096033639</v>
      </c>
      <c r="X37" s="17">
        <f t="shared" si="16"/>
        <v>2.9758373081976072E-14</v>
      </c>
      <c r="Y37" s="17">
        <f t="shared" si="17"/>
        <v>17920492269.965992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</row>
    <row r="38" spans="1:76" s="3" customFormat="1" x14ac:dyDescent="0.25">
      <c r="A38" s="14">
        <v>108</v>
      </c>
      <c r="B38" s="14">
        <f t="shared" si="2"/>
        <v>1.8</v>
      </c>
      <c r="C38" s="14">
        <v>20</v>
      </c>
      <c r="D38" s="14">
        <f t="shared" si="0"/>
        <v>29.146000000000001</v>
      </c>
      <c r="E38" s="14">
        <f t="shared" si="3"/>
        <v>4.8576666666666667E-7</v>
      </c>
      <c r="F38" s="14">
        <v>21.1</v>
      </c>
      <c r="G38" s="14">
        <f t="shared" si="4"/>
        <v>294.10000000000002</v>
      </c>
      <c r="H38" s="14">
        <v>101.3</v>
      </c>
      <c r="I38" s="14">
        <f t="shared" si="5"/>
        <v>101300</v>
      </c>
      <c r="J38" s="14">
        <f t="shared" si="6"/>
        <v>2.0124824921938581E-5</v>
      </c>
      <c r="K38" s="15">
        <v>182.84225352112676</v>
      </c>
      <c r="L38" s="8">
        <f t="shared" si="7"/>
        <v>1.8284225352112676E-4</v>
      </c>
      <c r="M38" s="14">
        <f t="shared" si="8"/>
        <v>4.7762865441819992E-3</v>
      </c>
      <c r="N38" s="25">
        <f t="shared" si="9"/>
        <v>7.7040359836191007E-7</v>
      </c>
      <c r="O38" s="8">
        <f t="shared" si="10"/>
        <v>2.032E-3</v>
      </c>
      <c r="P38" s="8">
        <f t="shared" si="11"/>
        <v>7.4761453484195898E-11</v>
      </c>
      <c r="Q38" s="8">
        <v>0.33</v>
      </c>
      <c r="R38" s="17">
        <f t="shared" si="12"/>
        <v>133000</v>
      </c>
      <c r="S38" s="8">
        <f t="shared" si="13"/>
        <v>5.2493374855265302E-3</v>
      </c>
      <c r="T38" s="8">
        <v>0.13</v>
      </c>
      <c r="U38" s="17">
        <f t="shared" si="14"/>
        <v>112999.99999999999</v>
      </c>
      <c r="V38" s="8">
        <f t="shared" si="1"/>
        <v>20.661174647887321</v>
      </c>
      <c r="W38" s="8">
        <f t="shared" si="15"/>
        <v>649.47800053752235</v>
      </c>
      <c r="X38" s="17">
        <f t="shared" si="16"/>
        <v>3.05560448630654E-14</v>
      </c>
      <c r="Y38" s="17">
        <f t="shared" si="17"/>
        <v>18400850216.537983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</row>
    <row r="39" spans="1:76" s="3" customFormat="1" x14ac:dyDescent="0.25">
      <c r="A39" s="14">
        <v>111</v>
      </c>
      <c r="B39" s="14">
        <f t="shared" si="2"/>
        <v>1.85</v>
      </c>
      <c r="C39" s="14">
        <v>20</v>
      </c>
      <c r="D39" s="14">
        <f t="shared" si="0"/>
        <v>29.146000000000001</v>
      </c>
      <c r="E39" s="14">
        <f t="shared" si="3"/>
        <v>4.8576666666666667E-7</v>
      </c>
      <c r="F39" s="14">
        <v>21.1</v>
      </c>
      <c r="G39" s="14">
        <f t="shared" si="4"/>
        <v>294.10000000000002</v>
      </c>
      <c r="H39" s="14">
        <v>101.3</v>
      </c>
      <c r="I39" s="14">
        <f t="shared" si="5"/>
        <v>101300</v>
      </c>
      <c r="J39" s="14">
        <f t="shared" si="6"/>
        <v>2.0124824921938581E-5</v>
      </c>
      <c r="K39" s="15">
        <v>175.8</v>
      </c>
      <c r="L39" s="8">
        <f t="shared" si="7"/>
        <v>1.7580000000000002E-4</v>
      </c>
      <c r="M39" s="14">
        <f t="shared" si="8"/>
        <v>4.7762865441819992E-3</v>
      </c>
      <c r="N39" s="25">
        <f t="shared" si="9"/>
        <v>7.4073114930392471E-7</v>
      </c>
      <c r="O39" s="8">
        <f t="shared" si="10"/>
        <v>2.032E-3</v>
      </c>
      <c r="P39" s="8">
        <f t="shared" si="11"/>
        <v>7.4761453484195898E-11</v>
      </c>
      <c r="Q39" s="8">
        <v>0.33</v>
      </c>
      <c r="R39" s="17">
        <f t="shared" si="12"/>
        <v>133000</v>
      </c>
      <c r="S39" s="8">
        <f t="shared" si="13"/>
        <v>5.2493374855265302E-3</v>
      </c>
      <c r="T39" s="8">
        <v>0.13</v>
      </c>
      <c r="U39" s="17">
        <f t="shared" si="14"/>
        <v>112999.99999999999</v>
      </c>
      <c r="V39" s="8">
        <f t="shared" si="1"/>
        <v>19.865400000000001</v>
      </c>
      <c r="W39" s="8">
        <f t="shared" si="15"/>
        <v>604.66676696766501</v>
      </c>
      <c r="X39" s="17">
        <f t="shared" si="16"/>
        <v>2.9369220906708716E-14</v>
      </c>
      <c r="Y39" s="17">
        <f t="shared" si="17"/>
        <v>17686144830.019989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</row>
    <row r="40" spans="1:76" s="3" customFormat="1" x14ac:dyDescent="0.25">
      <c r="A40" s="14">
        <v>114</v>
      </c>
      <c r="B40" s="14">
        <f t="shared" si="2"/>
        <v>1.9</v>
      </c>
      <c r="C40" s="14">
        <v>20</v>
      </c>
      <c r="D40" s="14">
        <f t="shared" si="0"/>
        <v>29.146000000000001</v>
      </c>
      <c r="E40" s="14">
        <f t="shared" si="3"/>
        <v>4.8576666666666667E-7</v>
      </c>
      <c r="F40" s="14">
        <v>21.1</v>
      </c>
      <c r="G40" s="14">
        <f t="shared" si="4"/>
        <v>294.10000000000002</v>
      </c>
      <c r="H40" s="14">
        <v>101.3</v>
      </c>
      <c r="I40" s="14">
        <f t="shared" si="5"/>
        <v>101300</v>
      </c>
      <c r="J40" s="14">
        <f t="shared" si="6"/>
        <v>2.0124824921938581E-5</v>
      </c>
      <c r="K40" s="13">
        <v>195.18028169014084</v>
      </c>
      <c r="L40" s="8">
        <f t="shared" si="7"/>
        <v>1.9518028169014084E-4</v>
      </c>
      <c r="M40" s="14">
        <f t="shared" si="8"/>
        <v>4.7762865441819992E-3</v>
      </c>
      <c r="N40" s="25">
        <f t="shared" si="9"/>
        <v>8.2238972911150042E-7</v>
      </c>
      <c r="O40" s="8">
        <f t="shared" si="10"/>
        <v>2.032E-3</v>
      </c>
      <c r="P40" s="8">
        <f t="shared" si="11"/>
        <v>7.4761453484195898E-11</v>
      </c>
      <c r="Q40" s="8">
        <v>0.33</v>
      </c>
      <c r="R40" s="17">
        <f t="shared" si="12"/>
        <v>133000</v>
      </c>
      <c r="S40" s="8">
        <f t="shared" si="13"/>
        <v>5.2493374855265302E-3</v>
      </c>
      <c r="T40" s="8">
        <v>0.13</v>
      </c>
      <c r="U40" s="17">
        <f t="shared" si="14"/>
        <v>112999.99999999999</v>
      </c>
      <c r="V40" s="8">
        <f t="shared" si="1"/>
        <v>22.055371830985912</v>
      </c>
      <c r="W40" s="8">
        <f t="shared" si="15"/>
        <v>731.63153220225922</v>
      </c>
      <c r="X40" s="22">
        <f t="shared" si="16"/>
        <v>3.2638198253636372E-14</v>
      </c>
      <c r="Y40" s="22">
        <f t="shared" si="17"/>
        <v>19654722988.339825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</row>
    <row r="41" spans="1:76" s="3" customFormat="1" x14ac:dyDescent="0.25">
      <c r="A41" s="14">
        <v>117</v>
      </c>
      <c r="B41" s="14">
        <f t="shared" si="2"/>
        <v>1.95</v>
      </c>
      <c r="C41" s="14">
        <v>20</v>
      </c>
      <c r="D41" s="14">
        <f t="shared" si="0"/>
        <v>29.146000000000001</v>
      </c>
      <c r="E41" s="14">
        <f t="shared" si="3"/>
        <v>4.8576666666666667E-7</v>
      </c>
      <c r="F41" s="14">
        <v>21.1</v>
      </c>
      <c r="G41" s="14">
        <f t="shared" si="4"/>
        <v>294.10000000000002</v>
      </c>
      <c r="H41" s="14">
        <v>101.3</v>
      </c>
      <c r="I41" s="14">
        <f t="shared" si="5"/>
        <v>101300</v>
      </c>
      <c r="J41" s="14">
        <f t="shared" si="6"/>
        <v>2.0124824921938581E-5</v>
      </c>
      <c r="K41" s="13">
        <v>189.96901408450705</v>
      </c>
      <c r="L41" s="8">
        <f t="shared" si="7"/>
        <v>1.8996901408450706E-4</v>
      </c>
      <c r="M41" s="14">
        <f t="shared" si="8"/>
        <v>4.7762865441819992E-3</v>
      </c>
      <c r="N41" s="25">
        <f t="shared" si="9"/>
        <v>8.0043211680859134E-7</v>
      </c>
      <c r="O41" s="8">
        <f t="shared" si="10"/>
        <v>2.032E-3</v>
      </c>
      <c r="P41" s="8">
        <f t="shared" si="11"/>
        <v>7.4761453484195898E-11</v>
      </c>
      <c r="Q41" s="8">
        <v>0.33</v>
      </c>
      <c r="R41" s="17">
        <f t="shared" si="12"/>
        <v>133000</v>
      </c>
      <c r="S41" s="8">
        <f t="shared" si="13"/>
        <v>5.2493374855265302E-3</v>
      </c>
      <c r="T41" s="8">
        <v>0.13</v>
      </c>
      <c r="U41" s="17">
        <f t="shared" si="14"/>
        <v>112999.99999999999</v>
      </c>
      <c r="V41" s="8">
        <f t="shared" si="1"/>
        <v>21.466498591549296</v>
      </c>
      <c r="W41" s="8">
        <f t="shared" si="15"/>
        <v>696.3669524132082</v>
      </c>
      <c r="X41" s="22">
        <f t="shared" si="16"/>
        <v>3.1758298835765248E-14</v>
      </c>
      <c r="Y41" s="22">
        <f t="shared" si="17"/>
        <v>19124847558.897835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 spans="1:76" s="3" customFormat="1" x14ac:dyDescent="0.25">
      <c r="A42" s="14">
        <v>120</v>
      </c>
      <c r="B42" s="14">
        <f t="shared" si="2"/>
        <v>2</v>
      </c>
      <c r="C42" s="14">
        <v>20</v>
      </c>
      <c r="D42" s="14">
        <f t="shared" si="0"/>
        <v>29.146000000000001</v>
      </c>
      <c r="E42" s="14">
        <f t="shared" si="3"/>
        <v>4.8576666666666667E-7</v>
      </c>
      <c r="F42" s="14">
        <v>21.1</v>
      </c>
      <c r="G42" s="14">
        <f t="shared" si="4"/>
        <v>294.10000000000002</v>
      </c>
      <c r="H42" s="14">
        <v>101.3</v>
      </c>
      <c r="I42" s="14">
        <f t="shared" si="5"/>
        <v>101300</v>
      </c>
      <c r="J42" s="14">
        <f t="shared" si="6"/>
        <v>2.0124824921938581E-5</v>
      </c>
      <c r="K42" s="13">
        <v>189.99718309859156</v>
      </c>
      <c r="L42" s="8">
        <f t="shared" si="7"/>
        <v>1.8999718309859156E-4</v>
      </c>
      <c r="M42" s="14">
        <f t="shared" si="8"/>
        <v>4.7762865441819992E-3</v>
      </c>
      <c r="N42" s="25">
        <f t="shared" si="9"/>
        <v>8.005508066048232E-7</v>
      </c>
      <c r="O42" s="8">
        <f t="shared" si="10"/>
        <v>2.032E-3</v>
      </c>
      <c r="P42" s="8">
        <f t="shared" si="11"/>
        <v>7.4761453484195898E-11</v>
      </c>
      <c r="Q42" s="8">
        <v>0.33</v>
      </c>
      <c r="R42" s="17">
        <f t="shared" si="12"/>
        <v>133000</v>
      </c>
      <c r="S42" s="8">
        <f t="shared" si="13"/>
        <v>5.2493374855265302E-3</v>
      </c>
      <c r="T42" s="8">
        <v>0.13</v>
      </c>
      <c r="U42" s="17">
        <f t="shared" si="14"/>
        <v>112999.99999999999</v>
      </c>
      <c r="V42" s="8">
        <f t="shared" si="1"/>
        <v>21.469681690140845</v>
      </c>
      <c r="W42" s="8">
        <f t="shared" si="15"/>
        <v>696.55535244766895</v>
      </c>
      <c r="X42" s="22">
        <f t="shared" si="16"/>
        <v>3.1763053255143978E-14</v>
      </c>
      <c r="Y42" s="22">
        <f t="shared" si="17"/>
        <v>19127710670.247704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</row>
    <row r="43" spans="1:76" s="3" customFormat="1" x14ac:dyDescent="0.25">
      <c r="A43" s="14">
        <v>123</v>
      </c>
      <c r="B43" s="14">
        <f t="shared" si="2"/>
        <v>2.0499999999999998</v>
      </c>
      <c r="C43" s="14">
        <v>20</v>
      </c>
      <c r="D43" s="14">
        <f t="shared" si="0"/>
        <v>29.146000000000001</v>
      </c>
      <c r="E43" s="14">
        <f t="shared" si="3"/>
        <v>4.8576666666666667E-7</v>
      </c>
      <c r="F43" s="14">
        <v>21.1</v>
      </c>
      <c r="G43" s="14">
        <f t="shared" si="4"/>
        <v>294.10000000000002</v>
      </c>
      <c r="H43" s="14">
        <v>101.3</v>
      </c>
      <c r="I43" s="14">
        <f t="shared" si="5"/>
        <v>101300</v>
      </c>
      <c r="J43" s="14">
        <f t="shared" si="6"/>
        <v>2.0124824921938581E-5</v>
      </c>
      <c r="K43" s="13">
        <v>187.68732394366197</v>
      </c>
      <c r="L43" s="8">
        <f t="shared" si="7"/>
        <v>1.8768732394366196E-4</v>
      </c>
      <c r="M43" s="14">
        <f t="shared" si="8"/>
        <v>4.7762865441819992E-3</v>
      </c>
      <c r="N43" s="25">
        <f t="shared" si="9"/>
        <v>7.9081824331380402E-7</v>
      </c>
      <c r="O43" s="8">
        <f t="shared" si="10"/>
        <v>2.032E-3</v>
      </c>
      <c r="P43" s="8">
        <f t="shared" si="11"/>
        <v>7.4761453484195898E-11</v>
      </c>
      <c r="Q43" s="8">
        <v>0.33</v>
      </c>
      <c r="R43" s="17">
        <f t="shared" si="12"/>
        <v>133000</v>
      </c>
      <c r="S43" s="8">
        <f t="shared" si="13"/>
        <v>5.2493374855265302E-3</v>
      </c>
      <c r="T43" s="8">
        <v>0.13</v>
      </c>
      <c r="U43" s="17">
        <f t="shared" si="14"/>
        <v>112999.99999999999</v>
      </c>
      <c r="V43" s="8">
        <f t="shared" si="1"/>
        <v>21.208667605633799</v>
      </c>
      <c r="W43" s="8">
        <f t="shared" si="15"/>
        <v>681.18673425832355</v>
      </c>
      <c r="X43" s="22">
        <f t="shared" si="16"/>
        <v>3.1373254841155584E-14</v>
      </c>
      <c r="Y43" s="22">
        <f t="shared" si="17"/>
        <v>18892974065.343895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 spans="1:76" s="3" customFormat="1" x14ac:dyDescent="0.25">
      <c r="A44" s="14">
        <v>126</v>
      </c>
      <c r="B44" s="14">
        <f t="shared" si="2"/>
        <v>2.1</v>
      </c>
      <c r="C44" s="14">
        <v>20</v>
      </c>
      <c r="D44" s="14">
        <f t="shared" si="0"/>
        <v>29.146000000000001</v>
      </c>
      <c r="E44" s="14">
        <f t="shared" si="3"/>
        <v>4.8576666666666667E-7</v>
      </c>
      <c r="F44" s="14">
        <v>21.1</v>
      </c>
      <c r="G44" s="14">
        <f t="shared" si="4"/>
        <v>294.10000000000002</v>
      </c>
      <c r="H44" s="14">
        <v>101.3</v>
      </c>
      <c r="I44" s="14">
        <f t="shared" si="5"/>
        <v>101300</v>
      </c>
      <c r="J44" s="14">
        <f t="shared" si="6"/>
        <v>2.0124824921938581E-5</v>
      </c>
      <c r="K44" s="13">
        <v>183.49014084507041</v>
      </c>
      <c r="L44" s="8">
        <f t="shared" si="7"/>
        <v>1.8349014084507041E-4</v>
      </c>
      <c r="M44" s="14">
        <f t="shared" si="8"/>
        <v>4.7762865441819992E-3</v>
      </c>
      <c r="N44" s="25">
        <f t="shared" si="9"/>
        <v>7.7313346367524461E-7</v>
      </c>
      <c r="O44" s="8">
        <f t="shared" si="10"/>
        <v>2.032E-3</v>
      </c>
      <c r="P44" s="8">
        <f t="shared" si="11"/>
        <v>7.4761453484195898E-11</v>
      </c>
      <c r="Q44" s="8">
        <v>0.33</v>
      </c>
      <c r="R44" s="17">
        <f t="shared" si="12"/>
        <v>133000</v>
      </c>
      <c r="S44" s="8">
        <f t="shared" si="13"/>
        <v>5.2493374855265302E-3</v>
      </c>
      <c r="T44" s="8">
        <v>0.13</v>
      </c>
      <c r="U44" s="17">
        <f t="shared" si="14"/>
        <v>112999.99999999999</v>
      </c>
      <c r="V44" s="8">
        <f t="shared" si="1"/>
        <v>20.734385915492954</v>
      </c>
      <c r="W44" s="8">
        <f t="shared" si="15"/>
        <v>653.67668005915868</v>
      </c>
      <c r="X44" s="22">
        <f t="shared" si="16"/>
        <v>3.066529065846693E-14</v>
      </c>
      <c r="Y44" s="22">
        <f t="shared" si="17"/>
        <v>18466638034.528786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</row>
    <row r="45" spans="1:76" s="3" customFormat="1" x14ac:dyDescent="0.25">
      <c r="A45" s="14">
        <v>129</v>
      </c>
      <c r="B45" s="14">
        <f t="shared" si="2"/>
        <v>2.15</v>
      </c>
      <c r="C45" s="14">
        <v>20</v>
      </c>
      <c r="D45" s="14">
        <f t="shared" si="0"/>
        <v>29.146000000000001</v>
      </c>
      <c r="E45" s="14">
        <f t="shared" si="3"/>
        <v>4.8576666666666667E-7</v>
      </c>
      <c r="F45" s="14">
        <v>21.1</v>
      </c>
      <c r="G45" s="14">
        <f t="shared" si="4"/>
        <v>294.10000000000002</v>
      </c>
      <c r="H45" s="14">
        <v>101.3</v>
      </c>
      <c r="I45" s="14">
        <f t="shared" si="5"/>
        <v>101300</v>
      </c>
      <c r="J45" s="14">
        <f t="shared" si="6"/>
        <v>2.0124824921938581E-5</v>
      </c>
      <c r="K45" s="13">
        <v>185.7718309859155</v>
      </c>
      <c r="L45" s="8">
        <f t="shared" si="7"/>
        <v>1.8577183098591549E-4</v>
      </c>
      <c r="M45" s="14">
        <f t="shared" si="8"/>
        <v>4.7762865441819992E-3</v>
      </c>
      <c r="N45" s="25">
        <f t="shared" si="9"/>
        <v>7.8274733717003182E-7</v>
      </c>
      <c r="O45" s="8">
        <f t="shared" si="10"/>
        <v>2.032E-3</v>
      </c>
      <c r="P45" s="8">
        <f t="shared" si="11"/>
        <v>7.4761453484195898E-11</v>
      </c>
      <c r="Q45" s="8">
        <v>0.33</v>
      </c>
      <c r="R45" s="17">
        <f t="shared" si="12"/>
        <v>133000</v>
      </c>
      <c r="S45" s="8">
        <f t="shared" si="13"/>
        <v>5.2493374855265302E-3</v>
      </c>
      <c r="T45" s="8">
        <v>0.13</v>
      </c>
      <c r="U45" s="17">
        <f t="shared" si="14"/>
        <v>112999.99999999999</v>
      </c>
      <c r="V45" s="8">
        <f t="shared" si="1"/>
        <v>20.992216901408447</v>
      </c>
      <c r="W45" s="8">
        <f t="shared" si="15"/>
        <v>668.56522783485923</v>
      </c>
      <c r="X45" s="22">
        <f t="shared" si="16"/>
        <v>3.1050104956369729E-14</v>
      </c>
      <c r="Y45" s="22">
        <f t="shared" si="17"/>
        <v>18698373204.725853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</row>
    <row r="46" spans="1:76" s="3" customFormat="1" x14ac:dyDescent="0.25">
      <c r="A46" s="14">
        <v>132</v>
      </c>
      <c r="B46" s="14">
        <f t="shared" si="2"/>
        <v>2.2000000000000002</v>
      </c>
      <c r="C46" s="14">
        <v>20</v>
      </c>
      <c r="D46" s="14">
        <f t="shared" si="0"/>
        <v>29.146000000000001</v>
      </c>
      <c r="E46" s="14">
        <f t="shared" si="3"/>
        <v>4.8576666666666667E-7</v>
      </c>
      <c r="F46" s="14">
        <v>21.1</v>
      </c>
      <c r="G46" s="14">
        <f t="shared" si="4"/>
        <v>294.10000000000002</v>
      </c>
      <c r="H46" s="14">
        <v>101.3</v>
      </c>
      <c r="I46" s="14">
        <f t="shared" si="5"/>
        <v>101300</v>
      </c>
      <c r="J46" s="14">
        <f t="shared" si="6"/>
        <v>2.0124824921938581E-5</v>
      </c>
      <c r="K46" s="13">
        <v>188.9267605633803</v>
      </c>
      <c r="L46" s="8">
        <f t="shared" si="7"/>
        <v>1.889267605633803E-4</v>
      </c>
      <c r="M46" s="14">
        <f t="shared" si="8"/>
        <v>4.7762865441819992E-3</v>
      </c>
      <c r="N46" s="25">
        <f t="shared" si="9"/>
        <v>7.9604059434800948E-7</v>
      </c>
      <c r="O46" s="8">
        <f t="shared" si="10"/>
        <v>2.032E-3</v>
      </c>
      <c r="P46" s="8">
        <f t="shared" si="11"/>
        <v>7.4761453484195898E-11</v>
      </c>
      <c r="Q46" s="8">
        <v>0.33</v>
      </c>
      <c r="R46" s="17">
        <f t="shared" si="12"/>
        <v>133000</v>
      </c>
      <c r="S46" s="8">
        <f t="shared" si="13"/>
        <v>5.2493374855265302E-3</v>
      </c>
      <c r="T46" s="8">
        <v>0.13</v>
      </c>
      <c r="U46" s="17">
        <f t="shared" si="14"/>
        <v>112999.99999999999</v>
      </c>
      <c r="V46" s="8">
        <f t="shared" si="1"/>
        <v>21.34872394366197</v>
      </c>
      <c r="W46" s="8">
        <f t="shared" si="15"/>
        <v>689.41312232283133</v>
      </c>
      <c r="X46" s="22">
        <f t="shared" si="16"/>
        <v>3.1582398888269408E-14</v>
      </c>
      <c r="Y46" s="22">
        <f t="shared" si="17"/>
        <v>19018920610.515839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</row>
    <row r="47" spans="1:76" s="3" customFormat="1" x14ac:dyDescent="0.25">
      <c r="A47" s="14">
        <v>135</v>
      </c>
      <c r="B47" s="14">
        <f t="shared" si="2"/>
        <v>2.25</v>
      </c>
      <c r="C47" s="14">
        <v>20</v>
      </c>
      <c r="D47" s="14">
        <f t="shared" si="0"/>
        <v>29.146000000000001</v>
      </c>
      <c r="E47" s="14">
        <f t="shared" si="3"/>
        <v>4.8576666666666667E-7</v>
      </c>
      <c r="F47" s="14">
        <v>21.1</v>
      </c>
      <c r="G47" s="14">
        <f t="shared" si="4"/>
        <v>294.10000000000002</v>
      </c>
      <c r="H47" s="14">
        <v>101.3</v>
      </c>
      <c r="I47" s="14">
        <f t="shared" si="5"/>
        <v>101300</v>
      </c>
      <c r="J47" s="14">
        <f t="shared" si="6"/>
        <v>2.0124824921938581E-5</v>
      </c>
      <c r="K47" s="13">
        <v>183.82816901408452</v>
      </c>
      <c r="L47" s="8">
        <f t="shared" si="7"/>
        <v>1.8382816901408452E-4</v>
      </c>
      <c r="M47" s="14">
        <f t="shared" si="8"/>
        <v>4.7762865441819992E-3</v>
      </c>
      <c r="N47" s="25">
        <f t="shared" si="9"/>
        <v>7.7455774123002798E-7</v>
      </c>
      <c r="O47" s="8">
        <f t="shared" si="10"/>
        <v>2.032E-3</v>
      </c>
      <c r="P47" s="8">
        <f t="shared" si="11"/>
        <v>7.4761453484195898E-11</v>
      </c>
      <c r="Q47" s="8">
        <v>0.33</v>
      </c>
      <c r="R47" s="17">
        <f t="shared" si="12"/>
        <v>133000</v>
      </c>
      <c r="S47" s="8">
        <f t="shared" si="13"/>
        <v>5.2493374855265302E-3</v>
      </c>
      <c r="T47" s="8">
        <v>0.13</v>
      </c>
      <c r="U47" s="17">
        <f t="shared" si="14"/>
        <v>112999.99999999999</v>
      </c>
      <c r="V47" s="8">
        <f t="shared" si="1"/>
        <v>20.77258309859155</v>
      </c>
      <c r="W47" s="8">
        <f t="shared" si="15"/>
        <v>655.87237688645087</v>
      </c>
      <c r="X47" s="22">
        <f t="shared" si="16"/>
        <v>3.0722292396096033E-14</v>
      </c>
      <c r="Y47" s="22">
        <f t="shared" si="17"/>
        <v>18500964480.929031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</row>
    <row r="48" spans="1:76" s="3" customFormat="1" x14ac:dyDescent="0.25">
      <c r="A48" s="14">
        <v>138</v>
      </c>
      <c r="B48" s="14">
        <f t="shared" si="2"/>
        <v>2.2999999999999998</v>
      </c>
      <c r="C48" s="14">
        <v>20</v>
      </c>
      <c r="D48" s="14">
        <f t="shared" si="0"/>
        <v>29.146000000000001</v>
      </c>
      <c r="E48" s="14">
        <f t="shared" si="3"/>
        <v>4.8576666666666667E-7</v>
      </c>
      <c r="F48" s="14">
        <v>21.1</v>
      </c>
      <c r="G48" s="14">
        <f t="shared" si="4"/>
        <v>294.10000000000002</v>
      </c>
      <c r="H48" s="14">
        <v>101.3</v>
      </c>
      <c r="I48" s="14">
        <f t="shared" si="5"/>
        <v>101300</v>
      </c>
      <c r="J48" s="14">
        <f t="shared" si="6"/>
        <v>2.0124824921938581E-5</v>
      </c>
      <c r="K48" s="13">
        <v>184.70140845070424</v>
      </c>
      <c r="L48" s="8">
        <f t="shared" si="7"/>
        <v>1.8470140845070423E-4</v>
      </c>
      <c r="M48" s="14">
        <f t="shared" si="8"/>
        <v>4.7762865441819992E-3</v>
      </c>
      <c r="N48" s="25">
        <f t="shared" si="9"/>
        <v>7.782371249132182E-7</v>
      </c>
      <c r="O48" s="8">
        <f t="shared" si="10"/>
        <v>2.032E-3</v>
      </c>
      <c r="P48" s="8">
        <f t="shared" si="11"/>
        <v>7.4761453484195898E-11</v>
      </c>
      <c r="Q48" s="8">
        <v>0.33</v>
      </c>
      <c r="R48" s="17">
        <f t="shared" si="12"/>
        <v>133000</v>
      </c>
      <c r="S48" s="8">
        <f t="shared" si="13"/>
        <v>5.2493374855265302E-3</v>
      </c>
      <c r="T48" s="8">
        <v>0.13</v>
      </c>
      <c r="U48" s="17">
        <f t="shared" si="14"/>
        <v>112999.99999999999</v>
      </c>
      <c r="V48" s="8">
        <f t="shared" si="1"/>
        <v>20.871259154929575</v>
      </c>
      <c r="W48" s="8">
        <f t="shared" si="15"/>
        <v>661.56071736416686</v>
      </c>
      <c r="X48" s="22">
        <f t="shared" si="16"/>
        <v>3.0869559400730917E-14</v>
      </c>
      <c r="Y48" s="22">
        <f t="shared" si="17"/>
        <v>18589648671.120159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</row>
    <row r="49" spans="1:76" s="3" customFormat="1" x14ac:dyDescent="0.25">
      <c r="A49" s="14">
        <v>141</v>
      </c>
      <c r="B49" s="14">
        <f t="shared" si="2"/>
        <v>2.35</v>
      </c>
      <c r="C49" s="14">
        <v>20</v>
      </c>
      <c r="D49" s="14">
        <f t="shared" si="0"/>
        <v>29.146000000000001</v>
      </c>
      <c r="E49" s="14">
        <f t="shared" si="3"/>
        <v>4.8576666666666667E-7</v>
      </c>
      <c r="F49" s="14">
        <v>21.1</v>
      </c>
      <c r="G49" s="14">
        <f t="shared" si="4"/>
        <v>294.10000000000002</v>
      </c>
      <c r="H49" s="14">
        <v>101.3</v>
      </c>
      <c r="I49" s="14">
        <f t="shared" si="5"/>
        <v>101300</v>
      </c>
      <c r="J49" s="14">
        <f t="shared" si="6"/>
        <v>2.0124824921938581E-5</v>
      </c>
      <c r="K49" s="13">
        <v>192.58873239436622</v>
      </c>
      <c r="L49" s="8">
        <f t="shared" si="7"/>
        <v>1.9258873239436623E-4</v>
      </c>
      <c r="M49" s="14">
        <f t="shared" si="8"/>
        <v>4.7762865441819992E-3</v>
      </c>
      <c r="N49" s="25">
        <f t="shared" si="9"/>
        <v>8.1147026785816202E-7</v>
      </c>
      <c r="O49" s="8">
        <f t="shared" si="10"/>
        <v>2.032E-3</v>
      </c>
      <c r="P49" s="8">
        <f t="shared" si="11"/>
        <v>7.4761453484195898E-11</v>
      </c>
      <c r="Q49" s="8">
        <v>0.33</v>
      </c>
      <c r="R49" s="17">
        <f t="shared" si="12"/>
        <v>133000</v>
      </c>
      <c r="S49" s="8">
        <f t="shared" si="13"/>
        <v>5.2493374855265302E-3</v>
      </c>
      <c r="T49" s="8">
        <v>0.13</v>
      </c>
      <c r="U49" s="17">
        <f t="shared" si="14"/>
        <v>112999.99999999999</v>
      </c>
      <c r="V49" s="8">
        <f t="shared" si="1"/>
        <v>21.762526760563382</v>
      </c>
      <c r="W49" s="8">
        <f t="shared" si="15"/>
        <v>713.99138564269231</v>
      </c>
      <c r="X49" s="22">
        <f t="shared" si="16"/>
        <v>3.2200542900013024E-14</v>
      </c>
      <c r="Y49" s="22">
        <f t="shared" si="17"/>
        <v>19391166934.387844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</row>
    <row r="50" spans="1:76" s="3" customFormat="1" x14ac:dyDescent="0.25">
      <c r="A50" s="14">
        <v>144</v>
      </c>
      <c r="B50" s="14">
        <f t="shared" si="2"/>
        <v>2.4</v>
      </c>
      <c r="C50" s="14">
        <v>20</v>
      </c>
      <c r="D50" s="14">
        <f t="shared" si="0"/>
        <v>29.146000000000001</v>
      </c>
      <c r="E50" s="14">
        <f t="shared" si="3"/>
        <v>4.8576666666666667E-7</v>
      </c>
      <c r="F50" s="14">
        <v>21.1</v>
      </c>
      <c r="G50" s="14">
        <f t="shared" si="4"/>
        <v>294.10000000000002</v>
      </c>
      <c r="H50" s="14">
        <v>101.3</v>
      </c>
      <c r="I50" s="14">
        <f t="shared" si="5"/>
        <v>101300</v>
      </c>
      <c r="J50" s="14">
        <f t="shared" si="6"/>
        <v>2.0124824921938581E-5</v>
      </c>
      <c r="K50" s="13">
        <v>183.12394366197185</v>
      </c>
      <c r="L50" s="8">
        <f t="shared" si="7"/>
        <v>1.8312394366197185E-4</v>
      </c>
      <c r="M50" s="14">
        <f t="shared" si="8"/>
        <v>4.7762865441819992E-3</v>
      </c>
      <c r="N50" s="25">
        <f t="shared" si="9"/>
        <v>7.7159049632422959E-7</v>
      </c>
      <c r="O50" s="8">
        <f t="shared" si="10"/>
        <v>2.032E-3</v>
      </c>
      <c r="P50" s="8">
        <f t="shared" si="11"/>
        <v>7.4761453484195898E-11</v>
      </c>
      <c r="Q50" s="8">
        <v>0.33</v>
      </c>
      <c r="R50" s="17">
        <f t="shared" si="12"/>
        <v>133000</v>
      </c>
      <c r="S50" s="8">
        <f t="shared" si="13"/>
        <v>5.2493374855265302E-3</v>
      </c>
      <c r="T50" s="8">
        <v>0.13</v>
      </c>
      <c r="U50" s="17">
        <f t="shared" si="14"/>
        <v>112999.99999999999</v>
      </c>
      <c r="V50" s="8">
        <f t="shared" si="1"/>
        <v>20.693005633802816</v>
      </c>
      <c r="W50" s="8">
        <f t="shared" si="15"/>
        <v>651.3019404102489</v>
      </c>
      <c r="X50" s="22">
        <f t="shared" si="16"/>
        <v>3.0603541819558673E-14</v>
      </c>
      <c r="Y50" s="22">
        <f t="shared" si="17"/>
        <v>18429452883.738235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</row>
    <row r="51" spans="1:76" s="3" customFormat="1" x14ac:dyDescent="0.25">
      <c r="A51" s="14">
        <v>147</v>
      </c>
      <c r="B51" s="14">
        <f t="shared" si="2"/>
        <v>2.4500000000000002</v>
      </c>
      <c r="C51" s="14">
        <v>20</v>
      </c>
      <c r="D51" s="14">
        <f t="shared" si="0"/>
        <v>29.146000000000001</v>
      </c>
      <c r="E51" s="14">
        <f t="shared" si="3"/>
        <v>4.8576666666666667E-7</v>
      </c>
      <c r="F51" s="14">
        <v>21.1</v>
      </c>
      <c r="G51" s="14">
        <f t="shared" si="4"/>
        <v>294.10000000000002</v>
      </c>
      <c r="H51" s="14">
        <v>101.3</v>
      </c>
      <c r="I51" s="14">
        <f t="shared" si="5"/>
        <v>101300</v>
      </c>
      <c r="J51" s="14">
        <f t="shared" si="6"/>
        <v>2.0124824921938581E-5</v>
      </c>
      <c r="K51" s="13">
        <v>193.3211267605634</v>
      </c>
      <c r="L51" s="8">
        <f t="shared" si="7"/>
        <v>1.9332112676056341E-4</v>
      </c>
      <c r="M51" s="14">
        <f t="shared" si="8"/>
        <v>4.7762865441819992E-3</v>
      </c>
      <c r="N51" s="25">
        <f t="shared" si="9"/>
        <v>8.1455620256019249E-7</v>
      </c>
      <c r="O51" s="8">
        <f t="shared" si="10"/>
        <v>2.032E-3</v>
      </c>
      <c r="P51" s="8">
        <f t="shared" si="11"/>
        <v>7.4761453484195898E-11</v>
      </c>
      <c r="Q51" s="8">
        <v>0.33</v>
      </c>
      <c r="R51" s="17">
        <f t="shared" si="12"/>
        <v>133000</v>
      </c>
      <c r="S51" s="8">
        <f t="shared" si="13"/>
        <v>5.2493374855265302E-3</v>
      </c>
      <c r="T51" s="8">
        <v>0.13</v>
      </c>
      <c r="U51" s="17">
        <f t="shared" si="14"/>
        <v>112999.99999999999</v>
      </c>
      <c r="V51" s="8">
        <f t="shared" si="1"/>
        <v>21.845287323943662</v>
      </c>
      <c r="W51" s="8">
        <f t="shared" si="15"/>
        <v>718.95596151474899</v>
      </c>
      <c r="X51" s="22">
        <f t="shared" si="16"/>
        <v>3.2324211222005137E-14</v>
      </c>
      <c r="Y51" s="22">
        <f t="shared" si="17"/>
        <v>19465639997.891495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</row>
    <row r="52" spans="1:76" s="3" customFormat="1" x14ac:dyDescent="0.25">
      <c r="A52" s="14">
        <v>150</v>
      </c>
      <c r="B52" s="14">
        <f t="shared" si="2"/>
        <v>2.5</v>
      </c>
      <c r="C52" s="14">
        <v>20</v>
      </c>
      <c r="D52" s="14">
        <f t="shared" si="0"/>
        <v>29.146000000000001</v>
      </c>
      <c r="E52" s="14">
        <f t="shared" si="3"/>
        <v>4.8576666666666667E-7</v>
      </c>
      <c r="F52" s="14">
        <v>21.1</v>
      </c>
      <c r="G52" s="14">
        <f t="shared" si="4"/>
        <v>294.10000000000002</v>
      </c>
      <c r="H52" s="14">
        <v>101.3</v>
      </c>
      <c r="I52" s="14">
        <f t="shared" si="5"/>
        <v>101300</v>
      </c>
      <c r="J52" s="14">
        <f t="shared" si="6"/>
        <v>2.0124824921938581E-5</v>
      </c>
      <c r="K52" s="13">
        <v>188.64507042253524</v>
      </c>
      <c r="L52" s="8">
        <f t="shared" si="7"/>
        <v>1.8864507042253524E-4</v>
      </c>
      <c r="M52" s="14">
        <f t="shared" si="8"/>
        <v>4.7762865441819992E-3</v>
      </c>
      <c r="N52" s="25">
        <f t="shared" si="9"/>
        <v>7.9485369638569017E-7</v>
      </c>
      <c r="O52" s="8">
        <f t="shared" si="10"/>
        <v>2.032E-3</v>
      </c>
      <c r="P52" s="8">
        <f t="shared" si="11"/>
        <v>7.4761453484195898E-11</v>
      </c>
      <c r="Q52" s="8">
        <v>0.33</v>
      </c>
      <c r="R52" s="17">
        <f t="shared" si="12"/>
        <v>133000</v>
      </c>
      <c r="S52" s="8">
        <f t="shared" si="13"/>
        <v>5.2493374855265302E-3</v>
      </c>
      <c r="T52" s="8">
        <v>0.13</v>
      </c>
      <c r="U52" s="17">
        <f t="shared" si="14"/>
        <v>112999.99999999999</v>
      </c>
      <c r="V52" s="8">
        <f t="shared" si="1"/>
        <v>21.316892957746479</v>
      </c>
      <c r="W52" s="8">
        <f t="shared" si="15"/>
        <v>687.53938287156097</v>
      </c>
      <c r="X52" s="22">
        <f t="shared" si="16"/>
        <v>3.1534862888088286E-14</v>
      </c>
      <c r="Y52" s="22">
        <f t="shared" si="17"/>
        <v>18990294431.206768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</row>
    <row r="53" spans="1:76" s="3" customFormat="1" x14ac:dyDescent="0.25">
      <c r="A53" s="14">
        <v>153</v>
      </c>
      <c r="B53" s="14">
        <f t="shared" si="2"/>
        <v>2.5499999999999998</v>
      </c>
      <c r="C53" s="14">
        <v>20</v>
      </c>
      <c r="D53" s="14">
        <f t="shared" si="0"/>
        <v>29.146000000000001</v>
      </c>
      <c r="E53" s="14">
        <f t="shared" si="3"/>
        <v>4.8576666666666667E-7</v>
      </c>
      <c r="F53" s="14">
        <v>21.1</v>
      </c>
      <c r="G53" s="14">
        <f t="shared" si="4"/>
        <v>294.10000000000002</v>
      </c>
      <c r="H53" s="14">
        <v>101.3</v>
      </c>
      <c r="I53" s="14">
        <f t="shared" si="5"/>
        <v>101300</v>
      </c>
      <c r="J53" s="14">
        <f t="shared" si="6"/>
        <v>2.0124824921938581E-5</v>
      </c>
      <c r="K53" s="13">
        <v>189.03943661971832</v>
      </c>
      <c r="L53" s="8">
        <f t="shared" si="7"/>
        <v>1.890394366197183E-4</v>
      </c>
      <c r="M53" s="14">
        <f t="shared" si="8"/>
        <v>4.7762865441819992E-3</v>
      </c>
      <c r="N53" s="25">
        <f t="shared" si="9"/>
        <v>7.9651535353293706E-7</v>
      </c>
      <c r="O53" s="8">
        <f t="shared" si="10"/>
        <v>2.032E-3</v>
      </c>
      <c r="P53" s="8">
        <f t="shared" si="11"/>
        <v>7.4761453484195898E-11</v>
      </c>
      <c r="Q53" s="8">
        <v>0.33</v>
      </c>
      <c r="R53" s="17">
        <f t="shared" si="12"/>
        <v>133000</v>
      </c>
      <c r="S53" s="8">
        <f t="shared" si="13"/>
        <v>5.2493374855265302E-3</v>
      </c>
      <c r="T53" s="8">
        <v>0.13</v>
      </c>
      <c r="U53" s="17">
        <f t="shared" si="14"/>
        <v>112999.99999999999</v>
      </c>
      <c r="V53" s="8">
        <f t="shared" si="1"/>
        <v>21.361456338028166</v>
      </c>
      <c r="W53" s="8">
        <f t="shared" si="15"/>
        <v>690.16329424114178</v>
      </c>
      <c r="X53" s="22">
        <f t="shared" si="16"/>
        <v>3.1601413826821508E-14</v>
      </c>
      <c r="Y53" s="22">
        <f t="shared" si="17"/>
        <v>19030371406.511913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</row>
    <row r="54" spans="1:76" s="3" customFormat="1" x14ac:dyDescent="0.25">
      <c r="A54" s="14">
        <v>156</v>
      </c>
      <c r="B54" s="14">
        <f t="shared" si="2"/>
        <v>2.6</v>
      </c>
      <c r="C54" s="14">
        <v>20</v>
      </c>
      <c r="D54" s="14">
        <f t="shared" si="0"/>
        <v>29.146000000000001</v>
      </c>
      <c r="E54" s="14">
        <f t="shared" si="3"/>
        <v>4.8576666666666667E-7</v>
      </c>
      <c r="F54" s="14">
        <v>21.1</v>
      </c>
      <c r="G54" s="14">
        <f t="shared" si="4"/>
        <v>294.10000000000002</v>
      </c>
      <c r="H54" s="14">
        <v>101.3</v>
      </c>
      <c r="I54" s="14">
        <f t="shared" si="5"/>
        <v>101300</v>
      </c>
      <c r="J54" s="14">
        <f t="shared" si="6"/>
        <v>2.0124824921938581E-5</v>
      </c>
      <c r="K54" s="13">
        <v>177.06760563380283</v>
      </c>
      <c r="L54" s="8">
        <f t="shared" si="7"/>
        <v>1.7706760563380284E-4</v>
      </c>
      <c r="M54" s="14">
        <f t="shared" si="8"/>
        <v>4.7762865441819992E-3</v>
      </c>
      <c r="N54" s="25">
        <f t="shared" si="9"/>
        <v>7.4607219013436204E-7</v>
      </c>
      <c r="O54" s="8">
        <f t="shared" si="10"/>
        <v>2.032E-3</v>
      </c>
      <c r="P54" s="8">
        <f t="shared" si="11"/>
        <v>7.4761453484195898E-11</v>
      </c>
      <c r="Q54" s="8">
        <v>0.33</v>
      </c>
      <c r="R54" s="17">
        <f t="shared" si="12"/>
        <v>133000</v>
      </c>
      <c r="S54" s="8">
        <f t="shared" si="13"/>
        <v>5.2493374855265302E-3</v>
      </c>
      <c r="T54" s="8">
        <v>0.13</v>
      </c>
      <c r="U54" s="17">
        <f t="shared" si="14"/>
        <v>112999.99999999999</v>
      </c>
      <c r="V54" s="8">
        <f t="shared" si="1"/>
        <v>20.008639436619717</v>
      </c>
      <c r="W54" s="8">
        <f t="shared" si="15"/>
        <v>612.62096962330259</v>
      </c>
      <c r="X54" s="22">
        <f t="shared" si="16"/>
        <v>2.9582764937755561E-14</v>
      </c>
      <c r="Y54" s="22">
        <f t="shared" si="17"/>
        <v>17814741045.516399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</row>
    <row r="55" spans="1:76" s="3" customFormat="1" x14ac:dyDescent="0.25">
      <c r="A55" s="14">
        <v>159</v>
      </c>
      <c r="B55" s="14">
        <f t="shared" si="2"/>
        <v>2.65</v>
      </c>
      <c r="C55" s="14">
        <v>20</v>
      </c>
      <c r="D55" s="14">
        <f t="shared" si="0"/>
        <v>29.146000000000001</v>
      </c>
      <c r="E55" s="14">
        <f t="shared" si="3"/>
        <v>4.8576666666666667E-7</v>
      </c>
      <c r="F55" s="14">
        <v>21.1</v>
      </c>
      <c r="G55" s="14">
        <f t="shared" si="4"/>
        <v>294.10000000000002</v>
      </c>
      <c r="H55" s="14">
        <v>101.3</v>
      </c>
      <c r="I55" s="14">
        <f t="shared" si="5"/>
        <v>101300</v>
      </c>
      <c r="J55" s="14">
        <f t="shared" si="6"/>
        <v>2.0124824921938581E-5</v>
      </c>
      <c r="K55" s="13">
        <v>183.65915492957748</v>
      </c>
      <c r="L55" s="8">
        <f t="shared" si="7"/>
        <v>1.8365915492957749E-4</v>
      </c>
      <c r="M55" s="14">
        <f t="shared" si="8"/>
        <v>4.7762865441819992E-3</v>
      </c>
      <c r="N55" s="25">
        <f t="shared" si="9"/>
        <v>7.7384560245263645E-7</v>
      </c>
      <c r="O55" s="8">
        <f t="shared" si="10"/>
        <v>2.032E-3</v>
      </c>
      <c r="P55" s="8">
        <f t="shared" si="11"/>
        <v>7.4761453484195898E-11</v>
      </c>
      <c r="Q55" s="8">
        <v>0.33</v>
      </c>
      <c r="R55" s="17">
        <f t="shared" si="12"/>
        <v>133000</v>
      </c>
      <c r="S55" s="8">
        <f t="shared" si="13"/>
        <v>5.2493374855265302E-3</v>
      </c>
      <c r="T55" s="8">
        <v>0.13</v>
      </c>
      <c r="U55" s="17">
        <f t="shared" si="14"/>
        <v>112999.99999999999</v>
      </c>
      <c r="V55" s="8">
        <f t="shared" si="1"/>
        <v>20.753484507042256</v>
      </c>
      <c r="W55" s="8">
        <f t="shared" si="15"/>
        <v>654.77409296730809</v>
      </c>
      <c r="X55" s="22">
        <f t="shared" si="16"/>
        <v>3.0693791189853758E-14</v>
      </c>
      <c r="Y55" s="22">
        <f t="shared" si="17"/>
        <v>18483801054.529934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</row>
    <row r="56" spans="1:76" s="3" customFormat="1" x14ac:dyDescent="0.25">
      <c r="A56" s="14">
        <v>162</v>
      </c>
      <c r="B56" s="14">
        <f t="shared" si="2"/>
        <v>2.7</v>
      </c>
      <c r="C56" s="14">
        <v>20</v>
      </c>
      <c r="D56" s="14">
        <f t="shared" si="0"/>
        <v>29.146000000000001</v>
      </c>
      <c r="E56" s="14">
        <f t="shared" si="3"/>
        <v>4.8576666666666667E-7</v>
      </c>
      <c r="F56" s="14">
        <v>21.1</v>
      </c>
      <c r="G56" s="14">
        <f t="shared" si="4"/>
        <v>294.10000000000002</v>
      </c>
      <c r="H56" s="14">
        <v>101.3</v>
      </c>
      <c r="I56" s="14">
        <f t="shared" si="5"/>
        <v>101300</v>
      </c>
      <c r="J56" s="14">
        <f t="shared" si="6"/>
        <v>2.0124824921938581E-5</v>
      </c>
      <c r="K56" s="13">
        <v>182.84225352112676</v>
      </c>
      <c r="L56" s="8">
        <f t="shared" si="7"/>
        <v>1.8284225352112676E-4</v>
      </c>
      <c r="M56" s="14">
        <f t="shared" si="8"/>
        <v>4.7762865441819992E-3</v>
      </c>
      <c r="N56" s="25">
        <f t="shared" si="9"/>
        <v>7.7040359836191007E-7</v>
      </c>
      <c r="O56" s="8">
        <f t="shared" si="10"/>
        <v>2.032E-3</v>
      </c>
      <c r="P56" s="8">
        <f t="shared" si="11"/>
        <v>7.4761453484195898E-11</v>
      </c>
      <c r="Q56" s="8">
        <v>0.33</v>
      </c>
      <c r="R56" s="17">
        <f t="shared" si="12"/>
        <v>133000</v>
      </c>
      <c r="S56" s="8">
        <f t="shared" si="13"/>
        <v>5.2493374855265302E-3</v>
      </c>
      <c r="T56" s="8">
        <v>0.13</v>
      </c>
      <c r="U56" s="17">
        <f t="shared" si="14"/>
        <v>112999.99999999999</v>
      </c>
      <c r="V56" s="8">
        <f t="shared" si="1"/>
        <v>20.661174647887321</v>
      </c>
      <c r="W56" s="8">
        <f t="shared" si="15"/>
        <v>649.47800053752235</v>
      </c>
      <c r="X56" s="22">
        <f t="shared" si="16"/>
        <v>3.05560448630654E-14</v>
      </c>
      <c r="Y56" s="22">
        <f t="shared" si="17"/>
        <v>18400850216.537983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</row>
    <row r="57" spans="1:76" s="3" customFormat="1" x14ac:dyDescent="0.25">
      <c r="A57" s="14">
        <v>165</v>
      </c>
      <c r="B57" s="14">
        <f t="shared" si="2"/>
        <v>2.75</v>
      </c>
      <c r="C57" s="14">
        <v>20</v>
      </c>
      <c r="D57" s="14">
        <f t="shared" si="0"/>
        <v>29.146000000000001</v>
      </c>
      <c r="E57" s="14">
        <f t="shared" si="3"/>
        <v>4.8576666666666667E-7</v>
      </c>
      <c r="F57" s="14">
        <v>21.1</v>
      </c>
      <c r="G57" s="14">
        <f t="shared" si="4"/>
        <v>294.10000000000002</v>
      </c>
      <c r="H57" s="14">
        <v>101.3</v>
      </c>
      <c r="I57" s="14">
        <f t="shared" si="5"/>
        <v>101300</v>
      </c>
      <c r="J57" s="14">
        <f t="shared" si="6"/>
        <v>2.0124824921938581E-5</v>
      </c>
      <c r="K57" s="13">
        <v>176.70140845070424</v>
      </c>
      <c r="L57" s="8">
        <f t="shared" si="7"/>
        <v>1.7670140845070422E-4</v>
      </c>
      <c r="M57" s="14">
        <f t="shared" si="8"/>
        <v>4.7762865441819992E-3</v>
      </c>
      <c r="N57" s="25">
        <f t="shared" si="9"/>
        <v>7.445292227833467E-7</v>
      </c>
      <c r="O57" s="8">
        <f t="shared" si="10"/>
        <v>2.032E-3</v>
      </c>
      <c r="P57" s="8">
        <f t="shared" si="11"/>
        <v>7.4761453484195898E-11</v>
      </c>
      <c r="Q57" s="8">
        <v>0.33</v>
      </c>
      <c r="R57" s="17">
        <f t="shared" si="12"/>
        <v>133000</v>
      </c>
      <c r="S57" s="8">
        <f t="shared" si="13"/>
        <v>5.2493374855265302E-3</v>
      </c>
      <c r="T57" s="8">
        <v>0.13</v>
      </c>
      <c r="U57" s="17">
        <f t="shared" si="14"/>
        <v>112999.99999999999</v>
      </c>
      <c r="V57" s="8">
        <f t="shared" si="1"/>
        <v>19.967259154929575</v>
      </c>
      <c r="W57" s="8">
        <f t="shared" si="15"/>
        <v>610.31804227327154</v>
      </c>
      <c r="X57" s="22">
        <f t="shared" si="16"/>
        <v>2.9521070678865353E-14</v>
      </c>
      <c r="Y57" s="22">
        <f t="shared" si="17"/>
        <v>17777588762.812717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</row>
    <row r="58" spans="1:76" s="3" customFormat="1" x14ac:dyDescent="0.25">
      <c r="A58" s="14">
        <v>168</v>
      </c>
      <c r="B58" s="14">
        <f t="shared" si="2"/>
        <v>2.8</v>
      </c>
      <c r="C58" s="14">
        <v>20</v>
      </c>
      <c r="D58" s="14">
        <f t="shared" si="0"/>
        <v>29.146000000000001</v>
      </c>
      <c r="E58" s="14">
        <f t="shared" si="3"/>
        <v>4.8576666666666667E-7</v>
      </c>
      <c r="F58" s="14">
        <v>21.1</v>
      </c>
      <c r="G58" s="14">
        <f t="shared" si="4"/>
        <v>294.10000000000002</v>
      </c>
      <c r="H58" s="14">
        <v>101.3</v>
      </c>
      <c r="I58" s="14">
        <f t="shared" si="5"/>
        <v>101300</v>
      </c>
      <c r="J58" s="14">
        <f t="shared" si="6"/>
        <v>2.0124824921938581E-5</v>
      </c>
      <c r="K58" s="13">
        <v>189.09577464788734</v>
      </c>
      <c r="L58" s="8">
        <f t="shared" si="7"/>
        <v>1.8909577464788733E-4</v>
      </c>
      <c r="M58" s="14">
        <f t="shared" si="8"/>
        <v>4.7762865441819992E-3</v>
      </c>
      <c r="N58" s="25">
        <f t="shared" si="9"/>
        <v>7.9675273312540111E-7</v>
      </c>
      <c r="O58" s="8">
        <f t="shared" si="10"/>
        <v>2.032E-3</v>
      </c>
      <c r="P58" s="8">
        <f t="shared" si="11"/>
        <v>7.4761453484195898E-11</v>
      </c>
      <c r="Q58" s="8">
        <v>0.33</v>
      </c>
      <c r="R58" s="17">
        <f t="shared" si="12"/>
        <v>133000</v>
      </c>
      <c r="S58" s="8">
        <f t="shared" si="13"/>
        <v>5.2493374855265302E-3</v>
      </c>
      <c r="T58" s="8">
        <v>0.13</v>
      </c>
      <c r="U58" s="17">
        <f t="shared" si="14"/>
        <v>112999.99999999999</v>
      </c>
      <c r="V58" s="8">
        <f t="shared" si="1"/>
        <v>21.367822535211264</v>
      </c>
      <c r="W58" s="8">
        <f t="shared" si="15"/>
        <v>690.53852507901638</v>
      </c>
      <c r="X58" s="22">
        <f t="shared" si="16"/>
        <v>3.1610921411570061E-14</v>
      </c>
      <c r="Y58" s="22">
        <f t="shared" si="17"/>
        <v>19036096874.047493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</row>
    <row r="59" spans="1:76" s="3" customFormat="1" x14ac:dyDescent="0.25">
      <c r="A59" s="14">
        <v>171</v>
      </c>
      <c r="B59" s="14">
        <f t="shared" si="2"/>
        <v>2.85</v>
      </c>
      <c r="C59" s="14">
        <v>20</v>
      </c>
      <c r="D59" s="14">
        <f t="shared" si="0"/>
        <v>29.146000000000001</v>
      </c>
      <c r="E59" s="14">
        <f t="shared" si="3"/>
        <v>4.8576666666666667E-7</v>
      </c>
      <c r="F59" s="14">
        <v>21.1</v>
      </c>
      <c r="G59" s="14">
        <f t="shared" si="4"/>
        <v>294.10000000000002</v>
      </c>
      <c r="H59" s="14">
        <v>101.3</v>
      </c>
      <c r="I59" s="14">
        <f t="shared" si="5"/>
        <v>101300</v>
      </c>
      <c r="J59" s="14">
        <f t="shared" si="6"/>
        <v>2.0124824921938581E-5</v>
      </c>
      <c r="K59" s="13">
        <v>173.82816901408452</v>
      </c>
      <c r="L59" s="8">
        <f t="shared" si="7"/>
        <v>1.7382816901408452E-4</v>
      </c>
      <c r="M59" s="14">
        <f t="shared" si="8"/>
        <v>4.7762865441819992E-3</v>
      </c>
      <c r="N59" s="25">
        <f t="shared" si="9"/>
        <v>7.3242286356768879E-7</v>
      </c>
      <c r="O59" s="8">
        <f t="shared" si="10"/>
        <v>2.032E-3</v>
      </c>
      <c r="P59" s="8">
        <f t="shared" si="11"/>
        <v>7.4761453484195898E-11</v>
      </c>
      <c r="Q59" s="8">
        <v>0.33</v>
      </c>
      <c r="R59" s="17">
        <f t="shared" si="12"/>
        <v>133000</v>
      </c>
      <c r="S59" s="8">
        <f t="shared" si="13"/>
        <v>5.2493374855265302E-3</v>
      </c>
      <c r="T59" s="8">
        <v>0.13</v>
      </c>
      <c r="U59" s="17">
        <f t="shared" si="14"/>
        <v>112999.99999999999</v>
      </c>
      <c r="V59" s="8">
        <f t="shared" si="1"/>
        <v>19.642583098591547</v>
      </c>
      <c r="W59" s="8">
        <f t="shared" si="15"/>
        <v>592.39125694159577</v>
      </c>
      <c r="X59" s="22">
        <f t="shared" si="16"/>
        <v>2.9037113723905364E-14</v>
      </c>
      <c r="Y59" s="22">
        <f t="shared" si="17"/>
        <v>17486149884.535812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</row>
    <row r="60" spans="1:76" s="3" customFormat="1" x14ac:dyDescent="0.25">
      <c r="A60" s="14">
        <v>174</v>
      </c>
      <c r="B60" s="14">
        <f t="shared" si="2"/>
        <v>2.9</v>
      </c>
      <c r="C60" s="14">
        <v>20</v>
      </c>
      <c r="D60" s="14">
        <f t="shared" si="0"/>
        <v>29.146000000000001</v>
      </c>
      <c r="E60" s="14">
        <f t="shared" si="3"/>
        <v>4.8576666666666667E-7</v>
      </c>
      <c r="F60" s="14">
        <v>21.1</v>
      </c>
      <c r="G60" s="14">
        <f t="shared" si="4"/>
        <v>294.10000000000002</v>
      </c>
      <c r="H60" s="14">
        <v>101.3</v>
      </c>
      <c r="I60" s="14">
        <f t="shared" si="5"/>
        <v>101300</v>
      </c>
      <c r="J60" s="14">
        <f t="shared" si="6"/>
        <v>2.0124824921938581E-5</v>
      </c>
      <c r="K60" s="13">
        <v>190.50422535211268</v>
      </c>
      <c r="L60" s="8">
        <f t="shared" si="7"/>
        <v>1.9050422535211268E-4</v>
      </c>
      <c r="M60" s="14">
        <f t="shared" si="8"/>
        <v>4.7762865441819992E-3</v>
      </c>
      <c r="N60" s="25">
        <f t="shared" si="9"/>
        <v>8.026872229369982E-7</v>
      </c>
      <c r="O60" s="8">
        <f t="shared" si="10"/>
        <v>2.032E-3</v>
      </c>
      <c r="P60" s="8">
        <f t="shared" si="11"/>
        <v>7.4761453484195898E-11</v>
      </c>
      <c r="Q60" s="8">
        <v>0.33</v>
      </c>
      <c r="R60" s="17">
        <f t="shared" si="12"/>
        <v>133000</v>
      </c>
      <c r="S60" s="8">
        <f t="shared" si="13"/>
        <v>5.2493374855265302E-3</v>
      </c>
      <c r="T60" s="8">
        <v>0.13</v>
      </c>
      <c r="U60" s="17">
        <f t="shared" si="14"/>
        <v>112999.99999999999</v>
      </c>
      <c r="V60" s="8">
        <f t="shared" si="1"/>
        <v>21.526977464788729</v>
      </c>
      <c r="W60" s="8">
        <f t="shared" si="15"/>
        <v>699.95068040645197</v>
      </c>
      <c r="X60" s="22">
        <f t="shared" si="16"/>
        <v>3.1848636113035429E-14</v>
      </c>
      <c r="Y60" s="22">
        <f t="shared" si="17"/>
        <v>19179248667.269936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</row>
    <row r="61" spans="1:76" s="3" customFormat="1" x14ac:dyDescent="0.25">
      <c r="A61" s="14">
        <v>177</v>
      </c>
      <c r="B61" s="14">
        <f t="shared" si="2"/>
        <v>2.95</v>
      </c>
      <c r="C61" s="14">
        <v>20</v>
      </c>
      <c r="D61" s="14">
        <f t="shared" si="0"/>
        <v>29.146000000000001</v>
      </c>
      <c r="E61" s="14">
        <f t="shared" si="3"/>
        <v>4.8576666666666667E-7</v>
      </c>
      <c r="F61" s="14">
        <v>21.1</v>
      </c>
      <c r="G61" s="14">
        <f t="shared" si="4"/>
        <v>294.10000000000002</v>
      </c>
      <c r="H61" s="14">
        <v>101.3</v>
      </c>
      <c r="I61" s="14">
        <f t="shared" si="5"/>
        <v>101300</v>
      </c>
      <c r="J61" s="14">
        <f t="shared" si="6"/>
        <v>2.0124824921938581E-5</v>
      </c>
      <c r="K61" s="13">
        <v>180.44788732394369</v>
      </c>
      <c r="L61" s="8">
        <f t="shared" si="7"/>
        <v>1.8044788732394368E-4</v>
      </c>
      <c r="M61" s="14">
        <f t="shared" si="8"/>
        <v>4.7762865441819992E-3</v>
      </c>
      <c r="N61" s="25">
        <f t="shared" si="9"/>
        <v>7.6031496568219506E-7</v>
      </c>
      <c r="O61" s="8">
        <f t="shared" si="10"/>
        <v>2.032E-3</v>
      </c>
      <c r="P61" s="8">
        <f t="shared" si="11"/>
        <v>7.4761453484195898E-11</v>
      </c>
      <c r="Q61" s="8">
        <v>0.33</v>
      </c>
      <c r="R61" s="17">
        <f t="shared" si="12"/>
        <v>133000</v>
      </c>
      <c r="S61" s="8">
        <f t="shared" si="13"/>
        <v>5.2493374855265302E-3</v>
      </c>
      <c r="T61" s="8">
        <v>0.13</v>
      </c>
      <c r="U61" s="17">
        <f t="shared" si="14"/>
        <v>112999.99999999999</v>
      </c>
      <c r="V61" s="8">
        <f t="shared" si="1"/>
        <v>20.390611267605632</v>
      </c>
      <c r="W61" s="8">
        <f t="shared" si="15"/>
        <v>634.07225486205732</v>
      </c>
      <c r="X61" s="22">
        <f t="shared" si="16"/>
        <v>3.0152395848024161E-14</v>
      </c>
      <c r="Y61" s="22">
        <f t="shared" si="17"/>
        <v>18157772779.680149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</row>
    <row r="62" spans="1:76" s="3" customFormat="1" x14ac:dyDescent="0.25">
      <c r="A62" s="14">
        <v>180</v>
      </c>
      <c r="B62" s="14">
        <f t="shared" si="2"/>
        <v>3</v>
      </c>
      <c r="C62" s="14">
        <v>20</v>
      </c>
      <c r="D62" s="14">
        <f t="shared" si="0"/>
        <v>29.146000000000001</v>
      </c>
      <c r="E62" s="14">
        <f t="shared" si="3"/>
        <v>4.8576666666666667E-7</v>
      </c>
      <c r="F62" s="14">
        <v>21.1</v>
      </c>
      <c r="G62" s="14">
        <f t="shared" si="4"/>
        <v>294.10000000000002</v>
      </c>
      <c r="H62" s="14">
        <v>101.3</v>
      </c>
      <c r="I62" s="14">
        <f t="shared" si="5"/>
        <v>101300</v>
      </c>
      <c r="J62" s="14">
        <f t="shared" si="6"/>
        <v>2.0124824921938581E-5</v>
      </c>
      <c r="K62" s="13">
        <v>188.75774647887326</v>
      </c>
      <c r="L62" s="8">
        <f t="shared" si="7"/>
        <v>1.8875774647887327E-4</v>
      </c>
      <c r="M62" s="14">
        <f t="shared" si="8"/>
        <v>4.7762865441819992E-3</v>
      </c>
      <c r="N62" s="25">
        <f t="shared" si="9"/>
        <v>7.9532845557061796E-7</v>
      </c>
      <c r="O62" s="8">
        <f t="shared" si="10"/>
        <v>2.032E-3</v>
      </c>
      <c r="P62" s="8">
        <f t="shared" si="11"/>
        <v>7.4761453484195898E-11</v>
      </c>
      <c r="Q62" s="8">
        <v>0.33</v>
      </c>
      <c r="R62" s="17">
        <f t="shared" si="12"/>
        <v>133000</v>
      </c>
      <c r="S62" s="8">
        <f t="shared" si="13"/>
        <v>5.2493374855265302E-3</v>
      </c>
      <c r="T62" s="8">
        <v>0.13</v>
      </c>
      <c r="U62" s="17">
        <f t="shared" si="14"/>
        <v>112999.99999999999</v>
      </c>
      <c r="V62" s="8">
        <f t="shared" si="1"/>
        <v>21.329625352112679</v>
      </c>
      <c r="W62" s="8">
        <f t="shared" si="15"/>
        <v>688.28858886877799</v>
      </c>
      <c r="X62" s="22">
        <f t="shared" si="16"/>
        <v>3.1553877057488754E-14</v>
      </c>
      <c r="Y62" s="22">
        <f t="shared" si="17"/>
        <v>19001744764.01973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</row>
    <row r="63" spans="1:76" s="3" customFormat="1" x14ac:dyDescent="0.25">
      <c r="A63" s="14">
        <v>183</v>
      </c>
      <c r="B63" s="14">
        <f t="shared" ref="B63:B69" si="18">(A63/60)</f>
        <v>3.05</v>
      </c>
      <c r="C63" s="14">
        <v>20</v>
      </c>
      <c r="D63" s="14">
        <f t="shared" ref="D63:D69" si="19">(C63*1.4573)</f>
        <v>29.146000000000001</v>
      </c>
      <c r="E63" s="14">
        <f t="shared" ref="E63:E69" si="20">(D63/(1000000*60))</f>
        <v>4.8576666666666667E-7</v>
      </c>
      <c r="F63" s="14">
        <v>21.1</v>
      </c>
      <c r="G63" s="14">
        <f t="shared" ref="G63:G69" si="21">(273+F63)</f>
        <v>294.10000000000002</v>
      </c>
      <c r="H63" s="14">
        <v>101.3</v>
      </c>
      <c r="I63" s="14">
        <f t="shared" ref="I63:I69" si="22">(H63*1000)</f>
        <v>101300</v>
      </c>
      <c r="J63" s="14">
        <f t="shared" ref="J63:J69" si="23">((I63*E63)/(8.314*G63))</f>
        <v>2.0124824921938581E-5</v>
      </c>
      <c r="K63" s="13">
        <v>185.88450704225355</v>
      </c>
      <c r="L63" s="8">
        <f t="shared" si="7"/>
        <v>1.8588450704225355E-4</v>
      </c>
      <c r="M63" s="14">
        <f t="shared" si="8"/>
        <v>4.7762865441819992E-3</v>
      </c>
      <c r="N63" s="25">
        <f t="shared" si="9"/>
        <v>7.8322209635495983E-7</v>
      </c>
      <c r="O63" s="8">
        <f t="shared" si="10"/>
        <v>2.032E-3</v>
      </c>
      <c r="P63" s="8">
        <f t="shared" si="11"/>
        <v>7.4761453484195898E-11</v>
      </c>
      <c r="Q63" s="8">
        <v>0.33</v>
      </c>
      <c r="R63" s="17">
        <f t="shared" ref="R63:R69" si="24">(1+Q63)*100000*1</f>
        <v>133000</v>
      </c>
      <c r="S63" s="8">
        <f t="shared" si="13"/>
        <v>5.2493374855265302E-3</v>
      </c>
      <c r="T63" s="8">
        <v>0.13</v>
      </c>
      <c r="U63" s="17">
        <f t="shared" ref="U63:U69" si="25">(1+T63)*100000</f>
        <v>112999.99999999999</v>
      </c>
      <c r="V63" s="8">
        <f t="shared" si="1"/>
        <v>21.004949295774647</v>
      </c>
      <c r="W63" s="8">
        <f t="shared" si="15"/>
        <v>669.30457570909607</v>
      </c>
      <c r="X63" s="22">
        <f t="shared" si="16"/>
        <v>3.1069111340391748E-14</v>
      </c>
      <c r="Y63" s="22">
        <f t="shared" si="17"/>
        <v>18709818849.18391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</row>
    <row r="64" spans="1:76" s="3" customFormat="1" x14ac:dyDescent="0.25">
      <c r="A64" s="14">
        <v>186</v>
      </c>
      <c r="B64" s="14">
        <f t="shared" si="18"/>
        <v>3.1</v>
      </c>
      <c r="C64" s="14">
        <v>20</v>
      </c>
      <c r="D64" s="14">
        <f t="shared" si="19"/>
        <v>29.146000000000001</v>
      </c>
      <c r="E64" s="14">
        <f t="shared" si="20"/>
        <v>4.8576666666666667E-7</v>
      </c>
      <c r="F64" s="14">
        <v>21.1</v>
      </c>
      <c r="G64" s="14">
        <f t="shared" si="21"/>
        <v>294.10000000000002</v>
      </c>
      <c r="H64" s="14">
        <v>101.3</v>
      </c>
      <c r="I64" s="14">
        <f t="shared" si="22"/>
        <v>101300</v>
      </c>
      <c r="J64" s="14">
        <f t="shared" si="23"/>
        <v>2.0124824921938581E-5</v>
      </c>
      <c r="K64" s="13">
        <v>184.39154929577467</v>
      </c>
      <c r="L64" s="8">
        <f t="shared" si="7"/>
        <v>1.8439154929577467E-4</v>
      </c>
      <c r="M64" s="14">
        <f t="shared" si="8"/>
        <v>4.7762865441819992E-3</v>
      </c>
      <c r="N64" s="25">
        <f t="shared" si="9"/>
        <v>7.7693153715466692E-7</v>
      </c>
      <c r="O64" s="8">
        <f t="shared" si="10"/>
        <v>2.032E-3</v>
      </c>
      <c r="P64" s="8">
        <f t="shared" si="11"/>
        <v>7.4761453484195898E-11</v>
      </c>
      <c r="Q64" s="8">
        <v>0.33</v>
      </c>
      <c r="R64" s="17">
        <f t="shared" si="24"/>
        <v>133000</v>
      </c>
      <c r="S64" s="8">
        <f t="shared" si="13"/>
        <v>5.2493374855265302E-3</v>
      </c>
      <c r="T64" s="8">
        <v>0.13</v>
      </c>
      <c r="U64" s="17">
        <f t="shared" si="25"/>
        <v>112999.99999999999</v>
      </c>
      <c r="V64" s="8">
        <f t="shared" si="1"/>
        <v>20.836245070422535</v>
      </c>
      <c r="W64" s="8">
        <f t="shared" si="15"/>
        <v>659.53961320052508</v>
      </c>
      <c r="X64" s="22">
        <f t="shared" si="16"/>
        <v>3.0817301298133812E-14</v>
      </c>
      <c r="Y64" s="22">
        <f t="shared" si="17"/>
        <v>18558178841.736183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</row>
    <row r="65" spans="1:76" s="3" customFormat="1" x14ac:dyDescent="0.25">
      <c r="A65" s="14">
        <v>189</v>
      </c>
      <c r="B65" s="14">
        <f t="shared" si="18"/>
        <v>3.15</v>
      </c>
      <c r="C65" s="14">
        <v>20</v>
      </c>
      <c r="D65" s="14">
        <f t="shared" si="19"/>
        <v>29.146000000000001</v>
      </c>
      <c r="E65" s="14">
        <f t="shared" si="20"/>
        <v>4.8576666666666667E-7</v>
      </c>
      <c r="F65" s="14">
        <v>21.1</v>
      </c>
      <c r="G65" s="14">
        <f t="shared" si="21"/>
        <v>294.10000000000002</v>
      </c>
      <c r="H65" s="14">
        <v>101.3</v>
      </c>
      <c r="I65" s="14">
        <f t="shared" si="22"/>
        <v>101300</v>
      </c>
      <c r="J65" s="14">
        <f t="shared" si="23"/>
        <v>2.0124824921938581E-5</v>
      </c>
      <c r="K65" s="13">
        <v>180.19436619718311</v>
      </c>
      <c r="L65" s="8">
        <f t="shared" si="7"/>
        <v>1.8019436619718312E-4</v>
      </c>
      <c r="M65" s="14">
        <f t="shared" si="8"/>
        <v>4.7762865441819992E-3</v>
      </c>
      <c r="N65" s="25">
        <f t="shared" si="9"/>
        <v>7.5924675751610762E-7</v>
      </c>
      <c r="O65" s="8">
        <f t="shared" si="10"/>
        <v>2.032E-3</v>
      </c>
      <c r="P65" s="8">
        <f t="shared" si="11"/>
        <v>7.4761453484195898E-11</v>
      </c>
      <c r="Q65" s="8">
        <v>0.33</v>
      </c>
      <c r="R65" s="17">
        <f t="shared" si="24"/>
        <v>133000</v>
      </c>
      <c r="S65" s="8">
        <f t="shared" si="13"/>
        <v>5.2493374855265302E-3</v>
      </c>
      <c r="T65" s="8">
        <v>0.13</v>
      </c>
      <c r="U65" s="17">
        <f t="shared" si="25"/>
        <v>112999.99999999999</v>
      </c>
      <c r="V65" s="8">
        <f t="shared" si="1"/>
        <v>20.36196338028169</v>
      </c>
      <c r="W65" s="8">
        <f t="shared" si="15"/>
        <v>632.45130247129362</v>
      </c>
      <c r="X65" s="22">
        <f t="shared" si="16"/>
        <v>3.010966437174934E-14</v>
      </c>
      <c r="Y65" s="22">
        <f t="shared" si="17"/>
        <v>18132039884.667454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</row>
    <row r="66" spans="1:76" s="3" customFormat="1" x14ac:dyDescent="0.25">
      <c r="A66" s="14">
        <v>192</v>
      </c>
      <c r="B66" s="14">
        <f t="shared" si="18"/>
        <v>3.2</v>
      </c>
      <c r="C66" s="14">
        <v>20</v>
      </c>
      <c r="D66" s="14">
        <f t="shared" si="19"/>
        <v>29.146000000000001</v>
      </c>
      <c r="E66" s="14">
        <f t="shared" si="20"/>
        <v>4.8576666666666667E-7</v>
      </c>
      <c r="F66" s="14">
        <v>21.1</v>
      </c>
      <c r="G66" s="14">
        <f t="shared" si="21"/>
        <v>294.10000000000002</v>
      </c>
      <c r="H66" s="14">
        <v>101.3</v>
      </c>
      <c r="I66" s="14">
        <f t="shared" si="22"/>
        <v>101300</v>
      </c>
      <c r="J66" s="14">
        <f t="shared" si="23"/>
        <v>2.0124824921938581E-5</v>
      </c>
      <c r="K66" s="13">
        <v>180.05352112676056</v>
      </c>
      <c r="L66" s="8">
        <f t="shared" si="7"/>
        <v>1.8005352112676056E-4</v>
      </c>
      <c r="M66" s="14">
        <f t="shared" si="8"/>
        <v>4.7762865441819992E-3</v>
      </c>
      <c r="N66" s="25">
        <f t="shared" si="9"/>
        <v>7.5865330853494786E-7</v>
      </c>
      <c r="O66" s="8">
        <f t="shared" si="10"/>
        <v>2.032E-3</v>
      </c>
      <c r="P66" s="8">
        <f t="shared" si="11"/>
        <v>7.4761453484195898E-11</v>
      </c>
      <c r="Q66" s="8">
        <v>0.33</v>
      </c>
      <c r="R66" s="17">
        <f t="shared" si="24"/>
        <v>133000</v>
      </c>
      <c r="S66" s="8">
        <f t="shared" si="13"/>
        <v>5.2493374855265302E-3</v>
      </c>
      <c r="T66" s="8">
        <v>0.13</v>
      </c>
      <c r="U66" s="17">
        <f t="shared" si="25"/>
        <v>112999.99999999999</v>
      </c>
      <c r="V66" s="8">
        <f t="shared" ref="V66:V69" si="26">(L66*U66)</f>
        <v>20.346047887323941</v>
      </c>
      <c r="W66" s="8">
        <f t="shared" si="15"/>
        <v>631.55162130139718</v>
      </c>
      <c r="X66" s="22">
        <f t="shared" si="16"/>
        <v>3.0085925307651319E-14</v>
      </c>
      <c r="Y66" s="22">
        <f t="shared" si="17"/>
        <v>18117744220.267624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</row>
    <row r="67" spans="1:76" s="3" customFormat="1" x14ac:dyDescent="0.25">
      <c r="A67" s="14">
        <v>195</v>
      </c>
      <c r="B67" s="14">
        <f t="shared" si="18"/>
        <v>3.25</v>
      </c>
      <c r="C67" s="14">
        <v>20</v>
      </c>
      <c r="D67" s="14">
        <f t="shared" si="19"/>
        <v>29.146000000000001</v>
      </c>
      <c r="E67" s="14">
        <f t="shared" si="20"/>
        <v>4.8576666666666667E-7</v>
      </c>
      <c r="F67" s="14">
        <v>21.1</v>
      </c>
      <c r="G67" s="14">
        <f t="shared" si="21"/>
        <v>294.10000000000002</v>
      </c>
      <c r="H67" s="14">
        <v>101.3</v>
      </c>
      <c r="I67" s="14">
        <f t="shared" si="22"/>
        <v>101300</v>
      </c>
      <c r="J67" s="14">
        <f t="shared" si="23"/>
        <v>2.0124824921938581E-5</v>
      </c>
      <c r="K67" s="13">
        <v>192.25070422535214</v>
      </c>
      <c r="L67" s="8">
        <f t="shared" ref="L67:L69" si="27">(K67/1000000)</f>
        <v>1.9225070422535214E-4</v>
      </c>
      <c r="M67" s="14">
        <f t="shared" ref="M67:M69" si="28">(3.142*3.07*3.07*25.4*25.4)/(4*1000000)</f>
        <v>4.7762865441819992E-3</v>
      </c>
      <c r="N67" s="25">
        <f t="shared" ref="N67:N69" si="29">(L67*J67)/M67</f>
        <v>8.1004599030337866E-7</v>
      </c>
      <c r="O67" s="8">
        <f t="shared" ref="O67:O69" si="30">(2.032/1000)</f>
        <v>2.032E-3</v>
      </c>
      <c r="P67" s="8">
        <f t="shared" ref="P67:P69" si="31">(1.05712695226653E-10/1.414)</f>
        <v>7.4761453484195898E-11</v>
      </c>
      <c r="Q67" s="8">
        <v>0.33</v>
      </c>
      <c r="R67" s="17">
        <f t="shared" si="24"/>
        <v>133000</v>
      </c>
      <c r="S67" s="8">
        <f t="shared" ref="S67:S69" si="32">(5.24933748552653/1000)</f>
        <v>5.2493374855265302E-3</v>
      </c>
      <c r="T67" s="8">
        <v>0.13</v>
      </c>
      <c r="U67" s="17">
        <f t="shared" si="25"/>
        <v>112999.99999999999</v>
      </c>
      <c r="V67" s="8">
        <f t="shared" si="26"/>
        <v>21.72432957746479</v>
      </c>
      <c r="W67" s="8">
        <f t="shared" ref="W67:W69" si="33">((N67*O67/P67) + SQRT(V67))^2</f>
        <v>711.70554099545507</v>
      </c>
      <c r="X67" s="22">
        <f t="shared" ref="X67:X69" si="34">(N67*S67)/(R67-W67)</f>
        <v>3.2143469679531791E-14</v>
      </c>
      <c r="Y67" s="22">
        <f t="shared" ref="Y67:Y69" si="35">(X67*6.022E+23)</f>
        <v>19356797441.014046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</row>
    <row r="68" spans="1:76" s="3" customFormat="1" x14ac:dyDescent="0.25">
      <c r="A68" s="14">
        <v>198</v>
      </c>
      <c r="B68" s="14">
        <f t="shared" si="18"/>
        <v>3.3</v>
      </c>
      <c r="C68" s="14">
        <v>20</v>
      </c>
      <c r="D68" s="14">
        <f t="shared" si="19"/>
        <v>29.146000000000001</v>
      </c>
      <c r="E68" s="14">
        <f t="shared" si="20"/>
        <v>4.8576666666666667E-7</v>
      </c>
      <c r="F68" s="14">
        <v>21.1</v>
      </c>
      <c r="G68" s="14">
        <f t="shared" si="21"/>
        <v>294.10000000000002</v>
      </c>
      <c r="H68" s="14">
        <v>101.3</v>
      </c>
      <c r="I68" s="14">
        <f t="shared" si="22"/>
        <v>101300</v>
      </c>
      <c r="J68" s="14">
        <f t="shared" si="23"/>
        <v>2.0124824921938581E-5</v>
      </c>
      <c r="K68" s="13">
        <v>181.74366197183102</v>
      </c>
      <c r="L68" s="8">
        <f t="shared" si="27"/>
        <v>1.8174366197183103E-4</v>
      </c>
      <c r="M68" s="14">
        <f t="shared" si="28"/>
        <v>4.7762865441819992E-3</v>
      </c>
      <c r="N68" s="25">
        <f t="shared" si="29"/>
        <v>7.6577469630886447E-7</v>
      </c>
      <c r="O68" s="8">
        <f t="shared" si="30"/>
        <v>2.032E-3</v>
      </c>
      <c r="P68" s="8">
        <f t="shared" si="31"/>
        <v>7.4761453484195898E-11</v>
      </c>
      <c r="Q68" s="8">
        <v>0.33</v>
      </c>
      <c r="R68" s="17">
        <f t="shared" si="24"/>
        <v>133000</v>
      </c>
      <c r="S68" s="8">
        <f t="shared" si="32"/>
        <v>5.2493374855265302E-3</v>
      </c>
      <c r="T68" s="8">
        <v>0.13</v>
      </c>
      <c r="U68" s="17">
        <f t="shared" si="25"/>
        <v>112999.99999999999</v>
      </c>
      <c r="V68" s="8">
        <f t="shared" si="26"/>
        <v>20.537033802816904</v>
      </c>
      <c r="W68" s="8">
        <f t="shared" si="33"/>
        <v>642.38776274292195</v>
      </c>
      <c r="X68" s="22">
        <f t="shared" si="34"/>
        <v>3.0370824547636319E-14</v>
      </c>
      <c r="Y68" s="22">
        <f t="shared" si="35"/>
        <v>18289310542.586594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</row>
    <row r="69" spans="1:76" s="3" customFormat="1" x14ac:dyDescent="0.25">
      <c r="A69" s="14">
        <v>201</v>
      </c>
      <c r="B69" s="14">
        <f t="shared" si="18"/>
        <v>3.35</v>
      </c>
      <c r="C69" s="14">
        <v>20</v>
      </c>
      <c r="D69" s="14">
        <f t="shared" si="19"/>
        <v>29.146000000000001</v>
      </c>
      <c r="E69" s="14">
        <f t="shared" si="20"/>
        <v>4.8576666666666667E-7</v>
      </c>
      <c r="F69" s="14">
        <v>21.1</v>
      </c>
      <c r="G69" s="14">
        <f t="shared" si="21"/>
        <v>294.10000000000002</v>
      </c>
      <c r="H69" s="14">
        <v>101.3</v>
      </c>
      <c r="I69" s="14">
        <f t="shared" si="22"/>
        <v>101300</v>
      </c>
      <c r="J69" s="14">
        <f t="shared" si="23"/>
        <v>2.0124824921938581E-5</v>
      </c>
      <c r="K69" s="13">
        <v>187.23661971830987</v>
      </c>
      <c r="L69" s="8">
        <f t="shared" si="27"/>
        <v>1.8723661971830987E-4</v>
      </c>
      <c r="M69" s="14">
        <f t="shared" si="28"/>
        <v>4.7762865441819992E-3</v>
      </c>
      <c r="N69" s="25">
        <f t="shared" si="29"/>
        <v>7.8891920657409297E-7</v>
      </c>
      <c r="O69" s="8">
        <f t="shared" si="30"/>
        <v>2.032E-3</v>
      </c>
      <c r="P69" s="8">
        <f t="shared" si="31"/>
        <v>7.4761453484195898E-11</v>
      </c>
      <c r="Q69" s="8">
        <v>0.33</v>
      </c>
      <c r="R69" s="17">
        <f t="shared" si="24"/>
        <v>133000</v>
      </c>
      <c r="S69" s="8">
        <f t="shared" si="32"/>
        <v>5.2493374855265302E-3</v>
      </c>
      <c r="T69" s="8">
        <v>0.13</v>
      </c>
      <c r="U69" s="17">
        <f t="shared" si="25"/>
        <v>112999.99999999999</v>
      </c>
      <c r="V69" s="8">
        <f t="shared" si="26"/>
        <v>21.15773802816901</v>
      </c>
      <c r="W69" s="8">
        <f t="shared" si="33"/>
        <v>678.2069152653545</v>
      </c>
      <c r="X69" s="22">
        <f t="shared" si="34"/>
        <v>3.1297211650308254E-14</v>
      </c>
      <c r="Y69" s="22">
        <f t="shared" si="35"/>
        <v>18847180855.815632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</row>
    <row r="70" spans="1:76" s="3" customFormat="1" x14ac:dyDescent="0.25">
      <c r="L70" s="1"/>
      <c r="M70" s="1"/>
      <c r="N70" s="25"/>
      <c r="O70" s="8"/>
      <c r="P70" s="8"/>
      <c r="Q70" s="8"/>
      <c r="R70" s="8"/>
      <c r="S70" s="8"/>
      <c r="T70" s="4"/>
      <c r="U70" s="8"/>
      <c r="V70" s="8"/>
      <c r="W70" s="8"/>
      <c r="X70" s="8"/>
      <c r="Y70" s="4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</row>
    <row r="71" spans="1:76" s="3" customFormat="1" x14ac:dyDescent="0.25">
      <c r="L71" s="1"/>
      <c r="M71" s="1"/>
      <c r="N71" s="27"/>
      <c r="O71" s="10"/>
      <c r="P71" s="10"/>
      <c r="Q71" s="10"/>
      <c r="R71" s="10"/>
      <c r="S71" s="10"/>
      <c r="T71" s="12"/>
      <c r="U71" s="10"/>
      <c r="V71" s="10"/>
      <c r="W71" s="10"/>
      <c r="X71" s="10"/>
      <c r="Y71" s="12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</row>
    <row r="72" spans="1:76" s="3" customFormat="1" x14ac:dyDescent="0.25">
      <c r="L72" s="1"/>
      <c r="M72" s="1"/>
      <c r="N72" s="27"/>
      <c r="O72" s="10"/>
      <c r="P72" s="10"/>
      <c r="Q72" s="10"/>
      <c r="R72" s="10"/>
      <c r="S72" s="10"/>
      <c r="T72" s="12"/>
      <c r="U72" s="10"/>
      <c r="V72" s="10"/>
      <c r="W72" s="10"/>
      <c r="X72" s="23">
        <f>AVERAGE(X40:X69)</f>
        <v>3.1037904938702906E-14</v>
      </c>
      <c r="Y72" s="23">
        <f>AVERAGE(Y40:Y69)</f>
        <v>18691026354.086895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</row>
    <row r="73" spans="1:76" s="3" customFormat="1" x14ac:dyDescent="0.25">
      <c r="L73" s="1"/>
      <c r="M73" s="1"/>
      <c r="N73" s="27"/>
      <c r="O73" s="10"/>
      <c r="P73" s="10"/>
      <c r="Q73" s="10"/>
      <c r="R73" s="10"/>
      <c r="S73" s="10"/>
      <c r="T73" s="12"/>
      <c r="U73" s="10"/>
      <c r="V73" s="10"/>
      <c r="W73" s="10"/>
      <c r="X73" s="10"/>
      <c r="Y73" s="12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</row>
    <row r="74" spans="1:76" s="3" customFormat="1" x14ac:dyDescent="0.25">
      <c r="L74" s="1"/>
      <c r="M74" s="1"/>
      <c r="N74" s="27"/>
      <c r="O74" s="10"/>
      <c r="P74" s="10"/>
      <c r="Q74" s="10"/>
      <c r="R74" s="10"/>
      <c r="S74" s="10"/>
      <c r="T74" s="12"/>
      <c r="U74" s="10"/>
      <c r="V74" s="10"/>
      <c r="W74" s="10"/>
      <c r="X74" s="10"/>
      <c r="Y74" s="12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</row>
    <row r="75" spans="1:76" s="3" customFormat="1" x14ac:dyDescent="0.25">
      <c r="L75" s="1"/>
      <c r="M75" s="1"/>
      <c r="N75" s="27"/>
      <c r="O75" s="10"/>
      <c r="P75" s="10"/>
      <c r="Q75" s="10"/>
      <c r="R75" s="10"/>
      <c r="S75" s="10"/>
      <c r="T75" s="12"/>
      <c r="U75" s="10"/>
      <c r="V75" s="10"/>
      <c r="W75" s="10"/>
      <c r="X75" s="10"/>
      <c r="Y75" s="12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</row>
    <row r="76" spans="1:76" s="3" customFormat="1" x14ac:dyDescent="0.25">
      <c r="L76" s="1"/>
      <c r="M76" s="1"/>
      <c r="N76" s="27"/>
      <c r="O76" s="10"/>
      <c r="P76" s="10"/>
      <c r="Q76" s="10"/>
      <c r="R76" s="10"/>
      <c r="S76" s="10"/>
      <c r="T76" s="12"/>
      <c r="U76" s="10"/>
      <c r="V76" s="10"/>
      <c r="W76" s="10"/>
      <c r="X76" s="10"/>
      <c r="Y76" s="12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</row>
    <row r="77" spans="1:76" s="3" customFormat="1" x14ac:dyDescent="0.25">
      <c r="L77" s="1"/>
      <c r="M77" s="1"/>
      <c r="N77" s="27"/>
      <c r="O77" s="10"/>
      <c r="P77" s="10"/>
      <c r="Q77" s="10"/>
      <c r="R77" s="10"/>
      <c r="S77" s="10"/>
      <c r="T77" s="12"/>
      <c r="U77" s="10"/>
      <c r="V77" s="10"/>
      <c r="W77" s="10"/>
      <c r="X77" s="10"/>
      <c r="Y77" s="12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</row>
    <row r="78" spans="1:76" s="3" customFormat="1" x14ac:dyDescent="0.25">
      <c r="L78" s="1"/>
      <c r="M78" s="1"/>
      <c r="N78" s="27"/>
      <c r="O78" s="10"/>
      <c r="P78" s="10"/>
      <c r="Q78" s="10"/>
      <c r="R78" s="10"/>
      <c r="S78" s="10"/>
      <c r="T78" s="12"/>
      <c r="U78" s="10"/>
      <c r="V78" s="10"/>
      <c r="W78" s="10"/>
      <c r="X78" s="10"/>
      <c r="Y78" s="12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</row>
    <row r="79" spans="1:76" s="3" customFormat="1" x14ac:dyDescent="0.25">
      <c r="L79" s="1"/>
      <c r="M79" s="1"/>
      <c r="N79" s="27"/>
      <c r="O79" s="10"/>
      <c r="P79" s="10"/>
      <c r="Q79" s="10"/>
      <c r="R79" s="10"/>
      <c r="S79" s="10"/>
      <c r="T79" s="12"/>
      <c r="U79" s="10"/>
      <c r="V79" s="10"/>
      <c r="W79" s="10"/>
      <c r="X79" s="10"/>
      <c r="Y79" s="12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</row>
    <row r="80" spans="1:76" s="3" customFormat="1" x14ac:dyDescent="0.25">
      <c r="L80" s="1"/>
      <c r="M80" s="1"/>
      <c r="N80" s="27"/>
      <c r="O80" s="10"/>
      <c r="P80" s="10"/>
      <c r="Q80" s="10"/>
      <c r="R80" s="10"/>
      <c r="S80" s="10"/>
      <c r="T80" s="12"/>
      <c r="U80" s="10"/>
      <c r="V80" s="10"/>
      <c r="W80" s="10"/>
      <c r="X80" s="10"/>
      <c r="Y80" s="12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</row>
    <row r="81" spans="12:76" s="3" customFormat="1" x14ac:dyDescent="0.25">
      <c r="L81" s="1"/>
      <c r="M81" s="1"/>
      <c r="N81" s="27"/>
      <c r="O81" s="10"/>
      <c r="P81" s="10"/>
      <c r="Q81" s="10"/>
      <c r="R81" s="10"/>
      <c r="S81" s="10"/>
      <c r="T81" s="12"/>
      <c r="U81" s="10"/>
      <c r="V81" s="10"/>
      <c r="W81" s="10"/>
      <c r="X81" s="10"/>
      <c r="Y81" s="12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</row>
    <row r="82" spans="12:76" s="3" customFormat="1" x14ac:dyDescent="0.25">
      <c r="L82" s="1"/>
      <c r="M82" s="1"/>
      <c r="N82" s="27"/>
      <c r="O82" s="10"/>
      <c r="P82" s="10"/>
      <c r="Q82" s="10"/>
      <c r="R82" s="10"/>
      <c r="S82" s="10"/>
      <c r="T82" s="12"/>
      <c r="U82" s="10"/>
      <c r="V82" s="10"/>
      <c r="W82" s="10"/>
      <c r="X82" s="10"/>
      <c r="Y82" s="12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</row>
    <row r="83" spans="12:76" s="3" customFormat="1" x14ac:dyDescent="0.25">
      <c r="L83" s="1"/>
      <c r="M83" s="1"/>
      <c r="N83" s="27"/>
      <c r="O83" s="10"/>
      <c r="P83" s="10"/>
      <c r="Q83" s="10"/>
      <c r="R83" s="10"/>
      <c r="S83" s="10"/>
      <c r="T83" s="12"/>
      <c r="U83" s="10"/>
      <c r="V83" s="10"/>
      <c r="W83" s="10"/>
      <c r="X83" s="10"/>
      <c r="Y83" s="12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</row>
    <row r="84" spans="12:76" s="3" customFormat="1" x14ac:dyDescent="0.25">
      <c r="L84" s="1"/>
      <c r="M84" s="1"/>
      <c r="N84" s="27"/>
      <c r="O84" s="10"/>
      <c r="P84" s="10"/>
      <c r="Q84" s="10"/>
      <c r="R84" s="10"/>
      <c r="S84" s="10"/>
      <c r="T84" s="12"/>
      <c r="U84" s="10"/>
      <c r="V84" s="10"/>
      <c r="W84" s="10"/>
      <c r="X84" s="10"/>
      <c r="Y84" s="12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</row>
    <row r="85" spans="12:76" s="3" customFormat="1" x14ac:dyDescent="0.25">
      <c r="L85" s="1"/>
      <c r="M85" s="1"/>
      <c r="N85" s="27"/>
      <c r="O85" s="10"/>
      <c r="P85" s="10"/>
      <c r="Q85" s="10"/>
      <c r="R85" s="10"/>
      <c r="S85" s="10"/>
      <c r="T85" s="12"/>
      <c r="U85" s="10"/>
      <c r="V85" s="10"/>
      <c r="W85" s="10"/>
      <c r="X85" s="10"/>
      <c r="Y85" s="12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</row>
    <row r="86" spans="12:76" s="3" customFormat="1" x14ac:dyDescent="0.25">
      <c r="L86" s="1"/>
      <c r="M86" s="1"/>
      <c r="N86" s="27"/>
      <c r="O86" s="10"/>
      <c r="P86" s="10"/>
      <c r="Q86" s="10"/>
      <c r="R86" s="10"/>
      <c r="S86" s="10"/>
      <c r="T86" s="12"/>
      <c r="U86" s="10"/>
      <c r="V86" s="10"/>
      <c r="W86" s="10"/>
      <c r="X86" s="10"/>
      <c r="Y86" s="12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</row>
    <row r="87" spans="12:76" s="3" customFormat="1" x14ac:dyDescent="0.25">
      <c r="L87" s="1"/>
      <c r="M87" s="1"/>
      <c r="N87" s="27"/>
      <c r="O87" s="10"/>
      <c r="P87" s="10"/>
      <c r="Q87" s="10"/>
      <c r="R87" s="10"/>
      <c r="S87" s="10"/>
      <c r="T87" s="12"/>
      <c r="U87" s="10"/>
      <c r="V87" s="10"/>
      <c r="W87" s="10"/>
      <c r="X87" s="10"/>
      <c r="Y87" s="12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</row>
    <row r="88" spans="12:76" s="3" customFormat="1" x14ac:dyDescent="0.25">
      <c r="L88" s="1"/>
      <c r="M88" s="1"/>
      <c r="N88" s="27"/>
      <c r="O88" s="10"/>
      <c r="P88" s="10"/>
      <c r="Q88" s="10"/>
      <c r="R88" s="10"/>
      <c r="S88" s="10"/>
      <c r="T88" s="12"/>
      <c r="U88" s="10"/>
      <c r="V88" s="10"/>
      <c r="W88" s="10"/>
      <c r="X88" s="10"/>
      <c r="Y88" s="12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</row>
    <row r="89" spans="12:76" s="3" customFormat="1" x14ac:dyDescent="0.25">
      <c r="L89" s="1"/>
      <c r="M89" s="1"/>
      <c r="N89" s="27"/>
      <c r="O89" s="10"/>
      <c r="P89" s="10"/>
      <c r="Q89" s="10"/>
      <c r="R89" s="10"/>
      <c r="S89" s="10"/>
      <c r="T89" s="12"/>
      <c r="U89" s="10"/>
      <c r="V89" s="10"/>
      <c r="W89" s="10"/>
      <c r="X89" s="10"/>
      <c r="Y89" s="12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</row>
    <row r="90" spans="12:76" s="3" customFormat="1" x14ac:dyDescent="0.25">
      <c r="L90" s="1"/>
      <c r="M90" s="1"/>
      <c r="N90" s="27"/>
      <c r="O90" s="10"/>
      <c r="P90" s="10"/>
      <c r="Q90" s="10"/>
      <c r="R90" s="10"/>
      <c r="S90" s="10"/>
      <c r="T90" s="12"/>
      <c r="U90" s="10"/>
      <c r="V90" s="10"/>
      <c r="W90" s="10"/>
      <c r="X90" s="10"/>
      <c r="Y90" s="12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</row>
    <row r="91" spans="12:76" s="3" customFormat="1" x14ac:dyDescent="0.25">
      <c r="L91" s="1"/>
      <c r="M91" s="1"/>
      <c r="N91" s="27"/>
      <c r="O91" s="10"/>
      <c r="P91" s="10"/>
      <c r="Q91" s="10"/>
      <c r="R91" s="10"/>
      <c r="S91" s="10"/>
      <c r="T91" s="12"/>
      <c r="U91" s="10"/>
      <c r="V91" s="10"/>
      <c r="W91" s="10"/>
      <c r="X91" s="10"/>
      <c r="Y91" s="12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</row>
    <row r="92" spans="12:76" s="3" customFormat="1" x14ac:dyDescent="0.25">
      <c r="L92" s="1"/>
      <c r="M92" s="1"/>
      <c r="N92" s="27"/>
      <c r="O92" s="10"/>
      <c r="P92" s="10"/>
      <c r="Q92" s="10"/>
      <c r="R92" s="10"/>
      <c r="S92" s="10"/>
      <c r="T92" s="12"/>
      <c r="U92" s="10"/>
      <c r="V92" s="10"/>
      <c r="W92" s="10"/>
      <c r="X92" s="10"/>
      <c r="Y92" s="12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</row>
    <row r="93" spans="12:76" s="3" customFormat="1" x14ac:dyDescent="0.25">
      <c r="L93" s="1"/>
      <c r="M93" s="1"/>
      <c r="N93" s="27"/>
      <c r="O93" s="10"/>
      <c r="P93" s="10"/>
      <c r="Q93" s="10"/>
      <c r="R93" s="10"/>
      <c r="S93" s="10"/>
      <c r="T93" s="12"/>
      <c r="U93" s="10"/>
      <c r="V93" s="10"/>
      <c r="W93" s="10"/>
      <c r="X93" s="10"/>
      <c r="Y93" s="12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</row>
    <row r="94" spans="12:76" s="3" customFormat="1" x14ac:dyDescent="0.25">
      <c r="L94" s="1"/>
      <c r="M94" s="1"/>
      <c r="N94" s="27"/>
      <c r="O94" s="10"/>
      <c r="P94" s="10"/>
      <c r="Q94" s="10"/>
      <c r="R94" s="10"/>
      <c r="S94" s="10"/>
      <c r="T94" s="12"/>
      <c r="U94" s="10"/>
      <c r="V94" s="10"/>
      <c r="W94" s="10"/>
      <c r="X94" s="10"/>
      <c r="Y94" s="12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</row>
    <row r="95" spans="12:76" s="3" customFormat="1" x14ac:dyDescent="0.25">
      <c r="L95" s="1"/>
      <c r="M95" s="1"/>
      <c r="N95" s="27"/>
      <c r="O95" s="10"/>
      <c r="P95" s="10"/>
      <c r="Q95" s="10"/>
      <c r="R95" s="10"/>
      <c r="S95" s="10"/>
      <c r="T95" s="12"/>
      <c r="U95" s="10"/>
      <c r="V95" s="10"/>
      <c r="W95" s="10"/>
      <c r="X95" s="10"/>
      <c r="Y95" s="12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</row>
    <row r="96" spans="12:76" s="3" customFormat="1" x14ac:dyDescent="0.25">
      <c r="L96" s="1"/>
      <c r="M96" s="1"/>
      <c r="N96" s="27"/>
      <c r="O96" s="10"/>
      <c r="P96" s="10"/>
      <c r="Q96" s="10"/>
      <c r="R96" s="10"/>
      <c r="S96" s="10"/>
      <c r="T96" s="12"/>
      <c r="U96" s="10"/>
      <c r="V96" s="10"/>
      <c r="W96" s="10"/>
      <c r="X96" s="10"/>
      <c r="Y96" s="12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</row>
    <row r="97" spans="12:76" s="3" customFormat="1" x14ac:dyDescent="0.25">
      <c r="L97" s="1"/>
      <c r="M97" s="1"/>
      <c r="N97" s="27"/>
      <c r="O97" s="10"/>
      <c r="P97" s="10"/>
      <c r="Q97" s="10"/>
      <c r="R97" s="10"/>
      <c r="S97" s="10"/>
      <c r="T97" s="12"/>
      <c r="U97" s="10"/>
      <c r="V97" s="10"/>
      <c r="W97" s="10"/>
      <c r="X97" s="10"/>
      <c r="Y97" s="12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</row>
    <row r="98" spans="12:76" s="3" customFormat="1" x14ac:dyDescent="0.25">
      <c r="L98" s="1"/>
      <c r="M98" s="1"/>
      <c r="N98" s="27"/>
      <c r="O98" s="10"/>
      <c r="P98" s="10"/>
      <c r="Q98" s="10"/>
      <c r="R98" s="10"/>
      <c r="S98" s="10"/>
      <c r="T98" s="12"/>
      <c r="U98" s="10"/>
      <c r="V98" s="10"/>
      <c r="W98" s="10"/>
      <c r="X98" s="10"/>
      <c r="Y98" s="12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</row>
    <row r="99" spans="12:76" s="3" customFormat="1" x14ac:dyDescent="0.25">
      <c r="L99" s="1"/>
      <c r="M99" s="1"/>
      <c r="N99" s="27"/>
      <c r="O99" s="10"/>
      <c r="P99" s="10"/>
      <c r="Q99" s="10"/>
      <c r="R99" s="10"/>
      <c r="S99" s="10"/>
      <c r="T99" s="12"/>
      <c r="U99" s="10"/>
      <c r="V99" s="10"/>
      <c r="W99" s="10"/>
      <c r="X99" s="10"/>
      <c r="Y99" s="12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</row>
    <row r="100" spans="12:76" s="3" customFormat="1" x14ac:dyDescent="0.25">
      <c r="L100" s="1"/>
      <c r="M100" s="1"/>
      <c r="N100" s="27"/>
      <c r="O100" s="10"/>
      <c r="P100" s="10"/>
      <c r="Q100" s="10"/>
      <c r="R100" s="10"/>
      <c r="S100" s="10"/>
      <c r="T100" s="12"/>
      <c r="U100" s="10"/>
      <c r="V100" s="10"/>
      <c r="W100" s="10"/>
      <c r="X100" s="10"/>
      <c r="Y100" s="12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</row>
    <row r="101" spans="12:76" s="3" customFormat="1" x14ac:dyDescent="0.25">
      <c r="L101" s="1"/>
      <c r="M101" s="1"/>
      <c r="N101" s="27"/>
      <c r="O101" s="10"/>
      <c r="P101" s="10"/>
      <c r="Q101" s="10"/>
      <c r="R101" s="10"/>
      <c r="S101" s="10"/>
      <c r="T101" s="12"/>
      <c r="U101" s="10"/>
      <c r="V101" s="10"/>
      <c r="W101" s="10"/>
      <c r="X101" s="10"/>
      <c r="Y101" s="12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</row>
    <row r="102" spans="12:76" s="3" customFormat="1" x14ac:dyDescent="0.25">
      <c r="L102" s="1"/>
      <c r="M102" s="1"/>
      <c r="N102" s="27"/>
      <c r="O102" s="10"/>
      <c r="P102" s="10"/>
      <c r="Q102" s="10"/>
      <c r="R102" s="10"/>
      <c r="S102" s="10"/>
      <c r="T102" s="12"/>
      <c r="U102" s="10"/>
      <c r="V102" s="10"/>
      <c r="W102" s="10"/>
      <c r="X102" s="10"/>
      <c r="Y102" s="12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</row>
    <row r="103" spans="12:76" s="3" customFormat="1" x14ac:dyDescent="0.25">
      <c r="L103" s="1"/>
      <c r="M103" s="1"/>
      <c r="N103" s="27"/>
      <c r="O103" s="10"/>
      <c r="P103" s="10"/>
      <c r="Q103" s="10"/>
      <c r="R103" s="10"/>
      <c r="S103" s="10"/>
      <c r="T103" s="12"/>
      <c r="U103" s="10"/>
      <c r="V103" s="10"/>
      <c r="W103" s="10"/>
      <c r="X103" s="10"/>
      <c r="Y103" s="12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</row>
    <row r="104" spans="12:76" s="3" customFormat="1" x14ac:dyDescent="0.25">
      <c r="L104" s="1"/>
      <c r="M104" s="1"/>
      <c r="N104" s="27"/>
      <c r="O104" s="10"/>
      <c r="P104" s="10"/>
      <c r="Q104" s="10"/>
      <c r="R104" s="10"/>
      <c r="S104" s="10"/>
      <c r="T104" s="12"/>
      <c r="U104" s="10"/>
      <c r="V104" s="10"/>
      <c r="W104" s="10"/>
      <c r="X104" s="10"/>
      <c r="Y104" s="12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</row>
    <row r="105" spans="12:76" s="3" customFormat="1" x14ac:dyDescent="0.25">
      <c r="L105" s="1"/>
      <c r="M105" s="1"/>
      <c r="N105" s="27"/>
      <c r="O105" s="10"/>
      <c r="P105" s="10"/>
      <c r="Q105" s="10"/>
      <c r="R105" s="10"/>
      <c r="S105" s="10"/>
      <c r="T105" s="12"/>
      <c r="U105" s="10"/>
      <c r="V105" s="10"/>
      <c r="W105" s="10"/>
      <c r="X105" s="10"/>
      <c r="Y105" s="12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</row>
    <row r="106" spans="12:76" s="3" customFormat="1" x14ac:dyDescent="0.25">
      <c r="L106" s="1"/>
      <c r="M106" s="1"/>
      <c r="N106" s="27"/>
      <c r="O106" s="10"/>
      <c r="P106" s="10"/>
      <c r="Q106" s="10"/>
      <c r="R106" s="10"/>
      <c r="S106" s="10"/>
      <c r="T106" s="12"/>
      <c r="U106" s="10"/>
      <c r="V106" s="10"/>
      <c r="W106" s="10"/>
      <c r="X106" s="10"/>
      <c r="Y106" s="12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</row>
    <row r="107" spans="12:76" s="3" customFormat="1" x14ac:dyDescent="0.25">
      <c r="L107" s="1"/>
      <c r="M107" s="1"/>
      <c r="N107" s="27"/>
      <c r="O107" s="10"/>
      <c r="P107" s="10"/>
      <c r="Q107" s="10"/>
      <c r="R107" s="10"/>
      <c r="S107" s="10"/>
      <c r="T107" s="12"/>
      <c r="U107" s="10"/>
      <c r="V107" s="10"/>
      <c r="W107" s="10"/>
      <c r="X107" s="10"/>
      <c r="Y107" s="12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</row>
    <row r="108" spans="12:76" s="3" customFormat="1" x14ac:dyDescent="0.25">
      <c r="L108" s="1"/>
      <c r="M108" s="1"/>
      <c r="N108" s="27"/>
      <c r="O108" s="10"/>
      <c r="P108" s="10"/>
      <c r="Q108" s="10"/>
      <c r="R108" s="10"/>
      <c r="S108" s="10"/>
      <c r="T108" s="12"/>
      <c r="U108" s="10"/>
      <c r="V108" s="10"/>
      <c r="W108" s="10"/>
      <c r="X108" s="10"/>
      <c r="Y108" s="12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</row>
    <row r="109" spans="12:76" s="3" customFormat="1" x14ac:dyDescent="0.25">
      <c r="L109" s="1"/>
      <c r="M109" s="1"/>
      <c r="N109" s="27"/>
      <c r="O109" s="10"/>
      <c r="P109" s="10"/>
      <c r="Q109" s="10"/>
      <c r="R109" s="10"/>
      <c r="S109" s="10"/>
      <c r="T109" s="12"/>
      <c r="U109" s="10"/>
      <c r="V109" s="10"/>
      <c r="W109" s="10"/>
      <c r="X109" s="10"/>
      <c r="Y109" s="12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</row>
    <row r="110" spans="12:76" s="3" customFormat="1" x14ac:dyDescent="0.25">
      <c r="L110" s="1"/>
      <c r="M110" s="1"/>
      <c r="N110" s="27"/>
      <c r="O110" s="10"/>
      <c r="P110" s="10"/>
      <c r="Q110" s="10"/>
      <c r="R110" s="10"/>
      <c r="S110" s="10"/>
      <c r="T110" s="12"/>
      <c r="U110" s="10"/>
      <c r="V110" s="10"/>
      <c r="W110" s="10"/>
      <c r="X110" s="10"/>
      <c r="Y110" s="12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</row>
    <row r="111" spans="12:76" s="3" customFormat="1" x14ac:dyDescent="0.25">
      <c r="L111" s="1"/>
      <c r="M111" s="1"/>
      <c r="N111" s="27"/>
      <c r="O111" s="10"/>
      <c r="P111" s="10"/>
      <c r="Q111" s="10"/>
      <c r="R111" s="10"/>
      <c r="S111" s="10"/>
      <c r="T111" s="12"/>
      <c r="U111" s="10"/>
      <c r="V111" s="10"/>
      <c r="W111" s="10"/>
      <c r="X111" s="10"/>
      <c r="Y111" s="12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</row>
    <row r="112" spans="12:76" s="3" customFormat="1" x14ac:dyDescent="0.25">
      <c r="L112" s="1"/>
      <c r="M112" s="1"/>
      <c r="N112" s="27"/>
      <c r="O112" s="10"/>
      <c r="P112" s="10"/>
      <c r="Q112" s="10"/>
      <c r="R112" s="10"/>
      <c r="S112" s="10"/>
      <c r="T112" s="12"/>
      <c r="U112" s="10"/>
      <c r="V112" s="10"/>
      <c r="W112" s="10"/>
      <c r="X112" s="10"/>
      <c r="Y112" s="12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</row>
    <row r="113" spans="12:76" s="3" customFormat="1" x14ac:dyDescent="0.25">
      <c r="L113" s="1"/>
      <c r="M113" s="1"/>
      <c r="N113" s="27"/>
      <c r="O113" s="10"/>
      <c r="P113" s="10"/>
      <c r="Q113" s="10"/>
      <c r="R113" s="10"/>
      <c r="S113" s="10"/>
      <c r="T113" s="12"/>
      <c r="U113" s="10"/>
      <c r="V113" s="10"/>
      <c r="W113" s="10"/>
      <c r="X113" s="10"/>
      <c r="Y113" s="12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</row>
    <row r="114" spans="12:76" s="3" customFormat="1" x14ac:dyDescent="0.25">
      <c r="L114" s="1"/>
      <c r="M114" s="1"/>
      <c r="N114" s="27"/>
      <c r="O114" s="10"/>
      <c r="P114" s="10"/>
      <c r="Q114" s="10"/>
      <c r="R114" s="10"/>
      <c r="S114" s="10"/>
      <c r="T114" s="12"/>
      <c r="U114" s="10"/>
      <c r="V114" s="10"/>
      <c r="W114" s="10"/>
      <c r="X114" s="10"/>
      <c r="Y114" s="12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</row>
    <row r="115" spans="12:76" s="3" customFormat="1" x14ac:dyDescent="0.25">
      <c r="L115" s="1"/>
      <c r="M115" s="1"/>
      <c r="N115" s="27"/>
      <c r="O115" s="10"/>
      <c r="P115" s="10"/>
      <c r="Q115" s="10"/>
      <c r="R115" s="10"/>
      <c r="S115" s="10"/>
      <c r="T115" s="12"/>
      <c r="U115" s="10"/>
      <c r="V115" s="10"/>
      <c r="W115" s="10"/>
      <c r="X115" s="10"/>
      <c r="Y115" s="12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A451-15A0-4A07-A6D3-6DDF26527A60}">
  <dimension ref="A1:BX187"/>
  <sheetViews>
    <sheetView tabSelected="1" topLeftCell="X52" zoomScale="120" zoomScaleNormal="120" workbookViewId="0">
      <selection activeCell="AE65" sqref="AE65"/>
    </sheetView>
  </sheetViews>
  <sheetFormatPr defaultRowHeight="13.8" x14ac:dyDescent="0.25"/>
  <cols>
    <col min="1" max="4" width="22.109375" style="3" customWidth="1"/>
    <col min="5" max="5" width="18.77734375" style="3" customWidth="1"/>
    <col min="6" max="6" width="17.33203125" style="3" customWidth="1"/>
    <col min="7" max="7" width="16.6640625" style="3" customWidth="1"/>
    <col min="8" max="8" width="20.88671875" style="3" customWidth="1"/>
    <col min="9" max="9" width="19.21875" style="3" customWidth="1"/>
    <col min="10" max="10" width="23.109375" style="3" customWidth="1"/>
    <col min="11" max="11" width="13.6640625" style="3" customWidth="1"/>
    <col min="12" max="12" width="20.88671875" style="1" customWidth="1"/>
    <col min="13" max="13" width="27.33203125" style="1" customWidth="1"/>
    <col min="14" max="14" width="20.6640625" style="27" customWidth="1"/>
    <col min="15" max="15" width="20.6640625" style="10" customWidth="1"/>
    <col min="16" max="16" width="39.5546875" style="10" customWidth="1"/>
    <col min="17" max="17" width="23.21875" style="12" customWidth="1"/>
    <col min="18" max="18" width="30.88671875" style="10" customWidth="1"/>
    <col min="19" max="22" width="20.6640625" style="10" customWidth="1"/>
    <col min="23" max="23" width="23.77734375" style="10" customWidth="1"/>
    <col min="24" max="24" width="47.33203125" style="10" customWidth="1"/>
    <col min="25" max="25" width="51.6640625" style="10" customWidth="1"/>
    <col min="26" max="16384" width="8.88671875" style="5"/>
  </cols>
  <sheetData>
    <row r="1" spans="1:25" s="18" customFormat="1" ht="63.6" customHeight="1" x14ac:dyDescent="0.3">
      <c r="A1" s="19" t="s">
        <v>6</v>
      </c>
      <c r="B1" s="7" t="s">
        <v>5</v>
      </c>
      <c r="C1" s="19" t="s">
        <v>2</v>
      </c>
      <c r="D1" s="19" t="s">
        <v>1</v>
      </c>
      <c r="E1" s="7" t="s">
        <v>0</v>
      </c>
      <c r="F1" s="19" t="s">
        <v>3</v>
      </c>
      <c r="G1" s="7" t="s">
        <v>8</v>
      </c>
      <c r="H1" s="19" t="s">
        <v>4</v>
      </c>
      <c r="I1" s="7" t="s">
        <v>9</v>
      </c>
      <c r="J1" s="7" t="s">
        <v>7</v>
      </c>
      <c r="K1" s="19" t="s">
        <v>16</v>
      </c>
      <c r="L1" s="7" t="s">
        <v>17</v>
      </c>
      <c r="M1" s="7" t="s">
        <v>13</v>
      </c>
      <c r="N1" s="24" t="s">
        <v>15</v>
      </c>
      <c r="O1" s="9" t="s">
        <v>18</v>
      </c>
      <c r="P1" s="9" t="s">
        <v>27</v>
      </c>
      <c r="Q1" s="20" t="s">
        <v>10</v>
      </c>
      <c r="R1" s="9" t="s">
        <v>20</v>
      </c>
      <c r="S1" s="9" t="s">
        <v>28</v>
      </c>
      <c r="T1" s="9" t="s">
        <v>11</v>
      </c>
      <c r="U1" s="9" t="s">
        <v>12</v>
      </c>
      <c r="V1" s="9" t="s">
        <v>22</v>
      </c>
      <c r="W1" s="9" t="s">
        <v>14</v>
      </c>
      <c r="X1" s="21" t="s">
        <v>23</v>
      </c>
      <c r="Y1" s="21" t="s">
        <v>24</v>
      </c>
    </row>
    <row r="2" spans="1:25" x14ac:dyDescent="0.25">
      <c r="A2" s="2">
        <v>0</v>
      </c>
      <c r="B2" s="2">
        <f>(A2/60)</f>
        <v>0</v>
      </c>
      <c r="C2" s="2">
        <v>20</v>
      </c>
      <c r="D2" s="2">
        <f t="shared" ref="D2:D62" si="0">(C2*1.4573)</f>
        <v>29.146000000000001</v>
      </c>
      <c r="E2" s="2">
        <f>(D2/(1000000*60))</f>
        <v>4.8576666666666667E-7</v>
      </c>
      <c r="F2" s="2">
        <v>21.1</v>
      </c>
      <c r="G2" s="2">
        <f>(273+F2)</f>
        <v>294.10000000000002</v>
      </c>
      <c r="H2" s="2">
        <v>101.3</v>
      </c>
      <c r="I2" s="2">
        <f>(H2*1000)</f>
        <v>101300</v>
      </c>
      <c r="J2" s="2">
        <f>((I2*E2)/(8.314*G2))</f>
        <v>2.0124824921938581E-5</v>
      </c>
      <c r="K2" s="11">
        <v>31.715492957746481</v>
      </c>
      <c r="L2" s="8">
        <f>(K2/1000000)</f>
        <v>3.1715492957746479E-5</v>
      </c>
      <c r="M2" s="1">
        <f>(3.142*3.07*3.07*25.4*25.4)/(4*1000000)</f>
        <v>4.7762865441819992E-3</v>
      </c>
      <c r="N2" s="25">
        <f>(L2*J2)/M2</f>
        <v>1.3363284157754308E-7</v>
      </c>
      <c r="O2" s="8">
        <f>(2.032/1000)</f>
        <v>2.032E-3</v>
      </c>
      <c r="P2" s="8">
        <f>(1.94149580791897E-10/1.414)</f>
        <v>1.3730521979624967E-10</v>
      </c>
      <c r="Q2" s="8">
        <v>0.31</v>
      </c>
      <c r="R2" s="8">
        <f>(1+Q2)*100000*1</f>
        <v>131000</v>
      </c>
      <c r="S2" s="8">
        <f>(5.36358238306597/1000)</f>
        <v>5.36358238306597E-3</v>
      </c>
      <c r="T2" s="8">
        <v>0.1</v>
      </c>
      <c r="U2" s="8">
        <f>(1+T2)*100000</f>
        <v>110000.00000000001</v>
      </c>
      <c r="V2" s="8">
        <f t="shared" ref="V2:V62" si="1">(L2*U2)</f>
        <v>3.4887042253521132</v>
      </c>
      <c r="W2" s="8">
        <f>((N2*O2/P2) + SQRT(V2))^2</f>
        <v>14.787556991993583</v>
      </c>
      <c r="X2" s="8">
        <f>(N2*S2)/(R2-W2)</f>
        <v>5.4719974989254289E-15</v>
      </c>
      <c r="Y2" s="8">
        <f>(X2*6.022E+23)</f>
        <v>3295236893.8528934</v>
      </c>
    </row>
    <row r="3" spans="1:25" x14ac:dyDescent="0.25">
      <c r="A3" s="16">
        <v>3</v>
      </c>
      <c r="B3" s="16">
        <f t="shared" ref="B3:B62" si="2">(A3/60)</f>
        <v>0.05</v>
      </c>
      <c r="C3" s="16">
        <v>20</v>
      </c>
      <c r="D3" s="16">
        <f t="shared" si="0"/>
        <v>29.146000000000001</v>
      </c>
      <c r="E3" s="16">
        <f t="shared" ref="E3:E62" si="3">(D3/(1000000*60))</f>
        <v>4.8576666666666667E-7</v>
      </c>
      <c r="F3" s="16">
        <v>21.1</v>
      </c>
      <c r="G3" s="16">
        <f t="shared" ref="G3:G62" si="4">(273+F3)</f>
        <v>294.10000000000002</v>
      </c>
      <c r="H3" s="16">
        <v>101.3</v>
      </c>
      <c r="I3" s="16">
        <f t="shared" ref="I3:I62" si="5">(H3*1000)</f>
        <v>101300</v>
      </c>
      <c r="J3" s="16">
        <f t="shared" ref="J3:J62" si="6">((I3*E3)/(8.314*G3))</f>
        <v>2.0124824921938581E-5</v>
      </c>
      <c r="K3" s="11">
        <v>26.560563380281693</v>
      </c>
      <c r="L3" s="17">
        <f t="shared" ref="L3:L62" si="7">(K3/1000000)</f>
        <v>2.6560563380281693E-5</v>
      </c>
      <c r="M3" s="14">
        <f t="shared" ref="M3:M66" si="8">(3.142*3.07*3.07*25.4*25.4)/(4*1000000)</f>
        <v>4.7762865441819992E-3</v>
      </c>
      <c r="N3" s="26">
        <f t="shared" ref="N3:N62" si="9">(L3*J3)/M3</f>
        <v>1.1191260886709778E-7</v>
      </c>
      <c r="O3" s="8">
        <f t="shared" ref="O3:O66" si="10">(2.032/1000)</f>
        <v>2.032E-3</v>
      </c>
      <c r="P3" s="8">
        <f t="shared" ref="P3:P66" si="11">(1.94149580791897E-10/1.414)</f>
        <v>1.3730521979624967E-10</v>
      </c>
      <c r="Q3" s="8">
        <v>0.31</v>
      </c>
      <c r="R3" s="17">
        <f t="shared" ref="R3:R62" si="12">(1+Q3)*100000*1</f>
        <v>131000</v>
      </c>
      <c r="S3" s="8">
        <f t="shared" ref="S3:S66" si="13">(5.36358238306597/1000)</f>
        <v>5.36358238306597E-3</v>
      </c>
      <c r="T3" s="8">
        <v>0.1</v>
      </c>
      <c r="U3" s="17">
        <f t="shared" ref="U3:U62" si="14">(1+T3)*100000</f>
        <v>110000.00000000001</v>
      </c>
      <c r="V3" s="17">
        <f t="shared" si="1"/>
        <v>2.9216619718309866</v>
      </c>
      <c r="W3" s="8">
        <f t="shared" ref="W3:W66" si="15">((N3*O3/P3) + SQRT(V3))^2</f>
        <v>11.326576923298607</v>
      </c>
      <c r="X3" s="8">
        <f t="shared" ref="X3:X66" si="16">(N3*S3)/(R3-W3)</f>
        <v>4.582476344529264E-15</v>
      </c>
      <c r="Y3" s="8">
        <f t="shared" ref="Y3:Y66" si="17">(X3*6.022E+23)</f>
        <v>2759567254.6755228</v>
      </c>
    </row>
    <row r="4" spans="1:25" x14ac:dyDescent="0.25">
      <c r="A4" s="16">
        <v>6</v>
      </c>
      <c r="B4" s="16">
        <f t="shared" si="2"/>
        <v>0.1</v>
      </c>
      <c r="C4" s="16">
        <v>20</v>
      </c>
      <c r="D4" s="16">
        <f t="shared" si="0"/>
        <v>29.146000000000001</v>
      </c>
      <c r="E4" s="16">
        <f t="shared" si="3"/>
        <v>4.8576666666666667E-7</v>
      </c>
      <c r="F4" s="16">
        <v>21.1</v>
      </c>
      <c r="G4" s="16">
        <f t="shared" si="4"/>
        <v>294.10000000000002</v>
      </c>
      <c r="H4" s="16">
        <v>101.3</v>
      </c>
      <c r="I4" s="16">
        <f t="shared" si="5"/>
        <v>101300</v>
      </c>
      <c r="J4" s="16">
        <f t="shared" si="6"/>
        <v>2.0124824921938581E-5</v>
      </c>
      <c r="K4" s="11">
        <v>27.518309859154932</v>
      </c>
      <c r="L4" s="17">
        <f t="shared" si="7"/>
        <v>2.7518309859154932E-5</v>
      </c>
      <c r="M4" s="14">
        <f t="shared" si="8"/>
        <v>4.7762865441819992E-3</v>
      </c>
      <c r="N4" s="26">
        <f t="shared" si="9"/>
        <v>1.1594806193898381E-7</v>
      </c>
      <c r="O4" s="8">
        <f t="shared" si="10"/>
        <v>2.032E-3</v>
      </c>
      <c r="P4" s="8">
        <f t="shared" si="11"/>
        <v>1.3730521979624967E-10</v>
      </c>
      <c r="Q4" s="8">
        <v>0.31</v>
      </c>
      <c r="R4" s="17">
        <f t="shared" si="12"/>
        <v>131000</v>
      </c>
      <c r="S4" s="8">
        <f t="shared" si="13"/>
        <v>5.36358238306597E-3</v>
      </c>
      <c r="T4" s="8">
        <v>0.1</v>
      </c>
      <c r="U4" s="17">
        <f t="shared" si="14"/>
        <v>110000.00000000001</v>
      </c>
      <c r="V4" s="17">
        <f t="shared" si="1"/>
        <v>3.027014084507043</v>
      </c>
      <c r="W4" s="8">
        <f t="shared" si="15"/>
        <v>11.942304320366127</v>
      </c>
      <c r="X4" s="8">
        <f t="shared" si="16"/>
        <v>4.7477380251824861E-15</v>
      </c>
      <c r="Y4" s="8">
        <f t="shared" si="17"/>
        <v>2859087838.7648931</v>
      </c>
    </row>
    <row r="5" spans="1:25" x14ac:dyDescent="0.25">
      <c r="A5" s="16">
        <v>9</v>
      </c>
      <c r="B5" s="16">
        <f t="shared" si="2"/>
        <v>0.15</v>
      </c>
      <c r="C5" s="16">
        <v>20</v>
      </c>
      <c r="D5" s="16">
        <f t="shared" si="0"/>
        <v>29.146000000000001</v>
      </c>
      <c r="E5" s="16">
        <f t="shared" si="3"/>
        <v>4.8576666666666667E-7</v>
      </c>
      <c r="F5" s="16">
        <v>21.1</v>
      </c>
      <c r="G5" s="16">
        <f t="shared" si="4"/>
        <v>294.10000000000002</v>
      </c>
      <c r="H5" s="16">
        <v>101.3</v>
      </c>
      <c r="I5" s="16">
        <f t="shared" si="5"/>
        <v>101300</v>
      </c>
      <c r="J5" s="16">
        <f t="shared" si="6"/>
        <v>2.0124824921938581E-5</v>
      </c>
      <c r="K5" s="11">
        <v>33.461971830985917</v>
      </c>
      <c r="L5" s="17">
        <f t="shared" si="7"/>
        <v>3.3461971830985915E-5</v>
      </c>
      <c r="M5" s="14">
        <f t="shared" si="8"/>
        <v>4.7762865441819992E-3</v>
      </c>
      <c r="N5" s="26">
        <f t="shared" si="9"/>
        <v>1.4099160894392346E-7</v>
      </c>
      <c r="O5" s="8">
        <f t="shared" si="10"/>
        <v>2.032E-3</v>
      </c>
      <c r="P5" s="8">
        <f t="shared" si="11"/>
        <v>1.3730521979624967E-10</v>
      </c>
      <c r="Q5" s="8">
        <v>0.31</v>
      </c>
      <c r="R5" s="17">
        <f t="shared" si="12"/>
        <v>131000</v>
      </c>
      <c r="S5" s="8">
        <f t="shared" si="13"/>
        <v>5.36358238306597E-3</v>
      </c>
      <c r="T5" s="8">
        <v>0.1</v>
      </c>
      <c r="U5" s="17">
        <f t="shared" si="14"/>
        <v>110000.00000000001</v>
      </c>
      <c r="V5" s="17">
        <f t="shared" si="1"/>
        <v>3.6808169014084511</v>
      </c>
      <c r="W5" s="8">
        <f t="shared" si="15"/>
        <v>16.040833447631112</v>
      </c>
      <c r="X5" s="8">
        <f t="shared" si="16"/>
        <v>5.7733795397815416E-15</v>
      </c>
      <c r="Y5" s="8">
        <f t="shared" si="17"/>
        <v>3476729158.8564444</v>
      </c>
    </row>
    <row r="6" spans="1:25" x14ac:dyDescent="0.25">
      <c r="A6" s="16">
        <v>12</v>
      </c>
      <c r="B6" s="16">
        <f t="shared" si="2"/>
        <v>0.2</v>
      </c>
      <c r="C6" s="16">
        <v>20</v>
      </c>
      <c r="D6" s="16">
        <f t="shared" si="0"/>
        <v>29.146000000000001</v>
      </c>
      <c r="E6" s="16">
        <f t="shared" si="3"/>
        <v>4.8576666666666667E-7</v>
      </c>
      <c r="F6" s="16">
        <v>21.1</v>
      </c>
      <c r="G6" s="16">
        <f t="shared" si="4"/>
        <v>294.10000000000002</v>
      </c>
      <c r="H6" s="16">
        <v>101.3</v>
      </c>
      <c r="I6" s="16">
        <f t="shared" si="5"/>
        <v>101300</v>
      </c>
      <c r="J6" s="16">
        <f t="shared" si="6"/>
        <v>2.0124824921938581E-5</v>
      </c>
      <c r="K6" s="11">
        <v>33.602816901408453</v>
      </c>
      <c r="L6" s="17">
        <f t="shared" si="7"/>
        <v>3.3602816901408451E-5</v>
      </c>
      <c r="M6" s="14">
        <f t="shared" si="8"/>
        <v>4.7762865441819992E-3</v>
      </c>
      <c r="N6" s="26">
        <f t="shared" si="9"/>
        <v>1.415850579250832E-7</v>
      </c>
      <c r="O6" s="8">
        <f t="shared" si="10"/>
        <v>2.032E-3</v>
      </c>
      <c r="P6" s="8">
        <f t="shared" si="11"/>
        <v>1.3730521979624967E-10</v>
      </c>
      <c r="Q6" s="8">
        <v>0.31</v>
      </c>
      <c r="R6" s="17">
        <f t="shared" si="12"/>
        <v>131000</v>
      </c>
      <c r="S6" s="8">
        <f t="shared" si="13"/>
        <v>5.36358238306597E-3</v>
      </c>
      <c r="T6" s="8">
        <v>0.1</v>
      </c>
      <c r="U6" s="17">
        <f t="shared" si="14"/>
        <v>110000.00000000001</v>
      </c>
      <c r="V6" s="17">
        <f t="shared" si="1"/>
        <v>3.6963098591549302</v>
      </c>
      <c r="W6" s="8">
        <f t="shared" si="15"/>
        <v>16.143656295255642</v>
      </c>
      <c r="X6" s="8">
        <f t="shared" si="16"/>
        <v>5.7976848719407018E-15</v>
      </c>
      <c r="Y6" s="8">
        <f t="shared" si="17"/>
        <v>3491365829.8826909</v>
      </c>
    </row>
    <row r="7" spans="1:25" x14ac:dyDescent="0.25">
      <c r="A7" s="16">
        <v>15</v>
      </c>
      <c r="B7" s="16">
        <f t="shared" si="2"/>
        <v>0.25</v>
      </c>
      <c r="C7" s="16">
        <v>20</v>
      </c>
      <c r="D7" s="16">
        <f t="shared" si="0"/>
        <v>29.146000000000001</v>
      </c>
      <c r="E7" s="16">
        <f t="shared" si="3"/>
        <v>4.8576666666666667E-7</v>
      </c>
      <c r="F7" s="16">
        <v>21.1</v>
      </c>
      <c r="G7" s="16">
        <f t="shared" si="4"/>
        <v>294.10000000000002</v>
      </c>
      <c r="H7" s="16">
        <v>101.3</v>
      </c>
      <c r="I7" s="16">
        <f t="shared" si="5"/>
        <v>101300</v>
      </c>
      <c r="J7" s="16">
        <f t="shared" si="6"/>
        <v>2.0124824921938581E-5</v>
      </c>
      <c r="K7" s="11">
        <v>32.898591549295773</v>
      </c>
      <c r="L7" s="17">
        <f t="shared" si="7"/>
        <v>3.289859154929577E-5</v>
      </c>
      <c r="M7" s="14">
        <f t="shared" si="8"/>
        <v>4.7762865441819992E-3</v>
      </c>
      <c r="N7" s="26">
        <f t="shared" si="9"/>
        <v>1.3861781301928462E-7</v>
      </c>
      <c r="O7" s="8">
        <f t="shared" si="10"/>
        <v>2.032E-3</v>
      </c>
      <c r="P7" s="8">
        <f t="shared" si="11"/>
        <v>1.3730521979624967E-10</v>
      </c>
      <c r="Q7" s="8">
        <v>0.31</v>
      </c>
      <c r="R7" s="17">
        <f t="shared" si="12"/>
        <v>131000</v>
      </c>
      <c r="S7" s="8">
        <f t="shared" si="13"/>
        <v>5.36358238306597E-3</v>
      </c>
      <c r="T7" s="8">
        <v>0.1</v>
      </c>
      <c r="U7" s="17">
        <f t="shared" si="14"/>
        <v>110000.00000000001</v>
      </c>
      <c r="V7" s="17">
        <f t="shared" si="1"/>
        <v>3.6188450704225352</v>
      </c>
      <c r="W7" s="8">
        <f t="shared" si="15"/>
        <v>15.632150804175861</v>
      </c>
      <c r="X7" s="8">
        <f t="shared" si="16"/>
        <v>5.6761587057881294E-15</v>
      </c>
      <c r="Y7" s="8">
        <f t="shared" si="17"/>
        <v>3418182772.6256118</v>
      </c>
    </row>
    <row r="8" spans="1:25" x14ac:dyDescent="0.25">
      <c r="A8" s="16">
        <v>18</v>
      </c>
      <c r="B8" s="16">
        <f t="shared" si="2"/>
        <v>0.3</v>
      </c>
      <c r="C8" s="16">
        <v>20</v>
      </c>
      <c r="D8" s="16">
        <f t="shared" si="0"/>
        <v>29.146000000000001</v>
      </c>
      <c r="E8" s="16">
        <f t="shared" si="3"/>
        <v>4.8576666666666667E-7</v>
      </c>
      <c r="F8" s="16">
        <v>21.1</v>
      </c>
      <c r="G8" s="16">
        <f t="shared" si="4"/>
        <v>294.10000000000002</v>
      </c>
      <c r="H8" s="16">
        <v>101.3</v>
      </c>
      <c r="I8" s="16">
        <f t="shared" si="5"/>
        <v>101300</v>
      </c>
      <c r="J8" s="16">
        <f t="shared" si="6"/>
        <v>2.0124824921938581E-5</v>
      </c>
      <c r="K8" s="11">
        <v>28.983098591549297</v>
      </c>
      <c r="L8" s="17">
        <f t="shared" si="7"/>
        <v>2.8983098591549296E-5</v>
      </c>
      <c r="M8" s="14">
        <f t="shared" si="8"/>
        <v>4.7762865441819992E-3</v>
      </c>
      <c r="N8" s="26">
        <f t="shared" si="9"/>
        <v>1.2211993134304477E-7</v>
      </c>
      <c r="O8" s="8">
        <f t="shared" si="10"/>
        <v>2.032E-3</v>
      </c>
      <c r="P8" s="8">
        <f t="shared" si="11"/>
        <v>1.3730521979624967E-10</v>
      </c>
      <c r="Q8" s="8">
        <v>0.31</v>
      </c>
      <c r="R8" s="17">
        <f t="shared" si="12"/>
        <v>131000</v>
      </c>
      <c r="S8" s="8">
        <f t="shared" si="13"/>
        <v>5.36358238306597E-3</v>
      </c>
      <c r="T8" s="8">
        <v>0.1</v>
      </c>
      <c r="U8" s="17">
        <f t="shared" si="14"/>
        <v>110000.00000000001</v>
      </c>
      <c r="V8" s="17">
        <f t="shared" si="1"/>
        <v>3.1881408450704232</v>
      </c>
      <c r="W8" s="8">
        <f t="shared" si="15"/>
        <v>12.908264073150708</v>
      </c>
      <c r="X8" s="8">
        <f t="shared" si="16"/>
        <v>5.0004951151467439E-15</v>
      </c>
      <c r="Y8" s="8">
        <f t="shared" si="17"/>
        <v>3011298158.3413692</v>
      </c>
    </row>
    <row r="9" spans="1:25" x14ac:dyDescent="0.25">
      <c r="A9" s="16">
        <v>21</v>
      </c>
      <c r="B9" s="16">
        <f t="shared" si="2"/>
        <v>0.35</v>
      </c>
      <c r="C9" s="16">
        <v>20</v>
      </c>
      <c r="D9" s="16">
        <f t="shared" si="0"/>
        <v>29.146000000000001</v>
      </c>
      <c r="E9" s="16">
        <f t="shared" si="3"/>
        <v>4.8576666666666667E-7</v>
      </c>
      <c r="F9" s="16">
        <v>21.1</v>
      </c>
      <c r="G9" s="16">
        <f t="shared" si="4"/>
        <v>294.10000000000002</v>
      </c>
      <c r="H9" s="16">
        <v>101.3</v>
      </c>
      <c r="I9" s="16">
        <f t="shared" si="5"/>
        <v>101300</v>
      </c>
      <c r="J9" s="16">
        <f t="shared" si="6"/>
        <v>2.0124824921938581E-5</v>
      </c>
      <c r="K9" s="11">
        <v>31.574647887323948</v>
      </c>
      <c r="L9" s="17">
        <f t="shared" si="7"/>
        <v>3.1574647887323949E-5</v>
      </c>
      <c r="M9" s="14">
        <f t="shared" si="8"/>
        <v>4.7762865441819992E-3</v>
      </c>
      <c r="N9" s="26">
        <f t="shared" si="9"/>
        <v>1.330393925963834E-7</v>
      </c>
      <c r="O9" s="8">
        <f t="shared" si="10"/>
        <v>2.032E-3</v>
      </c>
      <c r="P9" s="8">
        <f t="shared" si="11"/>
        <v>1.3730521979624967E-10</v>
      </c>
      <c r="Q9" s="8">
        <v>0.31</v>
      </c>
      <c r="R9" s="17">
        <f t="shared" si="12"/>
        <v>131000</v>
      </c>
      <c r="S9" s="8">
        <f t="shared" si="13"/>
        <v>5.36358238306597E-3</v>
      </c>
      <c r="T9" s="8">
        <v>0.1</v>
      </c>
      <c r="U9" s="17">
        <f t="shared" si="14"/>
        <v>110000.00000000001</v>
      </c>
      <c r="V9" s="17">
        <f t="shared" si="1"/>
        <v>3.473211267605635</v>
      </c>
      <c r="W9" s="8">
        <f t="shared" si="15"/>
        <v>14.688245969796355</v>
      </c>
      <c r="X9" s="8">
        <f t="shared" si="16"/>
        <v>5.4476928201211385E-15</v>
      </c>
      <c r="Y9" s="8">
        <f t="shared" si="17"/>
        <v>3280600616.2769499</v>
      </c>
    </row>
    <row r="10" spans="1:25" x14ac:dyDescent="0.25">
      <c r="A10" s="16">
        <v>24</v>
      </c>
      <c r="B10" s="16">
        <f t="shared" si="2"/>
        <v>0.4</v>
      </c>
      <c r="C10" s="16">
        <v>20</v>
      </c>
      <c r="D10" s="16">
        <f t="shared" si="0"/>
        <v>29.146000000000001</v>
      </c>
      <c r="E10" s="16">
        <f t="shared" si="3"/>
        <v>4.8576666666666667E-7</v>
      </c>
      <c r="F10" s="16">
        <v>21.1</v>
      </c>
      <c r="G10" s="16">
        <f t="shared" si="4"/>
        <v>294.10000000000002</v>
      </c>
      <c r="H10" s="16">
        <v>101.3</v>
      </c>
      <c r="I10" s="16">
        <f t="shared" si="5"/>
        <v>101300</v>
      </c>
      <c r="J10" s="16">
        <f t="shared" si="6"/>
        <v>2.0124824921938581E-5</v>
      </c>
      <c r="K10" s="11">
        <v>44.10985915492958</v>
      </c>
      <c r="L10" s="17">
        <f t="shared" si="7"/>
        <v>4.4109859154929581E-5</v>
      </c>
      <c r="M10" s="14">
        <f t="shared" si="8"/>
        <v>4.7762865441819992E-3</v>
      </c>
      <c r="N10" s="26">
        <f t="shared" si="9"/>
        <v>1.8585635191959744E-7</v>
      </c>
      <c r="O10" s="8">
        <f t="shared" si="10"/>
        <v>2.032E-3</v>
      </c>
      <c r="P10" s="8">
        <f t="shared" si="11"/>
        <v>1.3730521979624967E-10</v>
      </c>
      <c r="Q10" s="8">
        <v>0.31</v>
      </c>
      <c r="R10" s="17">
        <f t="shared" si="12"/>
        <v>131000</v>
      </c>
      <c r="S10" s="8">
        <f t="shared" si="13"/>
        <v>5.36358238306597E-3</v>
      </c>
      <c r="T10" s="8">
        <v>0.1</v>
      </c>
      <c r="U10" s="17">
        <f t="shared" si="14"/>
        <v>110000.00000000001</v>
      </c>
      <c r="V10" s="17">
        <f t="shared" si="1"/>
        <v>4.8520845070422549</v>
      </c>
      <c r="W10" s="8">
        <f t="shared" si="15"/>
        <v>24.53478523609267</v>
      </c>
      <c r="X10" s="8">
        <f t="shared" si="16"/>
        <v>7.6110121334731757E-15</v>
      </c>
      <c r="Y10" s="8">
        <f t="shared" si="17"/>
        <v>4583351506.7775469</v>
      </c>
    </row>
    <row r="11" spans="1:25" x14ac:dyDescent="0.25">
      <c r="A11" s="16">
        <v>27</v>
      </c>
      <c r="B11" s="16">
        <f t="shared" si="2"/>
        <v>0.45</v>
      </c>
      <c r="C11" s="16">
        <v>20</v>
      </c>
      <c r="D11" s="16">
        <f t="shared" si="0"/>
        <v>29.146000000000001</v>
      </c>
      <c r="E11" s="16">
        <f t="shared" si="3"/>
        <v>4.8576666666666667E-7</v>
      </c>
      <c r="F11" s="16">
        <v>21.1</v>
      </c>
      <c r="G11" s="16">
        <f t="shared" si="4"/>
        <v>294.10000000000002</v>
      </c>
      <c r="H11" s="16">
        <v>101.3</v>
      </c>
      <c r="I11" s="16">
        <f t="shared" si="5"/>
        <v>101300</v>
      </c>
      <c r="J11" s="16">
        <f t="shared" si="6"/>
        <v>2.0124824921938581E-5</v>
      </c>
      <c r="K11" s="11">
        <v>51.152112676056348</v>
      </c>
      <c r="L11" s="17">
        <f t="shared" si="7"/>
        <v>5.1152112676056346E-5</v>
      </c>
      <c r="M11" s="14">
        <f t="shared" si="8"/>
        <v>4.7762865441819992E-3</v>
      </c>
      <c r="N11" s="26">
        <f t="shared" si="9"/>
        <v>2.1552880097758287E-7</v>
      </c>
      <c r="O11" s="8">
        <f t="shared" si="10"/>
        <v>2.032E-3</v>
      </c>
      <c r="P11" s="8">
        <f t="shared" si="11"/>
        <v>1.3730521979624967E-10</v>
      </c>
      <c r="Q11" s="8">
        <v>0.31</v>
      </c>
      <c r="R11" s="17">
        <f t="shared" si="12"/>
        <v>131000</v>
      </c>
      <c r="S11" s="8">
        <f t="shared" si="13"/>
        <v>5.36358238306597E-3</v>
      </c>
      <c r="T11" s="8">
        <v>0.1</v>
      </c>
      <c r="U11" s="17">
        <f t="shared" si="14"/>
        <v>110000.00000000001</v>
      </c>
      <c r="V11" s="17">
        <f t="shared" si="1"/>
        <v>5.6267323943661989</v>
      </c>
      <c r="W11" s="8">
        <f t="shared" si="15"/>
        <v>30.932680855637528</v>
      </c>
      <c r="X11" s="8">
        <f t="shared" si="16"/>
        <v>8.8265611386675597E-15</v>
      </c>
      <c r="Y11" s="8">
        <f t="shared" si="17"/>
        <v>5315355117.7056046</v>
      </c>
    </row>
    <row r="12" spans="1:25" x14ac:dyDescent="0.25">
      <c r="A12" s="16">
        <v>30</v>
      </c>
      <c r="B12" s="16">
        <f t="shared" si="2"/>
        <v>0.5</v>
      </c>
      <c r="C12" s="16">
        <v>20</v>
      </c>
      <c r="D12" s="16">
        <f t="shared" si="0"/>
        <v>29.146000000000001</v>
      </c>
      <c r="E12" s="16">
        <f t="shared" si="3"/>
        <v>4.8576666666666667E-7</v>
      </c>
      <c r="F12" s="16">
        <v>21.1</v>
      </c>
      <c r="G12" s="16">
        <f t="shared" si="4"/>
        <v>294.10000000000002</v>
      </c>
      <c r="H12" s="16">
        <v>101.3</v>
      </c>
      <c r="I12" s="16">
        <f t="shared" si="5"/>
        <v>101300</v>
      </c>
      <c r="J12" s="16">
        <f t="shared" si="6"/>
        <v>2.0124824921938581E-5</v>
      </c>
      <c r="K12" s="11">
        <v>73.208450704225356</v>
      </c>
      <c r="L12" s="17">
        <f t="shared" si="7"/>
        <v>7.3208450704225359E-5</v>
      </c>
      <c r="M12" s="14">
        <f t="shared" si="8"/>
        <v>4.7762865441819992E-3</v>
      </c>
      <c r="N12" s="26">
        <f t="shared" si="9"/>
        <v>3.084629114271932E-7</v>
      </c>
      <c r="O12" s="8">
        <f t="shared" si="10"/>
        <v>2.032E-3</v>
      </c>
      <c r="P12" s="8">
        <f t="shared" si="11"/>
        <v>1.3730521979624967E-10</v>
      </c>
      <c r="Q12" s="8">
        <v>0.31</v>
      </c>
      <c r="R12" s="17">
        <f t="shared" si="12"/>
        <v>131000</v>
      </c>
      <c r="S12" s="8">
        <f t="shared" si="13"/>
        <v>5.36358238306597E-3</v>
      </c>
      <c r="T12" s="8">
        <v>0.1</v>
      </c>
      <c r="U12" s="17">
        <f t="shared" si="14"/>
        <v>110000.00000000001</v>
      </c>
      <c r="V12" s="17">
        <f t="shared" si="1"/>
        <v>8.0529295774647913</v>
      </c>
      <c r="W12" s="8">
        <f t="shared" si="15"/>
        <v>54.800797722004823</v>
      </c>
      <c r="X12" s="8">
        <f t="shared" si="16"/>
        <v>1.263479873748094E-14</v>
      </c>
      <c r="Y12" s="8">
        <f t="shared" si="17"/>
        <v>7608675799.7110224</v>
      </c>
    </row>
    <row r="13" spans="1:25" x14ac:dyDescent="0.25">
      <c r="A13" s="16">
        <v>33</v>
      </c>
      <c r="B13" s="16">
        <f t="shared" si="2"/>
        <v>0.55000000000000004</v>
      </c>
      <c r="C13" s="16">
        <v>20</v>
      </c>
      <c r="D13" s="16">
        <f t="shared" si="0"/>
        <v>29.146000000000001</v>
      </c>
      <c r="E13" s="16">
        <f t="shared" si="3"/>
        <v>4.8576666666666667E-7</v>
      </c>
      <c r="F13" s="16">
        <v>21.1</v>
      </c>
      <c r="G13" s="16">
        <f t="shared" si="4"/>
        <v>294.10000000000002</v>
      </c>
      <c r="H13" s="16">
        <v>101.3</v>
      </c>
      <c r="I13" s="16">
        <f t="shared" si="5"/>
        <v>101300</v>
      </c>
      <c r="J13" s="16">
        <f t="shared" si="6"/>
        <v>2.0124824921938581E-5</v>
      </c>
      <c r="K13" s="11">
        <v>82.166197183098603</v>
      </c>
      <c r="L13" s="17">
        <f t="shared" si="7"/>
        <v>8.2166197183098597E-5</v>
      </c>
      <c r="M13" s="14">
        <f t="shared" si="8"/>
        <v>4.7762865441819992E-3</v>
      </c>
      <c r="N13" s="26">
        <f t="shared" si="9"/>
        <v>3.4620626662895059E-7</v>
      </c>
      <c r="O13" s="8">
        <f t="shared" si="10"/>
        <v>2.032E-3</v>
      </c>
      <c r="P13" s="8">
        <f t="shared" si="11"/>
        <v>1.3730521979624967E-10</v>
      </c>
      <c r="Q13" s="8">
        <v>0.31</v>
      </c>
      <c r="R13" s="17">
        <f t="shared" si="12"/>
        <v>131000</v>
      </c>
      <c r="S13" s="8">
        <f t="shared" si="13"/>
        <v>5.36358238306597E-3</v>
      </c>
      <c r="T13" s="8">
        <v>0.1</v>
      </c>
      <c r="U13" s="17">
        <f t="shared" si="14"/>
        <v>110000.00000000001</v>
      </c>
      <c r="V13" s="17">
        <f t="shared" si="1"/>
        <v>9.0382816901408471</v>
      </c>
      <c r="W13" s="8">
        <f t="shared" si="15"/>
        <v>66.095771750681408</v>
      </c>
      <c r="X13" s="8">
        <f t="shared" si="16"/>
        <v>1.4182009186566723E-14</v>
      </c>
      <c r="Y13" s="8">
        <f t="shared" si="17"/>
        <v>8540405932.1504812</v>
      </c>
    </row>
    <row r="14" spans="1:25" x14ac:dyDescent="0.25">
      <c r="A14" s="16">
        <v>36</v>
      </c>
      <c r="B14" s="16">
        <f t="shared" si="2"/>
        <v>0.6</v>
      </c>
      <c r="C14" s="16">
        <v>20</v>
      </c>
      <c r="D14" s="16">
        <f t="shared" si="0"/>
        <v>29.146000000000001</v>
      </c>
      <c r="E14" s="16">
        <f t="shared" si="3"/>
        <v>4.8576666666666667E-7</v>
      </c>
      <c r="F14" s="16">
        <v>21.1</v>
      </c>
      <c r="G14" s="16">
        <f t="shared" si="4"/>
        <v>294.10000000000002</v>
      </c>
      <c r="H14" s="16">
        <v>101.3</v>
      </c>
      <c r="I14" s="16">
        <f t="shared" si="5"/>
        <v>101300</v>
      </c>
      <c r="J14" s="16">
        <f t="shared" si="6"/>
        <v>2.0124824921938581E-5</v>
      </c>
      <c r="K14" s="11">
        <v>107.60281690140846</v>
      </c>
      <c r="L14" s="17">
        <f t="shared" si="7"/>
        <v>1.0760281690140846E-4</v>
      </c>
      <c r="M14" s="14">
        <f t="shared" si="8"/>
        <v>4.7762865441819992E-3</v>
      </c>
      <c r="N14" s="26">
        <f t="shared" si="9"/>
        <v>4.5338315262639389E-7</v>
      </c>
      <c r="O14" s="8">
        <f t="shared" si="10"/>
        <v>2.032E-3</v>
      </c>
      <c r="P14" s="8">
        <f t="shared" si="11"/>
        <v>1.3730521979624967E-10</v>
      </c>
      <c r="Q14" s="8">
        <v>0.31</v>
      </c>
      <c r="R14" s="17">
        <f t="shared" si="12"/>
        <v>131000</v>
      </c>
      <c r="S14" s="8">
        <f t="shared" si="13"/>
        <v>5.36358238306597E-3</v>
      </c>
      <c r="T14" s="8">
        <v>0.1</v>
      </c>
      <c r="U14" s="17">
        <f t="shared" si="14"/>
        <v>110000.00000000001</v>
      </c>
      <c r="V14" s="17">
        <f t="shared" si="1"/>
        <v>11.836309859154932</v>
      </c>
      <c r="W14" s="8">
        <f t="shared" si="15"/>
        <v>103.02407002263803</v>
      </c>
      <c r="X14" s="8">
        <f t="shared" si="16"/>
        <v>1.8577647595974199E-14</v>
      </c>
      <c r="Y14" s="8">
        <f t="shared" si="17"/>
        <v>11187459382.295664</v>
      </c>
    </row>
    <row r="15" spans="1:25" x14ac:dyDescent="0.25">
      <c r="A15" s="16">
        <v>39</v>
      </c>
      <c r="B15" s="16">
        <f t="shared" si="2"/>
        <v>0.65</v>
      </c>
      <c r="C15" s="16">
        <v>20</v>
      </c>
      <c r="D15" s="16">
        <f t="shared" si="0"/>
        <v>29.146000000000001</v>
      </c>
      <c r="E15" s="16">
        <f t="shared" si="3"/>
        <v>4.8576666666666667E-7</v>
      </c>
      <c r="F15" s="16">
        <v>21.1</v>
      </c>
      <c r="G15" s="16">
        <f t="shared" si="4"/>
        <v>294.10000000000002</v>
      </c>
      <c r="H15" s="16">
        <v>101.3</v>
      </c>
      <c r="I15" s="16">
        <f t="shared" si="5"/>
        <v>101300</v>
      </c>
      <c r="J15" s="16">
        <f t="shared" si="6"/>
        <v>2.0124824921938581E-5</v>
      </c>
      <c r="K15" s="11">
        <v>132.61690140845073</v>
      </c>
      <c r="L15" s="17">
        <f t="shared" si="7"/>
        <v>1.3261690140845074E-4</v>
      </c>
      <c r="M15" s="14">
        <f t="shared" si="8"/>
        <v>4.7762865441819992E-3</v>
      </c>
      <c r="N15" s="26">
        <f t="shared" si="9"/>
        <v>5.5877969168035822E-7</v>
      </c>
      <c r="O15" s="8">
        <f t="shared" si="10"/>
        <v>2.032E-3</v>
      </c>
      <c r="P15" s="8">
        <f t="shared" si="11"/>
        <v>1.3730521979624967E-10</v>
      </c>
      <c r="Q15" s="8">
        <v>0.31</v>
      </c>
      <c r="R15" s="17">
        <f t="shared" si="12"/>
        <v>131000</v>
      </c>
      <c r="S15" s="8">
        <f t="shared" si="13"/>
        <v>5.36358238306597E-3</v>
      </c>
      <c r="T15" s="8">
        <v>0.1</v>
      </c>
      <c r="U15" s="17">
        <f t="shared" si="14"/>
        <v>110000.00000000001</v>
      </c>
      <c r="V15" s="17">
        <f t="shared" si="1"/>
        <v>14.587859154929584</v>
      </c>
      <c r="W15" s="8">
        <f t="shared" si="15"/>
        <v>146.14072624308776</v>
      </c>
      <c r="X15" s="8">
        <f t="shared" si="16"/>
        <v>2.2903878624181109E-14</v>
      </c>
      <c r="Y15" s="8">
        <f t="shared" si="17"/>
        <v>13792715707.481865</v>
      </c>
    </row>
    <row r="16" spans="1:25" x14ac:dyDescent="0.25">
      <c r="A16" s="16">
        <v>42</v>
      </c>
      <c r="B16" s="16">
        <f t="shared" si="2"/>
        <v>0.7</v>
      </c>
      <c r="C16" s="16">
        <v>20</v>
      </c>
      <c r="D16" s="16">
        <f t="shared" si="0"/>
        <v>29.146000000000001</v>
      </c>
      <c r="E16" s="16">
        <f t="shared" si="3"/>
        <v>4.8576666666666667E-7</v>
      </c>
      <c r="F16" s="16">
        <v>21.1</v>
      </c>
      <c r="G16" s="16">
        <f t="shared" si="4"/>
        <v>294.10000000000002</v>
      </c>
      <c r="H16" s="16">
        <v>101.3</v>
      </c>
      <c r="I16" s="16">
        <f t="shared" si="5"/>
        <v>101300</v>
      </c>
      <c r="J16" s="16">
        <f t="shared" si="6"/>
        <v>2.0124824921938581E-5</v>
      </c>
      <c r="K16" s="11">
        <v>134.19436619718309</v>
      </c>
      <c r="L16" s="17">
        <f t="shared" si="7"/>
        <v>1.3419436619718309E-4</v>
      </c>
      <c r="M16" s="14">
        <f t="shared" si="8"/>
        <v>4.7762865441819992E-3</v>
      </c>
      <c r="N16" s="26">
        <f t="shared" si="9"/>
        <v>5.6542632026934684E-7</v>
      </c>
      <c r="O16" s="8">
        <f t="shared" si="10"/>
        <v>2.032E-3</v>
      </c>
      <c r="P16" s="8">
        <f t="shared" si="11"/>
        <v>1.3730521979624967E-10</v>
      </c>
      <c r="Q16" s="8">
        <v>0.31</v>
      </c>
      <c r="R16" s="17">
        <f t="shared" si="12"/>
        <v>131000</v>
      </c>
      <c r="S16" s="8">
        <f t="shared" si="13"/>
        <v>5.36358238306597E-3</v>
      </c>
      <c r="T16" s="8">
        <v>0.1</v>
      </c>
      <c r="U16" s="17">
        <f t="shared" si="14"/>
        <v>110000.00000000001</v>
      </c>
      <c r="V16" s="17">
        <f t="shared" si="1"/>
        <v>14.761380281690142</v>
      </c>
      <c r="W16" s="8">
        <f t="shared" si="15"/>
        <v>149.08119071351672</v>
      </c>
      <c r="X16" s="8">
        <f t="shared" si="16"/>
        <v>2.3176838786578352E-14</v>
      </c>
      <c r="Y16" s="8">
        <f t="shared" si="17"/>
        <v>13957092317.277485</v>
      </c>
    </row>
    <row r="17" spans="1:76" s="3" customFormat="1" x14ac:dyDescent="0.25">
      <c r="A17" s="16">
        <v>45</v>
      </c>
      <c r="B17" s="16">
        <f t="shared" si="2"/>
        <v>0.75</v>
      </c>
      <c r="C17" s="16">
        <v>20</v>
      </c>
      <c r="D17" s="16">
        <f t="shared" si="0"/>
        <v>29.146000000000001</v>
      </c>
      <c r="E17" s="16">
        <f t="shared" si="3"/>
        <v>4.8576666666666667E-7</v>
      </c>
      <c r="F17" s="16">
        <v>21.1</v>
      </c>
      <c r="G17" s="16">
        <f t="shared" si="4"/>
        <v>294.10000000000002</v>
      </c>
      <c r="H17" s="16">
        <v>101.3</v>
      </c>
      <c r="I17" s="16">
        <f t="shared" si="5"/>
        <v>101300</v>
      </c>
      <c r="J17" s="16">
        <f t="shared" si="6"/>
        <v>2.0124824921938581E-5</v>
      </c>
      <c r="K17" s="11">
        <v>161.99718309859156</v>
      </c>
      <c r="L17" s="17">
        <f t="shared" si="7"/>
        <v>1.6199718309859156E-4</v>
      </c>
      <c r="M17" s="14">
        <f t="shared" si="8"/>
        <v>4.7762865441819992E-3</v>
      </c>
      <c r="N17" s="26">
        <f t="shared" si="9"/>
        <v>6.8257314915027322E-7</v>
      </c>
      <c r="O17" s="8">
        <f t="shared" si="10"/>
        <v>2.032E-3</v>
      </c>
      <c r="P17" s="8">
        <f t="shared" si="11"/>
        <v>1.3730521979624967E-10</v>
      </c>
      <c r="Q17" s="8">
        <v>0.31</v>
      </c>
      <c r="R17" s="17">
        <f t="shared" si="12"/>
        <v>131000</v>
      </c>
      <c r="S17" s="8">
        <f t="shared" si="13"/>
        <v>5.36358238306597E-3</v>
      </c>
      <c r="T17" s="8">
        <v>0.1</v>
      </c>
      <c r="U17" s="17">
        <f t="shared" si="14"/>
        <v>110000.00000000001</v>
      </c>
      <c r="V17" s="17">
        <f t="shared" si="1"/>
        <v>17.819690140845076</v>
      </c>
      <c r="W17" s="8">
        <f t="shared" si="15"/>
        <v>205.14366547546874</v>
      </c>
      <c r="X17" s="8">
        <f t="shared" si="16"/>
        <v>2.7990682665476508E-14</v>
      </c>
      <c r="Y17" s="8">
        <f t="shared" si="17"/>
        <v>16855989101.149954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</row>
    <row r="18" spans="1:76" s="3" customFormat="1" x14ac:dyDescent="0.25">
      <c r="A18" s="16">
        <v>48</v>
      </c>
      <c r="B18" s="16">
        <f t="shared" si="2"/>
        <v>0.8</v>
      </c>
      <c r="C18" s="16">
        <v>20</v>
      </c>
      <c r="D18" s="16">
        <f t="shared" si="0"/>
        <v>29.146000000000001</v>
      </c>
      <c r="E18" s="16">
        <f t="shared" si="3"/>
        <v>4.8576666666666667E-7</v>
      </c>
      <c r="F18" s="16">
        <v>21.1</v>
      </c>
      <c r="G18" s="16">
        <f t="shared" si="4"/>
        <v>294.10000000000002</v>
      </c>
      <c r="H18" s="16">
        <v>101.3</v>
      </c>
      <c r="I18" s="16">
        <f t="shared" si="5"/>
        <v>101300</v>
      </c>
      <c r="J18" s="16">
        <f t="shared" si="6"/>
        <v>2.0124824921938581E-5</v>
      </c>
      <c r="K18" s="11">
        <v>181.54647887323944</v>
      </c>
      <c r="L18" s="17">
        <f t="shared" si="7"/>
        <v>1.8154647887323944E-4</v>
      </c>
      <c r="M18" s="14">
        <f t="shared" si="8"/>
        <v>4.7762865441819992E-3</v>
      </c>
      <c r="N18" s="26">
        <f t="shared" si="9"/>
        <v>7.6494386773524076E-7</v>
      </c>
      <c r="O18" s="8">
        <f t="shared" si="10"/>
        <v>2.032E-3</v>
      </c>
      <c r="P18" s="8">
        <f t="shared" si="11"/>
        <v>1.3730521979624967E-10</v>
      </c>
      <c r="Q18" s="8">
        <v>0.31</v>
      </c>
      <c r="R18" s="17">
        <f t="shared" si="12"/>
        <v>131000</v>
      </c>
      <c r="S18" s="8">
        <f t="shared" si="13"/>
        <v>5.36358238306597E-3</v>
      </c>
      <c r="T18" s="8">
        <v>0.1</v>
      </c>
      <c r="U18" s="17">
        <f t="shared" si="14"/>
        <v>110000.00000000001</v>
      </c>
      <c r="V18" s="17">
        <f t="shared" si="1"/>
        <v>19.970112676056342</v>
      </c>
      <c r="W18" s="8">
        <f t="shared" si="15"/>
        <v>249.30228543423058</v>
      </c>
      <c r="X18" s="8">
        <f t="shared" si="16"/>
        <v>3.1379101792448959E-14</v>
      </c>
      <c r="Y18" s="8">
        <f t="shared" si="17"/>
        <v>18896495099.412766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</row>
    <row r="19" spans="1:76" s="3" customFormat="1" x14ac:dyDescent="0.25">
      <c r="A19" s="16">
        <v>51</v>
      </c>
      <c r="B19" s="16">
        <f t="shared" si="2"/>
        <v>0.85</v>
      </c>
      <c r="C19" s="16">
        <v>20</v>
      </c>
      <c r="D19" s="16">
        <f t="shared" si="0"/>
        <v>29.146000000000001</v>
      </c>
      <c r="E19" s="16">
        <f t="shared" si="3"/>
        <v>4.8576666666666667E-7</v>
      </c>
      <c r="F19" s="16">
        <v>21.1</v>
      </c>
      <c r="G19" s="16">
        <f t="shared" si="4"/>
        <v>294.10000000000002</v>
      </c>
      <c r="H19" s="16">
        <v>101.3</v>
      </c>
      <c r="I19" s="16">
        <f t="shared" si="5"/>
        <v>101300</v>
      </c>
      <c r="J19" s="16">
        <f t="shared" si="6"/>
        <v>2.0124824921938581E-5</v>
      </c>
      <c r="K19" s="11">
        <v>194.95492957746478</v>
      </c>
      <c r="L19" s="17">
        <f t="shared" si="7"/>
        <v>1.9495492957746478E-4</v>
      </c>
      <c r="M19" s="14">
        <f t="shared" si="8"/>
        <v>4.7762865441819992E-3</v>
      </c>
      <c r="N19" s="26">
        <f t="shared" si="9"/>
        <v>8.2144021074164495E-7</v>
      </c>
      <c r="O19" s="8">
        <f t="shared" si="10"/>
        <v>2.032E-3</v>
      </c>
      <c r="P19" s="8">
        <f t="shared" si="11"/>
        <v>1.3730521979624967E-10</v>
      </c>
      <c r="Q19" s="8">
        <v>0.31</v>
      </c>
      <c r="R19" s="17">
        <f t="shared" si="12"/>
        <v>131000</v>
      </c>
      <c r="S19" s="8">
        <f t="shared" si="13"/>
        <v>5.36358238306597E-3</v>
      </c>
      <c r="T19" s="8">
        <v>0.1</v>
      </c>
      <c r="U19" s="17">
        <f t="shared" si="14"/>
        <v>110000.00000000001</v>
      </c>
      <c r="V19" s="17">
        <f t="shared" si="1"/>
        <v>21.44504225352113</v>
      </c>
      <c r="W19" s="8">
        <f t="shared" si="15"/>
        <v>281.819916273925</v>
      </c>
      <c r="X19" s="8">
        <f t="shared" si="16"/>
        <v>3.3705045772928393E-14</v>
      </c>
      <c r="Y19" s="8">
        <f t="shared" si="17"/>
        <v>20297178564.457478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</row>
    <row r="20" spans="1:76" s="3" customFormat="1" x14ac:dyDescent="0.25">
      <c r="A20" s="16">
        <v>54</v>
      </c>
      <c r="B20" s="16">
        <f t="shared" si="2"/>
        <v>0.9</v>
      </c>
      <c r="C20" s="16">
        <v>20</v>
      </c>
      <c r="D20" s="16">
        <f t="shared" si="0"/>
        <v>29.146000000000001</v>
      </c>
      <c r="E20" s="16">
        <f t="shared" si="3"/>
        <v>4.8576666666666667E-7</v>
      </c>
      <c r="F20" s="16">
        <v>21.1</v>
      </c>
      <c r="G20" s="16">
        <f t="shared" si="4"/>
        <v>294.10000000000002</v>
      </c>
      <c r="H20" s="16">
        <v>101.3</v>
      </c>
      <c r="I20" s="16">
        <f t="shared" si="5"/>
        <v>101300</v>
      </c>
      <c r="J20" s="16">
        <f t="shared" si="6"/>
        <v>2.0124824921938581E-5</v>
      </c>
      <c r="K20" s="11">
        <v>216.39154929577467</v>
      </c>
      <c r="L20" s="17">
        <f t="shared" si="7"/>
        <v>2.1639154929577466E-4</v>
      </c>
      <c r="M20" s="14">
        <f t="shared" si="8"/>
        <v>4.7762865441819992E-3</v>
      </c>
      <c r="N20" s="26">
        <f t="shared" si="9"/>
        <v>9.117631456741526E-7</v>
      </c>
      <c r="O20" s="8">
        <f t="shared" si="10"/>
        <v>2.032E-3</v>
      </c>
      <c r="P20" s="8">
        <f t="shared" si="11"/>
        <v>1.3730521979624967E-10</v>
      </c>
      <c r="Q20" s="8">
        <v>0.31</v>
      </c>
      <c r="R20" s="17">
        <f t="shared" si="12"/>
        <v>131000</v>
      </c>
      <c r="S20" s="8">
        <f t="shared" si="13"/>
        <v>5.36358238306597E-3</v>
      </c>
      <c r="T20" s="8">
        <v>0.1</v>
      </c>
      <c r="U20" s="17">
        <f t="shared" si="14"/>
        <v>110000.00000000001</v>
      </c>
      <c r="V20" s="17">
        <f t="shared" si="1"/>
        <v>23.803070422535217</v>
      </c>
      <c r="W20" s="8">
        <f t="shared" si="15"/>
        <v>337.53607906712892</v>
      </c>
      <c r="X20" s="8">
        <f t="shared" si="16"/>
        <v>3.7427097262041143E-14</v>
      </c>
      <c r="Y20" s="8">
        <f t="shared" si="17"/>
        <v>22538597971.201176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</row>
    <row r="21" spans="1:76" s="3" customFormat="1" x14ac:dyDescent="0.25">
      <c r="A21" s="16">
        <v>57</v>
      </c>
      <c r="B21" s="16">
        <f t="shared" si="2"/>
        <v>0.95</v>
      </c>
      <c r="C21" s="16">
        <v>20</v>
      </c>
      <c r="D21" s="16">
        <f t="shared" si="0"/>
        <v>29.146000000000001</v>
      </c>
      <c r="E21" s="16">
        <f t="shared" si="3"/>
        <v>4.8576666666666667E-7</v>
      </c>
      <c r="F21" s="16">
        <v>21.1</v>
      </c>
      <c r="G21" s="16">
        <f t="shared" si="4"/>
        <v>294.10000000000002</v>
      </c>
      <c r="H21" s="16">
        <v>101.3</v>
      </c>
      <c r="I21" s="16">
        <f t="shared" si="5"/>
        <v>101300</v>
      </c>
      <c r="J21" s="16">
        <f t="shared" si="6"/>
        <v>2.0124824921938581E-5</v>
      </c>
      <c r="K21" s="11">
        <v>227.26478873239438</v>
      </c>
      <c r="L21" s="17">
        <f t="shared" si="7"/>
        <v>2.2726478873239439E-4</v>
      </c>
      <c r="M21" s="14">
        <f t="shared" si="8"/>
        <v>4.7762865441819992E-3</v>
      </c>
      <c r="N21" s="26">
        <f t="shared" si="9"/>
        <v>9.5757740701968213E-7</v>
      </c>
      <c r="O21" s="8">
        <f t="shared" si="10"/>
        <v>2.032E-3</v>
      </c>
      <c r="P21" s="8">
        <f t="shared" si="11"/>
        <v>1.3730521979624967E-10</v>
      </c>
      <c r="Q21" s="8">
        <v>0.31</v>
      </c>
      <c r="R21" s="17">
        <f t="shared" si="12"/>
        <v>131000</v>
      </c>
      <c r="S21" s="8">
        <f t="shared" si="13"/>
        <v>5.36358238306597E-3</v>
      </c>
      <c r="T21" s="8">
        <v>0.1</v>
      </c>
      <c r="U21" s="17">
        <f t="shared" si="14"/>
        <v>110000.00000000001</v>
      </c>
      <c r="V21" s="17">
        <f t="shared" si="1"/>
        <v>24.999126760563385</v>
      </c>
      <c r="W21" s="8">
        <f t="shared" si="15"/>
        <v>367.53646490251344</v>
      </c>
      <c r="X21" s="8">
        <f t="shared" si="16"/>
        <v>3.9316760717238096E-14</v>
      </c>
      <c r="Y21" s="8">
        <f t="shared" si="17"/>
        <v>23676553303.920784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</row>
    <row r="22" spans="1:76" s="3" customFormat="1" x14ac:dyDescent="0.25">
      <c r="A22" s="16">
        <v>60</v>
      </c>
      <c r="B22" s="16">
        <f t="shared" si="2"/>
        <v>1</v>
      </c>
      <c r="C22" s="16">
        <v>20</v>
      </c>
      <c r="D22" s="16">
        <f t="shared" si="0"/>
        <v>29.146000000000001</v>
      </c>
      <c r="E22" s="16">
        <f t="shared" si="3"/>
        <v>4.8576666666666667E-7</v>
      </c>
      <c r="F22" s="16">
        <v>21.1</v>
      </c>
      <c r="G22" s="16">
        <f t="shared" si="4"/>
        <v>294.10000000000002</v>
      </c>
      <c r="H22" s="16">
        <v>101.3</v>
      </c>
      <c r="I22" s="16">
        <f t="shared" si="5"/>
        <v>101300</v>
      </c>
      <c r="J22" s="16">
        <f t="shared" si="6"/>
        <v>2.0124824921938581E-5</v>
      </c>
      <c r="K22" s="11">
        <v>228.95492957746481</v>
      </c>
      <c r="L22" s="17">
        <f t="shared" si="7"/>
        <v>2.289549295774648E-4</v>
      </c>
      <c r="M22" s="14">
        <f t="shared" si="8"/>
        <v>4.7762865441819992E-3</v>
      </c>
      <c r="N22" s="26">
        <f t="shared" si="9"/>
        <v>9.6469879479359864E-7</v>
      </c>
      <c r="O22" s="8">
        <f t="shared" si="10"/>
        <v>2.032E-3</v>
      </c>
      <c r="P22" s="8">
        <f t="shared" si="11"/>
        <v>1.3730521979624967E-10</v>
      </c>
      <c r="Q22" s="8">
        <v>0.31</v>
      </c>
      <c r="R22" s="17">
        <f t="shared" si="12"/>
        <v>131000</v>
      </c>
      <c r="S22" s="8">
        <f t="shared" si="13"/>
        <v>5.36358238306597E-3</v>
      </c>
      <c r="T22" s="8">
        <v>0.1</v>
      </c>
      <c r="U22" s="17">
        <f t="shared" si="14"/>
        <v>110000.00000000001</v>
      </c>
      <c r="V22" s="17">
        <f t="shared" si="1"/>
        <v>25.185042253521132</v>
      </c>
      <c r="W22" s="8">
        <f t="shared" si="15"/>
        <v>372.30429774113878</v>
      </c>
      <c r="X22" s="8">
        <f t="shared" si="16"/>
        <v>3.9610600438927011E-14</v>
      </c>
      <c r="Y22" s="8">
        <f t="shared" si="17"/>
        <v>23853503584.321846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</row>
    <row r="23" spans="1:76" s="3" customFormat="1" x14ac:dyDescent="0.25">
      <c r="A23" s="16">
        <v>63</v>
      </c>
      <c r="B23" s="16">
        <f t="shared" si="2"/>
        <v>1.05</v>
      </c>
      <c r="C23" s="16">
        <v>20</v>
      </c>
      <c r="D23" s="16">
        <f t="shared" si="0"/>
        <v>29.146000000000001</v>
      </c>
      <c r="E23" s="16">
        <f t="shared" si="3"/>
        <v>4.8576666666666667E-7</v>
      </c>
      <c r="F23" s="16">
        <v>21.1</v>
      </c>
      <c r="G23" s="16">
        <f t="shared" si="4"/>
        <v>294.10000000000002</v>
      </c>
      <c r="H23" s="16">
        <v>101.3</v>
      </c>
      <c r="I23" s="16">
        <f t="shared" si="5"/>
        <v>101300</v>
      </c>
      <c r="J23" s="16">
        <f t="shared" si="6"/>
        <v>2.0124824921938581E-5</v>
      </c>
      <c r="K23" s="11">
        <v>248.36338028169018</v>
      </c>
      <c r="L23" s="17">
        <f t="shared" si="7"/>
        <v>2.4836338028169018E-4</v>
      </c>
      <c r="M23" s="14">
        <f t="shared" si="8"/>
        <v>4.7762865441819992E-3</v>
      </c>
      <c r="N23" s="26">
        <f t="shared" si="9"/>
        <v>1.0464760643974065E-6</v>
      </c>
      <c r="O23" s="8">
        <f t="shared" si="10"/>
        <v>2.032E-3</v>
      </c>
      <c r="P23" s="8">
        <f t="shared" si="11"/>
        <v>1.3730521979624967E-10</v>
      </c>
      <c r="Q23" s="8">
        <v>0.31</v>
      </c>
      <c r="R23" s="17">
        <f t="shared" si="12"/>
        <v>131000</v>
      </c>
      <c r="S23" s="8">
        <f t="shared" si="13"/>
        <v>5.36358238306597E-3</v>
      </c>
      <c r="T23" s="8">
        <v>0.1</v>
      </c>
      <c r="U23" s="17">
        <f t="shared" si="14"/>
        <v>110000.00000000001</v>
      </c>
      <c r="V23" s="17">
        <f t="shared" si="1"/>
        <v>27.319971830985924</v>
      </c>
      <c r="W23" s="8">
        <f t="shared" si="15"/>
        <v>429.06164090653601</v>
      </c>
      <c r="X23" s="8">
        <f t="shared" si="16"/>
        <v>4.2987058635251342E-14</v>
      </c>
      <c r="Y23" s="8">
        <f t="shared" si="17"/>
        <v>25886806710.148361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</row>
    <row r="24" spans="1:76" s="3" customFormat="1" x14ac:dyDescent="0.25">
      <c r="A24" s="16">
        <v>66</v>
      </c>
      <c r="B24" s="16">
        <f t="shared" si="2"/>
        <v>1.1000000000000001</v>
      </c>
      <c r="C24" s="16">
        <v>20</v>
      </c>
      <c r="D24" s="16">
        <f t="shared" si="0"/>
        <v>29.146000000000001</v>
      </c>
      <c r="E24" s="16">
        <f t="shared" si="3"/>
        <v>4.8576666666666667E-7</v>
      </c>
      <c r="F24" s="16">
        <v>21.1</v>
      </c>
      <c r="G24" s="16">
        <f t="shared" si="4"/>
        <v>294.10000000000002</v>
      </c>
      <c r="H24" s="16">
        <v>101.3</v>
      </c>
      <c r="I24" s="16">
        <f t="shared" si="5"/>
        <v>101300</v>
      </c>
      <c r="J24" s="16">
        <f t="shared" si="6"/>
        <v>2.0124824921938581E-5</v>
      </c>
      <c r="K24" s="11">
        <v>264.75774647887323</v>
      </c>
      <c r="L24" s="17">
        <f t="shared" si="7"/>
        <v>2.6475774647887325E-4</v>
      </c>
      <c r="M24" s="14">
        <f t="shared" si="8"/>
        <v>4.7762865441819992E-3</v>
      </c>
      <c r="N24" s="26">
        <f t="shared" si="9"/>
        <v>1.1155535258043963E-6</v>
      </c>
      <c r="O24" s="8">
        <f t="shared" si="10"/>
        <v>2.032E-3</v>
      </c>
      <c r="P24" s="8">
        <f t="shared" si="11"/>
        <v>1.3730521979624967E-10</v>
      </c>
      <c r="Q24" s="8">
        <v>0.31</v>
      </c>
      <c r="R24" s="17">
        <f t="shared" si="12"/>
        <v>131000</v>
      </c>
      <c r="S24" s="8">
        <f t="shared" si="13"/>
        <v>5.36358238306597E-3</v>
      </c>
      <c r="T24" s="8">
        <v>0.1</v>
      </c>
      <c r="U24" s="17">
        <f t="shared" si="14"/>
        <v>110000.00000000001</v>
      </c>
      <c r="V24" s="17">
        <f t="shared" si="1"/>
        <v>29.123352112676063</v>
      </c>
      <c r="W24" s="8">
        <f t="shared" si="15"/>
        <v>479.8660519787353</v>
      </c>
      <c r="X24" s="8">
        <f t="shared" si="16"/>
        <v>4.5842454013680536E-14</v>
      </c>
      <c r="Y24" s="8">
        <f t="shared" si="17"/>
        <v>27606325807.038422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</row>
    <row r="25" spans="1:76" s="3" customFormat="1" x14ac:dyDescent="0.25">
      <c r="A25" s="16">
        <v>69</v>
      </c>
      <c r="B25" s="16">
        <f t="shared" si="2"/>
        <v>1.1499999999999999</v>
      </c>
      <c r="C25" s="16">
        <v>20</v>
      </c>
      <c r="D25" s="16">
        <f t="shared" si="0"/>
        <v>29.146000000000001</v>
      </c>
      <c r="E25" s="16">
        <f t="shared" si="3"/>
        <v>4.8576666666666667E-7</v>
      </c>
      <c r="F25" s="16">
        <v>21.1</v>
      </c>
      <c r="G25" s="16">
        <f t="shared" si="4"/>
        <v>294.10000000000002</v>
      </c>
      <c r="H25" s="16">
        <v>101.3</v>
      </c>
      <c r="I25" s="16">
        <f t="shared" si="5"/>
        <v>101300</v>
      </c>
      <c r="J25" s="16">
        <f t="shared" si="6"/>
        <v>2.0124824921938581E-5</v>
      </c>
      <c r="K25" s="11">
        <v>255.46197183098593</v>
      </c>
      <c r="L25" s="17">
        <f t="shared" si="7"/>
        <v>2.5546197183098592E-4</v>
      </c>
      <c r="M25" s="14">
        <f t="shared" si="8"/>
        <v>4.7762865441819992E-3</v>
      </c>
      <c r="N25" s="26">
        <f t="shared" si="9"/>
        <v>1.0763858930478556E-6</v>
      </c>
      <c r="O25" s="8">
        <f t="shared" si="10"/>
        <v>2.032E-3</v>
      </c>
      <c r="P25" s="8">
        <f t="shared" si="11"/>
        <v>1.3730521979624967E-10</v>
      </c>
      <c r="Q25" s="8">
        <v>0.31</v>
      </c>
      <c r="R25" s="17">
        <f t="shared" si="12"/>
        <v>131000</v>
      </c>
      <c r="S25" s="8">
        <f t="shared" si="13"/>
        <v>5.36358238306597E-3</v>
      </c>
      <c r="T25" s="8">
        <v>0.1</v>
      </c>
      <c r="U25" s="17">
        <f t="shared" si="14"/>
        <v>110000.00000000001</v>
      </c>
      <c r="V25" s="17">
        <f t="shared" si="1"/>
        <v>28.100816901408454</v>
      </c>
      <c r="W25" s="8">
        <f t="shared" si="15"/>
        <v>450.73890254808924</v>
      </c>
      <c r="X25" s="8">
        <f t="shared" si="16"/>
        <v>4.4223034008768463E-14</v>
      </c>
      <c r="Y25" s="8">
        <f t="shared" si="17"/>
        <v>26631111080.080368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</row>
    <row r="26" spans="1:76" s="3" customFormat="1" x14ac:dyDescent="0.25">
      <c r="A26" s="16">
        <v>72</v>
      </c>
      <c r="B26" s="16">
        <f t="shared" si="2"/>
        <v>1.2</v>
      </c>
      <c r="C26" s="16">
        <v>20</v>
      </c>
      <c r="D26" s="16">
        <f t="shared" si="0"/>
        <v>29.146000000000001</v>
      </c>
      <c r="E26" s="16">
        <f t="shared" si="3"/>
        <v>4.8576666666666667E-7</v>
      </c>
      <c r="F26" s="16">
        <v>21.1</v>
      </c>
      <c r="G26" s="16">
        <f t="shared" si="4"/>
        <v>294.10000000000002</v>
      </c>
      <c r="H26" s="16">
        <v>101.3</v>
      </c>
      <c r="I26" s="16">
        <f t="shared" si="5"/>
        <v>101300</v>
      </c>
      <c r="J26" s="16">
        <f t="shared" si="6"/>
        <v>2.0124824921938581E-5</v>
      </c>
      <c r="K26" s="11">
        <v>272.67323943661972</v>
      </c>
      <c r="L26" s="17">
        <f t="shared" si="7"/>
        <v>2.726732394366197E-4</v>
      </c>
      <c r="M26" s="14">
        <f t="shared" si="8"/>
        <v>4.7762865441819992E-3</v>
      </c>
      <c r="N26" s="26">
        <f t="shared" si="9"/>
        <v>1.1489053585455719E-6</v>
      </c>
      <c r="O26" s="8">
        <f t="shared" si="10"/>
        <v>2.032E-3</v>
      </c>
      <c r="P26" s="8">
        <f t="shared" si="11"/>
        <v>1.3730521979624967E-10</v>
      </c>
      <c r="Q26" s="8">
        <v>0.31</v>
      </c>
      <c r="R26" s="17">
        <f t="shared" si="12"/>
        <v>131000</v>
      </c>
      <c r="S26" s="8">
        <f t="shared" si="13"/>
        <v>5.36358238306597E-3</v>
      </c>
      <c r="T26" s="8">
        <v>0.1</v>
      </c>
      <c r="U26" s="17">
        <f t="shared" si="14"/>
        <v>110000.00000000001</v>
      </c>
      <c r="V26" s="17">
        <f t="shared" si="1"/>
        <v>29.99405633802817</v>
      </c>
      <c r="W26" s="8">
        <f t="shared" si="15"/>
        <v>505.32797228199985</v>
      </c>
      <c r="X26" s="8">
        <f t="shared" si="16"/>
        <v>4.7222223291968696E-14</v>
      </c>
      <c r="Y26" s="8">
        <f t="shared" si="17"/>
        <v>28437222866.42355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</row>
    <row r="27" spans="1:76" s="3" customFormat="1" x14ac:dyDescent="0.25">
      <c r="A27" s="16">
        <v>75</v>
      </c>
      <c r="B27" s="16">
        <f t="shared" si="2"/>
        <v>1.25</v>
      </c>
      <c r="C27" s="16">
        <v>20</v>
      </c>
      <c r="D27" s="16">
        <f t="shared" si="0"/>
        <v>29.146000000000001</v>
      </c>
      <c r="E27" s="16">
        <f t="shared" si="3"/>
        <v>4.8576666666666667E-7</v>
      </c>
      <c r="F27" s="16">
        <v>21.1</v>
      </c>
      <c r="G27" s="16">
        <f t="shared" si="4"/>
        <v>294.10000000000002</v>
      </c>
      <c r="H27" s="16">
        <v>101.3</v>
      </c>
      <c r="I27" s="16">
        <f t="shared" si="5"/>
        <v>101300</v>
      </c>
      <c r="J27" s="16">
        <f t="shared" si="6"/>
        <v>2.0124824921938581E-5</v>
      </c>
      <c r="K27" s="11">
        <v>265.3211267605634</v>
      </c>
      <c r="L27" s="17">
        <f t="shared" si="7"/>
        <v>2.6532112676056342E-4</v>
      </c>
      <c r="M27" s="14">
        <f t="shared" si="8"/>
        <v>4.7762865441819992E-3</v>
      </c>
      <c r="N27" s="26">
        <f t="shared" si="9"/>
        <v>1.1179273217290354E-6</v>
      </c>
      <c r="O27" s="8">
        <f t="shared" si="10"/>
        <v>2.032E-3</v>
      </c>
      <c r="P27" s="8">
        <f t="shared" si="11"/>
        <v>1.3730521979624967E-10</v>
      </c>
      <c r="Q27" s="8">
        <v>0.31</v>
      </c>
      <c r="R27" s="17">
        <f t="shared" si="12"/>
        <v>131000</v>
      </c>
      <c r="S27" s="8">
        <f t="shared" si="13"/>
        <v>5.36358238306597E-3</v>
      </c>
      <c r="T27" s="8">
        <v>0.1</v>
      </c>
      <c r="U27" s="17">
        <f t="shared" si="14"/>
        <v>110000.00000000001</v>
      </c>
      <c r="V27" s="17">
        <f t="shared" si="1"/>
        <v>29.185323943661981</v>
      </c>
      <c r="W27" s="8">
        <f t="shared" si="15"/>
        <v>481.65825533549935</v>
      </c>
      <c r="X27" s="8">
        <f t="shared" si="16"/>
        <v>4.5940633387024264E-14</v>
      </c>
      <c r="Y27" s="8">
        <f t="shared" si="17"/>
        <v>27665449425.666012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</row>
    <row r="28" spans="1:76" s="3" customFormat="1" x14ac:dyDescent="0.25">
      <c r="A28" s="16">
        <v>78</v>
      </c>
      <c r="B28" s="16">
        <f t="shared" si="2"/>
        <v>1.3</v>
      </c>
      <c r="C28" s="16">
        <v>20</v>
      </c>
      <c r="D28" s="16">
        <f t="shared" si="0"/>
        <v>29.146000000000001</v>
      </c>
      <c r="E28" s="16">
        <f t="shared" si="3"/>
        <v>4.8576666666666667E-7</v>
      </c>
      <c r="F28" s="16">
        <v>21.1</v>
      </c>
      <c r="G28" s="16">
        <f t="shared" si="4"/>
        <v>294.10000000000002</v>
      </c>
      <c r="H28" s="16">
        <v>101.3</v>
      </c>
      <c r="I28" s="16">
        <f t="shared" si="5"/>
        <v>101300</v>
      </c>
      <c r="J28" s="16">
        <f t="shared" si="6"/>
        <v>2.0124824921938581E-5</v>
      </c>
      <c r="K28" s="11">
        <v>273.18028169014087</v>
      </c>
      <c r="L28" s="17">
        <f t="shared" si="7"/>
        <v>2.7318028169014087E-4</v>
      </c>
      <c r="M28" s="14">
        <f t="shared" si="8"/>
        <v>4.7762865441819992E-3</v>
      </c>
      <c r="N28" s="26">
        <f t="shared" si="9"/>
        <v>1.151041774877747E-6</v>
      </c>
      <c r="O28" s="8">
        <f t="shared" si="10"/>
        <v>2.032E-3</v>
      </c>
      <c r="P28" s="8">
        <f t="shared" si="11"/>
        <v>1.3730521979624967E-10</v>
      </c>
      <c r="Q28" s="8">
        <v>0.31</v>
      </c>
      <c r="R28" s="17">
        <f t="shared" si="12"/>
        <v>131000</v>
      </c>
      <c r="S28" s="8">
        <f t="shared" si="13"/>
        <v>5.36358238306597E-3</v>
      </c>
      <c r="T28" s="8">
        <v>0.1</v>
      </c>
      <c r="U28" s="17">
        <f t="shared" si="14"/>
        <v>110000.00000000001</v>
      </c>
      <c r="V28" s="17">
        <f t="shared" si="1"/>
        <v>30.049830985915499</v>
      </c>
      <c r="W28" s="8">
        <f t="shared" si="15"/>
        <v>506.97961997729794</v>
      </c>
      <c r="X28" s="8">
        <f t="shared" si="16"/>
        <v>4.7310632920658556E-14</v>
      </c>
      <c r="Y28" s="8">
        <f t="shared" si="17"/>
        <v>28490463144.820583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</row>
    <row r="29" spans="1:76" s="3" customFormat="1" x14ac:dyDescent="0.25">
      <c r="A29" s="16">
        <v>81</v>
      </c>
      <c r="B29" s="16">
        <f t="shared" si="2"/>
        <v>1.35</v>
      </c>
      <c r="C29" s="16">
        <v>20</v>
      </c>
      <c r="D29" s="16">
        <f t="shared" si="0"/>
        <v>29.146000000000001</v>
      </c>
      <c r="E29" s="16">
        <f t="shared" si="3"/>
        <v>4.8576666666666667E-7</v>
      </c>
      <c r="F29" s="16">
        <v>21.1</v>
      </c>
      <c r="G29" s="16">
        <f t="shared" si="4"/>
        <v>294.10000000000002</v>
      </c>
      <c r="H29" s="16">
        <v>101.3</v>
      </c>
      <c r="I29" s="16">
        <f t="shared" si="5"/>
        <v>101300</v>
      </c>
      <c r="J29" s="16">
        <f t="shared" si="6"/>
        <v>2.0124824921938581E-5</v>
      </c>
      <c r="K29" s="11">
        <v>279.68732394366202</v>
      </c>
      <c r="L29" s="17">
        <f t="shared" si="7"/>
        <v>2.7968732394366202E-4</v>
      </c>
      <c r="M29" s="14">
        <f t="shared" si="8"/>
        <v>4.7762865441819992E-3</v>
      </c>
      <c r="N29" s="26">
        <f t="shared" si="9"/>
        <v>1.1784591178073256E-6</v>
      </c>
      <c r="O29" s="8">
        <f t="shared" si="10"/>
        <v>2.032E-3</v>
      </c>
      <c r="P29" s="8">
        <f t="shared" si="11"/>
        <v>1.3730521979624967E-10</v>
      </c>
      <c r="Q29" s="8">
        <v>0.31</v>
      </c>
      <c r="R29" s="17">
        <f t="shared" si="12"/>
        <v>131000</v>
      </c>
      <c r="S29" s="8">
        <f t="shared" si="13"/>
        <v>5.36358238306597E-3</v>
      </c>
      <c r="T29" s="8">
        <v>0.1</v>
      </c>
      <c r="U29" s="17">
        <f t="shared" si="14"/>
        <v>110000.00000000001</v>
      </c>
      <c r="V29" s="17">
        <f t="shared" si="1"/>
        <v>30.765605633802828</v>
      </c>
      <c r="W29" s="8">
        <f t="shared" si="15"/>
        <v>528.39590623289439</v>
      </c>
      <c r="X29" s="8">
        <f t="shared" si="16"/>
        <v>4.8445503581700749E-14</v>
      </c>
      <c r="Y29" s="8">
        <f t="shared" si="17"/>
        <v>29173882256.900192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</row>
    <row r="30" spans="1:76" s="3" customFormat="1" x14ac:dyDescent="0.25">
      <c r="A30" s="16">
        <v>84</v>
      </c>
      <c r="B30" s="16">
        <f t="shared" si="2"/>
        <v>1.4</v>
      </c>
      <c r="C30" s="16">
        <v>20</v>
      </c>
      <c r="D30" s="16">
        <f t="shared" si="0"/>
        <v>29.146000000000001</v>
      </c>
      <c r="E30" s="16">
        <f t="shared" si="3"/>
        <v>4.8576666666666667E-7</v>
      </c>
      <c r="F30" s="16">
        <v>21.1</v>
      </c>
      <c r="G30" s="16">
        <f t="shared" si="4"/>
        <v>294.10000000000002</v>
      </c>
      <c r="H30" s="16">
        <v>101.3</v>
      </c>
      <c r="I30" s="16">
        <f t="shared" si="5"/>
        <v>101300</v>
      </c>
      <c r="J30" s="16">
        <f t="shared" si="6"/>
        <v>2.0124824921938581E-5</v>
      </c>
      <c r="K30" s="11">
        <v>286.30704225352116</v>
      </c>
      <c r="L30" s="17">
        <f t="shared" si="7"/>
        <v>2.8630704225352118E-4</v>
      </c>
      <c r="M30" s="14">
        <f t="shared" si="8"/>
        <v>4.7762865441819992E-3</v>
      </c>
      <c r="N30" s="26">
        <f t="shared" si="9"/>
        <v>1.2063512199218319E-6</v>
      </c>
      <c r="O30" s="8">
        <f t="shared" si="10"/>
        <v>2.032E-3</v>
      </c>
      <c r="P30" s="8">
        <f t="shared" si="11"/>
        <v>1.3730521979624967E-10</v>
      </c>
      <c r="Q30" s="8">
        <v>0.31</v>
      </c>
      <c r="R30" s="17">
        <f t="shared" si="12"/>
        <v>131000</v>
      </c>
      <c r="S30" s="8">
        <f t="shared" si="13"/>
        <v>5.36358238306597E-3</v>
      </c>
      <c r="T30" s="8">
        <v>0.1</v>
      </c>
      <c r="U30" s="17">
        <f t="shared" si="14"/>
        <v>110000.00000000001</v>
      </c>
      <c r="V30" s="17">
        <f t="shared" si="1"/>
        <v>31.493774647887335</v>
      </c>
      <c r="W30" s="8">
        <f t="shared" si="15"/>
        <v>550.60150080434937</v>
      </c>
      <c r="X30" s="8">
        <f t="shared" si="16"/>
        <v>4.9600567157868306E-14</v>
      </c>
      <c r="Y30" s="8">
        <f t="shared" si="17"/>
        <v>29869461542.468296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</row>
    <row r="31" spans="1:76" s="3" customFormat="1" x14ac:dyDescent="0.25">
      <c r="A31" s="16">
        <v>87</v>
      </c>
      <c r="B31" s="16">
        <f t="shared" si="2"/>
        <v>1.45</v>
      </c>
      <c r="C31" s="16">
        <v>20</v>
      </c>
      <c r="D31" s="16">
        <f t="shared" si="0"/>
        <v>29.146000000000001</v>
      </c>
      <c r="E31" s="16">
        <f t="shared" si="3"/>
        <v>4.8576666666666667E-7</v>
      </c>
      <c r="F31" s="16">
        <v>21.1</v>
      </c>
      <c r="G31" s="16">
        <f t="shared" si="4"/>
        <v>294.10000000000002</v>
      </c>
      <c r="H31" s="16">
        <v>101.3</v>
      </c>
      <c r="I31" s="16">
        <f t="shared" si="5"/>
        <v>101300</v>
      </c>
      <c r="J31" s="16">
        <f t="shared" si="6"/>
        <v>2.0124824921938581E-5</v>
      </c>
      <c r="K31" s="11">
        <v>272.95492957746478</v>
      </c>
      <c r="L31" s="17">
        <f t="shared" si="7"/>
        <v>2.7295492957746476E-4</v>
      </c>
      <c r="M31" s="14">
        <f t="shared" si="8"/>
        <v>4.7762865441819992E-3</v>
      </c>
      <c r="N31" s="26">
        <f t="shared" si="9"/>
        <v>1.1500922565078912E-6</v>
      </c>
      <c r="O31" s="8">
        <f t="shared" si="10"/>
        <v>2.032E-3</v>
      </c>
      <c r="P31" s="8">
        <f t="shared" si="11"/>
        <v>1.3730521979624967E-10</v>
      </c>
      <c r="Q31" s="8">
        <v>0.31</v>
      </c>
      <c r="R31" s="17">
        <f t="shared" si="12"/>
        <v>131000</v>
      </c>
      <c r="S31" s="8">
        <f t="shared" si="13"/>
        <v>5.36358238306597E-3</v>
      </c>
      <c r="T31" s="8">
        <v>0.1</v>
      </c>
      <c r="U31" s="17">
        <f t="shared" si="14"/>
        <v>110000.00000000001</v>
      </c>
      <c r="V31" s="17">
        <f t="shared" si="1"/>
        <v>30.025042253521129</v>
      </c>
      <c r="W31" s="8">
        <f t="shared" si="15"/>
        <v>506.24524791044689</v>
      </c>
      <c r="X31" s="8">
        <f t="shared" si="16"/>
        <v>4.7271339365055237E-14</v>
      </c>
      <c r="Y31" s="8">
        <f t="shared" si="17"/>
        <v>28466800565.636265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</row>
    <row r="32" spans="1:76" s="3" customFormat="1" x14ac:dyDescent="0.25">
      <c r="A32" s="16">
        <v>90</v>
      </c>
      <c r="B32" s="16">
        <f t="shared" si="2"/>
        <v>1.5</v>
      </c>
      <c r="C32" s="16">
        <v>20</v>
      </c>
      <c r="D32" s="16">
        <f t="shared" si="0"/>
        <v>29.146000000000001</v>
      </c>
      <c r="E32" s="16">
        <f t="shared" si="3"/>
        <v>4.8576666666666667E-7</v>
      </c>
      <c r="F32" s="16">
        <v>21.1</v>
      </c>
      <c r="G32" s="16">
        <f t="shared" si="4"/>
        <v>294.10000000000002</v>
      </c>
      <c r="H32" s="16">
        <v>101.3</v>
      </c>
      <c r="I32" s="16">
        <f t="shared" si="5"/>
        <v>101300</v>
      </c>
      <c r="J32" s="16">
        <f t="shared" si="6"/>
        <v>2.0124824921938581E-5</v>
      </c>
      <c r="K32" s="13">
        <v>292.56056338028168</v>
      </c>
      <c r="L32" s="17">
        <f t="shared" si="7"/>
        <v>2.9256056338028169E-4</v>
      </c>
      <c r="M32" s="14">
        <f t="shared" si="8"/>
        <v>4.7762865441819992E-3</v>
      </c>
      <c r="N32" s="26">
        <f t="shared" si="9"/>
        <v>1.2327003546853228E-6</v>
      </c>
      <c r="O32" s="8">
        <f t="shared" si="10"/>
        <v>2.032E-3</v>
      </c>
      <c r="P32" s="8">
        <f t="shared" si="11"/>
        <v>1.3730521979624967E-10</v>
      </c>
      <c r="Q32" s="8">
        <v>0.31</v>
      </c>
      <c r="R32" s="17">
        <f t="shared" si="12"/>
        <v>131000</v>
      </c>
      <c r="S32" s="8">
        <f t="shared" si="13"/>
        <v>5.36358238306597E-3</v>
      </c>
      <c r="T32" s="8">
        <v>0.1</v>
      </c>
      <c r="U32" s="17">
        <f t="shared" si="14"/>
        <v>110000.00000000001</v>
      </c>
      <c r="V32" s="17">
        <f t="shared" si="1"/>
        <v>32.181661971830991</v>
      </c>
      <c r="W32" s="8">
        <f t="shared" si="15"/>
        <v>571.96553274967755</v>
      </c>
      <c r="X32" s="22">
        <f t="shared" si="16"/>
        <v>5.0692245213965289E-14</v>
      </c>
      <c r="Y32" s="22">
        <f t="shared" si="17"/>
        <v>30526870067.849899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</row>
    <row r="33" spans="1:76" s="3" customFormat="1" x14ac:dyDescent="0.25">
      <c r="A33" s="16">
        <v>93</v>
      </c>
      <c r="B33" s="16">
        <f t="shared" si="2"/>
        <v>1.55</v>
      </c>
      <c r="C33" s="16">
        <v>20</v>
      </c>
      <c r="D33" s="16">
        <f t="shared" si="0"/>
        <v>29.146000000000001</v>
      </c>
      <c r="E33" s="16">
        <f t="shared" si="3"/>
        <v>4.8576666666666667E-7</v>
      </c>
      <c r="F33" s="16">
        <v>21.1</v>
      </c>
      <c r="G33" s="16">
        <f t="shared" si="4"/>
        <v>294.10000000000002</v>
      </c>
      <c r="H33" s="16">
        <v>101.3</v>
      </c>
      <c r="I33" s="16">
        <f t="shared" si="5"/>
        <v>101300</v>
      </c>
      <c r="J33" s="16">
        <f t="shared" si="6"/>
        <v>2.0124824921938581E-5</v>
      </c>
      <c r="K33" s="13">
        <v>288.25070422535214</v>
      </c>
      <c r="L33" s="17">
        <f t="shared" si="7"/>
        <v>2.8825070422535212E-4</v>
      </c>
      <c r="M33" s="14">
        <f t="shared" si="8"/>
        <v>4.7762865441819992E-3</v>
      </c>
      <c r="N33" s="26">
        <f t="shared" si="9"/>
        <v>1.2145408158618358E-6</v>
      </c>
      <c r="O33" s="8">
        <f t="shared" si="10"/>
        <v>2.032E-3</v>
      </c>
      <c r="P33" s="8">
        <f t="shared" si="11"/>
        <v>1.3730521979624967E-10</v>
      </c>
      <c r="Q33" s="8">
        <v>0.31</v>
      </c>
      <c r="R33" s="17">
        <f t="shared" si="12"/>
        <v>131000</v>
      </c>
      <c r="S33" s="8">
        <f t="shared" si="13"/>
        <v>5.36358238306597E-3</v>
      </c>
      <c r="T33" s="8">
        <v>0.1</v>
      </c>
      <c r="U33" s="17">
        <f t="shared" si="14"/>
        <v>110000.00000000001</v>
      </c>
      <c r="V33" s="17">
        <f t="shared" si="1"/>
        <v>31.707577464788738</v>
      </c>
      <c r="W33" s="8">
        <f t="shared" si="15"/>
        <v>557.20145852143742</v>
      </c>
      <c r="X33" s="22">
        <f t="shared" si="16"/>
        <v>4.9939818804176306E-14</v>
      </c>
      <c r="Y33" s="22">
        <f t="shared" si="17"/>
        <v>30073758883.874973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</row>
    <row r="34" spans="1:76" s="3" customFormat="1" x14ac:dyDescent="0.25">
      <c r="A34" s="16">
        <v>96</v>
      </c>
      <c r="B34" s="16">
        <f t="shared" si="2"/>
        <v>1.6</v>
      </c>
      <c r="C34" s="16">
        <v>20</v>
      </c>
      <c r="D34" s="16">
        <f t="shared" si="0"/>
        <v>29.146000000000001</v>
      </c>
      <c r="E34" s="16">
        <f t="shared" si="3"/>
        <v>4.8576666666666667E-7</v>
      </c>
      <c r="F34" s="16">
        <v>21.1</v>
      </c>
      <c r="G34" s="16">
        <f t="shared" si="4"/>
        <v>294.10000000000002</v>
      </c>
      <c r="H34" s="16">
        <v>101.3</v>
      </c>
      <c r="I34" s="16">
        <f t="shared" si="5"/>
        <v>101300</v>
      </c>
      <c r="J34" s="16">
        <f t="shared" si="6"/>
        <v>2.0124824921938581E-5</v>
      </c>
      <c r="K34" s="13">
        <v>289.96901408450708</v>
      </c>
      <c r="L34" s="17">
        <f t="shared" si="7"/>
        <v>2.8996901408450705E-4</v>
      </c>
      <c r="M34" s="14">
        <f t="shared" si="8"/>
        <v>4.7762865441819992E-3</v>
      </c>
      <c r="N34" s="26">
        <f t="shared" si="9"/>
        <v>1.221780893431984E-6</v>
      </c>
      <c r="O34" s="8">
        <f t="shared" si="10"/>
        <v>2.032E-3</v>
      </c>
      <c r="P34" s="8">
        <f t="shared" si="11"/>
        <v>1.3730521979624967E-10</v>
      </c>
      <c r="Q34" s="8">
        <v>0.31</v>
      </c>
      <c r="R34" s="17">
        <f t="shared" si="12"/>
        <v>131000</v>
      </c>
      <c r="S34" s="8">
        <f t="shared" si="13"/>
        <v>5.36358238306597E-3</v>
      </c>
      <c r="T34" s="8">
        <v>0.1</v>
      </c>
      <c r="U34" s="17">
        <f t="shared" si="14"/>
        <v>110000.00000000001</v>
      </c>
      <c r="V34" s="17">
        <f t="shared" si="1"/>
        <v>31.896591549295781</v>
      </c>
      <c r="W34" s="8">
        <f t="shared" si="15"/>
        <v>563.06641976219942</v>
      </c>
      <c r="X34" s="22">
        <f t="shared" si="16"/>
        <v>5.0239777155963738E-14</v>
      </c>
      <c r="Y34" s="22">
        <f t="shared" si="17"/>
        <v>30254393803.321365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</row>
    <row r="35" spans="1:76" s="3" customFormat="1" x14ac:dyDescent="0.25">
      <c r="A35" s="16">
        <v>99</v>
      </c>
      <c r="B35" s="16">
        <f t="shared" si="2"/>
        <v>1.65</v>
      </c>
      <c r="C35" s="16">
        <v>20</v>
      </c>
      <c r="D35" s="16">
        <f t="shared" si="0"/>
        <v>29.146000000000001</v>
      </c>
      <c r="E35" s="16">
        <f t="shared" si="3"/>
        <v>4.8576666666666667E-7</v>
      </c>
      <c r="F35" s="16">
        <v>21.1</v>
      </c>
      <c r="G35" s="16">
        <f t="shared" si="4"/>
        <v>294.10000000000002</v>
      </c>
      <c r="H35" s="16">
        <v>101.3</v>
      </c>
      <c r="I35" s="16">
        <f t="shared" si="5"/>
        <v>101300</v>
      </c>
      <c r="J35" s="16">
        <f t="shared" si="6"/>
        <v>2.0124824921938581E-5</v>
      </c>
      <c r="K35" s="13">
        <v>292.50422535211271</v>
      </c>
      <c r="L35" s="17">
        <f t="shared" si="7"/>
        <v>2.9250422535211269E-4</v>
      </c>
      <c r="M35" s="14">
        <f t="shared" si="8"/>
        <v>4.7762865441819992E-3</v>
      </c>
      <c r="N35" s="26">
        <f t="shared" si="9"/>
        <v>1.2324629750928591E-6</v>
      </c>
      <c r="O35" s="8">
        <f t="shared" si="10"/>
        <v>2.032E-3</v>
      </c>
      <c r="P35" s="8">
        <f t="shared" si="11"/>
        <v>1.3730521979624967E-10</v>
      </c>
      <c r="Q35" s="8">
        <v>0.31</v>
      </c>
      <c r="R35" s="17">
        <f t="shared" si="12"/>
        <v>131000</v>
      </c>
      <c r="S35" s="8">
        <f t="shared" si="13"/>
        <v>5.36358238306597E-3</v>
      </c>
      <c r="T35" s="8">
        <v>0.1</v>
      </c>
      <c r="U35" s="17">
        <f t="shared" si="14"/>
        <v>110000.00000000001</v>
      </c>
      <c r="V35" s="17">
        <f t="shared" si="1"/>
        <v>32.175464788732398</v>
      </c>
      <c r="W35" s="8">
        <f t="shared" si="15"/>
        <v>571.77138869612133</v>
      </c>
      <c r="X35" s="22">
        <f t="shared" si="16"/>
        <v>5.0682408029086924E-14</v>
      </c>
      <c r="Y35" s="22">
        <f t="shared" si="17"/>
        <v>30520946115.116146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</row>
    <row r="36" spans="1:76" s="3" customFormat="1" x14ac:dyDescent="0.25">
      <c r="A36" s="16">
        <v>102</v>
      </c>
      <c r="B36" s="16">
        <f t="shared" si="2"/>
        <v>1.7</v>
      </c>
      <c r="C36" s="16">
        <v>20</v>
      </c>
      <c r="D36" s="16">
        <f t="shared" si="0"/>
        <v>29.146000000000001</v>
      </c>
      <c r="E36" s="16">
        <f t="shared" si="3"/>
        <v>4.8576666666666667E-7</v>
      </c>
      <c r="F36" s="16">
        <v>21.1</v>
      </c>
      <c r="G36" s="16">
        <f t="shared" si="4"/>
        <v>294.10000000000002</v>
      </c>
      <c r="H36" s="16">
        <v>101.3</v>
      </c>
      <c r="I36" s="16">
        <f t="shared" si="5"/>
        <v>101300</v>
      </c>
      <c r="J36" s="16">
        <f t="shared" si="6"/>
        <v>2.0124824921938581E-5</v>
      </c>
      <c r="K36" s="13">
        <v>286.58873239436622</v>
      </c>
      <c r="L36" s="17">
        <f t="shared" si="7"/>
        <v>2.8658873239436624E-4</v>
      </c>
      <c r="M36" s="14">
        <f t="shared" si="8"/>
        <v>4.7762865441819992E-3</v>
      </c>
      <c r="N36" s="26">
        <f t="shared" si="9"/>
        <v>1.2075381178841512E-6</v>
      </c>
      <c r="O36" s="8">
        <f t="shared" si="10"/>
        <v>2.032E-3</v>
      </c>
      <c r="P36" s="8">
        <f t="shared" si="11"/>
        <v>1.3730521979624967E-10</v>
      </c>
      <c r="Q36" s="8">
        <v>0.31</v>
      </c>
      <c r="R36" s="17">
        <f t="shared" si="12"/>
        <v>131000</v>
      </c>
      <c r="S36" s="8">
        <f t="shared" si="13"/>
        <v>5.36358238306597E-3</v>
      </c>
      <c r="T36" s="8">
        <v>0.1</v>
      </c>
      <c r="U36" s="17">
        <f t="shared" si="14"/>
        <v>110000.00000000001</v>
      </c>
      <c r="V36" s="17">
        <f t="shared" si="1"/>
        <v>31.524760563380291</v>
      </c>
      <c r="W36" s="8">
        <f t="shared" si="15"/>
        <v>551.55576747569125</v>
      </c>
      <c r="X36" s="22">
        <f t="shared" si="16"/>
        <v>4.9649731080113936E-14</v>
      </c>
      <c r="Y36" s="22">
        <f t="shared" si="17"/>
        <v>29899068056.444614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</row>
    <row r="37" spans="1:76" s="3" customFormat="1" x14ac:dyDescent="0.25">
      <c r="A37" s="16">
        <v>105</v>
      </c>
      <c r="B37" s="16">
        <f t="shared" si="2"/>
        <v>1.75</v>
      </c>
      <c r="C37" s="16">
        <v>20</v>
      </c>
      <c r="D37" s="16">
        <f t="shared" si="0"/>
        <v>29.146000000000001</v>
      </c>
      <c r="E37" s="16">
        <f t="shared" si="3"/>
        <v>4.8576666666666667E-7</v>
      </c>
      <c r="F37" s="16">
        <v>21.1</v>
      </c>
      <c r="G37" s="16">
        <f t="shared" si="4"/>
        <v>294.10000000000002</v>
      </c>
      <c r="H37" s="16">
        <v>101.3</v>
      </c>
      <c r="I37" s="16">
        <f t="shared" si="5"/>
        <v>101300</v>
      </c>
      <c r="J37" s="16">
        <f t="shared" si="6"/>
        <v>2.0124824921938581E-5</v>
      </c>
      <c r="K37" s="13">
        <v>283.15211267605633</v>
      </c>
      <c r="L37" s="17">
        <f t="shared" si="7"/>
        <v>2.8315211267605631E-4</v>
      </c>
      <c r="M37" s="14">
        <f t="shared" si="8"/>
        <v>4.7762865441819992E-3</v>
      </c>
      <c r="N37" s="26">
        <f t="shared" si="9"/>
        <v>1.1930579627438542E-6</v>
      </c>
      <c r="O37" s="8">
        <f t="shared" si="10"/>
        <v>2.032E-3</v>
      </c>
      <c r="P37" s="8">
        <f t="shared" si="11"/>
        <v>1.3730521979624967E-10</v>
      </c>
      <c r="Q37" s="8">
        <v>0.31</v>
      </c>
      <c r="R37" s="17">
        <f t="shared" si="12"/>
        <v>131000</v>
      </c>
      <c r="S37" s="8">
        <f t="shared" si="13"/>
        <v>5.36358238306597E-3</v>
      </c>
      <c r="T37" s="8">
        <v>0.1</v>
      </c>
      <c r="U37" s="17">
        <f t="shared" si="14"/>
        <v>110000.00000000001</v>
      </c>
      <c r="V37" s="17">
        <f t="shared" si="1"/>
        <v>31.1467323943662</v>
      </c>
      <c r="W37" s="8">
        <f t="shared" si="15"/>
        <v>539.96582754255121</v>
      </c>
      <c r="X37" s="22">
        <f t="shared" si="16"/>
        <v>4.9049999960068034E-14</v>
      </c>
      <c r="Y37" s="22">
        <f t="shared" si="17"/>
        <v>29537909975.952972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</row>
    <row r="38" spans="1:76" s="3" customFormat="1" x14ac:dyDescent="0.25">
      <c r="A38" s="16">
        <v>108</v>
      </c>
      <c r="B38" s="16">
        <f t="shared" si="2"/>
        <v>1.8</v>
      </c>
      <c r="C38" s="16">
        <v>20</v>
      </c>
      <c r="D38" s="16">
        <f t="shared" si="0"/>
        <v>29.146000000000001</v>
      </c>
      <c r="E38" s="16">
        <f t="shared" si="3"/>
        <v>4.8576666666666667E-7</v>
      </c>
      <c r="F38" s="16">
        <v>21.1</v>
      </c>
      <c r="G38" s="16">
        <f t="shared" si="4"/>
        <v>294.10000000000002</v>
      </c>
      <c r="H38" s="16">
        <v>101.3</v>
      </c>
      <c r="I38" s="16">
        <f t="shared" si="5"/>
        <v>101300</v>
      </c>
      <c r="J38" s="16">
        <f t="shared" si="6"/>
        <v>2.0124824921938581E-5</v>
      </c>
      <c r="K38" s="13">
        <v>289.77183098591547</v>
      </c>
      <c r="L38" s="17">
        <f t="shared" si="7"/>
        <v>2.8977183098591547E-4</v>
      </c>
      <c r="M38" s="14">
        <f t="shared" si="8"/>
        <v>4.7762865441819992E-3</v>
      </c>
      <c r="N38" s="26">
        <f t="shared" si="9"/>
        <v>1.2209500648583603E-6</v>
      </c>
      <c r="O38" s="8">
        <f t="shared" si="10"/>
        <v>2.032E-3</v>
      </c>
      <c r="P38" s="8">
        <f t="shared" si="11"/>
        <v>1.3730521979624967E-10</v>
      </c>
      <c r="Q38" s="8">
        <v>0.31</v>
      </c>
      <c r="R38" s="17">
        <f t="shared" si="12"/>
        <v>131000</v>
      </c>
      <c r="S38" s="8">
        <f t="shared" si="13"/>
        <v>5.36358238306597E-3</v>
      </c>
      <c r="T38" s="8">
        <v>0.1</v>
      </c>
      <c r="U38" s="17">
        <f t="shared" si="14"/>
        <v>110000.00000000001</v>
      </c>
      <c r="V38" s="17">
        <f t="shared" si="1"/>
        <v>31.874901408450707</v>
      </c>
      <c r="W38" s="8">
        <f t="shared" si="15"/>
        <v>562.39195166183492</v>
      </c>
      <c r="X38" s="22">
        <f t="shared" si="16"/>
        <v>5.0205353781485477E-14</v>
      </c>
      <c r="Y38" s="22">
        <f t="shared" si="17"/>
        <v>30233664047.210556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</row>
    <row r="39" spans="1:76" s="3" customFormat="1" x14ac:dyDescent="0.25">
      <c r="A39" s="16">
        <v>111</v>
      </c>
      <c r="B39" s="16">
        <f t="shared" si="2"/>
        <v>1.85</v>
      </c>
      <c r="C39" s="16">
        <v>20</v>
      </c>
      <c r="D39" s="16">
        <f t="shared" si="0"/>
        <v>29.146000000000001</v>
      </c>
      <c r="E39" s="16">
        <f t="shared" si="3"/>
        <v>4.8576666666666667E-7</v>
      </c>
      <c r="F39" s="16">
        <v>21.1</v>
      </c>
      <c r="G39" s="16">
        <f t="shared" si="4"/>
        <v>294.10000000000002</v>
      </c>
      <c r="H39" s="16">
        <v>101.3</v>
      </c>
      <c r="I39" s="16">
        <f t="shared" si="5"/>
        <v>101300</v>
      </c>
      <c r="J39" s="16">
        <f t="shared" si="6"/>
        <v>2.0124824921938581E-5</v>
      </c>
      <c r="K39" s="13">
        <v>294.72957746478875</v>
      </c>
      <c r="L39" s="17">
        <f t="shared" si="7"/>
        <v>2.9472957746478875E-4</v>
      </c>
      <c r="M39" s="14">
        <f t="shared" si="8"/>
        <v>4.7762865441819992E-3</v>
      </c>
      <c r="N39" s="26">
        <f t="shared" si="9"/>
        <v>1.2418394689951823E-6</v>
      </c>
      <c r="O39" s="8">
        <f t="shared" si="10"/>
        <v>2.032E-3</v>
      </c>
      <c r="P39" s="8">
        <f t="shared" si="11"/>
        <v>1.3730521979624967E-10</v>
      </c>
      <c r="Q39" s="8">
        <v>0.31</v>
      </c>
      <c r="R39" s="17">
        <f t="shared" si="12"/>
        <v>131000</v>
      </c>
      <c r="S39" s="8">
        <f t="shared" si="13"/>
        <v>5.36358238306597E-3</v>
      </c>
      <c r="T39" s="8">
        <v>0.1</v>
      </c>
      <c r="U39" s="17">
        <f t="shared" si="14"/>
        <v>110000.00000000001</v>
      </c>
      <c r="V39" s="17">
        <f t="shared" si="1"/>
        <v>32.420253521126767</v>
      </c>
      <c r="W39" s="8">
        <f t="shared" si="15"/>
        <v>579.46321868156008</v>
      </c>
      <c r="X39" s="22">
        <f t="shared" si="16"/>
        <v>5.1071008162363615E-14</v>
      </c>
      <c r="Y39" s="22">
        <f t="shared" si="17"/>
        <v>30754961115.37537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</row>
    <row r="40" spans="1:76" s="3" customFormat="1" x14ac:dyDescent="0.25">
      <c r="A40" s="16">
        <v>114</v>
      </c>
      <c r="B40" s="16">
        <f t="shared" si="2"/>
        <v>1.9</v>
      </c>
      <c r="C40" s="16">
        <v>20</v>
      </c>
      <c r="D40" s="16">
        <f t="shared" si="0"/>
        <v>29.146000000000001</v>
      </c>
      <c r="E40" s="16">
        <f t="shared" si="3"/>
        <v>4.8576666666666667E-7</v>
      </c>
      <c r="F40" s="16">
        <v>21.1</v>
      </c>
      <c r="G40" s="16">
        <f t="shared" si="4"/>
        <v>294.10000000000002</v>
      </c>
      <c r="H40" s="16">
        <v>101.3</v>
      </c>
      <c r="I40" s="16">
        <f t="shared" si="5"/>
        <v>101300</v>
      </c>
      <c r="J40" s="16">
        <f t="shared" si="6"/>
        <v>2.0124824921938581E-5</v>
      </c>
      <c r="K40" s="13">
        <v>293.96901408450708</v>
      </c>
      <c r="L40" s="17">
        <f t="shared" si="7"/>
        <v>2.939690140845071E-4</v>
      </c>
      <c r="M40" s="14">
        <f t="shared" si="8"/>
        <v>4.7762865441819992E-3</v>
      </c>
      <c r="N40" s="26">
        <f t="shared" si="9"/>
        <v>1.2386348444969202E-6</v>
      </c>
      <c r="O40" s="8">
        <f t="shared" si="10"/>
        <v>2.032E-3</v>
      </c>
      <c r="P40" s="8">
        <f t="shared" si="11"/>
        <v>1.3730521979624967E-10</v>
      </c>
      <c r="Q40" s="8">
        <v>0.31</v>
      </c>
      <c r="R40" s="17">
        <f t="shared" si="12"/>
        <v>131000</v>
      </c>
      <c r="S40" s="8">
        <f t="shared" si="13"/>
        <v>5.36358238306597E-3</v>
      </c>
      <c r="T40" s="8">
        <v>0.1</v>
      </c>
      <c r="U40" s="17">
        <f t="shared" si="14"/>
        <v>110000.00000000001</v>
      </c>
      <c r="V40" s="17">
        <f t="shared" si="1"/>
        <v>32.336591549295782</v>
      </c>
      <c r="W40" s="8">
        <f t="shared" si="15"/>
        <v>576.82902535452558</v>
      </c>
      <c r="X40" s="22">
        <f t="shared" si="16"/>
        <v>5.0938188217236737E-14</v>
      </c>
      <c r="Y40" s="22">
        <f t="shared" si="17"/>
        <v>30674976944.419964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</row>
    <row r="41" spans="1:76" s="3" customFormat="1" x14ac:dyDescent="0.25">
      <c r="A41" s="16">
        <v>117</v>
      </c>
      <c r="B41" s="16">
        <f t="shared" si="2"/>
        <v>1.95</v>
      </c>
      <c r="C41" s="16">
        <v>20</v>
      </c>
      <c r="D41" s="16">
        <f t="shared" si="0"/>
        <v>29.146000000000001</v>
      </c>
      <c r="E41" s="16">
        <f t="shared" si="3"/>
        <v>4.8576666666666667E-7</v>
      </c>
      <c r="F41" s="16">
        <v>21.1</v>
      </c>
      <c r="G41" s="16">
        <f t="shared" si="4"/>
        <v>294.10000000000002</v>
      </c>
      <c r="H41" s="16">
        <v>101.3</v>
      </c>
      <c r="I41" s="16">
        <f t="shared" si="5"/>
        <v>101300</v>
      </c>
      <c r="J41" s="16">
        <f t="shared" si="6"/>
        <v>2.0124824921938581E-5</v>
      </c>
      <c r="K41" s="13">
        <v>288.10985915492961</v>
      </c>
      <c r="L41" s="17">
        <f t="shared" si="7"/>
        <v>2.8810985915492959E-4</v>
      </c>
      <c r="M41" s="14">
        <f t="shared" si="8"/>
        <v>4.7762865441819992E-3</v>
      </c>
      <c r="N41" s="26">
        <f t="shared" si="9"/>
        <v>1.2139473668806761E-6</v>
      </c>
      <c r="O41" s="8">
        <f t="shared" si="10"/>
        <v>2.032E-3</v>
      </c>
      <c r="P41" s="8">
        <f t="shared" si="11"/>
        <v>1.3730521979624967E-10</v>
      </c>
      <c r="Q41" s="8">
        <v>0.31</v>
      </c>
      <c r="R41" s="17">
        <f t="shared" si="12"/>
        <v>131000</v>
      </c>
      <c r="S41" s="8">
        <f t="shared" si="13"/>
        <v>5.36358238306597E-3</v>
      </c>
      <c r="T41" s="8">
        <v>0.1</v>
      </c>
      <c r="U41" s="17">
        <f t="shared" si="14"/>
        <v>110000.00000000001</v>
      </c>
      <c r="V41" s="17">
        <f t="shared" si="1"/>
        <v>31.69208450704226</v>
      </c>
      <c r="W41" s="8">
        <f t="shared" si="15"/>
        <v>556.72198115690173</v>
      </c>
      <c r="X41" s="22">
        <f t="shared" si="16"/>
        <v>4.9915233731169788E-14</v>
      </c>
      <c r="Y41" s="22">
        <f t="shared" si="17"/>
        <v>30058953752.910446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 spans="1:76" s="3" customFormat="1" x14ac:dyDescent="0.25">
      <c r="A42" s="16">
        <v>120</v>
      </c>
      <c r="B42" s="16">
        <f t="shared" si="2"/>
        <v>2</v>
      </c>
      <c r="C42" s="16">
        <v>20</v>
      </c>
      <c r="D42" s="16">
        <f t="shared" si="0"/>
        <v>29.146000000000001</v>
      </c>
      <c r="E42" s="16">
        <f t="shared" si="3"/>
        <v>4.8576666666666667E-7</v>
      </c>
      <c r="F42" s="16">
        <v>21.1</v>
      </c>
      <c r="G42" s="16">
        <f t="shared" si="4"/>
        <v>294.10000000000002</v>
      </c>
      <c r="H42" s="16">
        <v>101.3</v>
      </c>
      <c r="I42" s="16">
        <f t="shared" si="5"/>
        <v>101300</v>
      </c>
      <c r="J42" s="16">
        <f t="shared" si="6"/>
        <v>2.0124824921938581E-5</v>
      </c>
      <c r="K42" s="13">
        <v>297.40563380281691</v>
      </c>
      <c r="L42" s="17">
        <f t="shared" si="7"/>
        <v>2.9740563380281691E-4</v>
      </c>
      <c r="M42" s="14">
        <f t="shared" si="8"/>
        <v>4.7762865441819992E-3</v>
      </c>
      <c r="N42" s="26">
        <f t="shared" si="9"/>
        <v>1.2531149996372167E-6</v>
      </c>
      <c r="O42" s="8">
        <f t="shared" si="10"/>
        <v>2.032E-3</v>
      </c>
      <c r="P42" s="8">
        <f t="shared" si="11"/>
        <v>1.3730521979624967E-10</v>
      </c>
      <c r="Q42" s="8">
        <v>0.31</v>
      </c>
      <c r="R42" s="17">
        <f t="shared" si="12"/>
        <v>131000</v>
      </c>
      <c r="S42" s="8">
        <f t="shared" si="13"/>
        <v>5.36358238306597E-3</v>
      </c>
      <c r="T42" s="8">
        <v>0.1</v>
      </c>
      <c r="U42" s="17">
        <f t="shared" si="14"/>
        <v>110000.00000000001</v>
      </c>
      <c r="V42" s="17">
        <f t="shared" si="1"/>
        <v>32.714619718309862</v>
      </c>
      <c r="W42" s="8">
        <f t="shared" si="15"/>
        <v>588.7757356058695</v>
      </c>
      <c r="X42" s="22">
        <f t="shared" si="16"/>
        <v>5.1538397664172262E-14</v>
      </c>
      <c r="Y42" s="22">
        <f t="shared" si="17"/>
        <v>31036423073.364536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</row>
    <row r="43" spans="1:76" s="3" customFormat="1" x14ac:dyDescent="0.25">
      <c r="A43" s="16">
        <v>123</v>
      </c>
      <c r="B43" s="16">
        <f t="shared" si="2"/>
        <v>2.0499999999999998</v>
      </c>
      <c r="C43" s="16">
        <v>20</v>
      </c>
      <c r="D43" s="16">
        <f t="shared" si="0"/>
        <v>29.146000000000001</v>
      </c>
      <c r="E43" s="16">
        <f t="shared" si="3"/>
        <v>4.8576666666666667E-7</v>
      </c>
      <c r="F43" s="16">
        <v>21.1</v>
      </c>
      <c r="G43" s="16">
        <f t="shared" si="4"/>
        <v>294.10000000000002</v>
      </c>
      <c r="H43" s="16">
        <v>101.3</v>
      </c>
      <c r="I43" s="16">
        <f t="shared" si="5"/>
        <v>101300</v>
      </c>
      <c r="J43" s="16">
        <f t="shared" si="6"/>
        <v>2.0124824921938581E-5</v>
      </c>
      <c r="K43" s="13">
        <v>285.34929577464789</v>
      </c>
      <c r="L43" s="17">
        <f t="shared" si="7"/>
        <v>2.8534929577464789E-4</v>
      </c>
      <c r="M43" s="14">
        <f t="shared" si="8"/>
        <v>4.7762865441819992E-3</v>
      </c>
      <c r="N43" s="26">
        <f t="shared" si="9"/>
        <v>1.2023157668499458E-6</v>
      </c>
      <c r="O43" s="8">
        <f t="shared" si="10"/>
        <v>2.032E-3</v>
      </c>
      <c r="P43" s="8">
        <f t="shared" si="11"/>
        <v>1.3730521979624967E-10</v>
      </c>
      <c r="Q43" s="8">
        <v>0.31</v>
      </c>
      <c r="R43" s="17">
        <f t="shared" si="12"/>
        <v>131000</v>
      </c>
      <c r="S43" s="8">
        <f t="shared" si="13"/>
        <v>5.36358238306597E-3</v>
      </c>
      <c r="T43" s="8">
        <v>0.1</v>
      </c>
      <c r="U43" s="17">
        <f t="shared" si="14"/>
        <v>110000.00000000001</v>
      </c>
      <c r="V43" s="17">
        <f t="shared" si="1"/>
        <v>31.388422535211273</v>
      </c>
      <c r="W43" s="8">
        <f t="shared" si="15"/>
        <v>547.36269835322946</v>
      </c>
      <c r="X43" s="22">
        <f t="shared" si="16"/>
        <v>4.9433417363938688E-14</v>
      </c>
      <c r="Y43" s="22">
        <f t="shared" si="17"/>
        <v>29768803936.563881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 spans="1:76" s="3" customFormat="1" x14ac:dyDescent="0.25">
      <c r="A44" s="16">
        <v>126</v>
      </c>
      <c r="B44" s="16">
        <f t="shared" si="2"/>
        <v>2.1</v>
      </c>
      <c r="C44" s="16">
        <v>20</v>
      </c>
      <c r="D44" s="16">
        <f t="shared" si="0"/>
        <v>29.146000000000001</v>
      </c>
      <c r="E44" s="16">
        <f t="shared" si="3"/>
        <v>4.8576666666666667E-7</v>
      </c>
      <c r="F44" s="16">
        <v>21.1</v>
      </c>
      <c r="G44" s="16">
        <f t="shared" si="4"/>
        <v>294.10000000000002</v>
      </c>
      <c r="H44" s="16">
        <v>101.3</v>
      </c>
      <c r="I44" s="16">
        <f t="shared" si="5"/>
        <v>101300</v>
      </c>
      <c r="J44" s="16">
        <f t="shared" si="6"/>
        <v>2.0124824921938581E-5</v>
      </c>
      <c r="K44" s="13">
        <v>288.98309859154932</v>
      </c>
      <c r="L44" s="17">
        <f t="shared" si="7"/>
        <v>2.8898309859154935E-4</v>
      </c>
      <c r="M44" s="14">
        <f t="shared" si="8"/>
        <v>4.7762865441819992E-3</v>
      </c>
      <c r="N44" s="26">
        <f t="shared" si="9"/>
        <v>1.2176267505638663E-6</v>
      </c>
      <c r="O44" s="8">
        <f t="shared" si="10"/>
        <v>2.032E-3</v>
      </c>
      <c r="P44" s="8">
        <f t="shared" si="11"/>
        <v>1.3730521979624967E-10</v>
      </c>
      <c r="Q44" s="8">
        <v>0.31</v>
      </c>
      <c r="R44" s="17">
        <f t="shared" si="12"/>
        <v>131000</v>
      </c>
      <c r="S44" s="8">
        <f t="shared" si="13"/>
        <v>5.36358238306597E-3</v>
      </c>
      <c r="T44" s="8">
        <v>0.1</v>
      </c>
      <c r="U44" s="17">
        <f t="shared" si="14"/>
        <v>110000.00000000001</v>
      </c>
      <c r="V44" s="17">
        <f t="shared" si="1"/>
        <v>31.788140845070433</v>
      </c>
      <c r="W44" s="8">
        <f t="shared" si="15"/>
        <v>559.6978116754583</v>
      </c>
      <c r="X44" s="22">
        <f t="shared" si="16"/>
        <v>5.0067665276068171E-14</v>
      </c>
      <c r="Y44" s="22">
        <f t="shared" si="17"/>
        <v>30150748029.248253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</row>
    <row r="45" spans="1:76" s="3" customFormat="1" x14ac:dyDescent="0.25">
      <c r="A45" s="16">
        <v>129</v>
      </c>
      <c r="B45" s="16">
        <f t="shared" si="2"/>
        <v>2.15</v>
      </c>
      <c r="C45" s="16">
        <v>20</v>
      </c>
      <c r="D45" s="16">
        <f t="shared" si="0"/>
        <v>29.146000000000001</v>
      </c>
      <c r="E45" s="16">
        <f t="shared" si="3"/>
        <v>4.8576666666666667E-7</v>
      </c>
      <c r="F45" s="16">
        <v>21.1</v>
      </c>
      <c r="G45" s="16">
        <f t="shared" si="4"/>
        <v>294.10000000000002</v>
      </c>
      <c r="H45" s="16">
        <v>101.3</v>
      </c>
      <c r="I45" s="16">
        <f t="shared" si="5"/>
        <v>101300</v>
      </c>
      <c r="J45" s="16">
        <f t="shared" si="6"/>
        <v>2.0124824921938581E-5</v>
      </c>
      <c r="K45" s="13">
        <v>298.56056338028174</v>
      </c>
      <c r="L45" s="17">
        <f t="shared" si="7"/>
        <v>2.9856056338028173E-4</v>
      </c>
      <c r="M45" s="14">
        <f t="shared" si="8"/>
        <v>4.7762865441819992E-3</v>
      </c>
      <c r="N45" s="26">
        <f t="shared" si="9"/>
        <v>1.2579812812827265E-6</v>
      </c>
      <c r="O45" s="8">
        <f t="shared" si="10"/>
        <v>2.032E-3</v>
      </c>
      <c r="P45" s="8">
        <f t="shared" si="11"/>
        <v>1.3730521979624967E-10</v>
      </c>
      <c r="Q45" s="8">
        <v>0.31</v>
      </c>
      <c r="R45" s="17">
        <f t="shared" si="12"/>
        <v>131000</v>
      </c>
      <c r="S45" s="8">
        <f t="shared" si="13"/>
        <v>5.36358238306597E-3</v>
      </c>
      <c r="T45" s="8">
        <v>0.1</v>
      </c>
      <c r="U45" s="17">
        <f t="shared" si="14"/>
        <v>110000.00000000001</v>
      </c>
      <c r="V45" s="17">
        <f t="shared" si="1"/>
        <v>32.841661971830995</v>
      </c>
      <c r="W45" s="8">
        <f t="shared" si="15"/>
        <v>592.81600849437723</v>
      </c>
      <c r="X45" s="22">
        <f t="shared" si="16"/>
        <v>5.1740142160835929E-14</v>
      </c>
      <c r="Y45" s="22">
        <f t="shared" si="17"/>
        <v>31157913609.255398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</row>
    <row r="46" spans="1:76" s="3" customFormat="1" x14ac:dyDescent="0.25">
      <c r="A46" s="16">
        <v>132</v>
      </c>
      <c r="B46" s="16">
        <f t="shared" si="2"/>
        <v>2.2000000000000002</v>
      </c>
      <c r="C46" s="16">
        <v>20</v>
      </c>
      <c r="D46" s="16">
        <f t="shared" si="0"/>
        <v>29.146000000000001</v>
      </c>
      <c r="E46" s="16">
        <f t="shared" si="3"/>
        <v>4.8576666666666667E-7</v>
      </c>
      <c r="F46" s="16">
        <v>21.1</v>
      </c>
      <c r="G46" s="16">
        <f t="shared" si="4"/>
        <v>294.10000000000002</v>
      </c>
      <c r="H46" s="16">
        <v>101.3</v>
      </c>
      <c r="I46" s="16">
        <f t="shared" si="5"/>
        <v>101300</v>
      </c>
      <c r="J46" s="16">
        <f t="shared" si="6"/>
        <v>2.0124824921938581E-5</v>
      </c>
      <c r="K46" s="13">
        <v>290.72957746478875</v>
      </c>
      <c r="L46" s="17">
        <f t="shared" si="7"/>
        <v>2.9072957746478876E-4</v>
      </c>
      <c r="M46" s="14">
        <f t="shared" si="8"/>
        <v>4.7762865441819992E-3</v>
      </c>
      <c r="N46" s="26">
        <f t="shared" si="9"/>
        <v>1.2249855179302467E-6</v>
      </c>
      <c r="O46" s="8">
        <f t="shared" si="10"/>
        <v>2.032E-3</v>
      </c>
      <c r="P46" s="8">
        <f t="shared" si="11"/>
        <v>1.3730521979624967E-10</v>
      </c>
      <c r="Q46" s="8">
        <v>0.31</v>
      </c>
      <c r="R46" s="17">
        <f t="shared" si="12"/>
        <v>131000</v>
      </c>
      <c r="S46" s="8">
        <f t="shared" si="13"/>
        <v>5.36358238306597E-3</v>
      </c>
      <c r="T46" s="8">
        <v>0.1</v>
      </c>
      <c r="U46" s="17">
        <f t="shared" si="14"/>
        <v>110000.00000000001</v>
      </c>
      <c r="V46" s="17">
        <f t="shared" si="1"/>
        <v>31.980253521126766</v>
      </c>
      <c r="W46" s="8">
        <f t="shared" si="15"/>
        <v>565.67143519417482</v>
      </c>
      <c r="X46" s="22">
        <f t="shared" si="16"/>
        <v>5.0372557713724723E-14</v>
      </c>
      <c r="Y46" s="22">
        <f t="shared" si="17"/>
        <v>30334354255.205029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</row>
    <row r="47" spans="1:76" s="3" customFormat="1" x14ac:dyDescent="0.25">
      <c r="A47" s="16">
        <v>135</v>
      </c>
      <c r="B47" s="16">
        <f t="shared" si="2"/>
        <v>2.25</v>
      </c>
      <c r="C47" s="16">
        <v>20</v>
      </c>
      <c r="D47" s="16">
        <f t="shared" si="0"/>
        <v>29.146000000000001</v>
      </c>
      <c r="E47" s="16">
        <f t="shared" si="3"/>
        <v>4.8576666666666667E-7</v>
      </c>
      <c r="F47" s="16">
        <v>21.1</v>
      </c>
      <c r="G47" s="16">
        <f t="shared" si="4"/>
        <v>294.10000000000002</v>
      </c>
      <c r="H47" s="16">
        <v>101.3</v>
      </c>
      <c r="I47" s="16">
        <f t="shared" si="5"/>
        <v>101300</v>
      </c>
      <c r="J47" s="16">
        <f t="shared" si="6"/>
        <v>2.0124824921938581E-5</v>
      </c>
      <c r="K47" s="13">
        <v>293.37746478873242</v>
      </c>
      <c r="L47" s="17">
        <f t="shared" si="7"/>
        <v>2.9337746478873245E-4</v>
      </c>
      <c r="M47" s="14">
        <f t="shared" si="8"/>
        <v>4.7762865441819992E-3</v>
      </c>
      <c r="N47" s="26">
        <f t="shared" si="9"/>
        <v>1.2361423587760493E-6</v>
      </c>
      <c r="O47" s="8">
        <f t="shared" si="10"/>
        <v>2.032E-3</v>
      </c>
      <c r="P47" s="8">
        <f t="shared" si="11"/>
        <v>1.3730521979624967E-10</v>
      </c>
      <c r="Q47" s="8">
        <v>0.31</v>
      </c>
      <c r="R47" s="17">
        <f t="shared" si="12"/>
        <v>131000</v>
      </c>
      <c r="S47" s="8">
        <f t="shared" si="13"/>
        <v>5.36358238306597E-3</v>
      </c>
      <c r="T47" s="8">
        <v>0.1</v>
      </c>
      <c r="U47" s="17">
        <f t="shared" si="14"/>
        <v>110000.00000000001</v>
      </c>
      <c r="V47" s="17">
        <f t="shared" si="1"/>
        <v>32.271521126760575</v>
      </c>
      <c r="W47" s="8">
        <f t="shared" si="15"/>
        <v>574.78404183905502</v>
      </c>
      <c r="X47" s="22">
        <f t="shared" si="16"/>
        <v>5.0834889018851352E-14</v>
      </c>
      <c r="Y47" s="22">
        <f t="shared" si="17"/>
        <v>30612770167.152287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</row>
    <row r="48" spans="1:76" s="3" customFormat="1" x14ac:dyDescent="0.25">
      <c r="A48" s="16">
        <v>138</v>
      </c>
      <c r="B48" s="16">
        <f t="shared" si="2"/>
        <v>2.2999999999999998</v>
      </c>
      <c r="C48" s="16">
        <v>20</v>
      </c>
      <c r="D48" s="16">
        <f t="shared" si="0"/>
        <v>29.146000000000001</v>
      </c>
      <c r="E48" s="16">
        <f t="shared" si="3"/>
        <v>4.8576666666666667E-7</v>
      </c>
      <c r="F48" s="16">
        <v>21.1</v>
      </c>
      <c r="G48" s="16">
        <f t="shared" si="4"/>
        <v>294.10000000000002</v>
      </c>
      <c r="H48" s="16">
        <v>101.3</v>
      </c>
      <c r="I48" s="16">
        <f t="shared" si="5"/>
        <v>101300</v>
      </c>
      <c r="J48" s="16">
        <f t="shared" si="6"/>
        <v>2.0124824921938581E-5</v>
      </c>
      <c r="K48" s="13">
        <v>297.49014084507047</v>
      </c>
      <c r="L48" s="17">
        <f t="shared" si="7"/>
        <v>2.974901408450705E-4</v>
      </c>
      <c r="M48" s="14">
        <f t="shared" si="8"/>
        <v>4.7762865441819992E-3</v>
      </c>
      <c r="N48" s="26">
        <f t="shared" si="9"/>
        <v>1.2534710690259128E-6</v>
      </c>
      <c r="O48" s="8">
        <f t="shared" si="10"/>
        <v>2.032E-3</v>
      </c>
      <c r="P48" s="8">
        <f t="shared" si="11"/>
        <v>1.3730521979624967E-10</v>
      </c>
      <c r="Q48" s="8">
        <v>0.31</v>
      </c>
      <c r="R48" s="17">
        <f t="shared" si="12"/>
        <v>131000</v>
      </c>
      <c r="S48" s="8">
        <f t="shared" si="13"/>
        <v>5.36358238306597E-3</v>
      </c>
      <c r="T48" s="8">
        <v>0.1</v>
      </c>
      <c r="U48" s="17">
        <f t="shared" si="14"/>
        <v>110000.00000000001</v>
      </c>
      <c r="V48" s="17">
        <f t="shared" si="1"/>
        <v>32.723915492957758</v>
      </c>
      <c r="W48" s="8">
        <f t="shared" si="15"/>
        <v>589.07093229973646</v>
      </c>
      <c r="X48" s="22">
        <f t="shared" si="16"/>
        <v>5.1553158861555938E-14</v>
      </c>
      <c r="Y48" s="22">
        <f t="shared" si="17"/>
        <v>31045312266.428986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</row>
    <row r="49" spans="1:76" s="3" customFormat="1" x14ac:dyDescent="0.25">
      <c r="A49" s="16">
        <v>141</v>
      </c>
      <c r="B49" s="16">
        <f t="shared" si="2"/>
        <v>2.35</v>
      </c>
      <c r="C49" s="16">
        <v>20</v>
      </c>
      <c r="D49" s="16">
        <f t="shared" si="0"/>
        <v>29.146000000000001</v>
      </c>
      <c r="E49" s="16">
        <f t="shared" si="3"/>
        <v>4.8576666666666667E-7</v>
      </c>
      <c r="F49" s="16">
        <v>21.1</v>
      </c>
      <c r="G49" s="16">
        <f t="shared" si="4"/>
        <v>294.10000000000002</v>
      </c>
      <c r="H49" s="16">
        <v>101.3</v>
      </c>
      <c r="I49" s="16">
        <f t="shared" si="5"/>
        <v>101300</v>
      </c>
      <c r="J49" s="16">
        <f t="shared" si="6"/>
        <v>2.0124824921938581E-5</v>
      </c>
      <c r="K49" s="13">
        <v>305.03943661971834</v>
      </c>
      <c r="L49" s="17">
        <f t="shared" si="7"/>
        <v>3.0503943661971836E-4</v>
      </c>
      <c r="M49" s="14">
        <f t="shared" si="8"/>
        <v>4.7762865441819992E-3</v>
      </c>
      <c r="N49" s="26">
        <f t="shared" si="9"/>
        <v>1.285279934416073E-6</v>
      </c>
      <c r="O49" s="8">
        <f t="shared" si="10"/>
        <v>2.032E-3</v>
      </c>
      <c r="P49" s="8">
        <f t="shared" si="11"/>
        <v>1.3730521979624967E-10</v>
      </c>
      <c r="Q49" s="8">
        <v>0.31</v>
      </c>
      <c r="R49" s="17">
        <f t="shared" si="12"/>
        <v>131000</v>
      </c>
      <c r="S49" s="8">
        <f t="shared" si="13"/>
        <v>5.36358238306597E-3</v>
      </c>
      <c r="T49" s="8">
        <v>0.1</v>
      </c>
      <c r="U49" s="17">
        <f t="shared" si="14"/>
        <v>110000.00000000001</v>
      </c>
      <c r="V49" s="17">
        <f t="shared" si="1"/>
        <v>33.55433802816902</v>
      </c>
      <c r="W49" s="8">
        <f t="shared" si="15"/>
        <v>615.71752872804177</v>
      </c>
      <c r="X49" s="22">
        <f t="shared" si="16"/>
        <v>5.2872207315794746E-14</v>
      </c>
      <c r="Y49" s="22">
        <f t="shared" si="17"/>
        <v>31839643245.571598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</row>
    <row r="50" spans="1:76" s="3" customFormat="1" x14ac:dyDescent="0.25">
      <c r="A50" s="16">
        <v>144</v>
      </c>
      <c r="B50" s="16">
        <f t="shared" si="2"/>
        <v>2.4</v>
      </c>
      <c r="C50" s="16">
        <v>20</v>
      </c>
      <c r="D50" s="16">
        <f t="shared" si="0"/>
        <v>29.146000000000001</v>
      </c>
      <c r="E50" s="16">
        <f t="shared" si="3"/>
        <v>4.8576666666666667E-7</v>
      </c>
      <c r="F50" s="16">
        <v>21.1</v>
      </c>
      <c r="G50" s="16">
        <f t="shared" si="4"/>
        <v>294.10000000000002</v>
      </c>
      <c r="H50" s="16">
        <v>101.3</v>
      </c>
      <c r="I50" s="16">
        <f t="shared" si="5"/>
        <v>101300</v>
      </c>
      <c r="J50" s="16">
        <f t="shared" si="6"/>
        <v>2.0124824921938581E-5</v>
      </c>
      <c r="K50" s="13">
        <v>286.05352112676059</v>
      </c>
      <c r="L50" s="17">
        <f t="shared" si="7"/>
        <v>2.8605352112676059E-4</v>
      </c>
      <c r="M50" s="14">
        <f t="shared" si="8"/>
        <v>4.7762865441819992E-3</v>
      </c>
      <c r="N50" s="26">
        <f t="shared" si="9"/>
        <v>1.2052830117557442E-6</v>
      </c>
      <c r="O50" s="8">
        <f t="shared" si="10"/>
        <v>2.032E-3</v>
      </c>
      <c r="P50" s="8">
        <f t="shared" si="11"/>
        <v>1.3730521979624967E-10</v>
      </c>
      <c r="Q50" s="8">
        <v>0.31</v>
      </c>
      <c r="R50" s="17">
        <f t="shared" si="12"/>
        <v>131000</v>
      </c>
      <c r="S50" s="8">
        <f t="shared" si="13"/>
        <v>5.36358238306597E-3</v>
      </c>
      <c r="T50" s="8">
        <v>0.1</v>
      </c>
      <c r="U50" s="17">
        <f t="shared" si="14"/>
        <v>110000.00000000001</v>
      </c>
      <c r="V50" s="17">
        <f t="shared" si="1"/>
        <v>31.465887323943669</v>
      </c>
      <c r="W50" s="8">
        <f t="shared" si="15"/>
        <v>549.74331277019644</v>
      </c>
      <c r="X50" s="22">
        <f t="shared" si="16"/>
        <v>4.9556320490511135E-14</v>
      </c>
      <c r="Y50" s="22">
        <f t="shared" si="17"/>
        <v>29842816199.385807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</row>
    <row r="51" spans="1:76" s="3" customFormat="1" x14ac:dyDescent="0.25">
      <c r="A51" s="16">
        <v>147</v>
      </c>
      <c r="B51" s="16">
        <f t="shared" si="2"/>
        <v>2.4500000000000002</v>
      </c>
      <c r="C51" s="16">
        <v>20</v>
      </c>
      <c r="D51" s="16">
        <f t="shared" si="0"/>
        <v>29.146000000000001</v>
      </c>
      <c r="E51" s="16">
        <f t="shared" si="3"/>
        <v>4.8576666666666667E-7</v>
      </c>
      <c r="F51" s="16">
        <v>21.1</v>
      </c>
      <c r="G51" s="16">
        <f t="shared" si="4"/>
        <v>294.10000000000002</v>
      </c>
      <c r="H51" s="16">
        <v>101.3</v>
      </c>
      <c r="I51" s="16">
        <f t="shared" si="5"/>
        <v>101300</v>
      </c>
      <c r="J51" s="16">
        <f t="shared" si="6"/>
        <v>2.0124824921938581E-5</v>
      </c>
      <c r="K51" s="13">
        <v>294.92676056338036</v>
      </c>
      <c r="L51" s="17">
        <f t="shared" si="7"/>
        <v>2.9492676056338033E-4</v>
      </c>
      <c r="M51" s="14">
        <f t="shared" si="8"/>
        <v>4.7762865441819992E-3</v>
      </c>
      <c r="N51" s="26">
        <f t="shared" si="9"/>
        <v>1.242670297568806E-6</v>
      </c>
      <c r="O51" s="8">
        <f t="shared" si="10"/>
        <v>2.032E-3</v>
      </c>
      <c r="P51" s="8">
        <f t="shared" si="11"/>
        <v>1.3730521979624967E-10</v>
      </c>
      <c r="Q51" s="8">
        <v>0.31</v>
      </c>
      <c r="R51" s="17">
        <f t="shared" si="12"/>
        <v>131000</v>
      </c>
      <c r="S51" s="8">
        <f t="shared" si="13"/>
        <v>5.36358238306597E-3</v>
      </c>
      <c r="T51" s="8">
        <v>0.1</v>
      </c>
      <c r="U51" s="17">
        <f t="shared" si="14"/>
        <v>110000.00000000001</v>
      </c>
      <c r="V51" s="17">
        <f t="shared" si="1"/>
        <v>32.441943661971841</v>
      </c>
      <c r="W51" s="8">
        <f t="shared" si="15"/>
        <v>580.14706267830024</v>
      </c>
      <c r="X51" s="22">
        <f t="shared" si="16"/>
        <v>5.1105444193397432E-14</v>
      </c>
      <c r="Y51" s="22">
        <f t="shared" si="17"/>
        <v>30775698493.263935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</row>
    <row r="52" spans="1:76" s="3" customFormat="1" x14ac:dyDescent="0.25">
      <c r="A52" s="16">
        <v>150</v>
      </c>
      <c r="B52" s="16">
        <f t="shared" si="2"/>
        <v>2.5</v>
      </c>
      <c r="C52" s="16">
        <v>20</v>
      </c>
      <c r="D52" s="16">
        <f t="shared" si="0"/>
        <v>29.146000000000001</v>
      </c>
      <c r="E52" s="16">
        <f t="shared" si="3"/>
        <v>4.8576666666666667E-7</v>
      </c>
      <c r="F52" s="16">
        <v>21.1</v>
      </c>
      <c r="G52" s="16">
        <f t="shared" si="4"/>
        <v>294.10000000000002</v>
      </c>
      <c r="H52" s="16">
        <v>101.3</v>
      </c>
      <c r="I52" s="16">
        <f t="shared" si="5"/>
        <v>101300</v>
      </c>
      <c r="J52" s="16">
        <f t="shared" si="6"/>
        <v>2.0124824921938581E-5</v>
      </c>
      <c r="K52" s="13">
        <v>284.56056338028174</v>
      </c>
      <c r="L52" s="17">
        <f t="shared" si="7"/>
        <v>2.8456056338028172E-4</v>
      </c>
      <c r="M52" s="14">
        <f t="shared" si="8"/>
        <v>4.7762865441819992E-3</v>
      </c>
      <c r="N52" s="26">
        <f t="shared" si="9"/>
        <v>1.1989924525554514E-6</v>
      </c>
      <c r="O52" s="8">
        <f t="shared" si="10"/>
        <v>2.032E-3</v>
      </c>
      <c r="P52" s="8">
        <f t="shared" si="11"/>
        <v>1.3730521979624967E-10</v>
      </c>
      <c r="Q52" s="8">
        <v>0.31</v>
      </c>
      <c r="R52" s="17">
        <f t="shared" si="12"/>
        <v>131000</v>
      </c>
      <c r="S52" s="8">
        <f t="shared" si="13"/>
        <v>5.36358238306597E-3</v>
      </c>
      <c r="T52" s="8">
        <v>0.1</v>
      </c>
      <c r="U52" s="17">
        <f t="shared" si="14"/>
        <v>110000.00000000001</v>
      </c>
      <c r="V52" s="17">
        <f t="shared" si="1"/>
        <v>31.301661971830992</v>
      </c>
      <c r="W52" s="8">
        <f t="shared" si="15"/>
        <v>544.70207012022013</v>
      </c>
      <c r="X52" s="22">
        <f t="shared" si="16"/>
        <v>4.9295773326217157E-14</v>
      </c>
      <c r="Y52" s="22">
        <f t="shared" si="17"/>
        <v>29685914697.047974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</row>
    <row r="53" spans="1:76" s="3" customFormat="1" x14ac:dyDescent="0.25">
      <c r="A53" s="16">
        <v>153</v>
      </c>
      <c r="B53" s="16">
        <f t="shared" si="2"/>
        <v>2.5499999999999998</v>
      </c>
      <c r="C53" s="16">
        <v>20</v>
      </c>
      <c r="D53" s="16">
        <f t="shared" si="0"/>
        <v>29.146000000000001</v>
      </c>
      <c r="E53" s="16">
        <f t="shared" si="3"/>
        <v>4.8576666666666667E-7</v>
      </c>
      <c r="F53" s="16">
        <v>21.1</v>
      </c>
      <c r="G53" s="16">
        <f t="shared" si="4"/>
        <v>294.10000000000002</v>
      </c>
      <c r="H53" s="16">
        <v>101.3</v>
      </c>
      <c r="I53" s="16">
        <f t="shared" si="5"/>
        <v>101300</v>
      </c>
      <c r="J53" s="16">
        <f t="shared" si="6"/>
        <v>2.0124824921938581E-5</v>
      </c>
      <c r="K53" s="13">
        <v>298.89859154929582</v>
      </c>
      <c r="L53" s="17">
        <f t="shared" si="7"/>
        <v>2.9889859154929579E-4</v>
      </c>
      <c r="M53" s="14">
        <f t="shared" si="8"/>
        <v>4.7762865441819992E-3</v>
      </c>
      <c r="N53" s="26">
        <f t="shared" si="9"/>
        <v>1.2594055588375098E-6</v>
      </c>
      <c r="O53" s="8">
        <f t="shared" si="10"/>
        <v>2.032E-3</v>
      </c>
      <c r="P53" s="8">
        <f t="shared" si="11"/>
        <v>1.3730521979624967E-10</v>
      </c>
      <c r="Q53" s="8">
        <v>0.31</v>
      </c>
      <c r="R53" s="17">
        <f t="shared" si="12"/>
        <v>131000</v>
      </c>
      <c r="S53" s="8">
        <f t="shared" si="13"/>
        <v>5.36358238306597E-3</v>
      </c>
      <c r="T53" s="8">
        <v>0.1</v>
      </c>
      <c r="U53" s="17">
        <f t="shared" si="14"/>
        <v>110000.00000000001</v>
      </c>
      <c r="V53" s="17">
        <f t="shared" si="1"/>
        <v>32.878845070422543</v>
      </c>
      <c r="W53" s="8">
        <f t="shared" si="15"/>
        <v>594.00094288134733</v>
      </c>
      <c r="X53" s="22">
        <f t="shared" si="16"/>
        <v>5.1799192654913988E-14</v>
      </c>
      <c r="Y53" s="22">
        <f t="shared" si="17"/>
        <v>31193473816.789204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</row>
    <row r="54" spans="1:76" s="3" customFormat="1" x14ac:dyDescent="0.25">
      <c r="A54" s="16">
        <v>156</v>
      </c>
      <c r="B54" s="16">
        <f t="shared" si="2"/>
        <v>2.6</v>
      </c>
      <c r="C54" s="16">
        <v>20</v>
      </c>
      <c r="D54" s="16">
        <f t="shared" si="0"/>
        <v>29.146000000000001</v>
      </c>
      <c r="E54" s="16">
        <f t="shared" si="3"/>
        <v>4.8576666666666667E-7</v>
      </c>
      <c r="F54" s="16">
        <v>21.1</v>
      </c>
      <c r="G54" s="16">
        <f t="shared" si="4"/>
        <v>294.10000000000002</v>
      </c>
      <c r="H54" s="16">
        <v>101.3</v>
      </c>
      <c r="I54" s="16">
        <f t="shared" si="5"/>
        <v>101300</v>
      </c>
      <c r="J54" s="16">
        <f t="shared" si="6"/>
        <v>2.0124824921938581E-5</v>
      </c>
      <c r="K54" s="13">
        <v>293.85633802816903</v>
      </c>
      <c r="L54" s="17">
        <f t="shared" si="7"/>
        <v>2.9385633802816904E-4</v>
      </c>
      <c r="M54" s="14">
        <f t="shared" si="8"/>
        <v>4.7762865441819992E-3</v>
      </c>
      <c r="N54" s="26">
        <f t="shared" si="9"/>
        <v>1.2381600853119921E-6</v>
      </c>
      <c r="O54" s="8">
        <f t="shared" si="10"/>
        <v>2.032E-3</v>
      </c>
      <c r="P54" s="8">
        <f t="shared" si="11"/>
        <v>1.3730521979624967E-10</v>
      </c>
      <c r="Q54" s="8">
        <v>0.31</v>
      </c>
      <c r="R54" s="17">
        <f t="shared" si="12"/>
        <v>131000</v>
      </c>
      <c r="S54" s="8">
        <f t="shared" si="13"/>
        <v>5.36358238306597E-3</v>
      </c>
      <c r="T54" s="8">
        <v>0.1</v>
      </c>
      <c r="U54" s="17">
        <f t="shared" si="14"/>
        <v>110000.00000000001</v>
      </c>
      <c r="V54" s="17">
        <f t="shared" si="1"/>
        <v>32.324197183098597</v>
      </c>
      <c r="W54" s="8">
        <f t="shared" si="15"/>
        <v>576.43924605049574</v>
      </c>
      <c r="X54" s="22">
        <f t="shared" si="16"/>
        <v>5.0918511828728429E-14</v>
      </c>
      <c r="Y54" s="22">
        <f t="shared" si="17"/>
        <v>30663127823.260262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</row>
    <row r="55" spans="1:76" s="3" customFormat="1" x14ac:dyDescent="0.25">
      <c r="A55" s="16">
        <v>159</v>
      </c>
      <c r="B55" s="16">
        <f t="shared" si="2"/>
        <v>2.65</v>
      </c>
      <c r="C55" s="16">
        <v>20</v>
      </c>
      <c r="D55" s="16">
        <f t="shared" si="0"/>
        <v>29.146000000000001</v>
      </c>
      <c r="E55" s="16">
        <f t="shared" si="3"/>
        <v>4.8576666666666667E-7</v>
      </c>
      <c r="F55" s="16">
        <v>21.1</v>
      </c>
      <c r="G55" s="16">
        <f t="shared" si="4"/>
        <v>294.10000000000002</v>
      </c>
      <c r="H55" s="16">
        <v>101.3</v>
      </c>
      <c r="I55" s="16">
        <f t="shared" si="5"/>
        <v>101300</v>
      </c>
      <c r="J55" s="16">
        <f t="shared" si="6"/>
        <v>2.0124824921938581E-5</v>
      </c>
      <c r="K55" s="13">
        <v>292.39154929577467</v>
      </c>
      <c r="L55" s="17">
        <f t="shared" si="7"/>
        <v>2.9239154929577469E-4</v>
      </c>
      <c r="M55" s="14">
        <f t="shared" si="8"/>
        <v>4.7762865441819992E-3</v>
      </c>
      <c r="N55" s="26">
        <f t="shared" si="9"/>
        <v>1.2319882159079314E-6</v>
      </c>
      <c r="O55" s="8">
        <f t="shared" si="10"/>
        <v>2.032E-3</v>
      </c>
      <c r="P55" s="8">
        <f t="shared" si="11"/>
        <v>1.3730521979624967E-10</v>
      </c>
      <c r="Q55" s="8">
        <v>0.31</v>
      </c>
      <c r="R55" s="17">
        <f t="shared" si="12"/>
        <v>131000</v>
      </c>
      <c r="S55" s="8">
        <f t="shared" si="13"/>
        <v>5.36358238306597E-3</v>
      </c>
      <c r="T55" s="8">
        <v>0.1</v>
      </c>
      <c r="U55" s="17">
        <f t="shared" si="14"/>
        <v>110000.00000000001</v>
      </c>
      <c r="V55" s="17">
        <f t="shared" si="1"/>
        <v>32.16307042253522</v>
      </c>
      <c r="W55" s="8">
        <f t="shared" si="15"/>
        <v>571.38319190849768</v>
      </c>
      <c r="X55" s="22">
        <f t="shared" si="16"/>
        <v>5.0662733782658018E-14</v>
      </c>
      <c r="Y55" s="22">
        <f t="shared" si="17"/>
        <v>30509098283.91666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</row>
    <row r="56" spans="1:76" s="3" customFormat="1" x14ac:dyDescent="0.25">
      <c r="A56" s="16">
        <v>162</v>
      </c>
      <c r="B56" s="16">
        <f t="shared" si="2"/>
        <v>2.7</v>
      </c>
      <c r="C56" s="16">
        <v>20</v>
      </c>
      <c r="D56" s="16">
        <f t="shared" si="0"/>
        <v>29.146000000000001</v>
      </c>
      <c r="E56" s="16">
        <f t="shared" si="3"/>
        <v>4.8576666666666667E-7</v>
      </c>
      <c r="F56" s="16">
        <v>21.1</v>
      </c>
      <c r="G56" s="16">
        <f t="shared" si="4"/>
        <v>294.10000000000002</v>
      </c>
      <c r="H56" s="16">
        <v>101.3</v>
      </c>
      <c r="I56" s="16">
        <f t="shared" si="5"/>
        <v>101300</v>
      </c>
      <c r="J56" s="16">
        <f t="shared" si="6"/>
        <v>2.0124824921938581E-5</v>
      </c>
      <c r="K56" s="13">
        <v>291.2366197183099</v>
      </c>
      <c r="L56" s="17">
        <f t="shared" si="7"/>
        <v>2.9123661971830987E-4</v>
      </c>
      <c r="M56" s="14">
        <f t="shared" si="8"/>
        <v>4.7762865441819992E-3</v>
      </c>
      <c r="N56" s="26">
        <f t="shared" si="9"/>
        <v>1.2271219342624214E-6</v>
      </c>
      <c r="O56" s="8">
        <f t="shared" si="10"/>
        <v>2.032E-3</v>
      </c>
      <c r="P56" s="8">
        <f t="shared" si="11"/>
        <v>1.3730521979624967E-10</v>
      </c>
      <c r="Q56" s="8">
        <v>0.31</v>
      </c>
      <c r="R56" s="17">
        <f t="shared" si="12"/>
        <v>131000</v>
      </c>
      <c r="S56" s="8">
        <f t="shared" si="13"/>
        <v>5.36358238306597E-3</v>
      </c>
      <c r="T56" s="8">
        <v>0.1</v>
      </c>
      <c r="U56" s="17">
        <f t="shared" si="14"/>
        <v>110000.00000000001</v>
      </c>
      <c r="V56" s="17">
        <f t="shared" si="1"/>
        <v>32.036028169014088</v>
      </c>
      <c r="W56" s="8">
        <f t="shared" si="15"/>
        <v>567.41119602439574</v>
      </c>
      <c r="X56" s="22">
        <f t="shared" si="16"/>
        <v>5.0461082225204959E-14</v>
      </c>
      <c r="Y56" s="22">
        <f t="shared" si="17"/>
        <v>30387663716.018429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</row>
    <row r="57" spans="1:76" s="3" customFormat="1" x14ac:dyDescent="0.25">
      <c r="A57" s="16">
        <v>165</v>
      </c>
      <c r="B57" s="16">
        <f t="shared" si="2"/>
        <v>2.75</v>
      </c>
      <c r="C57" s="16">
        <v>20</v>
      </c>
      <c r="D57" s="16">
        <f t="shared" si="0"/>
        <v>29.146000000000001</v>
      </c>
      <c r="E57" s="16">
        <f t="shared" si="3"/>
        <v>4.8576666666666667E-7</v>
      </c>
      <c r="F57" s="16">
        <v>21.1</v>
      </c>
      <c r="G57" s="16">
        <f t="shared" si="4"/>
        <v>294.10000000000002</v>
      </c>
      <c r="H57" s="16">
        <v>101.3</v>
      </c>
      <c r="I57" s="16">
        <f t="shared" si="5"/>
        <v>101300</v>
      </c>
      <c r="J57" s="16">
        <f t="shared" si="6"/>
        <v>2.0124824921938581E-5</v>
      </c>
      <c r="K57" s="13">
        <v>303.88450704225357</v>
      </c>
      <c r="L57" s="17">
        <f t="shared" si="7"/>
        <v>3.0388450704225359E-4</v>
      </c>
      <c r="M57" s="14">
        <f t="shared" si="8"/>
        <v>4.7762865441819992E-3</v>
      </c>
      <c r="N57" s="26">
        <f t="shared" si="9"/>
        <v>1.2804136527705637E-6</v>
      </c>
      <c r="O57" s="8">
        <f t="shared" si="10"/>
        <v>2.032E-3</v>
      </c>
      <c r="P57" s="8">
        <f t="shared" si="11"/>
        <v>1.3730521979624967E-10</v>
      </c>
      <c r="Q57" s="8">
        <v>0.31</v>
      </c>
      <c r="R57" s="17">
        <f t="shared" si="12"/>
        <v>131000</v>
      </c>
      <c r="S57" s="8">
        <f t="shared" si="13"/>
        <v>5.36358238306597E-3</v>
      </c>
      <c r="T57" s="8">
        <v>0.1</v>
      </c>
      <c r="U57" s="17">
        <f t="shared" si="14"/>
        <v>110000.00000000001</v>
      </c>
      <c r="V57" s="17">
        <f t="shared" si="1"/>
        <v>33.427295774647902</v>
      </c>
      <c r="W57" s="8">
        <f t="shared" si="15"/>
        <v>611.60569203213277</v>
      </c>
      <c r="X57" s="22">
        <f t="shared" si="16"/>
        <v>5.2670363397654573E-14</v>
      </c>
      <c r="Y57" s="22">
        <f t="shared" si="17"/>
        <v>31718092838.067585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</row>
    <row r="58" spans="1:76" s="3" customFormat="1" x14ac:dyDescent="0.25">
      <c r="A58" s="16">
        <v>168</v>
      </c>
      <c r="B58" s="16">
        <f t="shared" si="2"/>
        <v>2.8</v>
      </c>
      <c r="C58" s="16">
        <v>20</v>
      </c>
      <c r="D58" s="16">
        <f t="shared" si="0"/>
        <v>29.146000000000001</v>
      </c>
      <c r="E58" s="16">
        <f t="shared" si="3"/>
        <v>4.8576666666666667E-7</v>
      </c>
      <c r="F58" s="16">
        <v>21.1</v>
      </c>
      <c r="G58" s="16">
        <f t="shared" si="4"/>
        <v>294.10000000000002</v>
      </c>
      <c r="H58" s="16">
        <v>101.3</v>
      </c>
      <c r="I58" s="16">
        <f t="shared" si="5"/>
        <v>101300</v>
      </c>
      <c r="J58" s="16">
        <f t="shared" si="6"/>
        <v>2.0124824921938581E-5</v>
      </c>
      <c r="K58" s="13">
        <v>300.72957746478875</v>
      </c>
      <c r="L58" s="17">
        <f t="shared" si="7"/>
        <v>3.0072957746478873E-4</v>
      </c>
      <c r="M58" s="14">
        <f t="shared" si="8"/>
        <v>4.7762865441819992E-3</v>
      </c>
      <c r="N58" s="26">
        <f t="shared" si="9"/>
        <v>1.2671203955925858E-6</v>
      </c>
      <c r="O58" s="8">
        <f t="shared" si="10"/>
        <v>2.032E-3</v>
      </c>
      <c r="P58" s="8">
        <f t="shared" si="11"/>
        <v>1.3730521979624967E-10</v>
      </c>
      <c r="Q58" s="8">
        <v>0.31</v>
      </c>
      <c r="R58" s="17">
        <f t="shared" si="12"/>
        <v>131000</v>
      </c>
      <c r="S58" s="8">
        <f t="shared" si="13"/>
        <v>5.36358238306597E-3</v>
      </c>
      <c r="T58" s="8">
        <v>0.1</v>
      </c>
      <c r="U58" s="17">
        <f t="shared" si="14"/>
        <v>110000.00000000001</v>
      </c>
      <c r="V58" s="17">
        <f t="shared" si="1"/>
        <v>33.080253521126764</v>
      </c>
      <c r="W58" s="8">
        <f t="shared" si="15"/>
        <v>600.43833958628261</v>
      </c>
      <c r="X58" s="22">
        <f t="shared" si="16"/>
        <v>5.2119075742930021E-14</v>
      </c>
      <c r="Y58" s="22">
        <f t="shared" si="17"/>
        <v>31386107412.39246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</row>
    <row r="59" spans="1:76" s="3" customFormat="1" x14ac:dyDescent="0.25">
      <c r="A59" s="16">
        <v>171</v>
      </c>
      <c r="B59" s="16">
        <f t="shared" si="2"/>
        <v>2.85</v>
      </c>
      <c r="C59" s="16">
        <v>20</v>
      </c>
      <c r="D59" s="16">
        <f t="shared" si="0"/>
        <v>29.146000000000001</v>
      </c>
      <c r="E59" s="16">
        <f t="shared" si="3"/>
        <v>4.8576666666666667E-7</v>
      </c>
      <c r="F59" s="16">
        <v>21.1</v>
      </c>
      <c r="G59" s="16">
        <f t="shared" si="4"/>
        <v>294.10000000000002</v>
      </c>
      <c r="H59" s="16">
        <v>101.3</v>
      </c>
      <c r="I59" s="16">
        <f t="shared" si="5"/>
        <v>101300</v>
      </c>
      <c r="J59" s="16">
        <f t="shared" si="6"/>
        <v>2.0124824921938581E-5</v>
      </c>
      <c r="K59" s="13">
        <v>297.06760563380283</v>
      </c>
      <c r="L59" s="17">
        <f t="shared" si="7"/>
        <v>2.9706760563380285E-4</v>
      </c>
      <c r="M59" s="14">
        <f t="shared" si="8"/>
        <v>4.7762865441819992E-3</v>
      </c>
      <c r="N59" s="26">
        <f t="shared" si="9"/>
        <v>1.2516907220824335E-6</v>
      </c>
      <c r="O59" s="8">
        <f t="shared" si="10"/>
        <v>2.032E-3</v>
      </c>
      <c r="P59" s="8">
        <f t="shared" si="11"/>
        <v>1.3730521979624967E-10</v>
      </c>
      <c r="Q59" s="8">
        <v>0.31</v>
      </c>
      <c r="R59" s="17">
        <f t="shared" si="12"/>
        <v>131000</v>
      </c>
      <c r="S59" s="8">
        <f t="shared" si="13"/>
        <v>5.36358238306597E-3</v>
      </c>
      <c r="T59" s="8">
        <v>0.1</v>
      </c>
      <c r="U59" s="17">
        <f t="shared" si="14"/>
        <v>110000.00000000001</v>
      </c>
      <c r="V59" s="17">
        <f t="shared" si="1"/>
        <v>32.677436619718321</v>
      </c>
      <c r="W59" s="8">
        <f t="shared" si="15"/>
        <v>587.59563266883572</v>
      </c>
      <c r="X59" s="22">
        <f t="shared" si="16"/>
        <v>5.1479353812835873E-14</v>
      </c>
      <c r="Y59" s="22">
        <f t="shared" si="17"/>
        <v>31000866866.089764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</row>
    <row r="60" spans="1:76" s="3" customFormat="1" x14ac:dyDescent="0.25">
      <c r="A60" s="16">
        <v>174</v>
      </c>
      <c r="B60" s="16">
        <f t="shared" si="2"/>
        <v>2.9</v>
      </c>
      <c r="C60" s="16">
        <v>20</v>
      </c>
      <c r="D60" s="16">
        <f t="shared" si="0"/>
        <v>29.146000000000001</v>
      </c>
      <c r="E60" s="16">
        <f t="shared" si="3"/>
        <v>4.8576666666666667E-7</v>
      </c>
      <c r="F60" s="16">
        <v>21.1</v>
      </c>
      <c r="G60" s="16">
        <f t="shared" si="4"/>
        <v>294.10000000000002</v>
      </c>
      <c r="H60" s="16">
        <v>101.3</v>
      </c>
      <c r="I60" s="16">
        <f t="shared" si="5"/>
        <v>101300</v>
      </c>
      <c r="J60" s="16">
        <f t="shared" si="6"/>
        <v>2.0124824921938581E-5</v>
      </c>
      <c r="K60" s="13">
        <v>287.3211267605634</v>
      </c>
      <c r="L60" s="17">
        <f t="shared" si="7"/>
        <v>2.8732112676056341E-4</v>
      </c>
      <c r="M60" s="14">
        <f t="shared" si="8"/>
        <v>4.7762865441819992E-3</v>
      </c>
      <c r="N60" s="26">
        <f t="shared" si="9"/>
        <v>1.2106240525861816E-6</v>
      </c>
      <c r="O60" s="8">
        <f t="shared" si="10"/>
        <v>2.032E-3</v>
      </c>
      <c r="P60" s="8">
        <f t="shared" si="11"/>
        <v>1.3730521979624967E-10</v>
      </c>
      <c r="Q60" s="8">
        <v>0.31</v>
      </c>
      <c r="R60" s="17">
        <f t="shared" si="12"/>
        <v>131000</v>
      </c>
      <c r="S60" s="8">
        <f t="shared" si="13"/>
        <v>5.36358238306597E-3</v>
      </c>
      <c r="T60" s="8">
        <v>0.1</v>
      </c>
      <c r="U60" s="17">
        <f t="shared" si="14"/>
        <v>110000.00000000001</v>
      </c>
      <c r="V60" s="17">
        <f t="shared" si="1"/>
        <v>31.605323943661979</v>
      </c>
      <c r="W60" s="8">
        <f t="shared" si="15"/>
        <v>554.04042899767103</v>
      </c>
      <c r="X60" s="22">
        <f t="shared" si="16"/>
        <v>4.977756200591902E-14</v>
      </c>
      <c r="Y60" s="22">
        <f t="shared" si="17"/>
        <v>29976047839.964436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</row>
    <row r="61" spans="1:76" s="3" customFormat="1" x14ac:dyDescent="0.25">
      <c r="A61" s="16">
        <v>177</v>
      </c>
      <c r="B61" s="16">
        <f t="shared" si="2"/>
        <v>2.95</v>
      </c>
      <c r="C61" s="16">
        <v>20</v>
      </c>
      <c r="D61" s="16">
        <f t="shared" si="0"/>
        <v>29.146000000000001</v>
      </c>
      <c r="E61" s="16">
        <f t="shared" si="3"/>
        <v>4.8576666666666667E-7</v>
      </c>
      <c r="F61" s="16">
        <v>21.1</v>
      </c>
      <c r="G61" s="16">
        <f t="shared" si="4"/>
        <v>294.10000000000002</v>
      </c>
      <c r="H61" s="16">
        <v>101.3</v>
      </c>
      <c r="I61" s="16">
        <f t="shared" si="5"/>
        <v>101300</v>
      </c>
      <c r="J61" s="16">
        <f t="shared" si="6"/>
        <v>2.0124824921938581E-5</v>
      </c>
      <c r="K61" s="13">
        <v>310.22253521126765</v>
      </c>
      <c r="L61" s="17">
        <f t="shared" si="7"/>
        <v>3.1022253521126764E-4</v>
      </c>
      <c r="M61" s="14">
        <f t="shared" si="8"/>
        <v>4.7762865441819992E-3</v>
      </c>
      <c r="N61" s="26">
        <f t="shared" si="9"/>
        <v>1.3071188569227504E-6</v>
      </c>
      <c r="O61" s="8">
        <f t="shared" si="10"/>
        <v>2.032E-3</v>
      </c>
      <c r="P61" s="8">
        <f t="shared" si="11"/>
        <v>1.3730521979624967E-10</v>
      </c>
      <c r="Q61" s="8">
        <v>0.31</v>
      </c>
      <c r="R61" s="17">
        <f t="shared" si="12"/>
        <v>131000</v>
      </c>
      <c r="S61" s="8">
        <f t="shared" si="13"/>
        <v>5.36358238306597E-3</v>
      </c>
      <c r="T61" s="8">
        <v>0.1</v>
      </c>
      <c r="U61" s="17">
        <f t="shared" si="14"/>
        <v>110000.00000000001</v>
      </c>
      <c r="V61" s="17">
        <f t="shared" si="1"/>
        <v>34.124478873239447</v>
      </c>
      <c r="W61" s="8">
        <f t="shared" si="15"/>
        <v>634.32749232024435</v>
      </c>
      <c r="X61" s="22">
        <f t="shared" si="16"/>
        <v>5.3778264927457716E-14</v>
      </c>
      <c r="Y61" s="22">
        <f t="shared" si="17"/>
        <v>32385271139.315037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</row>
    <row r="62" spans="1:76" s="3" customFormat="1" x14ac:dyDescent="0.25">
      <c r="A62" s="16">
        <v>180</v>
      </c>
      <c r="B62" s="16">
        <f t="shared" si="2"/>
        <v>3</v>
      </c>
      <c r="C62" s="16">
        <v>20</v>
      </c>
      <c r="D62" s="16">
        <f t="shared" si="0"/>
        <v>29.146000000000001</v>
      </c>
      <c r="E62" s="16">
        <f t="shared" si="3"/>
        <v>4.8576666666666667E-7</v>
      </c>
      <c r="F62" s="16">
        <v>21.1</v>
      </c>
      <c r="G62" s="16">
        <f t="shared" si="4"/>
        <v>294.10000000000002</v>
      </c>
      <c r="H62" s="16">
        <v>101.3</v>
      </c>
      <c r="I62" s="16">
        <f t="shared" si="5"/>
        <v>101300</v>
      </c>
      <c r="J62" s="16">
        <f t="shared" si="6"/>
        <v>2.0124824921938581E-5</v>
      </c>
      <c r="K62" s="13">
        <v>306.19436619718311</v>
      </c>
      <c r="L62" s="17">
        <f t="shared" si="7"/>
        <v>3.0619436619718312E-4</v>
      </c>
      <c r="M62" s="14">
        <f t="shared" si="8"/>
        <v>4.7762865441819992E-3</v>
      </c>
      <c r="N62" s="26">
        <f t="shared" si="9"/>
        <v>1.2901462160615826E-6</v>
      </c>
      <c r="O62" s="8">
        <f t="shared" si="10"/>
        <v>2.032E-3</v>
      </c>
      <c r="P62" s="8">
        <f t="shared" si="11"/>
        <v>1.3730521979624967E-10</v>
      </c>
      <c r="Q62" s="8">
        <v>0.31</v>
      </c>
      <c r="R62" s="17">
        <f t="shared" si="12"/>
        <v>131000</v>
      </c>
      <c r="S62" s="8">
        <f t="shared" si="13"/>
        <v>5.36358238306597E-3</v>
      </c>
      <c r="T62" s="8">
        <v>0.1</v>
      </c>
      <c r="U62" s="17">
        <f t="shared" si="14"/>
        <v>110000.00000000001</v>
      </c>
      <c r="V62" s="17">
        <f t="shared" si="1"/>
        <v>33.681380281690146</v>
      </c>
      <c r="W62" s="8">
        <f t="shared" si="15"/>
        <v>619.84210745388998</v>
      </c>
      <c r="X62" s="22">
        <f t="shared" si="16"/>
        <v>5.3074069152072529E-14</v>
      </c>
      <c r="Y62" s="22">
        <f t="shared" si="17"/>
        <v>31961204443.378078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</row>
    <row r="63" spans="1:76" s="3" customFormat="1" x14ac:dyDescent="0.25">
      <c r="A63" s="16">
        <v>183</v>
      </c>
      <c r="B63" s="16">
        <f t="shared" ref="B63:B66" si="18">(A63/60)</f>
        <v>3.05</v>
      </c>
      <c r="C63" s="16">
        <v>20</v>
      </c>
      <c r="D63" s="16">
        <f t="shared" ref="D63:D66" si="19">(C63*1.4573)</f>
        <v>29.146000000000001</v>
      </c>
      <c r="E63" s="16">
        <f t="shared" ref="E63:E66" si="20">(D63/(1000000*60))</f>
        <v>4.8576666666666667E-7</v>
      </c>
      <c r="F63" s="16">
        <v>21.1</v>
      </c>
      <c r="G63" s="16">
        <f t="shared" ref="G63:G66" si="21">(273+F63)</f>
        <v>294.10000000000002</v>
      </c>
      <c r="H63" s="16">
        <v>101.3</v>
      </c>
      <c r="I63" s="16">
        <f t="shared" ref="I63:I66" si="22">(H63*1000)</f>
        <v>101300</v>
      </c>
      <c r="J63" s="16">
        <f t="shared" ref="J63:J66" si="23">((I63*E63)/(8.314*G63))</f>
        <v>2.0124824921938581E-5</v>
      </c>
      <c r="K63" s="13">
        <v>299.65915492957748</v>
      </c>
      <c r="L63" s="17">
        <f t="shared" ref="L63:L66" si="24">(K63/1000000)</f>
        <v>2.9965915492957749E-4</v>
      </c>
      <c r="M63" s="14">
        <f t="shared" si="8"/>
        <v>4.7762865441819992E-3</v>
      </c>
      <c r="N63" s="26">
        <f t="shared" ref="N63:N66" si="25">(L63*J63)/M63</f>
        <v>1.2626101833357721E-6</v>
      </c>
      <c r="O63" s="8">
        <f t="shared" si="10"/>
        <v>2.032E-3</v>
      </c>
      <c r="P63" s="8">
        <f t="shared" si="11"/>
        <v>1.3730521979624967E-10</v>
      </c>
      <c r="Q63" s="8">
        <v>0.31</v>
      </c>
      <c r="R63" s="17">
        <f t="shared" ref="R63:R66" si="26">(1+Q63)*100000*1</f>
        <v>131000</v>
      </c>
      <c r="S63" s="8">
        <f t="shared" si="13"/>
        <v>5.36358238306597E-3</v>
      </c>
      <c r="T63" s="8">
        <v>0.1</v>
      </c>
      <c r="U63" s="17">
        <f t="shared" ref="U63:U66" si="27">(1+T63)*100000</f>
        <v>110000.00000000001</v>
      </c>
      <c r="V63" s="17">
        <f t="shared" ref="V63:V66" si="28">(L63*U63)</f>
        <v>32.962507042253527</v>
      </c>
      <c r="W63" s="8">
        <f t="shared" si="15"/>
        <v>596.67104354447713</v>
      </c>
      <c r="X63" s="22">
        <f t="shared" si="16"/>
        <v>5.1932061782569955E-14</v>
      </c>
      <c r="Y63" s="22">
        <f t="shared" si="17"/>
        <v>31273487605.463627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</row>
    <row r="64" spans="1:76" s="3" customFormat="1" x14ac:dyDescent="0.25">
      <c r="A64" s="16">
        <v>186</v>
      </c>
      <c r="B64" s="16">
        <f t="shared" si="18"/>
        <v>3.1</v>
      </c>
      <c r="C64" s="16">
        <v>20</v>
      </c>
      <c r="D64" s="16">
        <f t="shared" si="19"/>
        <v>29.146000000000001</v>
      </c>
      <c r="E64" s="16">
        <f t="shared" si="20"/>
        <v>4.8576666666666667E-7</v>
      </c>
      <c r="F64" s="16">
        <v>21.1</v>
      </c>
      <c r="G64" s="16">
        <f t="shared" si="21"/>
        <v>294.10000000000002</v>
      </c>
      <c r="H64" s="16">
        <v>101.3</v>
      </c>
      <c r="I64" s="16">
        <f t="shared" si="22"/>
        <v>101300</v>
      </c>
      <c r="J64" s="16">
        <f t="shared" si="23"/>
        <v>2.0124824921938581E-5</v>
      </c>
      <c r="K64" s="13">
        <v>293.57464788732398</v>
      </c>
      <c r="L64" s="17">
        <f t="shared" si="24"/>
        <v>2.9357464788732398E-4</v>
      </c>
      <c r="M64" s="14">
        <f t="shared" si="8"/>
        <v>4.7762865441819992E-3</v>
      </c>
      <c r="N64" s="26">
        <f t="shared" si="25"/>
        <v>1.2369731873496728E-6</v>
      </c>
      <c r="O64" s="8">
        <f t="shared" si="10"/>
        <v>2.032E-3</v>
      </c>
      <c r="P64" s="8">
        <f t="shared" si="11"/>
        <v>1.3730521979624967E-10</v>
      </c>
      <c r="Q64" s="8">
        <v>0.31</v>
      </c>
      <c r="R64" s="17">
        <f t="shared" si="26"/>
        <v>131000</v>
      </c>
      <c r="S64" s="8">
        <f t="shared" si="13"/>
        <v>5.36358238306597E-3</v>
      </c>
      <c r="T64" s="8">
        <v>0.1</v>
      </c>
      <c r="U64" s="17">
        <f t="shared" si="27"/>
        <v>110000.00000000001</v>
      </c>
      <c r="V64" s="17">
        <f t="shared" si="28"/>
        <v>32.293211267605642</v>
      </c>
      <c r="W64" s="8">
        <f t="shared" si="15"/>
        <v>575.46533026179236</v>
      </c>
      <c r="X64" s="22">
        <f t="shared" si="16"/>
        <v>5.08693215796695E-14</v>
      </c>
      <c r="Y64" s="22">
        <f t="shared" si="17"/>
        <v>30633505455.276974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</row>
    <row r="65" spans="1:76" s="3" customFormat="1" x14ac:dyDescent="0.25">
      <c r="A65" s="16">
        <v>189</v>
      </c>
      <c r="B65" s="16">
        <f t="shared" si="18"/>
        <v>3.15</v>
      </c>
      <c r="C65" s="16">
        <v>20</v>
      </c>
      <c r="D65" s="16">
        <f t="shared" si="19"/>
        <v>29.146000000000001</v>
      </c>
      <c r="E65" s="16">
        <f t="shared" si="20"/>
        <v>4.8576666666666667E-7</v>
      </c>
      <c r="F65" s="16">
        <v>21.1</v>
      </c>
      <c r="G65" s="16">
        <f t="shared" si="21"/>
        <v>294.10000000000002</v>
      </c>
      <c r="H65" s="16">
        <v>101.3</v>
      </c>
      <c r="I65" s="16">
        <f t="shared" si="22"/>
        <v>101300</v>
      </c>
      <c r="J65" s="16">
        <f t="shared" si="23"/>
        <v>2.0124824921938581E-5</v>
      </c>
      <c r="K65" s="13">
        <v>295.03943661971834</v>
      </c>
      <c r="L65" s="17">
        <f t="shared" si="24"/>
        <v>2.9503943661971833E-4</v>
      </c>
      <c r="M65" s="14">
        <f t="shared" si="8"/>
        <v>4.7762865441819992E-3</v>
      </c>
      <c r="N65" s="26">
        <f t="shared" si="25"/>
        <v>1.2431450567537337E-6</v>
      </c>
      <c r="O65" s="8">
        <f t="shared" si="10"/>
        <v>2.032E-3</v>
      </c>
      <c r="P65" s="8">
        <f t="shared" si="11"/>
        <v>1.3730521979624967E-10</v>
      </c>
      <c r="Q65" s="8">
        <v>0.31</v>
      </c>
      <c r="R65" s="17">
        <f t="shared" si="26"/>
        <v>131000</v>
      </c>
      <c r="S65" s="8">
        <f t="shared" si="13"/>
        <v>5.36358238306597E-3</v>
      </c>
      <c r="T65" s="8">
        <v>0.1</v>
      </c>
      <c r="U65" s="17">
        <f t="shared" si="27"/>
        <v>110000.00000000001</v>
      </c>
      <c r="V65" s="17">
        <f t="shared" si="28"/>
        <v>32.454338028169019</v>
      </c>
      <c r="W65" s="8">
        <f t="shared" si="15"/>
        <v>580.53799796567819</v>
      </c>
      <c r="X65" s="22">
        <f t="shared" si="16"/>
        <v>5.112512215313284E-14</v>
      </c>
      <c r="Y65" s="22">
        <f t="shared" si="17"/>
        <v>30787548560.616596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</row>
    <row r="66" spans="1:76" s="3" customFormat="1" x14ac:dyDescent="0.25">
      <c r="A66" s="16">
        <v>192</v>
      </c>
      <c r="B66" s="16">
        <f t="shared" si="18"/>
        <v>3.2</v>
      </c>
      <c r="C66" s="16">
        <v>20</v>
      </c>
      <c r="D66" s="16">
        <f t="shared" si="19"/>
        <v>29.146000000000001</v>
      </c>
      <c r="E66" s="16">
        <f t="shared" si="20"/>
        <v>4.8576666666666667E-7</v>
      </c>
      <c r="F66" s="16">
        <v>21.1</v>
      </c>
      <c r="G66" s="16">
        <f t="shared" si="21"/>
        <v>294.10000000000002</v>
      </c>
      <c r="H66" s="16">
        <v>101.3</v>
      </c>
      <c r="I66" s="16">
        <f t="shared" si="22"/>
        <v>101300</v>
      </c>
      <c r="J66" s="16">
        <f t="shared" si="23"/>
        <v>2.0124824921938581E-5</v>
      </c>
      <c r="K66" s="13">
        <v>296.05352112676059</v>
      </c>
      <c r="L66" s="17">
        <f t="shared" si="24"/>
        <v>2.9605352112676057E-4</v>
      </c>
      <c r="M66" s="14">
        <f t="shared" si="8"/>
        <v>4.7762865441819992E-3</v>
      </c>
      <c r="N66" s="26">
        <f t="shared" si="25"/>
        <v>1.2474178894180835E-6</v>
      </c>
      <c r="O66" s="8">
        <f t="shared" si="10"/>
        <v>2.032E-3</v>
      </c>
      <c r="P66" s="8">
        <f t="shared" si="11"/>
        <v>1.3730521979624967E-10</v>
      </c>
      <c r="Q66" s="8">
        <v>0.31</v>
      </c>
      <c r="R66" s="17">
        <f t="shared" si="26"/>
        <v>131000</v>
      </c>
      <c r="S66" s="8">
        <f t="shared" si="13"/>
        <v>5.36358238306597E-3</v>
      </c>
      <c r="T66" s="8">
        <v>0.1</v>
      </c>
      <c r="U66" s="17">
        <f t="shared" si="27"/>
        <v>110000.00000000001</v>
      </c>
      <c r="V66" s="17">
        <f t="shared" si="28"/>
        <v>32.565887323943663</v>
      </c>
      <c r="W66" s="8">
        <f t="shared" si="15"/>
        <v>584.06188970158519</v>
      </c>
      <c r="X66" s="22">
        <f t="shared" si="16"/>
        <v>5.1302231252944042E-14</v>
      </c>
      <c r="Y66" s="22">
        <f t="shared" si="17"/>
        <v>30894203660.522903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</row>
    <row r="67" spans="1:76" s="3" customFormat="1" x14ac:dyDescent="0.25">
      <c r="L67" s="1"/>
      <c r="M67" s="1"/>
      <c r="N67" s="25"/>
      <c r="O67" s="8"/>
      <c r="P67" s="8"/>
      <c r="Q67" s="4"/>
      <c r="R67" s="8"/>
      <c r="S67" s="8"/>
      <c r="T67" s="8"/>
      <c r="U67" s="8"/>
      <c r="V67" s="8"/>
      <c r="W67" s="8"/>
      <c r="X67" s="8"/>
      <c r="Y67" s="8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</row>
    <row r="68" spans="1:76" s="3" customFormat="1" x14ac:dyDescent="0.25">
      <c r="L68" s="1"/>
      <c r="M68" s="1"/>
      <c r="N68" s="25"/>
      <c r="O68" s="8"/>
      <c r="P68" s="8"/>
      <c r="Q68" s="4"/>
      <c r="R68" s="8"/>
      <c r="S68" s="8"/>
      <c r="T68" s="8"/>
      <c r="U68" s="8"/>
      <c r="V68" s="8"/>
      <c r="W68" s="8"/>
      <c r="X68" s="8"/>
      <c r="Y68" s="8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</row>
    <row r="69" spans="1:76" s="3" customFormat="1" x14ac:dyDescent="0.25">
      <c r="L69" s="1"/>
      <c r="M69" s="1"/>
      <c r="N69" s="25"/>
      <c r="O69" s="8"/>
      <c r="P69" s="8"/>
      <c r="Q69" s="4"/>
      <c r="R69" s="8"/>
      <c r="S69" s="8"/>
      <c r="T69" s="8"/>
      <c r="U69" s="8"/>
      <c r="V69" s="8"/>
      <c r="W69" s="8"/>
      <c r="X69" s="8"/>
      <c r="Y69" s="8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</row>
    <row r="70" spans="1:76" s="3" customFormat="1" x14ac:dyDescent="0.25">
      <c r="L70" s="1"/>
      <c r="M70" s="1"/>
      <c r="N70" s="25"/>
      <c r="O70" s="8"/>
      <c r="P70" s="8"/>
      <c r="Q70" s="4"/>
      <c r="R70" s="8"/>
      <c r="S70" s="8"/>
      <c r="T70" s="8"/>
      <c r="U70" s="8"/>
      <c r="V70" s="8"/>
      <c r="W70" s="8"/>
      <c r="X70" s="23">
        <f>AVERAGE(X32:X66)</f>
        <v>5.0934933823411119E-14</v>
      </c>
      <c r="Y70" s="23">
        <f>AVERAGE(Y32:Y66)</f>
        <v>30673017148.458168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</row>
    <row r="71" spans="1:76" s="3" customFormat="1" x14ac:dyDescent="0.25">
      <c r="L71" s="1"/>
      <c r="M71" s="1"/>
      <c r="N71" s="25"/>
      <c r="O71" s="8"/>
      <c r="P71" s="8"/>
      <c r="Q71" s="4"/>
      <c r="R71" s="8"/>
      <c r="S71" s="8"/>
      <c r="T71" s="8"/>
      <c r="U71" s="8"/>
      <c r="V71" s="8"/>
      <c r="W71" s="8"/>
      <c r="X71" s="8"/>
      <c r="Y71" s="8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</row>
    <row r="72" spans="1:76" s="3" customFormat="1" x14ac:dyDescent="0.25">
      <c r="L72" s="1"/>
      <c r="M72" s="1"/>
      <c r="N72" s="25"/>
      <c r="O72" s="8"/>
      <c r="P72" s="8"/>
      <c r="Q72" s="4"/>
      <c r="R72" s="8"/>
      <c r="S72" s="8"/>
      <c r="T72" s="8"/>
      <c r="U72" s="8"/>
      <c r="V72" s="8"/>
      <c r="W72" s="8"/>
      <c r="X72" s="8"/>
      <c r="Y72" s="8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</row>
    <row r="73" spans="1:76" s="3" customFormat="1" x14ac:dyDescent="0.25">
      <c r="L73" s="1"/>
      <c r="M73" s="1"/>
      <c r="N73" s="25"/>
      <c r="O73" s="8"/>
      <c r="P73" s="8"/>
      <c r="Q73" s="4"/>
      <c r="R73" s="8"/>
      <c r="S73" s="8"/>
      <c r="T73" s="8"/>
      <c r="U73" s="8"/>
      <c r="V73" s="8"/>
      <c r="W73" s="8"/>
      <c r="X73" s="8"/>
      <c r="Y73" s="8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</row>
    <row r="74" spans="1:76" s="3" customFormat="1" x14ac:dyDescent="0.25">
      <c r="L74" s="1"/>
      <c r="M74" s="1"/>
      <c r="N74" s="25"/>
      <c r="O74" s="8"/>
      <c r="P74" s="8"/>
      <c r="Q74" s="4"/>
      <c r="R74" s="8"/>
      <c r="S74" s="8"/>
      <c r="T74" s="8"/>
      <c r="U74" s="8"/>
      <c r="V74" s="8"/>
      <c r="W74" s="8"/>
      <c r="X74" s="8"/>
      <c r="Y74" s="8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</row>
    <row r="75" spans="1:76" s="3" customFormat="1" x14ac:dyDescent="0.25">
      <c r="L75" s="1"/>
      <c r="M75" s="1"/>
      <c r="N75" s="25"/>
      <c r="O75" s="8"/>
      <c r="P75" s="8"/>
      <c r="Q75" s="4"/>
      <c r="R75" s="8"/>
      <c r="S75" s="8"/>
      <c r="T75" s="8"/>
      <c r="U75" s="8"/>
      <c r="V75" s="8"/>
      <c r="W75" s="8"/>
      <c r="X75" s="8"/>
      <c r="Y75" s="8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</row>
    <row r="76" spans="1:76" s="3" customFormat="1" x14ac:dyDescent="0.25">
      <c r="L76" s="1"/>
      <c r="M76" s="1"/>
      <c r="N76" s="25"/>
      <c r="O76" s="8"/>
      <c r="P76" s="8"/>
      <c r="Q76" s="4"/>
      <c r="R76" s="8"/>
      <c r="S76" s="8"/>
      <c r="T76" s="8"/>
      <c r="U76" s="8"/>
      <c r="V76" s="8"/>
      <c r="W76" s="8"/>
      <c r="X76" s="8"/>
      <c r="Y76" s="8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</row>
    <row r="77" spans="1:76" s="3" customFormat="1" x14ac:dyDescent="0.25">
      <c r="L77" s="1"/>
      <c r="M77" s="1"/>
      <c r="N77" s="25"/>
      <c r="O77" s="8"/>
      <c r="P77" s="8"/>
      <c r="Q77" s="4"/>
      <c r="R77" s="8"/>
      <c r="S77" s="8"/>
      <c r="T77" s="8"/>
      <c r="U77" s="8"/>
      <c r="V77" s="8"/>
      <c r="W77" s="8"/>
      <c r="X77" s="8"/>
      <c r="Y77" s="8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</row>
    <row r="78" spans="1:76" s="3" customFormat="1" x14ac:dyDescent="0.25">
      <c r="L78" s="1"/>
      <c r="M78" s="1"/>
      <c r="N78" s="25"/>
      <c r="O78" s="8"/>
      <c r="P78" s="8"/>
      <c r="Q78" s="4"/>
      <c r="R78" s="8"/>
      <c r="S78" s="8"/>
      <c r="T78" s="8"/>
      <c r="U78" s="8"/>
      <c r="V78" s="8"/>
      <c r="W78" s="8"/>
      <c r="X78" s="8"/>
      <c r="Y78" s="8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</row>
    <row r="79" spans="1:76" s="3" customFormat="1" x14ac:dyDescent="0.25">
      <c r="L79" s="1"/>
      <c r="M79" s="1"/>
      <c r="N79" s="25"/>
      <c r="O79" s="8"/>
      <c r="P79" s="8"/>
      <c r="Q79" s="4"/>
      <c r="R79" s="8"/>
      <c r="S79" s="8"/>
      <c r="T79" s="8"/>
      <c r="U79" s="8"/>
      <c r="V79" s="8"/>
      <c r="W79" s="8"/>
      <c r="X79" s="8"/>
      <c r="Y79" s="8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</row>
    <row r="80" spans="1:76" s="3" customFormat="1" x14ac:dyDescent="0.25">
      <c r="L80" s="1"/>
      <c r="M80" s="1"/>
      <c r="N80" s="25"/>
      <c r="O80" s="8"/>
      <c r="P80" s="8"/>
      <c r="Q80" s="4"/>
      <c r="R80" s="8"/>
      <c r="S80" s="8"/>
      <c r="T80" s="8"/>
      <c r="U80" s="8"/>
      <c r="V80" s="8"/>
      <c r="W80" s="8"/>
      <c r="X80" s="8"/>
      <c r="Y80" s="8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</row>
    <row r="81" spans="12:76" s="3" customFormat="1" x14ac:dyDescent="0.25">
      <c r="L81" s="1"/>
      <c r="M81" s="1"/>
      <c r="N81" s="25"/>
      <c r="O81" s="8"/>
      <c r="P81" s="8"/>
      <c r="Q81" s="4"/>
      <c r="R81" s="8"/>
      <c r="S81" s="8"/>
      <c r="T81" s="8"/>
      <c r="U81" s="8"/>
      <c r="V81" s="8"/>
      <c r="W81" s="8"/>
      <c r="X81" s="8"/>
      <c r="Y81" s="8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</row>
    <row r="82" spans="12:76" s="3" customFormat="1" x14ac:dyDescent="0.25">
      <c r="L82" s="1"/>
      <c r="M82" s="1"/>
      <c r="N82" s="25"/>
      <c r="O82" s="8"/>
      <c r="P82" s="8"/>
      <c r="Q82" s="4"/>
      <c r="R82" s="8"/>
      <c r="S82" s="8"/>
      <c r="T82" s="8"/>
      <c r="U82" s="8"/>
      <c r="V82" s="8"/>
      <c r="W82" s="8"/>
      <c r="X82" s="8"/>
      <c r="Y82" s="8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</row>
    <row r="83" spans="12:76" s="3" customFormat="1" x14ac:dyDescent="0.25">
      <c r="L83" s="1"/>
      <c r="M83" s="1"/>
      <c r="N83" s="25"/>
      <c r="O83" s="8"/>
      <c r="P83" s="8"/>
      <c r="Q83" s="4"/>
      <c r="R83" s="8"/>
      <c r="S83" s="8"/>
      <c r="T83" s="8"/>
      <c r="U83" s="8"/>
      <c r="V83" s="8"/>
      <c r="W83" s="8"/>
      <c r="X83" s="8"/>
      <c r="Y83" s="8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</row>
    <row r="84" spans="12:76" s="3" customFormat="1" x14ac:dyDescent="0.25">
      <c r="L84" s="1"/>
      <c r="M84" s="1"/>
      <c r="N84" s="25"/>
      <c r="O84" s="8"/>
      <c r="P84" s="8"/>
      <c r="Q84" s="4"/>
      <c r="R84" s="8"/>
      <c r="S84" s="8"/>
      <c r="T84" s="8"/>
      <c r="U84" s="8"/>
      <c r="V84" s="8"/>
      <c r="W84" s="8"/>
      <c r="X84" s="8"/>
      <c r="Y84" s="8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</row>
    <row r="85" spans="12:76" s="3" customFormat="1" x14ac:dyDescent="0.25">
      <c r="L85" s="1"/>
      <c r="M85" s="1"/>
      <c r="N85" s="25"/>
      <c r="O85" s="8"/>
      <c r="P85" s="8"/>
      <c r="Q85" s="4"/>
      <c r="R85" s="8"/>
      <c r="S85" s="8"/>
      <c r="T85" s="8"/>
      <c r="U85" s="8"/>
      <c r="V85" s="8"/>
      <c r="W85" s="8"/>
      <c r="X85" s="8"/>
      <c r="Y85" s="8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</row>
    <row r="86" spans="12:76" s="3" customFormat="1" x14ac:dyDescent="0.25">
      <c r="L86" s="1"/>
      <c r="M86" s="1"/>
      <c r="N86" s="25"/>
      <c r="O86" s="8"/>
      <c r="P86" s="8"/>
      <c r="Q86" s="4"/>
      <c r="R86" s="8"/>
      <c r="S86" s="8"/>
      <c r="T86" s="8"/>
      <c r="U86" s="8"/>
      <c r="V86" s="8"/>
      <c r="W86" s="8"/>
      <c r="X86" s="8"/>
      <c r="Y86" s="8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</row>
    <row r="87" spans="12:76" s="3" customFormat="1" x14ac:dyDescent="0.25">
      <c r="L87" s="1"/>
      <c r="M87" s="1"/>
      <c r="N87" s="25"/>
      <c r="O87" s="8"/>
      <c r="P87" s="8"/>
      <c r="Q87" s="4"/>
      <c r="R87" s="8"/>
      <c r="S87" s="8"/>
      <c r="T87" s="8"/>
      <c r="U87" s="8"/>
      <c r="V87" s="8"/>
      <c r="W87" s="8"/>
      <c r="X87" s="8"/>
      <c r="Y87" s="8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</row>
    <row r="88" spans="12:76" s="3" customFormat="1" x14ac:dyDescent="0.25">
      <c r="L88" s="1"/>
      <c r="M88" s="1"/>
      <c r="N88" s="25"/>
      <c r="O88" s="8"/>
      <c r="P88" s="8"/>
      <c r="Q88" s="4"/>
      <c r="R88" s="8"/>
      <c r="S88" s="8"/>
      <c r="T88" s="8"/>
      <c r="U88" s="8"/>
      <c r="V88" s="8"/>
      <c r="W88" s="8"/>
      <c r="X88" s="8"/>
      <c r="Y88" s="8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</row>
    <row r="89" spans="12:76" s="3" customFormat="1" x14ac:dyDescent="0.25">
      <c r="L89" s="1"/>
      <c r="M89" s="1"/>
      <c r="N89" s="25"/>
      <c r="O89" s="8"/>
      <c r="P89" s="8"/>
      <c r="Q89" s="4"/>
      <c r="R89" s="8"/>
      <c r="S89" s="8"/>
      <c r="T89" s="8"/>
      <c r="U89" s="8"/>
      <c r="V89" s="8"/>
      <c r="W89" s="8"/>
      <c r="X89" s="8"/>
      <c r="Y89" s="8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</row>
    <row r="90" spans="12:76" s="3" customFormat="1" x14ac:dyDescent="0.25">
      <c r="L90" s="1"/>
      <c r="M90" s="1"/>
      <c r="N90" s="25"/>
      <c r="O90" s="8"/>
      <c r="P90" s="8"/>
      <c r="Q90" s="4"/>
      <c r="R90" s="8"/>
      <c r="S90" s="8"/>
      <c r="T90" s="8"/>
      <c r="U90" s="8"/>
      <c r="V90" s="8"/>
      <c r="W90" s="8"/>
      <c r="X90" s="8"/>
      <c r="Y90" s="8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</row>
    <row r="91" spans="12:76" s="3" customFormat="1" x14ac:dyDescent="0.25">
      <c r="L91" s="1"/>
      <c r="M91" s="1"/>
      <c r="N91" s="25"/>
      <c r="O91" s="8"/>
      <c r="P91" s="8"/>
      <c r="Q91" s="4"/>
      <c r="R91" s="8"/>
      <c r="S91" s="8"/>
      <c r="T91" s="8"/>
      <c r="U91" s="8"/>
      <c r="V91" s="8"/>
      <c r="W91" s="8"/>
      <c r="X91" s="8"/>
      <c r="Y91" s="8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</row>
    <row r="92" spans="12:76" s="3" customFormat="1" x14ac:dyDescent="0.25">
      <c r="L92" s="1"/>
      <c r="M92" s="1"/>
      <c r="N92" s="25"/>
      <c r="O92" s="8"/>
      <c r="P92" s="8"/>
      <c r="Q92" s="4"/>
      <c r="R92" s="8"/>
      <c r="S92" s="8"/>
      <c r="T92" s="8"/>
      <c r="U92" s="8"/>
      <c r="V92" s="8"/>
      <c r="W92" s="8"/>
      <c r="X92" s="8"/>
      <c r="Y92" s="8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</row>
    <row r="93" spans="12:76" s="3" customFormat="1" x14ac:dyDescent="0.25">
      <c r="L93" s="1"/>
      <c r="M93" s="1"/>
      <c r="N93" s="25"/>
      <c r="O93" s="8"/>
      <c r="P93" s="8"/>
      <c r="Q93" s="4"/>
      <c r="R93" s="8"/>
      <c r="S93" s="8"/>
      <c r="T93" s="8"/>
      <c r="U93" s="8"/>
      <c r="V93" s="8"/>
      <c r="W93" s="8"/>
      <c r="X93" s="8"/>
      <c r="Y93" s="8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</row>
    <row r="94" spans="12:76" s="3" customFormat="1" x14ac:dyDescent="0.25">
      <c r="L94" s="1"/>
      <c r="M94" s="1"/>
      <c r="N94" s="25"/>
      <c r="O94" s="8"/>
      <c r="P94" s="8"/>
      <c r="Q94" s="4"/>
      <c r="R94" s="8"/>
      <c r="S94" s="8"/>
      <c r="T94" s="8"/>
      <c r="U94" s="8"/>
      <c r="V94" s="8"/>
      <c r="W94" s="8"/>
      <c r="X94" s="8"/>
      <c r="Y94" s="8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</row>
    <row r="95" spans="12:76" s="3" customFormat="1" x14ac:dyDescent="0.25">
      <c r="L95" s="1"/>
      <c r="M95" s="1"/>
      <c r="N95" s="25"/>
      <c r="O95" s="8"/>
      <c r="P95" s="8"/>
      <c r="Q95" s="4"/>
      <c r="R95" s="8"/>
      <c r="S95" s="8"/>
      <c r="T95" s="8"/>
      <c r="U95" s="8"/>
      <c r="V95" s="8"/>
      <c r="W95" s="8"/>
      <c r="X95" s="8"/>
      <c r="Y95" s="8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</row>
    <row r="96" spans="12:76" s="3" customFormat="1" x14ac:dyDescent="0.25">
      <c r="L96" s="1"/>
      <c r="M96" s="1"/>
      <c r="N96" s="25"/>
      <c r="O96" s="8"/>
      <c r="P96" s="8"/>
      <c r="Q96" s="4"/>
      <c r="R96" s="8"/>
      <c r="S96" s="8"/>
      <c r="T96" s="8"/>
      <c r="U96" s="8"/>
      <c r="V96" s="8"/>
      <c r="W96" s="8"/>
      <c r="X96" s="8"/>
      <c r="Y96" s="8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</row>
    <row r="97" spans="12:76" s="3" customFormat="1" x14ac:dyDescent="0.25">
      <c r="L97" s="1"/>
      <c r="M97" s="1"/>
      <c r="N97" s="25"/>
      <c r="O97" s="8"/>
      <c r="P97" s="8"/>
      <c r="Q97" s="4"/>
      <c r="R97" s="8"/>
      <c r="S97" s="8"/>
      <c r="T97" s="8"/>
      <c r="U97" s="8"/>
      <c r="V97" s="8"/>
      <c r="W97" s="8"/>
      <c r="X97" s="8"/>
      <c r="Y97" s="8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</row>
    <row r="98" spans="12:76" s="3" customFormat="1" x14ac:dyDescent="0.25">
      <c r="L98" s="1"/>
      <c r="M98" s="1"/>
      <c r="N98" s="25"/>
      <c r="O98" s="8"/>
      <c r="P98" s="8"/>
      <c r="Q98" s="4"/>
      <c r="R98" s="8"/>
      <c r="S98" s="8"/>
      <c r="T98" s="8"/>
      <c r="U98" s="8"/>
      <c r="V98" s="8"/>
      <c r="W98" s="8"/>
      <c r="X98" s="8"/>
      <c r="Y98" s="8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</row>
    <row r="99" spans="12:76" s="3" customFormat="1" x14ac:dyDescent="0.25">
      <c r="L99" s="1"/>
      <c r="M99" s="1"/>
      <c r="N99" s="25"/>
      <c r="O99" s="8"/>
      <c r="P99" s="8"/>
      <c r="Q99" s="4"/>
      <c r="R99" s="8"/>
      <c r="S99" s="8"/>
      <c r="T99" s="8"/>
      <c r="U99" s="8"/>
      <c r="V99" s="8"/>
      <c r="W99" s="8"/>
      <c r="X99" s="8"/>
      <c r="Y99" s="8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</row>
    <row r="100" spans="12:76" s="3" customFormat="1" x14ac:dyDescent="0.25">
      <c r="L100" s="1"/>
      <c r="M100" s="1"/>
      <c r="N100" s="25"/>
      <c r="O100" s="8"/>
      <c r="P100" s="8"/>
      <c r="Q100" s="4"/>
      <c r="R100" s="8"/>
      <c r="S100" s="8"/>
      <c r="T100" s="8"/>
      <c r="U100" s="8"/>
      <c r="V100" s="8"/>
      <c r="W100" s="8"/>
      <c r="X100" s="8"/>
      <c r="Y100" s="8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</row>
    <row r="101" spans="12:76" s="3" customFormat="1" x14ac:dyDescent="0.25">
      <c r="L101" s="1"/>
      <c r="M101" s="1"/>
      <c r="N101" s="25"/>
      <c r="O101" s="8"/>
      <c r="P101" s="8"/>
      <c r="Q101" s="4"/>
      <c r="R101" s="8"/>
      <c r="S101" s="8"/>
      <c r="T101" s="8"/>
      <c r="U101" s="8"/>
      <c r="V101" s="8"/>
      <c r="W101" s="8"/>
      <c r="X101" s="8"/>
      <c r="Y101" s="8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</row>
    <row r="102" spans="12:76" s="3" customFormat="1" x14ac:dyDescent="0.25">
      <c r="L102" s="1"/>
      <c r="M102" s="1"/>
      <c r="N102" s="26"/>
      <c r="O102" s="8"/>
      <c r="P102" s="8"/>
      <c r="Q102" s="4"/>
      <c r="R102" s="8"/>
      <c r="S102" s="8"/>
      <c r="T102" s="8"/>
      <c r="U102" s="8"/>
      <c r="V102" s="8"/>
      <c r="W102" s="8"/>
      <c r="X102" s="8"/>
      <c r="Y102" s="8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</row>
    <row r="103" spans="12:76" s="3" customFormat="1" x14ac:dyDescent="0.25">
      <c r="L103" s="1"/>
      <c r="M103" s="1"/>
      <c r="N103" s="25"/>
      <c r="O103" s="8"/>
      <c r="P103" s="8"/>
      <c r="Q103" s="4"/>
      <c r="R103" s="8"/>
      <c r="S103" s="8"/>
      <c r="T103" s="8"/>
      <c r="U103" s="8"/>
      <c r="V103" s="8"/>
      <c r="W103" s="8"/>
      <c r="X103" s="8"/>
      <c r="Y103" s="8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</row>
    <row r="104" spans="12:76" s="3" customFormat="1" x14ac:dyDescent="0.25">
      <c r="L104" s="1"/>
      <c r="M104" s="1"/>
      <c r="N104" s="25"/>
      <c r="O104" s="8"/>
      <c r="P104" s="8"/>
      <c r="Q104" s="4"/>
      <c r="R104" s="8"/>
      <c r="S104" s="8"/>
      <c r="T104" s="8"/>
      <c r="U104" s="8"/>
      <c r="V104" s="8"/>
      <c r="W104" s="8"/>
      <c r="X104" s="8"/>
      <c r="Y104" s="8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</row>
    <row r="105" spans="12:76" s="3" customFormat="1" x14ac:dyDescent="0.25">
      <c r="L105" s="1"/>
      <c r="M105" s="1"/>
      <c r="N105" s="25"/>
      <c r="O105" s="8"/>
      <c r="P105" s="8"/>
      <c r="Q105" s="4"/>
      <c r="R105" s="8"/>
      <c r="S105" s="8"/>
      <c r="T105" s="8"/>
      <c r="U105" s="8"/>
      <c r="V105" s="8"/>
      <c r="W105" s="8"/>
      <c r="X105" s="8"/>
      <c r="Y105" s="8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</row>
    <row r="106" spans="12:76" s="3" customFormat="1" x14ac:dyDescent="0.25">
      <c r="L106" s="1"/>
      <c r="M106" s="1"/>
      <c r="N106" s="25"/>
      <c r="O106" s="8"/>
      <c r="P106" s="8"/>
      <c r="Q106" s="4"/>
      <c r="R106" s="8"/>
      <c r="S106" s="8"/>
      <c r="T106" s="8"/>
      <c r="U106" s="8"/>
      <c r="V106" s="8"/>
      <c r="W106" s="8"/>
      <c r="X106" s="8"/>
      <c r="Y106" s="8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</row>
    <row r="107" spans="12:76" s="3" customFormat="1" x14ac:dyDescent="0.25">
      <c r="L107" s="1"/>
      <c r="M107" s="1"/>
      <c r="N107" s="25"/>
      <c r="O107" s="8"/>
      <c r="P107" s="8"/>
      <c r="Q107" s="4"/>
      <c r="R107" s="8"/>
      <c r="S107" s="8"/>
      <c r="T107" s="8"/>
      <c r="U107" s="8"/>
      <c r="V107" s="8"/>
      <c r="W107" s="8"/>
      <c r="X107" s="8"/>
      <c r="Y107" s="8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</row>
    <row r="108" spans="12:76" s="3" customFormat="1" x14ac:dyDescent="0.25">
      <c r="L108" s="1"/>
      <c r="M108" s="1"/>
      <c r="N108" s="25"/>
      <c r="O108" s="8"/>
      <c r="P108" s="8"/>
      <c r="Q108" s="4"/>
      <c r="R108" s="8"/>
      <c r="S108" s="8"/>
      <c r="T108" s="8"/>
      <c r="U108" s="8"/>
      <c r="V108" s="8"/>
      <c r="W108" s="8"/>
      <c r="X108" s="8"/>
      <c r="Y108" s="8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</row>
    <row r="109" spans="12:76" s="3" customFormat="1" x14ac:dyDescent="0.25">
      <c r="L109" s="1"/>
      <c r="M109" s="1"/>
      <c r="N109" s="25"/>
      <c r="O109" s="8"/>
      <c r="P109" s="8"/>
      <c r="Q109" s="4"/>
      <c r="R109" s="8"/>
      <c r="S109" s="8"/>
      <c r="T109" s="8"/>
      <c r="U109" s="8"/>
      <c r="V109" s="8"/>
      <c r="W109" s="8"/>
      <c r="X109" s="8"/>
      <c r="Y109" s="8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</row>
    <row r="110" spans="12:76" s="3" customFormat="1" x14ac:dyDescent="0.25">
      <c r="L110" s="1"/>
      <c r="M110" s="1"/>
      <c r="N110" s="25"/>
      <c r="O110" s="8"/>
      <c r="P110" s="8"/>
      <c r="Q110" s="4"/>
      <c r="R110" s="8"/>
      <c r="S110" s="8"/>
      <c r="T110" s="8"/>
      <c r="U110" s="8"/>
      <c r="V110" s="8"/>
      <c r="W110" s="8"/>
      <c r="X110" s="8"/>
      <c r="Y110" s="8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</row>
    <row r="111" spans="12:76" s="3" customFormat="1" x14ac:dyDescent="0.25">
      <c r="L111" s="1"/>
      <c r="M111" s="1"/>
      <c r="N111" s="25"/>
      <c r="O111" s="8"/>
      <c r="P111" s="8"/>
      <c r="Q111" s="4"/>
      <c r="R111" s="8"/>
      <c r="S111" s="8"/>
      <c r="T111" s="8"/>
      <c r="U111" s="8"/>
      <c r="V111" s="8"/>
      <c r="W111" s="8"/>
      <c r="X111" s="8"/>
      <c r="Y111" s="8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</row>
    <row r="112" spans="12:76" s="3" customFormat="1" x14ac:dyDescent="0.25">
      <c r="L112" s="1"/>
      <c r="M112" s="1"/>
      <c r="N112" s="25"/>
      <c r="O112" s="8"/>
      <c r="P112" s="8"/>
      <c r="Q112" s="4"/>
      <c r="R112" s="8"/>
      <c r="S112" s="8"/>
      <c r="T112" s="8"/>
      <c r="U112" s="8"/>
      <c r="V112" s="8"/>
      <c r="W112" s="8"/>
      <c r="X112" s="8"/>
      <c r="Y112" s="8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</row>
    <row r="113" spans="12:76" s="3" customFormat="1" x14ac:dyDescent="0.25">
      <c r="L113" s="1"/>
      <c r="M113" s="1"/>
      <c r="N113" s="25"/>
      <c r="O113" s="8"/>
      <c r="P113" s="8"/>
      <c r="Q113" s="4"/>
      <c r="R113" s="8"/>
      <c r="S113" s="8"/>
      <c r="T113" s="8"/>
      <c r="U113" s="8"/>
      <c r="V113" s="8"/>
      <c r="W113" s="8"/>
      <c r="X113" s="8"/>
      <c r="Y113" s="8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</row>
    <row r="114" spans="12:76" s="3" customFormat="1" x14ac:dyDescent="0.25">
      <c r="L114" s="1"/>
      <c r="M114" s="1"/>
      <c r="N114" s="25"/>
      <c r="O114" s="8"/>
      <c r="P114" s="8"/>
      <c r="Q114" s="4"/>
      <c r="R114" s="8"/>
      <c r="S114" s="8"/>
      <c r="T114" s="8"/>
      <c r="U114" s="8"/>
      <c r="V114" s="8"/>
      <c r="W114" s="8"/>
      <c r="X114" s="8"/>
      <c r="Y114" s="8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</row>
    <row r="115" spans="12:76" s="3" customFormat="1" x14ac:dyDescent="0.25">
      <c r="L115" s="1"/>
      <c r="M115" s="1"/>
      <c r="N115" s="25"/>
      <c r="O115" s="8"/>
      <c r="P115" s="8"/>
      <c r="Q115" s="4"/>
      <c r="R115" s="8"/>
      <c r="S115" s="8"/>
      <c r="T115" s="8"/>
      <c r="U115" s="8"/>
      <c r="V115" s="8"/>
      <c r="W115" s="8"/>
      <c r="X115" s="8"/>
      <c r="Y115" s="8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</row>
    <row r="116" spans="12:76" s="3" customFormat="1" x14ac:dyDescent="0.25">
      <c r="L116" s="1"/>
      <c r="M116" s="1"/>
      <c r="N116" s="25"/>
      <c r="O116" s="8"/>
      <c r="P116" s="8"/>
      <c r="Q116" s="4"/>
      <c r="R116" s="8"/>
      <c r="S116" s="8"/>
      <c r="T116" s="8"/>
      <c r="U116" s="8"/>
      <c r="V116" s="8"/>
      <c r="W116" s="8"/>
      <c r="X116" s="8"/>
      <c r="Y116" s="8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</row>
    <row r="117" spans="12:76" s="3" customFormat="1" x14ac:dyDescent="0.25">
      <c r="L117" s="1"/>
      <c r="M117" s="1"/>
      <c r="N117" s="25"/>
      <c r="O117" s="8"/>
      <c r="P117" s="8"/>
      <c r="Q117" s="4"/>
      <c r="R117" s="8"/>
      <c r="S117" s="8"/>
      <c r="T117" s="8"/>
      <c r="U117" s="8"/>
      <c r="V117" s="8"/>
      <c r="W117" s="8"/>
      <c r="X117" s="8"/>
      <c r="Y117" s="8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</row>
    <row r="118" spans="12:76" s="3" customFormat="1" x14ac:dyDescent="0.25">
      <c r="L118" s="1"/>
      <c r="M118" s="1"/>
      <c r="N118" s="25"/>
      <c r="O118" s="8"/>
      <c r="P118" s="8"/>
      <c r="Q118" s="4"/>
      <c r="R118" s="8"/>
      <c r="S118" s="8"/>
      <c r="T118" s="8"/>
      <c r="U118" s="8"/>
      <c r="V118" s="8"/>
      <c r="W118" s="8"/>
      <c r="X118" s="8"/>
      <c r="Y118" s="8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</row>
    <row r="119" spans="12:76" s="3" customFormat="1" x14ac:dyDescent="0.25">
      <c r="L119" s="1"/>
      <c r="M119" s="1"/>
      <c r="N119" s="25"/>
      <c r="O119" s="8"/>
      <c r="P119" s="8"/>
      <c r="Q119" s="4"/>
      <c r="R119" s="8"/>
      <c r="S119" s="8"/>
      <c r="T119" s="8"/>
      <c r="U119" s="8"/>
      <c r="V119" s="8"/>
      <c r="W119" s="8"/>
      <c r="X119" s="8"/>
      <c r="Y119" s="8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</row>
    <row r="120" spans="12:76" s="3" customFormat="1" x14ac:dyDescent="0.25">
      <c r="L120" s="1"/>
      <c r="M120" s="1"/>
      <c r="N120" s="25"/>
      <c r="O120" s="8"/>
      <c r="P120" s="8"/>
      <c r="Q120" s="4"/>
      <c r="R120" s="8"/>
      <c r="S120" s="8"/>
      <c r="T120" s="8"/>
      <c r="U120" s="8"/>
      <c r="V120" s="8"/>
      <c r="W120" s="8"/>
      <c r="X120" s="8"/>
      <c r="Y120" s="8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</row>
    <row r="121" spans="12:76" s="3" customFormat="1" x14ac:dyDescent="0.25">
      <c r="L121" s="1"/>
      <c r="M121" s="1"/>
      <c r="N121" s="25"/>
      <c r="O121" s="8"/>
      <c r="P121" s="8"/>
      <c r="Q121" s="4"/>
      <c r="R121" s="8"/>
      <c r="S121" s="8"/>
      <c r="T121" s="8"/>
      <c r="U121" s="8"/>
      <c r="V121" s="8"/>
      <c r="W121" s="8"/>
      <c r="X121" s="8"/>
      <c r="Y121" s="8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</row>
    <row r="122" spans="12:76" s="3" customFormat="1" x14ac:dyDescent="0.25">
      <c r="L122" s="1"/>
      <c r="M122" s="1"/>
      <c r="N122" s="25"/>
      <c r="O122" s="8"/>
      <c r="P122" s="8"/>
      <c r="Q122" s="4"/>
      <c r="R122" s="8"/>
      <c r="S122" s="8"/>
      <c r="T122" s="8"/>
      <c r="U122" s="8"/>
      <c r="V122" s="8"/>
      <c r="W122" s="8"/>
      <c r="X122" s="8"/>
      <c r="Y122" s="8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</row>
    <row r="123" spans="12:76" s="3" customFormat="1" x14ac:dyDescent="0.25">
      <c r="L123" s="1"/>
      <c r="M123" s="1"/>
      <c r="N123" s="25"/>
      <c r="O123" s="8"/>
      <c r="P123" s="8"/>
      <c r="Q123" s="4"/>
      <c r="R123" s="8"/>
      <c r="S123" s="8"/>
      <c r="T123" s="8"/>
      <c r="U123" s="8"/>
      <c r="V123" s="8"/>
      <c r="W123" s="8"/>
      <c r="X123" s="8"/>
      <c r="Y123" s="8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</row>
    <row r="124" spans="12:76" s="3" customFormat="1" x14ac:dyDescent="0.25">
      <c r="L124" s="1"/>
      <c r="M124" s="1"/>
      <c r="N124" s="25"/>
      <c r="O124" s="8"/>
      <c r="P124" s="8"/>
      <c r="Q124" s="4"/>
      <c r="R124" s="8"/>
      <c r="S124" s="8"/>
      <c r="T124" s="8"/>
      <c r="U124" s="8"/>
      <c r="V124" s="8"/>
      <c r="W124" s="8"/>
      <c r="X124" s="8"/>
      <c r="Y124" s="8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</row>
    <row r="125" spans="12:76" s="3" customFormat="1" x14ac:dyDescent="0.25">
      <c r="L125" s="1"/>
      <c r="M125" s="1"/>
      <c r="N125" s="25"/>
      <c r="O125" s="8"/>
      <c r="P125" s="8"/>
      <c r="Q125" s="4"/>
      <c r="R125" s="8"/>
      <c r="S125" s="8"/>
      <c r="T125" s="8"/>
      <c r="U125" s="8"/>
      <c r="V125" s="8"/>
      <c r="W125" s="8"/>
      <c r="X125" s="8"/>
      <c r="Y125" s="8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</row>
    <row r="126" spans="12:76" s="3" customFormat="1" x14ac:dyDescent="0.25">
      <c r="L126" s="1"/>
      <c r="M126" s="1"/>
      <c r="N126" s="25"/>
      <c r="O126" s="8"/>
      <c r="P126" s="8"/>
      <c r="Q126" s="4"/>
      <c r="R126" s="8"/>
      <c r="S126" s="8"/>
      <c r="T126" s="8"/>
      <c r="U126" s="8"/>
      <c r="V126" s="8"/>
      <c r="W126" s="8"/>
      <c r="X126" s="8"/>
      <c r="Y126" s="8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</row>
    <row r="127" spans="12:76" s="3" customFormat="1" x14ac:dyDescent="0.25">
      <c r="L127" s="1"/>
      <c r="M127" s="1"/>
      <c r="N127" s="25"/>
      <c r="O127" s="8"/>
      <c r="P127" s="8"/>
      <c r="Q127" s="4"/>
      <c r="R127" s="8"/>
      <c r="S127" s="8"/>
      <c r="T127" s="8"/>
      <c r="U127" s="8"/>
      <c r="V127" s="8"/>
      <c r="W127" s="8"/>
      <c r="X127" s="8"/>
      <c r="Y127" s="8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</row>
    <row r="128" spans="12:76" s="3" customFormat="1" x14ac:dyDescent="0.25">
      <c r="L128" s="1"/>
      <c r="M128" s="1"/>
      <c r="N128" s="25"/>
      <c r="O128" s="8"/>
      <c r="P128" s="8"/>
      <c r="Q128" s="4"/>
      <c r="R128" s="8"/>
      <c r="S128" s="8"/>
      <c r="T128" s="8"/>
      <c r="U128" s="8"/>
      <c r="V128" s="8"/>
      <c r="W128" s="8"/>
      <c r="X128" s="8"/>
      <c r="Y128" s="8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</row>
    <row r="129" spans="12:76" s="3" customFormat="1" x14ac:dyDescent="0.25">
      <c r="L129" s="1"/>
      <c r="M129" s="1"/>
      <c r="N129" s="25"/>
      <c r="O129" s="8"/>
      <c r="P129" s="8"/>
      <c r="Q129" s="4"/>
      <c r="R129" s="8"/>
      <c r="S129" s="8"/>
      <c r="T129" s="8"/>
      <c r="U129" s="8"/>
      <c r="V129" s="8"/>
      <c r="W129" s="8"/>
      <c r="X129" s="8"/>
      <c r="Y129" s="8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</row>
    <row r="130" spans="12:76" s="3" customFormat="1" x14ac:dyDescent="0.25">
      <c r="L130" s="1"/>
      <c r="M130" s="1"/>
      <c r="N130" s="25"/>
      <c r="O130" s="8"/>
      <c r="P130" s="8"/>
      <c r="Q130" s="4"/>
      <c r="R130" s="8"/>
      <c r="S130" s="8"/>
      <c r="T130" s="8"/>
      <c r="U130" s="8"/>
      <c r="V130" s="8"/>
      <c r="W130" s="8"/>
      <c r="X130" s="8"/>
      <c r="Y130" s="8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</row>
    <row r="131" spans="12:76" s="3" customFormat="1" x14ac:dyDescent="0.25">
      <c r="L131" s="1"/>
      <c r="M131" s="1"/>
      <c r="N131" s="25"/>
      <c r="O131" s="8"/>
      <c r="P131" s="8"/>
      <c r="Q131" s="4"/>
      <c r="R131" s="8"/>
      <c r="S131" s="8"/>
      <c r="T131" s="8"/>
      <c r="U131" s="8"/>
      <c r="V131" s="8"/>
      <c r="W131" s="8"/>
      <c r="X131" s="8"/>
      <c r="Y131" s="8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</row>
    <row r="132" spans="12:76" s="3" customFormat="1" x14ac:dyDescent="0.25">
      <c r="L132" s="1"/>
      <c r="M132" s="1"/>
      <c r="N132" s="25"/>
      <c r="O132" s="8"/>
      <c r="P132" s="8"/>
      <c r="Q132" s="4"/>
      <c r="R132" s="8"/>
      <c r="S132" s="8"/>
      <c r="T132" s="8"/>
      <c r="U132" s="8"/>
      <c r="V132" s="8"/>
      <c r="W132" s="8"/>
      <c r="X132" s="8"/>
      <c r="Y132" s="8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</row>
    <row r="133" spans="12:76" s="3" customFormat="1" x14ac:dyDescent="0.25">
      <c r="L133" s="1"/>
      <c r="M133" s="1"/>
      <c r="N133" s="25"/>
      <c r="O133" s="8"/>
      <c r="P133" s="8"/>
      <c r="Q133" s="4"/>
      <c r="R133" s="8"/>
      <c r="S133" s="8"/>
      <c r="T133" s="8"/>
      <c r="U133" s="8"/>
      <c r="V133" s="8"/>
      <c r="W133" s="8"/>
      <c r="X133" s="8"/>
      <c r="Y133" s="8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</row>
    <row r="134" spans="12:76" s="3" customFormat="1" x14ac:dyDescent="0.25">
      <c r="L134" s="1"/>
      <c r="M134" s="1"/>
      <c r="N134" s="25"/>
      <c r="O134" s="8"/>
      <c r="P134" s="8"/>
      <c r="Q134" s="4"/>
      <c r="R134" s="8"/>
      <c r="S134" s="8"/>
      <c r="T134" s="8"/>
      <c r="U134" s="8"/>
      <c r="V134" s="8"/>
      <c r="W134" s="8"/>
      <c r="X134" s="8"/>
      <c r="Y134" s="8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</row>
    <row r="135" spans="12:76" s="3" customFormat="1" x14ac:dyDescent="0.25">
      <c r="L135" s="1"/>
      <c r="M135" s="1"/>
      <c r="N135" s="25"/>
      <c r="O135" s="8"/>
      <c r="P135" s="8"/>
      <c r="Q135" s="4"/>
      <c r="R135" s="8"/>
      <c r="S135" s="8"/>
      <c r="T135" s="8"/>
      <c r="U135" s="8"/>
      <c r="V135" s="8"/>
      <c r="W135" s="8"/>
      <c r="X135" s="8"/>
      <c r="Y135" s="8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</row>
    <row r="136" spans="12:76" s="3" customFormat="1" x14ac:dyDescent="0.25">
      <c r="L136" s="1"/>
      <c r="M136" s="1"/>
      <c r="N136" s="25"/>
      <c r="O136" s="8"/>
      <c r="P136" s="8"/>
      <c r="Q136" s="4"/>
      <c r="R136" s="8"/>
      <c r="S136" s="8"/>
      <c r="T136" s="8"/>
      <c r="U136" s="8"/>
      <c r="V136" s="8"/>
      <c r="W136" s="8"/>
      <c r="X136" s="8"/>
      <c r="Y136" s="8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</row>
    <row r="137" spans="12:76" s="3" customFormat="1" x14ac:dyDescent="0.25">
      <c r="L137" s="1"/>
      <c r="M137" s="1"/>
      <c r="N137" s="25"/>
      <c r="O137" s="8"/>
      <c r="P137" s="8"/>
      <c r="Q137" s="4"/>
      <c r="R137" s="8"/>
      <c r="S137" s="8"/>
      <c r="T137" s="8"/>
      <c r="U137" s="8"/>
      <c r="V137" s="8"/>
      <c r="W137" s="8"/>
      <c r="X137" s="8"/>
      <c r="Y137" s="8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</row>
    <row r="138" spans="12:76" s="3" customFormat="1" x14ac:dyDescent="0.25">
      <c r="L138" s="1"/>
      <c r="M138" s="1"/>
      <c r="N138" s="25"/>
      <c r="O138" s="8"/>
      <c r="P138" s="8"/>
      <c r="Q138" s="4"/>
      <c r="R138" s="8"/>
      <c r="S138" s="8"/>
      <c r="T138" s="8"/>
      <c r="U138" s="8"/>
      <c r="V138" s="8"/>
      <c r="W138" s="8"/>
      <c r="X138" s="8"/>
      <c r="Y138" s="8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</row>
    <row r="139" spans="12:76" s="3" customFormat="1" x14ac:dyDescent="0.25">
      <c r="L139" s="1"/>
      <c r="M139" s="1"/>
      <c r="N139" s="25"/>
      <c r="O139" s="8"/>
      <c r="P139" s="8"/>
      <c r="Q139" s="4"/>
      <c r="R139" s="8"/>
      <c r="S139" s="8"/>
      <c r="T139" s="8"/>
      <c r="U139" s="8"/>
      <c r="V139" s="8"/>
      <c r="W139" s="8"/>
      <c r="X139" s="8"/>
      <c r="Y139" s="8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</row>
    <row r="140" spans="12:76" s="3" customFormat="1" x14ac:dyDescent="0.25">
      <c r="L140" s="1"/>
      <c r="M140" s="1"/>
      <c r="N140" s="25"/>
      <c r="O140" s="8"/>
      <c r="P140" s="8"/>
      <c r="Q140" s="4"/>
      <c r="R140" s="8"/>
      <c r="S140" s="8"/>
      <c r="T140" s="8"/>
      <c r="U140" s="8"/>
      <c r="V140" s="8"/>
      <c r="W140" s="8"/>
      <c r="X140" s="8"/>
      <c r="Y140" s="8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</row>
    <row r="141" spans="12:76" s="3" customFormat="1" x14ac:dyDescent="0.25">
      <c r="L141" s="1"/>
      <c r="M141" s="1"/>
      <c r="N141" s="25"/>
      <c r="O141" s="8"/>
      <c r="P141" s="8"/>
      <c r="Q141" s="4"/>
      <c r="R141" s="8"/>
      <c r="S141" s="8"/>
      <c r="T141" s="8"/>
      <c r="U141" s="8"/>
      <c r="V141" s="8"/>
      <c r="W141" s="8"/>
      <c r="X141" s="8"/>
      <c r="Y141" s="8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</row>
    <row r="142" spans="12:76" s="3" customFormat="1" x14ac:dyDescent="0.25">
      <c r="L142" s="1"/>
      <c r="M142" s="1"/>
      <c r="N142" s="25"/>
      <c r="O142" s="8"/>
      <c r="P142" s="8"/>
      <c r="Q142" s="4"/>
      <c r="R142" s="8"/>
      <c r="S142" s="8"/>
      <c r="T142" s="8"/>
      <c r="U142" s="8"/>
      <c r="V142" s="8"/>
      <c r="W142" s="8"/>
      <c r="X142" s="8"/>
      <c r="Y142" s="8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</row>
    <row r="143" spans="12:76" s="3" customFormat="1" x14ac:dyDescent="0.25">
      <c r="L143" s="1"/>
      <c r="M143" s="1"/>
      <c r="N143" s="27"/>
      <c r="O143" s="10"/>
      <c r="P143" s="10"/>
      <c r="Q143" s="12"/>
      <c r="R143" s="10"/>
      <c r="S143" s="10"/>
      <c r="T143" s="10"/>
      <c r="U143" s="10"/>
      <c r="V143" s="10"/>
      <c r="W143" s="10"/>
      <c r="X143" s="10"/>
      <c r="Y143" s="10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</row>
    <row r="144" spans="12:76" s="3" customFormat="1" x14ac:dyDescent="0.25">
      <c r="L144" s="1"/>
      <c r="M144" s="1"/>
      <c r="N144" s="27"/>
      <c r="O144" s="10"/>
      <c r="P144" s="10"/>
      <c r="Q144" s="12"/>
      <c r="R144" s="10"/>
      <c r="S144" s="10"/>
      <c r="T144" s="10"/>
      <c r="U144" s="10"/>
      <c r="V144" s="10"/>
      <c r="W144" s="10"/>
      <c r="X144" s="10"/>
      <c r="Y144" s="10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</row>
    <row r="145" spans="12:76" s="3" customFormat="1" x14ac:dyDescent="0.25">
      <c r="L145" s="1"/>
      <c r="M145" s="1"/>
      <c r="N145" s="27"/>
      <c r="O145" s="10"/>
      <c r="P145" s="10"/>
      <c r="Q145" s="12"/>
      <c r="R145" s="10"/>
      <c r="S145" s="10"/>
      <c r="T145" s="10"/>
      <c r="U145" s="10"/>
      <c r="V145" s="10"/>
      <c r="W145" s="10"/>
      <c r="X145" s="10"/>
      <c r="Y145" s="10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</row>
    <row r="146" spans="12:76" s="3" customFormat="1" x14ac:dyDescent="0.25">
      <c r="L146" s="1"/>
      <c r="M146" s="1"/>
      <c r="N146" s="27"/>
      <c r="O146" s="10"/>
      <c r="P146" s="10"/>
      <c r="Q146" s="12"/>
      <c r="R146" s="10"/>
      <c r="S146" s="10"/>
      <c r="T146" s="10"/>
      <c r="U146" s="10"/>
      <c r="V146" s="10"/>
      <c r="W146" s="10"/>
      <c r="X146" s="10"/>
      <c r="Y146" s="10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</row>
    <row r="147" spans="12:76" s="3" customFormat="1" x14ac:dyDescent="0.25">
      <c r="L147" s="1"/>
      <c r="M147" s="1"/>
      <c r="N147" s="27"/>
      <c r="O147" s="10"/>
      <c r="P147" s="10"/>
      <c r="Q147" s="12"/>
      <c r="R147" s="10"/>
      <c r="S147" s="10"/>
      <c r="T147" s="10"/>
      <c r="U147" s="10"/>
      <c r="V147" s="10"/>
      <c r="W147" s="10"/>
      <c r="X147" s="10"/>
      <c r="Y147" s="10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</row>
    <row r="148" spans="12:76" s="3" customFormat="1" x14ac:dyDescent="0.25">
      <c r="L148" s="1"/>
      <c r="M148" s="1"/>
      <c r="N148" s="27"/>
      <c r="O148" s="10"/>
      <c r="P148" s="10"/>
      <c r="Q148" s="12"/>
      <c r="R148" s="10"/>
      <c r="S148" s="10"/>
      <c r="T148" s="10"/>
      <c r="U148" s="10"/>
      <c r="V148" s="10"/>
      <c r="W148" s="10"/>
      <c r="X148" s="10"/>
      <c r="Y148" s="10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</row>
    <row r="149" spans="12:76" s="3" customFormat="1" x14ac:dyDescent="0.25">
      <c r="L149" s="1"/>
      <c r="M149" s="1"/>
      <c r="N149" s="27"/>
      <c r="O149" s="10"/>
      <c r="P149" s="10"/>
      <c r="Q149" s="12"/>
      <c r="R149" s="10"/>
      <c r="S149" s="10"/>
      <c r="T149" s="10"/>
      <c r="U149" s="10"/>
      <c r="V149" s="10"/>
      <c r="W149" s="10"/>
      <c r="X149" s="10"/>
      <c r="Y149" s="10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</row>
    <row r="150" spans="12:76" s="3" customFormat="1" x14ac:dyDescent="0.25">
      <c r="L150" s="1"/>
      <c r="M150" s="1"/>
      <c r="N150" s="27"/>
      <c r="O150" s="10"/>
      <c r="P150" s="10"/>
      <c r="Q150" s="12"/>
      <c r="R150" s="10"/>
      <c r="S150" s="10"/>
      <c r="T150" s="10"/>
      <c r="U150" s="10"/>
      <c r="V150" s="10"/>
      <c r="W150" s="10"/>
      <c r="X150" s="10"/>
      <c r="Y150" s="10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</row>
    <row r="151" spans="12:76" s="3" customFormat="1" x14ac:dyDescent="0.25">
      <c r="L151" s="1"/>
      <c r="M151" s="1"/>
      <c r="N151" s="27"/>
      <c r="O151" s="10"/>
      <c r="P151" s="10"/>
      <c r="Q151" s="12"/>
      <c r="R151" s="10"/>
      <c r="S151" s="10"/>
      <c r="T151" s="10"/>
      <c r="U151" s="10"/>
      <c r="V151" s="10"/>
      <c r="W151" s="10"/>
      <c r="X151" s="10"/>
      <c r="Y151" s="10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</row>
    <row r="152" spans="12:76" s="3" customFormat="1" x14ac:dyDescent="0.25">
      <c r="L152" s="1"/>
      <c r="M152" s="1"/>
      <c r="N152" s="27"/>
      <c r="O152" s="10"/>
      <c r="P152" s="10"/>
      <c r="Q152" s="12"/>
      <c r="R152" s="10"/>
      <c r="S152" s="10"/>
      <c r="T152" s="10"/>
      <c r="U152" s="10"/>
      <c r="V152" s="10"/>
      <c r="W152" s="10"/>
      <c r="X152" s="10"/>
      <c r="Y152" s="10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</row>
    <row r="153" spans="12:76" s="3" customFormat="1" x14ac:dyDescent="0.25">
      <c r="L153" s="1"/>
      <c r="M153" s="1"/>
      <c r="N153" s="27"/>
      <c r="O153" s="10"/>
      <c r="P153" s="10"/>
      <c r="Q153" s="12"/>
      <c r="R153" s="10"/>
      <c r="S153" s="10"/>
      <c r="T153" s="10"/>
      <c r="U153" s="10"/>
      <c r="V153" s="10"/>
      <c r="W153" s="10"/>
      <c r="X153" s="10"/>
      <c r="Y153" s="10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</row>
    <row r="154" spans="12:76" s="3" customFormat="1" x14ac:dyDescent="0.25">
      <c r="L154" s="1"/>
      <c r="M154" s="1"/>
      <c r="N154" s="27"/>
      <c r="O154" s="10"/>
      <c r="P154" s="10"/>
      <c r="Q154" s="12"/>
      <c r="R154" s="10"/>
      <c r="S154" s="10"/>
      <c r="T154" s="10"/>
      <c r="U154" s="10"/>
      <c r="V154" s="10"/>
      <c r="W154" s="10"/>
      <c r="X154" s="10"/>
      <c r="Y154" s="10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</row>
    <row r="155" spans="12:76" s="3" customFormat="1" x14ac:dyDescent="0.25">
      <c r="L155" s="1"/>
      <c r="M155" s="1"/>
      <c r="N155" s="27"/>
      <c r="O155" s="10"/>
      <c r="P155" s="10"/>
      <c r="Q155" s="12"/>
      <c r="R155" s="10"/>
      <c r="S155" s="10"/>
      <c r="T155" s="10"/>
      <c r="U155" s="10"/>
      <c r="V155" s="10"/>
      <c r="W155" s="10"/>
      <c r="X155" s="10"/>
      <c r="Y155" s="10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</row>
    <row r="156" spans="12:76" s="3" customFormat="1" x14ac:dyDescent="0.25">
      <c r="L156" s="1"/>
      <c r="M156" s="1"/>
      <c r="N156" s="27"/>
      <c r="O156" s="10"/>
      <c r="P156" s="10"/>
      <c r="Q156" s="12"/>
      <c r="R156" s="10"/>
      <c r="S156" s="10"/>
      <c r="T156" s="10"/>
      <c r="U156" s="10"/>
      <c r="V156" s="10"/>
      <c r="W156" s="10"/>
      <c r="X156" s="10"/>
      <c r="Y156" s="10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</row>
    <row r="157" spans="12:76" s="3" customFormat="1" x14ac:dyDescent="0.25">
      <c r="L157" s="1"/>
      <c r="M157" s="1"/>
      <c r="N157" s="27"/>
      <c r="O157" s="10"/>
      <c r="P157" s="10"/>
      <c r="Q157" s="12"/>
      <c r="R157" s="10"/>
      <c r="S157" s="10"/>
      <c r="T157" s="10"/>
      <c r="U157" s="10"/>
      <c r="V157" s="10"/>
      <c r="W157" s="10"/>
      <c r="X157" s="10"/>
      <c r="Y157" s="10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</row>
    <row r="158" spans="12:76" s="3" customFormat="1" x14ac:dyDescent="0.25">
      <c r="L158" s="1"/>
      <c r="M158" s="1"/>
      <c r="N158" s="27"/>
      <c r="O158" s="10"/>
      <c r="P158" s="10"/>
      <c r="Q158" s="12"/>
      <c r="R158" s="10"/>
      <c r="S158" s="10"/>
      <c r="T158" s="10"/>
      <c r="U158" s="10"/>
      <c r="V158" s="10"/>
      <c r="W158" s="10"/>
      <c r="X158" s="10"/>
      <c r="Y158" s="10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</row>
    <row r="159" spans="12:76" s="3" customFormat="1" x14ac:dyDescent="0.25">
      <c r="L159" s="1"/>
      <c r="M159" s="1"/>
      <c r="N159" s="27"/>
      <c r="O159" s="10"/>
      <c r="P159" s="10"/>
      <c r="Q159" s="12"/>
      <c r="R159" s="10"/>
      <c r="S159" s="10"/>
      <c r="T159" s="10"/>
      <c r="U159" s="10"/>
      <c r="V159" s="10"/>
      <c r="W159" s="10"/>
      <c r="X159" s="10"/>
      <c r="Y159" s="10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</row>
    <row r="160" spans="12:76" s="3" customFormat="1" x14ac:dyDescent="0.25">
      <c r="L160" s="1"/>
      <c r="M160" s="1"/>
      <c r="N160" s="27"/>
      <c r="O160" s="10"/>
      <c r="P160" s="10"/>
      <c r="Q160" s="12"/>
      <c r="R160" s="10"/>
      <c r="S160" s="10"/>
      <c r="T160" s="10"/>
      <c r="U160" s="10"/>
      <c r="V160" s="10"/>
      <c r="W160" s="10"/>
      <c r="X160" s="10"/>
      <c r="Y160" s="10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</row>
    <row r="161" spans="12:76" s="3" customFormat="1" x14ac:dyDescent="0.25">
      <c r="L161" s="1"/>
      <c r="M161" s="1"/>
      <c r="N161" s="27"/>
      <c r="O161" s="10"/>
      <c r="P161" s="10"/>
      <c r="Q161" s="12"/>
      <c r="R161" s="10"/>
      <c r="S161" s="10"/>
      <c r="T161" s="10"/>
      <c r="U161" s="10"/>
      <c r="V161" s="10"/>
      <c r="W161" s="10"/>
      <c r="X161" s="10"/>
      <c r="Y161" s="10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</row>
    <row r="162" spans="12:76" s="3" customFormat="1" x14ac:dyDescent="0.25">
      <c r="L162" s="1"/>
      <c r="M162" s="1"/>
      <c r="N162" s="27"/>
      <c r="O162" s="10"/>
      <c r="P162" s="10"/>
      <c r="Q162" s="12"/>
      <c r="R162" s="10"/>
      <c r="S162" s="10"/>
      <c r="T162" s="10"/>
      <c r="U162" s="10"/>
      <c r="V162" s="10"/>
      <c r="W162" s="10"/>
      <c r="X162" s="10"/>
      <c r="Y162" s="10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</row>
    <row r="163" spans="12:76" s="3" customFormat="1" x14ac:dyDescent="0.25">
      <c r="L163" s="1"/>
      <c r="M163" s="1"/>
      <c r="N163" s="27"/>
      <c r="O163" s="10"/>
      <c r="P163" s="10"/>
      <c r="Q163" s="12"/>
      <c r="R163" s="10"/>
      <c r="S163" s="10"/>
      <c r="T163" s="10"/>
      <c r="U163" s="10"/>
      <c r="V163" s="10"/>
      <c r="W163" s="10"/>
      <c r="X163" s="10"/>
      <c r="Y163" s="10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</row>
    <row r="164" spans="12:76" s="3" customFormat="1" x14ac:dyDescent="0.25">
      <c r="L164" s="1"/>
      <c r="M164" s="1"/>
      <c r="N164" s="27"/>
      <c r="O164" s="10"/>
      <c r="P164" s="10"/>
      <c r="Q164" s="12"/>
      <c r="R164" s="10"/>
      <c r="S164" s="10"/>
      <c r="T164" s="10"/>
      <c r="U164" s="10"/>
      <c r="V164" s="10"/>
      <c r="W164" s="10"/>
      <c r="X164" s="10"/>
      <c r="Y164" s="10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</row>
    <row r="165" spans="12:76" s="3" customFormat="1" x14ac:dyDescent="0.25">
      <c r="L165" s="1"/>
      <c r="M165" s="1"/>
      <c r="N165" s="27"/>
      <c r="O165" s="10"/>
      <c r="P165" s="10"/>
      <c r="Q165" s="12"/>
      <c r="R165" s="10"/>
      <c r="S165" s="10"/>
      <c r="T165" s="10"/>
      <c r="U165" s="10"/>
      <c r="V165" s="10"/>
      <c r="W165" s="10"/>
      <c r="X165" s="10"/>
      <c r="Y165" s="10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</row>
    <row r="166" spans="12:76" s="3" customFormat="1" x14ac:dyDescent="0.25">
      <c r="L166" s="1"/>
      <c r="M166" s="1"/>
      <c r="N166" s="27"/>
      <c r="O166" s="10"/>
      <c r="P166" s="10"/>
      <c r="Q166" s="12"/>
      <c r="R166" s="10"/>
      <c r="S166" s="10"/>
      <c r="T166" s="10"/>
      <c r="U166" s="10"/>
      <c r="V166" s="10"/>
      <c r="W166" s="10"/>
      <c r="X166" s="10"/>
      <c r="Y166" s="10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</row>
    <row r="167" spans="12:76" s="3" customFormat="1" x14ac:dyDescent="0.25">
      <c r="L167" s="1"/>
      <c r="M167" s="1"/>
      <c r="N167" s="27"/>
      <c r="O167" s="10"/>
      <c r="P167" s="10"/>
      <c r="Q167" s="12"/>
      <c r="R167" s="10"/>
      <c r="S167" s="10"/>
      <c r="T167" s="10"/>
      <c r="U167" s="10"/>
      <c r="V167" s="10"/>
      <c r="W167" s="10"/>
      <c r="X167" s="10"/>
      <c r="Y167" s="10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</row>
    <row r="168" spans="12:76" s="3" customFormat="1" x14ac:dyDescent="0.25">
      <c r="L168" s="1"/>
      <c r="M168" s="1"/>
      <c r="N168" s="27"/>
      <c r="O168" s="10"/>
      <c r="P168" s="10"/>
      <c r="Q168" s="12"/>
      <c r="R168" s="10"/>
      <c r="S168" s="10"/>
      <c r="T168" s="10"/>
      <c r="U168" s="10"/>
      <c r="V168" s="10"/>
      <c r="W168" s="10"/>
      <c r="X168" s="10"/>
      <c r="Y168" s="10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</row>
    <row r="169" spans="12:76" s="3" customFormat="1" x14ac:dyDescent="0.25">
      <c r="L169" s="1"/>
      <c r="M169" s="1"/>
      <c r="N169" s="27"/>
      <c r="O169" s="10"/>
      <c r="P169" s="10"/>
      <c r="Q169" s="12"/>
      <c r="R169" s="10"/>
      <c r="S169" s="10"/>
      <c r="T169" s="10"/>
      <c r="U169" s="10"/>
      <c r="V169" s="10"/>
      <c r="W169" s="10"/>
      <c r="X169" s="10"/>
      <c r="Y169" s="10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</row>
    <row r="170" spans="12:76" s="3" customFormat="1" x14ac:dyDescent="0.25">
      <c r="L170" s="1"/>
      <c r="M170" s="1"/>
      <c r="N170" s="27"/>
      <c r="O170" s="10"/>
      <c r="P170" s="10"/>
      <c r="Q170" s="12"/>
      <c r="R170" s="10"/>
      <c r="S170" s="10"/>
      <c r="T170" s="10"/>
      <c r="U170" s="10"/>
      <c r="V170" s="10"/>
      <c r="W170" s="10"/>
      <c r="X170" s="10"/>
      <c r="Y170" s="10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</row>
    <row r="171" spans="12:76" s="3" customFormat="1" x14ac:dyDescent="0.25">
      <c r="L171" s="1"/>
      <c r="M171" s="1"/>
      <c r="N171" s="27"/>
      <c r="O171" s="10"/>
      <c r="P171" s="10"/>
      <c r="Q171" s="12"/>
      <c r="R171" s="10"/>
      <c r="S171" s="10"/>
      <c r="T171" s="10"/>
      <c r="U171" s="10"/>
      <c r="V171" s="10"/>
      <c r="W171" s="10"/>
      <c r="X171" s="10"/>
      <c r="Y171" s="10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</row>
    <row r="172" spans="12:76" s="3" customFormat="1" x14ac:dyDescent="0.25">
      <c r="L172" s="1"/>
      <c r="M172" s="1"/>
      <c r="N172" s="27"/>
      <c r="O172" s="10"/>
      <c r="P172" s="10"/>
      <c r="Q172" s="12"/>
      <c r="R172" s="10"/>
      <c r="S172" s="10"/>
      <c r="T172" s="10"/>
      <c r="U172" s="10"/>
      <c r="V172" s="10"/>
      <c r="W172" s="10"/>
      <c r="X172" s="10"/>
      <c r="Y172" s="10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</row>
    <row r="173" spans="12:76" s="3" customFormat="1" x14ac:dyDescent="0.25">
      <c r="L173" s="1"/>
      <c r="M173" s="1"/>
      <c r="N173" s="27"/>
      <c r="O173" s="10"/>
      <c r="P173" s="10"/>
      <c r="Q173" s="12"/>
      <c r="R173" s="10"/>
      <c r="S173" s="10"/>
      <c r="T173" s="10"/>
      <c r="U173" s="10"/>
      <c r="V173" s="10"/>
      <c r="W173" s="10"/>
      <c r="X173" s="10"/>
      <c r="Y173" s="10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</row>
    <row r="174" spans="12:76" s="3" customFormat="1" x14ac:dyDescent="0.25">
      <c r="L174" s="1"/>
      <c r="M174" s="1"/>
      <c r="N174" s="27"/>
      <c r="O174" s="10"/>
      <c r="P174" s="10"/>
      <c r="Q174" s="12"/>
      <c r="R174" s="10"/>
      <c r="S174" s="10"/>
      <c r="T174" s="10"/>
      <c r="U174" s="10"/>
      <c r="V174" s="10"/>
      <c r="W174" s="10"/>
      <c r="X174" s="10"/>
      <c r="Y174" s="10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</row>
    <row r="175" spans="12:76" s="3" customFormat="1" x14ac:dyDescent="0.25">
      <c r="L175" s="1"/>
      <c r="M175" s="1"/>
      <c r="N175" s="27"/>
      <c r="O175" s="10"/>
      <c r="P175" s="10"/>
      <c r="Q175" s="12"/>
      <c r="R175" s="10"/>
      <c r="S175" s="10"/>
      <c r="T175" s="10"/>
      <c r="U175" s="10"/>
      <c r="V175" s="10"/>
      <c r="W175" s="10"/>
      <c r="X175" s="10"/>
      <c r="Y175" s="10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</row>
    <row r="176" spans="12:76" s="3" customFormat="1" x14ac:dyDescent="0.25">
      <c r="L176" s="1"/>
      <c r="M176" s="1"/>
      <c r="N176" s="27"/>
      <c r="O176" s="10"/>
      <c r="P176" s="10"/>
      <c r="Q176" s="12"/>
      <c r="R176" s="10"/>
      <c r="S176" s="10"/>
      <c r="T176" s="10"/>
      <c r="U176" s="10"/>
      <c r="V176" s="10"/>
      <c r="W176" s="10"/>
      <c r="X176" s="10"/>
      <c r="Y176" s="10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</row>
    <row r="177" spans="12:76" s="3" customFormat="1" x14ac:dyDescent="0.25">
      <c r="L177" s="1"/>
      <c r="M177" s="1"/>
      <c r="N177" s="27"/>
      <c r="O177" s="10"/>
      <c r="P177" s="10"/>
      <c r="Q177" s="12"/>
      <c r="R177" s="10"/>
      <c r="S177" s="10"/>
      <c r="T177" s="10"/>
      <c r="U177" s="10"/>
      <c r="V177" s="10"/>
      <c r="W177" s="10"/>
      <c r="X177" s="10"/>
      <c r="Y177" s="10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</row>
    <row r="178" spans="12:76" s="3" customFormat="1" x14ac:dyDescent="0.25">
      <c r="L178" s="1"/>
      <c r="M178" s="1"/>
      <c r="N178" s="27"/>
      <c r="O178" s="10"/>
      <c r="P178" s="10"/>
      <c r="Q178" s="12"/>
      <c r="R178" s="10"/>
      <c r="S178" s="10"/>
      <c r="T178" s="10"/>
      <c r="U178" s="10"/>
      <c r="V178" s="10"/>
      <c r="W178" s="10"/>
      <c r="X178" s="10"/>
      <c r="Y178" s="10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</row>
    <row r="179" spans="12:76" s="3" customFormat="1" x14ac:dyDescent="0.25">
      <c r="L179" s="1"/>
      <c r="M179" s="1"/>
      <c r="N179" s="27"/>
      <c r="O179" s="10"/>
      <c r="P179" s="10"/>
      <c r="Q179" s="12"/>
      <c r="R179" s="10"/>
      <c r="S179" s="10"/>
      <c r="T179" s="10"/>
      <c r="U179" s="10"/>
      <c r="V179" s="10"/>
      <c r="W179" s="10"/>
      <c r="X179" s="10"/>
      <c r="Y179" s="10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</row>
    <row r="180" spans="12:76" s="3" customFormat="1" x14ac:dyDescent="0.25">
      <c r="L180" s="1"/>
      <c r="M180" s="1"/>
      <c r="N180" s="27"/>
      <c r="O180" s="10"/>
      <c r="P180" s="10"/>
      <c r="Q180" s="12"/>
      <c r="R180" s="10"/>
      <c r="S180" s="10"/>
      <c r="T180" s="10"/>
      <c r="U180" s="10"/>
      <c r="V180" s="10"/>
      <c r="W180" s="10"/>
      <c r="X180" s="10"/>
      <c r="Y180" s="10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</row>
    <row r="181" spans="12:76" s="3" customFormat="1" x14ac:dyDescent="0.25">
      <c r="L181" s="1"/>
      <c r="M181" s="1"/>
      <c r="N181" s="27"/>
      <c r="O181" s="10"/>
      <c r="P181" s="10"/>
      <c r="Q181" s="12"/>
      <c r="R181" s="10"/>
      <c r="S181" s="10"/>
      <c r="T181" s="10"/>
      <c r="U181" s="10"/>
      <c r="V181" s="10"/>
      <c r="W181" s="10"/>
      <c r="X181" s="10"/>
      <c r="Y181" s="10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</row>
    <row r="182" spans="12:76" s="3" customFormat="1" x14ac:dyDescent="0.25">
      <c r="L182" s="1"/>
      <c r="M182" s="1"/>
      <c r="N182" s="27"/>
      <c r="O182" s="10"/>
      <c r="P182" s="10"/>
      <c r="Q182" s="12"/>
      <c r="R182" s="10"/>
      <c r="S182" s="10"/>
      <c r="T182" s="10"/>
      <c r="U182" s="10"/>
      <c r="V182" s="10"/>
      <c r="W182" s="10"/>
      <c r="X182" s="10"/>
      <c r="Y182" s="10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</row>
    <row r="183" spans="12:76" s="3" customFormat="1" x14ac:dyDescent="0.25">
      <c r="L183" s="1"/>
      <c r="M183" s="1"/>
      <c r="N183" s="27"/>
      <c r="O183" s="10"/>
      <c r="P183" s="10"/>
      <c r="Q183" s="12"/>
      <c r="R183" s="10"/>
      <c r="S183" s="10"/>
      <c r="T183" s="10"/>
      <c r="U183" s="10"/>
      <c r="V183" s="10"/>
      <c r="W183" s="10"/>
      <c r="X183" s="10"/>
      <c r="Y183" s="10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</row>
    <row r="184" spans="12:76" s="3" customFormat="1" x14ac:dyDescent="0.25">
      <c r="L184" s="1"/>
      <c r="M184" s="1"/>
      <c r="N184" s="27"/>
      <c r="O184" s="10"/>
      <c r="P184" s="10"/>
      <c r="Q184" s="12"/>
      <c r="R184" s="10"/>
      <c r="S184" s="10"/>
      <c r="T184" s="10"/>
      <c r="U184" s="10"/>
      <c r="V184" s="10"/>
      <c r="W184" s="10"/>
      <c r="X184" s="10"/>
      <c r="Y184" s="10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</row>
    <row r="185" spans="12:76" s="3" customFormat="1" x14ac:dyDescent="0.25">
      <c r="L185" s="1"/>
      <c r="M185" s="1"/>
      <c r="N185" s="27"/>
      <c r="O185" s="10"/>
      <c r="P185" s="10"/>
      <c r="Q185" s="12"/>
      <c r="R185" s="10"/>
      <c r="S185" s="10"/>
      <c r="T185" s="10"/>
      <c r="U185" s="10"/>
      <c r="V185" s="10"/>
      <c r="W185" s="10"/>
      <c r="X185" s="10"/>
      <c r="Y185" s="10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</row>
    <row r="186" spans="12:76" s="3" customFormat="1" x14ac:dyDescent="0.25">
      <c r="L186" s="1"/>
      <c r="M186" s="1"/>
      <c r="N186" s="27"/>
      <c r="O186" s="10"/>
      <c r="P186" s="10"/>
      <c r="Q186" s="12"/>
      <c r="R186" s="10"/>
      <c r="S186" s="10"/>
      <c r="T186" s="10"/>
      <c r="U186" s="10"/>
      <c r="V186" s="10"/>
      <c r="W186" s="10"/>
      <c r="X186" s="10"/>
      <c r="Y186" s="10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</row>
    <row r="187" spans="12:76" s="3" customFormat="1" x14ac:dyDescent="0.25">
      <c r="L187" s="1"/>
      <c r="M187" s="1"/>
      <c r="N187" s="27"/>
      <c r="O187" s="10"/>
      <c r="P187" s="10"/>
      <c r="Q187" s="12"/>
      <c r="R187" s="10"/>
      <c r="S187" s="10"/>
      <c r="T187" s="10"/>
      <c r="U187" s="10"/>
      <c r="V187" s="10"/>
      <c r="W187" s="10"/>
      <c r="X187" s="10"/>
      <c r="Y187" s="10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500C_5mm_coated+swapped+dewar</vt:lpstr>
      <vt:lpstr>600C_5mm_coated+swapped+dewar</vt:lpstr>
      <vt:lpstr>700C_5 mm_coated+swapped+dewar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2026-03-24T17:34:29Z</dcterms:modified>
</cp:coreProperties>
</file>