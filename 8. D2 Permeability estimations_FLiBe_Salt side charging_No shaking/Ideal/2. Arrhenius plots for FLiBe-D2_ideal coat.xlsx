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2. SM Project\Experimental work\Paper draft\10. Final comments_Prof. Short\Repo\7. D2 Permeability estimations_FLiBe_Salt side charging_No shaking\Ideal\"/>
    </mc:Choice>
  </mc:AlternateContent>
  <xr:revisionPtr revIDLastSave="0" documentId="13_ncr:1_{A21AC283-AE88-47F0-8DBC-7932A091D584}" xr6:coauthVersionLast="47" xr6:coauthVersionMax="47" xr10:uidLastSave="{00000000-0000-0000-0000-000000000000}"/>
  <bookViews>
    <workbookView xWindow="-108" yWindow="-108" windowWidth="23256" windowHeight="12456" tabRatio="711" xr2:uid="{00000000-000D-0000-FFFF-FFFF00000000}"/>
  </bookViews>
  <sheets>
    <sheet name="1D Ø Arrhenius_FLiBe 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20" l="1"/>
  <c r="K34" i="20"/>
  <c r="D30" i="20"/>
  <c r="D31" i="20"/>
  <c r="D29" i="20"/>
  <c r="D3" i="20"/>
  <c r="D4" i="20"/>
  <c r="D2" i="20"/>
  <c r="E31" i="20" l="1"/>
  <c r="E4" i="20"/>
  <c r="B30" i="20" l="1"/>
  <c r="B31" i="20"/>
  <c r="B29" i="20"/>
  <c r="B4" i="20"/>
  <c r="E30" i="20" l="1"/>
  <c r="M29" i="20"/>
  <c r="M30" i="20" s="1"/>
  <c r="J29" i="20"/>
  <c r="J30" i="20" s="1"/>
  <c r="J31" i="20" s="1"/>
  <c r="E29" i="20"/>
  <c r="E3" i="20"/>
  <c r="B3" i="20"/>
  <c r="M2" i="20"/>
  <c r="M3" i="20" s="1"/>
  <c r="J2" i="20"/>
  <c r="J3" i="20" s="1"/>
  <c r="J4" i="20" s="1"/>
  <c r="E2" i="20"/>
  <c r="B2" i="20"/>
</calcChain>
</file>

<file path=xl/sharedStrings.xml><?xml version="1.0" encoding="utf-8"?>
<sst xmlns="http://schemas.openxmlformats.org/spreadsheetml/2006/main" count="26" uniqueCount="15">
  <si>
    <t>T</t>
  </si>
  <si>
    <t>1/T (1/K)</t>
  </si>
  <si>
    <t>Slope</t>
  </si>
  <si>
    <t>Y-intercept</t>
  </si>
  <si>
    <t>Value checks and calculations</t>
  </si>
  <si>
    <r>
      <t xml:space="preserve"> Ø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(D2/m.s.Pa)</t>
    </r>
  </si>
  <si>
    <r>
      <t>Uncertainty in Ø</t>
    </r>
    <r>
      <rPr>
        <b/>
        <vertAlign val="subscript"/>
        <sz val="11"/>
        <rFont val="Times New Roman"/>
        <family val="1"/>
      </rPr>
      <t>FLiBe</t>
    </r>
  </si>
  <si>
    <r>
      <t>ln  Ø</t>
    </r>
    <r>
      <rPr>
        <b/>
        <vertAlign val="subscript"/>
        <sz val="11"/>
        <rFont val="Times New Roman"/>
        <family val="1"/>
      </rPr>
      <t>FLiBe</t>
    </r>
  </si>
  <si>
    <r>
      <t xml:space="preserve"> Ø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(mol D2/m.s.Pa)</t>
    </r>
  </si>
  <si>
    <r>
      <t>(-E</t>
    </r>
    <r>
      <rPr>
        <vertAlign val="subscript"/>
        <sz val="11"/>
        <rFont val="Times New Roman"/>
        <family val="1"/>
      </rPr>
      <t>Ø</t>
    </r>
    <r>
      <rPr>
        <sz val="11"/>
        <rFont val="Calibri"/>
        <family val="2"/>
        <scheme val="minor"/>
      </rPr>
      <t>/R)</t>
    </r>
  </si>
  <si>
    <r>
      <t>E</t>
    </r>
    <r>
      <rPr>
        <vertAlign val="subscript"/>
        <sz val="11"/>
        <rFont val="Calibri"/>
        <family val="2"/>
        <scheme val="minor"/>
      </rPr>
      <t>Ø</t>
    </r>
    <r>
      <rPr>
        <sz val="11"/>
        <rFont val="Calibri"/>
        <family val="2"/>
        <scheme val="minor"/>
      </rPr>
      <t>/R</t>
    </r>
  </si>
  <si>
    <r>
      <t>E</t>
    </r>
    <r>
      <rPr>
        <b/>
        <vertAlign val="subscript"/>
        <sz val="11"/>
        <rFont val="Calibri"/>
        <family val="2"/>
        <scheme val="minor"/>
      </rPr>
      <t>Ø</t>
    </r>
  </si>
  <si>
    <r>
      <t xml:space="preserve">ln </t>
    </r>
    <r>
      <rPr>
        <sz val="11"/>
        <rFont val="Times New Roman"/>
        <family val="1"/>
      </rPr>
      <t>Ø</t>
    </r>
    <r>
      <rPr>
        <vertAlign val="subscript"/>
        <sz val="11"/>
        <rFont val="Calibri"/>
        <family val="2"/>
      </rPr>
      <t>0</t>
    </r>
  </si>
  <si>
    <r>
      <rPr>
        <b/>
        <sz val="11"/>
        <rFont val="Times New Roman"/>
        <family val="1"/>
      </rPr>
      <t>Ø</t>
    </r>
    <r>
      <rPr>
        <b/>
        <vertAlign val="subscript"/>
        <sz val="11"/>
        <rFont val="Calibri"/>
        <family val="2"/>
      </rPr>
      <t>0</t>
    </r>
  </si>
  <si>
    <r>
      <t>E</t>
    </r>
    <r>
      <rPr>
        <b/>
        <vertAlign val="subscript"/>
        <sz val="11"/>
        <rFont val="Calibri"/>
        <family val="2"/>
        <scheme val="minor"/>
      </rPr>
      <t>Ø</t>
    </r>
    <r>
      <rPr>
        <b/>
        <sz val="11"/>
        <rFont val="Calibri"/>
        <family val="2"/>
        <scheme val="minor"/>
      </rPr>
      <t xml:space="preserve"> (J)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</si>
</sst>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vertAlign val="subscript"/>
      <sz val="11"/>
      <name val="Times New Roman"/>
      <family val="1"/>
    </font>
    <font>
      <sz val="11"/>
      <name val="Calibri"/>
      <family val="2"/>
      <scheme val="minor"/>
    </font>
    <font>
      <vertAlign val="subscript"/>
      <sz val="11"/>
      <name val="Times New Roman"/>
      <family val="1"/>
    </font>
    <font>
      <vertAlign val="subscript"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vertAlign val="subscript"/>
      <sz val="11"/>
      <name val="Calibri"/>
      <family val="2"/>
    </font>
    <font>
      <b/>
      <sz val="11"/>
      <name val="Calibri"/>
      <family val="1"/>
    </font>
    <font>
      <b/>
      <vertAlign val="subscript"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1" fontId="6" fillId="2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1" fontId="11" fillId="0" borderId="1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ysClr val="windowText" lastClr="000000"/>
                </a:solidFill>
              </a:rPr>
              <a:t>Arrhenius plot (for units D2/m.s.Pa)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'1D Ø Arrhenius_FLiBe '!$E$1</c:f>
              <c:strCache>
                <c:ptCount val="1"/>
                <c:pt idx="0">
                  <c:v>ln  ØFLiBe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4706697513697345E-2"/>
                  <c:y val="-0.350590531070803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'1D Ø Arrhenius_FLiBe '!$B$2:$B$4</c:f>
              <c:numCache>
                <c:formatCode>General</c:formatCode>
                <c:ptCount val="3"/>
                <c:pt idx="0">
                  <c:v>1.29366106080207E-3</c:v>
                </c:pt>
                <c:pt idx="1">
                  <c:v>1.145475372279496E-3</c:v>
                </c:pt>
                <c:pt idx="2">
                  <c:v>1.0277492291880781E-3</c:v>
                </c:pt>
              </c:numCache>
            </c:numRef>
          </c:xVal>
          <c:yVal>
            <c:numRef>
              <c:f>'1D Ø Arrhenius_FLiBe '!$E$2:$E$4</c:f>
              <c:numCache>
                <c:formatCode>General</c:formatCode>
                <c:ptCount val="3"/>
                <c:pt idx="0">
                  <c:v>22.786440808302309</c:v>
                </c:pt>
                <c:pt idx="1">
                  <c:v>23.65130937151752</c:v>
                </c:pt>
                <c:pt idx="2">
                  <c:v>24.146649184817029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C7-457A-863E-D03E1B000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559663"/>
        <c:axId val="309560143"/>
      </c:scatterChart>
      <c:valAx>
        <c:axId val="309559663"/>
        <c:scaling>
          <c:orientation val="minMax"/>
          <c:max val="1.3000000000000004E-3"/>
          <c:min val="1.0200000000000003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>
                    <a:solidFill>
                      <a:sysClr val="windowText" lastClr="000000"/>
                    </a:solidFill>
                  </a:rPr>
                  <a:t>1/T (K</a:t>
                </a:r>
                <a:r>
                  <a:rPr lang="en-IN" baseline="30000">
                    <a:solidFill>
                      <a:sysClr val="windowText" lastClr="000000"/>
                    </a:solidFill>
                  </a:rPr>
                  <a:t>-1</a:t>
                </a:r>
                <a:r>
                  <a:rPr lang="en-IN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47513977897440957"/>
              <c:y val="0.88397660818713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09560143"/>
        <c:crosses val="autoZero"/>
        <c:crossBetween val="midCat"/>
      </c:valAx>
      <c:valAx>
        <c:axId val="309560143"/>
        <c:scaling>
          <c:orientation val="minMax"/>
          <c:max val="24.2"/>
          <c:min val="22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>
                    <a:solidFill>
                      <a:sysClr val="windowText" lastClr="000000"/>
                    </a:solidFill>
                  </a:rPr>
                  <a:t>ln Ø-FLiBe </a:t>
                </a:r>
              </a:p>
            </c:rich>
          </c:tx>
          <c:layout>
            <c:manualLayout>
              <c:xMode val="edge"/>
              <c:yMode val="edge"/>
              <c:x val="1.1552905791173809E-2"/>
              <c:y val="0.283768107933876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09559663"/>
        <c:crosses val="autoZero"/>
        <c:crossBetween val="midCat"/>
        <c:majorUnit val="0.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rgbClr val="FF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Arrhenius plot (for units mol-D2/m.s.Pa)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'1D Ø Arrhenius_FLiBe '!$E$28</c:f>
              <c:strCache>
                <c:ptCount val="1"/>
                <c:pt idx="0">
                  <c:v>ln  ØFLiBe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976091318349659E-2"/>
                  <c:y val="-0.359629629629629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'1D Ø Arrhenius_FLiBe '!$B$29:$B$31</c:f>
              <c:numCache>
                <c:formatCode>General</c:formatCode>
                <c:ptCount val="3"/>
                <c:pt idx="0">
                  <c:v>1.29366106080207E-3</c:v>
                </c:pt>
                <c:pt idx="1">
                  <c:v>1.145475372279496E-3</c:v>
                </c:pt>
                <c:pt idx="2">
                  <c:v>1.0277492291880781E-3</c:v>
                </c:pt>
              </c:numCache>
            </c:numRef>
          </c:xVal>
          <c:yVal>
            <c:numRef>
              <c:f>'1D Ø Arrhenius_FLiBe '!$E$29:$E$31</c:f>
              <c:numCache>
                <c:formatCode>General</c:formatCode>
                <c:ptCount val="3"/>
                <c:pt idx="0">
                  <c:v>-31.968435760620284</c:v>
                </c:pt>
                <c:pt idx="1">
                  <c:v>-31.10356719740507</c:v>
                </c:pt>
                <c:pt idx="2">
                  <c:v>-30.608227384105565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E3-4CD9-8B46-45ACBB929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373343"/>
        <c:axId val="1980373823"/>
      </c:scatterChart>
      <c:valAx>
        <c:axId val="1980373343"/>
        <c:scaling>
          <c:orientation val="minMax"/>
          <c:max val="1.3000000000000004E-3"/>
          <c:min val="1.0200000000000003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1/T (K</a:t>
                </a:r>
                <a:r>
                  <a:rPr lang="en-IN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IN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47493927284785326"/>
              <c:y val="0.89444444444444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80373823"/>
        <c:crosses val="autoZero"/>
        <c:crossBetween val="midCat"/>
      </c:valAx>
      <c:valAx>
        <c:axId val="198037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ln Ø-FLiBe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80373343"/>
        <c:crosses val="autoZero"/>
        <c:crossBetween val="midCat"/>
        <c:majorUnit val="0.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7</xdr:row>
      <xdr:rowOff>3810</xdr:rowOff>
    </xdr:from>
    <xdr:to>
      <xdr:col>6</xdr:col>
      <xdr:colOff>502920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CBFDF-B576-44CE-873E-BC7342A00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51954</xdr:colOff>
      <xdr:row>34</xdr:row>
      <xdr:rowOff>72304</xdr:rowOff>
    </xdr:from>
    <xdr:to>
      <xdr:col>6</xdr:col>
      <xdr:colOff>423429</xdr:colOff>
      <xdr:row>49</xdr:row>
      <xdr:rowOff>100880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740BE7-CF54-7B9A-4F2F-C389130A5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0FC1-DA03-4ABF-B745-4C84DDDE7C0A}">
  <dimension ref="A1:X48"/>
  <sheetViews>
    <sheetView tabSelected="1" topLeftCell="D18" zoomScale="110" zoomScaleNormal="110" workbookViewId="0">
      <selection activeCell="I46" sqref="I46"/>
    </sheetView>
  </sheetViews>
  <sheetFormatPr defaultRowHeight="14.4" x14ac:dyDescent="0.3"/>
  <cols>
    <col min="1" max="1" width="8.88671875" style="1"/>
    <col min="2" max="2" width="27.44140625" style="1" customWidth="1"/>
    <col min="3" max="4" width="28.5546875" style="1" customWidth="1"/>
    <col min="5" max="5" width="21.77734375" style="1" customWidth="1"/>
    <col min="6" max="7" width="8.88671875" style="1"/>
    <col min="8" max="8" width="7.21875" style="1" customWidth="1"/>
    <col min="9" max="9" width="6.88671875" style="5" customWidth="1"/>
    <col min="10" max="10" width="26.33203125" style="5" bestFit="1" customWidth="1"/>
    <col min="11" max="11" width="15.5546875" style="1" customWidth="1"/>
    <col min="12" max="12" width="13.5546875" style="1" customWidth="1"/>
    <col min="13" max="13" width="12" style="1" bestFit="1" customWidth="1"/>
    <col min="14" max="16384" width="8.88671875" style="1"/>
  </cols>
  <sheetData>
    <row r="1" spans="1:13" ht="16.2" x14ac:dyDescent="0.35">
      <c r="A1" s="9" t="s">
        <v>0</v>
      </c>
      <c r="B1" s="9" t="s">
        <v>1</v>
      </c>
      <c r="C1" s="9" t="s">
        <v>5</v>
      </c>
      <c r="D1" s="9" t="s">
        <v>6</v>
      </c>
      <c r="E1" s="9" t="s">
        <v>7</v>
      </c>
      <c r="I1" s="12" t="s">
        <v>2</v>
      </c>
      <c r="J1" s="12">
        <v>-5145.8</v>
      </c>
      <c r="L1" s="12" t="s">
        <v>3</v>
      </c>
      <c r="M1" s="12">
        <v>29.475000000000001</v>
      </c>
    </row>
    <row r="2" spans="1:13" ht="16.2" x14ac:dyDescent="0.35">
      <c r="A2" s="10">
        <v>773</v>
      </c>
      <c r="B2" s="10">
        <f>(1/A2)</f>
        <v>1.29366106080207E-3</v>
      </c>
      <c r="C2" s="11">
        <v>7870920127.0367174</v>
      </c>
      <c r="D2" s="11">
        <f>(36.679*C2)/100</f>
        <v>2886974793.3957977</v>
      </c>
      <c r="E2" s="10">
        <f>LN(C2)</f>
        <v>22.786440808302309</v>
      </c>
      <c r="I2" s="12" t="s">
        <v>9</v>
      </c>
      <c r="J2" s="12">
        <f>J1</f>
        <v>-5145.8</v>
      </c>
      <c r="L2" s="12" t="s">
        <v>12</v>
      </c>
      <c r="M2" s="12">
        <f>(M1)</f>
        <v>29.475000000000001</v>
      </c>
    </row>
    <row r="3" spans="1:13" ht="15.6" x14ac:dyDescent="0.35">
      <c r="A3" s="10">
        <v>873</v>
      </c>
      <c r="B3" s="10">
        <f>(1/A3)</f>
        <v>1.145475372279496E-3</v>
      </c>
      <c r="C3" s="11">
        <v>18691026354.086895</v>
      </c>
      <c r="D3" s="11">
        <f>(36.679*C3)/100</f>
        <v>6855681556.4155321</v>
      </c>
      <c r="E3" s="10">
        <f>LN(C3)</f>
        <v>23.65130937151752</v>
      </c>
      <c r="I3" s="12" t="s">
        <v>10</v>
      </c>
      <c r="J3" s="12">
        <f>(-1)*J2</f>
        <v>5145.8</v>
      </c>
      <c r="L3" s="14" t="s">
        <v>13</v>
      </c>
      <c r="M3" s="13">
        <f>EXP(M2)</f>
        <v>6321641364870.4199</v>
      </c>
    </row>
    <row r="4" spans="1:13" ht="15.6" x14ac:dyDescent="0.35">
      <c r="A4" s="10">
        <v>973</v>
      </c>
      <c r="B4" s="10">
        <f>(1/A4)</f>
        <v>1.0277492291880781E-3</v>
      </c>
      <c r="C4" s="11">
        <v>30673017148.458168</v>
      </c>
      <c r="D4" s="11">
        <f>(36.679*C4)/100</f>
        <v>11250555959.882971</v>
      </c>
      <c r="E4" s="10">
        <f>LN(C4)</f>
        <v>24.146649184817029</v>
      </c>
      <c r="I4" s="13" t="s">
        <v>11</v>
      </c>
      <c r="J4" s="13">
        <f>(J3*8.314)</f>
        <v>42782.181199999999</v>
      </c>
    </row>
    <row r="8" spans="1:13" x14ac:dyDescent="0.3">
      <c r="J8" s="15" t="s">
        <v>4</v>
      </c>
      <c r="K8" s="16">
        <f>(M3*(EXP(-J4/(8.314*923))))</f>
        <v>23966401362.4869</v>
      </c>
    </row>
    <row r="10" spans="1:13" x14ac:dyDescent="0.3">
      <c r="K10" s="6"/>
    </row>
    <row r="14" spans="1:13" x14ac:dyDescent="0.3">
      <c r="J14" s="18"/>
      <c r="K14" s="18"/>
      <c r="L14" s="18"/>
      <c r="M14" s="18"/>
    </row>
    <row r="15" spans="1:13" x14ac:dyDescent="0.3">
      <c r="J15" s="8"/>
      <c r="K15" s="8"/>
      <c r="L15" s="18"/>
      <c r="M15" s="18"/>
    </row>
    <row r="16" spans="1:13" x14ac:dyDescent="0.3">
      <c r="J16" s="2"/>
      <c r="K16" s="2"/>
      <c r="L16" s="18"/>
      <c r="M16" s="18"/>
    </row>
    <row r="17" spans="1:24" x14ac:dyDescent="0.3">
      <c r="J17" s="2"/>
      <c r="K17" s="2"/>
      <c r="L17" s="18"/>
      <c r="M17" s="18"/>
    </row>
    <row r="25" spans="1:24" x14ac:dyDescent="0.3">
      <c r="A25" s="3"/>
      <c r="B25" s="3"/>
      <c r="C25" s="3"/>
      <c r="D25" s="3"/>
      <c r="E25" s="3"/>
      <c r="F25" s="3"/>
      <c r="G25" s="3"/>
      <c r="H25" s="3"/>
      <c r="I25" s="4"/>
      <c r="J25" s="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8" spans="1:24" ht="16.2" x14ac:dyDescent="0.35">
      <c r="A28" s="9" t="s">
        <v>0</v>
      </c>
      <c r="B28" s="9" t="s">
        <v>1</v>
      </c>
      <c r="C28" s="9" t="s">
        <v>8</v>
      </c>
      <c r="D28" s="9" t="s">
        <v>6</v>
      </c>
      <c r="E28" s="9" t="s">
        <v>7</v>
      </c>
      <c r="I28" s="12" t="s">
        <v>2</v>
      </c>
      <c r="J28" s="12">
        <v>-5145.8</v>
      </c>
      <c r="L28" s="12" t="s">
        <v>3</v>
      </c>
      <c r="M28" s="12">
        <v>-25.28</v>
      </c>
    </row>
    <row r="29" spans="1:24" ht="16.2" x14ac:dyDescent="0.35">
      <c r="A29" s="10">
        <v>773</v>
      </c>
      <c r="B29" s="10">
        <f>(1/A29)</f>
        <v>1.29366106080207E-3</v>
      </c>
      <c r="C29" s="11">
        <v>1.3070275866882626E-14</v>
      </c>
      <c r="D29" s="11">
        <f>(36.679*C29)/100</f>
        <v>4.7940464852138781E-15</v>
      </c>
      <c r="E29" s="10">
        <f>LN(C29)</f>
        <v>-31.968435760620284</v>
      </c>
      <c r="I29" s="12" t="s">
        <v>9</v>
      </c>
      <c r="J29" s="12">
        <f>J28</f>
        <v>-5145.8</v>
      </c>
      <c r="L29" s="12" t="s">
        <v>12</v>
      </c>
      <c r="M29" s="12">
        <f>(M28)</f>
        <v>-25.28</v>
      </c>
    </row>
    <row r="30" spans="1:24" ht="15.6" x14ac:dyDescent="0.35">
      <c r="A30" s="10">
        <v>873</v>
      </c>
      <c r="B30" s="10">
        <f>(1/A30)</f>
        <v>1.145475372279496E-3</v>
      </c>
      <c r="C30" s="11">
        <v>3.1037904938702906E-14</v>
      </c>
      <c r="D30" s="11">
        <f>(36.679*C30)/100</f>
        <v>1.1384393152466838E-14</v>
      </c>
      <c r="E30" s="10">
        <f>LN(C30)</f>
        <v>-31.10356719740507</v>
      </c>
      <c r="I30" s="12" t="s">
        <v>10</v>
      </c>
      <c r="J30" s="12">
        <f>(-1)*J29</f>
        <v>5145.8</v>
      </c>
      <c r="L30" s="14" t="s">
        <v>13</v>
      </c>
      <c r="M30" s="13">
        <f>EXP(M29)</f>
        <v>1.0496282175389584E-11</v>
      </c>
    </row>
    <row r="31" spans="1:24" ht="15.6" x14ac:dyDescent="0.35">
      <c r="A31" s="10">
        <v>973</v>
      </c>
      <c r="B31" s="10">
        <f>(1/A31)</f>
        <v>1.0277492291880781E-3</v>
      </c>
      <c r="C31" s="11">
        <v>5.0934933823411119E-14</v>
      </c>
      <c r="D31" s="11">
        <f>(36.679*C31)/100</f>
        <v>1.8682424377088966E-14</v>
      </c>
      <c r="E31" s="10">
        <f>LN(C31)</f>
        <v>-30.608227384105565</v>
      </c>
      <c r="I31" s="13" t="s">
        <v>14</v>
      </c>
      <c r="J31" s="13">
        <f>(J30*8.314)</f>
        <v>42782.181199999999</v>
      </c>
    </row>
    <row r="34" spans="10:13" x14ac:dyDescent="0.3">
      <c r="J34" s="15" t="s">
        <v>4</v>
      </c>
      <c r="K34" s="16">
        <f>(M30*(EXP(-J31/(8.314*973))))</f>
        <v>5.2994302689777336E-14</v>
      </c>
    </row>
    <row r="36" spans="10:13" x14ac:dyDescent="0.3">
      <c r="K36" s="6"/>
    </row>
    <row r="39" spans="10:13" x14ac:dyDescent="0.3">
      <c r="J39" s="18"/>
      <c r="K39" s="18"/>
      <c r="L39" s="18"/>
      <c r="M39" s="18"/>
    </row>
    <row r="40" spans="10:13" x14ac:dyDescent="0.3">
      <c r="J40" s="8"/>
      <c r="K40" s="8"/>
      <c r="L40" s="18"/>
      <c r="M40" s="18"/>
    </row>
    <row r="41" spans="10:13" x14ac:dyDescent="0.3">
      <c r="J41" s="2"/>
      <c r="K41" s="2"/>
      <c r="L41" s="17"/>
      <c r="M41" s="17"/>
    </row>
    <row r="42" spans="10:13" x14ac:dyDescent="0.3">
      <c r="J42" s="2"/>
      <c r="K42" s="2"/>
      <c r="L42" s="17"/>
      <c r="M42" s="17"/>
    </row>
    <row r="46" spans="10:13" x14ac:dyDescent="0.3">
      <c r="J46" s="7"/>
    </row>
    <row r="48" spans="10:13" x14ac:dyDescent="0.3">
      <c r="J48" s="7"/>
    </row>
  </sheetData>
  <mergeCells count="8">
    <mergeCell ref="L41:M41"/>
    <mergeCell ref="L42:M42"/>
    <mergeCell ref="J14:M14"/>
    <mergeCell ref="L15:M15"/>
    <mergeCell ref="L16:M16"/>
    <mergeCell ref="L17:M17"/>
    <mergeCell ref="J39:M39"/>
    <mergeCell ref="L40:M40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 Ø Arrhenius_FLiBe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Saraswat</cp:lastModifiedBy>
  <dcterms:created xsi:type="dcterms:W3CDTF">2015-06-05T18:17:20Z</dcterms:created>
  <dcterms:modified xsi:type="dcterms:W3CDTF">2026-03-24T17:34:22Z</dcterms:modified>
</cp:coreProperties>
</file>